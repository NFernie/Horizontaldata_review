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 (2022)/11. Operations/Wellfiles/Stimpee 6/"/>
    </mc:Choice>
  </mc:AlternateContent>
  <xr:revisionPtr revIDLastSave="2166" documentId="8_{0C56575C-0BF0-4476-B646-45F8D5245DD8}" xr6:coauthVersionLast="47" xr6:coauthVersionMax="47" xr10:uidLastSave="{8B6B23FA-4905-4130-A2B6-C3E78821C58F}"/>
  <bookViews>
    <workbookView xWindow="-120" yWindow="-120" windowWidth="29040" windowHeight="17640" activeTab="3" xr2:uid="{E2BF6B37-D27E-43C7-ACEF-0EDF7AA232FB}"/>
  </bookViews>
  <sheets>
    <sheet name="Example Sheet" sheetId="16" r:id="rId1"/>
    <sheet name="Input Sheet" sheetId="14" r:id="rId2"/>
    <sheet name="Long Sample Name" sheetId="15" r:id="rId3"/>
    <sheet name="Calculations Sheet" sheetId="17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7" i="15" l="1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H17" i="14" l="1"/>
  <c r="E188" i="14"/>
  <c r="E187" i="14"/>
  <c r="B5" i="17"/>
  <c r="C5" i="17"/>
  <c r="D5" i="17"/>
  <c r="E5" i="17"/>
  <c r="F5" i="17"/>
  <c r="G5" i="17"/>
  <c r="B6" i="17"/>
  <c r="C6" i="17"/>
  <c r="D6" i="17"/>
  <c r="E6" i="17"/>
  <c r="F6" i="17"/>
  <c r="G6" i="17"/>
  <c r="B7" i="17"/>
  <c r="C7" i="17"/>
  <c r="D7" i="17"/>
  <c r="E7" i="17"/>
  <c r="F7" i="17"/>
  <c r="G7" i="17"/>
  <c r="B8" i="17"/>
  <c r="C8" i="17"/>
  <c r="D8" i="17"/>
  <c r="H8" i="17" s="1"/>
  <c r="E8" i="17"/>
  <c r="F8" i="17"/>
  <c r="G8" i="17"/>
  <c r="B9" i="17"/>
  <c r="C9" i="17"/>
  <c r="D9" i="17"/>
  <c r="H10" i="17" s="1"/>
  <c r="E9" i="17"/>
  <c r="F9" i="17"/>
  <c r="G9" i="17"/>
  <c r="B10" i="17"/>
  <c r="C10" i="17"/>
  <c r="D10" i="17"/>
  <c r="E10" i="17"/>
  <c r="F10" i="17"/>
  <c r="G10" i="17"/>
  <c r="B11" i="17"/>
  <c r="C11" i="17"/>
  <c r="D11" i="17"/>
  <c r="E11" i="17"/>
  <c r="F11" i="17"/>
  <c r="G11" i="17"/>
  <c r="B12" i="17"/>
  <c r="C12" i="17"/>
  <c r="D12" i="17"/>
  <c r="E12" i="17"/>
  <c r="F12" i="17"/>
  <c r="G12" i="17"/>
  <c r="B13" i="17"/>
  <c r="C13" i="17"/>
  <c r="D13" i="17"/>
  <c r="E13" i="17"/>
  <c r="F13" i="17"/>
  <c r="G13" i="17"/>
  <c r="B14" i="17"/>
  <c r="C14" i="17"/>
  <c r="D14" i="17"/>
  <c r="E14" i="17"/>
  <c r="F14" i="17"/>
  <c r="G14" i="17"/>
  <c r="B15" i="17"/>
  <c r="C15" i="17"/>
  <c r="D15" i="17"/>
  <c r="E15" i="17"/>
  <c r="F15" i="17"/>
  <c r="G15" i="17"/>
  <c r="B16" i="17"/>
  <c r="C16" i="17"/>
  <c r="D16" i="17"/>
  <c r="H16" i="17" s="1"/>
  <c r="E16" i="17"/>
  <c r="F16" i="17"/>
  <c r="G16" i="17"/>
  <c r="B17" i="17"/>
  <c r="C17" i="17"/>
  <c r="D17" i="17"/>
  <c r="E17" i="17"/>
  <c r="F17" i="17"/>
  <c r="G17" i="17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E175" i="14"/>
  <c r="E174" i="14"/>
  <c r="M175" i="17" s="1"/>
  <c r="H38" i="14"/>
  <c r="H39" i="14"/>
  <c r="H40" i="14"/>
  <c r="H42" i="14"/>
  <c r="H45" i="14"/>
  <c r="H46" i="14"/>
  <c r="H47" i="14"/>
  <c r="H48" i="14"/>
  <c r="H49" i="14"/>
  <c r="H50" i="14"/>
  <c r="H51" i="14"/>
  <c r="H52" i="14"/>
  <c r="H29" i="14"/>
  <c r="H30" i="14"/>
  <c r="H31" i="14"/>
  <c r="H32" i="14"/>
  <c r="H33" i="14"/>
  <c r="H34" i="14"/>
  <c r="H35" i="14"/>
  <c r="H36" i="14"/>
  <c r="H37" i="14"/>
  <c r="H18" i="14"/>
  <c r="H19" i="14"/>
  <c r="H20" i="14"/>
  <c r="H21" i="14"/>
  <c r="H22" i="14"/>
  <c r="H23" i="14"/>
  <c r="H24" i="14"/>
  <c r="H25" i="14"/>
  <c r="H26" i="14"/>
  <c r="H27" i="14"/>
  <c r="H28" i="14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6" i="17"/>
  <c r="M7" i="17"/>
  <c r="M8" i="17"/>
  <c r="V8" i="17" s="1"/>
  <c r="M9" i="17"/>
  <c r="M10" i="17"/>
  <c r="M11" i="17"/>
  <c r="M12" i="17"/>
  <c r="V12" i="17" s="1"/>
  <c r="M13" i="17"/>
  <c r="T13" i="17" s="1"/>
  <c r="M14" i="17"/>
  <c r="M15" i="17"/>
  <c r="M16" i="17"/>
  <c r="V16" i="17" s="1"/>
  <c r="M17" i="17"/>
  <c r="M18" i="17"/>
  <c r="M19" i="17"/>
  <c r="N19" i="17" s="1"/>
  <c r="M20" i="17"/>
  <c r="X20" i="17" s="1"/>
  <c r="M21" i="17"/>
  <c r="M22" i="17"/>
  <c r="M23" i="17"/>
  <c r="M24" i="17"/>
  <c r="U24" i="17" s="1"/>
  <c r="M25" i="17"/>
  <c r="M26" i="17"/>
  <c r="M27" i="17"/>
  <c r="X27" i="17" s="1"/>
  <c r="M28" i="17"/>
  <c r="X28" i="17" s="1"/>
  <c r="M5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K439" i="17" s="1"/>
  <c r="L439" i="17" s="1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K210" i="17" s="1"/>
  <c r="L210" i="17" s="1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K234" i="17" s="1"/>
  <c r="L234" i="17" s="1"/>
  <c r="F235" i="17"/>
  <c r="F236" i="17"/>
  <c r="F237" i="17"/>
  <c r="F238" i="17"/>
  <c r="F239" i="17"/>
  <c r="F240" i="17"/>
  <c r="F241" i="17"/>
  <c r="F242" i="17"/>
  <c r="K242" i="17" s="1"/>
  <c r="L242" i="17" s="1"/>
  <c r="F243" i="17"/>
  <c r="F244" i="17"/>
  <c r="F245" i="17"/>
  <c r="F246" i="17"/>
  <c r="F247" i="17"/>
  <c r="F248" i="17"/>
  <c r="F249" i="17"/>
  <c r="F250" i="17"/>
  <c r="K250" i="17" s="1"/>
  <c r="L250" i="17" s="1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K265" i="17" s="1"/>
  <c r="L265" i="17" s="1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K282" i="17" s="1"/>
  <c r="L282" i="17" s="1"/>
  <c r="F283" i="17"/>
  <c r="F284" i="17"/>
  <c r="F285" i="17"/>
  <c r="F286" i="17"/>
  <c r="F287" i="17"/>
  <c r="F288" i="17"/>
  <c r="F289" i="17"/>
  <c r="F290" i="17"/>
  <c r="K290" i="17" s="1"/>
  <c r="L290" i="17" s="1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K322" i="17" s="1"/>
  <c r="L322" i="17" s="1"/>
  <c r="F323" i="17"/>
  <c r="F324" i="17"/>
  <c r="F325" i="17"/>
  <c r="F326" i="17"/>
  <c r="F327" i="17"/>
  <c r="F328" i="17"/>
  <c r="F329" i="17"/>
  <c r="K329" i="17" s="1"/>
  <c r="L329" i="17" s="1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K361" i="17" s="1"/>
  <c r="L361" i="17" s="1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K377" i="17" s="1"/>
  <c r="L377" i="17" s="1"/>
  <c r="F378" i="17"/>
  <c r="F379" i="17"/>
  <c r="F380" i="17"/>
  <c r="F381" i="17"/>
  <c r="F382" i="17"/>
  <c r="F383" i="17"/>
  <c r="F384" i="17"/>
  <c r="F385" i="17"/>
  <c r="K385" i="17" s="1"/>
  <c r="L385" i="17" s="1"/>
  <c r="F386" i="17"/>
  <c r="K386" i="17" s="1"/>
  <c r="L386" i="17" s="1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K418" i="17" s="1"/>
  <c r="L418" i="17" s="1"/>
  <c r="F419" i="17"/>
  <c r="F420" i="17"/>
  <c r="F421" i="17"/>
  <c r="F422" i="17"/>
  <c r="F423" i="17"/>
  <c r="F424" i="17"/>
  <c r="F425" i="17"/>
  <c r="F426" i="17"/>
  <c r="K426" i="17" s="1"/>
  <c r="L426" i="17" s="1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H11" i="17"/>
  <c r="H14" i="17"/>
  <c r="D18" i="17"/>
  <c r="D19" i="17"/>
  <c r="D20" i="17"/>
  <c r="D21" i="17"/>
  <c r="D22" i="17"/>
  <c r="D23" i="17"/>
  <c r="D24" i="17"/>
  <c r="H24" i="17" s="1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H39" i="17" s="1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H55" i="17" s="1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H71" i="17" s="1"/>
  <c r="D71" i="17"/>
  <c r="D72" i="17"/>
  <c r="D73" i="17"/>
  <c r="H73" i="17" s="1"/>
  <c r="D74" i="17"/>
  <c r="D75" i="17"/>
  <c r="D76" i="17"/>
  <c r="D77" i="17"/>
  <c r="D78" i="17"/>
  <c r="H79" i="17" s="1"/>
  <c r="D79" i="17"/>
  <c r="D80" i="17"/>
  <c r="D81" i="17"/>
  <c r="H81" i="17" s="1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H95" i="17" s="1"/>
  <c r="D95" i="17"/>
  <c r="D96" i="17"/>
  <c r="D97" i="17"/>
  <c r="H97" i="17" s="1"/>
  <c r="D98" i="17"/>
  <c r="D99" i="17"/>
  <c r="D100" i="17"/>
  <c r="D101" i="17"/>
  <c r="D102" i="17"/>
  <c r="H103" i="17" s="1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H119" i="17" s="1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H135" i="17" s="1"/>
  <c r="D135" i="17"/>
  <c r="D136" i="17"/>
  <c r="D137" i="17"/>
  <c r="D138" i="17"/>
  <c r="D139" i="17"/>
  <c r="D140" i="17"/>
  <c r="D141" i="17"/>
  <c r="D142" i="17"/>
  <c r="H143" i="17" s="1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H167" i="17" s="1"/>
  <c r="D167" i="17"/>
  <c r="D168" i="17"/>
  <c r="D169" i="17"/>
  <c r="D170" i="17"/>
  <c r="D171" i="17"/>
  <c r="D172" i="17"/>
  <c r="D173" i="17"/>
  <c r="D174" i="17"/>
  <c r="H175" i="17" s="1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H191" i="17" s="1"/>
  <c r="D191" i="17"/>
  <c r="D192" i="17"/>
  <c r="D193" i="17"/>
  <c r="H193" i="17" s="1"/>
  <c r="D194" i="17"/>
  <c r="D195" i="17"/>
  <c r="D196" i="17"/>
  <c r="D197" i="17"/>
  <c r="D198" i="17"/>
  <c r="H199" i="17" s="1"/>
  <c r="D199" i="17"/>
  <c r="D200" i="17"/>
  <c r="D201" i="17"/>
  <c r="D202" i="17"/>
  <c r="D203" i="17"/>
  <c r="D204" i="17"/>
  <c r="D205" i="17"/>
  <c r="D206" i="17"/>
  <c r="H207" i="17" s="1"/>
  <c r="D207" i="17"/>
  <c r="D208" i="17"/>
  <c r="D209" i="17"/>
  <c r="D210" i="17"/>
  <c r="D211" i="17"/>
  <c r="D212" i="17"/>
  <c r="D213" i="17"/>
  <c r="D214" i="17"/>
  <c r="H215" i="17" s="1"/>
  <c r="D215" i="17"/>
  <c r="D216" i="17"/>
  <c r="D217" i="17"/>
  <c r="H217" i="17" s="1"/>
  <c r="D218" i="17"/>
  <c r="D219" i="17"/>
  <c r="D220" i="17"/>
  <c r="D221" i="17"/>
  <c r="D222" i="17"/>
  <c r="H223" i="17" s="1"/>
  <c r="D223" i="17"/>
  <c r="D224" i="17"/>
  <c r="D225" i="17"/>
  <c r="H225" i="17" s="1"/>
  <c r="D226" i="17"/>
  <c r="D227" i="17"/>
  <c r="D228" i="17"/>
  <c r="D229" i="17"/>
  <c r="D230" i="17"/>
  <c r="H231" i="17" s="1"/>
  <c r="D231" i="17"/>
  <c r="D232" i="17"/>
  <c r="D233" i="17"/>
  <c r="H233" i="17" s="1"/>
  <c r="D234" i="17"/>
  <c r="D235" i="17"/>
  <c r="D236" i="17"/>
  <c r="D237" i="17"/>
  <c r="D238" i="17"/>
  <c r="H239" i="17" s="1"/>
  <c r="D239" i="17"/>
  <c r="D240" i="17"/>
  <c r="D241" i="17"/>
  <c r="D242" i="17"/>
  <c r="D243" i="17"/>
  <c r="D244" i="17"/>
  <c r="D245" i="17"/>
  <c r="D246" i="17"/>
  <c r="H247" i="17" s="1"/>
  <c r="D247" i="17"/>
  <c r="D248" i="17"/>
  <c r="D249" i="17"/>
  <c r="H249" i="17" s="1"/>
  <c r="D250" i="17"/>
  <c r="D251" i="17"/>
  <c r="D252" i="17"/>
  <c r="D253" i="17"/>
  <c r="D254" i="17"/>
  <c r="H255" i="17" s="1"/>
  <c r="D255" i="17"/>
  <c r="D256" i="17"/>
  <c r="D257" i="17"/>
  <c r="H257" i="17" s="1"/>
  <c r="D258" i="17"/>
  <c r="D259" i="17"/>
  <c r="D260" i="17"/>
  <c r="D261" i="17"/>
  <c r="D262" i="17"/>
  <c r="H263" i="17" s="1"/>
  <c r="D263" i="17"/>
  <c r="D264" i="17"/>
  <c r="D265" i="17"/>
  <c r="H265" i="17" s="1"/>
  <c r="D266" i="17"/>
  <c r="D267" i="17"/>
  <c r="D268" i="17"/>
  <c r="D269" i="17"/>
  <c r="D270" i="17"/>
  <c r="H271" i="17" s="1"/>
  <c r="D271" i="17"/>
  <c r="D272" i="17"/>
  <c r="D273" i="17"/>
  <c r="H273" i="17" s="1"/>
  <c r="D274" i="17"/>
  <c r="D275" i="17"/>
  <c r="D276" i="17"/>
  <c r="D277" i="17"/>
  <c r="D278" i="17"/>
  <c r="D279" i="17"/>
  <c r="D280" i="17"/>
  <c r="D281" i="17"/>
  <c r="H281" i="17" s="1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H295" i="17" s="1"/>
  <c r="D295" i="17"/>
  <c r="D296" i="17"/>
  <c r="D297" i="17"/>
  <c r="D298" i="17"/>
  <c r="D299" i="17"/>
  <c r="D300" i="17"/>
  <c r="D301" i="17"/>
  <c r="D302" i="17"/>
  <c r="H303" i="17" s="1"/>
  <c r="D303" i="17"/>
  <c r="D304" i="17"/>
  <c r="D305" i="17"/>
  <c r="H305" i="17" s="1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H319" i="17" s="1"/>
  <c r="D319" i="17"/>
  <c r="D320" i="17"/>
  <c r="D321" i="17"/>
  <c r="H321" i="17" s="1"/>
  <c r="D322" i="17"/>
  <c r="D323" i="17"/>
  <c r="D324" i="17"/>
  <c r="D325" i="17"/>
  <c r="D326" i="17"/>
  <c r="D327" i="17"/>
  <c r="D328" i="17"/>
  <c r="D329" i="17"/>
  <c r="H329" i="17" s="1"/>
  <c r="D330" i="17"/>
  <c r="D331" i="17"/>
  <c r="D332" i="17"/>
  <c r="D333" i="17"/>
  <c r="D334" i="17"/>
  <c r="H335" i="17" s="1"/>
  <c r="D335" i="17"/>
  <c r="D336" i="17"/>
  <c r="D337" i="17"/>
  <c r="H337" i="17" s="1"/>
  <c r="D338" i="17"/>
  <c r="D339" i="17"/>
  <c r="D340" i="17"/>
  <c r="D341" i="17"/>
  <c r="D342" i="17"/>
  <c r="H343" i="17" s="1"/>
  <c r="D343" i="17"/>
  <c r="D344" i="17"/>
  <c r="D345" i="17"/>
  <c r="D346" i="17"/>
  <c r="D347" i="17"/>
  <c r="D348" i="17"/>
  <c r="D349" i="17"/>
  <c r="D350" i="17"/>
  <c r="H351" i="17" s="1"/>
  <c r="D351" i="17"/>
  <c r="D352" i="17"/>
  <c r="D353" i="17"/>
  <c r="H353" i="17" s="1"/>
  <c r="D354" i="17"/>
  <c r="D355" i="17"/>
  <c r="D356" i="17"/>
  <c r="D357" i="17"/>
  <c r="D358" i="17"/>
  <c r="D359" i="17"/>
  <c r="D360" i="17"/>
  <c r="D361" i="17"/>
  <c r="H361" i="17" s="1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H375" i="17" s="1"/>
  <c r="D375" i="17"/>
  <c r="D376" i="17"/>
  <c r="D377" i="17"/>
  <c r="H377" i="17" s="1"/>
  <c r="D378" i="17"/>
  <c r="D379" i="17"/>
  <c r="D380" i="17"/>
  <c r="D381" i="17"/>
  <c r="D382" i="17"/>
  <c r="D383" i="17"/>
  <c r="D384" i="17"/>
  <c r="D385" i="17"/>
  <c r="H385" i="17" s="1"/>
  <c r="D386" i="17"/>
  <c r="D387" i="17"/>
  <c r="D388" i="17"/>
  <c r="D389" i="17"/>
  <c r="D390" i="17"/>
  <c r="H391" i="17" s="1"/>
  <c r="D391" i="17"/>
  <c r="D392" i="17"/>
  <c r="H392" i="17" s="1"/>
  <c r="D393" i="17"/>
  <c r="H393" i="17" s="1"/>
  <c r="D394" i="17"/>
  <c r="D395" i="17"/>
  <c r="D396" i="17"/>
  <c r="D397" i="17"/>
  <c r="D398" i="17"/>
  <c r="D399" i="17"/>
  <c r="D400" i="17"/>
  <c r="D401" i="17"/>
  <c r="H401" i="17" s="1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H417" i="17" s="1"/>
  <c r="D418" i="17"/>
  <c r="D419" i="17"/>
  <c r="D420" i="17"/>
  <c r="D421" i="17"/>
  <c r="D422" i="17"/>
  <c r="D423" i="17"/>
  <c r="D424" i="17"/>
  <c r="D425" i="17"/>
  <c r="H425" i="17" s="1"/>
  <c r="D426" i="17"/>
  <c r="D427" i="17"/>
  <c r="D428" i="17"/>
  <c r="D429" i="17"/>
  <c r="D430" i="17"/>
  <c r="D431" i="17"/>
  <c r="D432" i="17"/>
  <c r="D433" i="17"/>
  <c r="H433" i="17" s="1"/>
  <c r="D434" i="17"/>
  <c r="D435" i="17"/>
  <c r="D436" i="17"/>
  <c r="D437" i="17"/>
  <c r="D438" i="17"/>
  <c r="H439" i="17" s="1"/>
  <c r="D439" i="17"/>
  <c r="C18" i="17"/>
  <c r="B18" i="17"/>
  <c r="K432" i="17"/>
  <c r="L432" i="17" s="1"/>
  <c r="K424" i="17"/>
  <c r="L424" i="17" s="1"/>
  <c r="K416" i="17"/>
  <c r="L416" i="17" s="1"/>
  <c r="K408" i="17"/>
  <c r="L408" i="17" s="1"/>
  <c r="K400" i="17"/>
  <c r="L400" i="17" s="1"/>
  <c r="K392" i="17"/>
  <c r="L392" i="17" s="1"/>
  <c r="H384" i="17"/>
  <c r="H376" i="17"/>
  <c r="H368" i="17"/>
  <c r="H369" i="17"/>
  <c r="H360" i="17"/>
  <c r="K352" i="17"/>
  <c r="L352" i="17" s="1"/>
  <c r="K344" i="17"/>
  <c r="L344" i="17" s="1"/>
  <c r="H344" i="17"/>
  <c r="K336" i="17"/>
  <c r="L336" i="17" s="1"/>
  <c r="H336" i="17"/>
  <c r="K328" i="17"/>
  <c r="L328" i="17" s="1"/>
  <c r="H328" i="17"/>
  <c r="K320" i="17"/>
  <c r="L320" i="17" s="1"/>
  <c r="H320" i="17"/>
  <c r="H312" i="17"/>
  <c r="H296" i="17"/>
  <c r="H288" i="17"/>
  <c r="H280" i="17"/>
  <c r="K280" i="17"/>
  <c r="L280" i="17" s="1"/>
  <c r="K272" i="17"/>
  <c r="L272" i="17" s="1"/>
  <c r="H272" i="17"/>
  <c r="K264" i="17"/>
  <c r="L264" i="17" s="1"/>
  <c r="H264" i="17"/>
  <c r="K256" i="17"/>
  <c r="L256" i="17" s="1"/>
  <c r="H256" i="17"/>
  <c r="I256" i="17" s="1"/>
  <c r="J256" i="17" s="1"/>
  <c r="K248" i="17"/>
  <c r="L248" i="17" s="1"/>
  <c r="H248" i="17"/>
  <c r="K232" i="17"/>
  <c r="L232" i="17" s="1"/>
  <c r="K224" i="17"/>
  <c r="L224" i="17" s="1"/>
  <c r="H216" i="17"/>
  <c r="I216" i="17" s="1"/>
  <c r="J216" i="17" s="1"/>
  <c r="H209" i="17"/>
  <c r="K200" i="17"/>
  <c r="L200" i="17" s="1"/>
  <c r="H200" i="17"/>
  <c r="I200" i="17" s="1"/>
  <c r="J200" i="17" s="1"/>
  <c r="K192" i="17"/>
  <c r="L192" i="17" s="1"/>
  <c r="H184" i="17"/>
  <c r="K184" i="17" s="1"/>
  <c r="L184" i="17" s="1"/>
  <c r="H169" i="17"/>
  <c r="H168" i="17"/>
  <c r="I168" i="17" s="1"/>
  <c r="J168" i="17" s="1"/>
  <c r="H160" i="17"/>
  <c r="K156" i="17"/>
  <c r="L156" i="17" s="1"/>
  <c r="H153" i="17"/>
  <c r="H152" i="17"/>
  <c r="H144" i="17"/>
  <c r="H136" i="17"/>
  <c r="H128" i="17"/>
  <c r="H104" i="17"/>
  <c r="H96" i="17"/>
  <c r="I96" i="17" s="1"/>
  <c r="J96" i="17" s="1"/>
  <c r="H72" i="17"/>
  <c r="H65" i="17"/>
  <c r="H64" i="17"/>
  <c r="H56" i="17"/>
  <c r="H48" i="17"/>
  <c r="T28" i="17"/>
  <c r="X26" i="17"/>
  <c r="V26" i="17"/>
  <c r="U26" i="17"/>
  <c r="T26" i="17"/>
  <c r="N26" i="17"/>
  <c r="W25" i="17"/>
  <c r="N25" i="17"/>
  <c r="X25" i="17"/>
  <c r="X23" i="17"/>
  <c r="W23" i="17"/>
  <c r="W22" i="17"/>
  <c r="X18" i="17"/>
  <c r="W18" i="17"/>
  <c r="T18" i="17"/>
  <c r="N18" i="17"/>
  <c r="W17" i="17"/>
  <c r="N17" i="17"/>
  <c r="X17" i="17"/>
  <c r="N15" i="17"/>
  <c r="X14" i="17"/>
  <c r="X10" i="17"/>
  <c r="W10" i="17"/>
  <c r="T10" i="17"/>
  <c r="N10" i="17"/>
  <c r="W9" i="17"/>
  <c r="N9" i="17"/>
  <c r="X9" i="17"/>
  <c r="X7" i="17"/>
  <c r="T6" i="17"/>
  <c r="N6" i="17"/>
  <c r="U189" i="14"/>
  <c r="V189" i="14"/>
  <c r="M189" i="14" s="1"/>
  <c r="C190" i="17" s="1"/>
  <c r="U190" i="14"/>
  <c r="L190" i="14" s="1"/>
  <c r="B191" i="17" s="1"/>
  <c r="V190" i="14"/>
  <c r="M190" i="14" s="1"/>
  <c r="C191" i="17" s="1"/>
  <c r="U191" i="14"/>
  <c r="L191" i="14" s="1"/>
  <c r="B192" i="17" s="1"/>
  <c r="V191" i="14"/>
  <c r="M191" i="14" s="1"/>
  <c r="C192" i="17" s="1"/>
  <c r="U192" i="14"/>
  <c r="L192" i="14" s="1"/>
  <c r="B193" i="17" s="1"/>
  <c r="V192" i="14"/>
  <c r="U193" i="14"/>
  <c r="V193" i="14"/>
  <c r="M193" i="14" s="1"/>
  <c r="C194" i="17" s="1"/>
  <c r="U194" i="14"/>
  <c r="L194" i="14" s="1"/>
  <c r="B195" i="17" s="1"/>
  <c r="V194" i="14"/>
  <c r="M194" i="14" s="1"/>
  <c r="C195" i="17" s="1"/>
  <c r="U195" i="14"/>
  <c r="L195" i="14" s="1"/>
  <c r="B196" i="17" s="1"/>
  <c r="V195" i="14"/>
  <c r="M195" i="14" s="1"/>
  <c r="C196" i="17" s="1"/>
  <c r="U196" i="14"/>
  <c r="L196" i="14" s="1"/>
  <c r="B197" i="17" s="1"/>
  <c r="V196" i="14"/>
  <c r="U197" i="14"/>
  <c r="V197" i="14"/>
  <c r="M197" i="14" s="1"/>
  <c r="C198" i="17" s="1"/>
  <c r="U198" i="14"/>
  <c r="L198" i="14" s="1"/>
  <c r="B199" i="17" s="1"/>
  <c r="V198" i="14"/>
  <c r="M198" i="14" s="1"/>
  <c r="C199" i="17" s="1"/>
  <c r="U199" i="14"/>
  <c r="L199" i="14" s="1"/>
  <c r="B200" i="17" s="1"/>
  <c r="V199" i="14"/>
  <c r="M199" i="14" s="1"/>
  <c r="C200" i="17" s="1"/>
  <c r="U200" i="14"/>
  <c r="L200" i="14" s="1"/>
  <c r="B201" i="17" s="1"/>
  <c r="V200" i="14"/>
  <c r="U201" i="14"/>
  <c r="V201" i="14"/>
  <c r="U202" i="14"/>
  <c r="L202" i="14" s="1"/>
  <c r="B203" i="17" s="1"/>
  <c r="V202" i="14"/>
  <c r="M202" i="14" s="1"/>
  <c r="C203" i="17" s="1"/>
  <c r="U203" i="14"/>
  <c r="L203" i="14" s="1"/>
  <c r="B204" i="17" s="1"/>
  <c r="V203" i="14"/>
  <c r="U204" i="14"/>
  <c r="L204" i="14" s="1"/>
  <c r="B205" i="17" s="1"/>
  <c r="V204" i="14"/>
  <c r="U205" i="14"/>
  <c r="V205" i="14"/>
  <c r="M205" i="14" s="1"/>
  <c r="C206" i="17" s="1"/>
  <c r="U206" i="14"/>
  <c r="L206" i="14" s="1"/>
  <c r="B207" i="17" s="1"/>
  <c r="V206" i="14"/>
  <c r="M206" i="14" s="1"/>
  <c r="C207" i="17" s="1"/>
  <c r="U207" i="14"/>
  <c r="L207" i="14" s="1"/>
  <c r="B208" i="17" s="1"/>
  <c r="V207" i="14"/>
  <c r="M207" i="14" s="1"/>
  <c r="C208" i="17" s="1"/>
  <c r="U208" i="14"/>
  <c r="L208" i="14" s="1"/>
  <c r="B209" i="17" s="1"/>
  <c r="V208" i="14"/>
  <c r="U209" i="14"/>
  <c r="V209" i="14"/>
  <c r="M209" i="14" s="1"/>
  <c r="C210" i="17" s="1"/>
  <c r="U210" i="14"/>
  <c r="L210" i="14" s="1"/>
  <c r="B211" i="17" s="1"/>
  <c r="V210" i="14"/>
  <c r="M210" i="14" s="1"/>
  <c r="C211" i="17" s="1"/>
  <c r="U211" i="14"/>
  <c r="L211" i="14" s="1"/>
  <c r="B212" i="17" s="1"/>
  <c r="V211" i="14"/>
  <c r="M211" i="14" s="1"/>
  <c r="C212" i="17" s="1"/>
  <c r="U212" i="14"/>
  <c r="L212" i="14" s="1"/>
  <c r="B213" i="17" s="1"/>
  <c r="V212" i="14"/>
  <c r="U213" i="14"/>
  <c r="V213" i="14"/>
  <c r="M213" i="14" s="1"/>
  <c r="C214" i="17" s="1"/>
  <c r="U214" i="14"/>
  <c r="L214" i="14" s="1"/>
  <c r="B215" i="17" s="1"/>
  <c r="V214" i="14"/>
  <c r="M214" i="14" s="1"/>
  <c r="C215" i="17" s="1"/>
  <c r="U215" i="14"/>
  <c r="L215" i="14" s="1"/>
  <c r="B216" i="17" s="1"/>
  <c r="V215" i="14"/>
  <c r="M215" i="14" s="1"/>
  <c r="C216" i="17" s="1"/>
  <c r="U216" i="14"/>
  <c r="L216" i="14" s="1"/>
  <c r="B217" i="17" s="1"/>
  <c r="V216" i="14"/>
  <c r="U217" i="14"/>
  <c r="V217" i="14"/>
  <c r="M217" i="14" s="1"/>
  <c r="C218" i="17" s="1"/>
  <c r="U218" i="14"/>
  <c r="L218" i="14" s="1"/>
  <c r="B219" i="17" s="1"/>
  <c r="V218" i="14"/>
  <c r="M218" i="14" s="1"/>
  <c r="C219" i="17" s="1"/>
  <c r="U219" i="14"/>
  <c r="L219" i="14" s="1"/>
  <c r="B220" i="17" s="1"/>
  <c r="V219" i="14"/>
  <c r="U220" i="14"/>
  <c r="L220" i="14" s="1"/>
  <c r="B221" i="17" s="1"/>
  <c r="V220" i="14"/>
  <c r="U221" i="14"/>
  <c r="V221" i="14"/>
  <c r="M221" i="14" s="1"/>
  <c r="C222" i="17" s="1"/>
  <c r="U222" i="14"/>
  <c r="L222" i="14" s="1"/>
  <c r="B223" i="17" s="1"/>
  <c r="V222" i="14"/>
  <c r="M222" i="14" s="1"/>
  <c r="C223" i="17" s="1"/>
  <c r="U223" i="14"/>
  <c r="L223" i="14" s="1"/>
  <c r="B224" i="17" s="1"/>
  <c r="V223" i="14"/>
  <c r="M223" i="14" s="1"/>
  <c r="C224" i="17" s="1"/>
  <c r="U224" i="14"/>
  <c r="L224" i="14" s="1"/>
  <c r="B225" i="17" s="1"/>
  <c r="V224" i="14"/>
  <c r="U225" i="14"/>
  <c r="V225" i="14"/>
  <c r="M225" i="14" s="1"/>
  <c r="C226" i="17" s="1"/>
  <c r="U226" i="14"/>
  <c r="L226" i="14" s="1"/>
  <c r="B227" i="17" s="1"/>
  <c r="V226" i="14"/>
  <c r="M226" i="14" s="1"/>
  <c r="C227" i="17" s="1"/>
  <c r="U227" i="14"/>
  <c r="L227" i="14" s="1"/>
  <c r="B228" i="17" s="1"/>
  <c r="V227" i="14"/>
  <c r="U228" i="14"/>
  <c r="L228" i="14" s="1"/>
  <c r="B229" i="17" s="1"/>
  <c r="V228" i="14"/>
  <c r="U229" i="14"/>
  <c r="V229" i="14"/>
  <c r="U230" i="14"/>
  <c r="V230" i="14"/>
  <c r="M230" i="14" s="1"/>
  <c r="C231" i="17" s="1"/>
  <c r="U231" i="14"/>
  <c r="L231" i="14" s="1"/>
  <c r="B232" i="17" s="1"/>
  <c r="V231" i="14"/>
  <c r="M231" i="14" s="1"/>
  <c r="C232" i="17" s="1"/>
  <c r="U232" i="14"/>
  <c r="L232" i="14" s="1"/>
  <c r="B233" i="17" s="1"/>
  <c r="V232" i="14"/>
  <c r="U233" i="14"/>
  <c r="V233" i="14"/>
  <c r="M233" i="14" s="1"/>
  <c r="C234" i="17" s="1"/>
  <c r="U234" i="14"/>
  <c r="L234" i="14" s="1"/>
  <c r="B235" i="17" s="1"/>
  <c r="V234" i="14"/>
  <c r="M234" i="14" s="1"/>
  <c r="C235" i="17" s="1"/>
  <c r="U235" i="14"/>
  <c r="L235" i="14" s="1"/>
  <c r="B236" i="17" s="1"/>
  <c r="V235" i="14"/>
  <c r="U236" i="14"/>
  <c r="L236" i="14" s="1"/>
  <c r="B237" i="17" s="1"/>
  <c r="V236" i="14"/>
  <c r="U237" i="14"/>
  <c r="V237" i="14"/>
  <c r="U238" i="14"/>
  <c r="V238" i="14"/>
  <c r="M238" i="14" s="1"/>
  <c r="C239" i="17" s="1"/>
  <c r="U239" i="14"/>
  <c r="L239" i="14" s="1"/>
  <c r="B240" i="17" s="1"/>
  <c r="V239" i="14"/>
  <c r="M239" i="14" s="1"/>
  <c r="C240" i="17" s="1"/>
  <c r="U240" i="14"/>
  <c r="L240" i="14" s="1"/>
  <c r="B241" i="17" s="1"/>
  <c r="V240" i="14"/>
  <c r="U241" i="14"/>
  <c r="V241" i="14"/>
  <c r="M241" i="14" s="1"/>
  <c r="C242" i="17" s="1"/>
  <c r="U242" i="14"/>
  <c r="L242" i="14" s="1"/>
  <c r="B243" i="17" s="1"/>
  <c r="V242" i="14"/>
  <c r="M242" i="14" s="1"/>
  <c r="C243" i="17" s="1"/>
  <c r="U243" i="14"/>
  <c r="L243" i="14" s="1"/>
  <c r="B244" i="17" s="1"/>
  <c r="V243" i="14"/>
  <c r="U244" i="14"/>
  <c r="L244" i="14" s="1"/>
  <c r="B245" i="17" s="1"/>
  <c r="V244" i="14"/>
  <c r="U245" i="14"/>
  <c r="V245" i="14"/>
  <c r="U246" i="14"/>
  <c r="L246" i="14" s="1"/>
  <c r="B247" i="17" s="1"/>
  <c r="V246" i="14"/>
  <c r="M246" i="14" s="1"/>
  <c r="C247" i="17" s="1"/>
  <c r="U247" i="14"/>
  <c r="L247" i="14" s="1"/>
  <c r="B248" i="17" s="1"/>
  <c r="V247" i="14"/>
  <c r="M247" i="14" s="1"/>
  <c r="C248" i="17" s="1"/>
  <c r="U248" i="14"/>
  <c r="L248" i="14" s="1"/>
  <c r="B249" i="17" s="1"/>
  <c r="V248" i="14"/>
  <c r="U249" i="14"/>
  <c r="V249" i="14"/>
  <c r="M249" i="14" s="1"/>
  <c r="C250" i="17" s="1"/>
  <c r="U250" i="14"/>
  <c r="L250" i="14" s="1"/>
  <c r="B251" i="17" s="1"/>
  <c r="V250" i="14"/>
  <c r="M250" i="14" s="1"/>
  <c r="C251" i="17" s="1"/>
  <c r="U251" i="14"/>
  <c r="V251" i="14"/>
  <c r="M251" i="14" s="1"/>
  <c r="C252" i="17" s="1"/>
  <c r="U252" i="14"/>
  <c r="L252" i="14" s="1"/>
  <c r="B253" i="17" s="1"/>
  <c r="V252" i="14"/>
  <c r="U253" i="14"/>
  <c r="V253" i="14"/>
  <c r="M253" i="14" s="1"/>
  <c r="C254" i="17" s="1"/>
  <c r="U254" i="14"/>
  <c r="L254" i="14" s="1"/>
  <c r="B255" i="17" s="1"/>
  <c r="V254" i="14"/>
  <c r="M254" i="14" s="1"/>
  <c r="C255" i="17" s="1"/>
  <c r="U255" i="14"/>
  <c r="L255" i="14" s="1"/>
  <c r="B256" i="17" s="1"/>
  <c r="V255" i="14"/>
  <c r="U256" i="14"/>
  <c r="L256" i="14" s="1"/>
  <c r="B257" i="17" s="1"/>
  <c r="V256" i="14"/>
  <c r="U257" i="14"/>
  <c r="V257" i="14"/>
  <c r="M257" i="14" s="1"/>
  <c r="C258" i="17" s="1"/>
  <c r="U258" i="14"/>
  <c r="L258" i="14" s="1"/>
  <c r="B259" i="17" s="1"/>
  <c r="V258" i="14"/>
  <c r="M258" i="14" s="1"/>
  <c r="C259" i="17" s="1"/>
  <c r="U259" i="14"/>
  <c r="L259" i="14" s="1"/>
  <c r="B260" i="17" s="1"/>
  <c r="V259" i="14"/>
  <c r="M259" i="14" s="1"/>
  <c r="C260" i="17" s="1"/>
  <c r="U260" i="14"/>
  <c r="L260" i="14" s="1"/>
  <c r="B261" i="17" s="1"/>
  <c r="V260" i="14"/>
  <c r="U261" i="14"/>
  <c r="V261" i="14"/>
  <c r="M261" i="14" s="1"/>
  <c r="C262" i="17" s="1"/>
  <c r="U262" i="14"/>
  <c r="L262" i="14" s="1"/>
  <c r="B263" i="17" s="1"/>
  <c r="V262" i="14"/>
  <c r="M262" i="14" s="1"/>
  <c r="C263" i="17" s="1"/>
  <c r="U263" i="14"/>
  <c r="L263" i="14" s="1"/>
  <c r="B264" i="17" s="1"/>
  <c r="V263" i="14"/>
  <c r="M263" i="14" s="1"/>
  <c r="C264" i="17" s="1"/>
  <c r="U264" i="14"/>
  <c r="L264" i="14" s="1"/>
  <c r="B265" i="17" s="1"/>
  <c r="V264" i="14"/>
  <c r="U265" i="14"/>
  <c r="V265" i="14"/>
  <c r="M265" i="14" s="1"/>
  <c r="C266" i="17" s="1"/>
  <c r="U266" i="14"/>
  <c r="L266" i="14" s="1"/>
  <c r="B267" i="17" s="1"/>
  <c r="V266" i="14"/>
  <c r="M266" i="14" s="1"/>
  <c r="C267" i="17" s="1"/>
  <c r="U267" i="14"/>
  <c r="L267" i="14" s="1"/>
  <c r="B268" i="17" s="1"/>
  <c r="V267" i="14"/>
  <c r="M267" i="14" s="1"/>
  <c r="C268" i="17" s="1"/>
  <c r="U268" i="14"/>
  <c r="L268" i="14" s="1"/>
  <c r="B269" i="17" s="1"/>
  <c r="V268" i="14"/>
  <c r="U269" i="14"/>
  <c r="V269" i="14"/>
  <c r="M269" i="14" s="1"/>
  <c r="C270" i="17" s="1"/>
  <c r="U270" i="14"/>
  <c r="L270" i="14" s="1"/>
  <c r="B271" i="17" s="1"/>
  <c r="V270" i="14"/>
  <c r="M270" i="14" s="1"/>
  <c r="C271" i="17" s="1"/>
  <c r="U271" i="14"/>
  <c r="L271" i="14" s="1"/>
  <c r="B272" i="17" s="1"/>
  <c r="V271" i="14"/>
  <c r="U272" i="14"/>
  <c r="L272" i="14" s="1"/>
  <c r="B273" i="17" s="1"/>
  <c r="V272" i="14"/>
  <c r="U273" i="14"/>
  <c r="V273" i="14"/>
  <c r="U274" i="14"/>
  <c r="L274" i="14" s="1"/>
  <c r="B275" i="17" s="1"/>
  <c r="V274" i="14"/>
  <c r="M274" i="14" s="1"/>
  <c r="C275" i="17" s="1"/>
  <c r="U275" i="14"/>
  <c r="L275" i="14" s="1"/>
  <c r="B276" i="17" s="1"/>
  <c r="V275" i="14"/>
  <c r="M275" i="14" s="1"/>
  <c r="C276" i="17" s="1"/>
  <c r="U276" i="14"/>
  <c r="L276" i="14" s="1"/>
  <c r="B277" i="17" s="1"/>
  <c r="V276" i="14"/>
  <c r="U277" i="14"/>
  <c r="V277" i="14"/>
  <c r="M277" i="14" s="1"/>
  <c r="C278" i="17" s="1"/>
  <c r="U278" i="14"/>
  <c r="L278" i="14" s="1"/>
  <c r="B279" i="17" s="1"/>
  <c r="V278" i="14"/>
  <c r="M278" i="14" s="1"/>
  <c r="C279" i="17" s="1"/>
  <c r="U279" i="14"/>
  <c r="L279" i="14" s="1"/>
  <c r="B280" i="17" s="1"/>
  <c r="V279" i="14"/>
  <c r="M279" i="14" s="1"/>
  <c r="C280" i="17" s="1"/>
  <c r="U280" i="14"/>
  <c r="L280" i="14" s="1"/>
  <c r="B281" i="17" s="1"/>
  <c r="V280" i="14"/>
  <c r="U281" i="14"/>
  <c r="V281" i="14"/>
  <c r="M281" i="14" s="1"/>
  <c r="C282" i="17" s="1"/>
  <c r="U282" i="14"/>
  <c r="L282" i="14" s="1"/>
  <c r="B283" i="17" s="1"/>
  <c r="V282" i="14"/>
  <c r="M282" i="14" s="1"/>
  <c r="C283" i="17" s="1"/>
  <c r="U283" i="14"/>
  <c r="L283" i="14" s="1"/>
  <c r="B284" i="17" s="1"/>
  <c r="V283" i="14"/>
  <c r="M283" i="14" s="1"/>
  <c r="C284" i="17" s="1"/>
  <c r="U284" i="14"/>
  <c r="L284" i="14" s="1"/>
  <c r="B285" i="17" s="1"/>
  <c r="V284" i="14"/>
  <c r="U285" i="14"/>
  <c r="V285" i="14"/>
  <c r="M285" i="14" s="1"/>
  <c r="C286" i="17" s="1"/>
  <c r="U286" i="14"/>
  <c r="L286" i="14" s="1"/>
  <c r="B287" i="17" s="1"/>
  <c r="V286" i="14"/>
  <c r="M286" i="14" s="1"/>
  <c r="C287" i="17" s="1"/>
  <c r="U287" i="14"/>
  <c r="L287" i="14" s="1"/>
  <c r="B288" i="17" s="1"/>
  <c r="V287" i="14"/>
  <c r="U288" i="14"/>
  <c r="L288" i="14" s="1"/>
  <c r="B289" i="17" s="1"/>
  <c r="V288" i="14"/>
  <c r="U289" i="14"/>
  <c r="V289" i="14"/>
  <c r="M289" i="14" s="1"/>
  <c r="C290" i="17" s="1"/>
  <c r="U290" i="14"/>
  <c r="L290" i="14" s="1"/>
  <c r="B291" i="17" s="1"/>
  <c r="V290" i="14"/>
  <c r="M290" i="14" s="1"/>
  <c r="C291" i="17" s="1"/>
  <c r="U291" i="14"/>
  <c r="L291" i="14" s="1"/>
  <c r="B292" i="17" s="1"/>
  <c r="V291" i="14"/>
  <c r="M291" i="14" s="1"/>
  <c r="C292" i="17" s="1"/>
  <c r="U292" i="14"/>
  <c r="L292" i="14" s="1"/>
  <c r="B293" i="17" s="1"/>
  <c r="V292" i="14"/>
  <c r="U293" i="14"/>
  <c r="V293" i="14"/>
  <c r="U294" i="14"/>
  <c r="L294" i="14" s="1"/>
  <c r="B295" i="17" s="1"/>
  <c r="V294" i="14"/>
  <c r="M294" i="14" s="1"/>
  <c r="C295" i="17" s="1"/>
  <c r="U295" i="14"/>
  <c r="L295" i="14" s="1"/>
  <c r="B296" i="17" s="1"/>
  <c r="V295" i="14"/>
  <c r="M295" i="14" s="1"/>
  <c r="C296" i="17" s="1"/>
  <c r="U296" i="14"/>
  <c r="L296" i="14" s="1"/>
  <c r="B297" i="17" s="1"/>
  <c r="V296" i="14"/>
  <c r="U297" i="14"/>
  <c r="V297" i="14"/>
  <c r="M297" i="14" s="1"/>
  <c r="C298" i="17" s="1"/>
  <c r="U298" i="14"/>
  <c r="V298" i="14"/>
  <c r="M298" i="14" s="1"/>
  <c r="C299" i="17" s="1"/>
  <c r="U299" i="14"/>
  <c r="L299" i="14" s="1"/>
  <c r="B300" i="17" s="1"/>
  <c r="V299" i="14"/>
  <c r="M299" i="14" s="1"/>
  <c r="C300" i="17" s="1"/>
  <c r="U300" i="14"/>
  <c r="L300" i="14" s="1"/>
  <c r="B301" i="17" s="1"/>
  <c r="V300" i="14"/>
  <c r="U301" i="14"/>
  <c r="V301" i="14"/>
  <c r="M301" i="14" s="1"/>
  <c r="C302" i="17" s="1"/>
  <c r="U302" i="14"/>
  <c r="L302" i="14" s="1"/>
  <c r="B303" i="17" s="1"/>
  <c r="V302" i="14"/>
  <c r="M302" i="14" s="1"/>
  <c r="C303" i="17" s="1"/>
  <c r="U303" i="14"/>
  <c r="V303" i="14"/>
  <c r="M303" i="14" s="1"/>
  <c r="C304" i="17" s="1"/>
  <c r="U304" i="14"/>
  <c r="L304" i="14" s="1"/>
  <c r="B305" i="17" s="1"/>
  <c r="V304" i="14"/>
  <c r="U305" i="14"/>
  <c r="V305" i="14"/>
  <c r="M305" i="14" s="1"/>
  <c r="C306" i="17" s="1"/>
  <c r="U306" i="14"/>
  <c r="L306" i="14" s="1"/>
  <c r="B307" i="17" s="1"/>
  <c r="V306" i="14"/>
  <c r="M306" i="14" s="1"/>
  <c r="C307" i="17" s="1"/>
  <c r="U307" i="14"/>
  <c r="L307" i="14" s="1"/>
  <c r="B308" i="17" s="1"/>
  <c r="V307" i="14"/>
  <c r="M307" i="14" s="1"/>
  <c r="C308" i="17" s="1"/>
  <c r="U308" i="14"/>
  <c r="L308" i="14" s="1"/>
  <c r="B309" i="17" s="1"/>
  <c r="V308" i="14"/>
  <c r="U309" i="14"/>
  <c r="V309" i="14"/>
  <c r="M309" i="14" s="1"/>
  <c r="C310" i="17" s="1"/>
  <c r="U310" i="14"/>
  <c r="L310" i="14" s="1"/>
  <c r="B311" i="17" s="1"/>
  <c r="V310" i="14"/>
  <c r="M310" i="14" s="1"/>
  <c r="C311" i="17" s="1"/>
  <c r="U311" i="14"/>
  <c r="V311" i="14"/>
  <c r="M311" i="14" s="1"/>
  <c r="C312" i="17" s="1"/>
  <c r="U312" i="14"/>
  <c r="L312" i="14" s="1"/>
  <c r="B313" i="17" s="1"/>
  <c r="V312" i="14"/>
  <c r="U313" i="14"/>
  <c r="V313" i="14"/>
  <c r="M313" i="14" s="1"/>
  <c r="C314" i="17" s="1"/>
  <c r="U314" i="14"/>
  <c r="L314" i="14" s="1"/>
  <c r="B315" i="17" s="1"/>
  <c r="V314" i="14"/>
  <c r="M314" i="14" s="1"/>
  <c r="C315" i="17" s="1"/>
  <c r="U315" i="14"/>
  <c r="L315" i="14" s="1"/>
  <c r="B316" i="17" s="1"/>
  <c r="V315" i="14"/>
  <c r="M315" i="14" s="1"/>
  <c r="C316" i="17" s="1"/>
  <c r="U316" i="14"/>
  <c r="L316" i="14" s="1"/>
  <c r="B317" i="17" s="1"/>
  <c r="V316" i="14"/>
  <c r="U317" i="14"/>
  <c r="V317" i="14"/>
  <c r="M317" i="14" s="1"/>
  <c r="C318" i="17" s="1"/>
  <c r="U318" i="14"/>
  <c r="L318" i="14" s="1"/>
  <c r="B319" i="17" s="1"/>
  <c r="V318" i="14"/>
  <c r="M318" i="14" s="1"/>
  <c r="C319" i="17" s="1"/>
  <c r="U319" i="14"/>
  <c r="V319" i="14"/>
  <c r="U320" i="14"/>
  <c r="L320" i="14" s="1"/>
  <c r="B321" i="17" s="1"/>
  <c r="V320" i="14"/>
  <c r="U321" i="14"/>
  <c r="V321" i="14"/>
  <c r="M321" i="14" s="1"/>
  <c r="C322" i="17" s="1"/>
  <c r="U322" i="14"/>
  <c r="L322" i="14" s="1"/>
  <c r="B323" i="17" s="1"/>
  <c r="V322" i="14"/>
  <c r="M322" i="14" s="1"/>
  <c r="C323" i="17" s="1"/>
  <c r="U323" i="14"/>
  <c r="L323" i="14" s="1"/>
  <c r="B324" i="17" s="1"/>
  <c r="V323" i="14"/>
  <c r="M323" i="14" s="1"/>
  <c r="C324" i="17" s="1"/>
  <c r="U324" i="14"/>
  <c r="L324" i="14" s="1"/>
  <c r="B325" i="17" s="1"/>
  <c r="V324" i="14"/>
  <c r="U325" i="14"/>
  <c r="V325" i="14"/>
  <c r="M325" i="14" s="1"/>
  <c r="C326" i="17" s="1"/>
  <c r="U326" i="14"/>
  <c r="L326" i="14" s="1"/>
  <c r="B327" i="17" s="1"/>
  <c r="V326" i="14"/>
  <c r="U327" i="14"/>
  <c r="L327" i="14" s="1"/>
  <c r="B328" i="17" s="1"/>
  <c r="V327" i="14"/>
  <c r="U328" i="14"/>
  <c r="L328" i="14" s="1"/>
  <c r="B329" i="17" s="1"/>
  <c r="V328" i="14"/>
  <c r="U329" i="14"/>
  <c r="V329" i="14"/>
  <c r="M329" i="14" s="1"/>
  <c r="C330" i="17" s="1"/>
  <c r="U330" i="14"/>
  <c r="L330" i="14" s="1"/>
  <c r="B331" i="17" s="1"/>
  <c r="V330" i="14"/>
  <c r="U331" i="14"/>
  <c r="V331" i="14"/>
  <c r="M331" i="14" s="1"/>
  <c r="C332" i="17" s="1"/>
  <c r="U332" i="14"/>
  <c r="L332" i="14" s="1"/>
  <c r="B333" i="17" s="1"/>
  <c r="V332" i="14"/>
  <c r="U333" i="14"/>
  <c r="V333" i="14"/>
  <c r="M333" i="14" s="1"/>
  <c r="C334" i="17" s="1"/>
  <c r="U334" i="14"/>
  <c r="L334" i="14" s="1"/>
  <c r="B335" i="17" s="1"/>
  <c r="V334" i="14"/>
  <c r="U335" i="14"/>
  <c r="L335" i="14" s="1"/>
  <c r="B336" i="17" s="1"/>
  <c r="V335" i="14"/>
  <c r="M335" i="14" s="1"/>
  <c r="C336" i="17" s="1"/>
  <c r="U336" i="14"/>
  <c r="L336" i="14" s="1"/>
  <c r="B337" i="17" s="1"/>
  <c r="V336" i="14"/>
  <c r="U337" i="14"/>
  <c r="V337" i="14"/>
  <c r="M337" i="14" s="1"/>
  <c r="C338" i="17" s="1"/>
  <c r="U338" i="14"/>
  <c r="L338" i="14" s="1"/>
  <c r="B339" i="17" s="1"/>
  <c r="V338" i="14"/>
  <c r="U339" i="14"/>
  <c r="L339" i="14" s="1"/>
  <c r="B340" i="17" s="1"/>
  <c r="V339" i="14"/>
  <c r="M339" i="14" s="1"/>
  <c r="C340" i="17" s="1"/>
  <c r="U340" i="14"/>
  <c r="L340" i="14" s="1"/>
  <c r="B341" i="17" s="1"/>
  <c r="V340" i="14"/>
  <c r="U341" i="14"/>
  <c r="V341" i="14"/>
  <c r="M341" i="14" s="1"/>
  <c r="C342" i="17" s="1"/>
  <c r="U342" i="14"/>
  <c r="L342" i="14" s="1"/>
  <c r="B343" i="17" s="1"/>
  <c r="V342" i="14"/>
  <c r="U343" i="14"/>
  <c r="L343" i="14" s="1"/>
  <c r="B344" i="17" s="1"/>
  <c r="V343" i="14"/>
  <c r="U344" i="14"/>
  <c r="L344" i="14" s="1"/>
  <c r="B345" i="17" s="1"/>
  <c r="V344" i="14"/>
  <c r="U345" i="14"/>
  <c r="V345" i="14"/>
  <c r="M345" i="14" s="1"/>
  <c r="C346" i="17" s="1"/>
  <c r="U346" i="14"/>
  <c r="L346" i="14" s="1"/>
  <c r="B347" i="17" s="1"/>
  <c r="V346" i="14"/>
  <c r="U347" i="14"/>
  <c r="L347" i="14" s="1"/>
  <c r="B348" i="17" s="1"/>
  <c r="V347" i="14"/>
  <c r="U348" i="14"/>
  <c r="L348" i="14" s="1"/>
  <c r="B349" i="17" s="1"/>
  <c r="V348" i="14"/>
  <c r="U349" i="14"/>
  <c r="V349" i="14"/>
  <c r="M349" i="14" s="1"/>
  <c r="C350" i="17" s="1"/>
  <c r="U350" i="14"/>
  <c r="L350" i="14" s="1"/>
  <c r="B351" i="17" s="1"/>
  <c r="V350" i="14"/>
  <c r="U351" i="14"/>
  <c r="L351" i="14" s="1"/>
  <c r="B352" i="17" s="1"/>
  <c r="V351" i="14"/>
  <c r="M351" i="14" s="1"/>
  <c r="C352" i="17" s="1"/>
  <c r="U352" i="14"/>
  <c r="L352" i="14" s="1"/>
  <c r="B353" i="17" s="1"/>
  <c r="V352" i="14"/>
  <c r="U353" i="14"/>
  <c r="V353" i="14"/>
  <c r="M353" i="14" s="1"/>
  <c r="C354" i="17" s="1"/>
  <c r="U354" i="14"/>
  <c r="L354" i="14" s="1"/>
  <c r="B355" i="17" s="1"/>
  <c r="V354" i="14"/>
  <c r="U355" i="14"/>
  <c r="V355" i="14"/>
  <c r="M355" i="14" s="1"/>
  <c r="C356" i="17" s="1"/>
  <c r="U356" i="14"/>
  <c r="L356" i="14" s="1"/>
  <c r="B357" i="17" s="1"/>
  <c r="V356" i="14"/>
  <c r="U357" i="14"/>
  <c r="V357" i="14"/>
  <c r="M357" i="14" s="1"/>
  <c r="C358" i="17" s="1"/>
  <c r="U358" i="14"/>
  <c r="L358" i="14" s="1"/>
  <c r="B359" i="17" s="1"/>
  <c r="V358" i="14"/>
  <c r="U359" i="14"/>
  <c r="L359" i="14" s="1"/>
  <c r="B360" i="17" s="1"/>
  <c r="V359" i="14"/>
  <c r="U360" i="14"/>
  <c r="L360" i="14" s="1"/>
  <c r="B361" i="17" s="1"/>
  <c r="V360" i="14"/>
  <c r="U361" i="14"/>
  <c r="V361" i="14"/>
  <c r="M361" i="14" s="1"/>
  <c r="C362" i="17" s="1"/>
  <c r="U362" i="14"/>
  <c r="L362" i="14" s="1"/>
  <c r="B363" i="17" s="1"/>
  <c r="V362" i="14"/>
  <c r="U363" i="14"/>
  <c r="L363" i="14" s="1"/>
  <c r="B364" i="17" s="1"/>
  <c r="V363" i="14"/>
  <c r="M363" i="14" s="1"/>
  <c r="C364" i="17" s="1"/>
  <c r="U364" i="14"/>
  <c r="L364" i="14" s="1"/>
  <c r="B365" i="17" s="1"/>
  <c r="V364" i="14"/>
  <c r="U365" i="14"/>
  <c r="V365" i="14"/>
  <c r="M365" i="14" s="1"/>
  <c r="C366" i="17" s="1"/>
  <c r="U366" i="14"/>
  <c r="V366" i="14"/>
  <c r="U367" i="14"/>
  <c r="L367" i="14" s="1"/>
  <c r="B368" i="17" s="1"/>
  <c r="V367" i="14"/>
  <c r="M367" i="14" s="1"/>
  <c r="C368" i="17" s="1"/>
  <c r="U368" i="14"/>
  <c r="L368" i="14" s="1"/>
  <c r="B369" i="17" s="1"/>
  <c r="V368" i="14"/>
  <c r="U369" i="14"/>
  <c r="V369" i="14"/>
  <c r="U370" i="14"/>
  <c r="L370" i="14" s="1"/>
  <c r="B371" i="17" s="1"/>
  <c r="V370" i="14"/>
  <c r="U371" i="14"/>
  <c r="L371" i="14" s="1"/>
  <c r="B372" i="17" s="1"/>
  <c r="V371" i="14"/>
  <c r="M371" i="14" s="1"/>
  <c r="C372" i="17" s="1"/>
  <c r="U372" i="14"/>
  <c r="L372" i="14" s="1"/>
  <c r="B373" i="17" s="1"/>
  <c r="V372" i="14"/>
  <c r="U373" i="14"/>
  <c r="V373" i="14"/>
  <c r="M373" i="14" s="1"/>
  <c r="C374" i="17" s="1"/>
  <c r="U374" i="14"/>
  <c r="L374" i="14" s="1"/>
  <c r="B375" i="17" s="1"/>
  <c r="V374" i="14"/>
  <c r="U375" i="14"/>
  <c r="L375" i="14" s="1"/>
  <c r="B376" i="17" s="1"/>
  <c r="V375" i="14"/>
  <c r="M375" i="14" s="1"/>
  <c r="C376" i="17" s="1"/>
  <c r="U376" i="14"/>
  <c r="L376" i="14" s="1"/>
  <c r="B377" i="17" s="1"/>
  <c r="V376" i="14"/>
  <c r="U377" i="14"/>
  <c r="V377" i="14"/>
  <c r="U378" i="14"/>
  <c r="L378" i="14" s="1"/>
  <c r="B379" i="17" s="1"/>
  <c r="V378" i="14"/>
  <c r="U379" i="14"/>
  <c r="V379" i="14"/>
  <c r="M379" i="14" s="1"/>
  <c r="C380" i="17" s="1"/>
  <c r="U380" i="14"/>
  <c r="L380" i="14" s="1"/>
  <c r="B381" i="17" s="1"/>
  <c r="V380" i="14"/>
  <c r="U381" i="14"/>
  <c r="V381" i="14"/>
  <c r="M381" i="14" s="1"/>
  <c r="C382" i="17" s="1"/>
  <c r="U382" i="14"/>
  <c r="L382" i="14" s="1"/>
  <c r="B383" i="17" s="1"/>
  <c r="V382" i="14"/>
  <c r="U383" i="14"/>
  <c r="L383" i="14" s="1"/>
  <c r="B384" i="17" s="1"/>
  <c r="V383" i="14"/>
  <c r="M383" i="14" s="1"/>
  <c r="C384" i="17" s="1"/>
  <c r="U384" i="14"/>
  <c r="L384" i="14" s="1"/>
  <c r="B385" i="17" s="1"/>
  <c r="V384" i="14"/>
  <c r="U385" i="14"/>
  <c r="V385" i="14"/>
  <c r="M385" i="14" s="1"/>
  <c r="C386" i="17" s="1"/>
  <c r="U386" i="14"/>
  <c r="L386" i="14" s="1"/>
  <c r="B387" i="17" s="1"/>
  <c r="V386" i="14"/>
  <c r="U387" i="14"/>
  <c r="L387" i="14" s="1"/>
  <c r="B388" i="17" s="1"/>
  <c r="V387" i="14"/>
  <c r="M387" i="14" s="1"/>
  <c r="C388" i="17" s="1"/>
  <c r="U388" i="14"/>
  <c r="L388" i="14" s="1"/>
  <c r="B389" i="17" s="1"/>
  <c r="V388" i="14"/>
  <c r="U389" i="14"/>
  <c r="V389" i="14"/>
  <c r="M389" i="14" s="1"/>
  <c r="C390" i="17" s="1"/>
  <c r="U390" i="14"/>
  <c r="L390" i="14" s="1"/>
  <c r="B391" i="17" s="1"/>
  <c r="V390" i="14"/>
  <c r="U391" i="14"/>
  <c r="L391" i="14" s="1"/>
  <c r="B392" i="17" s="1"/>
  <c r="V391" i="14"/>
  <c r="M391" i="14" s="1"/>
  <c r="C392" i="17" s="1"/>
  <c r="U392" i="14"/>
  <c r="L392" i="14" s="1"/>
  <c r="B393" i="17" s="1"/>
  <c r="V392" i="14"/>
  <c r="U393" i="14"/>
  <c r="V393" i="14"/>
  <c r="M393" i="14" s="1"/>
  <c r="C394" i="17" s="1"/>
  <c r="U394" i="14"/>
  <c r="L394" i="14" s="1"/>
  <c r="B395" i="17" s="1"/>
  <c r="V394" i="14"/>
  <c r="U395" i="14"/>
  <c r="L395" i="14" s="1"/>
  <c r="B396" i="17" s="1"/>
  <c r="V395" i="14"/>
  <c r="M395" i="14" s="1"/>
  <c r="C396" i="17" s="1"/>
  <c r="U396" i="14"/>
  <c r="L396" i="14" s="1"/>
  <c r="B397" i="17" s="1"/>
  <c r="V396" i="14"/>
  <c r="U397" i="14"/>
  <c r="V397" i="14"/>
  <c r="M397" i="14" s="1"/>
  <c r="C398" i="17" s="1"/>
  <c r="U398" i="14"/>
  <c r="L398" i="14" s="1"/>
  <c r="B399" i="17" s="1"/>
  <c r="V398" i="14"/>
  <c r="U399" i="14"/>
  <c r="L399" i="14" s="1"/>
  <c r="B400" i="17" s="1"/>
  <c r="V399" i="14"/>
  <c r="M399" i="14" s="1"/>
  <c r="C400" i="17" s="1"/>
  <c r="U400" i="14"/>
  <c r="L400" i="14" s="1"/>
  <c r="B401" i="17" s="1"/>
  <c r="V400" i="14"/>
  <c r="U401" i="14"/>
  <c r="V401" i="14"/>
  <c r="M401" i="14" s="1"/>
  <c r="C402" i="17" s="1"/>
  <c r="U402" i="14"/>
  <c r="L402" i="14" s="1"/>
  <c r="B403" i="17" s="1"/>
  <c r="V402" i="14"/>
  <c r="U403" i="14"/>
  <c r="L403" i="14" s="1"/>
  <c r="B404" i="17" s="1"/>
  <c r="V403" i="14"/>
  <c r="M403" i="14" s="1"/>
  <c r="C404" i="17" s="1"/>
  <c r="U404" i="14"/>
  <c r="L404" i="14" s="1"/>
  <c r="B405" i="17" s="1"/>
  <c r="V404" i="14"/>
  <c r="U405" i="14"/>
  <c r="V405" i="14"/>
  <c r="M405" i="14" s="1"/>
  <c r="C406" i="17" s="1"/>
  <c r="U406" i="14"/>
  <c r="L406" i="14" s="1"/>
  <c r="B407" i="17" s="1"/>
  <c r="V406" i="14"/>
  <c r="U407" i="14"/>
  <c r="L407" i="14" s="1"/>
  <c r="B408" i="17" s="1"/>
  <c r="V407" i="14"/>
  <c r="U408" i="14"/>
  <c r="L408" i="14" s="1"/>
  <c r="B409" i="17" s="1"/>
  <c r="V408" i="14"/>
  <c r="U409" i="14"/>
  <c r="V409" i="14"/>
  <c r="M409" i="14" s="1"/>
  <c r="C410" i="17" s="1"/>
  <c r="U410" i="14"/>
  <c r="L410" i="14" s="1"/>
  <c r="B411" i="17" s="1"/>
  <c r="V410" i="14"/>
  <c r="U411" i="14"/>
  <c r="L411" i="14" s="1"/>
  <c r="B412" i="17" s="1"/>
  <c r="V411" i="14"/>
  <c r="U412" i="14"/>
  <c r="L412" i="14" s="1"/>
  <c r="B413" i="17" s="1"/>
  <c r="V412" i="14"/>
  <c r="U413" i="14"/>
  <c r="V413" i="14"/>
  <c r="U414" i="14"/>
  <c r="L414" i="14" s="1"/>
  <c r="B415" i="17" s="1"/>
  <c r="V414" i="14"/>
  <c r="U415" i="14"/>
  <c r="V415" i="14"/>
  <c r="M415" i="14" s="1"/>
  <c r="C416" i="17" s="1"/>
  <c r="U416" i="14"/>
  <c r="L416" i="14" s="1"/>
  <c r="B417" i="17" s="1"/>
  <c r="V416" i="14"/>
  <c r="U417" i="14"/>
  <c r="V417" i="14"/>
  <c r="M417" i="14" s="1"/>
  <c r="C418" i="17" s="1"/>
  <c r="U418" i="14"/>
  <c r="L418" i="14" s="1"/>
  <c r="B419" i="17" s="1"/>
  <c r="V418" i="14"/>
  <c r="U419" i="14"/>
  <c r="L419" i="14" s="1"/>
  <c r="B420" i="17" s="1"/>
  <c r="V419" i="14"/>
  <c r="M419" i="14" s="1"/>
  <c r="C420" i="17" s="1"/>
  <c r="U420" i="14"/>
  <c r="L420" i="14" s="1"/>
  <c r="B421" i="17" s="1"/>
  <c r="V420" i="14"/>
  <c r="U421" i="14"/>
  <c r="V421" i="14"/>
  <c r="M421" i="14" s="1"/>
  <c r="C422" i="17" s="1"/>
  <c r="U422" i="14"/>
  <c r="L422" i="14" s="1"/>
  <c r="B423" i="17" s="1"/>
  <c r="V422" i="14"/>
  <c r="U423" i="14"/>
  <c r="L423" i="14" s="1"/>
  <c r="B424" i="17" s="1"/>
  <c r="V423" i="14"/>
  <c r="U424" i="14"/>
  <c r="L424" i="14" s="1"/>
  <c r="B425" i="17" s="1"/>
  <c r="V424" i="14"/>
  <c r="U425" i="14"/>
  <c r="V425" i="14"/>
  <c r="M425" i="14" s="1"/>
  <c r="C426" i="17" s="1"/>
  <c r="U426" i="14"/>
  <c r="L426" i="14" s="1"/>
  <c r="B427" i="17" s="1"/>
  <c r="V426" i="14"/>
  <c r="U427" i="14"/>
  <c r="V427" i="14"/>
  <c r="M427" i="14" s="1"/>
  <c r="C428" i="17" s="1"/>
  <c r="U428" i="14"/>
  <c r="L428" i="14" s="1"/>
  <c r="B429" i="17" s="1"/>
  <c r="V428" i="14"/>
  <c r="U429" i="14"/>
  <c r="V429" i="14"/>
  <c r="M429" i="14" s="1"/>
  <c r="C430" i="17" s="1"/>
  <c r="U430" i="14"/>
  <c r="L430" i="14" s="1"/>
  <c r="B431" i="17" s="1"/>
  <c r="V430" i="14"/>
  <c r="U431" i="14"/>
  <c r="L431" i="14" s="1"/>
  <c r="B432" i="17" s="1"/>
  <c r="V431" i="14"/>
  <c r="M431" i="14" s="1"/>
  <c r="C432" i="17" s="1"/>
  <c r="U432" i="14"/>
  <c r="L432" i="14" s="1"/>
  <c r="B433" i="17" s="1"/>
  <c r="V432" i="14"/>
  <c r="U433" i="14"/>
  <c r="V433" i="14"/>
  <c r="M433" i="14" s="1"/>
  <c r="C434" i="17" s="1"/>
  <c r="U434" i="14"/>
  <c r="L434" i="14" s="1"/>
  <c r="B435" i="17" s="1"/>
  <c r="V434" i="14"/>
  <c r="U435" i="14"/>
  <c r="L435" i="14" s="1"/>
  <c r="B436" i="17" s="1"/>
  <c r="V435" i="14"/>
  <c r="M435" i="14" s="1"/>
  <c r="C436" i="17" s="1"/>
  <c r="U436" i="14"/>
  <c r="L436" i="14" s="1"/>
  <c r="B437" i="17" s="1"/>
  <c r="V436" i="14"/>
  <c r="U437" i="14"/>
  <c r="V437" i="14"/>
  <c r="M437" i="14" s="1"/>
  <c r="C438" i="17" s="1"/>
  <c r="U438" i="14"/>
  <c r="L438" i="14" s="1"/>
  <c r="B439" i="17" s="1"/>
  <c r="V438" i="14"/>
  <c r="U439" i="14"/>
  <c r="L439" i="14" s="1"/>
  <c r="V439" i="14"/>
  <c r="M439" i="14" s="1"/>
  <c r="U440" i="14"/>
  <c r="L440" i="14" s="1"/>
  <c r="V440" i="14"/>
  <c r="U441" i="14"/>
  <c r="V441" i="14"/>
  <c r="M441" i="14" s="1"/>
  <c r="U442" i="14"/>
  <c r="L442" i="14" s="1"/>
  <c r="V442" i="14"/>
  <c r="U443" i="14"/>
  <c r="L443" i="14" s="1"/>
  <c r="V443" i="14"/>
  <c r="U444" i="14"/>
  <c r="L444" i="14" s="1"/>
  <c r="V444" i="14"/>
  <c r="U445" i="14"/>
  <c r="V445" i="14"/>
  <c r="M445" i="14" s="1"/>
  <c r="U446" i="14"/>
  <c r="L446" i="14" s="1"/>
  <c r="V446" i="14"/>
  <c r="U447" i="14"/>
  <c r="L447" i="14" s="1"/>
  <c r="V447" i="14"/>
  <c r="M447" i="14" s="1"/>
  <c r="U448" i="14"/>
  <c r="L448" i="14" s="1"/>
  <c r="V448" i="14"/>
  <c r="U449" i="14"/>
  <c r="V449" i="14"/>
  <c r="U450" i="14"/>
  <c r="L450" i="14" s="1"/>
  <c r="V450" i="14"/>
  <c r="U451" i="14"/>
  <c r="L451" i="14" s="1"/>
  <c r="V451" i="14"/>
  <c r="M451" i="14" s="1"/>
  <c r="U452" i="14"/>
  <c r="L452" i="14" s="1"/>
  <c r="V452" i="14"/>
  <c r="U453" i="14"/>
  <c r="V453" i="14"/>
  <c r="M453" i="14" s="1"/>
  <c r="U454" i="14"/>
  <c r="L454" i="14" s="1"/>
  <c r="V454" i="14"/>
  <c r="U455" i="14"/>
  <c r="L455" i="14" s="1"/>
  <c r="V455" i="14"/>
  <c r="U456" i="14"/>
  <c r="L456" i="14" s="1"/>
  <c r="V456" i="14"/>
  <c r="U457" i="14"/>
  <c r="V457" i="14"/>
  <c r="M457" i="14" s="1"/>
  <c r="U458" i="14"/>
  <c r="L458" i="14" s="1"/>
  <c r="V458" i="14"/>
  <c r="U459" i="14"/>
  <c r="L459" i="14" s="1"/>
  <c r="V459" i="14"/>
  <c r="M459" i="14" s="1"/>
  <c r="U460" i="14"/>
  <c r="L460" i="14" s="1"/>
  <c r="V460" i="14"/>
  <c r="U461" i="14"/>
  <c r="V461" i="14"/>
  <c r="M461" i="14" s="1"/>
  <c r="U462" i="14"/>
  <c r="L462" i="14" s="1"/>
  <c r="V462" i="14"/>
  <c r="U463" i="14"/>
  <c r="L463" i="14" s="1"/>
  <c r="V463" i="14"/>
  <c r="M463" i="14" s="1"/>
  <c r="U464" i="14"/>
  <c r="L464" i="14" s="1"/>
  <c r="V464" i="14"/>
  <c r="U465" i="14"/>
  <c r="V465" i="14"/>
  <c r="M465" i="14" s="1"/>
  <c r="U466" i="14"/>
  <c r="L466" i="14" s="1"/>
  <c r="V466" i="14"/>
  <c r="U467" i="14"/>
  <c r="L467" i="14" s="1"/>
  <c r="V467" i="14"/>
  <c r="M467" i="14" s="1"/>
  <c r="U468" i="14"/>
  <c r="L468" i="14" s="1"/>
  <c r="V468" i="14"/>
  <c r="U469" i="14"/>
  <c r="V469" i="14"/>
  <c r="M469" i="14" s="1"/>
  <c r="U470" i="14"/>
  <c r="L470" i="14" s="1"/>
  <c r="V470" i="14"/>
  <c r="U471" i="14"/>
  <c r="L471" i="14" s="1"/>
  <c r="V471" i="14"/>
  <c r="U472" i="14"/>
  <c r="L472" i="14" s="1"/>
  <c r="V472" i="14"/>
  <c r="U473" i="14"/>
  <c r="V473" i="14"/>
  <c r="M473" i="14" s="1"/>
  <c r="U474" i="14"/>
  <c r="L474" i="14" s="1"/>
  <c r="V474" i="14"/>
  <c r="U475" i="14"/>
  <c r="L475" i="14" s="1"/>
  <c r="V475" i="14"/>
  <c r="U476" i="14"/>
  <c r="L476" i="14" s="1"/>
  <c r="V476" i="14"/>
  <c r="U477" i="14"/>
  <c r="V477" i="14"/>
  <c r="M477" i="14" s="1"/>
  <c r="U478" i="14"/>
  <c r="L478" i="14" s="1"/>
  <c r="V478" i="14"/>
  <c r="U479" i="14"/>
  <c r="L479" i="14" s="1"/>
  <c r="V479" i="14"/>
  <c r="M479" i="14" s="1"/>
  <c r="U480" i="14"/>
  <c r="L480" i="14" s="1"/>
  <c r="V480" i="14"/>
  <c r="U481" i="14"/>
  <c r="V481" i="14"/>
  <c r="M481" i="14" s="1"/>
  <c r="U482" i="14"/>
  <c r="L482" i="14" s="1"/>
  <c r="V482" i="14"/>
  <c r="U483" i="14"/>
  <c r="L483" i="14" s="1"/>
  <c r="V483" i="14"/>
  <c r="M483" i="14" s="1"/>
  <c r="U484" i="14"/>
  <c r="L484" i="14" s="1"/>
  <c r="V484" i="14"/>
  <c r="U485" i="14"/>
  <c r="V485" i="14"/>
  <c r="M485" i="14" s="1"/>
  <c r="U486" i="14"/>
  <c r="L486" i="14" s="1"/>
  <c r="V486" i="14"/>
  <c r="U487" i="14"/>
  <c r="L487" i="14" s="1"/>
  <c r="V487" i="14"/>
  <c r="U488" i="14"/>
  <c r="L488" i="14" s="1"/>
  <c r="V488" i="14"/>
  <c r="U489" i="14"/>
  <c r="V489" i="14"/>
  <c r="M489" i="14" s="1"/>
  <c r="U490" i="14"/>
  <c r="L490" i="14" s="1"/>
  <c r="V490" i="14"/>
  <c r="U491" i="14"/>
  <c r="L491" i="14" s="1"/>
  <c r="V491" i="14"/>
  <c r="M491" i="14" s="1"/>
  <c r="U492" i="14"/>
  <c r="L492" i="14" s="1"/>
  <c r="V492" i="14"/>
  <c r="U493" i="14"/>
  <c r="V493" i="14"/>
  <c r="U494" i="14"/>
  <c r="L494" i="14" s="1"/>
  <c r="V494" i="14"/>
  <c r="U495" i="14"/>
  <c r="L495" i="14" s="1"/>
  <c r="V495" i="14"/>
  <c r="M495" i="14" s="1"/>
  <c r="U496" i="14"/>
  <c r="L496" i="14" s="1"/>
  <c r="V496" i="14"/>
  <c r="U497" i="14"/>
  <c r="V497" i="14"/>
  <c r="M497" i="14" s="1"/>
  <c r="U498" i="14"/>
  <c r="L498" i="14" s="1"/>
  <c r="V498" i="14"/>
  <c r="U499" i="14"/>
  <c r="L499" i="14" s="1"/>
  <c r="V499" i="14"/>
  <c r="M499" i="14" s="1"/>
  <c r="U500" i="14"/>
  <c r="L500" i="14" s="1"/>
  <c r="V500" i="14"/>
  <c r="U501" i="14"/>
  <c r="V501" i="14"/>
  <c r="U502" i="14"/>
  <c r="L502" i="14" s="1"/>
  <c r="V502" i="14"/>
  <c r="U503" i="14"/>
  <c r="L503" i="14" s="1"/>
  <c r="V503" i="14"/>
  <c r="M503" i="14" s="1"/>
  <c r="U504" i="14"/>
  <c r="L504" i="14" s="1"/>
  <c r="V504" i="14"/>
  <c r="U505" i="14"/>
  <c r="V505" i="14"/>
  <c r="M505" i="14" s="1"/>
  <c r="U506" i="14"/>
  <c r="L506" i="14" s="1"/>
  <c r="V506" i="14"/>
  <c r="U507" i="14"/>
  <c r="L507" i="14" s="1"/>
  <c r="V507" i="14"/>
  <c r="M507" i="14" s="1"/>
  <c r="U508" i="14"/>
  <c r="L508" i="14" s="1"/>
  <c r="V508" i="14"/>
  <c r="U509" i="14"/>
  <c r="V509" i="14"/>
  <c r="U510" i="14"/>
  <c r="L510" i="14" s="1"/>
  <c r="V510" i="14"/>
  <c r="U511" i="14"/>
  <c r="L511" i="14" s="1"/>
  <c r="V511" i="14"/>
  <c r="M511" i="14" s="1"/>
  <c r="U512" i="14"/>
  <c r="L512" i="14" s="1"/>
  <c r="V512" i="14"/>
  <c r="U513" i="14"/>
  <c r="V513" i="14"/>
  <c r="M513" i="14" s="1"/>
  <c r="U514" i="14"/>
  <c r="L514" i="14" s="1"/>
  <c r="V514" i="14"/>
  <c r="U515" i="14"/>
  <c r="L515" i="14" s="1"/>
  <c r="V515" i="14"/>
  <c r="M515" i="14" s="1"/>
  <c r="U516" i="14"/>
  <c r="L516" i="14" s="1"/>
  <c r="V516" i="14"/>
  <c r="U517" i="14"/>
  <c r="V517" i="14"/>
  <c r="U518" i="14"/>
  <c r="L518" i="14" s="1"/>
  <c r="V518" i="14"/>
  <c r="U519" i="14"/>
  <c r="V519" i="14"/>
  <c r="M519" i="14" s="1"/>
  <c r="U520" i="14"/>
  <c r="L520" i="14" s="1"/>
  <c r="V520" i="14"/>
  <c r="U521" i="14"/>
  <c r="V521" i="14"/>
  <c r="M521" i="14" s="1"/>
  <c r="U522" i="14"/>
  <c r="L522" i="14" s="1"/>
  <c r="V522" i="14"/>
  <c r="U523" i="14"/>
  <c r="L523" i="14" s="1"/>
  <c r="V523" i="14"/>
  <c r="M523" i="14" s="1"/>
  <c r="U524" i="14"/>
  <c r="L524" i="14" s="1"/>
  <c r="V524" i="14"/>
  <c r="U525" i="14"/>
  <c r="V525" i="14"/>
  <c r="M525" i="14" s="1"/>
  <c r="U526" i="14"/>
  <c r="L526" i="14" s="1"/>
  <c r="V526" i="14"/>
  <c r="U527" i="14"/>
  <c r="L527" i="14" s="1"/>
  <c r="V527" i="14"/>
  <c r="M527" i="14" s="1"/>
  <c r="U528" i="14"/>
  <c r="L528" i="14" s="1"/>
  <c r="V528" i="14"/>
  <c r="U529" i="14"/>
  <c r="V529" i="14"/>
  <c r="M529" i="14" s="1"/>
  <c r="U530" i="14"/>
  <c r="L530" i="14" s="1"/>
  <c r="V530" i="14"/>
  <c r="U531" i="14"/>
  <c r="V531" i="14"/>
  <c r="M531" i="14" s="1"/>
  <c r="U532" i="14"/>
  <c r="L532" i="14" s="1"/>
  <c r="V532" i="14"/>
  <c r="U533" i="14"/>
  <c r="V533" i="14"/>
  <c r="M533" i="14" s="1"/>
  <c r="U534" i="14"/>
  <c r="L534" i="14" s="1"/>
  <c r="V534" i="14"/>
  <c r="U535" i="14"/>
  <c r="L535" i="14" s="1"/>
  <c r="V535" i="14"/>
  <c r="U536" i="14"/>
  <c r="L536" i="14" s="1"/>
  <c r="V536" i="14"/>
  <c r="U537" i="14"/>
  <c r="V537" i="14"/>
  <c r="U538" i="14"/>
  <c r="L538" i="14" s="1"/>
  <c r="V538" i="14"/>
  <c r="U539" i="14"/>
  <c r="L539" i="14" s="1"/>
  <c r="V539" i="14"/>
  <c r="U540" i="14"/>
  <c r="L540" i="14" s="1"/>
  <c r="V540" i="14"/>
  <c r="U541" i="14"/>
  <c r="V541" i="14"/>
  <c r="M541" i="14" s="1"/>
  <c r="U542" i="14"/>
  <c r="L542" i="14" s="1"/>
  <c r="V542" i="14"/>
  <c r="U543" i="14"/>
  <c r="L543" i="14" s="1"/>
  <c r="V543" i="14"/>
  <c r="M543" i="14" s="1"/>
  <c r="U544" i="14"/>
  <c r="L544" i="14" s="1"/>
  <c r="V544" i="14"/>
  <c r="U545" i="14"/>
  <c r="V545" i="14"/>
  <c r="M545" i="14" s="1"/>
  <c r="U546" i="14"/>
  <c r="L546" i="14" s="1"/>
  <c r="V546" i="14"/>
  <c r="U547" i="14"/>
  <c r="L547" i="14" s="1"/>
  <c r="V547" i="14"/>
  <c r="M547" i="14" s="1"/>
  <c r="U548" i="14"/>
  <c r="L548" i="14" s="1"/>
  <c r="V548" i="14"/>
  <c r="U549" i="14"/>
  <c r="V549" i="14"/>
  <c r="M549" i="14" s="1"/>
  <c r="U550" i="14"/>
  <c r="L550" i="14" s="1"/>
  <c r="V550" i="14"/>
  <c r="U551" i="14"/>
  <c r="L551" i="14" s="1"/>
  <c r="V551" i="14"/>
  <c r="U552" i="14"/>
  <c r="L552" i="14" s="1"/>
  <c r="V552" i="14"/>
  <c r="U553" i="14"/>
  <c r="V553" i="14"/>
  <c r="M553" i="14" s="1"/>
  <c r="U554" i="14"/>
  <c r="L554" i="14" s="1"/>
  <c r="V554" i="14"/>
  <c r="U555" i="14"/>
  <c r="L555" i="14" s="1"/>
  <c r="V555" i="14"/>
  <c r="M555" i="14" s="1"/>
  <c r="U556" i="14"/>
  <c r="L556" i="14" s="1"/>
  <c r="V556" i="14"/>
  <c r="U557" i="14"/>
  <c r="V557" i="14"/>
  <c r="M557" i="14" s="1"/>
  <c r="U558" i="14"/>
  <c r="L558" i="14" s="1"/>
  <c r="V558" i="14"/>
  <c r="U559" i="14"/>
  <c r="L559" i="14" s="1"/>
  <c r="V559" i="14"/>
  <c r="M559" i="14" s="1"/>
  <c r="U560" i="14"/>
  <c r="L560" i="14" s="1"/>
  <c r="V560" i="14"/>
  <c r="U561" i="14"/>
  <c r="V561" i="14"/>
  <c r="M561" i="14" s="1"/>
  <c r="U562" i="14"/>
  <c r="L562" i="14" s="1"/>
  <c r="V562" i="14"/>
  <c r="U563" i="14"/>
  <c r="L563" i="14" s="1"/>
  <c r="V563" i="14"/>
  <c r="M563" i="14" s="1"/>
  <c r="U564" i="14"/>
  <c r="L564" i="14" s="1"/>
  <c r="V564" i="14"/>
  <c r="U565" i="14"/>
  <c r="V565" i="14"/>
  <c r="M565" i="14" s="1"/>
  <c r="U566" i="14"/>
  <c r="L566" i="14" s="1"/>
  <c r="V566" i="14"/>
  <c r="U567" i="14"/>
  <c r="V567" i="14"/>
  <c r="M567" i="14" s="1"/>
  <c r="U568" i="14"/>
  <c r="L568" i="14" s="1"/>
  <c r="V568" i="14"/>
  <c r="U569" i="14"/>
  <c r="V569" i="14"/>
  <c r="M569" i="14" s="1"/>
  <c r="U570" i="14"/>
  <c r="L570" i="14" s="1"/>
  <c r="V570" i="14"/>
  <c r="U571" i="14"/>
  <c r="L571" i="14" s="1"/>
  <c r="V571" i="14"/>
  <c r="U572" i="14"/>
  <c r="L572" i="14" s="1"/>
  <c r="V572" i="14"/>
  <c r="U573" i="14"/>
  <c r="V573" i="14"/>
  <c r="U574" i="14"/>
  <c r="L574" i="14" s="1"/>
  <c r="V574" i="14"/>
  <c r="U575" i="14"/>
  <c r="L575" i="14" s="1"/>
  <c r="V575" i="14"/>
  <c r="M575" i="14" s="1"/>
  <c r="U576" i="14"/>
  <c r="L576" i="14" s="1"/>
  <c r="V576" i="14"/>
  <c r="U577" i="14"/>
  <c r="V577" i="14"/>
  <c r="M577" i="14" s="1"/>
  <c r="U578" i="14"/>
  <c r="L578" i="14" s="1"/>
  <c r="V578" i="14"/>
  <c r="U579" i="14"/>
  <c r="V579" i="14"/>
  <c r="M579" i="14" s="1"/>
  <c r="U580" i="14"/>
  <c r="L580" i="14" s="1"/>
  <c r="V580" i="14"/>
  <c r="U581" i="14"/>
  <c r="V581" i="14"/>
  <c r="M581" i="14" s="1"/>
  <c r="U582" i="14"/>
  <c r="L582" i="14" s="1"/>
  <c r="V582" i="14"/>
  <c r="U583" i="14"/>
  <c r="L583" i="14" s="1"/>
  <c r="V583" i="14"/>
  <c r="U584" i="14"/>
  <c r="L584" i="14" s="1"/>
  <c r="V584" i="14"/>
  <c r="U585" i="14"/>
  <c r="V585" i="14"/>
  <c r="M585" i="14" s="1"/>
  <c r="U586" i="14"/>
  <c r="L586" i="14" s="1"/>
  <c r="V586" i="14"/>
  <c r="U587" i="14"/>
  <c r="L587" i="14" s="1"/>
  <c r="V587" i="14"/>
  <c r="M587" i="14" s="1"/>
  <c r="U588" i="14"/>
  <c r="L588" i="14" s="1"/>
  <c r="V588" i="14"/>
  <c r="U589" i="14"/>
  <c r="V589" i="14"/>
  <c r="M589" i="14" s="1"/>
  <c r="U590" i="14"/>
  <c r="L590" i="14" s="1"/>
  <c r="V590" i="14"/>
  <c r="U591" i="14"/>
  <c r="V591" i="14"/>
  <c r="M591" i="14" s="1"/>
  <c r="U592" i="14"/>
  <c r="L592" i="14" s="1"/>
  <c r="V592" i="14"/>
  <c r="U593" i="14"/>
  <c r="V593" i="14"/>
  <c r="M593" i="14" s="1"/>
  <c r="U594" i="14"/>
  <c r="L594" i="14" s="1"/>
  <c r="V594" i="14"/>
  <c r="U595" i="14"/>
  <c r="L595" i="14" s="1"/>
  <c r="V595" i="14"/>
  <c r="M595" i="14" s="1"/>
  <c r="U596" i="14"/>
  <c r="L596" i="14" s="1"/>
  <c r="V596" i="14"/>
  <c r="U597" i="14"/>
  <c r="V597" i="14"/>
  <c r="M597" i="14" s="1"/>
  <c r="U598" i="14"/>
  <c r="L598" i="14" s="1"/>
  <c r="V598" i="14"/>
  <c r="U599" i="14"/>
  <c r="L599" i="14" s="1"/>
  <c r="V599" i="14"/>
  <c r="U600" i="14"/>
  <c r="L600" i="14" s="1"/>
  <c r="V600" i="14"/>
  <c r="U601" i="14"/>
  <c r="V601" i="14"/>
  <c r="U602" i="14"/>
  <c r="L602" i="14" s="1"/>
  <c r="V602" i="14"/>
  <c r="U603" i="14"/>
  <c r="V603" i="14"/>
  <c r="U604" i="14"/>
  <c r="L604" i="14" s="1"/>
  <c r="V604" i="14"/>
  <c r="U605" i="14"/>
  <c r="V605" i="14"/>
  <c r="M605" i="14" s="1"/>
  <c r="U606" i="14"/>
  <c r="L606" i="14" s="1"/>
  <c r="V606" i="14"/>
  <c r="U607" i="14"/>
  <c r="L607" i="14" s="1"/>
  <c r="V607" i="14"/>
  <c r="M607" i="14" s="1"/>
  <c r="U608" i="14"/>
  <c r="L608" i="14" s="1"/>
  <c r="V608" i="14"/>
  <c r="U609" i="14"/>
  <c r="V609" i="14"/>
  <c r="M609" i="14" s="1"/>
  <c r="U610" i="14"/>
  <c r="L610" i="14" s="1"/>
  <c r="V610" i="14"/>
  <c r="U611" i="14"/>
  <c r="L611" i="14" s="1"/>
  <c r="V611" i="14"/>
  <c r="M611" i="14" s="1"/>
  <c r="U612" i="14"/>
  <c r="L612" i="14" s="1"/>
  <c r="V612" i="14"/>
  <c r="U613" i="14"/>
  <c r="V613" i="14"/>
  <c r="M613" i="14" s="1"/>
  <c r="U614" i="14"/>
  <c r="L614" i="14" s="1"/>
  <c r="V614" i="14"/>
  <c r="U615" i="14"/>
  <c r="V615" i="14"/>
  <c r="U616" i="14"/>
  <c r="L616" i="14" s="1"/>
  <c r="V616" i="14"/>
  <c r="U617" i="14"/>
  <c r="V617" i="14"/>
  <c r="M617" i="14" s="1"/>
  <c r="U618" i="14"/>
  <c r="L618" i="14" s="1"/>
  <c r="V618" i="14"/>
  <c r="U619" i="14"/>
  <c r="L619" i="14" s="1"/>
  <c r="V619" i="14"/>
  <c r="M619" i="14" s="1"/>
  <c r="U620" i="14"/>
  <c r="L620" i="14" s="1"/>
  <c r="V620" i="14"/>
  <c r="U621" i="14"/>
  <c r="V621" i="14"/>
  <c r="U622" i="14"/>
  <c r="V622" i="14"/>
  <c r="U623" i="14"/>
  <c r="L623" i="14" s="1"/>
  <c r="V623" i="14"/>
  <c r="M623" i="14" s="1"/>
  <c r="U624" i="14"/>
  <c r="L624" i="14" s="1"/>
  <c r="V624" i="14"/>
  <c r="U625" i="14"/>
  <c r="V625" i="14"/>
  <c r="M625" i="14" s="1"/>
  <c r="U626" i="14"/>
  <c r="L626" i="14" s="1"/>
  <c r="V626" i="14"/>
  <c r="U627" i="14"/>
  <c r="L627" i="14" s="1"/>
  <c r="V627" i="14"/>
  <c r="M627" i="14" s="1"/>
  <c r="U628" i="14"/>
  <c r="L628" i="14" s="1"/>
  <c r="V628" i="14"/>
  <c r="U629" i="14"/>
  <c r="V629" i="14"/>
  <c r="M629" i="14" s="1"/>
  <c r="U630" i="14"/>
  <c r="L630" i="14" s="1"/>
  <c r="V630" i="14"/>
  <c r="U631" i="14"/>
  <c r="L631" i="14" s="1"/>
  <c r="V631" i="14"/>
  <c r="M631" i="14" s="1"/>
  <c r="U632" i="14"/>
  <c r="L632" i="14" s="1"/>
  <c r="V632" i="14"/>
  <c r="U633" i="14"/>
  <c r="V633" i="14"/>
  <c r="M633" i="14" s="1"/>
  <c r="U634" i="14"/>
  <c r="L634" i="14" s="1"/>
  <c r="V634" i="14"/>
  <c r="U635" i="14"/>
  <c r="L635" i="14" s="1"/>
  <c r="V635" i="14"/>
  <c r="M635" i="14" s="1"/>
  <c r="U636" i="14"/>
  <c r="L636" i="14" s="1"/>
  <c r="V636" i="14"/>
  <c r="U637" i="14"/>
  <c r="V637" i="14"/>
  <c r="M637" i="14" s="1"/>
  <c r="U638" i="14"/>
  <c r="L638" i="14" s="1"/>
  <c r="V638" i="14"/>
  <c r="U639" i="14"/>
  <c r="V639" i="14"/>
  <c r="M639" i="14" s="1"/>
  <c r="U640" i="14"/>
  <c r="L640" i="14" s="1"/>
  <c r="V640" i="14"/>
  <c r="U641" i="14"/>
  <c r="V641" i="14"/>
  <c r="M641" i="14" s="1"/>
  <c r="U642" i="14"/>
  <c r="L642" i="14" s="1"/>
  <c r="V642" i="14"/>
  <c r="U643" i="14"/>
  <c r="L643" i="14" s="1"/>
  <c r="V643" i="14"/>
  <c r="M643" i="14" s="1"/>
  <c r="U644" i="14"/>
  <c r="L644" i="14" s="1"/>
  <c r="V644" i="14"/>
  <c r="U645" i="14"/>
  <c r="V645" i="14"/>
  <c r="M645" i="14" s="1"/>
  <c r="U646" i="14"/>
  <c r="L646" i="14" s="1"/>
  <c r="V646" i="14"/>
  <c r="U647" i="14"/>
  <c r="L647" i="14" s="1"/>
  <c r="V647" i="14"/>
  <c r="M647" i="14" s="1"/>
  <c r="U648" i="14"/>
  <c r="L648" i="14" s="1"/>
  <c r="V648" i="14"/>
  <c r="U649" i="14"/>
  <c r="V649" i="14"/>
  <c r="M649" i="14" s="1"/>
  <c r="U650" i="14"/>
  <c r="L650" i="14" s="1"/>
  <c r="V650" i="14"/>
  <c r="U651" i="14"/>
  <c r="L651" i="14" s="1"/>
  <c r="V651" i="14"/>
  <c r="M651" i="14" s="1"/>
  <c r="U652" i="14"/>
  <c r="L652" i="14" s="1"/>
  <c r="V652" i="14"/>
  <c r="U653" i="14"/>
  <c r="V653" i="14"/>
  <c r="M653" i="14" s="1"/>
  <c r="U654" i="14"/>
  <c r="V654" i="14"/>
  <c r="U655" i="14"/>
  <c r="L655" i="14" s="1"/>
  <c r="V655" i="14"/>
  <c r="M655" i="14" s="1"/>
  <c r="U656" i="14"/>
  <c r="L656" i="14" s="1"/>
  <c r="V656" i="14"/>
  <c r="U657" i="14"/>
  <c r="V657" i="14"/>
  <c r="M657" i="14" s="1"/>
  <c r="U658" i="14"/>
  <c r="L658" i="14" s="1"/>
  <c r="V658" i="14"/>
  <c r="U659" i="14"/>
  <c r="L659" i="14" s="1"/>
  <c r="V659" i="14"/>
  <c r="M659" i="14" s="1"/>
  <c r="U660" i="14"/>
  <c r="L660" i="14" s="1"/>
  <c r="V660" i="14"/>
  <c r="U661" i="14"/>
  <c r="V661" i="14"/>
  <c r="M661" i="14" s="1"/>
  <c r="U662" i="14"/>
  <c r="L662" i="14" s="1"/>
  <c r="V662" i="14"/>
  <c r="U663" i="14"/>
  <c r="L663" i="14" s="1"/>
  <c r="V663" i="14"/>
  <c r="U664" i="14"/>
  <c r="L664" i="14" s="1"/>
  <c r="V664" i="14"/>
  <c r="U665" i="14"/>
  <c r="V665" i="14"/>
  <c r="U666" i="14"/>
  <c r="L666" i="14" s="1"/>
  <c r="V666" i="14"/>
  <c r="U667" i="14"/>
  <c r="L667" i="14" s="1"/>
  <c r="V667" i="14"/>
  <c r="U668" i="14"/>
  <c r="L668" i="14" s="1"/>
  <c r="V668" i="14"/>
  <c r="U669" i="14"/>
  <c r="V669" i="14"/>
  <c r="M669" i="14" s="1"/>
  <c r="U670" i="14"/>
  <c r="L670" i="14" s="1"/>
  <c r="V670" i="14"/>
  <c r="U671" i="14"/>
  <c r="L671" i="14" s="1"/>
  <c r="V671" i="14"/>
  <c r="M671" i="14" s="1"/>
  <c r="U672" i="14"/>
  <c r="L672" i="14" s="1"/>
  <c r="V672" i="14"/>
  <c r="U673" i="14"/>
  <c r="V673" i="14"/>
  <c r="M673" i="14" s="1"/>
  <c r="U674" i="14"/>
  <c r="L674" i="14" s="1"/>
  <c r="V674" i="14"/>
  <c r="U675" i="14"/>
  <c r="V675" i="14"/>
  <c r="M675" i="14" s="1"/>
  <c r="U676" i="14"/>
  <c r="L676" i="14" s="1"/>
  <c r="V676" i="14"/>
  <c r="U677" i="14"/>
  <c r="V677" i="14"/>
  <c r="M677" i="14" s="1"/>
  <c r="U678" i="14"/>
  <c r="L678" i="14" s="1"/>
  <c r="V678" i="14"/>
  <c r="U679" i="14"/>
  <c r="L679" i="14" s="1"/>
  <c r="V679" i="14"/>
  <c r="U680" i="14"/>
  <c r="L680" i="14" s="1"/>
  <c r="V680" i="14"/>
  <c r="U681" i="14"/>
  <c r="V681" i="14"/>
  <c r="M681" i="14" s="1"/>
  <c r="U682" i="14"/>
  <c r="L682" i="14" s="1"/>
  <c r="V682" i="14"/>
  <c r="U683" i="14"/>
  <c r="L683" i="14" s="1"/>
  <c r="V683" i="14"/>
  <c r="M683" i="14" s="1"/>
  <c r="U684" i="14"/>
  <c r="L684" i="14" s="1"/>
  <c r="V684" i="14"/>
  <c r="U685" i="14"/>
  <c r="V685" i="14"/>
  <c r="M685" i="14" s="1"/>
  <c r="U686" i="14"/>
  <c r="L686" i="14" s="1"/>
  <c r="V686" i="14"/>
  <c r="U687" i="14"/>
  <c r="V687" i="14"/>
  <c r="M687" i="14" s="1"/>
  <c r="U688" i="14"/>
  <c r="L688" i="14" s="1"/>
  <c r="V688" i="14"/>
  <c r="U689" i="14"/>
  <c r="V689" i="14"/>
  <c r="M689" i="14" s="1"/>
  <c r="U690" i="14"/>
  <c r="L690" i="14" s="1"/>
  <c r="V690" i="14"/>
  <c r="U691" i="14"/>
  <c r="L691" i="14" s="1"/>
  <c r="V691" i="14"/>
  <c r="M691" i="14" s="1"/>
  <c r="U692" i="14"/>
  <c r="L692" i="14" s="1"/>
  <c r="V692" i="14"/>
  <c r="U693" i="14"/>
  <c r="V693" i="14"/>
  <c r="U694" i="14"/>
  <c r="L694" i="14" s="1"/>
  <c r="V694" i="14"/>
  <c r="U695" i="14"/>
  <c r="L695" i="14" s="1"/>
  <c r="V695" i="14"/>
  <c r="M695" i="14" s="1"/>
  <c r="U696" i="14"/>
  <c r="L696" i="14" s="1"/>
  <c r="V696" i="14"/>
  <c r="U697" i="14"/>
  <c r="V697" i="14"/>
  <c r="M697" i="14" s="1"/>
  <c r="U698" i="14"/>
  <c r="L698" i="14" s="1"/>
  <c r="V698" i="14"/>
  <c r="U699" i="14"/>
  <c r="L699" i="14" s="1"/>
  <c r="V699" i="14"/>
  <c r="U700" i="14"/>
  <c r="L700" i="14" s="1"/>
  <c r="V700" i="14"/>
  <c r="U701" i="14"/>
  <c r="V701" i="14"/>
  <c r="M701" i="14" s="1"/>
  <c r="U702" i="14"/>
  <c r="L702" i="14" s="1"/>
  <c r="V702" i="14"/>
  <c r="U703" i="14"/>
  <c r="L703" i="14" s="1"/>
  <c r="V703" i="14"/>
  <c r="M703" i="14" s="1"/>
  <c r="U704" i="14"/>
  <c r="L704" i="14" s="1"/>
  <c r="V704" i="14"/>
  <c r="U705" i="14"/>
  <c r="V705" i="14"/>
  <c r="M705" i="14" s="1"/>
  <c r="U706" i="14"/>
  <c r="L706" i="14" s="1"/>
  <c r="V706" i="14"/>
  <c r="U707" i="14"/>
  <c r="L707" i="14" s="1"/>
  <c r="V707" i="14"/>
  <c r="M707" i="14" s="1"/>
  <c r="U708" i="14"/>
  <c r="L708" i="14" s="1"/>
  <c r="V708" i="14"/>
  <c r="U709" i="14"/>
  <c r="V709" i="14"/>
  <c r="M709" i="14" s="1"/>
  <c r="U710" i="14"/>
  <c r="L710" i="14" s="1"/>
  <c r="V710" i="14"/>
  <c r="U711" i="14"/>
  <c r="L711" i="14" s="1"/>
  <c r="V711" i="14"/>
  <c r="U712" i="14"/>
  <c r="L712" i="14" s="1"/>
  <c r="V712" i="14"/>
  <c r="U713" i="14"/>
  <c r="V713" i="14"/>
  <c r="M713" i="14" s="1"/>
  <c r="U714" i="14"/>
  <c r="L714" i="14" s="1"/>
  <c r="V714" i="14"/>
  <c r="U715" i="14"/>
  <c r="L715" i="14" s="1"/>
  <c r="V715" i="14"/>
  <c r="M715" i="14" s="1"/>
  <c r="U716" i="14"/>
  <c r="L716" i="14" s="1"/>
  <c r="V716" i="14"/>
  <c r="U717" i="14"/>
  <c r="V717" i="14"/>
  <c r="M717" i="14" s="1"/>
  <c r="U718" i="14"/>
  <c r="L718" i="14" s="1"/>
  <c r="V718" i="14"/>
  <c r="U719" i="14"/>
  <c r="L719" i="14" s="1"/>
  <c r="V719" i="14"/>
  <c r="M719" i="14" s="1"/>
  <c r="U720" i="14"/>
  <c r="L720" i="14" s="1"/>
  <c r="V720" i="14"/>
  <c r="U721" i="14"/>
  <c r="V721" i="14"/>
  <c r="M721" i="14" s="1"/>
  <c r="U722" i="14"/>
  <c r="L722" i="14" s="1"/>
  <c r="V722" i="14"/>
  <c r="U723" i="14"/>
  <c r="L723" i="14" s="1"/>
  <c r="V723" i="14"/>
  <c r="M723" i="14" s="1"/>
  <c r="U724" i="14"/>
  <c r="L724" i="14" s="1"/>
  <c r="V724" i="14"/>
  <c r="U725" i="14"/>
  <c r="V725" i="14"/>
  <c r="M725" i="14" s="1"/>
  <c r="U726" i="14"/>
  <c r="L726" i="14" s="1"/>
  <c r="V726" i="14"/>
  <c r="U727" i="14"/>
  <c r="L727" i="14" s="1"/>
  <c r="V727" i="14"/>
  <c r="U728" i="14"/>
  <c r="L728" i="14" s="1"/>
  <c r="V728" i="14"/>
  <c r="U729" i="14"/>
  <c r="V729" i="14"/>
  <c r="M729" i="14" s="1"/>
  <c r="U730" i="14"/>
  <c r="L730" i="14" s="1"/>
  <c r="V730" i="14"/>
  <c r="U731" i="14"/>
  <c r="L731" i="14" s="1"/>
  <c r="V731" i="14"/>
  <c r="U732" i="14"/>
  <c r="L732" i="14" s="1"/>
  <c r="V732" i="14"/>
  <c r="U733" i="14"/>
  <c r="V733" i="14"/>
  <c r="M733" i="14" s="1"/>
  <c r="U734" i="14"/>
  <c r="L734" i="14" s="1"/>
  <c r="V734" i="14"/>
  <c r="U735" i="14"/>
  <c r="V735" i="14"/>
  <c r="M735" i="14" s="1"/>
  <c r="U736" i="14"/>
  <c r="L736" i="14" s="1"/>
  <c r="V736" i="14"/>
  <c r="U737" i="14"/>
  <c r="V737" i="14"/>
  <c r="M737" i="14" s="1"/>
  <c r="U738" i="14"/>
  <c r="L738" i="14" s="1"/>
  <c r="V738" i="14"/>
  <c r="U739" i="14"/>
  <c r="L739" i="14" s="1"/>
  <c r="V739" i="14"/>
  <c r="M739" i="14" s="1"/>
  <c r="U740" i="14"/>
  <c r="L740" i="14" s="1"/>
  <c r="V740" i="14"/>
  <c r="U741" i="14"/>
  <c r="V741" i="14"/>
  <c r="M741" i="14" s="1"/>
  <c r="U742" i="14"/>
  <c r="L742" i="14" s="1"/>
  <c r="V742" i="14"/>
  <c r="U743" i="14"/>
  <c r="L743" i="14" s="1"/>
  <c r="V743" i="14"/>
  <c r="U744" i="14"/>
  <c r="L744" i="14" s="1"/>
  <c r="V744" i="14"/>
  <c r="U745" i="14"/>
  <c r="V745" i="14"/>
  <c r="M745" i="14" s="1"/>
  <c r="U746" i="14"/>
  <c r="L746" i="14" s="1"/>
  <c r="V746" i="14"/>
  <c r="U747" i="14"/>
  <c r="V747" i="14"/>
  <c r="M747" i="14" s="1"/>
  <c r="U748" i="14"/>
  <c r="L748" i="14" s="1"/>
  <c r="V748" i="14"/>
  <c r="U749" i="14"/>
  <c r="V749" i="14"/>
  <c r="M749" i="14" s="1"/>
  <c r="U750" i="14"/>
  <c r="L750" i="14" s="1"/>
  <c r="V750" i="14"/>
  <c r="U751" i="14"/>
  <c r="L751" i="14" s="1"/>
  <c r="V751" i="14"/>
  <c r="M751" i="14" s="1"/>
  <c r="U752" i="14"/>
  <c r="L752" i="14" s="1"/>
  <c r="V752" i="14"/>
  <c r="U753" i="14"/>
  <c r="V753" i="14"/>
  <c r="M753" i="14" s="1"/>
  <c r="U754" i="14"/>
  <c r="L754" i="14" s="1"/>
  <c r="V754" i="14"/>
  <c r="U755" i="14"/>
  <c r="L755" i="14" s="1"/>
  <c r="V755" i="14"/>
  <c r="M755" i="14" s="1"/>
  <c r="U756" i="14"/>
  <c r="L756" i="14" s="1"/>
  <c r="V756" i="14"/>
  <c r="U757" i="14"/>
  <c r="V757" i="14"/>
  <c r="M757" i="14" s="1"/>
  <c r="U758" i="14"/>
  <c r="L758" i="14" s="1"/>
  <c r="V758" i="14"/>
  <c r="U759" i="14"/>
  <c r="L759" i="14" s="1"/>
  <c r="V759" i="14"/>
  <c r="M759" i="14" s="1"/>
  <c r="U760" i="14"/>
  <c r="L760" i="14" s="1"/>
  <c r="V760" i="14"/>
  <c r="U761" i="14"/>
  <c r="V761" i="14"/>
  <c r="M761" i="14" s="1"/>
  <c r="U762" i="14"/>
  <c r="L762" i="14" s="1"/>
  <c r="V762" i="14"/>
  <c r="U763" i="14"/>
  <c r="L763" i="14" s="1"/>
  <c r="V763" i="14"/>
  <c r="M763" i="14" s="1"/>
  <c r="U764" i="14"/>
  <c r="L764" i="14" s="1"/>
  <c r="V764" i="14"/>
  <c r="U765" i="14"/>
  <c r="V765" i="14"/>
  <c r="M765" i="14" s="1"/>
  <c r="U766" i="14"/>
  <c r="L766" i="14" s="1"/>
  <c r="V766" i="14"/>
  <c r="U767" i="14"/>
  <c r="L767" i="14" s="1"/>
  <c r="V767" i="14"/>
  <c r="M767" i="14" s="1"/>
  <c r="U768" i="14"/>
  <c r="L768" i="14" s="1"/>
  <c r="V768" i="14"/>
  <c r="U769" i="14"/>
  <c r="V769" i="14"/>
  <c r="M769" i="14" s="1"/>
  <c r="U770" i="14"/>
  <c r="L770" i="14" s="1"/>
  <c r="V770" i="14"/>
  <c r="U771" i="14"/>
  <c r="L771" i="14" s="1"/>
  <c r="V771" i="14"/>
  <c r="M771" i="14" s="1"/>
  <c r="U772" i="14"/>
  <c r="L772" i="14" s="1"/>
  <c r="V772" i="14"/>
  <c r="U773" i="14"/>
  <c r="V773" i="14"/>
  <c r="M773" i="14" s="1"/>
  <c r="U774" i="14"/>
  <c r="L774" i="14" s="1"/>
  <c r="V774" i="14"/>
  <c r="U775" i="14"/>
  <c r="L775" i="14" s="1"/>
  <c r="V775" i="14"/>
  <c r="M775" i="14" s="1"/>
  <c r="U776" i="14"/>
  <c r="L776" i="14" s="1"/>
  <c r="V776" i="14"/>
  <c r="U777" i="14"/>
  <c r="V777" i="14"/>
  <c r="M777" i="14" s="1"/>
  <c r="U778" i="14"/>
  <c r="L778" i="14" s="1"/>
  <c r="V778" i="14"/>
  <c r="U779" i="14"/>
  <c r="V779" i="14"/>
  <c r="M779" i="14" s="1"/>
  <c r="U780" i="14"/>
  <c r="L780" i="14" s="1"/>
  <c r="V780" i="14"/>
  <c r="U781" i="14"/>
  <c r="V781" i="14"/>
  <c r="U782" i="14"/>
  <c r="L782" i="14" s="1"/>
  <c r="V782" i="14"/>
  <c r="U783" i="14"/>
  <c r="L783" i="14" s="1"/>
  <c r="V783" i="14"/>
  <c r="M783" i="14" s="1"/>
  <c r="U784" i="14"/>
  <c r="L784" i="14" s="1"/>
  <c r="V784" i="14"/>
  <c r="U785" i="14"/>
  <c r="V785" i="14"/>
  <c r="M785" i="14" s="1"/>
  <c r="U786" i="14"/>
  <c r="L786" i="14" s="1"/>
  <c r="V786" i="14"/>
  <c r="U787" i="14"/>
  <c r="L787" i="14" s="1"/>
  <c r="V787" i="14"/>
  <c r="U788" i="14"/>
  <c r="L788" i="14" s="1"/>
  <c r="V788" i="14"/>
  <c r="U789" i="14"/>
  <c r="V789" i="14"/>
  <c r="M789" i="14" s="1"/>
  <c r="U790" i="14"/>
  <c r="L790" i="14" s="1"/>
  <c r="V790" i="14"/>
  <c r="U791" i="14"/>
  <c r="V791" i="14"/>
  <c r="M791" i="14" s="1"/>
  <c r="U792" i="14"/>
  <c r="L792" i="14" s="1"/>
  <c r="V792" i="14"/>
  <c r="U793" i="14"/>
  <c r="V793" i="14"/>
  <c r="M793" i="14" s="1"/>
  <c r="U794" i="14"/>
  <c r="L794" i="14" s="1"/>
  <c r="V794" i="14"/>
  <c r="U795" i="14"/>
  <c r="L795" i="14" s="1"/>
  <c r="V795" i="14"/>
  <c r="M795" i="14" s="1"/>
  <c r="U796" i="14"/>
  <c r="L796" i="14" s="1"/>
  <c r="V796" i="14"/>
  <c r="U797" i="14"/>
  <c r="V797" i="14"/>
  <c r="M797" i="14" s="1"/>
  <c r="U798" i="14"/>
  <c r="L798" i="14" s="1"/>
  <c r="V798" i="14"/>
  <c r="U799" i="14"/>
  <c r="L799" i="14" s="1"/>
  <c r="V799" i="14"/>
  <c r="M799" i="14" s="1"/>
  <c r="U800" i="14"/>
  <c r="L800" i="14" s="1"/>
  <c r="V800" i="14"/>
  <c r="U801" i="14"/>
  <c r="V801" i="14"/>
  <c r="M801" i="14" s="1"/>
  <c r="U802" i="14"/>
  <c r="L802" i="14" s="1"/>
  <c r="V802" i="14"/>
  <c r="U803" i="14"/>
  <c r="L803" i="14" s="1"/>
  <c r="V803" i="14"/>
  <c r="U804" i="14"/>
  <c r="L804" i="14" s="1"/>
  <c r="V804" i="14"/>
  <c r="U805" i="14"/>
  <c r="V805" i="14"/>
  <c r="M805" i="14" s="1"/>
  <c r="U806" i="14"/>
  <c r="L806" i="14" s="1"/>
  <c r="V806" i="14"/>
  <c r="U807" i="14"/>
  <c r="L807" i="14" s="1"/>
  <c r="V807" i="14"/>
  <c r="U808" i="14"/>
  <c r="L808" i="14" s="1"/>
  <c r="V808" i="14"/>
  <c r="U809" i="14"/>
  <c r="V809" i="14"/>
  <c r="U810" i="14"/>
  <c r="L810" i="14" s="1"/>
  <c r="V810" i="14"/>
  <c r="U811" i="14"/>
  <c r="L811" i="14" s="1"/>
  <c r="V811" i="14"/>
  <c r="M811" i="14" s="1"/>
  <c r="U812" i="14"/>
  <c r="L812" i="14" s="1"/>
  <c r="V812" i="14"/>
  <c r="U813" i="14"/>
  <c r="V813" i="14"/>
  <c r="M813" i="14" s="1"/>
  <c r="U814" i="14"/>
  <c r="V814" i="14"/>
  <c r="U815" i="14"/>
  <c r="L815" i="14" s="1"/>
  <c r="V815" i="14"/>
  <c r="M815" i="14" s="1"/>
  <c r="U816" i="14"/>
  <c r="L816" i="14" s="1"/>
  <c r="V816" i="14"/>
  <c r="U817" i="14"/>
  <c r="V817" i="14"/>
  <c r="M817" i="14" s="1"/>
  <c r="U818" i="14"/>
  <c r="L818" i="14" s="1"/>
  <c r="V818" i="14"/>
  <c r="U819" i="14"/>
  <c r="L819" i="14" s="1"/>
  <c r="V819" i="14"/>
  <c r="U820" i="14"/>
  <c r="L820" i="14" s="1"/>
  <c r="V820" i="14"/>
  <c r="U821" i="14"/>
  <c r="V821" i="14"/>
  <c r="M821" i="14" s="1"/>
  <c r="U822" i="14"/>
  <c r="L822" i="14" s="1"/>
  <c r="V822" i="14"/>
  <c r="U823" i="14"/>
  <c r="L823" i="14" s="1"/>
  <c r="V823" i="14"/>
  <c r="U824" i="14"/>
  <c r="L824" i="14" s="1"/>
  <c r="V824" i="14"/>
  <c r="U825" i="14"/>
  <c r="V825" i="14"/>
  <c r="M825" i="14" s="1"/>
  <c r="U826" i="14"/>
  <c r="L826" i="14" s="1"/>
  <c r="V826" i="14"/>
  <c r="U827" i="14"/>
  <c r="L827" i="14" s="1"/>
  <c r="V827" i="14"/>
  <c r="U828" i="14"/>
  <c r="L828" i="14" s="1"/>
  <c r="V828" i="14"/>
  <c r="U829" i="14"/>
  <c r="V829" i="14"/>
  <c r="U830" i="14"/>
  <c r="L830" i="14" s="1"/>
  <c r="V830" i="14"/>
  <c r="U831" i="14"/>
  <c r="V831" i="14"/>
  <c r="M831" i="14" s="1"/>
  <c r="U832" i="14"/>
  <c r="L832" i="14" s="1"/>
  <c r="V832" i="14"/>
  <c r="U833" i="14"/>
  <c r="V833" i="14"/>
  <c r="M833" i="14" s="1"/>
  <c r="U834" i="14"/>
  <c r="L834" i="14" s="1"/>
  <c r="V834" i="14"/>
  <c r="U835" i="14"/>
  <c r="L835" i="14" s="1"/>
  <c r="V835" i="14"/>
  <c r="M835" i="14" s="1"/>
  <c r="U836" i="14"/>
  <c r="L836" i="14" s="1"/>
  <c r="V836" i="14"/>
  <c r="U837" i="14"/>
  <c r="V837" i="14"/>
  <c r="M837" i="14" s="1"/>
  <c r="U838" i="14"/>
  <c r="L838" i="14" s="1"/>
  <c r="V838" i="14"/>
  <c r="U839" i="14"/>
  <c r="L839" i="14" s="1"/>
  <c r="V839" i="14"/>
  <c r="U840" i="14"/>
  <c r="L840" i="14" s="1"/>
  <c r="V840" i="14"/>
  <c r="U841" i="14"/>
  <c r="V841" i="14"/>
  <c r="M841" i="14" s="1"/>
  <c r="U842" i="14"/>
  <c r="L842" i="14" s="1"/>
  <c r="V842" i="14"/>
  <c r="U843" i="14"/>
  <c r="V843" i="14"/>
  <c r="M843" i="14" s="1"/>
  <c r="U844" i="14"/>
  <c r="L844" i="14" s="1"/>
  <c r="V844" i="14"/>
  <c r="U845" i="14"/>
  <c r="V845" i="14"/>
  <c r="M845" i="14" s="1"/>
  <c r="U846" i="14"/>
  <c r="L846" i="14" s="1"/>
  <c r="V846" i="14"/>
  <c r="U847" i="14"/>
  <c r="L847" i="14" s="1"/>
  <c r="V847" i="14"/>
  <c r="M847" i="14" s="1"/>
  <c r="U848" i="14"/>
  <c r="L848" i="14" s="1"/>
  <c r="V848" i="14"/>
  <c r="U849" i="14"/>
  <c r="V849" i="14"/>
  <c r="M849" i="14" s="1"/>
  <c r="U850" i="14"/>
  <c r="L850" i="14" s="1"/>
  <c r="V850" i="14"/>
  <c r="U851" i="14"/>
  <c r="L851" i="14" s="1"/>
  <c r="V851" i="14"/>
  <c r="U852" i="14"/>
  <c r="L852" i="14" s="1"/>
  <c r="V852" i="14"/>
  <c r="U853" i="14"/>
  <c r="V853" i="14"/>
  <c r="M853" i="14" s="1"/>
  <c r="U854" i="14"/>
  <c r="V854" i="14"/>
  <c r="U855" i="14"/>
  <c r="L855" i="14" s="1"/>
  <c r="V855" i="14"/>
  <c r="M855" i="14" s="1"/>
  <c r="U856" i="14"/>
  <c r="L856" i="14" s="1"/>
  <c r="V856" i="14"/>
  <c r="U857" i="14"/>
  <c r="V857" i="14"/>
  <c r="M857" i="14" s="1"/>
  <c r="U858" i="14"/>
  <c r="L858" i="14" s="1"/>
  <c r="V858" i="14"/>
  <c r="U859" i="14"/>
  <c r="L859" i="14" s="1"/>
  <c r="V859" i="14"/>
  <c r="U860" i="14"/>
  <c r="L860" i="14" s="1"/>
  <c r="V860" i="14"/>
  <c r="U861" i="14"/>
  <c r="V861" i="14"/>
  <c r="M861" i="14" s="1"/>
  <c r="U862" i="14"/>
  <c r="L862" i="14" s="1"/>
  <c r="V862" i="14"/>
  <c r="U863" i="14"/>
  <c r="L863" i="14" s="1"/>
  <c r="V863" i="14"/>
  <c r="M863" i="14" s="1"/>
  <c r="U864" i="14"/>
  <c r="L864" i="14" s="1"/>
  <c r="V864" i="14"/>
  <c r="U865" i="14"/>
  <c r="V865" i="14"/>
  <c r="M865" i="14" s="1"/>
  <c r="U866" i="14"/>
  <c r="L866" i="14" s="1"/>
  <c r="V866" i="14"/>
  <c r="U867" i="14"/>
  <c r="L867" i="14" s="1"/>
  <c r="V867" i="14"/>
  <c r="M867" i="14" s="1"/>
  <c r="U868" i="14"/>
  <c r="L868" i="14" s="1"/>
  <c r="V868" i="14"/>
  <c r="U869" i="14"/>
  <c r="V869" i="14"/>
  <c r="M869" i="14" s="1"/>
  <c r="U870" i="14"/>
  <c r="L870" i="14" s="1"/>
  <c r="V870" i="14"/>
  <c r="U871" i="14"/>
  <c r="L871" i="14" s="1"/>
  <c r="V871" i="14"/>
  <c r="U872" i="14"/>
  <c r="L872" i="14" s="1"/>
  <c r="V872" i="14"/>
  <c r="U873" i="14"/>
  <c r="V873" i="14"/>
  <c r="M873" i="14" s="1"/>
  <c r="U874" i="14"/>
  <c r="L874" i="14" s="1"/>
  <c r="V874" i="14"/>
  <c r="U875" i="14"/>
  <c r="L875" i="14" s="1"/>
  <c r="V875" i="14"/>
  <c r="U876" i="14"/>
  <c r="L876" i="14" s="1"/>
  <c r="V876" i="14"/>
  <c r="U877" i="14"/>
  <c r="V877" i="14"/>
  <c r="U878" i="14"/>
  <c r="V878" i="14"/>
  <c r="U879" i="14"/>
  <c r="L879" i="14" s="1"/>
  <c r="V879" i="14"/>
  <c r="M879" i="14" s="1"/>
  <c r="U880" i="14"/>
  <c r="L880" i="14" s="1"/>
  <c r="V880" i="14"/>
  <c r="U881" i="14"/>
  <c r="V881" i="14"/>
  <c r="M881" i="14" s="1"/>
  <c r="U882" i="14"/>
  <c r="L882" i="14" s="1"/>
  <c r="V882" i="14"/>
  <c r="U883" i="14"/>
  <c r="L883" i="14" s="1"/>
  <c r="V883" i="14"/>
  <c r="U884" i="14"/>
  <c r="L884" i="14" s="1"/>
  <c r="V884" i="14"/>
  <c r="U885" i="14"/>
  <c r="V885" i="14"/>
  <c r="M885" i="14" s="1"/>
  <c r="U886" i="14"/>
  <c r="L886" i="14" s="1"/>
  <c r="V886" i="14"/>
  <c r="U887" i="14"/>
  <c r="L887" i="14" s="1"/>
  <c r="V887" i="14"/>
  <c r="M887" i="14" s="1"/>
  <c r="U888" i="14"/>
  <c r="L888" i="14" s="1"/>
  <c r="V888" i="14"/>
  <c r="U889" i="14"/>
  <c r="V889" i="14"/>
  <c r="M889" i="14" s="1"/>
  <c r="U890" i="14"/>
  <c r="L890" i="14" s="1"/>
  <c r="V890" i="14"/>
  <c r="U891" i="14"/>
  <c r="L891" i="14" s="1"/>
  <c r="V891" i="14"/>
  <c r="M891" i="14" s="1"/>
  <c r="U892" i="14"/>
  <c r="L892" i="14" s="1"/>
  <c r="V892" i="14"/>
  <c r="U893" i="14"/>
  <c r="V893" i="14"/>
  <c r="M893" i="14" s="1"/>
  <c r="U894" i="14"/>
  <c r="L894" i="14" s="1"/>
  <c r="V894" i="14"/>
  <c r="U895" i="14"/>
  <c r="V895" i="14"/>
  <c r="M895" i="14" s="1"/>
  <c r="U896" i="14"/>
  <c r="L896" i="14" s="1"/>
  <c r="V896" i="14"/>
  <c r="U897" i="14"/>
  <c r="V897" i="14"/>
  <c r="U898" i="14"/>
  <c r="L898" i="14" s="1"/>
  <c r="V898" i="14"/>
  <c r="U899" i="14"/>
  <c r="L899" i="14" s="1"/>
  <c r="V899" i="14"/>
  <c r="U900" i="14"/>
  <c r="L900" i="14" s="1"/>
  <c r="V900" i="14"/>
  <c r="U901" i="14"/>
  <c r="V901" i="14"/>
  <c r="M901" i="14" s="1"/>
  <c r="U902" i="14"/>
  <c r="L902" i="14" s="1"/>
  <c r="V902" i="14"/>
  <c r="U903" i="14"/>
  <c r="L903" i="14" s="1"/>
  <c r="V903" i="14"/>
  <c r="M903" i="14" s="1"/>
  <c r="U904" i="14"/>
  <c r="L904" i="14" s="1"/>
  <c r="V904" i="14"/>
  <c r="U905" i="14"/>
  <c r="V905" i="14"/>
  <c r="M905" i="14" s="1"/>
  <c r="U906" i="14"/>
  <c r="L906" i="14" s="1"/>
  <c r="V906" i="14"/>
  <c r="U907" i="14"/>
  <c r="L907" i="14" s="1"/>
  <c r="V907" i="14"/>
  <c r="U908" i="14"/>
  <c r="L908" i="14" s="1"/>
  <c r="V908" i="14"/>
  <c r="U909" i="14"/>
  <c r="V909" i="14"/>
  <c r="M909" i="14" s="1"/>
  <c r="U910" i="14"/>
  <c r="L910" i="14" s="1"/>
  <c r="V910" i="14"/>
  <c r="U911" i="14"/>
  <c r="L911" i="14" s="1"/>
  <c r="V911" i="14"/>
  <c r="M911" i="14" s="1"/>
  <c r="U912" i="14"/>
  <c r="L912" i="14" s="1"/>
  <c r="V912" i="14"/>
  <c r="U913" i="14"/>
  <c r="V913" i="14"/>
  <c r="M913" i="14" s="1"/>
  <c r="U914" i="14"/>
  <c r="L914" i="14" s="1"/>
  <c r="V914" i="14"/>
  <c r="U915" i="14"/>
  <c r="L915" i="14" s="1"/>
  <c r="V915" i="14"/>
  <c r="U916" i="14"/>
  <c r="L916" i="14" s="1"/>
  <c r="V916" i="14"/>
  <c r="U917" i="14"/>
  <c r="V917" i="14"/>
  <c r="U918" i="14"/>
  <c r="L918" i="14" s="1"/>
  <c r="V918" i="14"/>
  <c r="U919" i="14"/>
  <c r="L919" i="14" s="1"/>
  <c r="V919" i="14"/>
  <c r="M919" i="14" s="1"/>
  <c r="U920" i="14"/>
  <c r="L920" i="14" s="1"/>
  <c r="V920" i="14"/>
  <c r="U921" i="14"/>
  <c r="V921" i="14"/>
  <c r="M921" i="14" s="1"/>
  <c r="U922" i="14"/>
  <c r="L922" i="14" s="1"/>
  <c r="V922" i="14"/>
  <c r="U923" i="14"/>
  <c r="L923" i="14" s="1"/>
  <c r="V923" i="14"/>
  <c r="U924" i="14"/>
  <c r="L924" i="14" s="1"/>
  <c r="V924" i="14"/>
  <c r="U925" i="14"/>
  <c r="V925" i="14"/>
  <c r="M925" i="14" s="1"/>
  <c r="U926" i="14"/>
  <c r="L926" i="14" s="1"/>
  <c r="V926" i="14"/>
  <c r="U927" i="14"/>
  <c r="L927" i="14" s="1"/>
  <c r="V927" i="14"/>
  <c r="U928" i="14"/>
  <c r="L928" i="14" s="1"/>
  <c r="V928" i="14"/>
  <c r="U929" i="14"/>
  <c r="V929" i="14"/>
  <c r="M929" i="14" s="1"/>
  <c r="U930" i="14"/>
  <c r="L930" i="14" s="1"/>
  <c r="V930" i="14"/>
  <c r="U931" i="14"/>
  <c r="L931" i="14" s="1"/>
  <c r="V931" i="14"/>
  <c r="M931" i="14" s="1"/>
  <c r="U932" i="14"/>
  <c r="L932" i="14" s="1"/>
  <c r="V932" i="14"/>
  <c r="U933" i="14"/>
  <c r="V933" i="14"/>
  <c r="M933" i="14" s="1"/>
  <c r="U934" i="14"/>
  <c r="L934" i="14" s="1"/>
  <c r="V934" i="14"/>
  <c r="U935" i="14"/>
  <c r="V935" i="14"/>
  <c r="M935" i="14" s="1"/>
  <c r="U936" i="14"/>
  <c r="L936" i="14" s="1"/>
  <c r="V936" i="14"/>
  <c r="U937" i="14"/>
  <c r="V937" i="14"/>
  <c r="M937" i="14" s="1"/>
  <c r="U938" i="14"/>
  <c r="L938" i="14" s="1"/>
  <c r="V938" i="14"/>
  <c r="U939" i="14"/>
  <c r="L939" i="14" s="1"/>
  <c r="V939" i="14"/>
  <c r="U940" i="14"/>
  <c r="L940" i="14" s="1"/>
  <c r="V940" i="14"/>
  <c r="U941" i="14"/>
  <c r="V941" i="14"/>
  <c r="M941" i="14" s="1"/>
  <c r="U942" i="14"/>
  <c r="L942" i="14" s="1"/>
  <c r="V942" i="14"/>
  <c r="U943" i="14"/>
  <c r="L943" i="14" s="1"/>
  <c r="V943" i="14"/>
  <c r="M943" i="14" s="1"/>
  <c r="U944" i="14"/>
  <c r="L944" i="14" s="1"/>
  <c r="V944" i="14"/>
  <c r="U945" i="14"/>
  <c r="V945" i="14"/>
  <c r="U946" i="14"/>
  <c r="L946" i="14" s="1"/>
  <c r="V946" i="14"/>
  <c r="U947" i="14"/>
  <c r="L947" i="14" s="1"/>
  <c r="V947" i="14"/>
  <c r="U948" i="14"/>
  <c r="L948" i="14" s="1"/>
  <c r="V948" i="14"/>
  <c r="U949" i="14"/>
  <c r="V949" i="14"/>
  <c r="M949" i="14" s="1"/>
  <c r="U950" i="14"/>
  <c r="L950" i="14" s="1"/>
  <c r="V950" i="14"/>
  <c r="U951" i="14"/>
  <c r="L951" i="14" s="1"/>
  <c r="V951" i="14"/>
  <c r="M951" i="14" s="1"/>
  <c r="U952" i="14"/>
  <c r="L952" i="14" s="1"/>
  <c r="V952" i="14"/>
  <c r="U953" i="14"/>
  <c r="V953" i="14"/>
  <c r="M953" i="14" s="1"/>
  <c r="U954" i="14"/>
  <c r="L954" i="14" s="1"/>
  <c r="V954" i="14"/>
  <c r="U955" i="14"/>
  <c r="L955" i="14" s="1"/>
  <c r="V955" i="14"/>
  <c r="U956" i="14"/>
  <c r="L956" i="14" s="1"/>
  <c r="V956" i="14"/>
  <c r="U957" i="14"/>
  <c r="V957" i="14"/>
  <c r="M957" i="14" s="1"/>
  <c r="U958" i="14"/>
  <c r="L958" i="14" s="1"/>
  <c r="V958" i="14"/>
  <c r="U959" i="14"/>
  <c r="L959" i="14" s="1"/>
  <c r="V959" i="14"/>
  <c r="U960" i="14"/>
  <c r="L960" i="14" s="1"/>
  <c r="V960" i="14"/>
  <c r="U961" i="14"/>
  <c r="V961" i="14"/>
  <c r="M961" i="14" s="1"/>
  <c r="U962" i="14"/>
  <c r="L962" i="14" s="1"/>
  <c r="V962" i="14"/>
  <c r="U963" i="14"/>
  <c r="L963" i="14" s="1"/>
  <c r="V963" i="14"/>
  <c r="U964" i="14"/>
  <c r="L964" i="14" s="1"/>
  <c r="V964" i="14"/>
  <c r="U965" i="14"/>
  <c r="V965" i="14"/>
  <c r="M965" i="14" s="1"/>
  <c r="U966" i="14"/>
  <c r="L966" i="14" s="1"/>
  <c r="V966" i="14"/>
  <c r="U967" i="14"/>
  <c r="L967" i="14" s="1"/>
  <c r="V967" i="14"/>
  <c r="U968" i="14"/>
  <c r="L968" i="14" s="1"/>
  <c r="V968" i="14"/>
  <c r="U969" i="14"/>
  <c r="V969" i="14"/>
  <c r="M969" i="14" s="1"/>
  <c r="U970" i="14"/>
  <c r="L970" i="14" s="1"/>
  <c r="V970" i="14"/>
  <c r="U971" i="14"/>
  <c r="L971" i="14" s="1"/>
  <c r="V971" i="14"/>
  <c r="U972" i="14"/>
  <c r="L972" i="14" s="1"/>
  <c r="V972" i="14"/>
  <c r="U973" i="14"/>
  <c r="V973" i="14"/>
  <c r="M973" i="14" s="1"/>
  <c r="U974" i="14"/>
  <c r="L974" i="14" s="1"/>
  <c r="V974" i="14"/>
  <c r="U975" i="14"/>
  <c r="L975" i="14" s="1"/>
  <c r="V975" i="14"/>
  <c r="U976" i="14"/>
  <c r="L976" i="14" s="1"/>
  <c r="V976" i="14"/>
  <c r="U977" i="14"/>
  <c r="V977" i="14"/>
  <c r="U978" i="14"/>
  <c r="L978" i="14" s="1"/>
  <c r="V978" i="14"/>
  <c r="U979" i="14"/>
  <c r="L979" i="14" s="1"/>
  <c r="V979" i="14"/>
  <c r="U980" i="14"/>
  <c r="L980" i="14" s="1"/>
  <c r="V980" i="14"/>
  <c r="U981" i="14"/>
  <c r="V981" i="14"/>
  <c r="M981" i="14" s="1"/>
  <c r="U982" i="14"/>
  <c r="L982" i="14" s="1"/>
  <c r="V982" i="14"/>
  <c r="U983" i="14"/>
  <c r="L983" i="14" s="1"/>
  <c r="V983" i="14"/>
  <c r="M983" i="14" s="1"/>
  <c r="U984" i="14"/>
  <c r="V984" i="14"/>
  <c r="U985" i="14"/>
  <c r="V985" i="14"/>
  <c r="M985" i="14" s="1"/>
  <c r="U986" i="14"/>
  <c r="L986" i="14" s="1"/>
  <c r="V986" i="14"/>
  <c r="U987" i="14"/>
  <c r="L987" i="14" s="1"/>
  <c r="V987" i="14"/>
  <c r="U988" i="14"/>
  <c r="L988" i="14" s="1"/>
  <c r="V988" i="14"/>
  <c r="U989" i="14"/>
  <c r="V989" i="14"/>
  <c r="U990" i="14"/>
  <c r="L990" i="14" s="1"/>
  <c r="V990" i="14"/>
  <c r="U991" i="14"/>
  <c r="L991" i="14" s="1"/>
  <c r="V991" i="14"/>
  <c r="U992" i="14"/>
  <c r="L992" i="14" s="1"/>
  <c r="V992" i="14"/>
  <c r="U993" i="14"/>
  <c r="V993" i="14"/>
  <c r="M993" i="14" s="1"/>
  <c r="U994" i="14"/>
  <c r="L994" i="14" s="1"/>
  <c r="V994" i="14"/>
  <c r="U995" i="14"/>
  <c r="L995" i="14" s="1"/>
  <c r="V995" i="14"/>
  <c r="M995" i="14" s="1"/>
  <c r="U996" i="14"/>
  <c r="L996" i="14" s="1"/>
  <c r="V996" i="14"/>
  <c r="U997" i="14"/>
  <c r="V997" i="14"/>
  <c r="M997" i="14" s="1"/>
  <c r="U998" i="14"/>
  <c r="L998" i="14" s="1"/>
  <c r="V998" i="14"/>
  <c r="U999" i="14"/>
  <c r="V999" i="14"/>
  <c r="U1000" i="14"/>
  <c r="L1000" i="14" s="1"/>
  <c r="V1000" i="14"/>
  <c r="U1001" i="14"/>
  <c r="V1001" i="14"/>
  <c r="U1002" i="14"/>
  <c r="L1002" i="14" s="1"/>
  <c r="V1002" i="14"/>
  <c r="U1003" i="14"/>
  <c r="L1003" i="14" s="1"/>
  <c r="V1003" i="14"/>
  <c r="U1004" i="14"/>
  <c r="L1004" i="14" s="1"/>
  <c r="V1004" i="14"/>
  <c r="U1005" i="14"/>
  <c r="V1005" i="14"/>
  <c r="M1005" i="14" s="1"/>
  <c r="U1006" i="14"/>
  <c r="L1006" i="14" s="1"/>
  <c r="V1006" i="14"/>
  <c r="U1007" i="14"/>
  <c r="L1007" i="14" s="1"/>
  <c r="V1007" i="14"/>
  <c r="M1007" i="14" s="1"/>
  <c r="U1008" i="14"/>
  <c r="L1008" i="14" s="1"/>
  <c r="V1008" i="14"/>
  <c r="U1009" i="14"/>
  <c r="V1009" i="14"/>
  <c r="M1009" i="14" s="1"/>
  <c r="U1010" i="14"/>
  <c r="L1010" i="14" s="1"/>
  <c r="V1010" i="14"/>
  <c r="U1011" i="14"/>
  <c r="L1011" i="14" s="1"/>
  <c r="V1011" i="14"/>
  <c r="U1012" i="14"/>
  <c r="L1012" i="14" s="1"/>
  <c r="V1012" i="14"/>
  <c r="U1013" i="14"/>
  <c r="V1013" i="14"/>
  <c r="M1013" i="14" s="1"/>
  <c r="U1014" i="14"/>
  <c r="L1014" i="14" s="1"/>
  <c r="V1014" i="14"/>
  <c r="U1015" i="14"/>
  <c r="V1015" i="14"/>
  <c r="U1016" i="14"/>
  <c r="V1016" i="14"/>
  <c r="U1017" i="14"/>
  <c r="V1017" i="14"/>
  <c r="M1017" i="14" s="1"/>
  <c r="U1018" i="14"/>
  <c r="L1018" i="14" s="1"/>
  <c r="V1018" i="14"/>
  <c r="U1019" i="14"/>
  <c r="L1019" i="14" s="1"/>
  <c r="V1019" i="14"/>
  <c r="U1020" i="14"/>
  <c r="L1020" i="14" s="1"/>
  <c r="V1020" i="14"/>
  <c r="U1021" i="14"/>
  <c r="V1021" i="14"/>
  <c r="M1021" i="14" s="1"/>
  <c r="U1022" i="14"/>
  <c r="L1022" i="14" s="1"/>
  <c r="V1022" i="14"/>
  <c r="U1023" i="14"/>
  <c r="L1023" i="14" s="1"/>
  <c r="V1023" i="14"/>
  <c r="U1024" i="14"/>
  <c r="L1024" i="14" s="1"/>
  <c r="V1024" i="14"/>
  <c r="U1025" i="14"/>
  <c r="V1025" i="14"/>
  <c r="U1026" i="14"/>
  <c r="L1026" i="14" s="1"/>
  <c r="V1026" i="14"/>
  <c r="U1027" i="14"/>
  <c r="L1027" i="14" s="1"/>
  <c r="V1027" i="14"/>
  <c r="U1028" i="14"/>
  <c r="L1028" i="14" s="1"/>
  <c r="V1028" i="14"/>
  <c r="U1029" i="14"/>
  <c r="V1029" i="14"/>
  <c r="M1029" i="14" s="1"/>
  <c r="U1030" i="14"/>
  <c r="L1030" i="14" s="1"/>
  <c r="V1030" i="14"/>
  <c r="U1031" i="14"/>
  <c r="L1031" i="14" s="1"/>
  <c r="V1031" i="14"/>
  <c r="M1031" i="14" s="1"/>
  <c r="U1032" i="14"/>
  <c r="L1032" i="14" s="1"/>
  <c r="V1032" i="14"/>
  <c r="U1033" i="14"/>
  <c r="V1033" i="14"/>
  <c r="M1033" i="14" s="1"/>
  <c r="U1034" i="14"/>
  <c r="L1034" i="14" s="1"/>
  <c r="V1034" i="14"/>
  <c r="U1035" i="14"/>
  <c r="L1035" i="14" s="1"/>
  <c r="V1035" i="14"/>
  <c r="U1036" i="14"/>
  <c r="L1036" i="14" s="1"/>
  <c r="V1036" i="14"/>
  <c r="U1037" i="14"/>
  <c r="V1037" i="14"/>
  <c r="M1037" i="14" s="1"/>
  <c r="U1038" i="14"/>
  <c r="L1038" i="14" s="1"/>
  <c r="V1038" i="14"/>
  <c r="U1039" i="14"/>
  <c r="L1039" i="14" s="1"/>
  <c r="V1039" i="14"/>
  <c r="U1040" i="14"/>
  <c r="L1040" i="14" s="1"/>
  <c r="V1040" i="14"/>
  <c r="U1041" i="14"/>
  <c r="V1041" i="14"/>
  <c r="M1041" i="14" s="1"/>
  <c r="U1042" i="14"/>
  <c r="L1042" i="14" s="1"/>
  <c r="V1042" i="14"/>
  <c r="U1043" i="14"/>
  <c r="L1043" i="14" s="1"/>
  <c r="V1043" i="14"/>
  <c r="U1044" i="14"/>
  <c r="L1044" i="14" s="1"/>
  <c r="V1044" i="14"/>
  <c r="U1045" i="14"/>
  <c r="V1045" i="14"/>
  <c r="M1045" i="14" s="1"/>
  <c r="U1046" i="14"/>
  <c r="L1046" i="14" s="1"/>
  <c r="V1046" i="14"/>
  <c r="U1047" i="14"/>
  <c r="L1047" i="14" s="1"/>
  <c r="V1047" i="14"/>
  <c r="U1048" i="14"/>
  <c r="L1048" i="14" s="1"/>
  <c r="V1048" i="14"/>
  <c r="U1049" i="14"/>
  <c r="V1049" i="14"/>
  <c r="M1049" i="14" s="1"/>
  <c r="U1050" i="14"/>
  <c r="L1050" i="14" s="1"/>
  <c r="V1050" i="14"/>
  <c r="U1051" i="14"/>
  <c r="V1051" i="14"/>
  <c r="U1052" i="14"/>
  <c r="L1052" i="14" s="1"/>
  <c r="V1052" i="14"/>
  <c r="U1053" i="14"/>
  <c r="V1053" i="14"/>
  <c r="M1053" i="14" s="1"/>
  <c r="U1054" i="14"/>
  <c r="L1054" i="14" s="1"/>
  <c r="V1054" i="14"/>
  <c r="U1055" i="14"/>
  <c r="L1055" i="14" s="1"/>
  <c r="V1055" i="14"/>
  <c r="U1056" i="14"/>
  <c r="L1056" i="14" s="1"/>
  <c r="V1056" i="14"/>
  <c r="U1057" i="14"/>
  <c r="V1057" i="14"/>
  <c r="M1057" i="14" s="1"/>
  <c r="U1058" i="14"/>
  <c r="L1058" i="14" s="1"/>
  <c r="V1058" i="14"/>
  <c r="U1059" i="14"/>
  <c r="L1059" i="14" s="1"/>
  <c r="V1059" i="14"/>
  <c r="U1060" i="14"/>
  <c r="L1060" i="14" s="1"/>
  <c r="V1060" i="14"/>
  <c r="U1061" i="14"/>
  <c r="V1061" i="14"/>
  <c r="M1061" i="14" s="1"/>
  <c r="U1062" i="14"/>
  <c r="L1062" i="14" s="1"/>
  <c r="V1062" i="14"/>
  <c r="U1063" i="14"/>
  <c r="L1063" i="14" s="1"/>
  <c r="V1063" i="14"/>
  <c r="U1064" i="14"/>
  <c r="L1064" i="14" s="1"/>
  <c r="V1064" i="14"/>
  <c r="U1065" i="14"/>
  <c r="V1065" i="14"/>
  <c r="M1065" i="14" s="1"/>
  <c r="U1066" i="14"/>
  <c r="L1066" i="14" s="1"/>
  <c r="V1066" i="14"/>
  <c r="U1067" i="14"/>
  <c r="V1067" i="14"/>
  <c r="U1068" i="14"/>
  <c r="L1068" i="14" s="1"/>
  <c r="V1068" i="14"/>
  <c r="U1069" i="14"/>
  <c r="V1069" i="14"/>
  <c r="M1069" i="14" s="1"/>
  <c r="U1070" i="14"/>
  <c r="L1070" i="14" s="1"/>
  <c r="V1070" i="14"/>
  <c r="U1071" i="14"/>
  <c r="L1071" i="14" s="1"/>
  <c r="V1071" i="14"/>
  <c r="U1072" i="14"/>
  <c r="L1072" i="14" s="1"/>
  <c r="V1072" i="14"/>
  <c r="U1073" i="14"/>
  <c r="V1073" i="14"/>
  <c r="M1073" i="14" s="1"/>
  <c r="U1074" i="14"/>
  <c r="L1074" i="14" s="1"/>
  <c r="V1074" i="14"/>
  <c r="U1075" i="14"/>
  <c r="L1075" i="14" s="1"/>
  <c r="V1075" i="14"/>
  <c r="U1076" i="14"/>
  <c r="L1076" i="14" s="1"/>
  <c r="V1076" i="14"/>
  <c r="U1077" i="14"/>
  <c r="V1077" i="14"/>
  <c r="M1077" i="14" s="1"/>
  <c r="U1078" i="14"/>
  <c r="L1078" i="14" s="1"/>
  <c r="V1078" i="14"/>
  <c r="U1079" i="14"/>
  <c r="L1079" i="14" s="1"/>
  <c r="V1079" i="14"/>
  <c r="U1080" i="14"/>
  <c r="L1080" i="14" s="1"/>
  <c r="V1080" i="14"/>
  <c r="U1081" i="14"/>
  <c r="V1081" i="14"/>
  <c r="U1082" i="14"/>
  <c r="L1082" i="14" s="1"/>
  <c r="V1082" i="14"/>
  <c r="U1083" i="14"/>
  <c r="L1083" i="14" s="1"/>
  <c r="V1083" i="14"/>
  <c r="U1084" i="14"/>
  <c r="L1084" i="14" s="1"/>
  <c r="V1084" i="14"/>
  <c r="U1085" i="14"/>
  <c r="V1085" i="14"/>
  <c r="M1085" i="14" s="1"/>
  <c r="U1086" i="14"/>
  <c r="L1086" i="14" s="1"/>
  <c r="V1086" i="14"/>
  <c r="U1087" i="14"/>
  <c r="L1087" i="14" s="1"/>
  <c r="V1087" i="14"/>
  <c r="M1087" i="14" s="1"/>
  <c r="U1088" i="14"/>
  <c r="L1088" i="14" s="1"/>
  <c r="V1088" i="14"/>
  <c r="U1089" i="14"/>
  <c r="V1089" i="14"/>
  <c r="M1089" i="14" s="1"/>
  <c r="U1090" i="14"/>
  <c r="L1090" i="14" s="1"/>
  <c r="V1090" i="14"/>
  <c r="U1091" i="14"/>
  <c r="L1091" i="14" s="1"/>
  <c r="V1091" i="14"/>
  <c r="U1092" i="14"/>
  <c r="L1092" i="14" s="1"/>
  <c r="V1092" i="14"/>
  <c r="U1093" i="14"/>
  <c r="V1093" i="14"/>
  <c r="M1093" i="14" s="1"/>
  <c r="U1094" i="14"/>
  <c r="L1094" i="14" s="1"/>
  <c r="V1094" i="14"/>
  <c r="U1095" i="14"/>
  <c r="L1095" i="14" s="1"/>
  <c r="V1095" i="14"/>
  <c r="U1096" i="14"/>
  <c r="L1096" i="14" s="1"/>
  <c r="V1096" i="14"/>
  <c r="U1097" i="14"/>
  <c r="V1097" i="14"/>
  <c r="M1097" i="14" s="1"/>
  <c r="U1098" i="14"/>
  <c r="L1098" i="14" s="1"/>
  <c r="V1098" i="14"/>
  <c r="U1099" i="14"/>
  <c r="L1099" i="14" s="1"/>
  <c r="V1099" i="14"/>
  <c r="U1100" i="14"/>
  <c r="L1100" i="14" s="1"/>
  <c r="V1100" i="14"/>
  <c r="U1101" i="14"/>
  <c r="V1101" i="14"/>
  <c r="M1101" i="14" s="1"/>
  <c r="U1102" i="14"/>
  <c r="L1102" i="14" s="1"/>
  <c r="V1102" i="14"/>
  <c r="U1103" i="14"/>
  <c r="L1103" i="14" s="1"/>
  <c r="V1103" i="14"/>
  <c r="U1104" i="14"/>
  <c r="L1104" i="14" s="1"/>
  <c r="V1104" i="14"/>
  <c r="U1105" i="14"/>
  <c r="V1105" i="14"/>
  <c r="M1105" i="14" s="1"/>
  <c r="U1106" i="14"/>
  <c r="L1106" i="14" s="1"/>
  <c r="V1106" i="14"/>
  <c r="U1107" i="14"/>
  <c r="L1107" i="14" s="1"/>
  <c r="V1107" i="14"/>
  <c r="U1108" i="14"/>
  <c r="L1108" i="14" s="1"/>
  <c r="V1108" i="14"/>
  <c r="U1109" i="14"/>
  <c r="V1109" i="14"/>
  <c r="M1109" i="14" s="1"/>
  <c r="U1110" i="14"/>
  <c r="L1110" i="14" s="1"/>
  <c r="V1110" i="14"/>
  <c r="U1111" i="14"/>
  <c r="L1111" i="14" s="1"/>
  <c r="V1111" i="14"/>
  <c r="U1112" i="14"/>
  <c r="L1112" i="14" s="1"/>
  <c r="V1112" i="14"/>
  <c r="U1113" i="14"/>
  <c r="V1113" i="14"/>
  <c r="U1114" i="14"/>
  <c r="L1114" i="14" s="1"/>
  <c r="V1114" i="14"/>
  <c r="U1115" i="14"/>
  <c r="L1115" i="14" s="1"/>
  <c r="V1115" i="14"/>
  <c r="U1116" i="14"/>
  <c r="L1116" i="14" s="1"/>
  <c r="V1116" i="14"/>
  <c r="U1117" i="14"/>
  <c r="V1117" i="14"/>
  <c r="M1117" i="14" s="1"/>
  <c r="U1118" i="14"/>
  <c r="L1118" i="14" s="1"/>
  <c r="V1118" i="14"/>
  <c r="U1119" i="14"/>
  <c r="L1119" i="14" s="1"/>
  <c r="V1119" i="14"/>
  <c r="U1120" i="14"/>
  <c r="L1120" i="14" s="1"/>
  <c r="V1120" i="14"/>
  <c r="U1121" i="14"/>
  <c r="V1121" i="14"/>
  <c r="M1121" i="14" s="1"/>
  <c r="U1122" i="14"/>
  <c r="L1122" i="14" s="1"/>
  <c r="V1122" i="14"/>
  <c r="U1123" i="14"/>
  <c r="L1123" i="14" s="1"/>
  <c r="V1123" i="14"/>
  <c r="U1124" i="14"/>
  <c r="L1124" i="14" s="1"/>
  <c r="V1124" i="14"/>
  <c r="U1125" i="14"/>
  <c r="V1125" i="14"/>
  <c r="U1126" i="14"/>
  <c r="L1126" i="14" s="1"/>
  <c r="V1126" i="14"/>
  <c r="U1127" i="14"/>
  <c r="L1127" i="14" s="1"/>
  <c r="V1127" i="14"/>
  <c r="U1128" i="14"/>
  <c r="L1128" i="14" s="1"/>
  <c r="V1128" i="14"/>
  <c r="U1129" i="14"/>
  <c r="V1129" i="14"/>
  <c r="M1129" i="14" s="1"/>
  <c r="U1130" i="14"/>
  <c r="L1130" i="14" s="1"/>
  <c r="V1130" i="14"/>
  <c r="U1131" i="14"/>
  <c r="L1131" i="14" s="1"/>
  <c r="V1131" i="14"/>
  <c r="M1131" i="14" s="1"/>
  <c r="U1132" i="14"/>
  <c r="L1132" i="14" s="1"/>
  <c r="V1132" i="14"/>
  <c r="U1133" i="14"/>
  <c r="V1133" i="14"/>
  <c r="M1133" i="14" s="1"/>
  <c r="U1134" i="14"/>
  <c r="L1134" i="14" s="1"/>
  <c r="V1134" i="14"/>
  <c r="U1135" i="14"/>
  <c r="V1135" i="14"/>
  <c r="U1136" i="14"/>
  <c r="L1136" i="14" s="1"/>
  <c r="V1136" i="14"/>
  <c r="U1137" i="14"/>
  <c r="V1137" i="14"/>
  <c r="U1138" i="14"/>
  <c r="L1138" i="14" s="1"/>
  <c r="V1138" i="14"/>
  <c r="U1139" i="14"/>
  <c r="L1139" i="14" s="1"/>
  <c r="V1139" i="14"/>
  <c r="U1140" i="14"/>
  <c r="L1140" i="14" s="1"/>
  <c r="V1140" i="14"/>
  <c r="U1141" i="14"/>
  <c r="V1141" i="14"/>
  <c r="M1141" i="14" s="1"/>
  <c r="U1142" i="14"/>
  <c r="L1142" i="14" s="1"/>
  <c r="V1142" i="14"/>
  <c r="U1143" i="14"/>
  <c r="L1143" i="14" s="1"/>
  <c r="V1143" i="14"/>
  <c r="M1143" i="14" s="1"/>
  <c r="U1144" i="14"/>
  <c r="V1144" i="14"/>
  <c r="U1145" i="14"/>
  <c r="V1145" i="14"/>
  <c r="M1145" i="14" s="1"/>
  <c r="U1146" i="14"/>
  <c r="L1146" i="14" s="1"/>
  <c r="V1146" i="14"/>
  <c r="U1147" i="14"/>
  <c r="L1147" i="14" s="1"/>
  <c r="V1147" i="14"/>
  <c r="U1148" i="14"/>
  <c r="L1148" i="14" s="1"/>
  <c r="V1148" i="14"/>
  <c r="U1149" i="14"/>
  <c r="V1149" i="14"/>
  <c r="U1150" i="14"/>
  <c r="L1150" i="14" s="1"/>
  <c r="V1150" i="14"/>
  <c r="U1151" i="14"/>
  <c r="L1151" i="14" s="1"/>
  <c r="V1151" i="14"/>
  <c r="U1152" i="14"/>
  <c r="L1152" i="14" s="1"/>
  <c r="V1152" i="14"/>
  <c r="U1153" i="14"/>
  <c r="V1153" i="14"/>
  <c r="M1153" i="14" s="1"/>
  <c r="U1154" i="14"/>
  <c r="L1154" i="14" s="1"/>
  <c r="V1154" i="14"/>
  <c r="U1155" i="14"/>
  <c r="L1155" i="14" s="1"/>
  <c r="V1155" i="14"/>
  <c r="M1155" i="14" s="1"/>
  <c r="U1156" i="14"/>
  <c r="L1156" i="14" s="1"/>
  <c r="V1156" i="14"/>
  <c r="U1157" i="14"/>
  <c r="V1157" i="14"/>
  <c r="M1157" i="14" s="1"/>
  <c r="U1158" i="14"/>
  <c r="L1158" i="14" s="1"/>
  <c r="V1158" i="14"/>
  <c r="U1159" i="14"/>
  <c r="L1159" i="14" s="1"/>
  <c r="V1159" i="14"/>
  <c r="U1160" i="14"/>
  <c r="L1160" i="14" s="1"/>
  <c r="V1160" i="14"/>
  <c r="U1161" i="14"/>
  <c r="V1161" i="14"/>
  <c r="M1161" i="14" s="1"/>
  <c r="U1162" i="14"/>
  <c r="L1162" i="14" s="1"/>
  <c r="V1162" i="14"/>
  <c r="U1163" i="14"/>
  <c r="L1163" i="14" s="1"/>
  <c r="V1163" i="14"/>
  <c r="U1164" i="14"/>
  <c r="L1164" i="14" s="1"/>
  <c r="V1164" i="14"/>
  <c r="U1165" i="14"/>
  <c r="V1165" i="14"/>
  <c r="M1165" i="14" s="1"/>
  <c r="U1166" i="14"/>
  <c r="L1166" i="14" s="1"/>
  <c r="V1166" i="14"/>
  <c r="U1167" i="14"/>
  <c r="L1167" i="14" s="1"/>
  <c r="V1167" i="14"/>
  <c r="U1168" i="14"/>
  <c r="L1168" i="14" s="1"/>
  <c r="V1168" i="14"/>
  <c r="U1169" i="14"/>
  <c r="V1169" i="14"/>
  <c r="M1169" i="14" s="1"/>
  <c r="U1170" i="14"/>
  <c r="L1170" i="14" s="1"/>
  <c r="V1170" i="14"/>
  <c r="U1171" i="14"/>
  <c r="L1171" i="14" s="1"/>
  <c r="V1171" i="14"/>
  <c r="U1172" i="14"/>
  <c r="L1172" i="14" s="1"/>
  <c r="V1172" i="14"/>
  <c r="U1173" i="14"/>
  <c r="V1173" i="14"/>
  <c r="M1173" i="14" s="1"/>
  <c r="U1174" i="14"/>
  <c r="L1174" i="14" s="1"/>
  <c r="V1174" i="14"/>
  <c r="U1175" i="14"/>
  <c r="L1175" i="14" s="1"/>
  <c r="V1175" i="14"/>
  <c r="U1176" i="14"/>
  <c r="L1176" i="14" s="1"/>
  <c r="V1176" i="14"/>
  <c r="U1177" i="14"/>
  <c r="V1177" i="14"/>
  <c r="M1177" i="14" s="1"/>
  <c r="U1178" i="14"/>
  <c r="L1178" i="14" s="1"/>
  <c r="V1178" i="14"/>
  <c r="U1179" i="14"/>
  <c r="L1179" i="14" s="1"/>
  <c r="V1179" i="14"/>
  <c r="U1180" i="14"/>
  <c r="L1180" i="14" s="1"/>
  <c r="V1180" i="14"/>
  <c r="U1181" i="14"/>
  <c r="V1181" i="14"/>
  <c r="U1182" i="14"/>
  <c r="L1182" i="14" s="1"/>
  <c r="V1182" i="14"/>
  <c r="U1183" i="14"/>
  <c r="L1183" i="14" s="1"/>
  <c r="V1183" i="14"/>
  <c r="U1184" i="14"/>
  <c r="L1184" i="14" s="1"/>
  <c r="V1184" i="14"/>
  <c r="U1185" i="14"/>
  <c r="V1185" i="14"/>
  <c r="M1185" i="14" s="1"/>
  <c r="U1186" i="14"/>
  <c r="L1186" i="14" s="1"/>
  <c r="V1186" i="14"/>
  <c r="U1187" i="14"/>
  <c r="L1187" i="14" s="1"/>
  <c r="V1187" i="14"/>
  <c r="U1188" i="14"/>
  <c r="L1188" i="14" s="1"/>
  <c r="V1188" i="14"/>
  <c r="U1189" i="14"/>
  <c r="V1189" i="14"/>
  <c r="M1189" i="14" s="1"/>
  <c r="U1190" i="14"/>
  <c r="L1190" i="14" s="1"/>
  <c r="V1190" i="14"/>
  <c r="U1191" i="14"/>
  <c r="L1191" i="14" s="1"/>
  <c r="V1191" i="14"/>
  <c r="U1192" i="14"/>
  <c r="L1192" i="14" s="1"/>
  <c r="V1192" i="14"/>
  <c r="U1193" i="14"/>
  <c r="V1193" i="14"/>
  <c r="U1194" i="14"/>
  <c r="L1194" i="14" s="1"/>
  <c r="V1194" i="14"/>
  <c r="U1195" i="14"/>
  <c r="L1195" i="14" s="1"/>
  <c r="V1195" i="14"/>
  <c r="U1196" i="14"/>
  <c r="L1196" i="14" s="1"/>
  <c r="V1196" i="14"/>
  <c r="U1197" i="14"/>
  <c r="V1197" i="14"/>
  <c r="M1197" i="14" s="1"/>
  <c r="U1198" i="14"/>
  <c r="L1198" i="14" s="1"/>
  <c r="V1198" i="14"/>
  <c r="U1199" i="14"/>
  <c r="L1199" i="14" s="1"/>
  <c r="V1199" i="14"/>
  <c r="M1199" i="14" s="1"/>
  <c r="U1200" i="14"/>
  <c r="L1200" i="14" s="1"/>
  <c r="V1200" i="14"/>
  <c r="U1201" i="14"/>
  <c r="V1201" i="14"/>
  <c r="M1201" i="14" s="1"/>
  <c r="U1202" i="14"/>
  <c r="L1202" i="14" s="1"/>
  <c r="V1202" i="14"/>
  <c r="U1203" i="14"/>
  <c r="V1203" i="14"/>
  <c r="U1204" i="14"/>
  <c r="L1204" i="14" s="1"/>
  <c r="V1204" i="14"/>
  <c r="U1205" i="14"/>
  <c r="V1205" i="14"/>
  <c r="U1206" i="14"/>
  <c r="L1206" i="14" s="1"/>
  <c r="V1206" i="14"/>
  <c r="U1207" i="14"/>
  <c r="L1207" i="14" s="1"/>
  <c r="V1207" i="14"/>
  <c r="U1208" i="14"/>
  <c r="V1208" i="14"/>
  <c r="U1209" i="14"/>
  <c r="V1209" i="14"/>
  <c r="M1209" i="14" s="1"/>
  <c r="U1210" i="14"/>
  <c r="L1210" i="14" s="1"/>
  <c r="V1210" i="14"/>
  <c r="U1211" i="14"/>
  <c r="L1211" i="14" s="1"/>
  <c r="V1211" i="14"/>
  <c r="U1212" i="14"/>
  <c r="L1212" i="14" s="1"/>
  <c r="V1212" i="14"/>
  <c r="U1213" i="14"/>
  <c r="V1213" i="14"/>
  <c r="M1213" i="14" s="1"/>
  <c r="U1214" i="14"/>
  <c r="L1214" i="14" s="1"/>
  <c r="V1214" i="14"/>
  <c r="U1215" i="14"/>
  <c r="L1215" i="14" s="1"/>
  <c r="V1215" i="14"/>
  <c r="U1216" i="14"/>
  <c r="L1216" i="14" s="1"/>
  <c r="V1216" i="14"/>
  <c r="U1217" i="14"/>
  <c r="V1217" i="14"/>
  <c r="U1218" i="14"/>
  <c r="L1218" i="14" s="1"/>
  <c r="V1218" i="14"/>
  <c r="U1219" i="14"/>
  <c r="L1219" i="14" s="1"/>
  <c r="V1219" i="14"/>
  <c r="U1220" i="14"/>
  <c r="L1220" i="14" s="1"/>
  <c r="V1220" i="14"/>
  <c r="U1221" i="14"/>
  <c r="V1221" i="14"/>
  <c r="M1221" i="14" s="1"/>
  <c r="U1222" i="14"/>
  <c r="L1222" i="14" s="1"/>
  <c r="V1222" i="14"/>
  <c r="U1223" i="14"/>
  <c r="L1223" i="14" s="1"/>
  <c r="V1223" i="14"/>
  <c r="M1223" i="14" s="1"/>
  <c r="U1224" i="14"/>
  <c r="L1224" i="14" s="1"/>
  <c r="V1224" i="14"/>
  <c r="U1225" i="14"/>
  <c r="V1225" i="14"/>
  <c r="M1225" i="14" s="1"/>
  <c r="U1226" i="14"/>
  <c r="L1226" i="14" s="1"/>
  <c r="V1226" i="14"/>
  <c r="U1227" i="14"/>
  <c r="L1227" i="14" s="1"/>
  <c r="V1227" i="14"/>
  <c r="U1228" i="14"/>
  <c r="L1228" i="14" s="1"/>
  <c r="V1228" i="14"/>
  <c r="U1229" i="14"/>
  <c r="V1229" i="14"/>
  <c r="M1229" i="14" s="1"/>
  <c r="U1230" i="14"/>
  <c r="L1230" i="14" s="1"/>
  <c r="V1230" i="14"/>
  <c r="U1231" i="14"/>
  <c r="L1231" i="14" s="1"/>
  <c r="V1231" i="14"/>
  <c r="U1232" i="14"/>
  <c r="L1232" i="14" s="1"/>
  <c r="V1232" i="14"/>
  <c r="U1233" i="14"/>
  <c r="V1233" i="14"/>
  <c r="M1233" i="14" s="1"/>
  <c r="U1234" i="14"/>
  <c r="L1234" i="14" s="1"/>
  <c r="V1234" i="14"/>
  <c r="U1235" i="14"/>
  <c r="L1235" i="14" s="1"/>
  <c r="V1235" i="14"/>
  <c r="U1236" i="14"/>
  <c r="L1236" i="14" s="1"/>
  <c r="V1236" i="14"/>
  <c r="U1237" i="14"/>
  <c r="V1237" i="14"/>
  <c r="M1237" i="14" s="1"/>
  <c r="U1238" i="14"/>
  <c r="L1238" i="14" s="1"/>
  <c r="V1238" i="14"/>
  <c r="U1239" i="14"/>
  <c r="L1239" i="14" s="1"/>
  <c r="V1239" i="14"/>
  <c r="U1240" i="14"/>
  <c r="V1240" i="14"/>
  <c r="U1241" i="14"/>
  <c r="V1241" i="14"/>
  <c r="M1241" i="14" s="1"/>
  <c r="U1242" i="14"/>
  <c r="L1242" i="14" s="1"/>
  <c r="V1242" i="14"/>
  <c r="U1243" i="14"/>
  <c r="L1243" i="14" s="1"/>
  <c r="V1243" i="14"/>
  <c r="U1244" i="14"/>
  <c r="L1244" i="14" s="1"/>
  <c r="V1244" i="14"/>
  <c r="U1245" i="14"/>
  <c r="V1245" i="14"/>
  <c r="M1245" i="14" s="1"/>
  <c r="U1246" i="14"/>
  <c r="L1246" i="14" s="1"/>
  <c r="V1246" i="14"/>
  <c r="U1247" i="14"/>
  <c r="L1247" i="14" s="1"/>
  <c r="V1247" i="14"/>
  <c r="U1248" i="14"/>
  <c r="L1248" i="14" s="1"/>
  <c r="V1248" i="14"/>
  <c r="U1249" i="14"/>
  <c r="V1249" i="14"/>
  <c r="M1249" i="14" s="1"/>
  <c r="U1250" i="14"/>
  <c r="L1250" i="14" s="1"/>
  <c r="V1250" i="14"/>
  <c r="U1251" i="14"/>
  <c r="L1251" i="14" s="1"/>
  <c r="V1251" i="14"/>
  <c r="U1252" i="14"/>
  <c r="L1252" i="14" s="1"/>
  <c r="V1252" i="14"/>
  <c r="U1253" i="14"/>
  <c r="V1253" i="14"/>
  <c r="M1253" i="14" s="1"/>
  <c r="U1254" i="14"/>
  <c r="L1254" i="14" s="1"/>
  <c r="V1254" i="14"/>
  <c r="U1255" i="14"/>
  <c r="V1255" i="14"/>
  <c r="U1256" i="14"/>
  <c r="L1256" i="14" s="1"/>
  <c r="V1256" i="14"/>
  <c r="U1257" i="14"/>
  <c r="V1257" i="14"/>
  <c r="M1257" i="14" s="1"/>
  <c r="U1258" i="14"/>
  <c r="L1258" i="14" s="1"/>
  <c r="V1258" i="14"/>
  <c r="U1259" i="14"/>
  <c r="L1259" i="14" s="1"/>
  <c r="V1259" i="14"/>
  <c r="U1260" i="14"/>
  <c r="L1260" i="14" s="1"/>
  <c r="V1260" i="14"/>
  <c r="U1261" i="14"/>
  <c r="V1261" i="14"/>
  <c r="M1261" i="14" s="1"/>
  <c r="U1262" i="14"/>
  <c r="L1262" i="14" s="1"/>
  <c r="V1262" i="14"/>
  <c r="U1263" i="14"/>
  <c r="L1263" i="14" s="1"/>
  <c r="V1263" i="14"/>
  <c r="U1264" i="14"/>
  <c r="L1264" i="14" s="1"/>
  <c r="V1264" i="14"/>
  <c r="U1265" i="14"/>
  <c r="V1265" i="14"/>
  <c r="M1265" i="14" s="1"/>
  <c r="U1266" i="14"/>
  <c r="L1266" i="14" s="1"/>
  <c r="V1266" i="14"/>
  <c r="U1267" i="14"/>
  <c r="L1267" i="14" s="1"/>
  <c r="V1267" i="14"/>
  <c r="U1268" i="14"/>
  <c r="L1268" i="14" s="1"/>
  <c r="V1268" i="14"/>
  <c r="U1269" i="14"/>
  <c r="V1269" i="14"/>
  <c r="M1269" i="14" s="1"/>
  <c r="U1270" i="14"/>
  <c r="V1270" i="14"/>
  <c r="U1271" i="14"/>
  <c r="L1271" i="14" s="1"/>
  <c r="V1271" i="14"/>
  <c r="M1271" i="14" s="1"/>
  <c r="U1272" i="14"/>
  <c r="L1272" i="14" s="1"/>
  <c r="V1272" i="14"/>
  <c r="U1273" i="14"/>
  <c r="V1273" i="14"/>
  <c r="M1273" i="14" s="1"/>
  <c r="U1274" i="14"/>
  <c r="V1274" i="14"/>
  <c r="U1275" i="14"/>
  <c r="L1275" i="14" s="1"/>
  <c r="V1275" i="14"/>
  <c r="U1276" i="14"/>
  <c r="L1276" i="14" s="1"/>
  <c r="V1276" i="14"/>
  <c r="U1277" i="14"/>
  <c r="V1277" i="14"/>
  <c r="U1278" i="14"/>
  <c r="V1278" i="14"/>
  <c r="U1279" i="14"/>
  <c r="L1279" i="14" s="1"/>
  <c r="V1279" i="14"/>
  <c r="U1280" i="14"/>
  <c r="L1280" i="14" s="1"/>
  <c r="V1280" i="14"/>
  <c r="U1281" i="14"/>
  <c r="V1281" i="14"/>
  <c r="M1281" i="14" s="1"/>
  <c r="U1282" i="14"/>
  <c r="L1282" i="14" s="1"/>
  <c r="V1282" i="14"/>
  <c r="U1283" i="14"/>
  <c r="V1283" i="14"/>
  <c r="U1284" i="14"/>
  <c r="L1284" i="14" s="1"/>
  <c r="V1284" i="14"/>
  <c r="U1285" i="14"/>
  <c r="V1285" i="14"/>
  <c r="M1285" i="14" s="1"/>
  <c r="U1286" i="14"/>
  <c r="L1286" i="14" s="1"/>
  <c r="V1286" i="14"/>
  <c r="U1287" i="14"/>
  <c r="L1287" i="14" s="1"/>
  <c r="V1287" i="14"/>
  <c r="M1287" i="14" s="1"/>
  <c r="U1288" i="14"/>
  <c r="L1288" i="14" s="1"/>
  <c r="V1288" i="14"/>
  <c r="U1289" i="14"/>
  <c r="V1289" i="14"/>
  <c r="M1289" i="14" s="1"/>
  <c r="U1290" i="14"/>
  <c r="L1290" i="14" s="1"/>
  <c r="V1290" i="14"/>
  <c r="U1291" i="14"/>
  <c r="L1291" i="14" s="1"/>
  <c r="V1291" i="14"/>
  <c r="U1292" i="14"/>
  <c r="L1292" i="14" s="1"/>
  <c r="V1292" i="14"/>
  <c r="U1293" i="14"/>
  <c r="V1293" i="14"/>
  <c r="M1293" i="14" s="1"/>
  <c r="U1294" i="14"/>
  <c r="L1294" i="14" s="1"/>
  <c r="V1294" i="14"/>
  <c r="U1295" i="14"/>
  <c r="L1295" i="14" s="1"/>
  <c r="V1295" i="14"/>
  <c r="U1296" i="14"/>
  <c r="L1296" i="14" s="1"/>
  <c r="V1296" i="14"/>
  <c r="U1297" i="14"/>
  <c r="V1297" i="14"/>
  <c r="M1297" i="14" s="1"/>
  <c r="U1298" i="14"/>
  <c r="V1298" i="14"/>
  <c r="U1299" i="14"/>
  <c r="L1299" i="14" s="1"/>
  <c r="V1299" i="14"/>
  <c r="M1299" i="14" s="1"/>
  <c r="U1300" i="14"/>
  <c r="L1300" i="14" s="1"/>
  <c r="V1300" i="14"/>
  <c r="U1301" i="14"/>
  <c r="V1301" i="14"/>
  <c r="M1301" i="14" s="1"/>
  <c r="U1302" i="14"/>
  <c r="V1302" i="14"/>
  <c r="U1303" i="14"/>
  <c r="L1303" i="14" s="1"/>
  <c r="V1303" i="14"/>
  <c r="U1304" i="14"/>
  <c r="L1304" i="14" s="1"/>
  <c r="V1304" i="14"/>
  <c r="U1305" i="14"/>
  <c r="V1305" i="14"/>
  <c r="U1306" i="14"/>
  <c r="V1306" i="14"/>
  <c r="U1307" i="14"/>
  <c r="L1307" i="14" s="1"/>
  <c r="V1307" i="14"/>
  <c r="U1308" i="14"/>
  <c r="L1308" i="14" s="1"/>
  <c r="V1308" i="14"/>
  <c r="U1309" i="14"/>
  <c r="V1309" i="14"/>
  <c r="M1309" i="14" s="1"/>
  <c r="U1310" i="14"/>
  <c r="L1310" i="14" s="1"/>
  <c r="V1310" i="14"/>
  <c r="U1311" i="14"/>
  <c r="L1311" i="14" s="1"/>
  <c r="V1311" i="14"/>
  <c r="U1312" i="14"/>
  <c r="L1312" i="14" s="1"/>
  <c r="V1312" i="14"/>
  <c r="U1313" i="14"/>
  <c r="V1313" i="14"/>
  <c r="M1313" i="14" s="1"/>
  <c r="U1314" i="14"/>
  <c r="V1314" i="14"/>
  <c r="U1315" i="14"/>
  <c r="L1315" i="14" s="1"/>
  <c r="V1315" i="14"/>
  <c r="U1316" i="14"/>
  <c r="L1316" i="14" s="1"/>
  <c r="V1316" i="14"/>
  <c r="U1317" i="14"/>
  <c r="V1317" i="14"/>
  <c r="M1317" i="14" s="1"/>
  <c r="U1318" i="14"/>
  <c r="L1318" i="14" s="1"/>
  <c r="V1318" i="14"/>
  <c r="U1319" i="14"/>
  <c r="L1319" i="14" s="1"/>
  <c r="V1319" i="14"/>
  <c r="U1320" i="14"/>
  <c r="L1320" i="14" s="1"/>
  <c r="V1320" i="14"/>
  <c r="U1321" i="14"/>
  <c r="V1321" i="14"/>
  <c r="U1322" i="14"/>
  <c r="L1322" i="14" s="1"/>
  <c r="V1322" i="14"/>
  <c r="U1323" i="14"/>
  <c r="L1323" i="14" s="1"/>
  <c r="V1323" i="14"/>
  <c r="U1324" i="14"/>
  <c r="L1324" i="14" s="1"/>
  <c r="V1324" i="14"/>
  <c r="U1325" i="14"/>
  <c r="V1325" i="14"/>
  <c r="M1325" i="14" s="1"/>
  <c r="U1326" i="14"/>
  <c r="L1326" i="14" s="1"/>
  <c r="V1326" i="14"/>
  <c r="U1327" i="14"/>
  <c r="L1327" i="14" s="1"/>
  <c r="V1327" i="14"/>
  <c r="M1327" i="14" s="1"/>
  <c r="U1328" i="14"/>
  <c r="L1328" i="14" s="1"/>
  <c r="V1328" i="14"/>
  <c r="U1329" i="14"/>
  <c r="V1329" i="14"/>
  <c r="M1329" i="14" s="1"/>
  <c r="U1330" i="14"/>
  <c r="V1330" i="14"/>
  <c r="U1331" i="14"/>
  <c r="L1331" i="14" s="1"/>
  <c r="V1331" i="14"/>
  <c r="U1332" i="14"/>
  <c r="L1332" i="14" s="1"/>
  <c r="V1332" i="14"/>
  <c r="U1333" i="14"/>
  <c r="V1333" i="14"/>
  <c r="U1334" i="14"/>
  <c r="V1334" i="14"/>
  <c r="U1335" i="14"/>
  <c r="L1335" i="14" s="1"/>
  <c r="V1335" i="14"/>
  <c r="U1336" i="14"/>
  <c r="L1336" i="14" s="1"/>
  <c r="V1336" i="14"/>
  <c r="U1337" i="14"/>
  <c r="V1337" i="14"/>
  <c r="M1337" i="14" s="1"/>
  <c r="U1338" i="14"/>
  <c r="L1338" i="14" s="1"/>
  <c r="V1338" i="14"/>
  <c r="U1339" i="14"/>
  <c r="L1339" i="14" s="1"/>
  <c r="V1339" i="14"/>
  <c r="U1340" i="14"/>
  <c r="L1340" i="14" s="1"/>
  <c r="V1340" i="14"/>
  <c r="U1341" i="14"/>
  <c r="V1341" i="14"/>
  <c r="M1341" i="14" s="1"/>
  <c r="U1342" i="14"/>
  <c r="V1342" i="14"/>
  <c r="U1343" i="14"/>
  <c r="L1343" i="14" s="1"/>
  <c r="V1343" i="14"/>
  <c r="M1343" i="14" s="1"/>
  <c r="U1344" i="14"/>
  <c r="L1344" i="14" s="1"/>
  <c r="V1344" i="14"/>
  <c r="U1345" i="14"/>
  <c r="V1345" i="14"/>
  <c r="M1345" i="14" s="1"/>
  <c r="U1346" i="14"/>
  <c r="V1346" i="14"/>
  <c r="U1347" i="14"/>
  <c r="V1347" i="14"/>
  <c r="U1348" i="14"/>
  <c r="L1348" i="14" s="1"/>
  <c r="V1348" i="14"/>
  <c r="U1349" i="14"/>
  <c r="V1349" i="14"/>
  <c r="M1349" i="14" s="1"/>
  <c r="U1350" i="14"/>
  <c r="L1350" i="14" s="1"/>
  <c r="V1350" i="14"/>
  <c r="U1351" i="14"/>
  <c r="L1351" i="14" s="1"/>
  <c r="V1351" i="14"/>
  <c r="U1352" i="14"/>
  <c r="L1352" i="14" s="1"/>
  <c r="V1352" i="14"/>
  <c r="U1353" i="14"/>
  <c r="V1353" i="14"/>
  <c r="M1353" i="14" s="1"/>
  <c r="U1354" i="14"/>
  <c r="L1354" i="14" s="1"/>
  <c r="V1354" i="14"/>
  <c r="U1355" i="14"/>
  <c r="L1355" i="14" s="1"/>
  <c r="V1355" i="14"/>
  <c r="U1356" i="14"/>
  <c r="L1356" i="14" s="1"/>
  <c r="V1356" i="14"/>
  <c r="U1358" i="14"/>
  <c r="V1358" i="14"/>
  <c r="M1358" i="14" s="1"/>
  <c r="U1359" i="14"/>
  <c r="L1359" i="14" s="1"/>
  <c r="V1359" i="14"/>
  <c r="U1360" i="14"/>
  <c r="L1360" i="14" s="1"/>
  <c r="V1360" i="14"/>
  <c r="U1361" i="14"/>
  <c r="L1361" i="14" s="1"/>
  <c r="V1361" i="14"/>
  <c r="U1362" i="14"/>
  <c r="V1362" i="14"/>
  <c r="U1363" i="14"/>
  <c r="V1363" i="14"/>
  <c r="U1364" i="14"/>
  <c r="L1364" i="14" s="1"/>
  <c r="V1364" i="14"/>
  <c r="U1365" i="14"/>
  <c r="L1365" i="14" s="1"/>
  <c r="V1365" i="14"/>
  <c r="U1366" i="14"/>
  <c r="V1366" i="14"/>
  <c r="M1366" i="14" s="1"/>
  <c r="U1367" i="14"/>
  <c r="L1367" i="14" s="1"/>
  <c r="V1367" i="14"/>
  <c r="U1368" i="14"/>
  <c r="L1368" i="14" s="1"/>
  <c r="V1368" i="14"/>
  <c r="U1369" i="14"/>
  <c r="L1369" i="14" s="1"/>
  <c r="V1369" i="14"/>
  <c r="U1370" i="14"/>
  <c r="V1370" i="14"/>
  <c r="M1370" i="14" s="1"/>
  <c r="U1371" i="14"/>
  <c r="V1371" i="14"/>
  <c r="U1372" i="14"/>
  <c r="L1372" i="14" s="1"/>
  <c r="V1372" i="14"/>
  <c r="M1372" i="14" s="1"/>
  <c r="U1373" i="14"/>
  <c r="L1373" i="14" s="1"/>
  <c r="V1373" i="14"/>
  <c r="U1374" i="14"/>
  <c r="V1374" i="14"/>
  <c r="M1374" i="14" s="1"/>
  <c r="U1375" i="14"/>
  <c r="V1375" i="14"/>
  <c r="U1376" i="14"/>
  <c r="L1376" i="14" s="1"/>
  <c r="V1376" i="14"/>
  <c r="U1377" i="14"/>
  <c r="L1377" i="14" s="1"/>
  <c r="V1377" i="14"/>
  <c r="U1378" i="14"/>
  <c r="V1378" i="14"/>
  <c r="U1379" i="14"/>
  <c r="V1379" i="14"/>
  <c r="U1380" i="14"/>
  <c r="V1380" i="14"/>
  <c r="U1381" i="14"/>
  <c r="L1381" i="14" s="1"/>
  <c r="V1381" i="14"/>
  <c r="U1382" i="14"/>
  <c r="V1382" i="14"/>
  <c r="M1382" i="14" s="1"/>
  <c r="U1383" i="14"/>
  <c r="L1383" i="14" s="1"/>
  <c r="V1383" i="14"/>
  <c r="U1384" i="14"/>
  <c r="L1384" i="14" s="1"/>
  <c r="V1384" i="14"/>
  <c r="U1385" i="14"/>
  <c r="L1385" i="14" s="1"/>
  <c r="V1385" i="14"/>
  <c r="U1386" i="14"/>
  <c r="V1386" i="14"/>
  <c r="M1386" i="14" s="1"/>
  <c r="U1387" i="14"/>
  <c r="L1387" i="14" s="1"/>
  <c r="V1387" i="14"/>
  <c r="U1388" i="14"/>
  <c r="L1388" i="14" s="1"/>
  <c r="V1388" i="14"/>
  <c r="U1389" i="14"/>
  <c r="L1389" i="14" s="1"/>
  <c r="V1389" i="14"/>
  <c r="U1390" i="14"/>
  <c r="V1390" i="14"/>
  <c r="M1390" i="14" s="1"/>
  <c r="U1391" i="14"/>
  <c r="L1391" i="14" s="1"/>
  <c r="V1391" i="14"/>
  <c r="U1392" i="14"/>
  <c r="L1392" i="14" s="1"/>
  <c r="V1392" i="14"/>
  <c r="U1393" i="14"/>
  <c r="L1393" i="14" s="1"/>
  <c r="V1393" i="14"/>
  <c r="U1394" i="14"/>
  <c r="V1394" i="14"/>
  <c r="M1394" i="14" s="1"/>
  <c r="U1395" i="14"/>
  <c r="L1395" i="14" s="1"/>
  <c r="V1395" i="14"/>
  <c r="U1396" i="14"/>
  <c r="L1396" i="14" s="1"/>
  <c r="V1396" i="14"/>
  <c r="U1397" i="14"/>
  <c r="L1397" i="14" s="1"/>
  <c r="V1397" i="14"/>
  <c r="U1398" i="14"/>
  <c r="V1398" i="14"/>
  <c r="M1398" i="14" s="1"/>
  <c r="U1399" i="14"/>
  <c r="V1399" i="14"/>
  <c r="U1400" i="14"/>
  <c r="L1400" i="14" s="1"/>
  <c r="V1400" i="14"/>
  <c r="M1400" i="14" s="1"/>
  <c r="U1401" i="14"/>
  <c r="L1401" i="14" s="1"/>
  <c r="V1401" i="14"/>
  <c r="U1402" i="14"/>
  <c r="V1402" i="14"/>
  <c r="M1402" i="14" s="1"/>
  <c r="U1403" i="14"/>
  <c r="V1403" i="14"/>
  <c r="U1404" i="14"/>
  <c r="L1404" i="14" s="1"/>
  <c r="V1404" i="14"/>
  <c r="U1405" i="14"/>
  <c r="L1405" i="14" s="1"/>
  <c r="V1405" i="14"/>
  <c r="U1406" i="14"/>
  <c r="V1406" i="14"/>
  <c r="U1407" i="14"/>
  <c r="V1407" i="14"/>
  <c r="U1408" i="14"/>
  <c r="L1408" i="14" s="1"/>
  <c r="V1408" i="14"/>
  <c r="U1409" i="14"/>
  <c r="L1409" i="14" s="1"/>
  <c r="V1409" i="14"/>
  <c r="U1410" i="14"/>
  <c r="V1410" i="14"/>
  <c r="M1410" i="14" s="1"/>
  <c r="U1411" i="14"/>
  <c r="L1411" i="14" s="1"/>
  <c r="V1411" i="14"/>
  <c r="U1412" i="14"/>
  <c r="V1412" i="14"/>
  <c r="U1413" i="14"/>
  <c r="L1413" i="14" s="1"/>
  <c r="V1413" i="14"/>
  <c r="U1414" i="14"/>
  <c r="V1414" i="14"/>
  <c r="M1414" i="14" s="1"/>
  <c r="U1415" i="14"/>
  <c r="L1415" i="14" s="1"/>
  <c r="V1415" i="14"/>
  <c r="U1416" i="14"/>
  <c r="L1416" i="14" s="1"/>
  <c r="V1416" i="14"/>
  <c r="M1416" i="14" s="1"/>
  <c r="U1417" i="14"/>
  <c r="L1417" i="14" s="1"/>
  <c r="V1417" i="14"/>
  <c r="U1418" i="14"/>
  <c r="V1418" i="14"/>
  <c r="M1418" i="14" s="1"/>
  <c r="U1419" i="14"/>
  <c r="L1419" i="14" s="1"/>
  <c r="V1419" i="14"/>
  <c r="U1420" i="14"/>
  <c r="L1420" i="14" s="1"/>
  <c r="V1420" i="14"/>
  <c r="U1421" i="14"/>
  <c r="L1421" i="14" s="1"/>
  <c r="V1421" i="14"/>
  <c r="U1422" i="14"/>
  <c r="V1422" i="14"/>
  <c r="M1422" i="14" s="1"/>
  <c r="U1423" i="14"/>
  <c r="L1423" i="14" s="1"/>
  <c r="V1423" i="14"/>
  <c r="U1424" i="14"/>
  <c r="L1424" i="14" s="1"/>
  <c r="V1424" i="14"/>
  <c r="U1425" i="14"/>
  <c r="L1425" i="14" s="1"/>
  <c r="V1425" i="14"/>
  <c r="U1426" i="14"/>
  <c r="V1426" i="14"/>
  <c r="M1426" i="14" s="1"/>
  <c r="U1427" i="14"/>
  <c r="V1427" i="14"/>
  <c r="U1428" i="14"/>
  <c r="L1428" i="14" s="1"/>
  <c r="V1428" i="14"/>
  <c r="M1428" i="14" s="1"/>
  <c r="U1429" i="14"/>
  <c r="L1429" i="14" s="1"/>
  <c r="V1429" i="14"/>
  <c r="U1430" i="14"/>
  <c r="V1430" i="14"/>
  <c r="M1430" i="14" s="1"/>
  <c r="U1431" i="14"/>
  <c r="V1431" i="14"/>
  <c r="U1432" i="14"/>
  <c r="L1432" i="14" s="1"/>
  <c r="V1432" i="14"/>
  <c r="U1433" i="14"/>
  <c r="L1433" i="14" s="1"/>
  <c r="V1433" i="14"/>
  <c r="U1434" i="14"/>
  <c r="V1434" i="14"/>
  <c r="U1435" i="14"/>
  <c r="V1435" i="14"/>
  <c r="U1436" i="14"/>
  <c r="L1436" i="14" s="1"/>
  <c r="V1436" i="14"/>
  <c r="U1437" i="14"/>
  <c r="L1437" i="14" s="1"/>
  <c r="V1437" i="14"/>
  <c r="U1438" i="14"/>
  <c r="V1438" i="14"/>
  <c r="M1438" i="14" s="1"/>
  <c r="U1439" i="14"/>
  <c r="L1439" i="14" s="1"/>
  <c r="V1439" i="14"/>
  <c r="U1440" i="14"/>
  <c r="L1440" i="14" s="1"/>
  <c r="V1440" i="14"/>
  <c r="U1441" i="14"/>
  <c r="L1441" i="14" s="1"/>
  <c r="V1441" i="14"/>
  <c r="U1442" i="14"/>
  <c r="V1442" i="14"/>
  <c r="M1442" i="14" s="1"/>
  <c r="U1443" i="14"/>
  <c r="V1443" i="14"/>
  <c r="U1444" i="14"/>
  <c r="L1444" i="14" s="1"/>
  <c r="V1444" i="14"/>
  <c r="U1445" i="14"/>
  <c r="L1445" i="14" s="1"/>
  <c r="V1445" i="14"/>
  <c r="U1446" i="14"/>
  <c r="V1446" i="14"/>
  <c r="M1446" i="14" s="1"/>
  <c r="U1447" i="14"/>
  <c r="L1447" i="14" s="1"/>
  <c r="V1447" i="14"/>
  <c r="U1448" i="14"/>
  <c r="L1448" i="14" s="1"/>
  <c r="V1448" i="14"/>
  <c r="U1449" i="14"/>
  <c r="L1449" i="14" s="1"/>
  <c r="V1449" i="14"/>
  <c r="U1450" i="14"/>
  <c r="V1450" i="14"/>
  <c r="U1451" i="14"/>
  <c r="L1451" i="14" s="1"/>
  <c r="V1451" i="14"/>
  <c r="U1452" i="14"/>
  <c r="L1452" i="14" s="1"/>
  <c r="V1452" i="14"/>
  <c r="U1453" i="14"/>
  <c r="L1453" i="14" s="1"/>
  <c r="V1453" i="14"/>
  <c r="U1454" i="14"/>
  <c r="V1454" i="14"/>
  <c r="M1454" i="14" s="1"/>
  <c r="U1455" i="14"/>
  <c r="L1455" i="14" s="1"/>
  <c r="V1455" i="14"/>
  <c r="U1456" i="14"/>
  <c r="L1456" i="14" s="1"/>
  <c r="V1456" i="14"/>
  <c r="M1456" i="14" s="1"/>
  <c r="U1457" i="14"/>
  <c r="L1457" i="14" s="1"/>
  <c r="V1457" i="14"/>
  <c r="U1458" i="14"/>
  <c r="V1458" i="14"/>
  <c r="M1458" i="14" s="1"/>
  <c r="U1459" i="14"/>
  <c r="V1459" i="14"/>
  <c r="U1460" i="14"/>
  <c r="L1460" i="14" s="1"/>
  <c r="V1460" i="14"/>
  <c r="U1461" i="14"/>
  <c r="L1461" i="14" s="1"/>
  <c r="V1461" i="14"/>
  <c r="U1462" i="14"/>
  <c r="V1462" i="14"/>
  <c r="U1463" i="14"/>
  <c r="V1463" i="14"/>
  <c r="U1464" i="14"/>
  <c r="L1464" i="14" s="1"/>
  <c r="V1464" i="14"/>
  <c r="U1465" i="14"/>
  <c r="L1465" i="14" s="1"/>
  <c r="V1465" i="14"/>
  <c r="U1466" i="14"/>
  <c r="V1466" i="14"/>
  <c r="M1466" i="14" s="1"/>
  <c r="U1467" i="14"/>
  <c r="L1467" i="14" s="1"/>
  <c r="V1467" i="14"/>
  <c r="U1468" i="14"/>
  <c r="L1468" i="14" s="1"/>
  <c r="V1468" i="14"/>
  <c r="U1469" i="14"/>
  <c r="L1469" i="14" s="1"/>
  <c r="V1469" i="14"/>
  <c r="U1470" i="14"/>
  <c r="V1470" i="14"/>
  <c r="M1470" i="14" s="1"/>
  <c r="U1471" i="14"/>
  <c r="V1471" i="14"/>
  <c r="U1472" i="14"/>
  <c r="L1472" i="14" s="1"/>
  <c r="V1472" i="14"/>
  <c r="M1472" i="14" s="1"/>
  <c r="U1473" i="14"/>
  <c r="L1473" i="14" s="1"/>
  <c r="V1473" i="14"/>
  <c r="U1474" i="14"/>
  <c r="V1474" i="14"/>
  <c r="M1474" i="14" s="1"/>
  <c r="U1475" i="14"/>
  <c r="V1475" i="14"/>
  <c r="U1476" i="14"/>
  <c r="V1476" i="14"/>
  <c r="U1477" i="14"/>
  <c r="L1477" i="14" s="1"/>
  <c r="V1477" i="14"/>
  <c r="U1478" i="14"/>
  <c r="V1478" i="14"/>
  <c r="M1478" i="14" s="1"/>
  <c r="U1479" i="14"/>
  <c r="L1479" i="14" s="1"/>
  <c r="V1479" i="14"/>
  <c r="U1480" i="14"/>
  <c r="L1480" i="14" s="1"/>
  <c r="V1480" i="14"/>
  <c r="U1481" i="14"/>
  <c r="L1481" i="14" s="1"/>
  <c r="V1481" i="14"/>
  <c r="U1482" i="14"/>
  <c r="V1482" i="14"/>
  <c r="M1482" i="14" s="1"/>
  <c r="U1483" i="14"/>
  <c r="L1483" i="14" s="1"/>
  <c r="V1483" i="14"/>
  <c r="U1484" i="14"/>
  <c r="L1484" i="14" s="1"/>
  <c r="V1484" i="14"/>
  <c r="U1485" i="14"/>
  <c r="L1485" i="14" s="1"/>
  <c r="V1485" i="14"/>
  <c r="U1486" i="14"/>
  <c r="V1486" i="14"/>
  <c r="M1486" i="14" s="1"/>
  <c r="U1487" i="14"/>
  <c r="L1487" i="14" s="1"/>
  <c r="V1487" i="14"/>
  <c r="U1488" i="14"/>
  <c r="L1488" i="14" s="1"/>
  <c r="V1488" i="14"/>
  <c r="U1489" i="14"/>
  <c r="L1489" i="14" s="1"/>
  <c r="V1489" i="14"/>
  <c r="U1490" i="14"/>
  <c r="V1490" i="14"/>
  <c r="U1491" i="14"/>
  <c r="V1491" i="14"/>
  <c r="U1492" i="14"/>
  <c r="L1492" i="14" s="1"/>
  <c r="V1492" i="14"/>
  <c r="U1493" i="14"/>
  <c r="L1493" i="14" s="1"/>
  <c r="V1493" i="14"/>
  <c r="U1494" i="14"/>
  <c r="V1494" i="14"/>
  <c r="M1494" i="14" s="1"/>
  <c r="U1495" i="14"/>
  <c r="L1495" i="14" s="1"/>
  <c r="V1495" i="14"/>
  <c r="U1496" i="14"/>
  <c r="L1496" i="14" s="1"/>
  <c r="V1496" i="14"/>
  <c r="U1497" i="14"/>
  <c r="L1497" i="14" s="1"/>
  <c r="V1497" i="14"/>
  <c r="U1498" i="14"/>
  <c r="V1498" i="14"/>
  <c r="M1498" i="14" s="1"/>
  <c r="U1499" i="14"/>
  <c r="V1499" i="14"/>
  <c r="U1500" i="14"/>
  <c r="L1500" i="14" s="1"/>
  <c r="V1500" i="14"/>
  <c r="B21" i="17"/>
  <c r="B22" i="17"/>
  <c r="B23" i="17"/>
  <c r="B24" i="17"/>
  <c r="B25" i="17"/>
  <c r="B26" i="17"/>
  <c r="B27" i="17"/>
  <c r="B28" i="17"/>
  <c r="B30" i="17"/>
  <c r="B31" i="17"/>
  <c r="B32" i="17"/>
  <c r="B34" i="17"/>
  <c r="B35" i="17"/>
  <c r="B36" i="17"/>
  <c r="B37" i="17"/>
  <c r="B38" i="17"/>
  <c r="B39" i="17"/>
  <c r="B40" i="17"/>
  <c r="B42" i="17"/>
  <c r="B43" i="17"/>
  <c r="B44" i="17"/>
  <c r="B45" i="17"/>
  <c r="B48" i="17"/>
  <c r="B50" i="17"/>
  <c r="B55" i="17"/>
  <c r="B56" i="17"/>
  <c r="B60" i="17"/>
  <c r="C60" i="17"/>
  <c r="C63" i="17"/>
  <c r="B67" i="17"/>
  <c r="C67" i="17"/>
  <c r="B68" i="17"/>
  <c r="C68" i="17"/>
  <c r="B69" i="17"/>
  <c r="C69" i="17"/>
  <c r="B71" i="17"/>
  <c r="C71" i="17"/>
  <c r="B72" i="17"/>
  <c r="C72" i="17"/>
  <c r="B73" i="17"/>
  <c r="C73" i="17"/>
  <c r="B74" i="17"/>
  <c r="B75" i="17"/>
  <c r="C75" i="17"/>
  <c r="B76" i="17"/>
  <c r="C76" i="17"/>
  <c r="B77" i="17"/>
  <c r="B78" i="17"/>
  <c r="C78" i="17"/>
  <c r="B79" i="17"/>
  <c r="C79" i="17"/>
  <c r="B80" i="17"/>
  <c r="B81" i="17"/>
  <c r="B83" i="17"/>
  <c r="C83" i="17"/>
  <c r="B84" i="17"/>
  <c r="C84" i="17"/>
  <c r="B85" i="17"/>
  <c r="C85" i="17"/>
  <c r="B86" i="17"/>
  <c r="B87" i="17"/>
  <c r="C87" i="17"/>
  <c r="B88" i="17"/>
  <c r="C88" i="17"/>
  <c r="B89" i="17"/>
  <c r="C89" i="17"/>
  <c r="B90" i="17"/>
  <c r="C90" i="17"/>
  <c r="B91" i="17"/>
  <c r="B92" i="17"/>
  <c r="C92" i="17"/>
  <c r="B93" i="17"/>
  <c r="C93" i="17"/>
  <c r="B94" i="17"/>
  <c r="B95" i="17"/>
  <c r="C95" i="17"/>
  <c r="B96" i="17"/>
  <c r="C96" i="17"/>
  <c r="B97" i="17"/>
  <c r="B98" i="17"/>
  <c r="C98" i="17"/>
  <c r="B99" i="17"/>
  <c r="C99" i="17"/>
  <c r="B100" i="17"/>
  <c r="C100" i="17"/>
  <c r="B101" i="17"/>
  <c r="B104" i="17"/>
  <c r="C104" i="17"/>
  <c r="B105" i="17"/>
  <c r="C105" i="17"/>
  <c r="B106" i="17"/>
  <c r="C106" i="17"/>
  <c r="B109" i="17"/>
  <c r="C109" i="17"/>
  <c r="B110" i="17"/>
  <c r="C110" i="17"/>
  <c r="B111" i="17"/>
  <c r="C111" i="17"/>
  <c r="B112" i="17"/>
  <c r="C112" i="17"/>
  <c r="B113" i="17"/>
  <c r="C113" i="17"/>
  <c r="B114" i="17"/>
  <c r="C114" i="17"/>
  <c r="B115" i="17"/>
  <c r="C115" i="17"/>
  <c r="B116" i="17"/>
  <c r="C116" i="17"/>
  <c r="B117" i="17"/>
  <c r="C117" i="17"/>
  <c r="B118" i="17"/>
  <c r="C118" i="17"/>
  <c r="B119" i="17"/>
  <c r="C119" i="17"/>
  <c r="B120" i="17"/>
  <c r="B121" i="17"/>
  <c r="C121" i="17"/>
  <c r="B122" i="17"/>
  <c r="C122" i="17"/>
  <c r="B123" i="17"/>
  <c r="C123" i="17"/>
  <c r="B124" i="17"/>
  <c r="C124" i="17"/>
  <c r="B125" i="17"/>
  <c r="C125" i="17"/>
  <c r="B126" i="17"/>
  <c r="C126" i="17"/>
  <c r="B127" i="17"/>
  <c r="C127" i="17"/>
  <c r="B128" i="17"/>
  <c r="B129" i="17"/>
  <c r="B130" i="17"/>
  <c r="C130" i="17"/>
  <c r="B131" i="17"/>
  <c r="C131" i="17"/>
  <c r="B132" i="17"/>
  <c r="C132" i="17"/>
  <c r="B133" i="17"/>
  <c r="C133" i="17"/>
  <c r="B134" i="17"/>
  <c r="C134" i="17"/>
  <c r="B135" i="17"/>
  <c r="C135" i="17"/>
  <c r="B137" i="17"/>
  <c r="C137" i="17"/>
  <c r="B138" i="17"/>
  <c r="C138" i="17"/>
  <c r="B139" i="17"/>
  <c r="B140" i="17"/>
  <c r="C140" i="17"/>
  <c r="B141" i="17"/>
  <c r="C141" i="17"/>
  <c r="B142" i="17"/>
  <c r="C142" i="17"/>
  <c r="B143" i="17"/>
  <c r="C143" i="17"/>
  <c r="B144" i="17"/>
  <c r="C144" i="17"/>
  <c r="B145" i="17"/>
  <c r="C145" i="17"/>
  <c r="B146" i="17"/>
  <c r="C146" i="17"/>
  <c r="B147" i="17"/>
  <c r="B148" i="17"/>
  <c r="B151" i="17"/>
  <c r="C151" i="17"/>
  <c r="B152" i="17"/>
  <c r="B153" i="17"/>
  <c r="B154" i="17"/>
  <c r="C154" i="17"/>
  <c r="B155" i="17"/>
  <c r="C155" i="17"/>
  <c r="B157" i="17"/>
  <c r="C157" i="17"/>
  <c r="B158" i="17"/>
  <c r="C158" i="17"/>
  <c r="B159" i="17"/>
  <c r="B161" i="17"/>
  <c r="C161" i="17"/>
  <c r="B162" i="17"/>
  <c r="C162" i="17"/>
  <c r="C163" i="17"/>
  <c r="B164" i="17"/>
  <c r="C164" i="17"/>
  <c r="B165" i="17"/>
  <c r="C165" i="17"/>
  <c r="B166" i="17"/>
  <c r="C166" i="17"/>
  <c r="B167" i="17"/>
  <c r="B169" i="17"/>
  <c r="C169" i="17"/>
  <c r="B170" i="17"/>
  <c r="B171" i="17"/>
  <c r="B172" i="17"/>
  <c r="C172" i="17"/>
  <c r="B173" i="17"/>
  <c r="C173" i="17"/>
  <c r="B174" i="17"/>
  <c r="B175" i="17"/>
  <c r="C175" i="17"/>
  <c r="B176" i="17"/>
  <c r="B177" i="17"/>
  <c r="C177" i="17"/>
  <c r="B178" i="17"/>
  <c r="C178" i="17"/>
  <c r="B179" i="17"/>
  <c r="C179" i="17"/>
  <c r="B180" i="17"/>
  <c r="B181" i="17"/>
  <c r="C181" i="17"/>
  <c r="B182" i="17"/>
  <c r="C182" i="17"/>
  <c r="B183" i="17"/>
  <c r="C183" i="17"/>
  <c r="B184" i="17"/>
  <c r="B185" i="17"/>
  <c r="C185" i="17"/>
  <c r="B186" i="17"/>
  <c r="C186" i="17"/>
  <c r="B187" i="17"/>
  <c r="C187" i="17"/>
  <c r="B188" i="17"/>
  <c r="C188" i="17"/>
  <c r="B189" i="17"/>
  <c r="C189" i="17"/>
  <c r="L189" i="14"/>
  <c r="B190" i="17" s="1"/>
  <c r="M192" i="14"/>
  <c r="C193" i="17" s="1"/>
  <c r="L193" i="14"/>
  <c r="B194" i="17" s="1"/>
  <c r="M196" i="14"/>
  <c r="C197" i="17" s="1"/>
  <c r="L197" i="14"/>
  <c r="B198" i="17" s="1"/>
  <c r="M200" i="14"/>
  <c r="C201" i="17" s="1"/>
  <c r="L201" i="14"/>
  <c r="B202" i="17" s="1"/>
  <c r="M201" i="14"/>
  <c r="C202" i="17" s="1"/>
  <c r="M203" i="14"/>
  <c r="C204" i="17" s="1"/>
  <c r="M204" i="14"/>
  <c r="C205" i="17" s="1"/>
  <c r="L205" i="14"/>
  <c r="B206" i="17" s="1"/>
  <c r="M208" i="14"/>
  <c r="C209" i="17" s="1"/>
  <c r="L209" i="14"/>
  <c r="B210" i="17" s="1"/>
  <c r="M212" i="14"/>
  <c r="C213" i="17" s="1"/>
  <c r="L213" i="14"/>
  <c r="B214" i="17" s="1"/>
  <c r="M216" i="14"/>
  <c r="C217" i="17" s="1"/>
  <c r="L217" i="14"/>
  <c r="B218" i="17" s="1"/>
  <c r="M219" i="14"/>
  <c r="C220" i="17" s="1"/>
  <c r="M220" i="14"/>
  <c r="C221" i="17" s="1"/>
  <c r="L221" i="14"/>
  <c r="B222" i="17" s="1"/>
  <c r="M224" i="14"/>
  <c r="C225" i="17" s="1"/>
  <c r="L225" i="14"/>
  <c r="B226" i="17" s="1"/>
  <c r="M227" i="14"/>
  <c r="C228" i="17" s="1"/>
  <c r="M228" i="14"/>
  <c r="C229" i="17" s="1"/>
  <c r="L229" i="14"/>
  <c r="B230" i="17" s="1"/>
  <c r="M229" i="14"/>
  <c r="C230" i="17" s="1"/>
  <c r="L230" i="14"/>
  <c r="B231" i="17" s="1"/>
  <c r="M232" i="14"/>
  <c r="C233" i="17" s="1"/>
  <c r="L233" i="14"/>
  <c r="B234" i="17" s="1"/>
  <c r="M235" i="14"/>
  <c r="C236" i="17" s="1"/>
  <c r="M236" i="14"/>
  <c r="C237" i="17" s="1"/>
  <c r="L237" i="14"/>
  <c r="B238" i="17" s="1"/>
  <c r="M237" i="14"/>
  <c r="C238" i="17" s="1"/>
  <c r="L238" i="14"/>
  <c r="B239" i="17" s="1"/>
  <c r="M240" i="14"/>
  <c r="C241" i="17" s="1"/>
  <c r="L241" i="14"/>
  <c r="B242" i="17" s="1"/>
  <c r="M243" i="14"/>
  <c r="C244" i="17" s="1"/>
  <c r="M244" i="14"/>
  <c r="C245" i="17" s="1"/>
  <c r="L245" i="14"/>
  <c r="B246" i="17" s="1"/>
  <c r="M245" i="14"/>
  <c r="C246" i="17" s="1"/>
  <c r="M248" i="14"/>
  <c r="C249" i="17" s="1"/>
  <c r="L249" i="14"/>
  <c r="B250" i="17" s="1"/>
  <c r="L251" i="14"/>
  <c r="B252" i="17" s="1"/>
  <c r="M252" i="14"/>
  <c r="C253" i="17" s="1"/>
  <c r="L253" i="14"/>
  <c r="B254" i="17" s="1"/>
  <c r="M255" i="14"/>
  <c r="C256" i="17" s="1"/>
  <c r="M256" i="14"/>
  <c r="C257" i="17" s="1"/>
  <c r="L257" i="14"/>
  <c r="B258" i="17" s="1"/>
  <c r="M260" i="14"/>
  <c r="C261" i="17" s="1"/>
  <c r="L261" i="14"/>
  <c r="B262" i="17" s="1"/>
  <c r="M264" i="14"/>
  <c r="C265" i="17" s="1"/>
  <c r="L265" i="14"/>
  <c r="B266" i="17" s="1"/>
  <c r="M268" i="14"/>
  <c r="C269" i="17" s="1"/>
  <c r="L269" i="14"/>
  <c r="B270" i="17" s="1"/>
  <c r="M271" i="14"/>
  <c r="C272" i="17" s="1"/>
  <c r="M272" i="14"/>
  <c r="C273" i="17" s="1"/>
  <c r="L273" i="14"/>
  <c r="B274" i="17" s="1"/>
  <c r="M273" i="14"/>
  <c r="C274" i="17" s="1"/>
  <c r="M276" i="14"/>
  <c r="C277" i="17" s="1"/>
  <c r="L277" i="14"/>
  <c r="B278" i="17" s="1"/>
  <c r="M280" i="14"/>
  <c r="C281" i="17" s="1"/>
  <c r="L281" i="14"/>
  <c r="B282" i="17" s="1"/>
  <c r="M284" i="14"/>
  <c r="C285" i="17" s="1"/>
  <c r="L285" i="14"/>
  <c r="B286" i="17" s="1"/>
  <c r="M287" i="14"/>
  <c r="C288" i="17" s="1"/>
  <c r="M288" i="14"/>
  <c r="C289" i="17" s="1"/>
  <c r="L289" i="14"/>
  <c r="B290" i="17" s="1"/>
  <c r="M292" i="14"/>
  <c r="C293" i="17" s="1"/>
  <c r="L293" i="14"/>
  <c r="B294" i="17" s="1"/>
  <c r="M293" i="14"/>
  <c r="C294" i="17" s="1"/>
  <c r="M296" i="14"/>
  <c r="C297" i="17" s="1"/>
  <c r="L297" i="14"/>
  <c r="B298" i="17" s="1"/>
  <c r="L298" i="14"/>
  <c r="B299" i="17" s="1"/>
  <c r="M300" i="14"/>
  <c r="C301" i="17" s="1"/>
  <c r="L301" i="14"/>
  <c r="B302" i="17" s="1"/>
  <c r="L303" i="14"/>
  <c r="B304" i="17" s="1"/>
  <c r="M304" i="14"/>
  <c r="C305" i="17" s="1"/>
  <c r="L305" i="14"/>
  <c r="B306" i="17" s="1"/>
  <c r="M308" i="14"/>
  <c r="C309" i="17" s="1"/>
  <c r="L309" i="14"/>
  <c r="B310" i="17" s="1"/>
  <c r="L311" i="14"/>
  <c r="B312" i="17" s="1"/>
  <c r="M312" i="14"/>
  <c r="C313" i="17" s="1"/>
  <c r="L313" i="14"/>
  <c r="B314" i="17" s="1"/>
  <c r="M316" i="14"/>
  <c r="C317" i="17" s="1"/>
  <c r="L317" i="14"/>
  <c r="B318" i="17" s="1"/>
  <c r="L319" i="14"/>
  <c r="B320" i="17" s="1"/>
  <c r="M319" i="14"/>
  <c r="C320" i="17" s="1"/>
  <c r="M320" i="14"/>
  <c r="C321" i="17" s="1"/>
  <c r="L321" i="14"/>
  <c r="B322" i="17" s="1"/>
  <c r="M324" i="14"/>
  <c r="C325" i="17" s="1"/>
  <c r="L325" i="14"/>
  <c r="B326" i="17" s="1"/>
  <c r="M326" i="14"/>
  <c r="C327" i="17" s="1"/>
  <c r="M327" i="14"/>
  <c r="C328" i="17" s="1"/>
  <c r="M328" i="14"/>
  <c r="C329" i="17" s="1"/>
  <c r="L329" i="14"/>
  <c r="B330" i="17" s="1"/>
  <c r="M330" i="14"/>
  <c r="C331" i="17" s="1"/>
  <c r="L331" i="14"/>
  <c r="B332" i="17" s="1"/>
  <c r="M332" i="14"/>
  <c r="C333" i="17" s="1"/>
  <c r="L333" i="14"/>
  <c r="B334" i="17" s="1"/>
  <c r="M334" i="14"/>
  <c r="C335" i="17" s="1"/>
  <c r="M336" i="14"/>
  <c r="C337" i="17" s="1"/>
  <c r="L337" i="14"/>
  <c r="B338" i="17" s="1"/>
  <c r="M338" i="14"/>
  <c r="C339" i="17" s="1"/>
  <c r="M340" i="14"/>
  <c r="C341" i="17" s="1"/>
  <c r="L341" i="14"/>
  <c r="B342" i="17" s="1"/>
  <c r="M342" i="14"/>
  <c r="C343" i="17" s="1"/>
  <c r="M343" i="14"/>
  <c r="C344" i="17" s="1"/>
  <c r="M344" i="14"/>
  <c r="C345" i="17" s="1"/>
  <c r="L345" i="14"/>
  <c r="B346" i="17" s="1"/>
  <c r="M346" i="14"/>
  <c r="C347" i="17" s="1"/>
  <c r="M347" i="14"/>
  <c r="C348" i="17" s="1"/>
  <c r="M348" i="14"/>
  <c r="C349" i="17" s="1"/>
  <c r="L349" i="14"/>
  <c r="B350" i="17" s="1"/>
  <c r="M350" i="14"/>
  <c r="C351" i="17" s="1"/>
  <c r="M352" i="14"/>
  <c r="C353" i="17" s="1"/>
  <c r="L353" i="14"/>
  <c r="B354" i="17" s="1"/>
  <c r="M354" i="14"/>
  <c r="C355" i="17" s="1"/>
  <c r="L355" i="14"/>
  <c r="B356" i="17" s="1"/>
  <c r="M356" i="14"/>
  <c r="C357" i="17" s="1"/>
  <c r="L357" i="14"/>
  <c r="B358" i="17" s="1"/>
  <c r="M358" i="14"/>
  <c r="C359" i="17" s="1"/>
  <c r="M359" i="14"/>
  <c r="C360" i="17" s="1"/>
  <c r="M360" i="14"/>
  <c r="C361" i="17" s="1"/>
  <c r="L361" i="14"/>
  <c r="B362" i="17" s="1"/>
  <c r="M362" i="14"/>
  <c r="C363" i="17" s="1"/>
  <c r="M364" i="14"/>
  <c r="C365" i="17" s="1"/>
  <c r="L365" i="14"/>
  <c r="B366" i="17" s="1"/>
  <c r="L366" i="14"/>
  <c r="B367" i="17" s="1"/>
  <c r="M366" i="14"/>
  <c r="C367" i="17" s="1"/>
  <c r="M368" i="14"/>
  <c r="C369" i="17" s="1"/>
  <c r="L369" i="14"/>
  <c r="B370" i="17" s="1"/>
  <c r="M369" i="14"/>
  <c r="C370" i="17" s="1"/>
  <c r="M370" i="14"/>
  <c r="C371" i="17" s="1"/>
  <c r="M372" i="14"/>
  <c r="C373" i="17" s="1"/>
  <c r="L373" i="14"/>
  <c r="B374" i="17" s="1"/>
  <c r="M374" i="14"/>
  <c r="C375" i="17" s="1"/>
  <c r="M376" i="14"/>
  <c r="C377" i="17" s="1"/>
  <c r="L377" i="14"/>
  <c r="B378" i="17" s="1"/>
  <c r="M377" i="14"/>
  <c r="C378" i="17" s="1"/>
  <c r="M378" i="14"/>
  <c r="C379" i="17" s="1"/>
  <c r="L379" i="14"/>
  <c r="B380" i="17" s="1"/>
  <c r="M380" i="14"/>
  <c r="C381" i="17" s="1"/>
  <c r="L381" i="14"/>
  <c r="B382" i="17" s="1"/>
  <c r="M382" i="14"/>
  <c r="C383" i="17" s="1"/>
  <c r="M384" i="14"/>
  <c r="C385" i="17" s="1"/>
  <c r="L385" i="14"/>
  <c r="B386" i="17" s="1"/>
  <c r="M386" i="14"/>
  <c r="C387" i="17" s="1"/>
  <c r="M388" i="14"/>
  <c r="C389" i="17" s="1"/>
  <c r="L389" i="14"/>
  <c r="B390" i="17" s="1"/>
  <c r="M390" i="14"/>
  <c r="C391" i="17" s="1"/>
  <c r="M392" i="14"/>
  <c r="C393" i="17" s="1"/>
  <c r="L393" i="14"/>
  <c r="B394" i="17" s="1"/>
  <c r="M394" i="14"/>
  <c r="C395" i="17" s="1"/>
  <c r="M396" i="14"/>
  <c r="C397" i="17" s="1"/>
  <c r="L397" i="14"/>
  <c r="B398" i="17" s="1"/>
  <c r="M398" i="14"/>
  <c r="C399" i="17" s="1"/>
  <c r="M400" i="14"/>
  <c r="C401" i="17" s="1"/>
  <c r="L401" i="14"/>
  <c r="B402" i="17" s="1"/>
  <c r="M402" i="14"/>
  <c r="C403" i="17" s="1"/>
  <c r="M404" i="14"/>
  <c r="C405" i="17" s="1"/>
  <c r="L405" i="14"/>
  <c r="B406" i="17" s="1"/>
  <c r="M406" i="14"/>
  <c r="C407" i="17" s="1"/>
  <c r="M407" i="14"/>
  <c r="C408" i="17" s="1"/>
  <c r="M408" i="14"/>
  <c r="C409" i="17" s="1"/>
  <c r="L409" i="14"/>
  <c r="B410" i="17" s="1"/>
  <c r="M410" i="14"/>
  <c r="C411" i="17" s="1"/>
  <c r="M411" i="14"/>
  <c r="C412" i="17" s="1"/>
  <c r="M412" i="14"/>
  <c r="C413" i="17" s="1"/>
  <c r="L413" i="14"/>
  <c r="B414" i="17" s="1"/>
  <c r="M413" i="14"/>
  <c r="C414" i="17" s="1"/>
  <c r="M414" i="14"/>
  <c r="C415" i="17" s="1"/>
  <c r="L415" i="14"/>
  <c r="B416" i="17" s="1"/>
  <c r="M416" i="14"/>
  <c r="C417" i="17" s="1"/>
  <c r="L417" i="14"/>
  <c r="B418" i="17" s="1"/>
  <c r="M418" i="14"/>
  <c r="C419" i="17" s="1"/>
  <c r="M420" i="14"/>
  <c r="C421" i="17" s="1"/>
  <c r="L421" i="14"/>
  <c r="B422" i="17" s="1"/>
  <c r="M422" i="14"/>
  <c r="C423" i="17" s="1"/>
  <c r="M423" i="14"/>
  <c r="C424" i="17" s="1"/>
  <c r="M424" i="14"/>
  <c r="C425" i="17" s="1"/>
  <c r="L425" i="14"/>
  <c r="B426" i="17" s="1"/>
  <c r="M426" i="14"/>
  <c r="C427" i="17" s="1"/>
  <c r="L427" i="14"/>
  <c r="B428" i="17" s="1"/>
  <c r="M428" i="14"/>
  <c r="C429" i="17" s="1"/>
  <c r="L429" i="14"/>
  <c r="B430" i="17" s="1"/>
  <c r="M430" i="14"/>
  <c r="C431" i="17" s="1"/>
  <c r="M432" i="14"/>
  <c r="C433" i="17" s="1"/>
  <c r="L433" i="14"/>
  <c r="B434" i="17" s="1"/>
  <c r="M434" i="14"/>
  <c r="C435" i="17" s="1"/>
  <c r="M436" i="14"/>
  <c r="C437" i="17" s="1"/>
  <c r="L437" i="14"/>
  <c r="B438" i="17" s="1"/>
  <c r="M438" i="14"/>
  <c r="C439" i="17" s="1"/>
  <c r="M440" i="14"/>
  <c r="L441" i="14"/>
  <c r="M442" i="14"/>
  <c r="M443" i="14"/>
  <c r="M444" i="14"/>
  <c r="L445" i="14"/>
  <c r="M446" i="14"/>
  <c r="M448" i="14"/>
  <c r="L449" i="14"/>
  <c r="M449" i="14"/>
  <c r="M450" i="14"/>
  <c r="M452" i="14"/>
  <c r="L453" i="14"/>
  <c r="M454" i="14"/>
  <c r="M455" i="14"/>
  <c r="M456" i="14"/>
  <c r="L457" i="14"/>
  <c r="M458" i="14"/>
  <c r="M460" i="14"/>
  <c r="L461" i="14"/>
  <c r="M462" i="14"/>
  <c r="M464" i="14"/>
  <c r="L465" i="14"/>
  <c r="M466" i="14"/>
  <c r="M468" i="14"/>
  <c r="L469" i="14"/>
  <c r="M470" i="14"/>
  <c r="M471" i="14"/>
  <c r="M472" i="14"/>
  <c r="L473" i="14"/>
  <c r="M474" i="14"/>
  <c r="M475" i="14"/>
  <c r="M476" i="14"/>
  <c r="L477" i="14"/>
  <c r="M478" i="14"/>
  <c r="M480" i="14"/>
  <c r="L481" i="14"/>
  <c r="M482" i="14"/>
  <c r="M484" i="14"/>
  <c r="L485" i="14"/>
  <c r="M486" i="14"/>
  <c r="M487" i="14"/>
  <c r="M488" i="14"/>
  <c r="L489" i="14"/>
  <c r="M490" i="14"/>
  <c r="M492" i="14"/>
  <c r="L493" i="14"/>
  <c r="M493" i="14"/>
  <c r="M494" i="14"/>
  <c r="M496" i="14"/>
  <c r="L497" i="14"/>
  <c r="M498" i="14"/>
  <c r="M500" i="14"/>
  <c r="L501" i="14"/>
  <c r="M501" i="14"/>
  <c r="M502" i="14"/>
  <c r="M504" i="14"/>
  <c r="L505" i="14"/>
  <c r="M506" i="14"/>
  <c r="M508" i="14"/>
  <c r="L509" i="14"/>
  <c r="M509" i="14"/>
  <c r="M510" i="14"/>
  <c r="M512" i="14"/>
  <c r="L513" i="14"/>
  <c r="M514" i="14"/>
  <c r="M516" i="14"/>
  <c r="L517" i="14"/>
  <c r="M517" i="14"/>
  <c r="M518" i="14"/>
  <c r="L519" i="14"/>
  <c r="M520" i="14"/>
  <c r="L521" i="14"/>
  <c r="M522" i="14"/>
  <c r="M524" i="14"/>
  <c r="L525" i="14"/>
  <c r="M526" i="14"/>
  <c r="M528" i="14"/>
  <c r="L529" i="14"/>
  <c r="M530" i="14"/>
  <c r="L531" i="14"/>
  <c r="M532" i="14"/>
  <c r="L533" i="14"/>
  <c r="M534" i="14"/>
  <c r="M535" i="14"/>
  <c r="M536" i="14"/>
  <c r="L537" i="14"/>
  <c r="M537" i="14"/>
  <c r="M538" i="14"/>
  <c r="M539" i="14"/>
  <c r="M540" i="14"/>
  <c r="L541" i="14"/>
  <c r="M542" i="14"/>
  <c r="M544" i="14"/>
  <c r="L545" i="14"/>
  <c r="M546" i="14"/>
  <c r="M548" i="14"/>
  <c r="L549" i="14"/>
  <c r="M550" i="14"/>
  <c r="M551" i="14"/>
  <c r="M552" i="14"/>
  <c r="L553" i="14"/>
  <c r="M554" i="14"/>
  <c r="M556" i="14"/>
  <c r="L557" i="14"/>
  <c r="M558" i="14"/>
  <c r="M560" i="14"/>
  <c r="L561" i="14"/>
  <c r="M562" i="14"/>
  <c r="M564" i="14"/>
  <c r="L565" i="14"/>
  <c r="M566" i="14"/>
  <c r="L567" i="14"/>
  <c r="M568" i="14"/>
  <c r="L569" i="14"/>
  <c r="M570" i="14"/>
  <c r="M571" i="14"/>
  <c r="M572" i="14"/>
  <c r="L573" i="14"/>
  <c r="M573" i="14"/>
  <c r="M574" i="14"/>
  <c r="M576" i="14"/>
  <c r="L577" i="14"/>
  <c r="M578" i="14"/>
  <c r="L579" i="14"/>
  <c r="M580" i="14"/>
  <c r="L581" i="14"/>
  <c r="M582" i="14"/>
  <c r="M583" i="14"/>
  <c r="M584" i="14"/>
  <c r="L585" i="14"/>
  <c r="M586" i="14"/>
  <c r="M588" i="14"/>
  <c r="L589" i="14"/>
  <c r="M590" i="14"/>
  <c r="L591" i="14"/>
  <c r="M592" i="14"/>
  <c r="L593" i="14"/>
  <c r="M594" i="14"/>
  <c r="M596" i="14"/>
  <c r="L597" i="14"/>
  <c r="M598" i="14"/>
  <c r="M599" i="14"/>
  <c r="M600" i="14"/>
  <c r="L601" i="14"/>
  <c r="M601" i="14"/>
  <c r="M602" i="14"/>
  <c r="L603" i="14"/>
  <c r="M603" i="14"/>
  <c r="M604" i="14"/>
  <c r="L605" i="14"/>
  <c r="M606" i="14"/>
  <c r="M608" i="14"/>
  <c r="L609" i="14"/>
  <c r="M610" i="14"/>
  <c r="M612" i="14"/>
  <c r="L613" i="14"/>
  <c r="M614" i="14"/>
  <c r="L615" i="14"/>
  <c r="M615" i="14"/>
  <c r="M616" i="14"/>
  <c r="L617" i="14"/>
  <c r="M618" i="14"/>
  <c r="M620" i="14"/>
  <c r="L621" i="14"/>
  <c r="M621" i="14"/>
  <c r="L622" i="14"/>
  <c r="M622" i="14"/>
  <c r="M624" i="14"/>
  <c r="L625" i="14"/>
  <c r="M626" i="14"/>
  <c r="M628" i="14"/>
  <c r="L629" i="14"/>
  <c r="M630" i="14"/>
  <c r="M632" i="14"/>
  <c r="L633" i="14"/>
  <c r="M634" i="14"/>
  <c r="M636" i="14"/>
  <c r="L637" i="14"/>
  <c r="M638" i="14"/>
  <c r="L639" i="14"/>
  <c r="M640" i="14"/>
  <c r="L641" i="14"/>
  <c r="M642" i="14"/>
  <c r="M644" i="14"/>
  <c r="L645" i="14"/>
  <c r="M646" i="14"/>
  <c r="M648" i="14"/>
  <c r="L649" i="14"/>
  <c r="M650" i="14"/>
  <c r="M652" i="14"/>
  <c r="L653" i="14"/>
  <c r="L654" i="14"/>
  <c r="M654" i="14"/>
  <c r="M656" i="14"/>
  <c r="L657" i="14"/>
  <c r="M658" i="14"/>
  <c r="M660" i="14"/>
  <c r="L661" i="14"/>
  <c r="M662" i="14"/>
  <c r="M663" i="14"/>
  <c r="M664" i="14"/>
  <c r="L665" i="14"/>
  <c r="M665" i="14"/>
  <c r="M666" i="14"/>
  <c r="M667" i="14"/>
  <c r="M668" i="14"/>
  <c r="L669" i="14"/>
  <c r="M670" i="14"/>
  <c r="M672" i="14"/>
  <c r="L673" i="14"/>
  <c r="M674" i="14"/>
  <c r="L675" i="14"/>
  <c r="M676" i="14"/>
  <c r="L677" i="14"/>
  <c r="M678" i="14"/>
  <c r="M679" i="14"/>
  <c r="M680" i="14"/>
  <c r="L681" i="14"/>
  <c r="M682" i="14"/>
  <c r="M684" i="14"/>
  <c r="L685" i="14"/>
  <c r="M686" i="14"/>
  <c r="L687" i="14"/>
  <c r="M688" i="14"/>
  <c r="L689" i="14"/>
  <c r="M690" i="14"/>
  <c r="M692" i="14"/>
  <c r="L693" i="14"/>
  <c r="M693" i="14"/>
  <c r="M694" i="14"/>
  <c r="M696" i="14"/>
  <c r="L697" i="14"/>
  <c r="M698" i="14"/>
  <c r="M699" i="14"/>
  <c r="M700" i="14"/>
  <c r="L701" i="14"/>
  <c r="M702" i="14"/>
  <c r="M704" i="14"/>
  <c r="L705" i="14"/>
  <c r="M706" i="14"/>
  <c r="M708" i="14"/>
  <c r="L709" i="14"/>
  <c r="M710" i="14"/>
  <c r="M711" i="14"/>
  <c r="M712" i="14"/>
  <c r="L713" i="14"/>
  <c r="M714" i="14"/>
  <c r="M716" i="14"/>
  <c r="L717" i="14"/>
  <c r="M718" i="14"/>
  <c r="M720" i="14"/>
  <c r="L721" i="14"/>
  <c r="M722" i="14"/>
  <c r="M724" i="14"/>
  <c r="L725" i="14"/>
  <c r="M726" i="14"/>
  <c r="M727" i="14"/>
  <c r="M728" i="14"/>
  <c r="L729" i="14"/>
  <c r="M730" i="14"/>
  <c r="M731" i="14"/>
  <c r="M732" i="14"/>
  <c r="L733" i="14"/>
  <c r="M734" i="14"/>
  <c r="L735" i="14"/>
  <c r="M736" i="14"/>
  <c r="L737" i="14"/>
  <c r="M738" i="14"/>
  <c r="M740" i="14"/>
  <c r="L741" i="14"/>
  <c r="M742" i="14"/>
  <c r="M743" i="14"/>
  <c r="M744" i="14"/>
  <c r="L745" i="14"/>
  <c r="M746" i="14"/>
  <c r="L747" i="14"/>
  <c r="M748" i="14"/>
  <c r="L749" i="14"/>
  <c r="M750" i="14"/>
  <c r="M752" i="14"/>
  <c r="L753" i="14"/>
  <c r="M754" i="14"/>
  <c r="M756" i="14"/>
  <c r="L757" i="14"/>
  <c r="M758" i="14"/>
  <c r="M760" i="14"/>
  <c r="L761" i="14"/>
  <c r="M762" i="14"/>
  <c r="M764" i="14"/>
  <c r="L765" i="14"/>
  <c r="M766" i="14"/>
  <c r="M768" i="14"/>
  <c r="L769" i="14"/>
  <c r="M770" i="14"/>
  <c r="M772" i="14"/>
  <c r="L773" i="14"/>
  <c r="M774" i="14"/>
  <c r="M776" i="14"/>
  <c r="L777" i="14"/>
  <c r="M778" i="14"/>
  <c r="L779" i="14"/>
  <c r="M780" i="14"/>
  <c r="L781" i="14"/>
  <c r="M781" i="14"/>
  <c r="M782" i="14"/>
  <c r="M784" i="14"/>
  <c r="L785" i="14"/>
  <c r="M786" i="14"/>
  <c r="M787" i="14"/>
  <c r="M788" i="14"/>
  <c r="L789" i="14"/>
  <c r="M790" i="14"/>
  <c r="L791" i="14"/>
  <c r="M792" i="14"/>
  <c r="L793" i="14"/>
  <c r="M794" i="14"/>
  <c r="M796" i="14"/>
  <c r="L797" i="14"/>
  <c r="M798" i="14"/>
  <c r="M800" i="14"/>
  <c r="L801" i="14"/>
  <c r="M802" i="14"/>
  <c r="M803" i="14"/>
  <c r="M804" i="14"/>
  <c r="L805" i="14"/>
  <c r="M806" i="14"/>
  <c r="M807" i="14"/>
  <c r="M808" i="14"/>
  <c r="L809" i="14"/>
  <c r="M809" i="14"/>
  <c r="M810" i="14"/>
  <c r="M812" i="14"/>
  <c r="L813" i="14"/>
  <c r="L814" i="14"/>
  <c r="M814" i="14"/>
  <c r="M816" i="14"/>
  <c r="L817" i="14"/>
  <c r="M818" i="14"/>
  <c r="M819" i="14"/>
  <c r="M820" i="14"/>
  <c r="L821" i="14"/>
  <c r="M822" i="14"/>
  <c r="M823" i="14"/>
  <c r="M824" i="14"/>
  <c r="L825" i="14"/>
  <c r="M826" i="14"/>
  <c r="M827" i="14"/>
  <c r="M828" i="14"/>
  <c r="L829" i="14"/>
  <c r="M829" i="14"/>
  <c r="M830" i="14"/>
  <c r="L831" i="14"/>
  <c r="M832" i="14"/>
  <c r="L833" i="14"/>
  <c r="M834" i="14"/>
  <c r="M836" i="14"/>
  <c r="L837" i="14"/>
  <c r="M838" i="14"/>
  <c r="M839" i="14"/>
  <c r="M840" i="14"/>
  <c r="L841" i="14"/>
  <c r="M842" i="14"/>
  <c r="L843" i="14"/>
  <c r="M844" i="14"/>
  <c r="L845" i="14"/>
  <c r="M846" i="14"/>
  <c r="M848" i="14"/>
  <c r="L849" i="14"/>
  <c r="M850" i="14"/>
  <c r="M851" i="14"/>
  <c r="M852" i="14"/>
  <c r="L853" i="14"/>
  <c r="L854" i="14"/>
  <c r="M854" i="14"/>
  <c r="M856" i="14"/>
  <c r="L857" i="14"/>
  <c r="M858" i="14"/>
  <c r="M859" i="14"/>
  <c r="M860" i="14"/>
  <c r="L861" i="14"/>
  <c r="M862" i="14"/>
  <c r="M864" i="14"/>
  <c r="L865" i="14"/>
  <c r="M866" i="14"/>
  <c r="M868" i="14"/>
  <c r="L869" i="14"/>
  <c r="M870" i="14"/>
  <c r="M871" i="14"/>
  <c r="M872" i="14"/>
  <c r="L873" i="14"/>
  <c r="M874" i="14"/>
  <c r="M875" i="14"/>
  <c r="M876" i="14"/>
  <c r="L877" i="14"/>
  <c r="M877" i="14"/>
  <c r="L878" i="14"/>
  <c r="M878" i="14"/>
  <c r="M880" i="14"/>
  <c r="L881" i="14"/>
  <c r="M882" i="14"/>
  <c r="M883" i="14"/>
  <c r="M884" i="14"/>
  <c r="L885" i="14"/>
  <c r="M886" i="14"/>
  <c r="M888" i="14"/>
  <c r="L889" i="14"/>
  <c r="M890" i="14"/>
  <c r="M892" i="14"/>
  <c r="L893" i="14"/>
  <c r="M894" i="14"/>
  <c r="L895" i="14"/>
  <c r="M896" i="14"/>
  <c r="L897" i="14"/>
  <c r="M897" i="14"/>
  <c r="M898" i="14"/>
  <c r="M899" i="14"/>
  <c r="M900" i="14"/>
  <c r="L901" i="14"/>
  <c r="M902" i="14"/>
  <c r="M904" i="14"/>
  <c r="L905" i="14"/>
  <c r="M906" i="14"/>
  <c r="M907" i="14"/>
  <c r="M908" i="14"/>
  <c r="L909" i="14"/>
  <c r="M910" i="14"/>
  <c r="M912" i="14"/>
  <c r="L913" i="14"/>
  <c r="M914" i="14"/>
  <c r="M915" i="14"/>
  <c r="M916" i="14"/>
  <c r="L917" i="14"/>
  <c r="M917" i="14"/>
  <c r="M918" i="14"/>
  <c r="M920" i="14"/>
  <c r="L921" i="14"/>
  <c r="M922" i="14"/>
  <c r="M923" i="14"/>
  <c r="M924" i="14"/>
  <c r="L925" i="14"/>
  <c r="M926" i="14"/>
  <c r="M927" i="14"/>
  <c r="M928" i="14"/>
  <c r="L929" i="14"/>
  <c r="M930" i="14"/>
  <c r="M932" i="14"/>
  <c r="L933" i="14"/>
  <c r="M934" i="14"/>
  <c r="L935" i="14"/>
  <c r="M936" i="14"/>
  <c r="L937" i="14"/>
  <c r="M938" i="14"/>
  <c r="M939" i="14"/>
  <c r="M940" i="14"/>
  <c r="L941" i="14"/>
  <c r="M942" i="14"/>
  <c r="M944" i="14"/>
  <c r="L945" i="14"/>
  <c r="M945" i="14"/>
  <c r="M946" i="14"/>
  <c r="M947" i="14"/>
  <c r="M948" i="14"/>
  <c r="L949" i="14"/>
  <c r="M950" i="14"/>
  <c r="M952" i="14"/>
  <c r="L953" i="14"/>
  <c r="M954" i="14"/>
  <c r="M955" i="14"/>
  <c r="M956" i="14"/>
  <c r="L957" i="14"/>
  <c r="M958" i="14"/>
  <c r="M959" i="14"/>
  <c r="M960" i="14"/>
  <c r="L961" i="14"/>
  <c r="M962" i="14"/>
  <c r="M963" i="14"/>
  <c r="M964" i="14"/>
  <c r="L965" i="14"/>
  <c r="M966" i="14"/>
  <c r="M967" i="14"/>
  <c r="M968" i="14"/>
  <c r="L969" i="14"/>
  <c r="M970" i="14"/>
  <c r="M971" i="14"/>
  <c r="M972" i="14"/>
  <c r="L973" i="14"/>
  <c r="M974" i="14"/>
  <c r="M975" i="14"/>
  <c r="M976" i="14"/>
  <c r="L977" i="14"/>
  <c r="M977" i="14"/>
  <c r="M978" i="14"/>
  <c r="M979" i="14"/>
  <c r="M980" i="14"/>
  <c r="L981" i="14"/>
  <c r="M982" i="14"/>
  <c r="L984" i="14"/>
  <c r="M984" i="14"/>
  <c r="L985" i="14"/>
  <c r="M986" i="14"/>
  <c r="M987" i="14"/>
  <c r="M988" i="14"/>
  <c r="L989" i="14"/>
  <c r="M989" i="14"/>
  <c r="M990" i="14"/>
  <c r="M991" i="14"/>
  <c r="M992" i="14"/>
  <c r="L993" i="14"/>
  <c r="M994" i="14"/>
  <c r="M996" i="14"/>
  <c r="L997" i="14"/>
  <c r="M998" i="14"/>
  <c r="L999" i="14"/>
  <c r="M999" i="14"/>
  <c r="M1000" i="14"/>
  <c r="L1001" i="14"/>
  <c r="M1001" i="14"/>
  <c r="M1002" i="14"/>
  <c r="M1003" i="14"/>
  <c r="M1004" i="14"/>
  <c r="L1005" i="14"/>
  <c r="M1006" i="14"/>
  <c r="M1008" i="14"/>
  <c r="L1009" i="14"/>
  <c r="M1010" i="14"/>
  <c r="M1011" i="14"/>
  <c r="M1012" i="14"/>
  <c r="L1013" i="14"/>
  <c r="M1014" i="14"/>
  <c r="L1015" i="14"/>
  <c r="M1015" i="14"/>
  <c r="L1016" i="14"/>
  <c r="M1016" i="14"/>
  <c r="L1017" i="14"/>
  <c r="M1018" i="14"/>
  <c r="M1019" i="14"/>
  <c r="M1020" i="14"/>
  <c r="L1021" i="14"/>
  <c r="M1022" i="14"/>
  <c r="M1023" i="14"/>
  <c r="M1024" i="14"/>
  <c r="L1025" i="14"/>
  <c r="M1025" i="14"/>
  <c r="M1026" i="14"/>
  <c r="M1027" i="14"/>
  <c r="M1028" i="14"/>
  <c r="L1029" i="14"/>
  <c r="M1030" i="14"/>
  <c r="M1032" i="14"/>
  <c r="L1033" i="14"/>
  <c r="M1034" i="14"/>
  <c r="M1035" i="14"/>
  <c r="M1036" i="14"/>
  <c r="L1037" i="14"/>
  <c r="M1038" i="14"/>
  <c r="M1039" i="14"/>
  <c r="M1040" i="14"/>
  <c r="L1041" i="14"/>
  <c r="M1042" i="14"/>
  <c r="M1043" i="14"/>
  <c r="M1044" i="14"/>
  <c r="L1045" i="14"/>
  <c r="M1046" i="14"/>
  <c r="M1047" i="14"/>
  <c r="M1048" i="14"/>
  <c r="L1049" i="14"/>
  <c r="M1050" i="14"/>
  <c r="L1051" i="14"/>
  <c r="M1051" i="14"/>
  <c r="M1052" i="14"/>
  <c r="L1053" i="14"/>
  <c r="M1054" i="14"/>
  <c r="M1055" i="14"/>
  <c r="M1056" i="14"/>
  <c r="L1057" i="14"/>
  <c r="M1058" i="14"/>
  <c r="M1059" i="14"/>
  <c r="M1060" i="14"/>
  <c r="L1061" i="14"/>
  <c r="M1062" i="14"/>
  <c r="M1063" i="14"/>
  <c r="M1064" i="14"/>
  <c r="L1065" i="14"/>
  <c r="M1066" i="14"/>
  <c r="L1067" i="14"/>
  <c r="M1067" i="14"/>
  <c r="M1068" i="14"/>
  <c r="L1069" i="14"/>
  <c r="M1070" i="14"/>
  <c r="M1071" i="14"/>
  <c r="M1072" i="14"/>
  <c r="L1073" i="14"/>
  <c r="M1074" i="14"/>
  <c r="M1075" i="14"/>
  <c r="M1076" i="14"/>
  <c r="L1077" i="14"/>
  <c r="M1078" i="14"/>
  <c r="M1079" i="14"/>
  <c r="M1080" i="14"/>
  <c r="L1081" i="14"/>
  <c r="M1081" i="14"/>
  <c r="M1082" i="14"/>
  <c r="M1083" i="14"/>
  <c r="M1084" i="14"/>
  <c r="L1085" i="14"/>
  <c r="M1086" i="14"/>
  <c r="M1088" i="14"/>
  <c r="L1089" i="14"/>
  <c r="M1090" i="14"/>
  <c r="M1091" i="14"/>
  <c r="M1092" i="14"/>
  <c r="L1093" i="14"/>
  <c r="M1094" i="14"/>
  <c r="M1095" i="14"/>
  <c r="M1096" i="14"/>
  <c r="L1097" i="14"/>
  <c r="M1098" i="14"/>
  <c r="M1099" i="14"/>
  <c r="M1100" i="14"/>
  <c r="L1101" i="14"/>
  <c r="M1102" i="14"/>
  <c r="M1103" i="14"/>
  <c r="M1104" i="14"/>
  <c r="L1105" i="14"/>
  <c r="M1106" i="14"/>
  <c r="M1107" i="14"/>
  <c r="M1108" i="14"/>
  <c r="L1109" i="14"/>
  <c r="M1110" i="14"/>
  <c r="M1111" i="14"/>
  <c r="M1112" i="14"/>
  <c r="L1113" i="14"/>
  <c r="M1113" i="14"/>
  <c r="M1114" i="14"/>
  <c r="M1115" i="14"/>
  <c r="M1116" i="14"/>
  <c r="L1117" i="14"/>
  <c r="M1118" i="14"/>
  <c r="M1119" i="14"/>
  <c r="M1120" i="14"/>
  <c r="L1121" i="14"/>
  <c r="M1122" i="14"/>
  <c r="M1123" i="14"/>
  <c r="M1124" i="14"/>
  <c r="L1125" i="14"/>
  <c r="M1125" i="14"/>
  <c r="M1126" i="14"/>
  <c r="M1127" i="14"/>
  <c r="M1128" i="14"/>
  <c r="L1129" i="14"/>
  <c r="M1130" i="14"/>
  <c r="M1132" i="14"/>
  <c r="L1133" i="14"/>
  <c r="M1134" i="14"/>
  <c r="L1135" i="14"/>
  <c r="M1135" i="14"/>
  <c r="M1136" i="14"/>
  <c r="L1137" i="14"/>
  <c r="M1137" i="14"/>
  <c r="M1138" i="14"/>
  <c r="M1139" i="14"/>
  <c r="M1140" i="14"/>
  <c r="L1141" i="14"/>
  <c r="M1142" i="14"/>
  <c r="L1144" i="14"/>
  <c r="M1144" i="14"/>
  <c r="L1145" i="14"/>
  <c r="M1146" i="14"/>
  <c r="M1147" i="14"/>
  <c r="M1148" i="14"/>
  <c r="L1149" i="14"/>
  <c r="M1149" i="14"/>
  <c r="M1150" i="14"/>
  <c r="M1151" i="14"/>
  <c r="M1152" i="14"/>
  <c r="L1153" i="14"/>
  <c r="M1154" i="14"/>
  <c r="M1156" i="14"/>
  <c r="L1157" i="14"/>
  <c r="M1158" i="14"/>
  <c r="M1159" i="14"/>
  <c r="M1160" i="14"/>
  <c r="L1161" i="14"/>
  <c r="M1162" i="14"/>
  <c r="M1163" i="14"/>
  <c r="M1164" i="14"/>
  <c r="L1165" i="14"/>
  <c r="M1166" i="14"/>
  <c r="M1167" i="14"/>
  <c r="M1168" i="14"/>
  <c r="L1169" i="14"/>
  <c r="M1170" i="14"/>
  <c r="M1171" i="14"/>
  <c r="M1172" i="14"/>
  <c r="L1173" i="14"/>
  <c r="M1174" i="14"/>
  <c r="M1175" i="14"/>
  <c r="M1176" i="14"/>
  <c r="L1177" i="14"/>
  <c r="M1178" i="14"/>
  <c r="M1179" i="14"/>
  <c r="M1180" i="14"/>
  <c r="L1181" i="14"/>
  <c r="M1181" i="14"/>
  <c r="M1182" i="14"/>
  <c r="M1183" i="14"/>
  <c r="M1184" i="14"/>
  <c r="L1185" i="14"/>
  <c r="M1186" i="14"/>
  <c r="M1187" i="14"/>
  <c r="M1188" i="14"/>
  <c r="L1189" i="14"/>
  <c r="M1190" i="14"/>
  <c r="M1191" i="14"/>
  <c r="M1192" i="14"/>
  <c r="L1193" i="14"/>
  <c r="M1193" i="14"/>
  <c r="M1194" i="14"/>
  <c r="M1195" i="14"/>
  <c r="M1196" i="14"/>
  <c r="L1197" i="14"/>
  <c r="M1198" i="14"/>
  <c r="M1200" i="14"/>
  <c r="L1201" i="14"/>
  <c r="M1202" i="14"/>
  <c r="L1203" i="14"/>
  <c r="M1203" i="14"/>
  <c r="M1204" i="14"/>
  <c r="L1205" i="14"/>
  <c r="M1205" i="14"/>
  <c r="M1206" i="14"/>
  <c r="M1207" i="14"/>
  <c r="L1208" i="14"/>
  <c r="M1208" i="14"/>
  <c r="L1209" i="14"/>
  <c r="M1210" i="14"/>
  <c r="M1211" i="14"/>
  <c r="M1212" i="14"/>
  <c r="L1213" i="14"/>
  <c r="M1214" i="14"/>
  <c r="M1215" i="14"/>
  <c r="M1216" i="14"/>
  <c r="L1217" i="14"/>
  <c r="M1217" i="14"/>
  <c r="M1218" i="14"/>
  <c r="M1219" i="14"/>
  <c r="M1220" i="14"/>
  <c r="L1221" i="14"/>
  <c r="M1222" i="14"/>
  <c r="M1224" i="14"/>
  <c r="L1225" i="14"/>
  <c r="M1226" i="14"/>
  <c r="M1227" i="14"/>
  <c r="M1228" i="14"/>
  <c r="L1229" i="14"/>
  <c r="M1230" i="14"/>
  <c r="M1231" i="14"/>
  <c r="M1232" i="14"/>
  <c r="L1233" i="14"/>
  <c r="M1234" i="14"/>
  <c r="M1235" i="14"/>
  <c r="M1236" i="14"/>
  <c r="L1237" i="14"/>
  <c r="M1238" i="14"/>
  <c r="M1239" i="14"/>
  <c r="L1240" i="14"/>
  <c r="M1240" i="14"/>
  <c r="L1241" i="14"/>
  <c r="M1242" i="14"/>
  <c r="M1243" i="14"/>
  <c r="M1244" i="14"/>
  <c r="L1245" i="14"/>
  <c r="M1246" i="14"/>
  <c r="M1247" i="14"/>
  <c r="M1248" i="14"/>
  <c r="L1249" i="14"/>
  <c r="M1250" i="14"/>
  <c r="M1251" i="14"/>
  <c r="M1252" i="14"/>
  <c r="L1253" i="14"/>
  <c r="M1254" i="14"/>
  <c r="L1255" i="14"/>
  <c r="M1255" i="14"/>
  <c r="M1256" i="14"/>
  <c r="L1257" i="14"/>
  <c r="M1258" i="14"/>
  <c r="M1259" i="14"/>
  <c r="M1260" i="14"/>
  <c r="L1261" i="14"/>
  <c r="M1262" i="14"/>
  <c r="M1263" i="14"/>
  <c r="M1264" i="14"/>
  <c r="L1265" i="14"/>
  <c r="M1266" i="14"/>
  <c r="M1267" i="14"/>
  <c r="M1268" i="14"/>
  <c r="L1269" i="14"/>
  <c r="L1270" i="14"/>
  <c r="M1270" i="14"/>
  <c r="M1272" i="14"/>
  <c r="L1273" i="14"/>
  <c r="L1274" i="14"/>
  <c r="M1274" i="14"/>
  <c r="M1275" i="14"/>
  <c r="M1276" i="14"/>
  <c r="L1277" i="14"/>
  <c r="M1277" i="14"/>
  <c r="L1278" i="14"/>
  <c r="M1278" i="14"/>
  <c r="M1279" i="14"/>
  <c r="M1280" i="14"/>
  <c r="L1281" i="14"/>
  <c r="M1282" i="14"/>
  <c r="L1283" i="14"/>
  <c r="M1283" i="14"/>
  <c r="M1284" i="14"/>
  <c r="L1285" i="14"/>
  <c r="M1286" i="14"/>
  <c r="M1288" i="14"/>
  <c r="L1289" i="14"/>
  <c r="M1290" i="14"/>
  <c r="M1291" i="14"/>
  <c r="M1292" i="14"/>
  <c r="L1293" i="14"/>
  <c r="M1294" i="14"/>
  <c r="M1295" i="14"/>
  <c r="M1296" i="14"/>
  <c r="L1297" i="14"/>
  <c r="L1298" i="14"/>
  <c r="M1298" i="14"/>
  <c r="M1300" i="14"/>
  <c r="L1301" i="14"/>
  <c r="L1302" i="14"/>
  <c r="M1302" i="14"/>
  <c r="M1303" i="14"/>
  <c r="M1304" i="14"/>
  <c r="L1305" i="14"/>
  <c r="M1305" i="14"/>
  <c r="L1306" i="14"/>
  <c r="M1306" i="14"/>
  <c r="M1307" i="14"/>
  <c r="M1308" i="14"/>
  <c r="L1309" i="14"/>
  <c r="M1310" i="14"/>
  <c r="M1311" i="14"/>
  <c r="M1312" i="14"/>
  <c r="L1313" i="14"/>
  <c r="L1314" i="14"/>
  <c r="M1314" i="14"/>
  <c r="M1315" i="14"/>
  <c r="M1316" i="14"/>
  <c r="L1317" i="14"/>
  <c r="M1318" i="14"/>
  <c r="M1319" i="14"/>
  <c r="M1320" i="14"/>
  <c r="L1321" i="14"/>
  <c r="M1321" i="14"/>
  <c r="M1322" i="14"/>
  <c r="M1323" i="14"/>
  <c r="M1324" i="14"/>
  <c r="L1325" i="14"/>
  <c r="M1326" i="14"/>
  <c r="M1328" i="14"/>
  <c r="L1329" i="14"/>
  <c r="L1330" i="14"/>
  <c r="M1330" i="14"/>
  <c r="M1331" i="14"/>
  <c r="M1332" i="14"/>
  <c r="L1333" i="14"/>
  <c r="M1333" i="14"/>
  <c r="L1334" i="14"/>
  <c r="M1334" i="14"/>
  <c r="M1335" i="14"/>
  <c r="M1336" i="14"/>
  <c r="L1337" i="14"/>
  <c r="M1338" i="14"/>
  <c r="M1339" i="14"/>
  <c r="M1340" i="14"/>
  <c r="L1341" i="14"/>
  <c r="L1342" i="14"/>
  <c r="M1342" i="14"/>
  <c r="M1344" i="14"/>
  <c r="L1345" i="14"/>
  <c r="L1346" i="14"/>
  <c r="M1346" i="14"/>
  <c r="L1347" i="14"/>
  <c r="M1347" i="14"/>
  <c r="M1348" i="14"/>
  <c r="L1349" i="14"/>
  <c r="M1350" i="14"/>
  <c r="M1351" i="14"/>
  <c r="M1352" i="14"/>
  <c r="L1353" i="14"/>
  <c r="M1354" i="14"/>
  <c r="M1355" i="14"/>
  <c r="M1356" i="14"/>
  <c r="L1358" i="14"/>
  <c r="M1359" i="14"/>
  <c r="M1360" i="14"/>
  <c r="M1361" i="14"/>
  <c r="L1362" i="14"/>
  <c r="M1362" i="14"/>
  <c r="L1363" i="14"/>
  <c r="M1363" i="14"/>
  <c r="M1364" i="14"/>
  <c r="M1365" i="14"/>
  <c r="L1366" i="14"/>
  <c r="M1367" i="14"/>
  <c r="M1368" i="14"/>
  <c r="M1369" i="14"/>
  <c r="L1370" i="14"/>
  <c r="L1371" i="14"/>
  <c r="M1371" i="14"/>
  <c r="M1373" i="14"/>
  <c r="L1374" i="14"/>
  <c r="L1375" i="14"/>
  <c r="M1375" i="14"/>
  <c r="M1376" i="14"/>
  <c r="M1377" i="14"/>
  <c r="L1378" i="14"/>
  <c r="M1378" i="14"/>
  <c r="L1379" i="14"/>
  <c r="M1379" i="14"/>
  <c r="L1380" i="14"/>
  <c r="M1380" i="14"/>
  <c r="M1381" i="14"/>
  <c r="L1382" i="14"/>
  <c r="M1383" i="14"/>
  <c r="M1384" i="14"/>
  <c r="M1385" i="14"/>
  <c r="L1386" i="14"/>
  <c r="M1387" i="14"/>
  <c r="M1388" i="14"/>
  <c r="M1389" i="14"/>
  <c r="L1390" i="14"/>
  <c r="M1391" i="14"/>
  <c r="M1392" i="14"/>
  <c r="M1393" i="14"/>
  <c r="L1394" i="14"/>
  <c r="M1395" i="14"/>
  <c r="M1396" i="14"/>
  <c r="M1397" i="14"/>
  <c r="L1398" i="14"/>
  <c r="L1399" i="14"/>
  <c r="M1399" i="14"/>
  <c r="M1401" i="14"/>
  <c r="L1402" i="14"/>
  <c r="L1403" i="14"/>
  <c r="M1403" i="14"/>
  <c r="M1404" i="14"/>
  <c r="M1405" i="14"/>
  <c r="L1406" i="14"/>
  <c r="M1406" i="14"/>
  <c r="L1407" i="14"/>
  <c r="M1407" i="14"/>
  <c r="M1408" i="14"/>
  <c r="M1409" i="14"/>
  <c r="L1410" i="14"/>
  <c r="M1411" i="14"/>
  <c r="L1412" i="14"/>
  <c r="M1412" i="14"/>
  <c r="M1413" i="14"/>
  <c r="L1414" i="14"/>
  <c r="M1415" i="14"/>
  <c r="M1417" i="14"/>
  <c r="L1418" i="14"/>
  <c r="M1419" i="14"/>
  <c r="M1420" i="14"/>
  <c r="M1421" i="14"/>
  <c r="L1422" i="14"/>
  <c r="M1423" i="14"/>
  <c r="M1424" i="14"/>
  <c r="M1425" i="14"/>
  <c r="L1426" i="14"/>
  <c r="L1427" i="14"/>
  <c r="M1427" i="14"/>
  <c r="M1429" i="14"/>
  <c r="L1430" i="14"/>
  <c r="L1431" i="14"/>
  <c r="M1431" i="14"/>
  <c r="M1432" i="14"/>
  <c r="M1433" i="14"/>
  <c r="L1434" i="14"/>
  <c r="M1434" i="14"/>
  <c r="L1435" i="14"/>
  <c r="M1435" i="14"/>
  <c r="M1436" i="14"/>
  <c r="M1437" i="14"/>
  <c r="L1438" i="14"/>
  <c r="M1439" i="14"/>
  <c r="M1440" i="14"/>
  <c r="M1441" i="14"/>
  <c r="L1442" i="14"/>
  <c r="L1443" i="14"/>
  <c r="M1443" i="14"/>
  <c r="M1444" i="14"/>
  <c r="M1445" i="14"/>
  <c r="L1446" i="14"/>
  <c r="M1447" i="14"/>
  <c r="M1448" i="14"/>
  <c r="M1449" i="14"/>
  <c r="L1450" i="14"/>
  <c r="M1450" i="14"/>
  <c r="M1451" i="14"/>
  <c r="M1452" i="14"/>
  <c r="M1453" i="14"/>
  <c r="L1454" i="14"/>
  <c r="M1455" i="14"/>
  <c r="M1457" i="14"/>
  <c r="L1458" i="14"/>
  <c r="L1459" i="14"/>
  <c r="M1459" i="14"/>
  <c r="M1460" i="14"/>
  <c r="M1461" i="14"/>
  <c r="L1462" i="14"/>
  <c r="M1462" i="14"/>
  <c r="L1463" i="14"/>
  <c r="M1463" i="14"/>
  <c r="M1464" i="14"/>
  <c r="M1465" i="14"/>
  <c r="L1466" i="14"/>
  <c r="M1467" i="14"/>
  <c r="M1468" i="14"/>
  <c r="M1469" i="14"/>
  <c r="L1470" i="14"/>
  <c r="L1471" i="14"/>
  <c r="M1471" i="14"/>
  <c r="M1473" i="14"/>
  <c r="L1474" i="14"/>
  <c r="L1475" i="14"/>
  <c r="M1475" i="14"/>
  <c r="L1476" i="14"/>
  <c r="M1476" i="14"/>
  <c r="M1477" i="14"/>
  <c r="L1478" i="14"/>
  <c r="M1479" i="14"/>
  <c r="M1480" i="14"/>
  <c r="M1481" i="14"/>
  <c r="L1482" i="14"/>
  <c r="M1483" i="14"/>
  <c r="M1484" i="14"/>
  <c r="M1485" i="14"/>
  <c r="L1486" i="14"/>
  <c r="M1487" i="14"/>
  <c r="M1488" i="14"/>
  <c r="M1489" i="14"/>
  <c r="L1490" i="14"/>
  <c r="M1490" i="14"/>
  <c r="L1491" i="14"/>
  <c r="M1491" i="14"/>
  <c r="M1492" i="14"/>
  <c r="M1493" i="14"/>
  <c r="L1494" i="14"/>
  <c r="M1495" i="14"/>
  <c r="M1496" i="14"/>
  <c r="M1497" i="14"/>
  <c r="L1498" i="14"/>
  <c r="L1499" i="14"/>
  <c r="M1499" i="14"/>
  <c r="M1500" i="14"/>
  <c r="B19" i="17"/>
  <c r="B20" i="17"/>
  <c r="C19" i="17"/>
  <c r="C20" i="17"/>
  <c r="E28" i="14"/>
  <c r="M29" i="17" s="1"/>
  <c r="M30" i="17"/>
  <c r="E30" i="14"/>
  <c r="M31" i="17" s="1"/>
  <c r="E31" i="14"/>
  <c r="M32" i="17" s="1"/>
  <c r="E32" i="14"/>
  <c r="M33" i="17" s="1"/>
  <c r="M34" i="17"/>
  <c r="M35" i="17"/>
  <c r="N35" i="17" s="1"/>
  <c r="E35" i="14"/>
  <c r="M36" i="17" s="1"/>
  <c r="X36" i="17" s="1"/>
  <c r="M37" i="17"/>
  <c r="M38" i="17"/>
  <c r="E38" i="14"/>
  <c r="M39" i="17" s="1"/>
  <c r="E39" i="14"/>
  <c r="M40" i="17" s="1"/>
  <c r="M41" i="17"/>
  <c r="E41" i="14"/>
  <c r="M42" i="17" s="1"/>
  <c r="M43" i="17"/>
  <c r="M44" i="17"/>
  <c r="X44" i="17" s="1"/>
  <c r="M45" i="17"/>
  <c r="E45" i="14"/>
  <c r="M46" i="17" s="1"/>
  <c r="E46" i="14"/>
  <c r="M47" i="17" s="1"/>
  <c r="E47" i="14"/>
  <c r="M48" i="17" s="1"/>
  <c r="T48" i="17" s="1"/>
  <c r="E48" i="14"/>
  <c r="M49" i="17" s="1"/>
  <c r="E49" i="14"/>
  <c r="M50" i="17" s="1"/>
  <c r="E50" i="14"/>
  <c r="M51" i="17" s="1"/>
  <c r="E51" i="14"/>
  <c r="M52" i="17" s="1"/>
  <c r="M53" i="17"/>
  <c r="N53" i="17" s="1"/>
  <c r="E53" i="14"/>
  <c r="M54" i="17" s="1"/>
  <c r="X54" i="17" s="1"/>
  <c r="M55" i="17"/>
  <c r="E55" i="14"/>
  <c r="M56" i="17" s="1"/>
  <c r="V56" i="17" s="1"/>
  <c r="E56" i="14"/>
  <c r="M57" i="17" s="1"/>
  <c r="E57" i="14"/>
  <c r="M58" i="17" s="1"/>
  <c r="E58" i="14"/>
  <c r="M59" i="17" s="1"/>
  <c r="E59" i="14"/>
  <c r="M60" i="17" s="1"/>
  <c r="X60" i="17" s="1"/>
  <c r="E60" i="14"/>
  <c r="M61" i="17" s="1"/>
  <c r="U61" i="17" s="1"/>
  <c r="E61" i="14"/>
  <c r="M62" i="17" s="1"/>
  <c r="E62" i="14"/>
  <c r="M63" i="17" s="1"/>
  <c r="E63" i="14"/>
  <c r="M64" i="17" s="1"/>
  <c r="M65" i="17"/>
  <c r="M66" i="17"/>
  <c r="M67" i="17"/>
  <c r="M68" i="17"/>
  <c r="X68" i="17" s="1"/>
  <c r="M69" i="17"/>
  <c r="M70" i="17"/>
  <c r="E70" i="14"/>
  <c r="M71" i="17" s="1"/>
  <c r="M72" i="17"/>
  <c r="M73" i="17"/>
  <c r="M74" i="17"/>
  <c r="M75" i="17"/>
  <c r="M76" i="17"/>
  <c r="M77" i="17"/>
  <c r="W77" i="17" s="1"/>
  <c r="E77" i="14"/>
  <c r="M78" i="17" s="1"/>
  <c r="M79" i="17"/>
  <c r="M80" i="17"/>
  <c r="T80" i="17" s="1"/>
  <c r="M81" i="17"/>
  <c r="M82" i="17"/>
  <c r="M83" i="17"/>
  <c r="M84" i="17"/>
  <c r="M85" i="17"/>
  <c r="N85" i="17" s="1"/>
  <c r="M86" i="17"/>
  <c r="M87" i="17"/>
  <c r="E87" i="14"/>
  <c r="M88" i="17" s="1"/>
  <c r="M89" i="17"/>
  <c r="E89" i="14"/>
  <c r="M90" i="17" s="1"/>
  <c r="E90" i="14"/>
  <c r="M91" i="17" s="1"/>
  <c r="E91" i="14"/>
  <c r="M92" i="17" s="1"/>
  <c r="M93" i="17"/>
  <c r="M94" i="17"/>
  <c r="M95" i="17"/>
  <c r="M96" i="17"/>
  <c r="V96" i="17" s="1"/>
  <c r="M97" i="17"/>
  <c r="M98" i="17"/>
  <c r="E98" i="14"/>
  <c r="M99" i="17" s="1"/>
  <c r="E99" i="14"/>
  <c r="M100" i="17" s="1"/>
  <c r="E100" i="14"/>
  <c r="M101" i="17" s="1"/>
  <c r="X101" i="17" s="1"/>
  <c r="E101" i="14"/>
  <c r="M102" i="17" s="1"/>
  <c r="M103" i="17"/>
  <c r="E103" i="14"/>
  <c r="M104" i="17" s="1"/>
  <c r="U104" i="17" s="1"/>
  <c r="E104" i="14"/>
  <c r="M105" i="17" s="1"/>
  <c r="E105" i="14"/>
  <c r="M106" i="17" s="1"/>
  <c r="E106" i="14"/>
  <c r="M107" i="17" s="1"/>
  <c r="E107" i="14"/>
  <c r="M108" i="17" s="1"/>
  <c r="M109" i="17"/>
  <c r="X109" i="17" s="1"/>
  <c r="M110" i="17"/>
  <c r="M111" i="17"/>
  <c r="M112" i="17"/>
  <c r="M113" i="17"/>
  <c r="M114" i="17"/>
  <c r="E114" i="14"/>
  <c r="M115" i="17" s="1"/>
  <c r="M116" i="17"/>
  <c r="M117" i="17"/>
  <c r="E117" i="14"/>
  <c r="M118" i="17" s="1"/>
  <c r="M119" i="17"/>
  <c r="E119" i="14"/>
  <c r="M120" i="17" s="1"/>
  <c r="M121" i="17"/>
  <c r="M122" i="17"/>
  <c r="E122" i="14"/>
  <c r="M123" i="17" s="1"/>
  <c r="M124" i="17"/>
  <c r="M125" i="17"/>
  <c r="M126" i="17"/>
  <c r="M127" i="17"/>
  <c r="M128" i="17"/>
  <c r="U128" i="17" s="1"/>
  <c r="M129" i="17"/>
  <c r="M130" i="17"/>
  <c r="M131" i="17"/>
  <c r="M132" i="17"/>
  <c r="E132" i="14"/>
  <c r="M133" i="17" s="1"/>
  <c r="E133" i="14"/>
  <c r="M134" i="17" s="1"/>
  <c r="E134" i="14"/>
  <c r="M135" i="17" s="1"/>
  <c r="E135" i="14"/>
  <c r="M136" i="17" s="1"/>
  <c r="M137" i="17"/>
  <c r="N137" i="17" s="1"/>
  <c r="E137" i="14"/>
  <c r="M138" i="17" s="1"/>
  <c r="E138" i="14"/>
  <c r="M139" i="17" s="1"/>
  <c r="E139" i="14"/>
  <c r="M140" i="17" s="1"/>
  <c r="E140" i="14"/>
  <c r="M141" i="17" s="1"/>
  <c r="E141" i="14"/>
  <c r="M142" i="17" s="1"/>
  <c r="E142" i="14"/>
  <c r="M143" i="17" s="1"/>
  <c r="E143" i="14"/>
  <c r="M144" i="17" s="1"/>
  <c r="E144" i="14"/>
  <c r="M145" i="17" s="1"/>
  <c r="E145" i="14"/>
  <c r="M146" i="17" s="1"/>
  <c r="M147" i="17"/>
  <c r="E147" i="14"/>
  <c r="M148" i="17" s="1"/>
  <c r="V148" i="17" s="1"/>
  <c r="E148" i="14"/>
  <c r="M149" i="17" s="1"/>
  <c r="E149" i="14"/>
  <c r="M150" i="17" s="1"/>
  <c r="E150" i="14"/>
  <c r="M151" i="17" s="1"/>
  <c r="E151" i="14"/>
  <c r="M152" i="17" s="1"/>
  <c r="E152" i="14"/>
  <c r="M153" i="17" s="1"/>
  <c r="E153" i="14"/>
  <c r="M154" i="17" s="1"/>
  <c r="E154" i="14"/>
  <c r="M155" i="17" s="1"/>
  <c r="M156" i="17"/>
  <c r="M157" i="17"/>
  <c r="X157" i="17" s="1"/>
  <c r="M158" i="17"/>
  <c r="M159" i="17"/>
  <c r="M160" i="17"/>
  <c r="M161" i="17"/>
  <c r="M162" i="17"/>
  <c r="M163" i="17"/>
  <c r="M164" i="17"/>
  <c r="M165" i="17"/>
  <c r="E165" i="14"/>
  <c r="M166" i="17" s="1"/>
  <c r="E166" i="14"/>
  <c r="M167" i="17" s="1"/>
  <c r="E167" i="14"/>
  <c r="M168" i="17" s="1"/>
  <c r="U168" i="17" s="1"/>
  <c r="E168" i="14"/>
  <c r="M169" i="17" s="1"/>
  <c r="V169" i="17" s="1"/>
  <c r="E169" i="14"/>
  <c r="M170" i="17" s="1"/>
  <c r="X170" i="17" s="1"/>
  <c r="E170" i="14"/>
  <c r="M171" i="17" s="1"/>
  <c r="E171" i="14"/>
  <c r="M172" i="17" s="1"/>
  <c r="E172" i="14"/>
  <c r="M173" i="17" s="1"/>
  <c r="W173" i="17" s="1"/>
  <c r="E173" i="14"/>
  <c r="M174" i="17" s="1"/>
  <c r="W174" i="17" s="1"/>
  <c r="M176" i="17"/>
  <c r="E176" i="14"/>
  <c r="M177" i="17" s="1"/>
  <c r="E177" i="14"/>
  <c r="M178" i="17" s="1"/>
  <c r="E178" i="14"/>
  <c r="M179" i="17" s="1"/>
  <c r="E179" i="14"/>
  <c r="M180" i="17" s="1"/>
  <c r="V180" i="17" s="1"/>
  <c r="E180" i="14"/>
  <c r="M181" i="17" s="1"/>
  <c r="W181" i="17" s="1"/>
  <c r="E181" i="14"/>
  <c r="M182" i="17" s="1"/>
  <c r="T182" i="17" s="1"/>
  <c r="E182" i="14"/>
  <c r="M183" i="17" s="1"/>
  <c r="E183" i="14"/>
  <c r="M184" i="17" s="1"/>
  <c r="V184" i="17" s="1"/>
  <c r="E184" i="14"/>
  <c r="M185" i="17" s="1"/>
  <c r="E185" i="14"/>
  <c r="M186" i="17" s="1"/>
  <c r="E186" i="14"/>
  <c r="M187" i="17" s="1"/>
  <c r="M188" i="17"/>
  <c r="V188" i="17" s="1"/>
  <c r="M189" i="17"/>
  <c r="E189" i="14"/>
  <c r="M190" i="17" s="1"/>
  <c r="E190" i="14"/>
  <c r="M191" i="17" s="1"/>
  <c r="E191" i="14"/>
  <c r="M192" i="17" s="1"/>
  <c r="E192" i="14"/>
  <c r="M193" i="17" s="1"/>
  <c r="E193" i="14"/>
  <c r="M194" i="17" s="1"/>
  <c r="E194" i="14"/>
  <c r="M195" i="17" s="1"/>
  <c r="E195" i="14"/>
  <c r="M196" i="17" s="1"/>
  <c r="X196" i="17" s="1"/>
  <c r="E196" i="14"/>
  <c r="M197" i="17" s="1"/>
  <c r="W197" i="17" s="1"/>
  <c r="E197" i="14"/>
  <c r="M198" i="17" s="1"/>
  <c r="E198" i="14"/>
  <c r="M199" i="17" s="1"/>
  <c r="E199" i="14"/>
  <c r="M200" i="17" s="1"/>
  <c r="E200" i="14"/>
  <c r="M201" i="17" s="1"/>
  <c r="E201" i="14"/>
  <c r="M202" i="17" s="1"/>
  <c r="E202" i="14"/>
  <c r="M203" i="17" s="1"/>
  <c r="E203" i="14"/>
  <c r="M204" i="17" s="1"/>
  <c r="X204" i="17" s="1"/>
  <c r="E204" i="14"/>
  <c r="M205" i="17" s="1"/>
  <c r="X205" i="17" s="1"/>
  <c r="E205" i="14"/>
  <c r="M206" i="17" s="1"/>
  <c r="X206" i="17" s="1"/>
  <c r="E206" i="14"/>
  <c r="M207" i="17" s="1"/>
  <c r="E207" i="14"/>
  <c r="M208" i="17" s="1"/>
  <c r="E208" i="14"/>
  <c r="M209" i="17" s="1"/>
  <c r="E209" i="14"/>
  <c r="M210" i="17" s="1"/>
  <c r="E210" i="14"/>
  <c r="M211" i="17" s="1"/>
  <c r="E211" i="14"/>
  <c r="M212" i="17" s="1"/>
  <c r="X212" i="17" s="1"/>
  <c r="E212" i="14"/>
  <c r="M213" i="17" s="1"/>
  <c r="E213" i="14"/>
  <c r="M214" i="17" s="1"/>
  <c r="E214" i="14"/>
  <c r="M215" i="17" s="1"/>
  <c r="E215" i="14"/>
  <c r="M216" i="17" s="1"/>
  <c r="E216" i="14"/>
  <c r="M217" i="17" s="1"/>
  <c r="E217" i="14"/>
  <c r="M218" i="17" s="1"/>
  <c r="E218" i="14"/>
  <c r="M219" i="17" s="1"/>
  <c r="E219" i="14"/>
  <c r="M220" i="17" s="1"/>
  <c r="E220" i="14"/>
  <c r="M221" i="17" s="1"/>
  <c r="X221" i="17" s="1"/>
  <c r="E221" i="14"/>
  <c r="M222" i="17" s="1"/>
  <c r="E222" i="14"/>
  <c r="M223" i="17" s="1"/>
  <c r="E223" i="14"/>
  <c r="M224" i="17" s="1"/>
  <c r="E224" i="14"/>
  <c r="M225" i="17" s="1"/>
  <c r="E225" i="14"/>
  <c r="M226" i="17" s="1"/>
  <c r="E226" i="14"/>
  <c r="M227" i="17" s="1"/>
  <c r="E227" i="14"/>
  <c r="M228" i="17" s="1"/>
  <c r="X228" i="17" s="1"/>
  <c r="E228" i="14"/>
  <c r="M229" i="17" s="1"/>
  <c r="E229" i="14"/>
  <c r="M230" i="17" s="1"/>
  <c r="X230" i="17" s="1"/>
  <c r="E230" i="14"/>
  <c r="M231" i="17" s="1"/>
  <c r="E231" i="14"/>
  <c r="M232" i="17" s="1"/>
  <c r="E232" i="14"/>
  <c r="M233" i="17" s="1"/>
  <c r="E233" i="14"/>
  <c r="M234" i="17" s="1"/>
  <c r="E234" i="14"/>
  <c r="M235" i="17" s="1"/>
  <c r="E235" i="14"/>
  <c r="M236" i="17" s="1"/>
  <c r="E236" i="14"/>
  <c r="M237" i="17" s="1"/>
  <c r="E237" i="14"/>
  <c r="M238" i="17" s="1"/>
  <c r="E238" i="14"/>
  <c r="M239" i="17" s="1"/>
  <c r="E239" i="14"/>
  <c r="M240" i="17" s="1"/>
  <c r="E240" i="14"/>
  <c r="M241" i="17" s="1"/>
  <c r="E241" i="14"/>
  <c r="M242" i="17" s="1"/>
  <c r="E242" i="14"/>
  <c r="M243" i="17" s="1"/>
  <c r="E243" i="14"/>
  <c r="M244" i="17" s="1"/>
  <c r="X244" i="17" s="1"/>
  <c r="E244" i="14"/>
  <c r="M245" i="17" s="1"/>
  <c r="E245" i="14"/>
  <c r="M246" i="17" s="1"/>
  <c r="U246" i="17" s="1"/>
  <c r="E246" i="14"/>
  <c r="M247" i="17" s="1"/>
  <c r="E247" i="14"/>
  <c r="M248" i="17" s="1"/>
  <c r="E248" i="14"/>
  <c r="M249" i="17" s="1"/>
  <c r="E249" i="14"/>
  <c r="M250" i="17" s="1"/>
  <c r="V250" i="17" s="1"/>
  <c r="E250" i="14"/>
  <c r="M251" i="17" s="1"/>
  <c r="E251" i="14"/>
  <c r="M252" i="17" s="1"/>
  <c r="E252" i="14"/>
  <c r="M253" i="17" s="1"/>
  <c r="X253" i="17" s="1"/>
  <c r="E253" i="14"/>
  <c r="M254" i="17" s="1"/>
  <c r="V254" i="17" s="1"/>
  <c r="E254" i="14"/>
  <c r="M255" i="17" s="1"/>
  <c r="E255" i="14"/>
  <c r="M256" i="17" s="1"/>
  <c r="E256" i="14"/>
  <c r="M257" i="17" s="1"/>
  <c r="E257" i="14"/>
  <c r="M258" i="17" s="1"/>
  <c r="E258" i="14"/>
  <c r="M259" i="17" s="1"/>
  <c r="E259" i="14"/>
  <c r="M260" i="17" s="1"/>
  <c r="E260" i="14"/>
  <c r="M261" i="17" s="1"/>
  <c r="X261" i="17" s="1"/>
  <c r="E261" i="14"/>
  <c r="M262" i="17" s="1"/>
  <c r="E262" i="14"/>
  <c r="M263" i="17" s="1"/>
  <c r="E263" i="14"/>
  <c r="M264" i="17" s="1"/>
  <c r="E264" i="14"/>
  <c r="M265" i="17" s="1"/>
  <c r="E265" i="14"/>
  <c r="M266" i="17" s="1"/>
  <c r="E266" i="14"/>
  <c r="M267" i="17" s="1"/>
  <c r="E267" i="14"/>
  <c r="M268" i="17" s="1"/>
  <c r="X268" i="17" s="1"/>
  <c r="E268" i="14"/>
  <c r="M269" i="17" s="1"/>
  <c r="E269" i="14"/>
  <c r="M270" i="17" s="1"/>
  <c r="E270" i="14"/>
  <c r="M271" i="17" s="1"/>
  <c r="E271" i="14"/>
  <c r="M272" i="17" s="1"/>
  <c r="E272" i="14"/>
  <c r="M273" i="17" s="1"/>
  <c r="E273" i="14"/>
  <c r="M274" i="17" s="1"/>
  <c r="E274" i="14"/>
  <c r="M275" i="17" s="1"/>
  <c r="E275" i="14"/>
  <c r="M276" i="17" s="1"/>
  <c r="X276" i="17" s="1"/>
  <c r="E276" i="14"/>
  <c r="M277" i="17" s="1"/>
  <c r="E277" i="14"/>
  <c r="M278" i="17" s="1"/>
  <c r="E278" i="14"/>
  <c r="M279" i="17" s="1"/>
  <c r="E279" i="14"/>
  <c r="M280" i="17" s="1"/>
  <c r="E280" i="14"/>
  <c r="M281" i="17" s="1"/>
  <c r="E281" i="14"/>
  <c r="M282" i="17" s="1"/>
  <c r="W282" i="17" s="1"/>
  <c r="E282" i="14"/>
  <c r="M283" i="17" s="1"/>
  <c r="E283" i="14"/>
  <c r="M284" i="17" s="1"/>
  <c r="E284" i="14"/>
  <c r="M285" i="17" s="1"/>
  <c r="E285" i="14"/>
  <c r="M286" i="17" s="1"/>
  <c r="E286" i="14"/>
  <c r="M287" i="17" s="1"/>
  <c r="E287" i="14"/>
  <c r="M288" i="17" s="1"/>
  <c r="E288" i="14"/>
  <c r="M289" i="17" s="1"/>
  <c r="E289" i="14"/>
  <c r="M290" i="17" s="1"/>
  <c r="E290" i="14"/>
  <c r="M291" i="17" s="1"/>
  <c r="E291" i="14"/>
  <c r="M292" i="17" s="1"/>
  <c r="E292" i="14"/>
  <c r="M293" i="17" s="1"/>
  <c r="T293" i="17" s="1"/>
  <c r="E293" i="14"/>
  <c r="M294" i="17" s="1"/>
  <c r="E294" i="14"/>
  <c r="M295" i="17" s="1"/>
  <c r="E295" i="14"/>
  <c r="M296" i="17" s="1"/>
  <c r="E296" i="14"/>
  <c r="M297" i="17" s="1"/>
  <c r="E297" i="14"/>
  <c r="M298" i="17" s="1"/>
  <c r="E298" i="14"/>
  <c r="M299" i="17" s="1"/>
  <c r="E299" i="14"/>
  <c r="M300" i="17" s="1"/>
  <c r="E300" i="14"/>
  <c r="M301" i="17" s="1"/>
  <c r="T301" i="17" s="1"/>
  <c r="E301" i="14"/>
  <c r="M302" i="17" s="1"/>
  <c r="N302" i="17" s="1"/>
  <c r="E302" i="14"/>
  <c r="M303" i="17" s="1"/>
  <c r="E303" i="14"/>
  <c r="M304" i="17" s="1"/>
  <c r="E304" i="14"/>
  <c r="M305" i="17" s="1"/>
  <c r="E305" i="14"/>
  <c r="M306" i="17" s="1"/>
  <c r="E306" i="14"/>
  <c r="M307" i="17" s="1"/>
  <c r="E307" i="14"/>
  <c r="M308" i="17" s="1"/>
  <c r="E308" i="14"/>
  <c r="M309" i="17" s="1"/>
  <c r="U309" i="17" s="1"/>
  <c r="E309" i="14"/>
  <c r="M310" i="17" s="1"/>
  <c r="E310" i="14"/>
  <c r="M311" i="17" s="1"/>
  <c r="E311" i="14"/>
  <c r="M312" i="17" s="1"/>
  <c r="E312" i="14"/>
  <c r="M313" i="17" s="1"/>
  <c r="E313" i="14"/>
  <c r="M314" i="17" s="1"/>
  <c r="W314" i="17" s="1"/>
  <c r="E314" i="14"/>
  <c r="M315" i="17" s="1"/>
  <c r="E315" i="14"/>
  <c r="M316" i="17" s="1"/>
  <c r="E316" i="14"/>
  <c r="M317" i="17" s="1"/>
  <c r="N317" i="17" s="1"/>
  <c r="E317" i="14"/>
  <c r="M318" i="17" s="1"/>
  <c r="E318" i="14"/>
  <c r="M319" i="17" s="1"/>
  <c r="E319" i="14"/>
  <c r="M320" i="17" s="1"/>
  <c r="E320" i="14"/>
  <c r="M321" i="17" s="1"/>
  <c r="E321" i="14"/>
  <c r="M322" i="17" s="1"/>
  <c r="E322" i="14"/>
  <c r="M323" i="17" s="1"/>
  <c r="E323" i="14"/>
  <c r="M324" i="17" s="1"/>
  <c r="E324" i="14"/>
  <c r="M325" i="17" s="1"/>
  <c r="X325" i="17" s="1"/>
  <c r="E325" i="14"/>
  <c r="M326" i="17" s="1"/>
  <c r="X326" i="17" s="1"/>
  <c r="E326" i="14"/>
  <c r="M327" i="17" s="1"/>
  <c r="E327" i="14"/>
  <c r="M328" i="17" s="1"/>
  <c r="E328" i="14"/>
  <c r="M329" i="17" s="1"/>
  <c r="E329" i="14"/>
  <c r="M330" i="17" s="1"/>
  <c r="T330" i="17" s="1"/>
  <c r="E330" i="14"/>
  <c r="M331" i="17" s="1"/>
  <c r="E331" i="14"/>
  <c r="M332" i="17" s="1"/>
  <c r="E332" i="14"/>
  <c r="M333" i="17" s="1"/>
  <c r="N333" i="17" s="1"/>
  <c r="E333" i="14"/>
  <c r="M334" i="17" s="1"/>
  <c r="E334" i="14"/>
  <c r="M335" i="17" s="1"/>
  <c r="E335" i="14"/>
  <c r="M336" i="17" s="1"/>
  <c r="E336" i="14"/>
  <c r="M337" i="17" s="1"/>
  <c r="E337" i="14"/>
  <c r="M338" i="17" s="1"/>
  <c r="T338" i="17" s="1"/>
  <c r="E338" i="14"/>
  <c r="M339" i="17" s="1"/>
  <c r="E339" i="14"/>
  <c r="M340" i="17" s="1"/>
  <c r="E340" i="14"/>
  <c r="M341" i="17" s="1"/>
  <c r="E341" i="14"/>
  <c r="M342" i="17" s="1"/>
  <c r="E342" i="14"/>
  <c r="M343" i="17" s="1"/>
  <c r="N343" i="17" s="1"/>
  <c r="E343" i="14"/>
  <c r="M344" i="17" s="1"/>
  <c r="E344" i="14"/>
  <c r="M345" i="17" s="1"/>
  <c r="E345" i="14"/>
  <c r="M346" i="17" s="1"/>
  <c r="T346" i="17" s="1"/>
  <c r="E346" i="14"/>
  <c r="M347" i="17" s="1"/>
  <c r="E347" i="14"/>
  <c r="M348" i="17" s="1"/>
  <c r="V348" i="17" s="1"/>
  <c r="E348" i="14"/>
  <c r="M349" i="17" s="1"/>
  <c r="E349" i="14"/>
  <c r="M350" i="17" s="1"/>
  <c r="E350" i="14"/>
  <c r="M351" i="17" s="1"/>
  <c r="E351" i="14"/>
  <c r="M352" i="17" s="1"/>
  <c r="E352" i="14"/>
  <c r="M353" i="17" s="1"/>
  <c r="E353" i="14"/>
  <c r="M354" i="17" s="1"/>
  <c r="E354" i="14"/>
  <c r="M355" i="17" s="1"/>
  <c r="E355" i="14"/>
  <c r="M356" i="17" s="1"/>
  <c r="W356" i="17" s="1"/>
  <c r="E356" i="14"/>
  <c r="M357" i="17" s="1"/>
  <c r="X357" i="17" s="1"/>
  <c r="E357" i="14"/>
  <c r="M358" i="17" s="1"/>
  <c r="E358" i="14"/>
  <c r="M359" i="17" s="1"/>
  <c r="E359" i="14"/>
  <c r="M360" i="17" s="1"/>
  <c r="E360" i="14"/>
  <c r="M361" i="17" s="1"/>
  <c r="E361" i="14"/>
  <c r="M362" i="17" s="1"/>
  <c r="E362" i="14"/>
  <c r="M363" i="17" s="1"/>
  <c r="E363" i="14"/>
  <c r="M364" i="17" s="1"/>
  <c r="E364" i="14"/>
  <c r="M365" i="17" s="1"/>
  <c r="V365" i="17" s="1"/>
  <c r="E365" i="14"/>
  <c r="M366" i="17" s="1"/>
  <c r="E366" i="14"/>
  <c r="M367" i="17" s="1"/>
  <c r="E367" i="14"/>
  <c r="M368" i="17" s="1"/>
  <c r="E368" i="14"/>
  <c r="M369" i="17" s="1"/>
  <c r="E369" i="14"/>
  <c r="M370" i="17" s="1"/>
  <c r="E370" i="14"/>
  <c r="M371" i="17" s="1"/>
  <c r="E371" i="14"/>
  <c r="M372" i="17" s="1"/>
  <c r="W372" i="17" s="1"/>
  <c r="E372" i="14"/>
  <c r="M373" i="17" s="1"/>
  <c r="E373" i="14"/>
  <c r="M374" i="17" s="1"/>
  <c r="E374" i="14"/>
  <c r="M375" i="17" s="1"/>
  <c r="E375" i="14"/>
  <c r="M376" i="17" s="1"/>
  <c r="E376" i="14"/>
  <c r="M377" i="17" s="1"/>
  <c r="E377" i="14"/>
  <c r="M378" i="17" s="1"/>
  <c r="E378" i="14"/>
  <c r="M379" i="17" s="1"/>
  <c r="E379" i="14"/>
  <c r="M380" i="17" s="1"/>
  <c r="E380" i="14"/>
  <c r="M381" i="17" s="1"/>
  <c r="E381" i="14"/>
  <c r="M382" i="17" s="1"/>
  <c r="E382" i="14"/>
  <c r="M383" i="17" s="1"/>
  <c r="E383" i="14"/>
  <c r="M384" i="17" s="1"/>
  <c r="E384" i="14"/>
  <c r="M385" i="17" s="1"/>
  <c r="E385" i="14"/>
  <c r="M386" i="17" s="1"/>
  <c r="E386" i="14"/>
  <c r="M387" i="17" s="1"/>
  <c r="E387" i="14"/>
  <c r="M388" i="17" s="1"/>
  <c r="E388" i="14"/>
  <c r="M389" i="17" s="1"/>
  <c r="E389" i="14"/>
  <c r="M390" i="17" s="1"/>
  <c r="E390" i="14"/>
  <c r="M391" i="17" s="1"/>
  <c r="E391" i="14"/>
  <c r="M392" i="17" s="1"/>
  <c r="E392" i="14"/>
  <c r="M393" i="17" s="1"/>
  <c r="E393" i="14"/>
  <c r="M394" i="17" s="1"/>
  <c r="V394" i="17" s="1"/>
  <c r="E394" i="14"/>
  <c r="M395" i="17" s="1"/>
  <c r="E395" i="14"/>
  <c r="M396" i="17" s="1"/>
  <c r="X396" i="17" s="1"/>
  <c r="E396" i="14"/>
  <c r="M397" i="17" s="1"/>
  <c r="E397" i="14"/>
  <c r="M398" i="17" s="1"/>
  <c r="E398" i="14"/>
  <c r="M399" i="17" s="1"/>
  <c r="E399" i="14"/>
  <c r="M400" i="17" s="1"/>
  <c r="E400" i="14"/>
  <c r="M401" i="17" s="1"/>
  <c r="E401" i="14"/>
  <c r="M402" i="17" s="1"/>
  <c r="E402" i="14"/>
  <c r="M403" i="17" s="1"/>
  <c r="E403" i="14"/>
  <c r="M404" i="17" s="1"/>
  <c r="E404" i="14"/>
  <c r="M405" i="17" s="1"/>
  <c r="X405" i="17" s="1"/>
  <c r="E405" i="14"/>
  <c r="M406" i="17" s="1"/>
  <c r="E406" i="14"/>
  <c r="M407" i="17" s="1"/>
  <c r="E407" i="14"/>
  <c r="M408" i="17" s="1"/>
  <c r="E408" i="14"/>
  <c r="M409" i="17" s="1"/>
  <c r="E409" i="14"/>
  <c r="M410" i="17" s="1"/>
  <c r="E410" i="14"/>
  <c r="M411" i="17" s="1"/>
  <c r="E411" i="14"/>
  <c r="M412" i="17" s="1"/>
  <c r="E412" i="14"/>
  <c r="M413" i="17" s="1"/>
  <c r="E413" i="14"/>
  <c r="M414" i="17" s="1"/>
  <c r="E414" i="14"/>
  <c r="M415" i="17" s="1"/>
  <c r="E415" i="14"/>
  <c r="M416" i="17" s="1"/>
  <c r="E416" i="14"/>
  <c r="M417" i="17" s="1"/>
  <c r="E417" i="14"/>
  <c r="M418" i="17" s="1"/>
  <c r="E418" i="14"/>
  <c r="M419" i="17" s="1"/>
  <c r="E419" i="14"/>
  <c r="M420" i="17" s="1"/>
  <c r="E420" i="14"/>
  <c r="M421" i="17" s="1"/>
  <c r="E421" i="14"/>
  <c r="M422" i="17" s="1"/>
  <c r="E422" i="14"/>
  <c r="M423" i="17" s="1"/>
  <c r="E423" i="14"/>
  <c r="M424" i="17" s="1"/>
  <c r="E424" i="14"/>
  <c r="M425" i="17" s="1"/>
  <c r="E425" i="14"/>
  <c r="M426" i="17" s="1"/>
  <c r="E426" i="14"/>
  <c r="M427" i="17" s="1"/>
  <c r="E427" i="14"/>
  <c r="M428" i="17" s="1"/>
  <c r="E428" i="14"/>
  <c r="M429" i="17" s="1"/>
  <c r="E429" i="14"/>
  <c r="M430" i="17" s="1"/>
  <c r="E430" i="14"/>
  <c r="M431" i="17" s="1"/>
  <c r="E431" i="14"/>
  <c r="M432" i="17" s="1"/>
  <c r="E432" i="14"/>
  <c r="M433" i="17" s="1"/>
  <c r="E433" i="14"/>
  <c r="M434" i="17" s="1"/>
  <c r="E434" i="14"/>
  <c r="M435" i="17" s="1"/>
  <c r="E435" i="14"/>
  <c r="M436" i="17" s="1"/>
  <c r="E436" i="14"/>
  <c r="M437" i="17" s="1"/>
  <c r="E437" i="14"/>
  <c r="M438" i="17" s="1"/>
  <c r="E438" i="14"/>
  <c r="M439" i="17" s="1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H234" i="17" l="1"/>
  <c r="H98" i="17"/>
  <c r="H430" i="17"/>
  <c r="H406" i="17"/>
  <c r="H398" i="17"/>
  <c r="H310" i="17"/>
  <c r="H31" i="17"/>
  <c r="I353" i="17"/>
  <c r="J353" i="17" s="1"/>
  <c r="H346" i="17"/>
  <c r="H242" i="17"/>
  <c r="H210" i="17"/>
  <c r="H202" i="17"/>
  <c r="H186" i="17"/>
  <c r="H162" i="17"/>
  <c r="H154" i="17"/>
  <c r="K154" i="17" s="1"/>
  <c r="L154" i="17" s="1"/>
  <c r="H146" i="17"/>
  <c r="I146" i="17" s="1"/>
  <c r="J146" i="17" s="1"/>
  <c r="H130" i="17"/>
  <c r="H122" i="17"/>
  <c r="H114" i="17"/>
  <c r="H106" i="17"/>
  <c r="K106" i="17" s="1"/>
  <c r="L106" i="17" s="1"/>
  <c r="H90" i="17"/>
  <c r="H34" i="17"/>
  <c r="H26" i="17"/>
  <c r="W26" i="17" s="1"/>
  <c r="N27" i="17"/>
  <c r="K7" i="17"/>
  <c r="L7" i="17" s="1"/>
  <c r="K16" i="17"/>
  <c r="L16" i="17" s="1"/>
  <c r="H435" i="17"/>
  <c r="H427" i="17"/>
  <c r="H419" i="17"/>
  <c r="H411" i="17"/>
  <c r="H403" i="17"/>
  <c r="I403" i="17" s="1"/>
  <c r="J403" i="17" s="1"/>
  <c r="H395" i="17"/>
  <c r="I395" i="17" s="1"/>
  <c r="J395" i="17" s="1"/>
  <c r="H387" i="17"/>
  <c r="H379" i="17"/>
  <c r="H371" i="17"/>
  <c r="H355" i="17"/>
  <c r="H323" i="17"/>
  <c r="H299" i="17"/>
  <c r="H291" i="17"/>
  <c r="H275" i="17"/>
  <c r="I275" i="17" s="1"/>
  <c r="J275" i="17" s="1"/>
  <c r="H267" i="17"/>
  <c r="H259" i="17"/>
  <c r="H243" i="17"/>
  <c r="H235" i="17"/>
  <c r="H227" i="17"/>
  <c r="H211" i="17"/>
  <c r="H203" i="17"/>
  <c r="I203" i="17" s="1"/>
  <c r="J203" i="17" s="1"/>
  <c r="H195" i="17"/>
  <c r="I195" i="17" s="1"/>
  <c r="J195" i="17" s="1"/>
  <c r="H187" i="17"/>
  <c r="H171" i="17"/>
  <c r="H163" i="17"/>
  <c r="H155" i="17"/>
  <c r="H131" i="17"/>
  <c r="H123" i="17"/>
  <c r="H115" i="17"/>
  <c r="K115" i="17" s="1"/>
  <c r="L115" i="17" s="1"/>
  <c r="H107" i="17"/>
  <c r="I107" i="17" s="1"/>
  <c r="J107" i="17" s="1"/>
  <c r="H83" i="17"/>
  <c r="H75" i="17"/>
  <c r="H67" i="17"/>
  <c r="H59" i="17"/>
  <c r="H35" i="17"/>
  <c r="H19" i="17"/>
  <c r="U27" i="17"/>
  <c r="H129" i="17"/>
  <c r="K129" i="17" s="1"/>
  <c r="L129" i="17" s="1"/>
  <c r="I10" i="17"/>
  <c r="J10" i="17" s="1"/>
  <c r="T19" i="17"/>
  <c r="H105" i="17"/>
  <c r="H345" i="17"/>
  <c r="U19" i="17"/>
  <c r="I391" i="17"/>
  <c r="J391" i="17" s="1"/>
  <c r="I375" i="17"/>
  <c r="J375" i="17" s="1"/>
  <c r="I351" i="17"/>
  <c r="J351" i="17" s="1"/>
  <c r="I295" i="17"/>
  <c r="J295" i="17" s="1"/>
  <c r="I207" i="17"/>
  <c r="J207" i="17" s="1"/>
  <c r="I135" i="17"/>
  <c r="J135" i="17" s="1"/>
  <c r="I31" i="17"/>
  <c r="J31" i="17" s="1"/>
  <c r="K276" i="17"/>
  <c r="L276" i="17" s="1"/>
  <c r="H89" i="17"/>
  <c r="X89" i="17" s="1"/>
  <c r="H113" i="17"/>
  <c r="I113" i="17" s="1"/>
  <c r="J113" i="17" s="1"/>
  <c r="H161" i="17"/>
  <c r="K161" i="17" s="1"/>
  <c r="L161" i="17" s="1"/>
  <c r="H418" i="17"/>
  <c r="I11" i="17"/>
  <c r="J11" i="17" s="1"/>
  <c r="H145" i="17"/>
  <c r="I145" i="17" s="1"/>
  <c r="J145" i="17" s="1"/>
  <c r="K12" i="17"/>
  <c r="L12" i="17" s="1"/>
  <c r="H121" i="17"/>
  <c r="K369" i="17"/>
  <c r="L369" i="17" s="1"/>
  <c r="K353" i="17"/>
  <c r="L353" i="17" s="1"/>
  <c r="K313" i="17"/>
  <c r="L313" i="17" s="1"/>
  <c r="K297" i="17"/>
  <c r="L297" i="17" s="1"/>
  <c r="K289" i="17"/>
  <c r="L289" i="17" s="1"/>
  <c r="K273" i="17"/>
  <c r="L273" i="17" s="1"/>
  <c r="K257" i="17"/>
  <c r="L257" i="17" s="1"/>
  <c r="K209" i="17"/>
  <c r="L209" i="17" s="1"/>
  <c r="K201" i="17"/>
  <c r="L201" i="17" s="1"/>
  <c r="K168" i="17"/>
  <c r="L168" i="17" s="1"/>
  <c r="H362" i="17"/>
  <c r="I362" i="17" s="1"/>
  <c r="J362" i="17" s="1"/>
  <c r="H354" i="17"/>
  <c r="I16" i="17"/>
  <c r="J16" i="17" s="1"/>
  <c r="K13" i="17"/>
  <c r="L13" i="17" s="1"/>
  <c r="K9" i="17"/>
  <c r="L9" i="17" s="1"/>
  <c r="I5" i="17"/>
  <c r="J5" i="17" s="1"/>
  <c r="K10" i="17"/>
  <c r="L10" i="17" s="1"/>
  <c r="I14" i="17"/>
  <c r="J14" i="17" s="1"/>
  <c r="K6" i="17"/>
  <c r="L6" i="17" s="1"/>
  <c r="I8" i="17"/>
  <c r="J8" i="17" s="1"/>
  <c r="O4" i="17"/>
  <c r="K34" i="17"/>
  <c r="L34" i="17" s="1"/>
  <c r="K15" i="17"/>
  <c r="L15" i="17" s="1"/>
  <c r="H410" i="17"/>
  <c r="I410" i="17" s="1"/>
  <c r="J410" i="17" s="1"/>
  <c r="H386" i="17"/>
  <c r="H378" i="17"/>
  <c r="H370" i="17"/>
  <c r="I370" i="17" s="1"/>
  <c r="J370" i="17" s="1"/>
  <c r="I361" i="17"/>
  <c r="J361" i="17" s="1"/>
  <c r="H338" i="17"/>
  <c r="I338" i="17" s="1"/>
  <c r="J338" i="17" s="1"/>
  <c r="H330" i="17"/>
  <c r="H306" i="17"/>
  <c r="H290" i="17"/>
  <c r="I290" i="17" s="1"/>
  <c r="J290" i="17" s="1"/>
  <c r="H282" i="17"/>
  <c r="K5" i="17"/>
  <c r="L5" i="17" s="1"/>
  <c r="I377" i="17"/>
  <c r="J377" i="17" s="1"/>
  <c r="K11" i="17"/>
  <c r="L11" i="17" s="1"/>
  <c r="K8" i="17"/>
  <c r="L8" i="17" s="1"/>
  <c r="K237" i="17"/>
  <c r="L237" i="17" s="1"/>
  <c r="H18" i="17"/>
  <c r="U18" i="17" s="1"/>
  <c r="U10" i="17"/>
  <c r="K17" i="17"/>
  <c r="L17" i="17" s="1"/>
  <c r="K14" i="17"/>
  <c r="L14" i="17" s="1"/>
  <c r="K169" i="17"/>
  <c r="L169" i="17" s="1"/>
  <c r="I385" i="17"/>
  <c r="J385" i="17" s="1"/>
  <c r="I329" i="17"/>
  <c r="J329" i="17" s="1"/>
  <c r="I369" i="17"/>
  <c r="J369" i="17" s="1"/>
  <c r="H428" i="17"/>
  <c r="H396" i="17"/>
  <c r="I396" i="17" s="1"/>
  <c r="J396" i="17" s="1"/>
  <c r="H380" i="17"/>
  <c r="H284" i="17"/>
  <c r="I284" i="17" s="1"/>
  <c r="J284" i="17" s="1"/>
  <c r="H260" i="17"/>
  <c r="I260" i="17" s="1"/>
  <c r="J260" i="17" s="1"/>
  <c r="H220" i="17"/>
  <c r="I220" i="17" s="1"/>
  <c r="J220" i="17" s="1"/>
  <c r="H204" i="17"/>
  <c r="I204" i="17" s="1"/>
  <c r="J204" i="17" s="1"/>
  <c r="H172" i="17"/>
  <c r="K172" i="17" s="1"/>
  <c r="L172" i="17" s="1"/>
  <c r="H148" i="17"/>
  <c r="K148" i="17" s="1"/>
  <c r="L148" i="17" s="1"/>
  <c r="H84" i="17"/>
  <c r="X84" i="17" s="1"/>
  <c r="H36" i="17"/>
  <c r="K36" i="17" s="1"/>
  <c r="L36" i="17" s="1"/>
  <c r="K436" i="17"/>
  <c r="L436" i="17" s="1"/>
  <c r="K428" i="17"/>
  <c r="L428" i="17" s="1"/>
  <c r="K420" i="17"/>
  <c r="L420" i="17" s="1"/>
  <c r="K412" i="17"/>
  <c r="L412" i="17" s="1"/>
  <c r="K404" i="17"/>
  <c r="L404" i="17" s="1"/>
  <c r="K396" i="17"/>
  <c r="L396" i="17" s="1"/>
  <c r="K388" i="17"/>
  <c r="L388" i="17" s="1"/>
  <c r="K340" i="17"/>
  <c r="L340" i="17" s="1"/>
  <c r="K332" i="17"/>
  <c r="L332" i="17" s="1"/>
  <c r="K324" i="17"/>
  <c r="L324" i="17" s="1"/>
  <c r="K316" i="17"/>
  <c r="L316" i="17" s="1"/>
  <c r="K300" i="17"/>
  <c r="L300" i="17" s="1"/>
  <c r="K292" i="17"/>
  <c r="L292" i="17" s="1"/>
  <c r="K284" i="17"/>
  <c r="L284" i="17" s="1"/>
  <c r="K268" i="17"/>
  <c r="L268" i="17" s="1"/>
  <c r="K260" i="17"/>
  <c r="L260" i="17" s="1"/>
  <c r="K252" i="17"/>
  <c r="L252" i="17" s="1"/>
  <c r="K228" i="17"/>
  <c r="L228" i="17" s="1"/>
  <c r="K220" i="17"/>
  <c r="L220" i="17" s="1"/>
  <c r="K212" i="17"/>
  <c r="L212" i="17" s="1"/>
  <c r="K204" i="17"/>
  <c r="L204" i="17" s="1"/>
  <c r="K196" i="17"/>
  <c r="L196" i="17" s="1"/>
  <c r="K164" i="17"/>
  <c r="L164" i="17" s="1"/>
  <c r="I242" i="17"/>
  <c r="J242" i="17" s="1"/>
  <c r="T5" i="17"/>
  <c r="N5" i="17"/>
  <c r="X5" i="17"/>
  <c r="V5" i="17"/>
  <c r="U5" i="17"/>
  <c r="U21" i="17"/>
  <c r="W21" i="17"/>
  <c r="W5" i="17"/>
  <c r="I186" i="17"/>
  <c r="J186" i="17" s="1"/>
  <c r="K431" i="17"/>
  <c r="L431" i="17" s="1"/>
  <c r="K423" i="17"/>
  <c r="L423" i="17" s="1"/>
  <c r="K415" i="17"/>
  <c r="L415" i="17" s="1"/>
  <c r="K407" i="17"/>
  <c r="L407" i="17" s="1"/>
  <c r="K399" i="17"/>
  <c r="L399" i="17" s="1"/>
  <c r="K391" i="17"/>
  <c r="L391" i="17" s="1"/>
  <c r="K383" i="17"/>
  <c r="L383" i="17" s="1"/>
  <c r="K375" i="17"/>
  <c r="L375" i="17" s="1"/>
  <c r="K367" i="17"/>
  <c r="L367" i="17" s="1"/>
  <c r="K359" i="17"/>
  <c r="L359" i="17" s="1"/>
  <c r="K351" i="17"/>
  <c r="L351" i="17" s="1"/>
  <c r="K303" i="17"/>
  <c r="L303" i="17" s="1"/>
  <c r="K295" i="17"/>
  <c r="L295" i="17" s="1"/>
  <c r="K287" i="17"/>
  <c r="L287" i="17" s="1"/>
  <c r="K207" i="17"/>
  <c r="L207" i="17" s="1"/>
  <c r="K199" i="17"/>
  <c r="L199" i="17" s="1"/>
  <c r="K191" i="17"/>
  <c r="L191" i="17" s="1"/>
  <c r="K135" i="17"/>
  <c r="L135" i="17" s="1"/>
  <c r="K71" i="17"/>
  <c r="L71" i="17" s="1"/>
  <c r="H429" i="17"/>
  <c r="H421" i="17"/>
  <c r="H413" i="17"/>
  <c r="H405" i="17"/>
  <c r="H389" i="17"/>
  <c r="I389" i="17" s="1"/>
  <c r="J389" i="17" s="1"/>
  <c r="H381" i="17"/>
  <c r="I381" i="17" s="1"/>
  <c r="J381" i="17" s="1"/>
  <c r="H373" i="17"/>
  <c r="H365" i="17"/>
  <c r="H341" i="17"/>
  <c r="I341" i="17" s="1"/>
  <c r="J341" i="17" s="1"/>
  <c r="H325" i="17"/>
  <c r="H301" i="17"/>
  <c r="H285" i="17"/>
  <c r="H245" i="17"/>
  <c r="I245" i="17" s="1"/>
  <c r="J245" i="17" s="1"/>
  <c r="H237" i="17"/>
  <c r="I237" i="17" s="1"/>
  <c r="J237" i="17" s="1"/>
  <c r="H229" i="17"/>
  <c r="H205" i="17"/>
  <c r="H181" i="17"/>
  <c r="I181" i="17" s="1"/>
  <c r="J181" i="17" s="1"/>
  <c r="H173" i="17"/>
  <c r="H157" i="17"/>
  <c r="H149" i="17"/>
  <c r="H141" i="17"/>
  <c r="W141" i="17" s="1"/>
  <c r="H125" i="17"/>
  <c r="I125" i="17" s="1"/>
  <c r="J125" i="17" s="1"/>
  <c r="H109" i="17"/>
  <c r="H101" i="17"/>
  <c r="H85" i="17"/>
  <c r="X85" i="17" s="1"/>
  <c r="H77" i="17"/>
  <c r="H69" i="17"/>
  <c r="U69" i="17" s="1"/>
  <c r="H61" i="17"/>
  <c r="H53" i="17"/>
  <c r="U53" i="17" s="1"/>
  <c r="H45" i="17"/>
  <c r="W45" i="17" s="1"/>
  <c r="H37" i="17"/>
  <c r="W37" i="17" s="1"/>
  <c r="H29" i="17"/>
  <c r="H21" i="17"/>
  <c r="V21" i="17" s="1"/>
  <c r="H13" i="17"/>
  <c r="K422" i="17"/>
  <c r="L422" i="17" s="1"/>
  <c r="K414" i="17"/>
  <c r="L414" i="17" s="1"/>
  <c r="K398" i="17"/>
  <c r="L398" i="17" s="1"/>
  <c r="K390" i="17"/>
  <c r="L390" i="17" s="1"/>
  <c r="K382" i="17"/>
  <c r="L382" i="17" s="1"/>
  <c r="K374" i="17"/>
  <c r="L374" i="17" s="1"/>
  <c r="K366" i="17"/>
  <c r="L366" i="17" s="1"/>
  <c r="K350" i="17"/>
  <c r="L350" i="17" s="1"/>
  <c r="K342" i="17"/>
  <c r="L342" i="17" s="1"/>
  <c r="K334" i="17"/>
  <c r="L334" i="17" s="1"/>
  <c r="K326" i="17"/>
  <c r="L326" i="17" s="1"/>
  <c r="K318" i="17"/>
  <c r="L318" i="17" s="1"/>
  <c r="K278" i="17"/>
  <c r="L278" i="17" s="1"/>
  <c r="K270" i="17"/>
  <c r="L270" i="17" s="1"/>
  <c r="K262" i="17"/>
  <c r="L262" i="17" s="1"/>
  <c r="K254" i="17"/>
  <c r="L254" i="17" s="1"/>
  <c r="K222" i="17"/>
  <c r="L222" i="17" s="1"/>
  <c r="K214" i="17"/>
  <c r="L214" i="17" s="1"/>
  <c r="K206" i="17"/>
  <c r="L206" i="17" s="1"/>
  <c r="K198" i="17"/>
  <c r="L198" i="17" s="1"/>
  <c r="K162" i="17"/>
  <c r="L162" i="17" s="1"/>
  <c r="H311" i="17"/>
  <c r="H241" i="17"/>
  <c r="I241" i="17" s="1"/>
  <c r="J241" i="17" s="1"/>
  <c r="H409" i="17"/>
  <c r="H434" i="17"/>
  <c r="K175" i="17"/>
  <c r="L175" i="17" s="1"/>
  <c r="K167" i="17"/>
  <c r="L167" i="17" s="1"/>
  <c r="K39" i="17"/>
  <c r="L39" i="17" s="1"/>
  <c r="H327" i="17"/>
  <c r="H326" i="17"/>
  <c r="I326" i="17" s="1"/>
  <c r="J326" i="17" s="1"/>
  <c r="H287" i="17"/>
  <c r="I287" i="17" s="1"/>
  <c r="J287" i="17" s="1"/>
  <c r="H286" i="17"/>
  <c r="H182" i="17"/>
  <c r="H150" i="17"/>
  <c r="K150" i="17" s="1"/>
  <c r="L150" i="17" s="1"/>
  <c r="H126" i="17"/>
  <c r="I126" i="17" s="1"/>
  <c r="J126" i="17" s="1"/>
  <c r="H127" i="17"/>
  <c r="W127" i="17" s="1"/>
  <c r="H110" i="17"/>
  <c r="H111" i="17"/>
  <c r="U111" i="17" s="1"/>
  <c r="H87" i="17"/>
  <c r="I87" i="17" s="1"/>
  <c r="J87" i="17" s="1"/>
  <c r="H86" i="17"/>
  <c r="K86" i="17" s="1"/>
  <c r="L86" i="17" s="1"/>
  <c r="H62" i="17"/>
  <c r="K62" i="17" s="1"/>
  <c r="L62" i="17" s="1"/>
  <c r="H63" i="17"/>
  <c r="K63" i="17" s="1"/>
  <c r="L63" i="17" s="1"/>
  <c r="H47" i="17"/>
  <c r="K47" i="17" s="1"/>
  <c r="L47" i="17" s="1"/>
  <c r="H46" i="17"/>
  <c r="K46" i="17" s="1"/>
  <c r="L46" i="17" s="1"/>
  <c r="I148" i="17"/>
  <c r="J148" i="17" s="1"/>
  <c r="K103" i="17"/>
  <c r="L103" i="17" s="1"/>
  <c r="K55" i="17"/>
  <c r="L55" i="17" s="1"/>
  <c r="U23" i="17"/>
  <c r="T23" i="17"/>
  <c r="N23" i="17"/>
  <c r="T15" i="17"/>
  <c r="X15" i="17"/>
  <c r="V15" i="17"/>
  <c r="W7" i="17"/>
  <c r="V7" i="17"/>
  <c r="T7" i="17"/>
  <c r="N7" i="17"/>
  <c r="N22" i="17"/>
  <c r="X22" i="17"/>
  <c r="T22" i="17"/>
  <c r="T14" i="17"/>
  <c r="N14" i="17"/>
  <c r="X6" i="17"/>
  <c r="W6" i="17"/>
  <c r="I160" i="17"/>
  <c r="J160" i="17" s="1"/>
  <c r="K160" i="17"/>
  <c r="L160" i="17" s="1"/>
  <c r="H230" i="17"/>
  <c r="I230" i="17" s="1"/>
  <c r="J230" i="17" s="1"/>
  <c r="I152" i="17"/>
  <c r="J152" i="17" s="1"/>
  <c r="K152" i="17"/>
  <c r="L152" i="17" s="1"/>
  <c r="H183" i="17"/>
  <c r="H402" i="17"/>
  <c r="I402" i="17" s="1"/>
  <c r="J402" i="17" s="1"/>
  <c r="H404" i="17"/>
  <c r="H426" i="17"/>
  <c r="I426" i="17" s="1"/>
  <c r="J426" i="17" s="1"/>
  <c r="H6" i="17"/>
  <c r="I6" i="17" s="1"/>
  <c r="J6" i="17" s="1"/>
  <c r="K434" i="17"/>
  <c r="L434" i="17" s="1"/>
  <c r="K410" i="17"/>
  <c r="L410" i="17" s="1"/>
  <c r="K402" i="17"/>
  <c r="L402" i="17" s="1"/>
  <c r="K378" i="17"/>
  <c r="L378" i="17" s="1"/>
  <c r="K370" i="17"/>
  <c r="L370" i="17" s="1"/>
  <c r="K354" i="17"/>
  <c r="L354" i="17" s="1"/>
  <c r="K346" i="17"/>
  <c r="L346" i="17" s="1"/>
  <c r="K298" i="17"/>
  <c r="L298" i="17" s="1"/>
  <c r="K274" i="17"/>
  <c r="L274" i="17" s="1"/>
  <c r="K266" i="17"/>
  <c r="L266" i="17" s="1"/>
  <c r="K258" i="17"/>
  <c r="L258" i="17" s="1"/>
  <c r="K226" i="17"/>
  <c r="L226" i="17" s="1"/>
  <c r="K186" i="17"/>
  <c r="L186" i="17" s="1"/>
  <c r="K122" i="17"/>
  <c r="L122" i="17" s="1"/>
  <c r="K90" i="17"/>
  <c r="L90" i="17" s="1"/>
  <c r="W439" i="17"/>
  <c r="N439" i="17"/>
  <c r="X439" i="17"/>
  <c r="T438" i="17"/>
  <c r="N438" i="17"/>
  <c r="V437" i="17"/>
  <c r="U437" i="17"/>
  <c r="W435" i="17"/>
  <c r="V435" i="17"/>
  <c r="U435" i="17"/>
  <c r="T435" i="17"/>
  <c r="N435" i="17"/>
  <c r="X435" i="17"/>
  <c r="X434" i="17"/>
  <c r="V434" i="17"/>
  <c r="W434" i="17"/>
  <c r="U433" i="17"/>
  <c r="T433" i="17"/>
  <c r="N433" i="17"/>
  <c r="X433" i="17"/>
  <c r="X432" i="17"/>
  <c r="W432" i="17"/>
  <c r="V432" i="17"/>
  <c r="U432" i="17"/>
  <c r="T432" i="17"/>
  <c r="N432" i="17"/>
  <c r="W431" i="17"/>
  <c r="N431" i="17"/>
  <c r="X431" i="17"/>
  <c r="T430" i="17"/>
  <c r="N430" i="17"/>
  <c r="W429" i="17"/>
  <c r="X429" i="17"/>
  <c r="W427" i="17"/>
  <c r="V427" i="17"/>
  <c r="U427" i="17"/>
  <c r="T427" i="17"/>
  <c r="N427" i="17"/>
  <c r="X427" i="17"/>
  <c r="X426" i="17"/>
  <c r="V426" i="17"/>
  <c r="W426" i="17"/>
  <c r="U425" i="17"/>
  <c r="T425" i="17"/>
  <c r="N425" i="17"/>
  <c r="X425" i="17"/>
  <c r="X424" i="17"/>
  <c r="W424" i="17"/>
  <c r="V424" i="17"/>
  <c r="U424" i="17"/>
  <c r="T424" i="17"/>
  <c r="N424" i="17"/>
  <c r="W423" i="17"/>
  <c r="N423" i="17"/>
  <c r="X423" i="17"/>
  <c r="T422" i="17"/>
  <c r="N422" i="17"/>
  <c r="N421" i="17"/>
  <c r="T421" i="17"/>
  <c r="W419" i="17"/>
  <c r="V419" i="17"/>
  <c r="U419" i="17"/>
  <c r="T419" i="17"/>
  <c r="N419" i="17"/>
  <c r="X419" i="17"/>
  <c r="X418" i="17"/>
  <c r="V418" i="17"/>
  <c r="W418" i="17"/>
  <c r="U417" i="17"/>
  <c r="T417" i="17"/>
  <c r="N417" i="17"/>
  <c r="X417" i="17"/>
  <c r="X416" i="17"/>
  <c r="W416" i="17"/>
  <c r="V416" i="17"/>
  <c r="T416" i="17"/>
  <c r="U416" i="17"/>
  <c r="W415" i="17"/>
  <c r="N415" i="17"/>
  <c r="X415" i="17"/>
  <c r="T414" i="17"/>
  <c r="N414" i="17"/>
  <c r="W413" i="17"/>
  <c r="X413" i="17"/>
  <c r="W411" i="17"/>
  <c r="V411" i="17"/>
  <c r="U411" i="17"/>
  <c r="N411" i="17"/>
  <c r="T411" i="17"/>
  <c r="X410" i="17"/>
  <c r="V410" i="17"/>
  <c r="W410" i="17"/>
  <c r="W409" i="17"/>
  <c r="U409" i="17"/>
  <c r="T409" i="17"/>
  <c r="N409" i="17"/>
  <c r="X409" i="17"/>
  <c r="X408" i="17"/>
  <c r="W408" i="17"/>
  <c r="V408" i="17"/>
  <c r="T408" i="17"/>
  <c r="U408" i="17"/>
  <c r="W407" i="17"/>
  <c r="N407" i="17"/>
  <c r="X407" i="17"/>
  <c r="T406" i="17"/>
  <c r="N406" i="17"/>
  <c r="W403" i="17"/>
  <c r="V403" i="17"/>
  <c r="U403" i="17"/>
  <c r="T403" i="17"/>
  <c r="N403" i="17"/>
  <c r="X403" i="17"/>
  <c r="X402" i="17"/>
  <c r="V402" i="17"/>
  <c r="W402" i="17"/>
  <c r="W401" i="17"/>
  <c r="U401" i="17"/>
  <c r="T401" i="17"/>
  <c r="N401" i="17"/>
  <c r="X401" i="17"/>
  <c r="X400" i="17"/>
  <c r="W400" i="17"/>
  <c r="V400" i="17"/>
  <c r="T400" i="17"/>
  <c r="U400" i="17"/>
  <c r="W399" i="17"/>
  <c r="N399" i="17"/>
  <c r="X399" i="17"/>
  <c r="U397" i="17"/>
  <c r="V397" i="17"/>
  <c r="W395" i="17"/>
  <c r="V395" i="17"/>
  <c r="U395" i="17"/>
  <c r="T395" i="17"/>
  <c r="N395" i="17"/>
  <c r="X395" i="17"/>
  <c r="W393" i="17"/>
  <c r="U393" i="17"/>
  <c r="T393" i="17"/>
  <c r="N393" i="17"/>
  <c r="X393" i="17"/>
  <c r="X392" i="17"/>
  <c r="W392" i="17"/>
  <c r="V392" i="17"/>
  <c r="T392" i="17"/>
  <c r="N392" i="17"/>
  <c r="W391" i="17"/>
  <c r="U391" i="17"/>
  <c r="T391" i="17"/>
  <c r="V390" i="17"/>
  <c r="T390" i="17"/>
  <c r="W390" i="17"/>
  <c r="T389" i="17"/>
  <c r="U389" i="17"/>
  <c r="X388" i="17"/>
  <c r="N388" i="17"/>
  <c r="U388" i="17"/>
  <c r="X386" i="17"/>
  <c r="W386" i="17"/>
  <c r="U386" i="17"/>
  <c r="T386" i="17"/>
  <c r="N386" i="17"/>
  <c r="V386" i="17"/>
  <c r="X385" i="17"/>
  <c r="W385" i="17"/>
  <c r="W384" i="17"/>
  <c r="V384" i="17"/>
  <c r="U384" i="17"/>
  <c r="N384" i="17"/>
  <c r="X384" i="17"/>
  <c r="X383" i="17"/>
  <c r="V383" i="17"/>
  <c r="T383" i="17"/>
  <c r="U383" i="17"/>
  <c r="X382" i="17"/>
  <c r="W382" i="17"/>
  <c r="V382" i="17"/>
  <c r="U382" i="17"/>
  <c r="T382" i="17"/>
  <c r="N382" i="17"/>
  <c r="T381" i="17"/>
  <c r="V381" i="17"/>
  <c r="W380" i="17"/>
  <c r="V380" i="17"/>
  <c r="X378" i="17"/>
  <c r="W378" i="17"/>
  <c r="U378" i="17"/>
  <c r="T378" i="17"/>
  <c r="N378" i="17"/>
  <c r="V378" i="17"/>
  <c r="X377" i="17"/>
  <c r="W377" i="17"/>
  <c r="W376" i="17"/>
  <c r="V376" i="17"/>
  <c r="U376" i="17"/>
  <c r="N376" i="17"/>
  <c r="X376" i="17"/>
  <c r="X375" i="17"/>
  <c r="V375" i="17"/>
  <c r="T375" i="17"/>
  <c r="U375" i="17"/>
  <c r="X374" i="17"/>
  <c r="W374" i="17"/>
  <c r="V374" i="17"/>
  <c r="U374" i="17"/>
  <c r="T374" i="17"/>
  <c r="N374" i="17"/>
  <c r="N373" i="17"/>
  <c r="T373" i="17"/>
  <c r="X370" i="17"/>
  <c r="W370" i="17"/>
  <c r="U370" i="17"/>
  <c r="T370" i="17"/>
  <c r="N370" i="17"/>
  <c r="V370" i="17"/>
  <c r="X369" i="17"/>
  <c r="W369" i="17"/>
  <c r="W368" i="17"/>
  <c r="V368" i="17"/>
  <c r="U368" i="17"/>
  <c r="N368" i="17"/>
  <c r="X368" i="17"/>
  <c r="X367" i="17"/>
  <c r="V367" i="17"/>
  <c r="T367" i="17"/>
  <c r="U367" i="17"/>
  <c r="X366" i="17"/>
  <c r="W366" i="17"/>
  <c r="V366" i="17"/>
  <c r="U366" i="17"/>
  <c r="T366" i="17"/>
  <c r="N366" i="17"/>
  <c r="N364" i="17"/>
  <c r="W364" i="17"/>
  <c r="U364" i="17"/>
  <c r="T363" i="17"/>
  <c r="X363" i="17"/>
  <c r="X362" i="17"/>
  <c r="W362" i="17"/>
  <c r="U362" i="17"/>
  <c r="T362" i="17"/>
  <c r="N362" i="17"/>
  <c r="V362" i="17"/>
  <c r="V361" i="17"/>
  <c r="X361" i="17"/>
  <c r="W360" i="17"/>
  <c r="V360" i="17"/>
  <c r="U360" i="17"/>
  <c r="N360" i="17"/>
  <c r="X360" i="17"/>
  <c r="X359" i="17"/>
  <c r="V359" i="17"/>
  <c r="T359" i="17"/>
  <c r="U359" i="17"/>
  <c r="X358" i="17"/>
  <c r="W358" i="17"/>
  <c r="V358" i="17"/>
  <c r="U358" i="17"/>
  <c r="T358" i="17"/>
  <c r="N358" i="17"/>
  <c r="X355" i="17"/>
  <c r="U355" i="17"/>
  <c r="T355" i="17"/>
  <c r="X354" i="17"/>
  <c r="W354" i="17"/>
  <c r="U354" i="17"/>
  <c r="T354" i="17"/>
  <c r="N354" i="17"/>
  <c r="V354" i="17"/>
  <c r="X353" i="17"/>
  <c r="V353" i="17"/>
  <c r="W352" i="17"/>
  <c r="V352" i="17"/>
  <c r="U352" i="17"/>
  <c r="N352" i="17"/>
  <c r="X352" i="17"/>
  <c r="U351" i="17"/>
  <c r="X351" i="17"/>
  <c r="X350" i="17"/>
  <c r="W350" i="17"/>
  <c r="V350" i="17"/>
  <c r="U350" i="17"/>
  <c r="T350" i="17"/>
  <c r="N350" i="17"/>
  <c r="T349" i="17"/>
  <c r="V349" i="17"/>
  <c r="X347" i="17"/>
  <c r="W347" i="17"/>
  <c r="V347" i="17"/>
  <c r="T347" i="17"/>
  <c r="N347" i="17"/>
  <c r="U347" i="17"/>
  <c r="W345" i="17"/>
  <c r="V345" i="17"/>
  <c r="U345" i="17"/>
  <c r="T345" i="17"/>
  <c r="N345" i="17"/>
  <c r="W344" i="17"/>
  <c r="X344" i="17"/>
  <c r="X342" i="17"/>
  <c r="V342" i="17"/>
  <c r="U342" i="17"/>
  <c r="W342" i="17"/>
  <c r="N341" i="17"/>
  <c r="U341" i="17"/>
  <c r="X340" i="17"/>
  <c r="T340" i="17"/>
  <c r="N340" i="17"/>
  <c r="X339" i="17"/>
  <c r="W339" i="17"/>
  <c r="V339" i="17"/>
  <c r="T339" i="17"/>
  <c r="N339" i="17"/>
  <c r="U339" i="17"/>
  <c r="W337" i="17"/>
  <c r="V337" i="17"/>
  <c r="U337" i="17"/>
  <c r="T337" i="17"/>
  <c r="N337" i="17"/>
  <c r="W335" i="17"/>
  <c r="N335" i="17"/>
  <c r="V334" i="17"/>
  <c r="U334" i="17"/>
  <c r="X334" i="17"/>
  <c r="W332" i="17"/>
  <c r="T332" i="17"/>
  <c r="N332" i="17"/>
  <c r="X331" i="17"/>
  <c r="W331" i="17"/>
  <c r="V331" i="17"/>
  <c r="T331" i="17"/>
  <c r="N331" i="17"/>
  <c r="U331" i="17"/>
  <c r="W329" i="17"/>
  <c r="V329" i="17"/>
  <c r="U329" i="17"/>
  <c r="T329" i="17"/>
  <c r="N329" i="17"/>
  <c r="U327" i="17"/>
  <c r="T327" i="17"/>
  <c r="N327" i="17"/>
  <c r="T324" i="17"/>
  <c r="V324" i="17"/>
  <c r="U324" i="17"/>
  <c r="X323" i="17"/>
  <c r="W323" i="17"/>
  <c r="V323" i="17"/>
  <c r="T323" i="17"/>
  <c r="N323" i="17"/>
  <c r="U323" i="17"/>
  <c r="W321" i="17"/>
  <c r="V321" i="17"/>
  <c r="U321" i="17"/>
  <c r="T321" i="17"/>
  <c r="N321" i="17"/>
  <c r="W320" i="17"/>
  <c r="T320" i="17"/>
  <c r="X320" i="17"/>
  <c r="N319" i="17"/>
  <c r="W319" i="17"/>
  <c r="X318" i="17"/>
  <c r="V318" i="17"/>
  <c r="V316" i="17"/>
  <c r="X316" i="17"/>
  <c r="X315" i="17"/>
  <c r="W315" i="17"/>
  <c r="V315" i="17"/>
  <c r="U315" i="17"/>
  <c r="T315" i="17"/>
  <c r="N315" i="17"/>
  <c r="U313" i="17"/>
  <c r="T313" i="17"/>
  <c r="W313" i="17"/>
  <c r="T311" i="17"/>
  <c r="N311" i="17"/>
  <c r="V311" i="17"/>
  <c r="U310" i="17"/>
  <c r="N310" i="17"/>
  <c r="T310" i="17"/>
  <c r="T308" i="17"/>
  <c r="V308" i="17"/>
  <c r="U308" i="17"/>
  <c r="X307" i="17"/>
  <c r="W307" i="17"/>
  <c r="V307" i="17"/>
  <c r="U307" i="17"/>
  <c r="T307" i="17"/>
  <c r="N307" i="17"/>
  <c r="W306" i="17"/>
  <c r="V306" i="17"/>
  <c r="T306" i="17"/>
  <c r="N306" i="17"/>
  <c r="W305" i="17"/>
  <c r="V305" i="17"/>
  <c r="U305" i="17"/>
  <c r="T305" i="17"/>
  <c r="N305" i="17"/>
  <c r="X305" i="17"/>
  <c r="X304" i="17"/>
  <c r="W304" i="17"/>
  <c r="V304" i="17"/>
  <c r="U304" i="17"/>
  <c r="T304" i="17"/>
  <c r="N304" i="17"/>
  <c r="X303" i="17"/>
  <c r="W303" i="17"/>
  <c r="V303" i="17"/>
  <c r="T303" i="17"/>
  <c r="U303" i="17"/>
  <c r="T300" i="17"/>
  <c r="W300" i="17"/>
  <c r="U300" i="17"/>
  <c r="X299" i="17"/>
  <c r="N299" i="17"/>
  <c r="W298" i="17"/>
  <c r="V298" i="17"/>
  <c r="U298" i="17"/>
  <c r="N298" i="17"/>
  <c r="T298" i="17"/>
  <c r="X297" i="17"/>
  <c r="V297" i="17"/>
  <c r="T297" i="17"/>
  <c r="X296" i="17"/>
  <c r="W296" i="17"/>
  <c r="V296" i="17"/>
  <c r="U296" i="17"/>
  <c r="T296" i="17"/>
  <c r="N296" i="17"/>
  <c r="X295" i="17"/>
  <c r="W295" i="17"/>
  <c r="T295" i="17"/>
  <c r="W294" i="17"/>
  <c r="U294" i="17"/>
  <c r="N294" i="17"/>
  <c r="V292" i="17"/>
  <c r="T292" i="17"/>
  <c r="N292" i="17"/>
  <c r="W290" i="17"/>
  <c r="V290" i="17"/>
  <c r="U290" i="17"/>
  <c r="N290" i="17"/>
  <c r="T290" i="17"/>
  <c r="X289" i="17"/>
  <c r="V289" i="17"/>
  <c r="T289" i="17"/>
  <c r="X288" i="17"/>
  <c r="W288" i="17"/>
  <c r="V288" i="17"/>
  <c r="U288" i="17"/>
  <c r="T288" i="17"/>
  <c r="N288" i="17"/>
  <c r="T287" i="17"/>
  <c r="X287" i="17"/>
  <c r="W286" i="17"/>
  <c r="U286" i="17"/>
  <c r="N286" i="17"/>
  <c r="T285" i="17"/>
  <c r="V285" i="17"/>
  <c r="X284" i="17"/>
  <c r="N284" i="17"/>
  <c r="V284" i="17"/>
  <c r="X283" i="17"/>
  <c r="W283" i="17"/>
  <c r="V283" i="17"/>
  <c r="N283" i="17"/>
  <c r="U283" i="17"/>
  <c r="X281" i="17"/>
  <c r="V281" i="17"/>
  <c r="U281" i="17"/>
  <c r="T281" i="17"/>
  <c r="X280" i="17"/>
  <c r="W280" i="17"/>
  <c r="U280" i="17"/>
  <c r="T280" i="17"/>
  <c r="N280" i="17"/>
  <c r="V280" i="17"/>
  <c r="W279" i="17"/>
  <c r="U279" i="17"/>
  <c r="W278" i="17"/>
  <c r="T278" i="17"/>
  <c r="N277" i="17"/>
  <c r="T277" i="17"/>
  <c r="W275" i="17"/>
  <c r="V275" i="17"/>
  <c r="U275" i="17"/>
  <c r="N275" i="17"/>
  <c r="T275" i="17"/>
  <c r="X273" i="17"/>
  <c r="W273" i="17"/>
  <c r="U273" i="17"/>
  <c r="T273" i="17"/>
  <c r="N273" i="17"/>
  <c r="V273" i="17"/>
  <c r="X272" i="17"/>
  <c r="W272" i="17"/>
  <c r="V272" i="17"/>
  <c r="T272" i="17"/>
  <c r="U272" i="17"/>
  <c r="W271" i="17"/>
  <c r="N271" i="17"/>
  <c r="X271" i="17"/>
  <c r="V270" i="17"/>
  <c r="U270" i="17"/>
  <c r="V269" i="17"/>
  <c r="N269" i="17"/>
  <c r="W267" i="17"/>
  <c r="V267" i="17"/>
  <c r="U267" i="17"/>
  <c r="N267" i="17"/>
  <c r="T267" i="17"/>
  <c r="X265" i="17"/>
  <c r="W265" i="17"/>
  <c r="U265" i="17"/>
  <c r="T265" i="17"/>
  <c r="N265" i="17"/>
  <c r="V265" i="17"/>
  <c r="X264" i="17"/>
  <c r="W264" i="17"/>
  <c r="V264" i="17"/>
  <c r="T264" i="17"/>
  <c r="U264" i="17"/>
  <c r="W263" i="17"/>
  <c r="N263" i="17"/>
  <c r="X263" i="17"/>
  <c r="V262" i="17"/>
  <c r="U262" i="17"/>
  <c r="T260" i="17"/>
  <c r="X260" i="17"/>
  <c r="W259" i="17"/>
  <c r="V259" i="17"/>
  <c r="U259" i="17"/>
  <c r="N259" i="17"/>
  <c r="T259" i="17"/>
  <c r="X257" i="17"/>
  <c r="W257" i="17"/>
  <c r="U257" i="17"/>
  <c r="T257" i="17"/>
  <c r="N257" i="17"/>
  <c r="V257" i="17"/>
  <c r="X256" i="17"/>
  <c r="W256" i="17"/>
  <c r="V256" i="17"/>
  <c r="T256" i="17"/>
  <c r="U256" i="17"/>
  <c r="W255" i="17"/>
  <c r="N255" i="17"/>
  <c r="X255" i="17"/>
  <c r="N252" i="17"/>
  <c r="X252" i="17"/>
  <c r="T252" i="17"/>
  <c r="W251" i="17"/>
  <c r="V251" i="17"/>
  <c r="U251" i="17"/>
  <c r="N251" i="17"/>
  <c r="T251" i="17"/>
  <c r="X249" i="17"/>
  <c r="W249" i="17"/>
  <c r="U249" i="17"/>
  <c r="T249" i="17"/>
  <c r="N249" i="17"/>
  <c r="V249" i="17"/>
  <c r="X248" i="17"/>
  <c r="W248" i="17"/>
  <c r="V248" i="17"/>
  <c r="T248" i="17"/>
  <c r="U248" i="17"/>
  <c r="W247" i="17"/>
  <c r="N247" i="17"/>
  <c r="N245" i="17"/>
  <c r="T245" i="17"/>
  <c r="W243" i="17"/>
  <c r="V243" i="17"/>
  <c r="U243" i="17"/>
  <c r="N243" i="17"/>
  <c r="T243" i="17"/>
  <c r="V242" i="17"/>
  <c r="X242" i="17"/>
  <c r="X241" i="17"/>
  <c r="W241" i="17"/>
  <c r="U241" i="17"/>
  <c r="T241" i="17"/>
  <c r="N241" i="17"/>
  <c r="V241" i="17"/>
  <c r="X240" i="17"/>
  <c r="W240" i="17"/>
  <c r="V240" i="17"/>
  <c r="T240" i="17"/>
  <c r="U240" i="17"/>
  <c r="N239" i="17"/>
  <c r="W239" i="17"/>
  <c r="V238" i="17"/>
  <c r="T238" i="17"/>
  <c r="W237" i="17"/>
  <c r="X237" i="17"/>
  <c r="N236" i="17"/>
  <c r="X236" i="17"/>
  <c r="W235" i="17"/>
  <c r="V235" i="17"/>
  <c r="U235" i="17"/>
  <c r="N235" i="17"/>
  <c r="T235" i="17"/>
  <c r="X234" i="17"/>
  <c r="V234" i="17"/>
  <c r="T234" i="17"/>
  <c r="X233" i="17"/>
  <c r="W233" i="17"/>
  <c r="U233" i="17"/>
  <c r="T233" i="17"/>
  <c r="N233" i="17"/>
  <c r="V233" i="17"/>
  <c r="U231" i="17"/>
  <c r="N231" i="17"/>
  <c r="X229" i="17"/>
  <c r="V229" i="17"/>
  <c r="W227" i="17"/>
  <c r="V227" i="17"/>
  <c r="U227" i="17"/>
  <c r="N227" i="17"/>
  <c r="T227" i="17"/>
  <c r="V226" i="17"/>
  <c r="T226" i="17"/>
  <c r="X225" i="17"/>
  <c r="W225" i="17"/>
  <c r="U225" i="17"/>
  <c r="T225" i="17"/>
  <c r="N225" i="17"/>
  <c r="V225" i="17"/>
  <c r="X224" i="17"/>
  <c r="W224" i="17"/>
  <c r="V224" i="17"/>
  <c r="T224" i="17"/>
  <c r="W223" i="17"/>
  <c r="N223" i="17"/>
  <c r="U223" i="17"/>
  <c r="V222" i="17"/>
  <c r="U222" i="17"/>
  <c r="T222" i="17"/>
  <c r="N220" i="17"/>
  <c r="X220" i="17"/>
  <c r="T220" i="17"/>
  <c r="W219" i="17"/>
  <c r="V219" i="17"/>
  <c r="U219" i="17"/>
  <c r="N219" i="17"/>
  <c r="T219" i="17"/>
  <c r="X218" i="17"/>
  <c r="T218" i="17"/>
  <c r="V218" i="17"/>
  <c r="X217" i="17"/>
  <c r="W217" i="17"/>
  <c r="U217" i="17"/>
  <c r="T217" i="17"/>
  <c r="N217" i="17"/>
  <c r="V217" i="17"/>
  <c r="X216" i="17"/>
  <c r="V216" i="17"/>
  <c r="T216" i="17"/>
  <c r="U214" i="17"/>
  <c r="X214" i="17"/>
  <c r="V213" i="17"/>
  <c r="N213" i="17"/>
  <c r="W211" i="17"/>
  <c r="V211" i="17"/>
  <c r="U211" i="17"/>
  <c r="N211" i="17"/>
  <c r="T211" i="17"/>
  <c r="V210" i="17"/>
  <c r="T210" i="17"/>
  <c r="X209" i="17"/>
  <c r="W209" i="17"/>
  <c r="U209" i="17"/>
  <c r="T209" i="17"/>
  <c r="N209" i="17"/>
  <c r="V209" i="17"/>
  <c r="W208" i="17"/>
  <c r="T208" i="17"/>
  <c r="N208" i="17"/>
  <c r="U208" i="17"/>
  <c r="V207" i="17"/>
  <c r="N207" i="17"/>
  <c r="X202" i="17"/>
  <c r="V202" i="17"/>
  <c r="U202" i="17"/>
  <c r="T202" i="17"/>
  <c r="X201" i="17"/>
  <c r="W201" i="17"/>
  <c r="U201" i="17"/>
  <c r="T201" i="17"/>
  <c r="N201" i="17"/>
  <c r="V201" i="17"/>
  <c r="W200" i="17"/>
  <c r="U200" i="17"/>
  <c r="N200" i="17"/>
  <c r="V200" i="17"/>
  <c r="X199" i="17"/>
  <c r="W199" i="17"/>
  <c r="U199" i="17"/>
  <c r="T199" i="17"/>
  <c r="N199" i="17"/>
  <c r="V199" i="17"/>
  <c r="X195" i="17"/>
  <c r="W195" i="17"/>
  <c r="V195" i="17"/>
  <c r="U195" i="17"/>
  <c r="T195" i="17"/>
  <c r="N195" i="17"/>
  <c r="X194" i="17"/>
  <c r="V194" i="17"/>
  <c r="T194" i="17"/>
  <c r="N194" i="17"/>
  <c r="W194" i="17"/>
  <c r="W193" i="17"/>
  <c r="V193" i="17"/>
  <c r="U193" i="17"/>
  <c r="N193" i="17"/>
  <c r="X193" i="17"/>
  <c r="T192" i="17"/>
  <c r="V192" i="17"/>
  <c r="X191" i="17"/>
  <c r="W191" i="17"/>
  <c r="U191" i="17"/>
  <c r="T191" i="17"/>
  <c r="N191" i="17"/>
  <c r="V191" i="17"/>
  <c r="T190" i="17"/>
  <c r="X190" i="17"/>
  <c r="N189" i="17"/>
  <c r="U189" i="17"/>
  <c r="X187" i="17"/>
  <c r="W187" i="17"/>
  <c r="V187" i="17"/>
  <c r="U187" i="17"/>
  <c r="T187" i="17"/>
  <c r="N187" i="17"/>
  <c r="X186" i="17"/>
  <c r="V186" i="17"/>
  <c r="T186" i="17"/>
  <c r="N186" i="17"/>
  <c r="W186" i="17"/>
  <c r="W185" i="17"/>
  <c r="U185" i="17"/>
  <c r="N185" i="17"/>
  <c r="X185" i="17"/>
  <c r="X183" i="17"/>
  <c r="W183" i="17"/>
  <c r="U183" i="17"/>
  <c r="T183" i="17"/>
  <c r="N183" i="17"/>
  <c r="V183" i="17"/>
  <c r="X179" i="17"/>
  <c r="U179" i="17"/>
  <c r="T179" i="17"/>
  <c r="N179" i="17"/>
  <c r="V179" i="17"/>
  <c r="X178" i="17"/>
  <c r="V178" i="17"/>
  <c r="T178" i="17"/>
  <c r="N178" i="17"/>
  <c r="V177" i="17"/>
  <c r="U177" i="17"/>
  <c r="N177" i="17"/>
  <c r="X177" i="17"/>
  <c r="X175" i="17"/>
  <c r="W175" i="17"/>
  <c r="U175" i="17"/>
  <c r="T175" i="17"/>
  <c r="N175" i="17"/>
  <c r="V175" i="17"/>
  <c r="X171" i="17"/>
  <c r="W171" i="17"/>
  <c r="U171" i="17"/>
  <c r="T171" i="17"/>
  <c r="N171" i="17"/>
  <c r="V171" i="17"/>
  <c r="X167" i="17"/>
  <c r="W167" i="17"/>
  <c r="U167" i="17"/>
  <c r="T167" i="17"/>
  <c r="N167" i="17"/>
  <c r="V167" i="17"/>
  <c r="V166" i="17"/>
  <c r="N166" i="17"/>
  <c r="U166" i="17"/>
  <c r="X163" i="17"/>
  <c r="W163" i="17"/>
  <c r="V163" i="17"/>
  <c r="U163" i="17"/>
  <c r="T163" i="17"/>
  <c r="N163" i="17"/>
  <c r="X162" i="17"/>
  <c r="W162" i="17"/>
  <c r="T162" i="17"/>
  <c r="V162" i="17"/>
  <c r="W161" i="17"/>
  <c r="N161" i="17"/>
  <c r="V160" i="17"/>
  <c r="U160" i="17"/>
  <c r="X159" i="17"/>
  <c r="N159" i="17"/>
  <c r="W159" i="17"/>
  <c r="X158" i="17"/>
  <c r="W158" i="17"/>
  <c r="V158" i="17"/>
  <c r="T158" i="17"/>
  <c r="N158" i="17"/>
  <c r="X155" i="17"/>
  <c r="W155" i="17"/>
  <c r="V155" i="17"/>
  <c r="U155" i="17"/>
  <c r="T155" i="17"/>
  <c r="N155" i="17"/>
  <c r="X154" i="17"/>
  <c r="T154" i="17"/>
  <c r="V154" i="17"/>
  <c r="X151" i="17"/>
  <c r="U151" i="17"/>
  <c r="N151" i="17"/>
  <c r="X150" i="17"/>
  <c r="V150" i="17"/>
  <c r="U150" i="17"/>
  <c r="T150" i="17"/>
  <c r="N150" i="17"/>
  <c r="U149" i="17"/>
  <c r="N149" i="17"/>
  <c r="W147" i="17"/>
  <c r="U147" i="17"/>
  <c r="T147" i="17"/>
  <c r="N147" i="17"/>
  <c r="W146" i="17"/>
  <c r="N146" i="17"/>
  <c r="U146" i="17"/>
  <c r="X144" i="17"/>
  <c r="W144" i="17"/>
  <c r="U144" i="17"/>
  <c r="T144" i="17"/>
  <c r="N144" i="17"/>
  <c r="X143" i="17"/>
  <c r="W143" i="17"/>
  <c r="T143" i="17"/>
  <c r="N142" i="17"/>
  <c r="X140" i="17"/>
  <c r="X139" i="17"/>
  <c r="U139" i="17"/>
  <c r="T139" i="17"/>
  <c r="N139" i="17"/>
  <c r="X138" i="17"/>
  <c r="W138" i="17"/>
  <c r="N138" i="17"/>
  <c r="U138" i="17"/>
  <c r="X136" i="17"/>
  <c r="W136" i="17"/>
  <c r="U136" i="17"/>
  <c r="T136" i="17"/>
  <c r="N136" i="17"/>
  <c r="X135" i="17"/>
  <c r="W135" i="17"/>
  <c r="T135" i="17"/>
  <c r="T134" i="17"/>
  <c r="W134" i="17"/>
  <c r="N132" i="17"/>
  <c r="T132" i="17"/>
  <c r="V131" i="17"/>
  <c r="U131" i="17"/>
  <c r="T131" i="17"/>
  <c r="N131" i="17"/>
  <c r="X131" i="17"/>
  <c r="X130" i="17"/>
  <c r="W130" i="17"/>
  <c r="U130" i="17"/>
  <c r="T130" i="17"/>
  <c r="N130" i="17"/>
  <c r="W129" i="17"/>
  <c r="T129" i="17"/>
  <c r="N129" i="17"/>
  <c r="X129" i="17"/>
  <c r="X127" i="17"/>
  <c r="X126" i="17"/>
  <c r="T126" i="17"/>
  <c r="N126" i="17"/>
  <c r="X125" i="17"/>
  <c r="V125" i="17"/>
  <c r="V123" i="17"/>
  <c r="T123" i="17"/>
  <c r="N123" i="17"/>
  <c r="X123" i="17"/>
  <c r="X122" i="17"/>
  <c r="V122" i="17"/>
  <c r="U122" i="17"/>
  <c r="T122" i="17"/>
  <c r="N122" i="17"/>
  <c r="T121" i="17"/>
  <c r="N121" i="17"/>
  <c r="X121" i="17"/>
  <c r="U119" i="17"/>
  <c r="X119" i="17"/>
  <c r="X118" i="17"/>
  <c r="N118" i="17"/>
  <c r="V117" i="17"/>
  <c r="N117" i="17"/>
  <c r="X115" i="17"/>
  <c r="U115" i="17"/>
  <c r="T115" i="17"/>
  <c r="N115" i="17"/>
  <c r="X114" i="17"/>
  <c r="V114" i="17"/>
  <c r="U114" i="17"/>
  <c r="T114" i="17"/>
  <c r="N114" i="17"/>
  <c r="W113" i="17"/>
  <c r="V113" i="17"/>
  <c r="T113" i="17"/>
  <c r="N113" i="17"/>
  <c r="X113" i="17"/>
  <c r="W111" i="17"/>
  <c r="X111" i="17"/>
  <c r="X110" i="17"/>
  <c r="T110" i="17"/>
  <c r="N110" i="17"/>
  <c r="X107" i="17"/>
  <c r="V107" i="17"/>
  <c r="U107" i="17"/>
  <c r="N107" i="17"/>
  <c r="X106" i="17"/>
  <c r="W106" i="17"/>
  <c r="V106" i="17"/>
  <c r="T106" i="17"/>
  <c r="N106" i="17"/>
  <c r="W105" i="17"/>
  <c r="V105" i="17"/>
  <c r="T105" i="17"/>
  <c r="N105" i="17"/>
  <c r="X105" i="17"/>
  <c r="W103" i="17"/>
  <c r="U103" i="17"/>
  <c r="X103" i="17"/>
  <c r="X102" i="17"/>
  <c r="T102" i="17"/>
  <c r="N102" i="17"/>
  <c r="X99" i="17"/>
  <c r="U99" i="17"/>
  <c r="N99" i="17"/>
  <c r="T99" i="17"/>
  <c r="X98" i="17"/>
  <c r="W98" i="17"/>
  <c r="U98" i="17"/>
  <c r="T98" i="17"/>
  <c r="N98" i="17"/>
  <c r="X97" i="17"/>
  <c r="W97" i="17"/>
  <c r="T97" i="17"/>
  <c r="N97" i="17"/>
  <c r="U97" i="17"/>
  <c r="W95" i="17"/>
  <c r="X95" i="17"/>
  <c r="T94" i="17"/>
  <c r="N94" i="17"/>
  <c r="W93" i="17"/>
  <c r="X91" i="17"/>
  <c r="U91" i="17"/>
  <c r="N91" i="17"/>
  <c r="T91" i="17"/>
  <c r="X90" i="17"/>
  <c r="W90" i="17"/>
  <c r="U90" i="17"/>
  <c r="T90" i="17"/>
  <c r="N90" i="17"/>
  <c r="W89" i="17"/>
  <c r="T89" i="17"/>
  <c r="N89" i="17"/>
  <c r="U89" i="17"/>
  <c r="W87" i="17"/>
  <c r="U87" i="17"/>
  <c r="T86" i="17"/>
  <c r="N86" i="17"/>
  <c r="X83" i="17"/>
  <c r="V83" i="17"/>
  <c r="N83" i="17"/>
  <c r="T83" i="17"/>
  <c r="W82" i="17"/>
  <c r="V82" i="17"/>
  <c r="T82" i="17"/>
  <c r="N82" i="17"/>
  <c r="X81" i="17"/>
  <c r="W81" i="17"/>
  <c r="V81" i="17"/>
  <c r="T81" i="17"/>
  <c r="N81" i="17"/>
  <c r="U81" i="17"/>
  <c r="W79" i="17"/>
  <c r="T79" i="17"/>
  <c r="X79" i="17"/>
  <c r="T78" i="17"/>
  <c r="X78" i="17"/>
  <c r="X76" i="17"/>
  <c r="V76" i="17"/>
  <c r="X75" i="17"/>
  <c r="V75" i="17"/>
  <c r="N75" i="17"/>
  <c r="T75" i="17"/>
  <c r="X74" i="17"/>
  <c r="V74" i="17"/>
  <c r="U74" i="17"/>
  <c r="T74" i="17"/>
  <c r="N74" i="17"/>
  <c r="X73" i="17"/>
  <c r="V73" i="17"/>
  <c r="T73" i="17"/>
  <c r="N73" i="17"/>
  <c r="U73" i="17"/>
  <c r="V72" i="17"/>
  <c r="T72" i="17"/>
  <c r="U71" i="17"/>
  <c r="T71" i="17"/>
  <c r="X71" i="17"/>
  <c r="X70" i="17"/>
  <c r="T70" i="17"/>
  <c r="X67" i="17"/>
  <c r="N67" i="17"/>
  <c r="T67" i="17"/>
  <c r="X66" i="17"/>
  <c r="W66" i="17"/>
  <c r="V66" i="17"/>
  <c r="T66" i="17"/>
  <c r="N66" i="17"/>
  <c r="X65" i="17"/>
  <c r="W65" i="17"/>
  <c r="V65" i="17"/>
  <c r="T65" i="17"/>
  <c r="N65" i="17"/>
  <c r="V64" i="17"/>
  <c r="T64" i="17"/>
  <c r="U63" i="17"/>
  <c r="T63" i="17"/>
  <c r="X63" i="17"/>
  <c r="X62" i="17"/>
  <c r="T62" i="17"/>
  <c r="X59" i="17"/>
  <c r="U59" i="17"/>
  <c r="N59" i="17"/>
  <c r="X58" i="17"/>
  <c r="V58" i="17"/>
  <c r="U58" i="17"/>
  <c r="N58" i="17"/>
  <c r="X57" i="17"/>
  <c r="V57" i="17"/>
  <c r="T57" i="17"/>
  <c r="N57" i="17"/>
  <c r="U57" i="17"/>
  <c r="V55" i="17"/>
  <c r="U55" i="17"/>
  <c r="T55" i="17"/>
  <c r="X55" i="17"/>
  <c r="X51" i="17"/>
  <c r="U51" i="17"/>
  <c r="N51" i="17"/>
  <c r="X50" i="17"/>
  <c r="V50" i="17"/>
  <c r="U50" i="17"/>
  <c r="N50" i="17"/>
  <c r="X49" i="17"/>
  <c r="V49" i="17"/>
  <c r="U49" i="17"/>
  <c r="N49" i="17"/>
  <c r="W47" i="17"/>
  <c r="U47" i="17"/>
  <c r="T47" i="17"/>
  <c r="X47" i="17"/>
  <c r="V45" i="17"/>
  <c r="N45" i="17"/>
  <c r="X43" i="17"/>
  <c r="U43" i="17"/>
  <c r="N43" i="17"/>
  <c r="X42" i="17"/>
  <c r="V42" i="17"/>
  <c r="U42" i="17"/>
  <c r="N42" i="17"/>
  <c r="X41" i="17"/>
  <c r="W41" i="17"/>
  <c r="V41" i="17"/>
  <c r="U41" i="17"/>
  <c r="N41" i="17"/>
  <c r="W39" i="17"/>
  <c r="V39" i="17"/>
  <c r="U39" i="17"/>
  <c r="T39" i="17"/>
  <c r="X39" i="17"/>
  <c r="X34" i="17"/>
  <c r="U34" i="17"/>
  <c r="T34" i="17"/>
  <c r="N34" i="17"/>
  <c r="W34" i="17"/>
  <c r="X33" i="17"/>
  <c r="T33" i="17"/>
  <c r="N33" i="17"/>
  <c r="U33" i="17"/>
  <c r="V32" i="17"/>
  <c r="T32" i="17"/>
  <c r="N32" i="17"/>
  <c r="W31" i="17"/>
  <c r="U31" i="17"/>
  <c r="X30" i="17"/>
  <c r="T30" i="17"/>
  <c r="V34" i="17"/>
  <c r="V47" i="17"/>
  <c r="V48" i="17"/>
  <c r="W55" i="17"/>
  <c r="T56" i="17"/>
  <c r="U67" i="17"/>
  <c r="W71" i="17"/>
  <c r="W73" i="17"/>
  <c r="U75" i="17"/>
  <c r="U79" i="17"/>
  <c r="V89" i="17"/>
  <c r="V90" i="17"/>
  <c r="I90" i="17"/>
  <c r="J90" i="17" s="1"/>
  <c r="U95" i="17"/>
  <c r="V97" i="17"/>
  <c r="V98" i="17"/>
  <c r="V104" i="17"/>
  <c r="I104" i="17"/>
  <c r="J104" i="17" s="1"/>
  <c r="U106" i="17"/>
  <c r="W114" i="17"/>
  <c r="W119" i="17"/>
  <c r="W121" i="17"/>
  <c r="W122" i="17"/>
  <c r="U127" i="17"/>
  <c r="V128" i="17"/>
  <c r="V130" i="17"/>
  <c r="V144" i="17"/>
  <c r="V146" i="17"/>
  <c r="H438" i="17"/>
  <c r="H436" i="17"/>
  <c r="H382" i="17"/>
  <c r="H372" i="17"/>
  <c r="I372" i="17" s="1"/>
  <c r="J372" i="17" s="1"/>
  <c r="H364" i="17"/>
  <c r="I364" i="17" s="1"/>
  <c r="J364" i="17" s="1"/>
  <c r="H358" i="17"/>
  <c r="I358" i="17" s="1"/>
  <c r="J358" i="17" s="1"/>
  <c r="H350" i="17"/>
  <c r="I350" i="17" s="1"/>
  <c r="J350" i="17" s="1"/>
  <c r="H318" i="17"/>
  <c r="I318" i="17" s="1"/>
  <c r="J318" i="17" s="1"/>
  <c r="H308" i="17"/>
  <c r="H302" i="17"/>
  <c r="H300" i="17"/>
  <c r="I300" i="17" s="1"/>
  <c r="J300" i="17" s="1"/>
  <c r="H294" i="17"/>
  <c r="I294" i="17" s="1"/>
  <c r="J294" i="17" s="1"/>
  <c r="H276" i="17"/>
  <c r="I276" i="17" s="1"/>
  <c r="J276" i="17" s="1"/>
  <c r="H254" i="17"/>
  <c r="I254" i="17" s="1"/>
  <c r="J254" i="17" s="1"/>
  <c r="H252" i="17"/>
  <c r="I252" i="17" s="1"/>
  <c r="J252" i="17" s="1"/>
  <c r="H222" i="17"/>
  <c r="I222" i="17" s="1"/>
  <c r="J222" i="17" s="1"/>
  <c r="H214" i="17"/>
  <c r="I214" i="17" s="1"/>
  <c r="J214" i="17" s="1"/>
  <c r="H198" i="17"/>
  <c r="H196" i="17"/>
  <c r="I196" i="17" s="1"/>
  <c r="J196" i="17" s="1"/>
  <c r="H190" i="17"/>
  <c r="I190" i="17" s="1"/>
  <c r="J190" i="17" s="1"/>
  <c r="H156" i="17"/>
  <c r="I156" i="17" s="1"/>
  <c r="J156" i="17" s="1"/>
  <c r="H140" i="17"/>
  <c r="W140" i="17" s="1"/>
  <c r="H134" i="17"/>
  <c r="K134" i="17" s="1"/>
  <c r="L134" i="17" s="1"/>
  <c r="U123" i="17"/>
  <c r="H118" i="17"/>
  <c r="T118" i="17" s="1"/>
  <c r="H108" i="17"/>
  <c r="H100" i="17"/>
  <c r="K100" i="17" s="1"/>
  <c r="L100" i="17" s="1"/>
  <c r="H94" i="17"/>
  <c r="X94" i="17" s="1"/>
  <c r="H92" i="17"/>
  <c r="W92" i="17" s="1"/>
  <c r="U83" i="17"/>
  <c r="H78" i="17"/>
  <c r="I78" i="17" s="1"/>
  <c r="J78" i="17" s="1"/>
  <c r="H76" i="17"/>
  <c r="I76" i="17" s="1"/>
  <c r="J76" i="17" s="1"/>
  <c r="H68" i="17"/>
  <c r="H52" i="17"/>
  <c r="K52" i="17" s="1"/>
  <c r="L52" i="17" s="1"/>
  <c r="H44" i="17"/>
  <c r="K44" i="17" s="1"/>
  <c r="L44" i="17" s="1"/>
  <c r="K437" i="17"/>
  <c r="L437" i="17" s="1"/>
  <c r="K291" i="17"/>
  <c r="L291" i="17" s="1"/>
  <c r="K245" i="17"/>
  <c r="L245" i="17" s="1"/>
  <c r="K157" i="17"/>
  <c r="L157" i="17" s="1"/>
  <c r="U11" i="17"/>
  <c r="T29" i="17"/>
  <c r="U29" i="17"/>
  <c r="H28" i="17"/>
  <c r="K28" i="17" s="1"/>
  <c r="L28" i="17" s="1"/>
  <c r="K24" i="17"/>
  <c r="L24" i="17" s="1"/>
  <c r="U16" i="17"/>
  <c r="X11" i="17"/>
  <c r="N11" i="17"/>
  <c r="T11" i="17"/>
  <c r="X19" i="17"/>
  <c r="N101" i="17"/>
  <c r="N125" i="17"/>
  <c r="V261" i="17"/>
  <c r="W349" i="17"/>
  <c r="N28" i="17"/>
  <c r="X29" i="17"/>
  <c r="V60" i="17"/>
  <c r="U85" i="17"/>
  <c r="U101" i="17"/>
  <c r="U109" i="17"/>
  <c r="X117" i="17"/>
  <c r="U125" i="17"/>
  <c r="N140" i="17"/>
  <c r="W149" i="17"/>
  <c r="N157" i="17"/>
  <c r="U173" i="17"/>
  <c r="N205" i="17"/>
  <c r="U213" i="17"/>
  <c r="V221" i="17"/>
  <c r="T229" i="17"/>
  <c r="W245" i="17"/>
  <c r="V253" i="17"/>
  <c r="N261" i="17"/>
  <c r="U269" i="17"/>
  <c r="W276" i="17"/>
  <c r="W277" i="17"/>
  <c r="T284" i="17"/>
  <c r="U292" i="17"/>
  <c r="X300" i="17"/>
  <c r="X308" i="17"/>
  <c r="X317" i="17"/>
  <c r="X324" i="17"/>
  <c r="U332" i="17"/>
  <c r="U340" i="17"/>
  <c r="X349" i="17"/>
  <c r="V356" i="17"/>
  <c r="N365" i="17"/>
  <c r="N380" i="17"/>
  <c r="T388" i="17"/>
  <c r="W389" i="17"/>
  <c r="X397" i="17"/>
  <c r="T405" i="17"/>
  <c r="V421" i="17"/>
  <c r="X437" i="17"/>
  <c r="N109" i="17"/>
  <c r="V149" i="17"/>
  <c r="N229" i="17"/>
  <c r="W397" i="17"/>
  <c r="U28" i="17"/>
  <c r="U36" i="17"/>
  <c r="W53" i="17"/>
  <c r="U77" i="17"/>
  <c r="W85" i="17"/>
  <c r="W101" i="17"/>
  <c r="W109" i="17"/>
  <c r="U140" i="17"/>
  <c r="X149" i="17"/>
  <c r="V157" i="17"/>
  <c r="N181" i="17"/>
  <c r="V197" i="17"/>
  <c r="T205" i="17"/>
  <c r="T212" i="17"/>
  <c r="W213" i="17"/>
  <c r="N221" i="17"/>
  <c r="U229" i="17"/>
  <c r="V237" i="17"/>
  <c r="T244" i="17"/>
  <c r="X245" i="17"/>
  <c r="N253" i="17"/>
  <c r="T261" i="17"/>
  <c r="W268" i="17"/>
  <c r="W269" i="17"/>
  <c r="N276" i="17"/>
  <c r="X277" i="17"/>
  <c r="U284" i="17"/>
  <c r="W292" i="17"/>
  <c r="V301" i="17"/>
  <c r="W316" i="17"/>
  <c r="N325" i="17"/>
  <c r="V332" i="17"/>
  <c r="V340" i="17"/>
  <c r="X348" i="17"/>
  <c r="N356" i="17"/>
  <c r="T365" i="17"/>
  <c r="V372" i="17"/>
  <c r="U380" i="17"/>
  <c r="V388" i="17"/>
  <c r="X389" i="17"/>
  <c r="U405" i="17"/>
  <c r="N413" i="17"/>
  <c r="W421" i="17"/>
  <c r="V205" i="17"/>
  <c r="T269" i="17"/>
  <c r="W437" i="17"/>
  <c r="X21" i="17"/>
  <c r="W28" i="17"/>
  <c r="V61" i="17"/>
  <c r="V69" i="17"/>
  <c r="V77" i="17"/>
  <c r="W157" i="17"/>
  <c r="U181" i="17"/>
  <c r="N197" i="17"/>
  <c r="U204" i="17"/>
  <c r="U205" i="17"/>
  <c r="N212" i="17"/>
  <c r="X213" i="17"/>
  <c r="T221" i="17"/>
  <c r="N228" i="17"/>
  <c r="W229" i="17"/>
  <c r="N237" i="17"/>
  <c r="N244" i="17"/>
  <c r="T253" i="17"/>
  <c r="U261" i="17"/>
  <c r="N268" i="17"/>
  <c r="X269" i="17"/>
  <c r="T276" i="17"/>
  <c r="W284" i="17"/>
  <c r="X292" i="17"/>
  <c r="X309" i="17"/>
  <c r="N316" i="17"/>
  <c r="U325" i="17"/>
  <c r="X332" i="17"/>
  <c r="W340" i="17"/>
  <c r="U348" i="17"/>
  <c r="U356" i="17"/>
  <c r="N372" i="17"/>
  <c r="W388" i="17"/>
  <c r="V405" i="17"/>
  <c r="T413" i="17"/>
  <c r="X421" i="17"/>
  <c r="T429" i="17"/>
  <c r="W125" i="17"/>
  <c r="W69" i="17"/>
  <c r="W61" i="17"/>
  <c r="U37" i="17"/>
  <c r="W13" i="17"/>
  <c r="W29" i="17"/>
  <c r="U157" i="17"/>
  <c r="T213" i="17"/>
  <c r="U245" i="17"/>
  <c r="V373" i="17"/>
  <c r="V389" i="17"/>
  <c r="U421" i="17"/>
  <c r="X13" i="17"/>
  <c r="N21" i="17"/>
  <c r="V36" i="17"/>
  <c r="N61" i="17"/>
  <c r="N69" i="17"/>
  <c r="N77" i="17"/>
  <c r="N93" i="17"/>
  <c r="X165" i="17"/>
  <c r="U197" i="17"/>
  <c r="N204" i="17"/>
  <c r="W205" i="17"/>
  <c r="V212" i="17"/>
  <c r="U221" i="17"/>
  <c r="T228" i="17"/>
  <c r="T237" i="17"/>
  <c r="U253" i="17"/>
  <c r="W260" i="17"/>
  <c r="W261" i="17"/>
  <c r="T268" i="17"/>
  <c r="X293" i="17"/>
  <c r="V300" i="17"/>
  <c r="W308" i="17"/>
  <c r="N309" i="17"/>
  <c r="T316" i="17"/>
  <c r="W324" i="17"/>
  <c r="X333" i="17"/>
  <c r="U372" i="17"/>
  <c r="N397" i="17"/>
  <c r="W405" i="17"/>
  <c r="U413" i="17"/>
  <c r="U429" i="17"/>
  <c r="U45" i="17"/>
  <c r="U277" i="17"/>
  <c r="N405" i="17"/>
  <c r="N13" i="17"/>
  <c r="T21" i="17"/>
  <c r="N29" i="17"/>
  <c r="W36" i="17"/>
  <c r="U93" i="17"/>
  <c r="X132" i="17"/>
  <c r="N165" i="17"/>
  <c r="V189" i="17"/>
  <c r="V204" i="17"/>
  <c r="W221" i="17"/>
  <c r="V228" i="17"/>
  <c r="T236" i="17"/>
  <c r="U237" i="17"/>
  <c r="V245" i="17"/>
  <c r="W252" i="17"/>
  <c r="W253" i="17"/>
  <c r="N260" i="17"/>
  <c r="V277" i="17"/>
  <c r="N300" i="17"/>
  <c r="N308" i="17"/>
  <c r="U316" i="17"/>
  <c r="N324" i="17"/>
  <c r="W341" i="17"/>
  <c r="U349" i="17"/>
  <c r="V357" i="17"/>
  <c r="V364" i="17"/>
  <c r="N381" i="17"/>
  <c r="N389" i="17"/>
  <c r="T397" i="17"/>
  <c r="V413" i="17"/>
  <c r="V429" i="17"/>
  <c r="V13" i="17"/>
  <c r="W189" i="17"/>
  <c r="X285" i="17"/>
  <c r="X341" i="17"/>
  <c r="K429" i="17"/>
  <c r="L429" i="17" s="1"/>
  <c r="K421" i="17"/>
  <c r="L421" i="17" s="1"/>
  <c r="K413" i="17"/>
  <c r="L413" i="17" s="1"/>
  <c r="K405" i="17"/>
  <c r="L405" i="17" s="1"/>
  <c r="K397" i="17"/>
  <c r="L397" i="17" s="1"/>
  <c r="K317" i="17"/>
  <c r="L317" i="17" s="1"/>
  <c r="K293" i="17"/>
  <c r="L293" i="17" s="1"/>
  <c r="K277" i="17"/>
  <c r="L277" i="17" s="1"/>
  <c r="K269" i="17"/>
  <c r="L269" i="17" s="1"/>
  <c r="K261" i="17"/>
  <c r="L261" i="17" s="1"/>
  <c r="K253" i="17"/>
  <c r="L253" i="17" s="1"/>
  <c r="K229" i="17"/>
  <c r="L229" i="17" s="1"/>
  <c r="K221" i="17"/>
  <c r="L221" i="17" s="1"/>
  <c r="K149" i="17"/>
  <c r="L149" i="17" s="1"/>
  <c r="I429" i="17"/>
  <c r="J429" i="17" s="1"/>
  <c r="I157" i="17"/>
  <c r="J157" i="17" s="1"/>
  <c r="K435" i="17"/>
  <c r="L435" i="17" s="1"/>
  <c r="K427" i="17"/>
  <c r="L427" i="17" s="1"/>
  <c r="K419" i="17"/>
  <c r="L419" i="17" s="1"/>
  <c r="K411" i="17"/>
  <c r="L411" i="17" s="1"/>
  <c r="K395" i="17"/>
  <c r="L395" i="17" s="1"/>
  <c r="K355" i="17"/>
  <c r="L355" i="17" s="1"/>
  <c r="K347" i="17"/>
  <c r="L347" i="17" s="1"/>
  <c r="K339" i="17"/>
  <c r="L339" i="17" s="1"/>
  <c r="K331" i="17"/>
  <c r="L331" i="17" s="1"/>
  <c r="K323" i="17"/>
  <c r="L323" i="17" s="1"/>
  <c r="K315" i="17"/>
  <c r="L315" i="17" s="1"/>
  <c r="K283" i="17"/>
  <c r="L283" i="17" s="1"/>
  <c r="K251" i="17"/>
  <c r="L251" i="17" s="1"/>
  <c r="K243" i="17"/>
  <c r="L243" i="17" s="1"/>
  <c r="K235" i="17"/>
  <c r="L235" i="17" s="1"/>
  <c r="K227" i="17"/>
  <c r="L227" i="17" s="1"/>
  <c r="K219" i="17"/>
  <c r="L219" i="17" s="1"/>
  <c r="K35" i="17"/>
  <c r="L35" i="17" s="1"/>
  <c r="K371" i="17"/>
  <c r="L371" i="17" s="1"/>
  <c r="K379" i="17"/>
  <c r="L379" i="17" s="1"/>
  <c r="K194" i="17"/>
  <c r="L194" i="17" s="1"/>
  <c r="K301" i="17"/>
  <c r="L301" i="17" s="1"/>
  <c r="K387" i="17"/>
  <c r="L387" i="17" s="1"/>
  <c r="I418" i="17"/>
  <c r="J418" i="17" s="1"/>
  <c r="K218" i="17"/>
  <c r="L218" i="17" s="1"/>
  <c r="I235" i="17"/>
  <c r="J235" i="17" s="1"/>
  <c r="I122" i="17"/>
  <c r="J122" i="17" s="1"/>
  <c r="I234" i="17"/>
  <c r="J234" i="17" s="1"/>
  <c r="I323" i="17"/>
  <c r="J323" i="17" s="1"/>
  <c r="K285" i="17"/>
  <c r="L285" i="17" s="1"/>
  <c r="I330" i="17"/>
  <c r="J330" i="17" s="1"/>
  <c r="K365" i="17"/>
  <c r="L365" i="17" s="1"/>
  <c r="I434" i="17"/>
  <c r="J434" i="17" s="1"/>
  <c r="V141" i="17"/>
  <c r="K76" i="17"/>
  <c r="L76" i="17" s="1"/>
  <c r="I68" i="17"/>
  <c r="J68" i="17" s="1"/>
  <c r="V68" i="17"/>
  <c r="K68" i="17"/>
  <c r="L68" i="17" s="1"/>
  <c r="V28" i="17"/>
  <c r="I28" i="17"/>
  <c r="J28" i="17" s="1"/>
  <c r="V53" i="17"/>
  <c r="V109" i="17"/>
  <c r="I308" i="17"/>
  <c r="J308" i="17" s="1"/>
  <c r="H30" i="17"/>
  <c r="K30" i="17" s="1"/>
  <c r="L30" i="17" s="1"/>
  <c r="H38" i="17"/>
  <c r="I38" i="17" s="1"/>
  <c r="J38" i="17" s="1"/>
  <c r="H43" i="17"/>
  <c r="K43" i="17" s="1"/>
  <c r="L43" i="17" s="1"/>
  <c r="H60" i="17"/>
  <c r="V85" i="17"/>
  <c r="V101" i="17"/>
  <c r="H102" i="17"/>
  <c r="K102" i="17" s="1"/>
  <c r="L102" i="17" s="1"/>
  <c r="H124" i="17"/>
  <c r="K124" i="17" s="1"/>
  <c r="L124" i="17" s="1"/>
  <c r="K126" i="17"/>
  <c r="L126" i="17" s="1"/>
  <c r="H189" i="17"/>
  <c r="I189" i="17" s="1"/>
  <c r="J189" i="17" s="1"/>
  <c r="I229" i="17"/>
  <c r="J229" i="17" s="1"/>
  <c r="I344" i="17"/>
  <c r="J344" i="17" s="1"/>
  <c r="I336" i="17"/>
  <c r="J336" i="17" s="1"/>
  <c r="H22" i="17"/>
  <c r="I22" i="17" s="1"/>
  <c r="J22" i="17" s="1"/>
  <c r="I36" i="17"/>
  <c r="J36" i="17" s="1"/>
  <c r="H51" i="17"/>
  <c r="W51" i="17" s="1"/>
  <c r="H93" i="17"/>
  <c r="K93" i="17" s="1"/>
  <c r="L93" i="17" s="1"/>
  <c r="H99" i="17"/>
  <c r="V99" i="17" s="1"/>
  <c r="H133" i="17"/>
  <c r="K133" i="17" s="1"/>
  <c r="L133" i="17" s="1"/>
  <c r="H174" i="17"/>
  <c r="I174" i="17" s="1"/>
  <c r="J174" i="17" s="1"/>
  <c r="H188" i="17"/>
  <c r="I188" i="17" s="1"/>
  <c r="J188" i="17" s="1"/>
  <c r="H197" i="17"/>
  <c r="I197" i="17" s="1"/>
  <c r="J197" i="17" s="1"/>
  <c r="H317" i="17"/>
  <c r="I317" i="17" s="1"/>
  <c r="J317" i="17" s="1"/>
  <c r="H356" i="17"/>
  <c r="I356" i="17" s="1"/>
  <c r="J356" i="17" s="1"/>
  <c r="H422" i="17"/>
  <c r="I436" i="17"/>
  <c r="J436" i="17" s="1"/>
  <c r="H437" i="17"/>
  <c r="I437" i="17" s="1"/>
  <c r="J437" i="17" s="1"/>
  <c r="W14" i="17"/>
  <c r="H27" i="17"/>
  <c r="K27" i="17" s="1"/>
  <c r="L27" i="17" s="1"/>
  <c r="T51" i="17"/>
  <c r="H54" i="17"/>
  <c r="K54" i="17" s="1"/>
  <c r="L54" i="17" s="1"/>
  <c r="I64" i="17"/>
  <c r="J64" i="17" s="1"/>
  <c r="H70" i="17"/>
  <c r="K70" i="17" s="1"/>
  <c r="L70" i="17" s="1"/>
  <c r="V93" i="17"/>
  <c r="H116" i="17"/>
  <c r="K116" i="17" s="1"/>
  <c r="L116" i="17" s="1"/>
  <c r="H117" i="17"/>
  <c r="W117" i="17" s="1"/>
  <c r="I130" i="17"/>
  <c r="J130" i="17" s="1"/>
  <c r="H132" i="17"/>
  <c r="H213" i="17"/>
  <c r="I213" i="17" s="1"/>
  <c r="J213" i="17" s="1"/>
  <c r="H221" i="17"/>
  <c r="I221" i="17" s="1"/>
  <c r="J221" i="17" s="1"/>
  <c r="H244" i="17"/>
  <c r="I244" i="17" s="1"/>
  <c r="J244" i="17" s="1"/>
  <c r="H268" i="17"/>
  <c r="I268" i="17" s="1"/>
  <c r="J268" i="17" s="1"/>
  <c r="I355" i="17"/>
  <c r="J355" i="17" s="1"/>
  <c r="H390" i="17"/>
  <c r="I390" i="17" s="1"/>
  <c r="J390" i="17" s="1"/>
  <c r="I404" i="17"/>
  <c r="J404" i="17" s="1"/>
  <c r="H412" i="17"/>
  <c r="I412" i="17" s="1"/>
  <c r="J412" i="17" s="1"/>
  <c r="I413" i="17"/>
  <c r="J413" i="17" s="1"/>
  <c r="H414" i="17"/>
  <c r="I414" i="17" s="1"/>
  <c r="J414" i="17" s="1"/>
  <c r="K29" i="17"/>
  <c r="L29" i="17" s="1"/>
  <c r="I56" i="17"/>
  <c r="J56" i="17" s="1"/>
  <c r="I101" i="17"/>
  <c r="J101" i="17" s="1"/>
  <c r="I109" i="17"/>
  <c r="J109" i="17" s="1"/>
  <c r="K118" i="17"/>
  <c r="L118" i="17" s="1"/>
  <c r="K119" i="17"/>
  <c r="L119" i="17" s="1"/>
  <c r="I140" i="17"/>
  <c r="J140" i="17" s="1"/>
  <c r="H142" i="17"/>
  <c r="W142" i="17" s="1"/>
  <c r="I248" i="17"/>
  <c r="J248" i="17" s="1"/>
  <c r="H363" i="17"/>
  <c r="I363" i="17" s="1"/>
  <c r="J363" i="17" s="1"/>
  <c r="H366" i="17"/>
  <c r="I366" i="17" s="1"/>
  <c r="J366" i="17" s="1"/>
  <c r="H420" i="17"/>
  <c r="I420" i="17" s="1"/>
  <c r="J420" i="17" s="1"/>
  <c r="I421" i="17"/>
  <c r="J421" i="17" s="1"/>
  <c r="I430" i="17"/>
  <c r="J430" i="17" s="1"/>
  <c r="T46" i="17"/>
  <c r="T59" i="17"/>
  <c r="I72" i="17"/>
  <c r="J72" i="17" s="1"/>
  <c r="K78" i="17"/>
  <c r="L78" i="17" s="1"/>
  <c r="I106" i="17"/>
  <c r="J106" i="17" s="1"/>
  <c r="I110" i="17"/>
  <c r="J110" i="17" s="1"/>
  <c r="I267" i="17"/>
  <c r="J267" i="17" s="1"/>
  <c r="H374" i="17"/>
  <c r="I405" i="17"/>
  <c r="J405" i="17" s="1"/>
  <c r="I428" i="17"/>
  <c r="J428" i="17" s="1"/>
  <c r="K19" i="17"/>
  <c r="L19" i="17" s="1"/>
  <c r="K110" i="17"/>
  <c r="L110" i="17" s="1"/>
  <c r="C36" i="17"/>
  <c r="C28" i="17"/>
  <c r="C45" i="17"/>
  <c r="C44" i="17"/>
  <c r="C43" i="17"/>
  <c r="C35" i="17"/>
  <c r="C27" i="17"/>
  <c r="C50" i="17"/>
  <c r="C42" i="17"/>
  <c r="C34" i="17"/>
  <c r="C41" i="17"/>
  <c r="C25" i="17"/>
  <c r="C56" i="17"/>
  <c r="C48" i="17"/>
  <c r="C40" i="17"/>
  <c r="C32" i="17"/>
  <c r="C24" i="17"/>
  <c r="C39" i="17"/>
  <c r="C31" i="17"/>
  <c r="C21" i="17"/>
  <c r="C54" i="17"/>
  <c r="C38" i="17"/>
  <c r="C30" i="17"/>
  <c r="I18" i="17"/>
  <c r="J18" i="17" s="1"/>
  <c r="I21" i="17"/>
  <c r="J21" i="17" s="1"/>
  <c r="V10" i="17"/>
  <c r="V18" i="17"/>
  <c r="K18" i="17"/>
  <c r="L18" i="17" s="1"/>
  <c r="U8" i="17"/>
  <c r="K22" i="17"/>
  <c r="L22" i="17" s="1"/>
  <c r="V24" i="17"/>
  <c r="I24" i="17"/>
  <c r="J24" i="17" s="1"/>
  <c r="N38" i="17"/>
  <c r="V38" i="17"/>
  <c r="U38" i="17"/>
  <c r="K79" i="17"/>
  <c r="L79" i="17" s="1"/>
  <c r="K81" i="17"/>
  <c r="L81" i="17" s="1"/>
  <c r="I81" i="17"/>
  <c r="J81" i="17" s="1"/>
  <c r="W84" i="17"/>
  <c r="U84" i="17"/>
  <c r="T84" i="17"/>
  <c r="N84" i="17"/>
  <c r="K105" i="17"/>
  <c r="L105" i="17" s="1"/>
  <c r="I105" i="17"/>
  <c r="J105" i="17" s="1"/>
  <c r="U6" i="17"/>
  <c r="W8" i="17"/>
  <c r="T9" i="17"/>
  <c r="V11" i="17"/>
  <c r="N12" i="17"/>
  <c r="U14" i="17"/>
  <c r="W16" i="17"/>
  <c r="T17" i="17"/>
  <c r="I19" i="17"/>
  <c r="J19" i="17" s="1"/>
  <c r="V19" i="17"/>
  <c r="N20" i="17"/>
  <c r="K21" i="17"/>
  <c r="L21" i="17" s="1"/>
  <c r="U22" i="17"/>
  <c r="W24" i="17"/>
  <c r="T25" i="17"/>
  <c r="I34" i="17"/>
  <c r="J34" i="17" s="1"/>
  <c r="V37" i="17"/>
  <c r="X37" i="17"/>
  <c r="T38" i="17"/>
  <c r="V84" i="17"/>
  <c r="X92" i="17"/>
  <c r="V92" i="17"/>
  <c r="U92" i="17"/>
  <c r="T92" i="17"/>
  <c r="N92" i="17"/>
  <c r="K95" i="17"/>
  <c r="L95" i="17" s="1"/>
  <c r="I98" i="17"/>
  <c r="J98" i="17" s="1"/>
  <c r="X108" i="17"/>
  <c r="W108" i="17"/>
  <c r="V108" i="17"/>
  <c r="U108" i="17"/>
  <c r="T108" i="17"/>
  <c r="N108" i="17"/>
  <c r="H112" i="17"/>
  <c r="U112" i="17" s="1"/>
  <c r="X124" i="17"/>
  <c r="W124" i="17"/>
  <c r="V124" i="17"/>
  <c r="U124" i="17"/>
  <c r="T124" i="17"/>
  <c r="N124" i="17"/>
  <c r="K130" i="17"/>
  <c r="L130" i="17" s="1"/>
  <c r="K155" i="17"/>
  <c r="L155" i="17" s="1"/>
  <c r="I155" i="17"/>
  <c r="J155" i="17" s="1"/>
  <c r="N80" i="17"/>
  <c r="X80" i="17"/>
  <c r="U88" i="17"/>
  <c r="T88" i="17"/>
  <c r="N88" i="17"/>
  <c r="W88" i="17"/>
  <c r="K108" i="17"/>
  <c r="L108" i="17" s="1"/>
  <c r="I108" i="17"/>
  <c r="J108" i="17" s="1"/>
  <c r="V6" i="17"/>
  <c r="X8" i="17"/>
  <c r="H9" i="17"/>
  <c r="I9" i="17" s="1"/>
  <c r="J9" i="17" s="1"/>
  <c r="W11" i="17"/>
  <c r="T12" i="17"/>
  <c r="V14" i="17"/>
  <c r="X16" i="17"/>
  <c r="H17" i="17"/>
  <c r="I17" i="17" s="1"/>
  <c r="J17" i="17" s="1"/>
  <c r="W19" i="17"/>
  <c r="T20" i="17"/>
  <c r="X24" i="17"/>
  <c r="H25" i="17"/>
  <c r="K25" i="17" s="1"/>
  <c r="L25" i="17" s="1"/>
  <c r="U25" i="17"/>
  <c r="N37" i="17"/>
  <c r="I39" i="17"/>
  <c r="J39" i="17" s="1"/>
  <c r="H42" i="17"/>
  <c r="T42" i="17" s="1"/>
  <c r="H41" i="17"/>
  <c r="T41" i="17" s="1"/>
  <c r="I44" i="17"/>
  <c r="J44" i="17" s="1"/>
  <c r="K48" i="17"/>
  <c r="L48" i="17" s="1"/>
  <c r="I52" i="17"/>
  <c r="J52" i="17" s="1"/>
  <c r="I62" i="17"/>
  <c r="J62" i="17" s="1"/>
  <c r="U65" i="17"/>
  <c r="I70" i="17"/>
  <c r="J70" i="17" s="1"/>
  <c r="V80" i="17"/>
  <c r="K96" i="17"/>
  <c r="L96" i="17" s="1"/>
  <c r="K98" i="17"/>
  <c r="L98" i="17" s="1"/>
  <c r="I114" i="17"/>
  <c r="J114" i="17" s="1"/>
  <c r="W115" i="17"/>
  <c r="K121" i="17"/>
  <c r="L121" i="17" s="1"/>
  <c r="I121" i="17"/>
  <c r="J121" i="17" s="1"/>
  <c r="K123" i="17"/>
  <c r="L123" i="17" s="1"/>
  <c r="K128" i="17"/>
  <c r="L128" i="17" s="1"/>
  <c r="V9" i="17"/>
  <c r="H12" i="17"/>
  <c r="I12" i="17" s="1"/>
  <c r="J12" i="17" s="1"/>
  <c r="H20" i="17"/>
  <c r="U20" i="17" s="1"/>
  <c r="T27" i="17"/>
  <c r="V29" i="17"/>
  <c r="U32" i="17"/>
  <c r="X32" i="17"/>
  <c r="H33" i="17"/>
  <c r="K33" i="17" s="1"/>
  <c r="L33" i="17" s="1"/>
  <c r="T36" i="17"/>
  <c r="N36" i="17"/>
  <c r="T37" i="17"/>
  <c r="X38" i="17"/>
  <c r="H50" i="17"/>
  <c r="W50" i="17" s="1"/>
  <c r="H49" i="17"/>
  <c r="T49" i="17" s="1"/>
  <c r="K56" i="17"/>
  <c r="L56" i="17" s="1"/>
  <c r="K64" i="17"/>
  <c r="L64" i="17" s="1"/>
  <c r="H66" i="17"/>
  <c r="K66" i="17" s="1"/>
  <c r="L66" i="17" s="1"/>
  <c r="K72" i="17"/>
  <c r="L72" i="17" s="1"/>
  <c r="H74" i="17"/>
  <c r="H80" i="17"/>
  <c r="I80" i="17" s="1"/>
  <c r="J80" i="17" s="1"/>
  <c r="H88" i="17"/>
  <c r="I88" i="17" s="1"/>
  <c r="J88" i="17" s="1"/>
  <c r="K114" i="17"/>
  <c r="L114" i="17" s="1"/>
  <c r="I118" i="17"/>
  <c r="J118" i="17" s="1"/>
  <c r="V136" i="17"/>
  <c r="I136" i="17"/>
  <c r="J136" i="17" s="1"/>
  <c r="K143" i="17"/>
  <c r="L143" i="17" s="1"/>
  <c r="K146" i="17"/>
  <c r="L146" i="17" s="1"/>
  <c r="K75" i="17"/>
  <c r="L75" i="17" s="1"/>
  <c r="I75" i="17"/>
  <c r="J75" i="17" s="1"/>
  <c r="H91" i="17"/>
  <c r="V91" i="17" s="1"/>
  <c r="K97" i="17"/>
  <c r="L97" i="17" s="1"/>
  <c r="I97" i="17"/>
  <c r="J97" i="17" s="1"/>
  <c r="I100" i="17"/>
  <c r="J100" i="17" s="1"/>
  <c r="X100" i="17"/>
  <c r="W100" i="17"/>
  <c r="V100" i="17"/>
  <c r="U100" i="17"/>
  <c r="T100" i="17"/>
  <c r="N100" i="17"/>
  <c r="I128" i="17"/>
  <c r="J128" i="17" s="1"/>
  <c r="I129" i="17"/>
  <c r="J129" i="17" s="1"/>
  <c r="H15" i="17"/>
  <c r="U15" i="17" s="1"/>
  <c r="H23" i="17"/>
  <c r="H32" i="17"/>
  <c r="K32" i="17" s="1"/>
  <c r="L32" i="17" s="1"/>
  <c r="U40" i="17"/>
  <c r="N40" i="17"/>
  <c r="X40" i="17"/>
  <c r="W52" i="17"/>
  <c r="U52" i="17"/>
  <c r="T52" i="17"/>
  <c r="N52" i="17"/>
  <c r="N8" i="17"/>
  <c r="N16" i="17"/>
  <c r="W20" i="17"/>
  <c r="N24" i="17"/>
  <c r="T31" i="17"/>
  <c r="I37" i="17"/>
  <c r="J37" i="17" s="1"/>
  <c r="K37" i="17"/>
  <c r="L37" i="17" s="1"/>
  <c r="T40" i="17"/>
  <c r="V44" i="17"/>
  <c r="I47" i="17"/>
  <c r="J47" i="17" s="1"/>
  <c r="U48" i="17"/>
  <c r="N48" i="17"/>
  <c r="X48" i="17"/>
  <c r="W48" i="17"/>
  <c r="V52" i="17"/>
  <c r="T54" i="17"/>
  <c r="I55" i="17"/>
  <c r="J55" i="17" s="1"/>
  <c r="W60" i="17"/>
  <c r="U60" i="17"/>
  <c r="N60" i="17"/>
  <c r="I61" i="17"/>
  <c r="J61" i="17" s="1"/>
  <c r="K61" i="17"/>
  <c r="L61" i="17" s="1"/>
  <c r="N62" i="17"/>
  <c r="W62" i="17"/>
  <c r="V62" i="17"/>
  <c r="U62" i="17"/>
  <c r="W68" i="17"/>
  <c r="U68" i="17"/>
  <c r="T68" i="17"/>
  <c r="N68" i="17"/>
  <c r="I69" i="17"/>
  <c r="J69" i="17" s="1"/>
  <c r="K69" i="17"/>
  <c r="L69" i="17" s="1"/>
  <c r="N70" i="17"/>
  <c r="W70" i="17"/>
  <c r="U70" i="17"/>
  <c r="K80" i="17"/>
  <c r="L80" i="17" s="1"/>
  <c r="H82" i="17"/>
  <c r="X82" i="17" s="1"/>
  <c r="I86" i="17"/>
  <c r="J86" i="17" s="1"/>
  <c r="U96" i="17"/>
  <c r="T107" i="17"/>
  <c r="K113" i="17"/>
  <c r="L113" i="17" s="1"/>
  <c r="K131" i="17"/>
  <c r="L131" i="17" s="1"/>
  <c r="V20" i="17"/>
  <c r="N30" i="17"/>
  <c r="V30" i="17"/>
  <c r="T35" i="17"/>
  <c r="W35" i="17"/>
  <c r="V35" i="17"/>
  <c r="N46" i="17"/>
  <c r="V46" i="17"/>
  <c r="U46" i="17"/>
  <c r="K67" i="17"/>
  <c r="L67" i="17" s="1"/>
  <c r="I67" i="17"/>
  <c r="J67" i="17" s="1"/>
  <c r="T8" i="17"/>
  <c r="X12" i="17"/>
  <c r="T16" i="17"/>
  <c r="T24" i="17"/>
  <c r="I29" i="17"/>
  <c r="J29" i="17" s="1"/>
  <c r="U30" i="17"/>
  <c r="K31" i="17"/>
  <c r="L31" i="17" s="1"/>
  <c r="U35" i="17"/>
  <c r="H40" i="17"/>
  <c r="V40" i="17"/>
  <c r="X46" i="17"/>
  <c r="X52" i="17"/>
  <c r="U56" i="17"/>
  <c r="N56" i="17"/>
  <c r="X56" i="17"/>
  <c r="W56" i="17"/>
  <c r="U64" i="17"/>
  <c r="N64" i="17"/>
  <c r="X64" i="17"/>
  <c r="W64" i="17"/>
  <c r="K65" i="17"/>
  <c r="L65" i="17" s="1"/>
  <c r="I65" i="17"/>
  <c r="J65" i="17" s="1"/>
  <c r="U72" i="17"/>
  <c r="N72" i="17"/>
  <c r="X72" i="17"/>
  <c r="W72" i="17"/>
  <c r="K73" i="17"/>
  <c r="L73" i="17" s="1"/>
  <c r="I73" i="17"/>
  <c r="J73" i="17" s="1"/>
  <c r="W76" i="17"/>
  <c r="U76" i="17"/>
  <c r="T76" i="17"/>
  <c r="N76" i="17"/>
  <c r="I77" i="17"/>
  <c r="K77" i="17"/>
  <c r="L77" i="17" s="1"/>
  <c r="K83" i="17"/>
  <c r="L83" i="17" s="1"/>
  <c r="I83" i="17"/>
  <c r="J83" i="17" s="1"/>
  <c r="K104" i="17"/>
  <c r="L104" i="17" s="1"/>
  <c r="H120" i="17"/>
  <c r="I120" i="17" s="1"/>
  <c r="J120" i="17" s="1"/>
  <c r="T133" i="17"/>
  <c r="N133" i="17"/>
  <c r="X133" i="17"/>
  <c r="W133" i="17"/>
  <c r="U133" i="17"/>
  <c r="K144" i="17"/>
  <c r="L144" i="17" s="1"/>
  <c r="I144" i="17"/>
  <c r="J144" i="17" s="1"/>
  <c r="K153" i="17"/>
  <c r="L153" i="17" s="1"/>
  <c r="I153" i="17"/>
  <c r="J153" i="17" s="1"/>
  <c r="H179" i="17"/>
  <c r="K179" i="17" s="1"/>
  <c r="L179" i="17" s="1"/>
  <c r="H180" i="17"/>
  <c r="I180" i="17" s="1"/>
  <c r="J180" i="17" s="1"/>
  <c r="H7" i="17"/>
  <c r="I7" i="17" s="1"/>
  <c r="J7" i="17" s="1"/>
  <c r="X31" i="17"/>
  <c r="N31" i="17"/>
  <c r="W44" i="17"/>
  <c r="U44" i="17"/>
  <c r="T44" i="17"/>
  <c r="N44" i="17"/>
  <c r="I48" i="17"/>
  <c r="J48" i="17" s="1"/>
  <c r="N54" i="17"/>
  <c r="V54" i="17"/>
  <c r="U54" i="17"/>
  <c r="H58" i="17"/>
  <c r="W58" i="17" s="1"/>
  <c r="H57" i="17"/>
  <c r="W57" i="17" s="1"/>
  <c r="K59" i="17"/>
  <c r="L59" i="17" s="1"/>
  <c r="I59" i="17"/>
  <c r="J59" i="17" s="1"/>
  <c r="V31" i="17"/>
  <c r="I35" i="17"/>
  <c r="J35" i="17" s="1"/>
  <c r="X35" i="17"/>
  <c r="N78" i="17"/>
  <c r="W78" i="17"/>
  <c r="V78" i="17"/>
  <c r="X116" i="17"/>
  <c r="W116" i="17"/>
  <c r="V116" i="17"/>
  <c r="T116" i="17"/>
  <c r="N116" i="17"/>
  <c r="X156" i="17"/>
  <c r="W156" i="17"/>
  <c r="T156" i="17"/>
  <c r="N156" i="17"/>
  <c r="V156" i="17"/>
  <c r="V43" i="17"/>
  <c r="X45" i="17"/>
  <c r="V51" i="17"/>
  <c r="X53" i="17"/>
  <c r="V59" i="17"/>
  <c r="X61" i="17"/>
  <c r="V67" i="17"/>
  <c r="X69" i="17"/>
  <c r="X77" i="17"/>
  <c r="U86" i="17"/>
  <c r="U94" i="17"/>
  <c r="W96" i="17"/>
  <c r="I99" i="17"/>
  <c r="J99" i="17" s="1"/>
  <c r="K101" i="17"/>
  <c r="L101" i="17" s="1"/>
  <c r="U102" i="17"/>
  <c r="W104" i="17"/>
  <c r="K109" i="17"/>
  <c r="L109" i="17" s="1"/>
  <c r="U110" i="17"/>
  <c r="W112" i="17"/>
  <c r="I115" i="17"/>
  <c r="J115" i="17" s="1"/>
  <c r="U118" i="17"/>
  <c r="W120" i="17"/>
  <c r="I123" i="17"/>
  <c r="J123" i="17" s="1"/>
  <c r="U126" i="17"/>
  <c r="W128" i="17"/>
  <c r="I131" i="17"/>
  <c r="J131" i="17" s="1"/>
  <c r="I132" i="17"/>
  <c r="J132" i="17" s="1"/>
  <c r="U134" i="17"/>
  <c r="X145" i="17"/>
  <c r="W145" i="17"/>
  <c r="U145" i="17"/>
  <c r="T145" i="17"/>
  <c r="N145" i="17"/>
  <c r="T152" i="17"/>
  <c r="N152" i="17"/>
  <c r="X152" i="17"/>
  <c r="W152" i="17"/>
  <c r="K163" i="17"/>
  <c r="L163" i="17" s="1"/>
  <c r="I163" i="17"/>
  <c r="J163" i="17" s="1"/>
  <c r="X164" i="17"/>
  <c r="W164" i="17"/>
  <c r="T164" i="17"/>
  <c r="N164" i="17"/>
  <c r="W172" i="17"/>
  <c r="N172" i="17"/>
  <c r="X172" i="17"/>
  <c r="V172" i="17"/>
  <c r="U172" i="17"/>
  <c r="K174" i="17"/>
  <c r="L174" i="17" s="1"/>
  <c r="N39" i="17"/>
  <c r="N47" i="17"/>
  <c r="N55" i="17"/>
  <c r="W59" i="17"/>
  <c r="N63" i="17"/>
  <c r="W67" i="17"/>
  <c r="N71" i="17"/>
  <c r="W75" i="17"/>
  <c r="N79" i="17"/>
  <c r="W83" i="17"/>
  <c r="V86" i="17"/>
  <c r="N87" i="17"/>
  <c r="V94" i="17"/>
  <c r="N95" i="17"/>
  <c r="X96" i="17"/>
  <c r="W99" i="17"/>
  <c r="V102" i="17"/>
  <c r="N103" i="17"/>
  <c r="X104" i="17"/>
  <c r="U105" i="17"/>
  <c r="V110" i="17"/>
  <c r="N111" i="17"/>
  <c r="X112" i="17"/>
  <c r="V118" i="17"/>
  <c r="N119" i="17"/>
  <c r="X120" i="17"/>
  <c r="U121" i="17"/>
  <c r="W123" i="17"/>
  <c r="V126" i="17"/>
  <c r="N127" i="17"/>
  <c r="X128" i="17"/>
  <c r="U129" i="17"/>
  <c r="W131" i="17"/>
  <c r="U132" i="17"/>
  <c r="H138" i="17"/>
  <c r="I138" i="17" s="1"/>
  <c r="J138" i="17" s="1"/>
  <c r="H139" i="17"/>
  <c r="V139" i="17" s="1"/>
  <c r="X142" i="17"/>
  <c r="V142" i="17"/>
  <c r="U142" i="17"/>
  <c r="T142" i="17"/>
  <c r="I143" i="17"/>
  <c r="J143" i="17" s="1"/>
  <c r="V145" i="17"/>
  <c r="H151" i="17"/>
  <c r="I151" i="17" s="1"/>
  <c r="J151" i="17" s="1"/>
  <c r="U152" i="17"/>
  <c r="T160" i="17"/>
  <c r="N160" i="17"/>
  <c r="X160" i="17"/>
  <c r="W160" i="17"/>
  <c r="V164" i="17"/>
  <c r="U170" i="17"/>
  <c r="V170" i="17"/>
  <c r="T170" i="17"/>
  <c r="N170" i="17"/>
  <c r="T172" i="17"/>
  <c r="K240" i="17"/>
  <c r="L240" i="17" s="1"/>
  <c r="W86" i="17"/>
  <c r="T87" i="17"/>
  <c r="W94" i="17"/>
  <c r="T95" i="17"/>
  <c r="T103" i="17"/>
  <c r="W110" i="17"/>
  <c r="T111" i="17"/>
  <c r="W118" i="17"/>
  <c r="T119" i="17"/>
  <c r="V121" i="17"/>
  <c r="W126" i="17"/>
  <c r="T127" i="17"/>
  <c r="V129" i="17"/>
  <c r="X137" i="17"/>
  <c r="W137" i="17"/>
  <c r="U137" i="17"/>
  <c r="I149" i="17"/>
  <c r="J149" i="17" s="1"/>
  <c r="V152" i="17"/>
  <c r="H159" i="17"/>
  <c r="I159" i="17" s="1"/>
  <c r="J159" i="17" s="1"/>
  <c r="H164" i="17"/>
  <c r="I164" i="17" s="1"/>
  <c r="J164" i="17" s="1"/>
  <c r="K238" i="17"/>
  <c r="L238" i="17" s="1"/>
  <c r="X153" i="17"/>
  <c r="V153" i="17"/>
  <c r="U153" i="17"/>
  <c r="T153" i="17"/>
  <c r="T45" i="17"/>
  <c r="T53" i="17"/>
  <c r="T61" i="17"/>
  <c r="V63" i="17"/>
  <c r="T69" i="17"/>
  <c r="I71" i="17"/>
  <c r="J71" i="17" s="1"/>
  <c r="V71" i="17"/>
  <c r="T77" i="17"/>
  <c r="I79" i="17"/>
  <c r="J79" i="17" s="1"/>
  <c r="V79" i="17"/>
  <c r="T85" i="17"/>
  <c r="V87" i="17"/>
  <c r="T93" i="17"/>
  <c r="I95" i="17"/>
  <c r="J95" i="17" s="1"/>
  <c r="V95" i="17"/>
  <c r="N96" i="17"/>
  <c r="T101" i="17"/>
  <c r="I103" i="17"/>
  <c r="J103" i="17" s="1"/>
  <c r="V103" i="17"/>
  <c r="N104" i="17"/>
  <c r="T109" i="17"/>
  <c r="I111" i="17"/>
  <c r="J111" i="17" s="1"/>
  <c r="V111" i="17"/>
  <c r="N112" i="17"/>
  <c r="T117" i="17"/>
  <c r="I119" i="17"/>
  <c r="J119" i="17" s="1"/>
  <c r="V119" i="17"/>
  <c r="N120" i="17"/>
  <c r="T125" i="17"/>
  <c r="I127" i="17"/>
  <c r="J127" i="17" s="1"/>
  <c r="V127" i="17"/>
  <c r="N128" i="17"/>
  <c r="K132" i="17"/>
  <c r="L132" i="17" s="1"/>
  <c r="V135" i="17"/>
  <c r="U135" i="17"/>
  <c r="N135" i="17"/>
  <c r="H137" i="17"/>
  <c r="V137" i="17" s="1"/>
  <c r="T137" i="17"/>
  <c r="K145" i="17"/>
  <c r="L145" i="17" s="1"/>
  <c r="N153" i="17"/>
  <c r="K158" i="17"/>
  <c r="L158" i="17" s="1"/>
  <c r="X161" i="17"/>
  <c r="V161" i="17"/>
  <c r="T161" i="17"/>
  <c r="I162" i="17"/>
  <c r="J162" i="17" s="1"/>
  <c r="H165" i="17"/>
  <c r="U165" i="17" s="1"/>
  <c r="I167" i="17"/>
  <c r="J167" i="17" s="1"/>
  <c r="T96" i="17"/>
  <c r="T104" i="17"/>
  <c r="T112" i="17"/>
  <c r="T120" i="17"/>
  <c r="T128" i="17"/>
  <c r="X134" i="17"/>
  <c r="T141" i="17"/>
  <c r="N141" i="17"/>
  <c r="X141" i="17"/>
  <c r="I142" i="17"/>
  <c r="J142" i="17" s="1"/>
  <c r="V143" i="17"/>
  <c r="W153" i="17"/>
  <c r="I173" i="17"/>
  <c r="J173" i="17" s="1"/>
  <c r="K173" i="17"/>
  <c r="L173" i="17" s="1"/>
  <c r="N198" i="17"/>
  <c r="W198" i="17"/>
  <c r="V198" i="17"/>
  <c r="U198" i="17"/>
  <c r="X198" i="17"/>
  <c r="T198" i="17"/>
  <c r="W132" i="17"/>
  <c r="V132" i="17"/>
  <c r="N134" i="17"/>
  <c r="K136" i="17"/>
  <c r="L136" i="17" s="1"/>
  <c r="U141" i="17"/>
  <c r="X148" i="17"/>
  <c r="W148" i="17"/>
  <c r="U148" i="17"/>
  <c r="T148" i="17"/>
  <c r="N148" i="17"/>
  <c r="U176" i="17"/>
  <c r="N176" i="17"/>
  <c r="X176" i="17"/>
  <c r="W176" i="17"/>
  <c r="T176" i="17"/>
  <c r="I182" i="17"/>
  <c r="J182" i="17" s="1"/>
  <c r="K182" i="17"/>
  <c r="L182" i="17" s="1"/>
  <c r="H147" i="17"/>
  <c r="X147" i="17" s="1"/>
  <c r="H158" i="17"/>
  <c r="I158" i="17" s="1"/>
  <c r="J158" i="17" s="1"/>
  <c r="X169" i="17"/>
  <c r="T169" i="17"/>
  <c r="H170" i="17"/>
  <c r="I170" i="17" s="1"/>
  <c r="J170" i="17" s="1"/>
  <c r="H178" i="17"/>
  <c r="H177" i="17"/>
  <c r="K177" i="17" s="1"/>
  <c r="L177" i="17" s="1"/>
  <c r="W188" i="17"/>
  <c r="U188" i="17"/>
  <c r="T188" i="17"/>
  <c r="N188" i="17"/>
  <c r="H194" i="17"/>
  <c r="K197" i="17"/>
  <c r="L197" i="17" s="1"/>
  <c r="K203" i="17"/>
  <c r="L203" i="17" s="1"/>
  <c r="K230" i="17"/>
  <c r="L230" i="17" s="1"/>
  <c r="H166" i="17"/>
  <c r="I166" i="17" s="1"/>
  <c r="J166" i="17" s="1"/>
  <c r="N168" i="17"/>
  <c r="W168" i="17"/>
  <c r="N169" i="17"/>
  <c r="I171" i="17"/>
  <c r="J171" i="17" s="1"/>
  <c r="N174" i="17"/>
  <c r="V174" i="17"/>
  <c r="U174" i="17"/>
  <c r="W180" i="17"/>
  <c r="T180" i="17"/>
  <c r="N180" i="17"/>
  <c r="H185" i="17"/>
  <c r="I185" i="17" s="1"/>
  <c r="J185" i="17" s="1"/>
  <c r="H192" i="17"/>
  <c r="I192" i="17" s="1"/>
  <c r="J192" i="17" s="1"/>
  <c r="W196" i="17"/>
  <c r="U196" i="17"/>
  <c r="T196" i="17"/>
  <c r="N196" i="17"/>
  <c r="H206" i="17"/>
  <c r="I206" i="17" s="1"/>
  <c r="J206" i="17" s="1"/>
  <c r="K309" i="17"/>
  <c r="L309" i="17" s="1"/>
  <c r="T140" i="17"/>
  <c r="N143" i="17"/>
  <c r="T151" i="17"/>
  <c r="N154" i="17"/>
  <c r="T159" i="17"/>
  <c r="N162" i="17"/>
  <c r="T165" i="17"/>
  <c r="T166" i="17"/>
  <c r="T168" i="17"/>
  <c r="U169" i="17"/>
  <c r="T174" i="17"/>
  <c r="U180" i="17"/>
  <c r="N182" i="17"/>
  <c r="V182" i="17"/>
  <c r="U182" i="17"/>
  <c r="K183" i="17"/>
  <c r="L183" i="17" s="1"/>
  <c r="I184" i="17"/>
  <c r="J184" i="17" s="1"/>
  <c r="X188" i="17"/>
  <c r="V196" i="17"/>
  <c r="T203" i="17"/>
  <c r="X203" i="17"/>
  <c r="V203" i="17"/>
  <c r="N203" i="17"/>
  <c r="I205" i="17"/>
  <c r="J205" i="17" s="1"/>
  <c r="K205" i="17"/>
  <c r="L205" i="17" s="1"/>
  <c r="K211" i="17"/>
  <c r="L211" i="17" s="1"/>
  <c r="I211" i="17"/>
  <c r="J211" i="17" s="1"/>
  <c r="H218" i="17"/>
  <c r="I218" i="17" s="1"/>
  <c r="J218" i="17" s="1"/>
  <c r="H219" i="17"/>
  <c r="I219" i="17" s="1"/>
  <c r="J219" i="17" s="1"/>
  <c r="U232" i="17"/>
  <c r="N232" i="17"/>
  <c r="X232" i="17"/>
  <c r="W232" i="17"/>
  <c r="V232" i="17"/>
  <c r="T232" i="17"/>
  <c r="T138" i="17"/>
  <c r="V140" i="17"/>
  <c r="U143" i="17"/>
  <c r="T146" i="17"/>
  <c r="T149" i="17"/>
  <c r="V151" i="17"/>
  <c r="U154" i="17"/>
  <c r="T157" i="17"/>
  <c r="V159" i="17"/>
  <c r="U162" i="17"/>
  <c r="V165" i="17"/>
  <c r="V168" i="17"/>
  <c r="W169" i="17"/>
  <c r="I172" i="17"/>
  <c r="J172" i="17" s="1"/>
  <c r="V173" i="17"/>
  <c r="T173" i="17"/>
  <c r="X173" i="17"/>
  <c r="X174" i="17"/>
  <c r="X180" i="17"/>
  <c r="W182" i="17"/>
  <c r="U184" i="17"/>
  <c r="N184" i="17"/>
  <c r="X184" i="17"/>
  <c r="W184" i="17"/>
  <c r="I194" i="17"/>
  <c r="J194" i="17" s="1"/>
  <c r="U203" i="17"/>
  <c r="N206" i="17"/>
  <c r="W206" i="17"/>
  <c r="V206" i="17"/>
  <c r="T206" i="17"/>
  <c r="I210" i="17"/>
  <c r="J210" i="17" s="1"/>
  <c r="H270" i="17"/>
  <c r="I270" i="17" s="1"/>
  <c r="J270" i="17" s="1"/>
  <c r="H269" i="17"/>
  <c r="I269" i="17" s="1"/>
  <c r="J269" i="17" s="1"/>
  <c r="I165" i="17"/>
  <c r="J165" i="17" s="1"/>
  <c r="W165" i="17"/>
  <c r="X166" i="17"/>
  <c r="X168" i="17"/>
  <c r="I169" i="17"/>
  <c r="J169" i="17" s="1"/>
  <c r="K171" i="17"/>
  <c r="L171" i="17" s="1"/>
  <c r="N173" i="17"/>
  <c r="H176" i="17"/>
  <c r="T181" i="17"/>
  <c r="X181" i="17"/>
  <c r="X182" i="17"/>
  <c r="T184" i="17"/>
  <c r="K187" i="17"/>
  <c r="L187" i="17" s="1"/>
  <c r="I187" i="17"/>
  <c r="J187" i="17" s="1"/>
  <c r="K190" i="17"/>
  <c r="L190" i="17" s="1"/>
  <c r="K193" i="17"/>
  <c r="L193" i="17" s="1"/>
  <c r="I193" i="17"/>
  <c r="J193" i="17" s="1"/>
  <c r="I198" i="17"/>
  <c r="J198" i="17" s="1"/>
  <c r="K202" i="17"/>
  <c r="L202" i="17" s="1"/>
  <c r="I202" i="17"/>
  <c r="J202" i="17" s="1"/>
  <c r="W203" i="17"/>
  <c r="U206" i="17"/>
  <c r="K208" i="17"/>
  <c r="L208" i="17" s="1"/>
  <c r="K246" i="17"/>
  <c r="L246" i="17" s="1"/>
  <c r="I299" i="17"/>
  <c r="J299" i="17" s="1"/>
  <c r="K299" i="17"/>
  <c r="L299" i="17" s="1"/>
  <c r="N190" i="17"/>
  <c r="W190" i="17"/>
  <c r="V190" i="17"/>
  <c r="U190" i="17"/>
  <c r="U192" i="17"/>
  <c r="N192" i="17"/>
  <c r="X192" i="17"/>
  <c r="W192" i="17"/>
  <c r="K195" i="17"/>
  <c r="L195" i="17" s="1"/>
  <c r="W291" i="17"/>
  <c r="U291" i="17"/>
  <c r="X291" i="17"/>
  <c r="V291" i="17"/>
  <c r="T291" i="17"/>
  <c r="N291" i="17"/>
  <c r="T177" i="17"/>
  <c r="T185" i="17"/>
  <c r="T193" i="17"/>
  <c r="X197" i="17"/>
  <c r="X200" i="17"/>
  <c r="H201" i="17"/>
  <c r="I201" i="17" s="1"/>
  <c r="J201" i="17" s="1"/>
  <c r="H212" i="17"/>
  <c r="I212" i="17" s="1"/>
  <c r="J212" i="17" s="1"/>
  <c r="V214" i="17"/>
  <c r="K216" i="17"/>
  <c r="L216" i="17" s="1"/>
  <c r="N222" i="17"/>
  <c r="W222" i="17"/>
  <c r="H232" i="17"/>
  <c r="I232" i="17" s="1"/>
  <c r="J232" i="17" s="1"/>
  <c r="K233" i="17"/>
  <c r="L233" i="17" s="1"/>
  <c r="I233" i="17"/>
  <c r="J233" i="17" s="1"/>
  <c r="H238" i="17"/>
  <c r="I238" i="17" s="1"/>
  <c r="J238" i="17" s="1"/>
  <c r="I243" i="17"/>
  <c r="J243" i="17" s="1"/>
  <c r="H246" i="17"/>
  <c r="I246" i="17" s="1"/>
  <c r="J246" i="17" s="1"/>
  <c r="K249" i="17"/>
  <c r="L249" i="17" s="1"/>
  <c r="U254" i="17"/>
  <c r="T254" i="17"/>
  <c r="N254" i="17"/>
  <c r="X254" i="17"/>
  <c r="W254" i="17"/>
  <c r="X266" i="17"/>
  <c r="W266" i="17"/>
  <c r="V266" i="17"/>
  <c r="U266" i="17"/>
  <c r="T266" i="17"/>
  <c r="N266" i="17"/>
  <c r="I272" i="17"/>
  <c r="J272" i="17" s="1"/>
  <c r="K279" i="17"/>
  <c r="L279" i="17" s="1"/>
  <c r="K294" i="17"/>
  <c r="L294" i="17" s="1"/>
  <c r="U216" i="17"/>
  <c r="N216" i="17"/>
  <c r="W220" i="17"/>
  <c r="U220" i="17"/>
  <c r="K223" i="17"/>
  <c r="L223" i="17" s="1"/>
  <c r="I223" i="17"/>
  <c r="J223" i="17" s="1"/>
  <c r="W226" i="17"/>
  <c r="U226" i="17"/>
  <c r="N226" i="17"/>
  <c r="X231" i="17"/>
  <c r="V231" i="17"/>
  <c r="T231" i="17"/>
  <c r="H236" i="17"/>
  <c r="I236" i="17" s="1"/>
  <c r="J236" i="17" s="1"/>
  <c r="K247" i="17"/>
  <c r="L247" i="17" s="1"/>
  <c r="I247" i="17"/>
  <c r="J247" i="17" s="1"/>
  <c r="H253" i="17"/>
  <c r="I253" i="17" s="1"/>
  <c r="J253" i="17" s="1"/>
  <c r="H278" i="17"/>
  <c r="I278" i="17" s="1"/>
  <c r="J278" i="17" s="1"/>
  <c r="H277" i="17"/>
  <c r="I277" i="17" s="1"/>
  <c r="J277" i="17" s="1"/>
  <c r="K288" i="17"/>
  <c r="L288" i="17" s="1"/>
  <c r="I288" i="17"/>
  <c r="J288" i="17" s="1"/>
  <c r="H293" i="17"/>
  <c r="I293" i="17" s="1"/>
  <c r="J293" i="17" s="1"/>
  <c r="H292" i="17"/>
  <c r="I292" i="17" s="1"/>
  <c r="J292" i="17" s="1"/>
  <c r="X207" i="17"/>
  <c r="T207" i="17"/>
  <c r="H208" i="17"/>
  <c r="I208" i="17" s="1"/>
  <c r="J208" i="17" s="1"/>
  <c r="W210" i="17"/>
  <c r="N210" i="17"/>
  <c r="K217" i="17"/>
  <c r="L217" i="17" s="1"/>
  <c r="I217" i="17"/>
  <c r="J217" i="17" s="1"/>
  <c r="H226" i="17"/>
  <c r="I226" i="17" s="1"/>
  <c r="J226" i="17" s="1"/>
  <c r="N238" i="17"/>
  <c r="X238" i="17"/>
  <c r="W238" i="17"/>
  <c r="K239" i="17"/>
  <c r="L239" i="17" s="1"/>
  <c r="I239" i="17"/>
  <c r="J239" i="17" s="1"/>
  <c r="T246" i="17"/>
  <c r="N246" i="17"/>
  <c r="X246" i="17"/>
  <c r="W246" i="17"/>
  <c r="X250" i="17"/>
  <c r="W250" i="17"/>
  <c r="U250" i="17"/>
  <c r="T250" i="17"/>
  <c r="N250" i="17"/>
  <c r="X274" i="17"/>
  <c r="W274" i="17"/>
  <c r="V274" i="17"/>
  <c r="U274" i="17"/>
  <c r="T274" i="17"/>
  <c r="N274" i="17"/>
  <c r="V312" i="17"/>
  <c r="N312" i="17"/>
  <c r="X312" i="17"/>
  <c r="W312" i="17"/>
  <c r="U312" i="17"/>
  <c r="T312" i="17"/>
  <c r="X215" i="17"/>
  <c r="V215" i="17"/>
  <c r="T215" i="17"/>
  <c r="N230" i="17"/>
  <c r="W230" i="17"/>
  <c r="K241" i="17"/>
  <c r="L241" i="17" s="1"/>
  <c r="H251" i="17"/>
  <c r="I251" i="17" s="1"/>
  <c r="J251" i="17" s="1"/>
  <c r="H250" i="17"/>
  <c r="I250" i="17" s="1"/>
  <c r="J250" i="17" s="1"/>
  <c r="I259" i="17"/>
  <c r="J259" i="17" s="1"/>
  <c r="K259" i="17"/>
  <c r="L259" i="17" s="1"/>
  <c r="I175" i="17"/>
  <c r="J175" i="17" s="1"/>
  <c r="U178" i="17"/>
  <c r="I183" i="17"/>
  <c r="J183" i="17" s="1"/>
  <c r="U186" i="17"/>
  <c r="T189" i="17"/>
  <c r="I191" i="17"/>
  <c r="J191" i="17" s="1"/>
  <c r="U194" i="17"/>
  <c r="T197" i="17"/>
  <c r="I199" i="17"/>
  <c r="J199" i="17" s="1"/>
  <c r="T200" i="17"/>
  <c r="W202" i="17"/>
  <c r="N202" i="17"/>
  <c r="T204" i="17"/>
  <c r="U207" i="17"/>
  <c r="V208" i="17"/>
  <c r="I209" i="17"/>
  <c r="J209" i="17" s="1"/>
  <c r="U210" i="17"/>
  <c r="K213" i="17"/>
  <c r="L213" i="17" s="1"/>
  <c r="N215" i="17"/>
  <c r="W216" i="17"/>
  <c r="V220" i="17"/>
  <c r="X222" i="17"/>
  <c r="U224" i="17"/>
  <c r="N224" i="17"/>
  <c r="X226" i="17"/>
  <c r="I227" i="17"/>
  <c r="J227" i="17" s="1"/>
  <c r="W228" i="17"/>
  <c r="U228" i="17"/>
  <c r="T230" i="17"/>
  <c r="K231" i="17"/>
  <c r="L231" i="17" s="1"/>
  <c r="I231" i="17"/>
  <c r="J231" i="17" s="1"/>
  <c r="W231" i="17"/>
  <c r="W234" i="17"/>
  <c r="U234" i="17"/>
  <c r="N234" i="17"/>
  <c r="U238" i="17"/>
  <c r="H240" i="17"/>
  <c r="I240" i="17" s="1"/>
  <c r="J240" i="17" s="1"/>
  <c r="V246" i="17"/>
  <c r="X247" i="17"/>
  <c r="V247" i="17"/>
  <c r="U247" i="17"/>
  <c r="T247" i="17"/>
  <c r="K263" i="17"/>
  <c r="L263" i="17" s="1"/>
  <c r="I263" i="17"/>
  <c r="J263" i="17" s="1"/>
  <c r="K281" i="17"/>
  <c r="L281" i="17" s="1"/>
  <c r="I281" i="17"/>
  <c r="J281" i="17" s="1"/>
  <c r="N214" i="17"/>
  <c r="W214" i="17"/>
  <c r="U215" i="17"/>
  <c r="H224" i="17"/>
  <c r="I224" i="17" s="1"/>
  <c r="J224" i="17" s="1"/>
  <c r="K225" i="17"/>
  <c r="L225" i="17" s="1"/>
  <c r="I225" i="17"/>
  <c r="J225" i="17" s="1"/>
  <c r="U230" i="17"/>
  <c r="K236" i="17"/>
  <c r="L236" i="17" s="1"/>
  <c r="K244" i="17"/>
  <c r="L244" i="17" s="1"/>
  <c r="X258" i="17"/>
  <c r="W258" i="17"/>
  <c r="U258" i="17"/>
  <c r="T258" i="17"/>
  <c r="N258" i="17"/>
  <c r="H262" i="17"/>
  <c r="I262" i="17" s="1"/>
  <c r="J262" i="17" s="1"/>
  <c r="H261" i="17"/>
  <c r="I261" i="17" s="1"/>
  <c r="J261" i="17" s="1"/>
  <c r="W204" i="17"/>
  <c r="W207" i="17"/>
  <c r="X208" i="17"/>
  <c r="X210" i="17"/>
  <c r="W212" i="17"/>
  <c r="U212" i="17"/>
  <c r="T214" i="17"/>
  <c r="K215" i="17"/>
  <c r="L215" i="17" s="1"/>
  <c r="I215" i="17"/>
  <c r="J215" i="17" s="1"/>
  <c r="W215" i="17"/>
  <c r="W218" i="17"/>
  <c r="U218" i="17"/>
  <c r="N218" i="17"/>
  <c r="X223" i="17"/>
  <c r="V223" i="17"/>
  <c r="T223" i="17"/>
  <c r="H228" i="17"/>
  <c r="I228" i="17" s="1"/>
  <c r="J228" i="17" s="1"/>
  <c r="V230" i="17"/>
  <c r="W236" i="17"/>
  <c r="V236" i="17"/>
  <c r="U236" i="17"/>
  <c r="X239" i="17"/>
  <c r="V239" i="17"/>
  <c r="U239" i="17"/>
  <c r="T239" i="17"/>
  <c r="W242" i="17"/>
  <c r="U242" i="17"/>
  <c r="T242" i="17"/>
  <c r="N242" i="17"/>
  <c r="W244" i="17"/>
  <c r="V244" i="17"/>
  <c r="U244" i="17"/>
  <c r="K255" i="17"/>
  <c r="L255" i="17" s="1"/>
  <c r="I255" i="17"/>
  <c r="J255" i="17" s="1"/>
  <c r="V258" i="17"/>
  <c r="I264" i="17"/>
  <c r="J264" i="17" s="1"/>
  <c r="K271" i="17"/>
  <c r="L271" i="17" s="1"/>
  <c r="I271" i="17"/>
  <c r="J271" i="17" s="1"/>
  <c r="K304" i="17"/>
  <c r="L304" i="17" s="1"/>
  <c r="X211" i="17"/>
  <c r="X219" i="17"/>
  <c r="X227" i="17"/>
  <c r="X235" i="17"/>
  <c r="X243" i="17"/>
  <c r="I249" i="17"/>
  <c r="J249" i="17" s="1"/>
  <c r="X251" i="17"/>
  <c r="U252" i="17"/>
  <c r="T255" i="17"/>
  <c r="I257" i="17"/>
  <c r="J257" i="17" s="1"/>
  <c r="X259" i="17"/>
  <c r="U260" i="17"/>
  <c r="W262" i="17"/>
  <c r="T263" i="17"/>
  <c r="I265" i="17"/>
  <c r="J265" i="17" s="1"/>
  <c r="K267" i="17"/>
  <c r="L267" i="17" s="1"/>
  <c r="X267" i="17"/>
  <c r="U268" i="17"/>
  <c r="W270" i="17"/>
  <c r="T271" i="17"/>
  <c r="I273" i="17"/>
  <c r="J273" i="17" s="1"/>
  <c r="K275" i="17"/>
  <c r="L275" i="17" s="1"/>
  <c r="X275" i="17"/>
  <c r="U276" i="17"/>
  <c r="X278" i="17"/>
  <c r="X279" i="17"/>
  <c r="I282" i="17"/>
  <c r="J282" i="17" s="1"/>
  <c r="I285" i="17"/>
  <c r="J285" i="17" s="1"/>
  <c r="X286" i="17"/>
  <c r="V286" i="17"/>
  <c r="T286" i="17"/>
  <c r="V287" i="17"/>
  <c r="U293" i="17"/>
  <c r="W297" i="17"/>
  <c r="U297" i="17"/>
  <c r="N297" i="17"/>
  <c r="U301" i="17"/>
  <c r="X314" i="17"/>
  <c r="U314" i="17"/>
  <c r="V314" i="17"/>
  <c r="T314" i="17"/>
  <c r="N314" i="17"/>
  <c r="V336" i="17"/>
  <c r="U336" i="17"/>
  <c r="T336" i="17"/>
  <c r="N336" i="17"/>
  <c r="X336" i="17"/>
  <c r="W336" i="17"/>
  <c r="V252" i="17"/>
  <c r="U255" i="17"/>
  <c r="V260" i="17"/>
  <c r="X262" i="17"/>
  <c r="U263" i="17"/>
  <c r="V268" i="17"/>
  <c r="X270" i="17"/>
  <c r="U271" i="17"/>
  <c r="V276" i="17"/>
  <c r="W287" i="17"/>
  <c r="V293" i="17"/>
  <c r="H297" i="17"/>
  <c r="I297" i="17" s="1"/>
  <c r="J297" i="17" s="1"/>
  <c r="H304" i="17"/>
  <c r="I304" i="17" s="1"/>
  <c r="J304" i="17" s="1"/>
  <c r="K310" i="17"/>
  <c r="L310" i="17" s="1"/>
  <c r="I310" i="17"/>
  <c r="J310" i="17" s="1"/>
  <c r="X322" i="17"/>
  <c r="W322" i="17"/>
  <c r="U322" i="17"/>
  <c r="V322" i="17"/>
  <c r="T322" i="17"/>
  <c r="N322" i="17"/>
  <c r="H333" i="17"/>
  <c r="I333" i="17" s="1"/>
  <c r="J333" i="17" s="1"/>
  <c r="H334" i="17"/>
  <c r="I334" i="17" s="1"/>
  <c r="J334" i="17" s="1"/>
  <c r="K343" i="17"/>
  <c r="L343" i="17" s="1"/>
  <c r="I343" i="17"/>
  <c r="J343" i="17" s="1"/>
  <c r="N240" i="17"/>
  <c r="N248" i="17"/>
  <c r="V255" i="17"/>
  <c r="N256" i="17"/>
  <c r="H258" i="17"/>
  <c r="I258" i="17" s="1"/>
  <c r="J258" i="17" s="1"/>
  <c r="V263" i="17"/>
  <c r="N264" i="17"/>
  <c r="H266" i="17"/>
  <c r="I266" i="17" s="1"/>
  <c r="J266" i="17" s="1"/>
  <c r="V271" i="17"/>
  <c r="N272" i="17"/>
  <c r="H274" i="17"/>
  <c r="I274" i="17" s="1"/>
  <c r="J274" i="17" s="1"/>
  <c r="N285" i="17"/>
  <c r="W285" i="17"/>
  <c r="U295" i="17"/>
  <c r="N295" i="17"/>
  <c r="H298" i="17"/>
  <c r="I298" i="17" s="1"/>
  <c r="J298" i="17" s="1"/>
  <c r="W299" i="17"/>
  <c r="V299" i="17"/>
  <c r="U299" i="17"/>
  <c r="X302" i="17"/>
  <c r="V302" i="17"/>
  <c r="U302" i="17"/>
  <c r="T302" i="17"/>
  <c r="K306" i="17"/>
  <c r="L306" i="17" s="1"/>
  <c r="I306" i="17"/>
  <c r="J306" i="17" s="1"/>
  <c r="H313" i="17"/>
  <c r="I313" i="17" s="1"/>
  <c r="J313" i="17" s="1"/>
  <c r="T282" i="17"/>
  <c r="X282" i="17"/>
  <c r="H283" i="17"/>
  <c r="I283" i="17" s="1"/>
  <c r="J283" i="17" s="1"/>
  <c r="K286" i="17"/>
  <c r="L286" i="17" s="1"/>
  <c r="I286" i="17"/>
  <c r="J286" i="17" s="1"/>
  <c r="K296" i="17"/>
  <c r="L296" i="17" s="1"/>
  <c r="I296" i="17"/>
  <c r="J296" i="17" s="1"/>
  <c r="H315" i="17"/>
  <c r="I315" i="17" s="1"/>
  <c r="J315" i="17" s="1"/>
  <c r="H316" i="17"/>
  <c r="I316" i="17" s="1"/>
  <c r="J316" i="17" s="1"/>
  <c r="I325" i="17"/>
  <c r="J325" i="17" s="1"/>
  <c r="K325" i="17"/>
  <c r="L325" i="17" s="1"/>
  <c r="V328" i="17"/>
  <c r="U328" i="17"/>
  <c r="N328" i="17"/>
  <c r="X328" i="17"/>
  <c r="W328" i="17"/>
  <c r="T328" i="17"/>
  <c r="N262" i="17"/>
  <c r="N270" i="17"/>
  <c r="N278" i="17"/>
  <c r="H279" i="17"/>
  <c r="I279" i="17" s="1"/>
  <c r="J279" i="17" s="1"/>
  <c r="N279" i="17"/>
  <c r="W281" i="17"/>
  <c r="N281" i="17"/>
  <c r="N282" i="17"/>
  <c r="T283" i="17"/>
  <c r="U285" i="17"/>
  <c r="W289" i="17"/>
  <c r="U289" i="17"/>
  <c r="N289" i="17"/>
  <c r="X294" i="17"/>
  <c r="V294" i="17"/>
  <c r="T294" i="17"/>
  <c r="V295" i="17"/>
  <c r="T299" i="17"/>
  <c r="W302" i="17"/>
  <c r="I303" i="17"/>
  <c r="J303" i="17" s="1"/>
  <c r="T262" i="17"/>
  <c r="T270" i="17"/>
  <c r="U278" i="17"/>
  <c r="T279" i="17"/>
  <c r="U282" i="17"/>
  <c r="H289" i="17"/>
  <c r="I289" i="17" s="1"/>
  <c r="J289" i="17" s="1"/>
  <c r="I291" i="17"/>
  <c r="J291" i="17" s="1"/>
  <c r="I301" i="17"/>
  <c r="J301" i="17" s="1"/>
  <c r="K305" i="17"/>
  <c r="L305" i="17" s="1"/>
  <c r="I305" i="17"/>
  <c r="J305" i="17" s="1"/>
  <c r="K308" i="17"/>
  <c r="L308" i="17" s="1"/>
  <c r="I321" i="17"/>
  <c r="J321" i="17" s="1"/>
  <c r="I337" i="17"/>
  <c r="J337" i="17" s="1"/>
  <c r="K337" i="17"/>
  <c r="L337" i="17" s="1"/>
  <c r="K357" i="17"/>
  <c r="L357" i="17" s="1"/>
  <c r="V278" i="17"/>
  <c r="V279" i="17"/>
  <c r="I280" i="17"/>
  <c r="J280" i="17" s="1"/>
  <c r="V282" i="17"/>
  <c r="U287" i="17"/>
  <c r="N287" i="17"/>
  <c r="N293" i="17"/>
  <c r="W293" i="17"/>
  <c r="N301" i="17"/>
  <c r="X301" i="17"/>
  <c r="W301" i="17"/>
  <c r="K302" i="17"/>
  <c r="L302" i="17" s="1"/>
  <c r="I302" i="17"/>
  <c r="J302" i="17" s="1"/>
  <c r="K307" i="17"/>
  <c r="L307" i="17" s="1"/>
  <c r="K341" i="17"/>
  <c r="L341" i="17" s="1"/>
  <c r="X290" i="17"/>
  <c r="X298" i="17"/>
  <c r="V309" i="17"/>
  <c r="V310" i="17"/>
  <c r="I311" i="17"/>
  <c r="J311" i="17" s="1"/>
  <c r="U311" i="17"/>
  <c r="V313" i="17"/>
  <c r="T319" i="17"/>
  <c r="I320" i="17"/>
  <c r="J320" i="17" s="1"/>
  <c r="X327" i="17"/>
  <c r="V327" i="17"/>
  <c r="H331" i="17"/>
  <c r="I331" i="17" s="1"/>
  <c r="J331" i="17" s="1"/>
  <c r="U333" i="17"/>
  <c r="W334" i="17"/>
  <c r="H347" i="17"/>
  <c r="I347" i="17" s="1"/>
  <c r="J347" i="17" s="1"/>
  <c r="H309" i="17"/>
  <c r="I309" i="17" s="1"/>
  <c r="J309" i="17" s="1"/>
  <c r="W310" i="17"/>
  <c r="W311" i="17"/>
  <c r="I312" i="17"/>
  <c r="J312" i="17" s="1"/>
  <c r="T318" i="17"/>
  <c r="N318" i="17"/>
  <c r="U319" i="17"/>
  <c r="H322" i="17"/>
  <c r="I322" i="17" s="1"/>
  <c r="J322" i="17" s="1"/>
  <c r="X330" i="17"/>
  <c r="W330" i="17"/>
  <c r="U330" i="17"/>
  <c r="H340" i="17"/>
  <c r="I340" i="17" s="1"/>
  <c r="J340" i="17" s="1"/>
  <c r="H339" i="17"/>
  <c r="I339" i="17" s="1"/>
  <c r="J339" i="17" s="1"/>
  <c r="N303" i="17"/>
  <c r="X310" i="17"/>
  <c r="X311" i="17"/>
  <c r="W317" i="17"/>
  <c r="V317" i="17"/>
  <c r="T317" i="17"/>
  <c r="U318" i="17"/>
  <c r="K319" i="17"/>
  <c r="L319" i="17" s="1"/>
  <c r="I319" i="17"/>
  <c r="J319" i="17" s="1"/>
  <c r="H324" i="17"/>
  <c r="I324" i="17" s="1"/>
  <c r="J324" i="17" s="1"/>
  <c r="I328" i="17"/>
  <c r="J328" i="17" s="1"/>
  <c r="N330" i="17"/>
  <c r="T335" i="17"/>
  <c r="X335" i="17"/>
  <c r="V335" i="17"/>
  <c r="K338" i="17"/>
  <c r="L338" i="17" s="1"/>
  <c r="T343" i="17"/>
  <c r="X343" i="17"/>
  <c r="W343" i="17"/>
  <c r="V343" i="17"/>
  <c r="I346" i="17"/>
  <c r="J346" i="17" s="1"/>
  <c r="H348" i="17"/>
  <c r="I348" i="17" s="1"/>
  <c r="J348" i="17" s="1"/>
  <c r="K349" i="17"/>
  <c r="L349" i="17" s="1"/>
  <c r="T326" i="17"/>
  <c r="N326" i="17"/>
  <c r="X306" i="17"/>
  <c r="U306" i="17"/>
  <c r="H307" i="17"/>
  <c r="I307" i="17" s="1"/>
  <c r="J307" i="17" s="1"/>
  <c r="K311" i="17"/>
  <c r="L311" i="17" s="1"/>
  <c r="K312" i="17"/>
  <c r="L312" i="17" s="1"/>
  <c r="H314" i="17"/>
  <c r="I314" i="17" s="1"/>
  <c r="J314" i="17" s="1"/>
  <c r="U317" i="17"/>
  <c r="W318" i="17"/>
  <c r="W325" i="17"/>
  <c r="V325" i="17"/>
  <c r="T325" i="17"/>
  <c r="U326" i="17"/>
  <c r="K327" i="17"/>
  <c r="L327" i="17" s="1"/>
  <c r="I327" i="17"/>
  <c r="J327" i="17" s="1"/>
  <c r="W327" i="17"/>
  <c r="V330" i="17"/>
  <c r="H332" i="17"/>
  <c r="I332" i="17" s="1"/>
  <c r="J332" i="17" s="1"/>
  <c r="K333" i="17"/>
  <c r="L333" i="17" s="1"/>
  <c r="U335" i="17"/>
  <c r="U343" i="17"/>
  <c r="N346" i="17"/>
  <c r="X346" i="17"/>
  <c r="W346" i="17"/>
  <c r="V346" i="17"/>
  <c r="U346" i="17"/>
  <c r="W309" i="17"/>
  <c r="T309" i="17"/>
  <c r="N313" i="17"/>
  <c r="X313" i="17"/>
  <c r="V320" i="17"/>
  <c r="U320" i="17"/>
  <c r="N320" i="17"/>
  <c r="K321" i="17"/>
  <c r="L321" i="17" s="1"/>
  <c r="V326" i="17"/>
  <c r="K330" i="17"/>
  <c r="L330" i="17" s="1"/>
  <c r="T334" i="17"/>
  <c r="N334" i="17"/>
  <c r="N338" i="17"/>
  <c r="X338" i="17"/>
  <c r="W338" i="17"/>
  <c r="V338" i="17"/>
  <c r="U338" i="17"/>
  <c r="H342" i="17"/>
  <c r="I342" i="17" s="1"/>
  <c r="J342" i="17" s="1"/>
  <c r="K314" i="17"/>
  <c r="L314" i="17" s="1"/>
  <c r="X319" i="17"/>
  <c r="V319" i="17"/>
  <c r="W326" i="17"/>
  <c r="W333" i="17"/>
  <c r="V333" i="17"/>
  <c r="T333" i="17"/>
  <c r="K335" i="17"/>
  <c r="L335" i="17" s="1"/>
  <c r="I335" i="17"/>
  <c r="J335" i="17" s="1"/>
  <c r="V344" i="17"/>
  <c r="U344" i="17"/>
  <c r="T344" i="17"/>
  <c r="N344" i="17"/>
  <c r="I345" i="17"/>
  <c r="J345" i="17" s="1"/>
  <c r="K345" i="17"/>
  <c r="L345" i="17" s="1"/>
  <c r="X321" i="17"/>
  <c r="X329" i="17"/>
  <c r="X337" i="17"/>
  <c r="T341" i="17"/>
  <c r="X345" i="17"/>
  <c r="V351" i="17"/>
  <c r="H352" i="17"/>
  <c r="I352" i="17" s="1"/>
  <c r="J352" i="17" s="1"/>
  <c r="W355" i="17"/>
  <c r="N355" i="17"/>
  <c r="H359" i="17"/>
  <c r="I359" i="17" s="1"/>
  <c r="J359" i="17" s="1"/>
  <c r="W353" i="17"/>
  <c r="U353" i="17"/>
  <c r="K356" i="17"/>
  <c r="L356" i="17" s="1"/>
  <c r="K368" i="17"/>
  <c r="L368" i="17" s="1"/>
  <c r="I368" i="17"/>
  <c r="J368" i="17" s="1"/>
  <c r="I380" i="17"/>
  <c r="J380" i="17" s="1"/>
  <c r="V341" i="17"/>
  <c r="N342" i="17"/>
  <c r="N348" i="17"/>
  <c r="H349" i="17"/>
  <c r="I349" i="17" s="1"/>
  <c r="J349" i="17" s="1"/>
  <c r="N353" i="17"/>
  <c r="N357" i="17"/>
  <c r="W357" i="17"/>
  <c r="U357" i="17"/>
  <c r="K358" i="17"/>
  <c r="L358" i="17" s="1"/>
  <c r="I365" i="17"/>
  <c r="J365" i="17" s="1"/>
  <c r="K376" i="17"/>
  <c r="L376" i="17" s="1"/>
  <c r="I376" i="17"/>
  <c r="J376" i="17" s="1"/>
  <c r="N398" i="17"/>
  <c r="X398" i="17"/>
  <c r="W398" i="17"/>
  <c r="V398" i="17"/>
  <c r="U398" i="17"/>
  <c r="T398" i="17"/>
  <c r="T342" i="17"/>
  <c r="K348" i="17"/>
  <c r="L348" i="17" s="1"/>
  <c r="T348" i="17"/>
  <c r="N349" i="17"/>
  <c r="T353" i="17"/>
  <c r="I354" i="17"/>
  <c r="J354" i="17" s="1"/>
  <c r="V355" i="17"/>
  <c r="T357" i="17"/>
  <c r="X371" i="17"/>
  <c r="W371" i="17"/>
  <c r="V371" i="17"/>
  <c r="U371" i="17"/>
  <c r="T371" i="17"/>
  <c r="N371" i="17"/>
  <c r="K373" i="17"/>
  <c r="L373" i="17" s="1"/>
  <c r="I373" i="17"/>
  <c r="J373" i="17" s="1"/>
  <c r="K384" i="17"/>
  <c r="L384" i="17" s="1"/>
  <c r="I384" i="17"/>
  <c r="J384" i="17" s="1"/>
  <c r="H357" i="17"/>
  <c r="I357" i="17" s="1"/>
  <c r="J357" i="17" s="1"/>
  <c r="H367" i="17"/>
  <c r="I367" i="17" s="1"/>
  <c r="J367" i="17" s="1"/>
  <c r="X379" i="17"/>
  <c r="W379" i="17"/>
  <c r="V379" i="17"/>
  <c r="U379" i="17"/>
  <c r="T379" i="17"/>
  <c r="N379" i="17"/>
  <c r="K381" i="17"/>
  <c r="L381" i="17" s="1"/>
  <c r="N351" i="17"/>
  <c r="W351" i="17"/>
  <c r="K360" i="17"/>
  <c r="L360" i="17" s="1"/>
  <c r="I360" i="17"/>
  <c r="J360" i="17" s="1"/>
  <c r="K362" i="17"/>
  <c r="L362" i="17" s="1"/>
  <c r="K363" i="17"/>
  <c r="L363" i="17" s="1"/>
  <c r="X387" i="17"/>
  <c r="W387" i="17"/>
  <c r="V387" i="17"/>
  <c r="U387" i="17"/>
  <c r="T387" i="17"/>
  <c r="N387" i="17"/>
  <c r="H432" i="17"/>
  <c r="I432" i="17" s="1"/>
  <c r="J432" i="17" s="1"/>
  <c r="H431" i="17"/>
  <c r="I431" i="17" s="1"/>
  <c r="J431" i="17" s="1"/>
  <c r="W348" i="17"/>
  <c r="T351" i="17"/>
  <c r="W361" i="17"/>
  <c r="U361" i="17"/>
  <c r="T361" i="17"/>
  <c r="N361" i="17"/>
  <c r="W363" i="17"/>
  <c r="V363" i="17"/>
  <c r="U363" i="17"/>
  <c r="N363" i="17"/>
  <c r="H383" i="17"/>
  <c r="I383" i="17" s="1"/>
  <c r="J383" i="17" s="1"/>
  <c r="K394" i="17"/>
  <c r="L394" i="17" s="1"/>
  <c r="X428" i="17"/>
  <c r="W428" i="17"/>
  <c r="V428" i="17"/>
  <c r="U428" i="17"/>
  <c r="T428" i="17"/>
  <c r="N428" i="17"/>
  <c r="T352" i="17"/>
  <c r="X356" i="17"/>
  <c r="W359" i="17"/>
  <c r="T360" i="17"/>
  <c r="K364" i="17"/>
  <c r="L364" i="17" s="1"/>
  <c r="X364" i="17"/>
  <c r="U365" i="17"/>
  <c r="W367" i="17"/>
  <c r="T368" i="17"/>
  <c r="K372" i="17"/>
  <c r="L372" i="17" s="1"/>
  <c r="X372" i="17"/>
  <c r="U373" i="17"/>
  <c r="W375" i="17"/>
  <c r="T376" i="17"/>
  <c r="I378" i="17"/>
  <c r="J378" i="17" s="1"/>
  <c r="K380" i="17"/>
  <c r="L380" i="17" s="1"/>
  <c r="X380" i="17"/>
  <c r="U381" i="17"/>
  <c r="W383" i="17"/>
  <c r="T384" i="17"/>
  <c r="I386" i="17"/>
  <c r="J386" i="17" s="1"/>
  <c r="H388" i="17"/>
  <c r="I388" i="17" s="1"/>
  <c r="J388" i="17" s="1"/>
  <c r="K389" i="17"/>
  <c r="L389" i="17" s="1"/>
  <c r="X390" i="17"/>
  <c r="V391" i="17"/>
  <c r="U392" i="17"/>
  <c r="K393" i="17"/>
  <c r="L393" i="17" s="1"/>
  <c r="I393" i="17"/>
  <c r="J393" i="17" s="1"/>
  <c r="K403" i="17"/>
  <c r="L403" i="17" s="1"/>
  <c r="X404" i="17"/>
  <c r="W404" i="17"/>
  <c r="V404" i="17"/>
  <c r="U404" i="17"/>
  <c r="T404" i="17"/>
  <c r="N404" i="17"/>
  <c r="K409" i="17"/>
  <c r="L409" i="17" s="1"/>
  <c r="I409" i="17"/>
  <c r="J409" i="17" s="1"/>
  <c r="X436" i="17"/>
  <c r="W436" i="17"/>
  <c r="V436" i="17"/>
  <c r="U436" i="17"/>
  <c r="T436" i="17"/>
  <c r="N436" i="17"/>
  <c r="W365" i="17"/>
  <c r="N369" i="17"/>
  <c r="W373" i="17"/>
  <c r="N377" i="17"/>
  <c r="W381" i="17"/>
  <c r="N385" i="17"/>
  <c r="X391" i="17"/>
  <c r="K401" i="17"/>
  <c r="L401" i="17" s="1"/>
  <c r="I401" i="17"/>
  <c r="J401" i="17" s="1"/>
  <c r="H408" i="17"/>
  <c r="I408" i="17" s="1"/>
  <c r="J408" i="17" s="1"/>
  <c r="H407" i="17"/>
  <c r="I407" i="17" s="1"/>
  <c r="J407" i="17" s="1"/>
  <c r="X412" i="17"/>
  <c r="W412" i="17"/>
  <c r="V412" i="17"/>
  <c r="U412" i="17"/>
  <c r="T412" i="17"/>
  <c r="N412" i="17"/>
  <c r="K417" i="17"/>
  <c r="L417" i="17" s="1"/>
  <c r="I417" i="17"/>
  <c r="J417" i="17" s="1"/>
  <c r="I422" i="17"/>
  <c r="J422" i="17" s="1"/>
  <c r="K430" i="17"/>
  <c r="L430" i="17" s="1"/>
  <c r="K438" i="17"/>
  <c r="L438" i="17" s="1"/>
  <c r="X365" i="17"/>
  <c r="T369" i="17"/>
  <c r="I371" i="17"/>
  <c r="J371" i="17" s="1"/>
  <c r="X373" i="17"/>
  <c r="T377" i="17"/>
  <c r="I379" i="17"/>
  <c r="J379" i="17" s="1"/>
  <c r="X381" i="17"/>
  <c r="T385" i="17"/>
  <c r="I387" i="17"/>
  <c r="J387" i="17" s="1"/>
  <c r="I392" i="17"/>
  <c r="J392" i="17" s="1"/>
  <c r="W394" i="17"/>
  <c r="U394" i="17"/>
  <c r="N394" i="17"/>
  <c r="H400" i="17"/>
  <c r="I400" i="17" s="1"/>
  <c r="J400" i="17" s="1"/>
  <c r="H399" i="17"/>
  <c r="I399" i="17" s="1"/>
  <c r="J399" i="17" s="1"/>
  <c r="I438" i="17"/>
  <c r="J438" i="17" s="1"/>
  <c r="T356" i="17"/>
  <c r="N359" i="17"/>
  <c r="T364" i="17"/>
  <c r="N367" i="17"/>
  <c r="U369" i="17"/>
  <c r="T372" i="17"/>
  <c r="I374" i="17"/>
  <c r="J374" i="17" s="1"/>
  <c r="N375" i="17"/>
  <c r="U377" i="17"/>
  <c r="T380" i="17"/>
  <c r="I382" i="17"/>
  <c r="J382" i="17" s="1"/>
  <c r="N383" i="17"/>
  <c r="U385" i="17"/>
  <c r="N390" i="17"/>
  <c r="H394" i="17"/>
  <c r="I394" i="17" s="1"/>
  <c r="J394" i="17" s="1"/>
  <c r="T394" i="17"/>
  <c r="H416" i="17"/>
  <c r="I416" i="17" s="1"/>
  <c r="J416" i="17" s="1"/>
  <c r="H415" i="17"/>
  <c r="I415" i="17" s="1"/>
  <c r="J415" i="17" s="1"/>
  <c r="X420" i="17"/>
  <c r="W420" i="17"/>
  <c r="V420" i="17"/>
  <c r="U420" i="17"/>
  <c r="T420" i="17"/>
  <c r="N420" i="17"/>
  <c r="V369" i="17"/>
  <c r="V377" i="17"/>
  <c r="V385" i="17"/>
  <c r="W396" i="17"/>
  <c r="V396" i="17"/>
  <c r="U396" i="17"/>
  <c r="N396" i="17"/>
  <c r="K425" i="17"/>
  <c r="L425" i="17" s="1"/>
  <c r="I425" i="17"/>
  <c r="J425" i="17" s="1"/>
  <c r="U390" i="17"/>
  <c r="N391" i="17"/>
  <c r="X394" i="17"/>
  <c r="T396" i="17"/>
  <c r="H397" i="17"/>
  <c r="I397" i="17" s="1"/>
  <c r="J397" i="17" s="1"/>
  <c r="I398" i="17"/>
  <c r="J398" i="17" s="1"/>
  <c r="K406" i="17"/>
  <c r="L406" i="17" s="1"/>
  <c r="I406" i="17"/>
  <c r="J406" i="17" s="1"/>
  <c r="H424" i="17"/>
  <c r="I424" i="17" s="1"/>
  <c r="J424" i="17" s="1"/>
  <c r="H423" i="17"/>
  <c r="I423" i="17" s="1"/>
  <c r="J423" i="17" s="1"/>
  <c r="K433" i="17"/>
  <c r="L433" i="17" s="1"/>
  <c r="I433" i="17"/>
  <c r="J433" i="17" s="1"/>
  <c r="U406" i="17"/>
  <c r="I411" i="17"/>
  <c r="J411" i="17" s="1"/>
  <c r="U414" i="17"/>
  <c r="I419" i="17"/>
  <c r="J419" i="17" s="1"/>
  <c r="U422" i="17"/>
  <c r="I427" i="17"/>
  <c r="J427" i="17" s="1"/>
  <c r="U430" i="17"/>
  <c r="I435" i="17"/>
  <c r="J435" i="17" s="1"/>
  <c r="U438" i="17"/>
  <c r="V406" i="17"/>
  <c r="V414" i="17"/>
  <c r="V422" i="17"/>
  <c r="V430" i="17"/>
  <c r="V438" i="17"/>
  <c r="V393" i="17"/>
  <c r="T399" i="17"/>
  <c r="V401" i="17"/>
  <c r="N402" i="17"/>
  <c r="W406" i="17"/>
  <c r="T407" i="17"/>
  <c r="V409" i="17"/>
  <c r="N410" i="17"/>
  <c r="X411" i="17"/>
  <c r="W414" i="17"/>
  <c r="T415" i="17"/>
  <c r="V417" i="17"/>
  <c r="N418" i="17"/>
  <c r="W422" i="17"/>
  <c r="T423" i="17"/>
  <c r="V425" i="17"/>
  <c r="N426" i="17"/>
  <c r="W430" i="17"/>
  <c r="T431" i="17"/>
  <c r="V433" i="17"/>
  <c r="N434" i="17"/>
  <c r="W438" i="17"/>
  <c r="T439" i="17"/>
  <c r="U399" i="17"/>
  <c r="T402" i="17"/>
  <c r="X406" i="17"/>
  <c r="U407" i="17"/>
  <c r="T410" i="17"/>
  <c r="X414" i="17"/>
  <c r="U415" i="17"/>
  <c r="W417" i="17"/>
  <c r="T418" i="17"/>
  <c r="X422" i="17"/>
  <c r="U423" i="17"/>
  <c r="W425" i="17"/>
  <c r="T426" i="17"/>
  <c r="N429" i="17"/>
  <c r="X430" i="17"/>
  <c r="U431" i="17"/>
  <c r="W433" i="17"/>
  <c r="T434" i="17"/>
  <c r="N437" i="17"/>
  <c r="X438" i="17"/>
  <c r="U439" i="17"/>
  <c r="V399" i="17"/>
  <c r="N400" i="17"/>
  <c r="U402" i="17"/>
  <c r="V407" i="17"/>
  <c r="N408" i="17"/>
  <c r="U410" i="17"/>
  <c r="V415" i="17"/>
  <c r="N416" i="17"/>
  <c r="U418" i="17"/>
  <c r="V423" i="17"/>
  <c r="U426" i="17"/>
  <c r="V431" i="17"/>
  <c r="U434" i="17"/>
  <c r="T437" i="17"/>
  <c r="I439" i="17"/>
  <c r="J439" i="17" s="1"/>
  <c r="V439" i="17"/>
  <c r="O999" i="15"/>
  <c r="P999" i="15" s="1"/>
  <c r="M999" i="15"/>
  <c r="N999" i="15" s="1"/>
  <c r="L999" i="15"/>
  <c r="K999" i="15"/>
  <c r="I999" i="15"/>
  <c r="J999" i="15" s="1"/>
  <c r="H999" i="15"/>
  <c r="O998" i="15"/>
  <c r="P998" i="15" s="1"/>
  <c r="M998" i="15"/>
  <c r="N998" i="15" s="1"/>
  <c r="L998" i="15"/>
  <c r="K998" i="15"/>
  <c r="I998" i="15"/>
  <c r="J998" i="15" s="1"/>
  <c r="H998" i="15"/>
  <c r="O997" i="15"/>
  <c r="P997" i="15" s="1"/>
  <c r="M997" i="15"/>
  <c r="N997" i="15" s="1"/>
  <c r="L997" i="15"/>
  <c r="K997" i="15"/>
  <c r="I997" i="15"/>
  <c r="J997" i="15" s="1"/>
  <c r="H997" i="15"/>
  <c r="O996" i="15"/>
  <c r="P996" i="15" s="1"/>
  <c r="M996" i="15"/>
  <c r="N996" i="15" s="1"/>
  <c r="L996" i="15"/>
  <c r="K996" i="15"/>
  <c r="I996" i="15"/>
  <c r="J996" i="15" s="1"/>
  <c r="H996" i="15"/>
  <c r="O995" i="15"/>
  <c r="P995" i="15" s="1"/>
  <c r="M995" i="15"/>
  <c r="N995" i="15" s="1"/>
  <c r="L995" i="15"/>
  <c r="K995" i="15"/>
  <c r="I995" i="15"/>
  <c r="J995" i="15" s="1"/>
  <c r="H995" i="15"/>
  <c r="O994" i="15"/>
  <c r="P994" i="15" s="1"/>
  <c r="M994" i="15"/>
  <c r="N994" i="15" s="1"/>
  <c r="L994" i="15"/>
  <c r="K994" i="15"/>
  <c r="I994" i="15"/>
  <c r="J994" i="15" s="1"/>
  <c r="H994" i="15"/>
  <c r="O993" i="15"/>
  <c r="P993" i="15" s="1"/>
  <c r="M993" i="15"/>
  <c r="N993" i="15" s="1"/>
  <c r="L993" i="15"/>
  <c r="K993" i="15"/>
  <c r="I993" i="15"/>
  <c r="J993" i="15" s="1"/>
  <c r="H993" i="15"/>
  <c r="O992" i="15"/>
  <c r="P992" i="15" s="1"/>
  <c r="M992" i="15"/>
  <c r="N992" i="15" s="1"/>
  <c r="L992" i="15"/>
  <c r="K992" i="15"/>
  <c r="I992" i="15"/>
  <c r="J992" i="15" s="1"/>
  <c r="H992" i="15"/>
  <c r="O991" i="15"/>
  <c r="P991" i="15" s="1"/>
  <c r="M991" i="15"/>
  <c r="N991" i="15" s="1"/>
  <c r="L991" i="15"/>
  <c r="K991" i="15"/>
  <c r="I991" i="15"/>
  <c r="J991" i="15" s="1"/>
  <c r="H991" i="15"/>
  <c r="O990" i="15"/>
  <c r="P990" i="15" s="1"/>
  <c r="M990" i="15"/>
  <c r="N990" i="15" s="1"/>
  <c r="L990" i="15"/>
  <c r="K990" i="15"/>
  <c r="I990" i="15"/>
  <c r="J990" i="15" s="1"/>
  <c r="H990" i="15"/>
  <c r="O989" i="15"/>
  <c r="P989" i="15" s="1"/>
  <c r="M989" i="15"/>
  <c r="N989" i="15" s="1"/>
  <c r="L989" i="15"/>
  <c r="K989" i="15"/>
  <c r="I989" i="15"/>
  <c r="J989" i="15" s="1"/>
  <c r="H989" i="15"/>
  <c r="O988" i="15"/>
  <c r="P988" i="15" s="1"/>
  <c r="M988" i="15"/>
  <c r="N988" i="15" s="1"/>
  <c r="L988" i="15"/>
  <c r="K988" i="15"/>
  <c r="I988" i="15"/>
  <c r="J988" i="15" s="1"/>
  <c r="H988" i="15"/>
  <c r="O987" i="15"/>
  <c r="P987" i="15" s="1"/>
  <c r="M987" i="15"/>
  <c r="N987" i="15" s="1"/>
  <c r="L987" i="15"/>
  <c r="K987" i="15"/>
  <c r="I987" i="15"/>
  <c r="J987" i="15" s="1"/>
  <c r="H987" i="15"/>
  <c r="O986" i="15"/>
  <c r="P986" i="15" s="1"/>
  <c r="M986" i="15"/>
  <c r="N986" i="15" s="1"/>
  <c r="L986" i="15"/>
  <c r="K986" i="15"/>
  <c r="I986" i="15"/>
  <c r="J986" i="15" s="1"/>
  <c r="H986" i="15"/>
  <c r="O985" i="15"/>
  <c r="P985" i="15" s="1"/>
  <c r="M985" i="15"/>
  <c r="N985" i="15" s="1"/>
  <c r="L985" i="15"/>
  <c r="K985" i="15"/>
  <c r="I985" i="15"/>
  <c r="J985" i="15" s="1"/>
  <c r="H985" i="15"/>
  <c r="O984" i="15"/>
  <c r="P984" i="15" s="1"/>
  <c r="M984" i="15"/>
  <c r="N984" i="15" s="1"/>
  <c r="L984" i="15"/>
  <c r="K984" i="15"/>
  <c r="I984" i="15"/>
  <c r="J984" i="15" s="1"/>
  <c r="H984" i="15"/>
  <c r="O983" i="15"/>
  <c r="P983" i="15" s="1"/>
  <c r="M983" i="15"/>
  <c r="N983" i="15" s="1"/>
  <c r="L983" i="15"/>
  <c r="K983" i="15"/>
  <c r="I983" i="15"/>
  <c r="J983" i="15" s="1"/>
  <c r="H983" i="15"/>
  <c r="O982" i="15"/>
  <c r="P982" i="15" s="1"/>
  <c r="M982" i="15"/>
  <c r="N982" i="15" s="1"/>
  <c r="L982" i="15"/>
  <c r="K982" i="15"/>
  <c r="I982" i="15"/>
  <c r="J982" i="15" s="1"/>
  <c r="H982" i="15"/>
  <c r="O981" i="15"/>
  <c r="P981" i="15" s="1"/>
  <c r="M981" i="15"/>
  <c r="N981" i="15" s="1"/>
  <c r="L981" i="15"/>
  <c r="K981" i="15"/>
  <c r="I981" i="15"/>
  <c r="J981" i="15" s="1"/>
  <c r="H981" i="15"/>
  <c r="O980" i="15"/>
  <c r="P980" i="15" s="1"/>
  <c r="M980" i="15"/>
  <c r="N980" i="15" s="1"/>
  <c r="L980" i="15"/>
  <c r="K980" i="15"/>
  <c r="I980" i="15"/>
  <c r="J980" i="15" s="1"/>
  <c r="H980" i="15"/>
  <c r="O979" i="15"/>
  <c r="P979" i="15" s="1"/>
  <c r="M979" i="15"/>
  <c r="N979" i="15" s="1"/>
  <c r="L979" i="15"/>
  <c r="K979" i="15"/>
  <c r="I979" i="15"/>
  <c r="J979" i="15" s="1"/>
  <c r="H979" i="15"/>
  <c r="O978" i="15"/>
  <c r="P978" i="15" s="1"/>
  <c r="M978" i="15"/>
  <c r="N978" i="15" s="1"/>
  <c r="L978" i="15"/>
  <c r="K978" i="15"/>
  <c r="I978" i="15"/>
  <c r="J978" i="15" s="1"/>
  <c r="H978" i="15"/>
  <c r="O977" i="15"/>
  <c r="P977" i="15" s="1"/>
  <c r="M977" i="15"/>
  <c r="N977" i="15" s="1"/>
  <c r="L977" i="15"/>
  <c r="K977" i="15"/>
  <c r="I977" i="15"/>
  <c r="J977" i="15" s="1"/>
  <c r="H977" i="15"/>
  <c r="O976" i="15"/>
  <c r="P976" i="15" s="1"/>
  <c r="M976" i="15"/>
  <c r="N976" i="15" s="1"/>
  <c r="L976" i="15"/>
  <c r="K976" i="15"/>
  <c r="I976" i="15"/>
  <c r="J976" i="15" s="1"/>
  <c r="H976" i="15"/>
  <c r="O975" i="15"/>
  <c r="P975" i="15" s="1"/>
  <c r="M975" i="15"/>
  <c r="N975" i="15" s="1"/>
  <c r="L975" i="15"/>
  <c r="K975" i="15"/>
  <c r="I975" i="15"/>
  <c r="J975" i="15" s="1"/>
  <c r="H975" i="15"/>
  <c r="O974" i="15"/>
  <c r="P974" i="15" s="1"/>
  <c r="M974" i="15"/>
  <c r="N974" i="15" s="1"/>
  <c r="L974" i="15"/>
  <c r="K974" i="15"/>
  <c r="I974" i="15"/>
  <c r="J974" i="15" s="1"/>
  <c r="H974" i="15"/>
  <c r="O973" i="15"/>
  <c r="P973" i="15" s="1"/>
  <c r="M973" i="15"/>
  <c r="N973" i="15" s="1"/>
  <c r="L973" i="15"/>
  <c r="K973" i="15"/>
  <c r="I973" i="15"/>
  <c r="J973" i="15" s="1"/>
  <c r="H973" i="15"/>
  <c r="O972" i="15"/>
  <c r="P972" i="15" s="1"/>
  <c r="M972" i="15"/>
  <c r="N972" i="15" s="1"/>
  <c r="L972" i="15"/>
  <c r="K972" i="15"/>
  <c r="I972" i="15"/>
  <c r="J972" i="15" s="1"/>
  <c r="H972" i="15"/>
  <c r="O971" i="15"/>
  <c r="P971" i="15" s="1"/>
  <c r="M971" i="15"/>
  <c r="N971" i="15" s="1"/>
  <c r="L971" i="15"/>
  <c r="K971" i="15"/>
  <c r="I971" i="15"/>
  <c r="J971" i="15" s="1"/>
  <c r="H971" i="15"/>
  <c r="O970" i="15"/>
  <c r="P970" i="15" s="1"/>
  <c r="M970" i="15"/>
  <c r="N970" i="15" s="1"/>
  <c r="L970" i="15"/>
  <c r="K970" i="15"/>
  <c r="I970" i="15"/>
  <c r="J970" i="15" s="1"/>
  <c r="H970" i="15"/>
  <c r="O969" i="15"/>
  <c r="P969" i="15" s="1"/>
  <c r="M969" i="15"/>
  <c r="N969" i="15" s="1"/>
  <c r="L969" i="15"/>
  <c r="K969" i="15"/>
  <c r="I969" i="15"/>
  <c r="J969" i="15" s="1"/>
  <c r="H969" i="15"/>
  <c r="O968" i="15"/>
  <c r="P968" i="15" s="1"/>
  <c r="M968" i="15"/>
  <c r="N968" i="15" s="1"/>
  <c r="L968" i="15"/>
  <c r="K968" i="15"/>
  <c r="I968" i="15"/>
  <c r="J968" i="15" s="1"/>
  <c r="H968" i="15"/>
  <c r="O967" i="15"/>
  <c r="P967" i="15" s="1"/>
  <c r="M967" i="15"/>
  <c r="N967" i="15" s="1"/>
  <c r="L967" i="15"/>
  <c r="K967" i="15"/>
  <c r="I967" i="15"/>
  <c r="J967" i="15" s="1"/>
  <c r="H967" i="15"/>
  <c r="O966" i="15"/>
  <c r="P966" i="15" s="1"/>
  <c r="M966" i="15"/>
  <c r="N966" i="15" s="1"/>
  <c r="L966" i="15"/>
  <c r="K966" i="15"/>
  <c r="I966" i="15"/>
  <c r="J966" i="15" s="1"/>
  <c r="H966" i="15"/>
  <c r="O965" i="15"/>
  <c r="P965" i="15" s="1"/>
  <c r="M965" i="15"/>
  <c r="N965" i="15" s="1"/>
  <c r="L965" i="15"/>
  <c r="K965" i="15"/>
  <c r="I965" i="15"/>
  <c r="J965" i="15" s="1"/>
  <c r="H965" i="15"/>
  <c r="O964" i="15"/>
  <c r="P964" i="15" s="1"/>
  <c r="M964" i="15"/>
  <c r="N964" i="15" s="1"/>
  <c r="L964" i="15"/>
  <c r="K964" i="15"/>
  <c r="I964" i="15"/>
  <c r="J964" i="15" s="1"/>
  <c r="H964" i="15"/>
  <c r="O963" i="15"/>
  <c r="P963" i="15" s="1"/>
  <c r="M963" i="15"/>
  <c r="N963" i="15" s="1"/>
  <c r="L963" i="15"/>
  <c r="K963" i="15"/>
  <c r="I963" i="15"/>
  <c r="J963" i="15" s="1"/>
  <c r="H963" i="15"/>
  <c r="O962" i="15"/>
  <c r="P962" i="15" s="1"/>
  <c r="M962" i="15"/>
  <c r="N962" i="15" s="1"/>
  <c r="L962" i="15"/>
  <c r="K962" i="15"/>
  <c r="I962" i="15"/>
  <c r="J962" i="15" s="1"/>
  <c r="H962" i="15"/>
  <c r="O961" i="15"/>
  <c r="P961" i="15" s="1"/>
  <c r="M961" i="15"/>
  <c r="N961" i="15" s="1"/>
  <c r="L961" i="15"/>
  <c r="K961" i="15"/>
  <c r="I961" i="15"/>
  <c r="J961" i="15" s="1"/>
  <c r="H961" i="15"/>
  <c r="O960" i="15"/>
  <c r="P960" i="15" s="1"/>
  <c r="M960" i="15"/>
  <c r="N960" i="15" s="1"/>
  <c r="L960" i="15"/>
  <c r="K960" i="15"/>
  <c r="I960" i="15"/>
  <c r="J960" i="15" s="1"/>
  <c r="H960" i="15"/>
  <c r="O959" i="15"/>
  <c r="P959" i="15" s="1"/>
  <c r="M959" i="15"/>
  <c r="N959" i="15" s="1"/>
  <c r="L959" i="15"/>
  <c r="K959" i="15"/>
  <c r="I959" i="15"/>
  <c r="J959" i="15" s="1"/>
  <c r="H959" i="15"/>
  <c r="O958" i="15"/>
  <c r="P958" i="15" s="1"/>
  <c r="M958" i="15"/>
  <c r="N958" i="15" s="1"/>
  <c r="L958" i="15"/>
  <c r="K958" i="15"/>
  <c r="I958" i="15"/>
  <c r="J958" i="15" s="1"/>
  <c r="H958" i="15"/>
  <c r="O957" i="15"/>
  <c r="P957" i="15" s="1"/>
  <c r="M957" i="15"/>
  <c r="N957" i="15" s="1"/>
  <c r="L957" i="15"/>
  <c r="K957" i="15"/>
  <c r="I957" i="15"/>
  <c r="J957" i="15" s="1"/>
  <c r="H957" i="15"/>
  <c r="O956" i="15"/>
  <c r="P956" i="15" s="1"/>
  <c r="M956" i="15"/>
  <c r="N956" i="15" s="1"/>
  <c r="L956" i="15"/>
  <c r="K956" i="15"/>
  <c r="I956" i="15"/>
  <c r="J956" i="15" s="1"/>
  <c r="H956" i="15"/>
  <c r="O955" i="15"/>
  <c r="P955" i="15" s="1"/>
  <c r="M955" i="15"/>
  <c r="N955" i="15" s="1"/>
  <c r="L955" i="15"/>
  <c r="K955" i="15"/>
  <c r="I955" i="15"/>
  <c r="J955" i="15" s="1"/>
  <c r="H955" i="15"/>
  <c r="O954" i="15"/>
  <c r="P954" i="15" s="1"/>
  <c r="M954" i="15"/>
  <c r="N954" i="15" s="1"/>
  <c r="L954" i="15"/>
  <c r="K954" i="15"/>
  <c r="I954" i="15"/>
  <c r="J954" i="15" s="1"/>
  <c r="H954" i="15"/>
  <c r="O953" i="15"/>
  <c r="P953" i="15" s="1"/>
  <c r="M953" i="15"/>
  <c r="N953" i="15" s="1"/>
  <c r="L953" i="15"/>
  <c r="K953" i="15"/>
  <c r="I953" i="15"/>
  <c r="J953" i="15" s="1"/>
  <c r="H953" i="15"/>
  <c r="O952" i="15"/>
  <c r="P952" i="15" s="1"/>
  <c r="M952" i="15"/>
  <c r="N952" i="15" s="1"/>
  <c r="L952" i="15"/>
  <c r="K952" i="15"/>
  <c r="I952" i="15"/>
  <c r="J952" i="15" s="1"/>
  <c r="H952" i="15"/>
  <c r="O951" i="15"/>
  <c r="P951" i="15" s="1"/>
  <c r="M951" i="15"/>
  <c r="N951" i="15" s="1"/>
  <c r="L951" i="15"/>
  <c r="K951" i="15"/>
  <c r="I951" i="15"/>
  <c r="J951" i="15" s="1"/>
  <c r="H951" i="15"/>
  <c r="O950" i="15"/>
  <c r="P950" i="15" s="1"/>
  <c r="M950" i="15"/>
  <c r="N950" i="15" s="1"/>
  <c r="L950" i="15"/>
  <c r="K950" i="15"/>
  <c r="I950" i="15"/>
  <c r="J950" i="15" s="1"/>
  <c r="H950" i="15"/>
  <c r="O949" i="15"/>
  <c r="P949" i="15" s="1"/>
  <c r="M949" i="15"/>
  <c r="N949" i="15" s="1"/>
  <c r="L949" i="15"/>
  <c r="K949" i="15"/>
  <c r="I949" i="15"/>
  <c r="J949" i="15" s="1"/>
  <c r="H949" i="15"/>
  <c r="O948" i="15"/>
  <c r="P948" i="15" s="1"/>
  <c r="M948" i="15"/>
  <c r="N948" i="15" s="1"/>
  <c r="L948" i="15"/>
  <c r="K948" i="15"/>
  <c r="I948" i="15"/>
  <c r="J948" i="15" s="1"/>
  <c r="H948" i="15"/>
  <c r="O947" i="15"/>
  <c r="P947" i="15" s="1"/>
  <c r="M947" i="15"/>
  <c r="N947" i="15" s="1"/>
  <c r="L947" i="15"/>
  <c r="K947" i="15"/>
  <c r="I947" i="15"/>
  <c r="J947" i="15" s="1"/>
  <c r="H947" i="15"/>
  <c r="O946" i="15"/>
  <c r="P946" i="15" s="1"/>
  <c r="M946" i="15"/>
  <c r="N946" i="15" s="1"/>
  <c r="L946" i="15"/>
  <c r="K946" i="15"/>
  <c r="I946" i="15"/>
  <c r="J946" i="15" s="1"/>
  <c r="H946" i="15"/>
  <c r="O945" i="15"/>
  <c r="P945" i="15" s="1"/>
  <c r="M945" i="15"/>
  <c r="N945" i="15" s="1"/>
  <c r="L945" i="15"/>
  <c r="K945" i="15"/>
  <c r="I945" i="15"/>
  <c r="J945" i="15" s="1"/>
  <c r="H945" i="15"/>
  <c r="O944" i="15"/>
  <c r="P944" i="15" s="1"/>
  <c r="M944" i="15"/>
  <c r="N944" i="15" s="1"/>
  <c r="L944" i="15"/>
  <c r="K944" i="15"/>
  <c r="I944" i="15"/>
  <c r="J944" i="15" s="1"/>
  <c r="H944" i="15"/>
  <c r="O943" i="15"/>
  <c r="P943" i="15" s="1"/>
  <c r="M943" i="15"/>
  <c r="N943" i="15" s="1"/>
  <c r="L943" i="15"/>
  <c r="K943" i="15"/>
  <c r="I943" i="15"/>
  <c r="J943" i="15" s="1"/>
  <c r="H943" i="15"/>
  <c r="O942" i="15"/>
  <c r="P942" i="15" s="1"/>
  <c r="M942" i="15"/>
  <c r="N942" i="15" s="1"/>
  <c r="L942" i="15"/>
  <c r="K942" i="15"/>
  <c r="I942" i="15"/>
  <c r="J942" i="15" s="1"/>
  <c r="H942" i="15"/>
  <c r="O941" i="15"/>
  <c r="P941" i="15" s="1"/>
  <c r="M941" i="15"/>
  <c r="N941" i="15" s="1"/>
  <c r="L941" i="15"/>
  <c r="K941" i="15"/>
  <c r="I941" i="15"/>
  <c r="J941" i="15" s="1"/>
  <c r="H941" i="15"/>
  <c r="O940" i="15"/>
  <c r="P940" i="15" s="1"/>
  <c r="M940" i="15"/>
  <c r="N940" i="15" s="1"/>
  <c r="L940" i="15"/>
  <c r="K940" i="15"/>
  <c r="I940" i="15"/>
  <c r="J940" i="15" s="1"/>
  <c r="H940" i="15"/>
  <c r="O939" i="15"/>
  <c r="P939" i="15" s="1"/>
  <c r="M939" i="15"/>
  <c r="N939" i="15" s="1"/>
  <c r="L939" i="15"/>
  <c r="K939" i="15"/>
  <c r="I939" i="15"/>
  <c r="J939" i="15" s="1"/>
  <c r="H939" i="15"/>
  <c r="O938" i="15"/>
  <c r="P938" i="15" s="1"/>
  <c r="M938" i="15"/>
  <c r="N938" i="15" s="1"/>
  <c r="L938" i="15"/>
  <c r="K938" i="15"/>
  <c r="I938" i="15"/>
  <c r="J938" i="15" s="1"/>
  <c r="H938" i="15"/>
  <c r="O937" i="15"/>
  <c r="P937" i="15" s="1"/>
  <c r="M937" i="15"/>
  <c r="N937" i="15" s="1"/>
  <c r="L937" i="15"/>
  <c r="K937" i="15"/>
  <c r="I937" i="15"/>
  <c r="J937" i="15" s="1"/>
  <c r="H937" i="15"/>
  <c r="O936" i="15"/>
  <c r="P936" i="15" s="1"/>
  <c r="M936" i="15"/>
  <c r="N936" i="15" s="1"/>
  <c r="L936" i="15"/>
  <c r="K936" i="15"/>
  <c r="I936" i="15"/>
  <c r="J936" i="15" s="1"/>
  <c r="H936" i="15"/>
  <c r="O935" i="15"/>
  <c r="P935" i="15" s="1"/>
  <c r="M935" i="15"/>
  <c r="N935" i="15" s="1"/>
  <c r="L935" i="15"/>
  <c r="K935" i="15"/>
  <c r="I935" i="15"/>
  <c r="J935" i="15" s="1"/>
  <c r="H935" i="15"/>
  <c r="O934" i="15"/>
  <c r="P934" i="15" s="1"/>
  <c r="M934" i="15"/>
  <c r="N934" i="15" s="1"/>
  <c r="L934" i="15"/>
  <c r="K934" i="15"/>
  <c r="I934" i="15"/>
  <c r="J934" i="15" s="1"/>
  <c r="H934" i="15"/>
  <c r="O933" i="15"/>
  <c r="P933" i="15" s="1"/>
  <c r="M933" i="15"/>
  <c r="N933" i="15" s="1"/>
  <c r="L933" i="15"/>
  <c r="K933" i="15"/>
  <c r="I933" i="15"/>
  <c r="J933" i="15" s="1"/>
  <c r="H933" i="15"/>
  <c r="O932" i="15"/>
  <c r="P932" i="15" s="1"/>
  <c r="M932" i="15"/>
  <c r="N932" i="15" s="1"/>
  <c r="L932" i="15"/>
  <c r="K932" i="15"/>
  <c r="I932" i="15"/>
  <c r="J932" i="15" s="1"/>
  <c r="H932" i="15"/>
  <c r="O931" i="15"/>
  <c r="P931" i="15" s="1"/>
  <c r="M931" i="15"/>
  <c r="N931" i="15" s="1"/>
  <c r="L931" i="15"/>
  <c r="K931" i="15"/>
  <c r="I931" i="15"/>
  <c r="J931" i="15" s="1"/>
  <c r="H931" i="15"/>
  <c r="O930" i="15"/>
  <c r="P930" i="15" s="1"/>
  <c r="M930" i="15"/>
  <c r="N930" i="15" s="1"/>
  <c r="L930" i="15"/>
  <c r="K930" i="15"/>
  <c r="I930" i="15"/>
  <c r="J930" i="15" s="1"/>
  <c r="H930" i="15"/>
  <c r="O929" i="15"/>
  <c r="P929" i="15" s="1"/>
  <c r="M929" i="15"/>
  <c r="N929" i="15" s="1"/>
  <c r="L929" i="15"/>
  <c r="K929" i="15"/>
  <c r="I929" i="15"/>
  <c r="J929" i="15" s="1"/>
  <c r="H929" i="15"/>
  <c r="O928" i="15"/>
  <c r="P928" i="15" s="1"/>
  <c r="M928" i="15"/>
  <c r="N928" i="15" s="1"/>
  <c r="L928" i="15"/>
  <c r="K928" i="15"/>
  <c r="I928" i="15"/>
  <c r="J928" i="15" s="1"/>
  <c r="H928" i="15"/>
  <c r="O927" i="15"/>
  <c r="P927" i="15" s="1"/>
  <c r="M927" i="15"/>
  <c r="N927" i="15" s="1"/>
  <c r="L927" i="15"/>
  <c r="K927" i="15"/>
  <c r="I927" i="15"/>
  <c r="J927" i="15" s="1"/>
  <c r="H927" i="15"/>
  <c r="O926" i="15"/>
  <c r="P926" i="15" s="1"/>
  <c r="M926" i="15"/>
  <c r="N926" i="15" s="1"/>
  <c r="L926" i="15"/>
  <c r="K926" i="15"/>
  <c r="I926" i="15"/>
  <c r="J926" i="15" s="1"/>
  <c r="H926" i="15"/>
  <c r="O925" i="15"/>
  <c r="P925" i="15" s="1"/>
  <c r="M925" i="15"/>
  <c r="N925" i="15" s="1"/>
  <c r="L925" i="15"/>
  <c r="K925" i="15"/>
  <c r="I925" i="15"/>
  <c r="J925" i="15" s="1"/>
  <c r="H925" i="15"/>
  <c r="O924" i="15"/>
  <c r="P924" i="15" s="1"/>
  <c r="M924" i="15"/>
  <c r="N924" i="15" s="1"/>
  <c r="L924" i="15"/>
  <c r="K924" i="15"/>
  <c r="I924" i="15"/>
  <c r="J924" i="15" s="1"/>
  <c r="H924" i="15"/>
  <c r="O923" i="15"/>
  <c r="P923" i="15" s="1"/>
  <c r="M923" i="15"/>
  <c r="N923" i="15" s="1"/>
  <c r="L923" i="15"/>
  <c r="K923" i="15"/>
  <c r="I923" i="15"/>
  <c r="J923" i="15" s="1"/>
  <c r="H923" i="15"/>
  <c r="O922" i="15"/>
  <c r="P922" i="15" s="1"/>
  <c r="M922" i="15"/>
  <c r="N922" i="15" s="1"/>
  <c r="L922" i="15"/>
  <c r="K922" i="15"/>
  <c r="I922" i="15"/>
  <c r="J922" i="15" s="1"/>
  <c r="H922" i="15"/>
  <c r="O921" i="15"/>
  <c r="P921" i="15" s="1"/>
  <c r="M921" i="15"/>
  <c r="N921" i="15" s="1"/>
  <c r="L921" i="15"/>
  <c r="K921" i="15"/>
  <c r="I921" i="15"/>
  <c r="J921" i="15" s="1"/>
  <c r="H921" i="15"/>
  <c r="O920" i="15"/>
  <c r="P920" i="15" s="1"/>
  <c r="M920" i="15"/>
  <c r="N920" i="15" s="1"/>
  <c r="L920" i="15"/>
  <c r="K920" i="15"/>
  <c r="I920" i="15"/>
  <c r="J920" i="15" s="1"/>
  <c r="H920" i="15"/>
  <c r="O919" i="15"/>
  <c r="P919" i="15" s="1"/>
  <c r="M919" i="15"/>
  <c r="N919" i="15" s="1"/>
  <c r="L919" i="15"/>
  <c r="K919" i="15"/>
  <c r="I919" i="15"/>
  <c r="J919" i="15" s="1"/>
  <c r="H919" i="15"/>
  <c r="O918" i="15"/>
  <c r="P918" i="15" s="1"/>
  <c r="M918" i="15"/>
  <c r="N918" i="15" s="1"/>
  <c r="L918" i="15"/>
  <c r="K918" i="15"/>
  <c r="I918" i="15"/>
  <c r="J918" i="15" s="1"/>
  <c r="H918" i="15"/>
  <c r="O917" i="15"/>
  <c r="P917" i="15" s="1"/>
  <c r="M917" i="15"/>
  <c r="N917" i="15" s="1"/>
  <c r="L917" i="15"/>
  <c r="K917" i="15"/>
  <c r="I917" i="15"/>
  <c r="J917" i="15" s="1"/>
  <c r="H917" i="15"/>
  <c r="O916" i="15"/>
  <c r="P916" i="15" s="1"/>
  <c r="M916" i="15"/>
  <c r="N916" i="15" s="1"/>
  <c r="L916" i="15"/>
  <c r="K916" i="15"/>
  <c r="I916" i="15"/>
  <c r="J916" i="15" s="1"/>
  <c r="H916" i="15"/>
  <c r="O915" i="15"/>
  <c r="P915" i="15" s="1"/>
  <c r="M915" i="15"/>
  <c r="N915" i="15" s="1"/>
  <c r="L915" i="15"/>
  <c r="K915" i="15"/>
  <c r="I915" i="15"/>
  <c r="J915" i="15" s="1"/>
  <c r="H915" i="15"/>
  <c r="O914" i="15"/>
  <c r="P914" i="15" s="1"/>
  <c r="M914" i="15"/>
  <c r="N914" i="15" s="1"/>
  <c r="L914" i="15"/>
  <c r="K914" i="15"/>
  <c r="I914" i="15"/>
  <c r="J914" i="15" s="1"/>
  <c r="H914" i="15"/>
  <c r="O913" i="15"/>
  <c r="P913" i="15" s="1"/>
  <c r="M913" i="15"/>
  <c r="N913" i="15" s="1"/>
  <c r="L913" i="15"/>
  <c r="K913" i="15"/>
  <c r="I913" i="15"/>
  <c r="J913" i="15" s="1"/>
  <c r="H913" i="15"/>
  <c r="O912" i="15"/>
  <c r="P912" i="15" s="1"/>
  <c r="M912" i="15"/>
  <c r="N912" i="15" s="1"/>
  <c r="L912" i="15"/>
  <c r="K912" i="15"/>
  <c r="I912" i="15"/>
  <c r="J912" i="15" s="1"/>
  <c r="H912" i="15"/>
  <c r="O911" i="15"/>
  <c r="P911" i="15" s="1"/>
  <c r="M911" i="15"/>
  <c r="N911" i="15" s="1"/>
  <c r="L911" i="15"/>
  <c r="K911" i="15"/>
  <c r="I911" i="15"/>
  <c r="J911" i="15" s="1"/>
  <c r="H911" i="15"/>
  <c r="O910" i="15"/>
  <c r="P910" i="15" s="1"/>
  <c r="M910" i="15"/>
  <c r="N910" i="15" s="1"/>
  <c r="L910" i="15"/>
  <c r="K910" i="15"/>
  <c r="I910" i="15"/>
  <c r="J910" i="15" s="1"/>
  <c r="H910" i="15"/>
  <c r="O909" i="15"/>
  <c r="P909" i="15" s="1"/>
  <c r="M909" i="15"/>
  <c r="N909" i="15" s="1"/>
  <c r="L909" i="15"/>
  <c r="K909" i="15"/>
  <c r="I909" i="15"/>
  <c r="J909" i="15" s="1"/>
  <c r="H909" i="15"/>
  <c r="O908" i="15"/>
  <c r="P908" i="15" s="1"/>
  <c r="M908" i="15"/>
  <c r="N908" i="15" s="1"/>
  <c r="L908" i="15"/>
  <c r="K908" i="15"/>
  <c r="I908" i="15"/>
  <c r="J908" i="15" s="1"/>
  <c r="H908" i="15"/>
  <c r="O907" i="15"/>
  <c r="P907" i="15" s="1"/>
  <c r="M907" i="15"/>
  <c r="N907" i="15" s="1"/>
  <c r="L907" i="15"/>
  <c r="K907" i="15"/>
  <c r="I907" i="15"/>
  <c r="J907" i="15" s="1"/>
  <c r="H907" i="15"/>
  <c r="O906" i="15"/>
  <c r="P906" i="15" s="1"/>
  <c r="M906" i="15"/>
  <c r="N906" i="15" s="1"/>
  <c r="L906" i="15"/>
  <c r="K906" i="15"/>
  <c r="I906" i="15"/>
  <c r="J906" i="15" s="1"/>
  <c r="H906" i="15"/>
  <c r="O905" i="15"/>
  <c r="P905" i="15" s="1"/>
  <c r="M905" i="15"/>
  <c r="N905" i="15" s="1"/>
  <c r="L905" i="15"/>
  <c r="K905" i="15"/>
  <c r="I905" i="15"/>
  <c r="J905" i="15" s="1"/>
  <c r="H905" i="15"/>
  <c r="O904" i="15"/>
  <c r="P904" i="15" s="1"/>
  <c r="M904" i="15"/>
  <c r="N904" i="15" s="1"/>
  <c r="L904" i="15"/>
  <c r="K904" i="15"/>
  <c r="I904" i="15"/>
  <c r="J904" i="15" s="1"/>
  <c r="H904" i="15"/>
  <c r="O903" i="15"/>
  <c r="P903" i="15" s="1"/>
  <c r="M903" i="15"/>
  <c r="N903" i="15" s="1"/>
  <c r="L903" i="15"/>
  <c r="K903" i="15"/>
  <c r="I903" i="15"/>
  <c r="J903" i="15" s="1"/>
  <c r="H903" i="15"/>
  <c r="O902" i="15"/>
  <c r="P902" i="15" s="1"/>
  <c r="M902" i="15"/>
  <c r="N902" i="15" s="1"/>
  <c r="L902" i="15"/>
  <c r="K902" i="15"/>
  <c r="I902" i="15"/>
  <c r="J902" i="15" s="1"/>
  <c r="H902" i="15"/>
  <c r="O901" i="15"/>
  <c r="P901" i="15" s="1"/>
  <c r="M901" i="15"/>
  <c r="N901" i="15" s="1"/>
  <c r="L901" i="15"/>
  <c r="K901" i="15"/>
  <c r="I901" i="15"/>
  <c r="J901" i="15" s="1"/>
  <c r="H901" i="15"/>
  <c r="O900" i="15"/>
  <c r="P900" i="15" s="1"/>
  <c r="M900" i="15"/>
  <c r="N900" i="15" s="1"/>
  <c r="L900" i="15"/>
  <c r="K900" i="15"/>
  <c r="I900" i="15"/>
  <c r="J900" i="15" s="1"/>
  <c r="H900" i="15"/>
  <c r="O899" i="15"/>
  <c r="P899" i="15" s="1"/>
  <c r="M899" i="15"/>
  <c r="N899" i="15" s="1"/>
  <c r="L899" i="15"/>
  <c r="K899" i="15"/>
  <c r="I899" i="15"/>
  <c r="J899" i="15" s="1"/>
  <c r="H899" i="15"/>
  <c r="O898" i="15"/>
  <c r="P898" i="15" s="1"/>
  <c r="M898" i="15"/>
  <c r="N898" i="15" s="1"/>
  <c r="L898" i="15"/>
  <c r="K898" i="15"/>
  <c r="I898" i="15"/>
  <c r="J898" i="15" s="1"/>
  <c r="H898" i="15"/>
  <c r="O897" i="15"/>
  <c r="P897" i="15" s="1"/>
  <c r="M897" i="15"/>
  <c r="N897" i="15" s="1"/>
  <c r="L897" i="15"/>
  <c r="K897" i="15"/>
  <c r="I897" i="15"/>
  <c r="J897" i="15" s="1"/>
  <c r="H897" i="15"/>
  <c r="O896" i="15"/>
  <c r="P896" i="15" s="1"/>
  <c r="M896" i="15"/>
  <c r="N896" i="15" s="1"/>
  <c r="L896" i="15"/>
  <c r="K896" i="15"/>
  <c r="I896" i="15"/>
  <c r="J896" i="15" s="1"/>
  <c r="H896" i="15"/>
  <c r="O895" i="15"/>
  <c r="P895" i="15" s="1"/>
  <c r="M895" i="15"/>
  <c r="N895" i="15" s="1"/>
  <c r="L895" i="15"/>
  <c r="K895" i="15"/>
  <c r="I895" i="15"/>
  <c r="J895" i="15" s="1"/>
  <c r="H895" i="15"/>
  <c r="O894" i="15"/>
  <c r="P894" i="15" s="1"/>
  <c r="M894" i="15"/>
  <c r="N894" i="15" s="1"/>
  <c r="L894" i="15"/>
  <c r="K894" i="15"/>
  <c r="I894" i="15"/>
  <c r="J894" i="15" s="1"/>
  <c r="H894" i="15"/>
  <c r="O893" i="15"/>
  <c r="P893" i="15" s="1"/>
  <c r="M893" i="15"/>
  <c r="N893" i="15" s="1"/>
  <c r="L893" i="15"/>
  <c r="K893" i="15"/>
  <c r="I893" i="15"/>
  <c r="J893" i="15" s="1"/>
  <c r="H893" i="15"/>
  <c r="O892" i="15"/>
  <c r="P892" i="15" s="1"/>
  <c r="M892" i="15"/>
  <c r="N892" i="15" s="1"/>
  <c r="L892" i="15"/>
  <c r="K892" i="15"/>
  <c r="I892" i="15"/>
  <c r="J892" i="15" s="1"/>
  <c r="H892" i="15"/>
  <c r="O891" i="15"/>
  <c r="P891" i="15" s="1"/>
  <c r="M891" i="15"/>
  <c r="N891" i="15" s="1"/>
  <c r="L891" i="15"/>
  <c r="K891" i="15"/>
  <c r="I891" i="15"/>
  <c r="J891" i="15" s="1"/>
  <c r="H891" i="15"/>
  <c r="O890" i="15"/>
  <c r="P890" i="15" s="1"/>
  <c r="M890" i="15"/>
  <c r="N890" i="15" s="1"/>
  <c r="L890" i="15"/>
  <c r="K890" i="15"/>
  <c r="I890" i="15"/>
  <c r="J890" i="15" s="1"/>
  <c r="H890" i="15"/>
  <c r="O889" i="15"/>
  <c r="P889" i="15" s="1"/>
  <c r="M889" i="15"/>
  <c r="N889" i="15" s="1"/>
  <c r="L889" i="15"/>
  <c r="K889" i="15"/>
  <c r="I889" i="15"/>
  <c r="J889" i="15" s="1"/>
  <c r="H889" i="15"/>
  <c r="O888" i="15"/>
  <c r="P888" i="15" s="1"/>
  <c r="M888" i="15"/>
  <c r="N888" i="15" s="1"/>
  <c r="L888" i="15"/>
  <c r="K888" i="15"/>
  <c r="I888" i="15"/>
  <c r="J888" i="15" s="1"/>
  <c r="H888" i="15"/>
  <c r="O887" i="15"/>
  <c r="P887" i="15" s="1"/>
  <c r="M887" i="15"/>
  <c r="N887" i="15" s="1"/>
  <c r="L887" i="15"/>
  <c r="K887" i="15"/>
  <c r="I887" i="15"/>
  <c r="J887" i="15" s="1"/>
  <c r="H887" i="15"/>
  <c r="O886" i="15"/>
  <c r="P886" i="15" s="1"/>
  <c r="M886" i="15"/>
  <c r="N886" i="15" s="1"/>
  <c r="L886" i="15"/>
  <c r="K886" i="15"/>
  <c r="I886" i="15"/>
  <c r="J886" i="15" s="1"/>
  <c r="H886" i="15"/>
  <c r="O885" i="15"/>
  <c r="P885" i="15" s="1"/>
  <c r="M885" i="15"/>
  <c r="N885" i="15" s="1"/>
  <c r="L885" i="15"/>
  <c r="K885" i="15"/>
  <c r="I885" i="15"/>
  <c r="J885" i="15" s="1"/>
  <c r="H885" i="15"/>
  <c r="O884" i="15"/>
  <c r="P884" i="15" s="1"/>
  <c r="M884" i="15"/>
  <c r="N884" i="15" s="1"/>
  <c r="L884" i="15"/>
  <c r="K884" i="15"/>
  <c r="I884" i="15"/>
  <c r="J884" i="15" s="1"/>
  <c r="H884" i="15"/>
  <c r="O883" i="15"/>
  <c r="P883" i="15" s="1"/>
  <c r="M883" i="15"/>
  <c r="N883" i="15" s="1"/>
  <c r="L883" i="15"/>
  <c r="K883" i="15"/>
  <c r="I883" i="15"/>
  <c r="J883" i="15" s="1"/>
  <c r="H883" i="15"/>
  <c r="O882" i="15"/>
  <c r="P882" i="15" s="1"/>
  <c r="M882" i="15"/>
  <c r="N882" i="15" s="1"/>
  <c r="L882" i="15"/>
  <c r="K882" i="15"/>
  <c r="I882" i="15"/>
  <c r="J882" i="15" s="1"/>
  <c r="H882" i="15"/>
  <c r="O881" i="15"/>
  <c r="P881" i="15" s="1"/>
  <c r="M881" i="15"/>
  <c r="N881" i="15" s="1"/>
  <c r="L881" i="15"/>
  <c r="K881" i="15"/>
  <c r="I881" i="15"/>
  <c r="J881" i="15" s="1"/>
  <c r="H881" i="15"/>
  <c r="O880" i="15"/>
  <c r="P880" i="15" s="1"/>
  <c r="M880" i="15"/>
  <c r="N880" i="15" s="1"/>
  <c r="L880" i="15"/>
  <c r="K880" i="15"/>
  <c r="I880" i="15"/>
  <c r="J880" i="15" s="1"/>
  <c r="H880" i="15"/>
  <c r="O879" i="15"/>
  <c r="P879" i="15" s="1"/>
  <c r="M879" i="15"/>
  <c r="N879" i="15" s="1"/>
  <c r="L879" i="15"/>
  <c r="K879" i="15"/>
  <c r="I879" i="15"/>
  <c r="J879" i="15" s="1"/>
  <c r="H879" i="15"/>
  <c r="O878" i="15"/>
  <c r="P878" i="15" s="1"/>
  <c r="M878" i="15"/>
  <c r="N878" i="15" s="1"/>
  <c r="L878" i="15"/>
  <c r="K878" i="15"/>
  <c r="I878" i="15"/>
  <c r="J878" i="15" s="1"/>
  <c r="H878" i="15"/>
  <c r="O877" i="15"/>
  <c r="P877" i="15" s="1"/>
  <c r="M877" i="15"/>
  <c r="N877" i="15" s="1"/>
  <c r="L877" i="15"/>
  <c r="K877" i="15"/>
  <c r="I877" i="15"/>
  <c r="J877" i="15" s="1"/>
  <c r="H877" i="15"/>
  <c r="O876" i="15"/>
  <c r="P876" i="15" s="1"/>
  <c r="M876" i="15"/>
  <c r="N876" i="15" s="1"/>
  <c r="L876" i="15"/>
  <c r="K876" i="15"/>
  <c r="I876" i="15"/>
  <c r="J876" i="15" s="1"/>
  <c r="H876" i="15"/>
  <c r="O875" i="15"/>
  <c r="P875" i="15" s="1"/>
  <c r="M875" i="15"/>
  <c r="N875" i="15" s="1"/>
  <c r="L875" i="15"/>
  <c r="K875" i="15"/>
  <c r="I875" i="15"/>
  <c r="J875" i="15" s="1"/>
  <c r="H875" i="15"/>
  <c r="O874" i="15"/>
  <c r="P874" i="15" s="1"/>
  <c r="M874" i="15"/>
  <c r="N874" i="15" s="1"/>
  <c r="L874" i="15"/>
  <c r="K874" i="15"/>
  <c r="I874" i="15"/>
  <c r="J874" i="15" s="1"/>
  <c r="H874" i="15"/>
  <c r="O873" i="15"/>
  <c r="P873" i="15" s="1"/>
  <c r="M873" i="15"/>
  <c r="N873" i="15" s="1"/>
  <c r="L873" i="15"/>
  <c r="K873" i="15"/>
  <c r="I873" i="15"/>
  <c r="J873" i="15" s="1"/>
  <c r="H873" i="15"/>
  <c r="O872" i="15"/>
  <c r="P872" i="15" s="1"/>
  <c r="M872" i="15"/>
  <c r="N872" i="15" s="1"/>
  <c r="L872" i="15"/>
  <c r="K872" i="15"/>
  <c r="I872" i="15"/>
  <c r="J872" i="15" s="1"/>
  <c r="H872" i="15"/>
  <c r="O871" i="15"/>
  <c r="P871" i="15" s="1"/>
  <c r="M871" i="15"/>
  <c r="N871" i="15" s="1"/>
  <c r="L871" i="15"/>
  <c r="K871" i="15"/>
  <c r="I871" i="15"/>
  <c r="J871" i="15" s="1"/>
  <c r="H871" i="15"/>
  <c r="O870" i="15"/>
  <c r="P870" i="15" s="1"/>
  <c r="M870" i="15"/>
  <c r="N870" i="15" s="1"/>
  <c r="L870" i="15"/>
  <c r="K870" i="15"/>
  <c r="I870" i="15"/>
  <c r="J870" i="15" s="1"/>
  <c r="H870" i="15"/>
  <c r="O869" i="15"/>
  <c r="P869" i="15" s="1"/>
  <c r="M869" i="15"/>
  <c r="N869" i="15" s="1"/>
  <c r="L869" i="15"/>
  <c r="K869" i="15"/>
  <c r="I869" i="15"/>
  <c r="J869" i="15" s="1"/>
  <c r="H869" i="15"/>
  <c r="O868" i="15"/>
  <c r="P868" i="15" s="1"/>
  <c r="M868" i="15"/>
  <c r="N868" i="15" s="1"/>
  <c r="L868" i="15"/>
  <c r="K868" i="15"/>
  <c r="I868" i="15"/>
  <c r="J868" i="15" s="1"/>
  <c r="H868" i="15"/>
  <c r="O867" i="15"/>
  <c r="P867" i="15" s="1"/>
  <c r="M867" i="15"/>
  <c r="N867" i="15" s="1"/>
  <c r="L867" i="15"/>
  <c r="K867" i="15"/>
  <c r="I867" i="15"/>
  <c r="J867" i="15" s="1"/>
  <c r="H867" i="15"/>
  <c r="O866" i="15"/>
  <c r="P866" i="15" s="1"/>
  <c r="M866" i="15"/>
  <c r="N866" i="15" s="1"/>
  <c r="L866" i="15"/>
  <c r="K866" i="15"/>
  <c r="I866" i="15"/>
  <c r="J866" i="15" s="1"/>
  <c r="H866" i="15"/>
  <c r="O865" i="15"/>
  <c r="P865" i="15" s="1"/>
  <c r="M865" i="15"/>
  <c r="N865" i="15" s="1"/>
  <c r="L865" i="15"/>
  <c r="K865" i="15"/>
  <c r="I865" i="15"/>
  <c r="J865" i="15" s="1"/>
  <c r="H865" i="15"/>
  <c r="O864" i="15"/>
  <c r="P864" i="15" s="1"/>
  <c r="M864" i="15"/>
  <c r="N864" i="15" s="1"/>
  <c r="L864" i="15"/>
  <c r="K864" i="15"/>
  <c r="I864" i="15"/>
  <c r="J864" i="15" s="1"/>
  <c r="H864" i="15"/>
  <c r="O863" i="15"/>
  <c r="P863" i="15" s="1"/>
  <c r="M863" i="15"/>
  <c r="N863" i="15" s="1"/>
  <c r="L863" i="15"/>
  <c r="K863" i="15"/>
  <c r="I863" i="15"/>
  <c r="J863" i="15" s="1"/>
  <c r="H863" i="15"/>
  <c r="O862" i="15"/>
  <c r="P862" i="15" s="1"/>
  <c r="M862" i="15"/>
  <c r="N862" i="15" s="1"/>
  <c r="L862" i="15"/>
  <c r="K862" i="15"/>
  <c r="I862" i="15"/>
  <c r="J862" i="15" s="1"/>
  <c r="H862" i="15"/>
  <c r="O861" i="15"/>
  <c r="P861" i="15" s="1"/>
  <c r="M861" i="15"/>
  <c r="N861" i="15" s="1"/>
  <c r="L861" i="15"/>
  <c r="K861" i="15"/>
  <c r="I861" i="15"/>
  <c r="J861" i="15" s="1"/>
  <c r="H861" i="15"/>
  <c r="O860" i="15"/>
  <c r="P860" i="15" s="1"/>
  <c r="M860" i="15"/>
  <c r="N860" i="15" s="1"/>
  <c r="L860" i="15"/>
  <c r="K860" i="15"/>
  <c r="I860" i="15"/>
  <c r="J860" i="15" s="1"/>
  <c r="H860" i="15"/>
  <c r="O859" i="15"/>
  <c r="P859" i="15" s="1"/>
  <c r="M859" i="15"/>
  <c r="N859" i="15" s="1"/>
  <c r="L859" i="15"/>
  <c r="K859" i="15"/>
  <c r="I859" i="15"/>
  <c r="J859" i="15" s="1"/>
  <c r="H859" i="15"/>
  <c r="O858" i="15"/>
  <c r="P858" i="15" s="1"/>
  <c r="M858" i="15"/>
  <c r="N858" i="15" s="1"/>
  <c r="L858" i="15"/>
  <c r="K858" i="15"/>
  <c r="I858" i="15"/>
  <c r="J858" i="15" s="1"/>
  <c r="H858" i="15"/>
  <c r="O857" i="15"/>
  <c r="P857" i="15" s="1"/>
  <c r="M857" i="15"/>
  <c r="N857" i="15" s="1"/>
  <c r="L857" i="15"/>
  <c r="K857" i="15"/>
  <c r="I857" i="15"/>
  <c r="J857" i="15" s="1"/>
  <c r="H857" i="15"/>
  <c r="O856" i="15"/>
  <c r="P856" i="15" s="1"/>
  <c r="M856" i="15"/>
  <c r="N856" i="15" s="1"/>
  <c r="L856" i="15"/>
  <c r="K856" i="15"/>
  <c r="I856" i="15"/>
  <c r="J856" i="15" s="1"/>
  <c r="H856" i="15"/>
  <c r="O855" i="15"/>
  <c r="P855" i="15" s="1"/>
  <c r="M855" i="15"/>
  <c r="N855" i="15" s="1"/>
  <c r="L855" i="15"/>
  <c r="K855" i="15"/>
  <c r="I855" i="15"/>
  <c r="J855" i="15" s="1"/>
  <c r="H855" i="15"/>
  <c r="O854" i="15"/>
  <c r="P854" i="15" s="1"/>
  <c r="M854" i="15"/>
  <c r="N854" i="15" s="1"/>
  <c r="L854" i="15"/>
  <c r="K854" i="15"/>
  <c r="I854" i="15"/>
  <c r="J854" i="15" s="1"/>
  <c r="H854" i="15"/>
  <c r="O853" i="15"/>
  <c r="P853" i="15" s="1"/>
  <c r="M853" i="15"/>
  <c r="N853" i="15" s="1"/>
  <c r="L853" i="15"/>
  <c r="K853" i="15"/>
  <c r="I853" i="15"/>
  <c r="J853" i="15" s="1"/>
  <c r="H853" i="15"/>
  <c r="O852" i="15"/>
  <c r="P852" i="15" s="1"/>
  <c r="M852" i="15"/>
  <c r="N852" i="15" s="1"/>
  <c r="L852" i="15"/>
  <c r="K852" i="15"/>
  <c r="I852" i="15"/>
  <c r="J852" i="15" s="1"/>
  <c r="H852" i="15"/>
  <c r="O851" i="15"/>
  <c r="P851" i="15" s="1"/>
  <c r="M851" i="15"/>
  <c r="N851" i="15" s="1"/>
  <c r="L851" i="15"/>
  <c r="K851" i="15"/>
  <c r="I851" i="15"/>
  <c r="J851" i="15" s="1"/>
  <c r="H851" i="15"/>
  <c r="O850" i="15"/>
  <c r="P850" i="15" s="1"/>
  <c r="M850" i="15"/>
  <c r="N850" i="15" s="1"/>
  <c r="L850" i="15"/>
  <c r="K850" i="15"/>
  <c r="I850" i="15"/>
  <c r="J850" i="15" s="1"/>
  <c r="H850" i="15"/>
  <c r="O849" i="15"/>
  <c r="P849" i="15" s="1"/>
  <c r="M849" i="15"/>
  <c r="N849" i="15" s="1"/>
  <c r="L849" i="15"/>
  <c r="K849" i="15"/>
  <c r="I849" i="15"/>
  <c r="J849" i="15" s="1"/>
  <c r="H849" i="15"/>
  <c r="O848" i="15"/>
  <c r="P848" i="15" s="1"/>
  <c r="M848" i="15"/>
  <c r="N848" i="15" s="1"/>
  <c r="L848" i="15"/>
  <c r="K848" i="15"/>
  <c r="I848" i="15"/>
  <c r="J848" i="15" s="1"/>
  <c r="H848" i="15"/>
  <c r="O847" i="15"/>
  <c r="P847" i="15" s="1"/>
  <c r="M847" i="15"/>
  <c r="N847" i="15" s="1"/>
  <c r="L847" i="15"/>
  <c r="K847" i="15"/>
  <c r="I847" i="15"/>
  <c r="J847" i="15" s="1"/>
  <c r="H847" i="15"/>
  <c r="O846" i="15"/>
  <c r="P846" i="15" s="1"/>
  <c r="M846" i="15"/>
  <c r="N846" i="15" s="1"/>
  <c r="L846" i="15"/>
  <c r="K846" i="15"/>
  <c r="I846" i="15"/>
  <c r="J846" i="15" s="1"/>
  <c r="H846" i="15"/>
  <c r="O845" i="15"/>
  <c r="P845" i="15" s="1"/>
  <c r="M845" i="15"/>
  <c r="N845" i="15" s="1"/>
  <c r="L845" i="15"/>
  <c r="K845" i="15"/>
  <c r="I845" i="15"/>
  <c r="J845" i="15" s="1"/>
  <c r="H845" i="15"/>
  <c r="O844" i="15"/>
  <c r="P844" i="15" s="1"/>
  <c r="M844" i="15"/>
  <c r="N844" i="15" s="1"/>
  <c r="L844" i="15"/>
  <c r="K844" i="15"/>
  <c r="I844" i="15"/>
  <c r="J844" i="15" s="1"/>
  <c r="H844" i="15"/>
  <c r="O843" i="15"/>
  <c r="P843" i="15" s="1"/>
  <c r="M843" i="15"/>
  <c r="N843" i="15" s="1"/>
  <c r="L843" i="15"/>
  <c r="K843" i="15"/>
  <c r="I843" i="15"/>
  <c r="J843" i="15" s="1"/>
  <c r="H843" i="15"/>
  <c r="O842" i="15"/>
  <c r="P842" i="15" s="1"/>
  <c r="M842" i="15"/>
  <c r="N842" i="15" s="1"/>
  <c r="L842" i="15"/>
  <c r="K842" i="15"/>
  <c r="I842" i="15"/>
  <c r="J842" i="15" s="1"/>
  <c r="H842" i="15"/>
  <c r="O841" i="15"/>
  <c r="P841" i="15" s="1"/>
  <c r="M841" i="15"/>
  <c r="N841" i="15" s="1"/>
  <c r="L841" i="15"/>
  <c r="K841" i="15"/>
  <c r="I841" i="15"/>
  <c r="J841" i="15" s="1"/>
  <c r="H841" i="15"/>
  <c r="O840" i="15"/>
  <c r="P840" i="15" s="1"/>
  <c r="M840" i="15"/>
  <c r="N840" i="15" s="1"/>
  <c r="L840" i="15"/>
  <c r="K840" i="15"/>
  <c r="I840" i="15"/>
  <c r="J840" i="15" s="1"/>
  <c r="H840" i="15"/>
  <c r="O839" i="15"/>
  <c r="P839" i="15" s="1"/>
  <c r="M839" i="15"/>
  <c r="N839" i="15" s="1"/>
  <c r="L839" i="15"/>
  <c r="K839" i="15"/>
  <c r="I839" i="15"/>
  <c r="J839" i="15" s="1"/>
  <c r="H839" i="15"/>
  <c r="O838" i="15"/>
  <c r="P838" i="15" s="1"/>
  <c r="M838" i="15"/>
  <c r="N838" i="15" s="1"/>
  <c r="L838" i="15"/>
  <c r="K838" i="15"/>
  <c r="I838" i="15"/>
  <c r="J838" i="15" s="1"/>
  <c r="H838" i="15"/>
  <c r="O837" i="15"/>
  <c r="P837" i="15" s="1"/>
  <c r="M837" i="15"/>
  <c r="N837" i="15" s="1"/>
  <c r="L837" i="15"/>
  <c r="K837" i="15"/>
  <c r="I837" i="15"/>
  <c r="J837" i="15" s="1"/>
  <c r="H837" i="15"/>
  <c r="O836" i="15"/>
  <c r="P836" i="15" s="1"/>
  <c r="M836" i="15"/>
  <c r="N836" i="15" s="1"/>
  <c r="L836" i="15"/>
  <c r="K836" i="15"/>
  <c r="I836" i="15"/>
  <c r="J836" i="15" s="1"/>
  <c r="H836" i="15"/>
  <c r="O835" i="15"/>
  <c r="P835" i="15" s="1"/>
  <c r="M835" i="15"/>
  <c r="N835" i="15" s="1"/>
  <c r="L835" i="15"/>
  <c r="K835" i="15"/>
  <c r="I835" i="15"/>
  <c r="J835" i="15" s="1"/>
  <c r="H835" i="15"/>
  <c r="O834" i="15"/>
  <c r="P834" i="15" s="1"/>
  <c r="M834" i="15"/>
  <c r="N834" i="15" s="1"/>
  <c r="L834" i="15"/>
  <c r="K834" i="15"/>
  <c r="I834" i="15"/>
  <c r="J834" i="15" s="1"/>
  <c r="H834" i="15"/>
  <c r="O833" i="15"/>
  <c r="P833" i="15" s="1"/>
  <c r="M833" i="15"/>
  <c r="N833" i="15" s="1"/>
  <c r="L833" i="15"/>
  <c r="K833" i="15"/>
  <c r="I833" i="15"/>
  <c r="J833" i="15" s="1"/>
  <c r="H833" i="15"/>
  <c r="O832" i="15"/>
  <c r="P832" i="15" s="1"/>
  <c r="M832" i="15"/>
  <c r="N832" i="15" s="1"/>
  <c r="L832" i="15"/>
  <c r="K832" i="15"/>
  <c r="I832" i="15"/>
  <c r="J832" i="15" s="1"/>
  <c r="H832" i="15"/>
  <c r="O831" i="15"/>
  <c r="P831" i="15" s="1"/>
  <c r="M831" i="15"/>
  <c r="N831" i="15" s="1"/>
  <c r="L831" i="15"/>
  <c r="K831" i="15"/>
  <c r="I831" i="15"/>
  <c r="J831" i="15" s="1"/>
  <c r="H831" i="15"/>
  <c r="O830" i="15"/>
  <c r="P830" i="15" s="1"/>
  <c r="M830" i="15"/>
  <c r="N830" i="15" s="1"/>
  <c r="L830" i="15"/>
  <c r="K830" i="15"/>
  <c r="I830" i="15"/>
  <c r="J830" i="15" s="1"/>
  <c r="H830" i="15"/>
  <c r="O829" i="15"/>
  <c r="P829" i="15" s="1"/>
  <c r="M829" i="15"/>
  <c r="N829" i="15" s="1"/>
  <c r="L829" i="15"/>
  <c r="K829" i="15"/>
  <c r="I829" i="15"/>
  <c r="J829" i="15" s="1"/>
  <c r="H829" i="15"/>
  <c r="O828" i="15"/>
  <c r="P828" i="15" s="1"/>
  <c r="M828" i="15"/>
  <c r="N828" i="15" s="1"/>
  <c r="L828" i="15"/>
  <c r="K828" i="15"/>
  <c r="I828" i="15"/>
  <c r="J828" i="15" s="1"/>
  <c r="H828" i="15"/>
  <c r="O827" i="15"/>
  <c r="P827" i="15" s="1"/>
  <c r="M827" i="15"/>
  <c r="N827" i="15" s="1"/>
  <c r="L827" i="15"/>
  <c r="K827" i="15"/>
  <c r="I827" i="15"/>
  <c r="J827" i="15" s="1"/>
  <c r="H827" i="15"/>
  <c r="O826" i="15"/>
  <c r="P826" i="15" s="1"/>
  <c r="M826" i="15"/>
  <c r="N826" i="15" s="1"/>
  <c r="L826" i="15"/>
  <c r="K826" i="15"/>
  <c r="I826" i="15"/>
  <c r="J826" i="15" s="1"/>
  <c r="H826" i="15"/>
  <c r="O825" i="15"/>
  <c r="P825" i="15" s="1"/>
  <c r="M825" i="15"/>
  <c r="N825" i="15" s="1"/>
  <c r="L825" i="15"/>
  <c r="K825" i="15"/>
  <c r="I825" i="15"/>
  <c r="J825" i="15" s="1"/>
  <c r="H825" i="15"/>
  <c r="O824" i="15"/>
  <c r="P824" i="15" s="1"/>
  <c r="M824" i="15"/>
  <c r="N824" i="15" s="1"/>
  <c r="L824" i="15"/>
  <c r="K824" i="15"/>
  <c r="I824" i="15"/>
  <c r="J824" i="15" s="1"/>
  <c r="H824" i="15"/>
  <c r="O823" i="15"/>
  <c r="P823" i="15" s="1"/>
  <c r="M823" i="15"/>
  <c r="N823" i="15" s="1"/>
  <c r="L823" i="15"/>
  <c r="K823" i="15"/>
  <c r="I823" i="15"/>
  <c r="J823" i="15" s="1"/>
  <c r="H823" i="15"/>
  <c r="O822" i="15"/>
  <c r="P822" i="15" s="1"/>
  <c r="M822" i="15"/>
  <c r="N822" i="15" s="1"/>
  <c r="L822" i="15"/>
  <c r="K822" i="15"/>
  <c r="I822" i="15"/>
  <c r="J822" i="15" s="1"/>
  <c r="H822" i="15"/>
  <c r="O821" i="15"/>
  <c r="P821" i="15" s="1"/>
  <c r="M821" i="15"/>
  <c r="N821" i="15" s="1"/>
  <c r="L821" i="15"/>
  <c r="K821" i="15"/>
  <c r="I821" i="15"/>
  <c r="J821" i="15" s="1"/>
  <c r="H821" i="15"/>
  <c r="O820" i="15"/>
  <c r="P820" i="15" s="1"/>
  <c r="M820" i="15"/>
  <c r="N820" i="15" s="1"/>
  <c r="L820" i="15"/>
  <c r="K820" i="15"/>
  <c r="I820" i="15"/>
  <c r="J820" i="15" s="1"/>
  <c r="H820" i="15"/>
  <c r="O819" i="15"/>
  <c r="P819" i="15" s="1"/>
  <c r="M819" i="15"/>
  <c r="N819" i="15" s="1"/>
  <c r="L819" i="15"/>
  <c r="K819" i="15"/>
  <c r="I819" i="15"/>
  <c r="J819" i="15" s="1"/>
  <c r="H819" i="15"/>
  <c r="O818" i="15"/>
  <c r="P818" i="15" s="1"/>
  <c r="M818" i="15"/>
  <c r="N818" i="15" s="1"/>
  <c r="L818" i="15"/>
  <c r="K818" i="15"/>
  <c r="I818" i="15"/>
  <c r="J818" i="15" s="1"/>
  <c r="H818" i="15"/>
  <c r="O817" i="15"/>
  <c r="P817" i="15" s="1"/>
  <c r="M817" i="15"/>
  <c r="N817" i="15" s="1"/>
  <c r="L817" i="15"/>
  <c r="K817" i="15"/>
  <c r="I817" i="15"/>
  <c r="J817" i="15" s="1"/>
  <c r="H817" i="15"/>
  <c r="O816" i="15"/>
  <c r="P816" i="15" s="1"/>
  <c r="M816" i="15"/>
  <c r="N816" i="15" s="1"/>
  <c r="L816" i="15"/>
  <c r="K816" i="15"/>
  <c r="I816" i="15"/>
  <c r="J816" i="15" s="1"/>
  <c r="H816" i="15"/>
  <c r="O815" i="15"/>
  <c r="P815" i="15" s="1"/>
  <c r="M815" i="15"/>
  <c r="N815" i="15" s="1"/>
  <c r="L815" i="15"/>
  <c r="K815" i="15"/>
  <c r="I815" i="15"/>
  <c r="J815" i="15" s="1"/>
  <c r="H815" i="15"/>
  <c r="O814" i="15"/>
  <c r="P814" i="15" s="1"/>
  <c r="M814" i="15"/>
  <c r="N814" i="15" s="1"/>
  <c r="L814" i="15"/>
  <c r="K814" i="15"/>
  <c r="I814" i="15"/>
  <c r="J814" i="15" s="1"/>
  <c r="H814" i="15"/>
  <c r="O813" i="15"/>
  <c r="P813" i="15" s="1"/>
  <c r="M813" i="15"/>
  <c r="N813" i="15" s="1"/>
  <c r="L813" i="15"/>
  <c r="K813" i="15"/>
  <c r="I813" i="15"/>
  <c r="J813" i="15" s="1"/>
  <c r="H813" i="15"/>
  <c r="O812" i="15"/>
  <c r="P812" i="15" s="1"/>
  <c r="M812" i="15"/>
  <c r="N812" i="15" s="1"/>
  <c r="L812" i="15"/>
  <c r="K812" i="15"/>
  <c r="I812" i="15"/>
  <c r="J812" i="15" s="1"/>
  <c r="H812" i="15"/>
  <c r="O811" i="15"/>
  <c r="P811" i="15" s="1"/>
  <c r="M811" i="15"/>
  <c r="N811" i="15" s="1"/>
  <c r="L811" i="15"/>
  <c r="K811" i="15"/>
  <c r="I811" i="15"/>
  <c r="J811" i="15" s="1"/>
  <c r="H811" i="15"/>
  <c r="O810" i="15"/>
  <c r="P810" i="15" s="1"/>
  <c r="M810" i="15"/>
  <c r="N810" i="15" s="1"/>
  <c r="L810" i="15"/>
  <c r="K810" i="15"/>
  <c r="I810" i="15"/>
  <c r="J810" i="15" s="1"/>
  <c r="H810" i="15"/>
  <c r="O809" i="15"/>
  <c r="P809" i="15" s="1"/>
  <c r="M809" i="15"/>
  <c r="N809" i="15" s="1"/>
  <c r="L809" i="15"/>
  <c r="K809" i="15"/>
  <c r="I809" i="15"/>
  <c r="J809" i="15" s="1"/>
  <c r="H809" i="15"/>
  <c r="O808" i="15"/>
  <c r="P808" i="15" s="1"/>
  <c r="M808" i="15"/>
  <c r="N808" i="15" s="1"/>
  <c r="L808" i="15"/>
  <c r="K808" i="15"/>
  <c r="I808" i="15"/>
  <c r="J808" i="15" s="1"/>
  <c r="H808" i="15"/>
  <c r="O807" i="15"/>
  <c r="P807" i="15" s="1"/>
  <c r="M807" i="15"/>
  <c r="N807" i="15" s="1"/>
  <c r="L807" i="15"/>
  <c r="K807" i="15"/>
  <c r="I807" i="15"/>
  <c r="J807" i="15" s="1"/>
  <c r="H807" i="15"/>
  <c r="O806" i="15"/>
  <c r="P806" i="15" s="1"/>
  <c r="M806" i="15"/>
  <c r="N806" i="15" s="1"/>
  <c r="L806" i="15"/>
  <c r="K806" i="15"/>
  <c r="I806" i="15"/>
  <c r="J806" i="15" s="1"/>
  <c r="H806" i="15"/>
  <c r="O805" i="15"/>
  <c r="P805" i="15" s="1"/>
  <c r="M805" i="15"/>
  <c r="N805" i="15" s="1"/>
  <c r="L805" i="15"/>
  <c r="K805" i="15"/>
  <c r="I805" i="15"/>
  <c r="J805" i="15" s="1"/>
  <c r="H805" i="15"/>
  <c r="O804" i="15"/>
  <c r="P804" i="15" s="1"/>
  <c r="M804" i="15"/>
  <c r="N804" i="15" s="1"/>
  <c r="L804" i="15"/>
  <c r="K804" i="15"/>
  <c r="I804" i="15"/>
  <c r="J804" i="15" s="1"/>
  <c r="H804" i="15"/>
  <c r="O803" i="15"/>
  <c r="P803" i="15" s="1"/>
  <c r="M803" i="15"/>
  <c r="N803" i="15" s="1"/>
  <c r="L803" i="15"/>
  <c r="K803" i="15"/>
  <c r="I803" i="15"/>
  <c r="J803" i="15" s="1"/>
  <c r="H803" i="15"/>
  <c r="O802" i="15"/>
  <c r="P802" i="15" s="1"/>
  <c r="M802" i="15"/>
  <c r="N802" i="15" s="1"/>
  <c r="L802" i="15"/>
  <c r="K802" i="15"/>
  <c r="I802" i="15"/>
  <c r="J802" i="15" s="1"/>
  <c r="H802" i="15"/>
  <c r="O801" i="15"/>
  <c r="P801" i="15" s="1"/>
  <c r="M801" i="15"/>
  <c r="N801" i="15" s="1"/>
  <c r="L801" i="15"/>
  <c r="K801" i="15"/>
  <c r="I801" i="15"/>
  <c r="J801" i="15" s="1"/>
  <c r="H801" i="15"/>
  <c r="O800" i="15"/>
  <c r="P800" i="15" s="1"/>
  <c r="M800" i="15"/>
  <c r="N800" i="15" s="1"/>
  <c r="L800" i="15"/>
  <c r="K800" i="15"/>
  <c r="I800" i="15"/>
  <c r="J800" i="15" s="1"/>
  <c r="H800" i="15"/>
  <c r="O799" i="15"/>
  <c r="P799" i="15" s="1"/>
  <c r="M799" i="15"/>
  <c r="N799" i="15" s="1"/>
  <c r="L799" i="15"/>
  <c r="K799" i="15"/>
  <c r="I799" i="15"/>
  <c r="J799" i="15" s="1"/>
  <c r="H799" i="15"/>
  <c r="O798" i="15"/>
  <c r="P798" i="15" s="1"/>
  <c r="M798" i="15"/>
  <c r="N798" i="15" s="1"/>
  <c r="L798" i="15"/>
  <c r="K798" i="15"/>
  <c r="I798" i="15"/>
  <c r="J798" i="15" s="1"/>
  <c r="H798" i="15"/>
  <c r="O797" i="15"/>
  <c r="P797" i="15" s="1"/>
  <c r="M797" i="15"/>
  <c r="N797" i="15" s="1"/>
  <c r="L797" i="15"/>
  <c r="K797" i="15"/>
  <c r="I797" i="15"/>
  <c r="J797" i="15" s="1"/>
  <c r="H797" i="15"/>
  <c r="O796" i="15"/>
  <c r="P796" i="15" s="1"/>
  <c r="M796" i="15"/>
  <c r="N796" i="15" s="1"/>
  <c r="L796" i="15"/>
  <c r="K796" i="15"/>
  <c r="I796" i="15"/>
  <c r="J796" i="15" s="1"/>
  <c r="H796" i="15"/>
  <c r="O795" i="15"/>
  <c r="P795" i="15" s="1"/>
  <c r="M795" i="15"/>
  <c r="N795" i="15" s="1"/>
  <c r="L795" i="15"/>
  <c r="K795" i="15"/>
  <c r="I795" i="15"/>
  <c r="J795" i="15" s="1"/>
  <c r="H795" i="15"/>
  <c r="O794" i="15"/>
  <c r="P794" i="15" s="1"/>
  <c r="M794" i="15"/>
  <c r="N794" i="15" s="1"/>
  <c r="L794" i="15"/>
  <c r="K794" i="15"/>
  <c r="I794" i="15"/>
  <c r="J794" i="15" s="1"/>
  <c r="H794" i="15"/>
  <c r="O793" i="15"/>
  <c r="P793" i="15" s="1"/>
  <c r="M793" i="15"/>
  <c r="N793" i="15" s="1"/>
  <c r="L793" i="15"/>
  <c r="K793" i="15"/>
  <c r="I793" i="15"/>
  <c r="J793" i="15" s="1"/>
  <c r="H793" i="15"/>
  <c r="O792" i="15"/>
  <c r="P792" i="15" s="1"/>
  <c r="M792" i="15"/>
  <c r="N792" i="15" s="1"/>
  <c r="L792" i="15"/>
  <c r="K792" i="15"/>
  <c r="I792" i="15"/>
  <c r="J792" i="15" s="1"/>
  <c r="H792" i="15"/>
  <c r="O791" i="15"/>
  <c r="P791" i="15" s="1"/>
  <c r="M791" i="15"/>
  <c r="N791" i="15" s="1"/>
  <c r="L791" i="15"/>
  <c r="K791" i="15"/>
  <c r="I791" i="15"/>
  <c r="J791" i="15" s="1"/>
  <c r="H791" i="15"/>
  <c r="O790" i="15"/>
  <c r="P790" i="15" s="1"/>
  <c r="M790" i="15"/>
  <c r="N790" i="15" s="1"/>
  <c r="L790" i="15"/>
  <c r="K790" i="15"/>
  <c r="I790" i="15"/>
  <c r="J790" i="15" s="1"/>
  <c r="H790" i="15"/>
  <c r="O789" i="15"/>
  <c r="P789" i="15" s="1"/>
  <c r="M789" i="15"/>
  <c r="N789" i="15" s="1"/>
  <c r="L789" i="15"/>
  <c r="K789" i="15"/>
  <c r="I789" i="15"/>
  <c r="J789" i="15" s="1"/>
  <c r="H789" i="15"/>
  <c r="O788" i="15"/>
  <c r="P788" i="15" s="1"/>
  <c r="M788" i="15"/>
  <c r="N788" i="15" s="1"/>
  <c r="L788" i="15"/>
  <c r="K788" i="15"/>
  <c r="I788" i="15"/>
  <c r="J788" i="15" s="1"/>
  <c r="H788" i="15"/>
  <c r="O787" i="15"/>
  <c r="P787" i="15" s="1"/>
  <c r="M787" i="15"/>
  <c r="N787" i="15" s="1"/>
  <c r="L787" i="15"/>
  <c r="K787" i="15"/>
  <c r="I787" i="15"/>
  <c r="J787" i="15" s="1"/>
  <c r="H787" i="15"/>
  <c r="O786" i="15"/>
  <c r="P786" i="15" s="1"/>
  <c r="M786" i="15"/>
  <c r="N786" i="15" s="1"/>
  <c r="L786" i="15"/>
  <c r="K786" i="15"/>
  <c r="I786" i="15"/>
  <c r="J786" i="15" s="1"/>
  <c r="H786" i="15"/>
  <c r="O785" i="15"/>
  <c r="P785" i="15" s="1"/>
  <c r="M785" i="15"/>
  <c r="N785" i="15" s="1"/>
  <c r="L785" i="15"/>
  <c r="K785" i="15"/>
  <c r="I785" i="15"/>
  <c r="J785" i="15" s="1"/>
  <c r="H785" i="15"/>
  <c r="O784" i="15"/>
  <c r="P784" i="15" s="1"/>
  <c r="M784" i="15"/>
  <c r="N784" i="15" s="1"/>
  <c r="L784" i="15"/>
  <c r="K784" i="15"/>
  <c r="I784" i="15"/>
  <c r="J784" i="15" s="1"/>
  <c r="H784" i="15"/>
  <c r="O783" i="15"/>
  <c r="P783" i="15" s="1"/>
  <c r="M783" i="15"/>
  <c r="N783" i="15" s="1"/>
  <c r="L783" i="15"/>
  <c r="K783" i="15"/>
  <c r="I783" i="15"/>
  <c r="J783" i="15" s="1"/>
  <c r="H783" i="15"/>
  <c r="O782" i="15"/>
  <c r="P782" i="15" s="1"/>
  <c r="M782" i="15"/>
  <c r="N782" i="15" s="1"/>
  <c r="L782" i="15"/>
  <c r="K782" i="15"/>
  <c r="I782" i="15"/>
  <c r="J782" i="15" s="1"/>
  <c r="H782" i="15"/>
  <c r="O781" i="15"/>
  <c r="P781" i="15" s="1"/>
  <c r="M781" i="15"/>
  <c r="N781" i="15" s="1"/>
  <c r="L781" i="15"/>
  <c r="K781" i="15"/>
  <c r="I781" i="15"/>
  <c r="J781" i="15" s="1"/>
  <c r="H781" i="15"/>
  <c r="O780" i="15"/>
  <c r="P780" i="15" s="1"/>
  <c r="M780" i="15"/>
  <c r="N780" i="15" s="1"/>
  <c r="L780" i="15"/>
  <c r="K780" i="15"/>
  <c r="I780" i="15"/>
  <c r="J780" i="15" s="1"/>
  <c r="H780" i="15"/>
  <c r="O779" i="15"/>
  <c r="P779" i="15" s="1"/>
  <c r="M779" i="15"/>
  <c r="N779" i="15" s="1"/>
  <c r="L779" i="15"/>
  <c r="K779" i="15"/>
  <c r="I779" i="15"/>
  <c r="J779" i="15" s="1"/>
  <c r="H779" i="15"/>
  <c r="O778" i="15"/>
  <c r="P778" i="15" s="1"/>
  <c r="M778" i="15"/>
  <c r="N778" i="15" s="1"/>
  <c r="L778" i="15"/>
  <c r="K778" i="15"/>
  <c r="I778" i="15"/>
  <c r="J778" i="15" s="1"/>
  <c r="H778" i="15"/>
  <c r="O777" i="15"/>
  <c r="P777" i="15" s="1"/>
  <c r="M777" i="15"/>
  <c r="N777" i="15" s="1"/>
  <c r="L777" i="15"/>
  <c r="K777" i="15"/>
  <c r="I777" i="15"/>
  <c r="J777" i="15" s="1"/>
  <c r="H777" i="15"/>
  <c r="O776" i="15"/>
  <c r="P776" i="15" s="1"/>
  <c r="M776" i="15"/>
  <c r="N776" i="15" s="1"/>
  <c r="L776" i="15"/>
  <c r="K776" i="15"/>
  <c r="I776" i="15"/>
  <c r="J776" i="15" s="1"/>
  <c r="H776" i="15"/>
  <c r="O775" i="15"/>
  <c r="P775" i="15" s="1"/>
  <c r="M775" i="15"/>
  <c r="N775" i="15" s="1"/>
  <c r="L775" i="15"/>
  <c r="K775" i="15"/>
  <c r="I775" i="15"/>
  <c r="J775" i="15" s="1"/>
  <c r="H775" i="15"/>
  <c r="O774" i="15"/>
  <c r="P774" i="15" s="1"/>
  <c r="M774" i="15"/>
  <c r="N774" i="15" s="1"/>
  <c r="L774" i="15"/>
  <c r="K774" i="15"/>
  <c r="I774" i="15"/>
  <c r="J774" i="15" s="1"/>
  <c r="H774" i="15"/>
  <c r="O773" i="15"/>
  <c r="P773" i="15" s="1"/>
  <c r="M773" i="15"/>
  <c r="N773" i="15" s="1"/>
  <c r="L773" i="15"/>
  <c r="K773" i="15"/>
  <c r="I773" i="15"/>
  <c r="J773" i="15" s="1"/>
  <c r="H773" i="15"/>
  <c r="O772" i="15"/>
  <c r="P772" i="15" s="1"/>
  <c r="M772" i="15"/>
  <c r="N772" i="15" s="1"/>
  <c r="L772" i="15"/>
  <c r="K772" i="15"/>
  <c r="I772" i="15"/>
  <c r="J772" i="15" s="1"/>
  <c r="H772" i="15"/>
  <c r="O771" i="15"/>
  <c r="P771" i="15" s="1"/>
  <c r="M771" i="15"/>
  <c r="N771" i="15" s="1"/>
  <c r="L771" i="15"/>
  <c r="K771" i="15"/>
  <c r="I771" i="15"/>
  <c r="J771" i="15" s="1"/>
  <c r="H771" i="15"/>
  <c r="O770" i="15"/>
  <c r="P770" i="15" s="1"/>
  <c r="M770" i="15"/>
  <c r="N770" i="15" s="1"/>
  <c r="L770" i="15"/>
  <c r="K770" i="15"/>
  <c r="I770" i="15"/>
  <c r="J770" i="15" s="1"/>
  <c r="H770" i="15"/>
  <c r="O769" i="15"/>
  <c r="P769" i="15" s="1"/>
  <c r="M769" i="15"/>
  <c r="N769" i="15" s="1"/>
  <c r="L769" i="15"/>
  <c r="K769" i="15"/>
  <c r="I769" i="15"/>
  <c r="J769" i="15" s="1"/>
  <c r="H769" i="15"/>
  <c r="O768" i="15"/>
  <c r="P768" i="15" s="1"/>
  <c r="M768" i="15"/>
  <c r="N768" i="15" s="1"/>
  <c r="L768" i="15"/>
  <c r="K768" i="15"/>
  <c r="I768" i="15"/>
  <c r="J768" i="15" s="1"/>
  <c r="H768" i="15"/>
  <c r="O767" i="15"/>
  <c r="P767" i="15" s="1"/>
  <c r="M767" i="15"/>
  <c r="N767" i="15" s="1"/>
  <c r="L767" i="15"/>
  <c r="K767" i="15"/>
  <c r="I767" i="15"/>
  <c r="J767" i="15" s="1"/>
  <c r="H767" i="15"/>
  <c r="O766" i="15"/>
  <c r="P766" i="15" s="1"/>
  <c r="M766" i="15"/>
  <c r="N766" i="15" s="1"/>
  <c r="L766" i="15"/>
  <c r="K766" i="15"/>
  <c r="I766" i="15"/>
  <c r="J766" i="15" s="1"/>
  <c r="H766" i="15"/>
  <c r="O765" i="15"/>
  <c r="P765" i="15" s="1"/>
  <c r="M765" i="15"/>
  <c r="N765" i="15" s="1"/>
  <c r="L765" i="15"/>
  <c r="K765" i="15"/>
  <c r="I765" i="15"/>
  <c r="J765" i="15" s="1"/>
  <c r="H765" i="15"/>
  <c r="O764" i="15"/>
  <c r="P764" i="15" s="1"/>
  <c r="M764" i="15"/>
  <c r="N764" i="15" s="1"/>
  <c r="L764" i="15"/>
  <c r="K764" i="15"/>
  <c r="I764" i="15"/>
  <c r="J764" i="15" s="1"/>
  <c r="H764" i="15"/>
  <c r="O763" i="15"/>
  <c r="P763" i="15" s="1"/>
  <c r="M763" i="15"/>
  <c r="N763" i="15" s="1"/>
  <c r="L763" i="15"/>
  <c r="K763" i="15"/>
  <c r="I763" i="15"/>
  <c r="J763" i="15" s="1"/>
  <c r="H763" i="15"/>
  <c r="O762" i="15"/>
  <c r="P762" i="15" s="1"/>
  <c r="M762" i="15"/>
  <c r="N762" i="15" s="1"/>
  <c r="L762" i="15"/>
  <c r="K762" i="15"/>
  <c r="I762" i="15"/>
  <c r="J762" i="15" s="1"/>
  <c r="H762" i="15"/>
  <c r="O761" i="15"/>
  <c r="P761" i="15" s="1"/>
  <c r="M761" i="15"/>
  <c r="N761" i="15" s="1"/>
  <c r="L761" i="15"/>
  <c r="K761" i="15"/>
  <c r="I761" i="15"/>
  <c r="J761" i="15" s="1"/>
  <c r="H761" i="15"/>
  <c r="O760" i="15"/>
  <c r="P760" i="15" s="1"/>
  <c r="M760" i="15"/>
  <c r="N760" i="15" s="1"/>
  <c r="L760" i="15"/>
  <c r="K760" i="15"/>
  <c r="I760" i="15"/>
  <c r="J760" i="15" s="1"/>
  <c r="H760" i="15"/>
  <c r="O759" i="15"/>
  <c r="P759" i="15" s="1"/>
  <c r="M759" i="15"/>
  <c r="N759" i="15" s="1"/>
  <c r="L759" i="15"/>
  <c r="K759" i="15"/>
  <c r="I759" i="15"/>
  <c r="J759" i="15" s="1"/>
  <c r="H759" i="15"/>
  <c r="O758" i="15"/>
  <c r="P758" i="15" s="1"/>
  <c r="M758" i="15"/>
  <c r="N758" i="15" s="1"/>
  <c r="L758" i="15"/>
  <c r="K758" i="15"/>
  <c r="I758" i="15"/>
  <c r="J758" i="15" s="1"/>
  <c r="H758" i="15"/>
  <c r="O757" i="15"/>
  <c r="P757" i="15" s="1"/>
  <c r="M757" i="15"/>
  <c r="N757" i="15" s="1"/>
  <c r="L757" i="15"/>
  <c r="K757" i="15"/>
  <c r="I757" i="15"/>
  <c r="J757" i="15" s="1"/>
  <c r="H757" i="15"/>
  <c r="O756" i="15"/>
  <c r="P756" i="15" s="1"/>
  <c r="M756" i="15"/>
  <c r="N756" i="15" s="1"/>
  <c r="L756" i="15"/>
  <c r="K756" i="15"/>
  <c r="I756" i="15"/>
  <c r="J756" i="15" s="1"/>
  <c r="H756" i="15"/>
  <c r="O755" i="15"/>
  <c r="P755" i="15" s="1"/>
  <c r="M755" i="15"/>
  <c r="N755" i="15" s="1"/>
  <c r="L755" i="15"/>
  <c r="K755" i="15"/>
  <c r="I755" i="15"/>
  <c r="J755" i="15" s="1"/>
  <c r="H755" i="15"/>
  <c r="O754" i="15"/>
  <c r="P754" i="15" s="1"/>
  <c r="M754" i="15"/>
  <c r="N754" i="15" s="1"/>
  <c r="L754" i="15"/>
  <c r="K754" i="15"/>
  <c r="I754" i="15"/>
  <c r="J754" i="15" s="1"/>
  <c r="H754" i="15"/>
  <c r="O753" i="15"/>
  <c r="P753" i="15" s="1"/>
  <c r="M753" i="15"/>
  <c r="N753" i="15" s="1"/>
  <c r="L753" i="15"/>
  <c r="K753" i="15"/>
  <c r="I753" i="15"/>
  <c r="J753" i="15" s="1"/>
  <c r="H753" i="15"/>
  <c r="O752" i="15"/>
  <c r="P752" i="15" s="1"/>
  <c r="M752" i="15"/>
  <c r="N752" i="15" s="1"/>
  <c r="L752" i="15"/>
  <c r="K752" i="15"/>
  <c r="I752" i="15"/>
  <c r="J752" i="15" s="1"/>
  <c r="H752" i="15"/>
  <c r="O751" i="15"/>
  <c r="P751" i="15" s="1"/>
  <c r="M751" i="15"/>
  <c r="N751" i="15" s="1"/>
  <c r="L751" i="15"/>
  <c r="K751" i="15"/>
  <c r="I751" i="15"/>
  <c r="J751" i="15" s="1"/>
  <c r="H751" i="15"/>
  <c r="O750" i="15"/>
  <c r="P750" i="15" s="1"/>
  <c r="M750" i="15"/>
  <c r="N750" i="15" s="1"/>
  <c r="L750" i="15"/>
  <c r="K750" i="15"/>
  <c r="I750" i="15"/>
  <c r="J750" i="15" s="1"/>
  <c r="H750" i="15"/>
  <c r="O749" i="15"/>
  <c r="P749" i="15" s="1"/>
  <c r="M749" i="15"/>
  <c r="N749" i="15" s="1"/>
  <c r="L749" i="15"/>
  <c r="K749" i="15"/>
  <c r="I749" i="15"/>
  <c r="J749" i="15" s="1"/>
  <c r="H749" i="15"/>
  <c r="O748" i="15"/>
  <c r="P748" i="15" s="1"/>
  <c r="M748" i="15"/>
  <c r="N748" i="15" s="1"/>
  <c r="L748" i="15"/>
  <c r="K748" i="15"/>
  <c r="I748" i="15"/>
  <c r="J748" i="15" s="1"/>
  <c r="H748" i="15"/>
  <c r="O747" i="15"/>
  <c r="P747" i="15" s="1"/>
  <c r="M747" i="15"/>
  <c r="N747" i="15" s="1"/>
  <c r="L747" i="15"/>
  <c r="K747" i="15"/>
  <c r="I747" i="15"/>
  <c r="J747" i="15" s="1"/>
  <c r="H747" i="15"/>
  <c r="O746" i="15"/>
  <c r="P746" i="15" s="1"/>
  <c r="M746" i="15"/>
  <c r="N746" i="15" s="1"/>
  <c r="L746" i="15"/>
  <c r="K746" i="15"/>
  <c r="I746" i="15"/>
  <c r="J746" i="15" s="1"/>
  <c r="H746" i="15"/>
  <c r="O745" i="15"/>
  <c r="P745" i="15" s="1"/>
  <c r="M745" i="15"/>
  <c r="N745" i="15" s="1"/>
  <c r="L745" i="15"/>
  <c r="K745" i="15"/>
  <c r="I745" i="15"/>
  <c r="J745" i="15" s="1"/>
  <c r="H745" i="15"/>
  <c r="O744" i="15"/>
  <c r="P744" i="15" s="1"/>
  <c r="M744" i="15"/>
  <c r="N744" i="15" s="1"/>
  <c r="L744" i="15"/>
  <c r="K744" i="15"/>
  <c r="I744" i="15"/>
  <c r="J744" i="15" s="1"/>
  <c r="H744" i="15"/>
  <c r="O743" i="15"/>
  <c r="P743" i="15" s="1"/>
  <c r="M743" i="15"/>
  <c r="N743" i="15" s="1"/>
  <c r="L743" i="15"/>
  <c r="K743" i="15"/>
  <c r="I743" i="15"/>
  <c r="J743" i="15" s="1"/>
  <c r="H743" i="15"/>
  <c r="O742" i="15"/>
  <c r="P742" i="15" s="1"/>
  <c r="M742" i="15"/>
  <c r="N742" i="15" s="1"/>
  <c r="L742" i="15"/>
  <c r="K742" i="15"/>
  <c r="I742" i="15"/>
  <c r="J742" i="15" s="1"/>
  <c r="H742" i="15"/>
  <c r="O741" i="15"/>
  <c r="P741" i="15" s="1"/>
  <c r="M741" i="15"/>
  <c r="N741" i="15" s="1"/>
  <c r="L741" i="15"/>
  <c r="K741" i="15"/>
  <c r="I741" i="15"/>
  <c r="J741" i="15" s="1"/>
  <c r="H741" i="15"/>
  <c r="O740" i="15"/>
  <c r="P740" i="15" s="1"/>
  <c r="M740" i="15"/>
  <c r="N740" i="15" s="1"/>
  <c r="L740" i="15"/>
  <c r="K740" i="15"/>
  <c r="I740" i="15"/>
  <c r="J740" i="15" s="1"/>
  <c r="H740" i="15"/>
  <c r="O739" i="15"/>
  <c r="P739" i="15" s="1"/>
  <c r="M739" i="15"/>
  <c r="N739" i="15" s="1"/>
  <c r="L739" i="15"/>
  <c r="K739" i="15"/>
  <c r="I739" i="15"/>
  <c r="J739" i="15" s="1"/>
  <c r="H739" i="15"/>
  <c r="O738" i="15"/>
  <c r="P738" i="15" s="1"/>
  <c r="M738" i="15"/>
  <c r="N738" i="15" s="1"/>
  <c r="L738" i="15"/>
  <c r="K738" i="15"/>
  <c r="I738" i="15"/>
  <c r="J738" i="15" s="1"/>
  <c r="H738" i="15"/>
  <c r="O737" i="15"/>
  <c r="P737" i="15" s="1"/>
  <c r="M737" i="15"/>
  <c r="N737" i="15" s="1"/>
  <c r="L737" i="15"/>
  <c r="K737" i="15"/>
  <c r="I737" i="15"/>
  <c r="J737" i="15" s="1"/>
  <c r="H737" i="15"/>
  <c r="O736" i="15"/>
  <c r="P736" i="15" s="1"/>
  <c r="M736" i="15"/>
  <c r="N736" i="15" s="1"/>
  <c r="L736" i="15"/>
  <c r="K736" i="15"/>
  <c r="I736" i="15"/>
  <c r="J736" i="15" s="1"/>
  <c r="H736" i="15"/>
  <c r="O735" i="15"/>
  <c r="P735" i="15" s="1"/>
  <c r="M735" i="15"/>
  <c r="N735" i="15" s="1"/>
  <c r="L735" i="15"/>
  <c r="K735" i="15"/>
  <c r="I735" i="15"/>
  <c r="J735" i="15" s="1"/>
  <c r="H735" i="15"/>
  <c r="O734" i="15"/>
  <c r="P734" i="15" s="1"/>
  <c r="M734" i="15"/>
  <c r="N734" i="15" s="1"/>
  <c r="L734" i="15"/>
  <c r="K734" i="15"/>
  <c r="I734" i="15"/>
  <c r="J734" i="15" s="1"/>
  <c r="H734" i="15"/>
  <c r="O733" i="15"/>
  <c r="P733" i="15" s="1"/>
  <c r="M733" i="15"/>
  <c r="N733" i="15" s="1"/>
  <c r="L733" i="15"/>
  <c r="K733" i="15"/>
  <c r="I733" i="15"/>
  <c r="J733" i="15" s="1"/>
  <c r="H733" i="15"/>
  <c r="O732" i="15"/>
  <c r="P732" i="15" s="1"/>
  <c r="M732" i="15"/>
  <c r="N732" i="15" s="1"/>
  <c r="L732" i="15"/>
  <c r="K732" i="15"/>
  <c r="I732" i="15"/>
  <c r="J732" i="15" s="1"/>
  <c r="H732" i="15"/>
  <c r="O731" i="15"/>
  <c r="P731" i="15" s="1"/>
  <c r="M731" i="15"/>
  <c r="N731" i="15" s="1"/>
  <c r="L731" i="15"/>
  <c r="K731" i="15"/>
  <c r="I731" i="15"/>
  <c r="J731" i="15" s="1"/>
  <c r="H731" i="15"/>
  <c r="O730" i="15"/>
  <c r="P730" i="15" s="1"/>
  <c r="M730" i="15"/>
  <c r="N730" i="15" s="1"/>
  <c r="L730" i="15"/>
  <c r="K730" i="15"/>
  <c r="I730" i="15"/>
  <c r="J730" i="15" s="1"/>
  <c r="H730" i="15"/>
  <c r="O729" i="15"/>
  <c r="P729" i="15" s="1"/>
  <c r="M729" i="15"/>
  <c r="N729" i="15" s="1"/>
  <c r="L729" i="15"/>
  <c r="K729" i="15"/>
  <c r="I729" i="15"/>
  <c r="J729" i="15" s="1"/>
  <c r="H729" i="15"/>
  <c r="O728" i="15"/>
  <c r="P728" i="15" s="1"/>
  <c r="M728" i="15"/>
  <c r="N728" i="15" s="1"/>
  <c r="L728" i="15"/>
  <c r="K728" i="15"/>
  <c r="I728" i="15"/>
  <c r="J728" i="15" s="1"/>
  <c r="H728" i="15"/>
  <c r="O727" i="15"/>
  <c r="P727" i="15" s="1"/>
  <c r="M727" i="15"/>
  <c r="N727" i="15" s="1"/>
  <c r="L727" i="15"/>
  <c r="K727" i="15"/>
  <c r="I727" i="15"/>
  <c r="J727" i="15" s="1"/>
  <c r="H727" i="15"/>
  <c r="O726" i="15"/>
  <c r="P726" i="15" s="1"/>
  <c r="M726" i="15"/>
  <c r="N726" i="15" s="1"/>
  <c r="L726" i="15"/>
  <c r="K726" i="15"/>
  <c r="I726" i="15"/>
  <c r="J726" i="15" s="1"/>
  <c r="H726" i="15"/>
  <c r="O725" i="15"/>
  <c r="P725" i="15" s="1"/>
  <c r="M725" i="15"/>
  <c r="N725" i="15" s="1"/>
  <c r="L725" i="15"/>
  <c r="K725" i="15"/>
  <c r="I725" i="15"/>
  <c r="J725" i="15" s="1"/>
  <c r="H725" i="15"/>
  <c r="O724" i="15"/>
  <c r="P724" i="15" s="1"/>
  <c r="M724" i="15"/>
  <c r="N724" i="15" s="1"/>
  <c r="L724" i="15"/>
  <c r="K724" i="15"/>
  <c r="I724" i="15"/>
  <c r="J724" i="15" s="1"/>
  <c r="H724" i="15"/>
  <c r="O723" i="15"/>
  <c r="P723" i="15" s="1"/>
  <c r="M723" i="15"/>
  <c r="N723" i="15" s="1"/>
  <c r="L723" i="15"/>
  <c r="K723" i="15"/>
  <c r="I723" i="15"/>
  <c r="J723" i="15" s="1"/>
  <c r="H723" i="15"/>
  <c r="O722" i="15"/>
  <c r="P722" i="15" s="1"/>
  <c r="M722" i="15"/>
  <c r="N722" i="15" s="1"/>
  <c r="L722" i="15"/>
  <c r="K722" i="15"/>
  <c r="I722" i="15"/>
  <c r="J722" i="15" s="1"/>
  <c r="H722" i="15"/>
  <c r="O721" i="15"/>
  <c r="P721" i="15" s="1"/>
  <c r="M721" i="15"/>
  <c r="N721" i="15" s="1"/>
  <c r="L721" i="15"/>
  <c r="K721" i="15"/>
  <c r="I721" i="15"/>
  <c r="J721" i="15" s="1"/>
  <c r="H721" i="15"/>
  <c r="O720" i="15"/>
  <c r="P720" i="15" s="1"/>
  <c r="M720" i="15"/>
  <c r="N720" i="15" s="1"/>
  <c r="L720" i="15"/>
  <c r="K720" i="15"/>
  <c r="I720" i="15"/>
  <c r="J720" i="15" s="1"/>
  <c r="H720" i="15"/>
  <c r="O719" i="15"/>
  <c r="P719" i="15" s="1"/>
  <c r="M719" i="15"/>
  <c r="N719" i="15" s="1"/>
  <c r="L719" i="15"/>
  <c r="K719" i="15"/>
  <c r="I719" i="15"/>
  <c r="J719" i="15" s="1"/>
  <c r="H719" i="15"/>
  <c r="O718" i="15"/>
  <c r="P718" i="15" s="1"/>
  <c r="M718" i="15"/>
  <c r="N718" i="15" s="1"/>
  <c r="L718" i="15"/>
  <c r="K718" i="15"/>
  <c r="I718" i="15"/>
  <c r="J718" i="15" s="1"/>
  <c r="H718" i="15"/>
  <c r="O717" i="15"/>
  <c r="P717" i="15" s="1"/>
  <c r="M717" i="15"/>
  <c r="N717" i="15" s="1"/>
  <c r="L717" i="15"/>
  <c r="K717" i="15"/>
  <c r="I717" i="15"/>
  <c r="J717" i="15" s="1"/>
  <c r="H717" i="15"/>
  <c r="O716" i="15"/>
  <c r="P716" i="15" s="1"/>
  <c r="M716" i="15"/>
  <c r="N716" i="15" s="1"/>
  <c r="L716" i="15"/>
  <c r="K716" i="15"/>
  <c r="I716" i="15"/>
  <c r="J716" i="15" s="1"/>
  <c r="H716" i="15"/>
  <c r="O715" i="15"/>
  <c r="P715" i="15" s="1"/>
  <c r="M715" i="15"/>
  <c r="N715" i="15" s="1"/>
  <c r="L715" i="15"/>
  <c r="K715" i="15"/>
  <c r="I715" i="15"/>
  <c r="J715" i="15" s="1"/>
  <c r="H715" i="15"/>
  <c r="O714" i="15"/>
  <c r="P714" i="15" s="1"/>
  <c r="M714" i="15"/>
  <c r="N714" i="15" s="1"/>
  <c r="L714" i="15"/>
  <c r="K714" i="15"/>
  <c r="I714" i="15"/>
  <c r="J714" i="15" s="1"/>
  <c r="H714" i="15"/>
  <c r="O713" i="15"/>
  <c r="P713" i="15" s="1"/>
  <c r="M713" i="15"/>
  <c r="N713" i="15" s="1"/>
  <c r="L713" i="15"/>
  <c r="K713" i="15"/>
  <c r="I713" i="15"/>
  <c r="J713" i="15" s="1"/>
  <c r="H713" i="15"/>
  <c r="O712" i="15"/>
  <c r="P712" i="15" s="1"/>
  <c r="M712" i="15"/>
  <c r="N712" i="15" s="1"/>
  <c r="L712" i="15"/>
  <c r="K712" i="15"/>
  <c r="I712" i="15"/>
  <c r="J712" i="15" s="1"/>
  <c r="H712" i="15"/>
  <c r="O711" i="15"/>
  <c r="P711" i="15" s="1"/>
  <c r="M711" i="15"/>
  <c r="N711" i="15" s="1"/>
  <c r="L711" i="15"/>
  <c r="K711" i="15"/>
  <c r="I711" i="15"/>
  <c r="J711" i="15" s="1"/>
  <c r="H711" i="15"/>
  <c r="O710" i="15"/>
  <c r="P710" i="15" s="1"/>
  <c r="M710" i="15"/>
  <c r="N710" i="15" s="1"/>
  <c r="L710" i="15"/>
  <c r="K710" i="15"/>
  <c r="I710" i="15"/>
  <c r="J710" i="15" s="1"/>
  <c r="H710" i="15"/>
  <c r="O709" i="15"/>
  <c r="P709" i="15" s="1"/>
  <c r="M709" i="15"/>
  <c r="N709" i="15" s="1"/>
  <c r="L709" i="15"/>
  <c r="K709" i="15"/>
  <c r="I709" i="15"/>
  <c r="J709" i="15" s="1"/>
  <c r="H709" i="15"/>
  <c r="O708" i="15"/>
  <c r="P708" i="15" s="1"/>
  <c r="M708" i="15"/>
  <c r="N708" i="15" s="1"/>
  <c r="L708" i="15"/>
  <c r="K708" i="15"/>
  <c r="I708" i="15"/>
  <c r="J708" i="15" s="1"/>
  <c r="H708" i="15"/>
  <c r="O707" i="15"/>
  <c r="P707" i="15" s="1"/>
  <c r="M707" i="15"/>
  <c r="N707" i="15" s="1"/>
  <c r="L707" i="15"/>
  <c r="K707" i="15"/>
  <c r="I707" i="15"/>
  <c r="J707" i="15" s="1"/>
  <c r="H707" i="15"/>
  <c r="O706" i="15"/>
  <c r="P706" i="15" s="1"/>
  <c r="M706" i="15"/>
  <c r="N706" i="15" s="1"/>
  <c r="L706" i="15"/>
  <c r="K706" i="15"/>
  <c r="I706" i="15"/>
  <c r="J706" i="15" s="1"/>
  <c r="H706" i="15"/>
  <c r="O705" i="15"/>
  <c r="P705" i="15" s="1"/>
  <c r="M705" i="15"/>
  <c r="N705" i="15" s="1"/>
  <c r="L705" i="15"/>
  <c r="K705" i="15"/>
  <c r="I705" i="15"/>
  <c r="J705" i="15" s="1"/>
  <c r="H705" i="15"/>
  <c r="O704" i="15"/>
  <c r="P704" i="15" s="1"/>
  <c r="M704" i="15"/>
  <c r="N704" i="15" s="1"/>
  <c r="L704" i="15"/>
  <c r="K704" i="15"/>
  <c r="I704" i="15"/>
  <c r="J704" i="15" s="1"/>
  <c r="H704" i="15"/>
  <c r="O703" i="15"/>
  <c r="P703" i="15" s="1"/>
  <c r="M703" i="15"/>
  <c r="N703" i="15" s="1"/>
  <c r="L703" i="15"/>
  <c r="K703" i="15"/>
  <c r="I703" i="15"/>
  <c r="J703" i="15" s="1"/>
  <c r="H703" i="15"/>
  <c r="O702" i="15"/>
  <c r="P702" i="15" s="1"/>
  <c r="M702" i="15"/>
  <c r="N702" i="15" s="1"/>
  <c r="L702" i="15"/>
  <c r="K702" i="15"/>
  <c r="I702" i="15"/>
  <c r="J702" i="15" s="1"/>
  <c r="H702" i="15"/>
  <c r="O701" i="15"/>
  <c r="P701" i="15" s="1"/>
  <c r="M701" i="15"/>
  <c r="N701" i="15" s="1"/>
  <c r="L701" i="15"/>
  <c r="K701" i="15"/>
  <c r="I701" i="15"/>
  <c r="J701" i="15" s="1"/>
  <c r="H701" i="15"/>
  <c r="O700" i="15"/>
  <c r="P700" i="15" s="1"/>
  <c r="M700" i="15"/>
  <c r="N700" i="15" s="1"/>
  <c r="L700" i="15"/>
  <c r="K700" i="15"/>
  <c r="I700" i="15"/>
  <c r="J700" i="15" s="1"/>
  <c r="H700" i="15"/>
  <c r="O699" i="15"/>
  <c r="P699" i="15" s="1"/>
  <c r="M699" i="15"/>
  <c r="N699" i="15" s="1"/>
  <c r="L699" i="15"/>
  <c r="K699" i="15"/>
  <c r="I699" i="15"/>
  <c r="J699" i="15" s="1"/>
  <c r="H699" i="15"/>
  <c r="O698" i="15"/>
  <c r="P698" i="15" s="1"/>
  <c r="M698" i="15"/>
  <c r="N698" i="15" s="1"/>
  <c r="L698" i="15"/>
  <c r="K698" i="15"/>
  <c r="I698" i="15"/>
  <c r="J698" i="15" s="1"/>
  <c r="H698" i="15"/>
  <c r="O697" i="15"/>
  <c r="P697" i="15" s="1"/>
  <c r="M697" i="15"/>
  <c r="N697" i="15" s="1"/>
  <c r="L697" i="15"/>
  <c r="K697" i="15"/>
  <c r="I697" i="15"/>
  <c r="J697" i="15" s="1"/>
  <c r="H697" i="15"/>
  <c r="O696" i="15"/>
  <c r="P696" i="15" s="1"/>
  <c r="M696" i="15"/>
  <c r="N696" i="15" s="1"/>
  <c r="L696" i="15"/>
  <c r="K696" i="15"/>
  <c r="I696" i="15"/>
  <c r="J696" i="15" s="1"/>
  <c r="H696" i="15"/>
  <c r="O695" i="15"/>
  <c r="P695" i="15" s="1"/>
  <c r="M695" i="15"/>
  <c r="N695" i="15" s="1"/>
  <c r="L695" i="15"/>
  <c r="K695" i="15"/>
  <c r="I695" i="15"/>
  <c r="J695" i="15" s="1"/>
  <c r="H695" i="15"/>
  <c r="O694" i="15"/>
  <c r="P694" i="15" s="1"/>
  <c r="M694" i="15"/>
  <c r="N694" i="15" s="1"/>
  <c r="L694" i="15"/>
  <c r="K694" i="15"/>
  <c r="I694" i="15"/>
  <c r="J694" i="15" s="1"/>
  <c r="H694" i="15"/>
  <c r="O693" i="15"/>
  <c r="P693" i="15" s="1"/>
  <c r="M693" i="15"/>
  <c r="N693" i="15" s="1"/>
  <c r="L693" i="15"/>
  <c r="K693" i="15"/>
  <c r="I693" i="15"/>
  <c r="J693" i="15" s="1"/>
  <c r="H693" i="15"/>
  <c r="O692" i="15"/>
  <c r="P692" i="15" s="1"/>
  <c r="M692" i="15"/>
  <c r="N692" i="15" s="1"/>
  <c r="L692" i="15"/>
  <c r="K692" i="15"/>
  <c r="I692" i="15"/>
  <c r="J692" i="15" s="1"/>
  <c r="H692" i="15"/>
  <c r="O691" i="15"/>
  <c r="P691" i="15" s="1"/>
  <c r="M691" i="15"/>
  <c r="N691" i="15" s="1"/>
  <c r="L691" i="15"/>
  <c r="K691" i="15"/>
  <c r="I691" i="15"/>
  <c r="J691" i="15" s="1"/>
  <c r="H691" i="15"/>
  <c r="O690" i="15"/>
  <c r="P690" i="15" s="1"/>
  <c r="M690" i="15"/>
  <c r="N690" i="15" s="1"/>
  <c r="L690" i="15"/>
  <c r="K690" i="15"/>
  <c r="I690" i="15"/>
  <c r="J690" i="15" s="1"/>
  <c r="H690" i="15"/>
  <c r="O689" i="15"/>
  <c r="P689" i="15" s="1"/>
  <c r="M689" i="15"/>
  <c r="N689" i="15" s="1"/>
  <c r="L689" i="15"/>
  <c r="K689" i="15"/>
  <c r="I689" i="15"/>
  <c r="J689" i="15" s="1"/>
  <c r="H689" i="15"/>
  <c r="O688" i="15"/>
  <c r="P688" i="15" s="1"/>
  <c r="M688" i="15"/>
  <c r="N688" i="15" s="1"/>
  <c r="L688" i="15"/>
  <c r="K688" i="15"/>
  <c r="I688" i="15"/>
  <c r="J688" i="15" s="1"/>
  <c r="H688" i="15"/>
  <c r="O687" i="15"/>
  <c r="P687" i="15" s="1"/>
  <c r="M687" i="15"/>
  <c r="N687" i="15" s="1"/>
  <c r="L687" i="15"/>
  <c r="K687" i="15"/>
  <c r="I687" i="15"/>
  <c r="J687" i="15" s="1"/>
  <c r="H687" i="15"/>
  <c r="O686" i="15"/>
  <c r="P686" i="15" s="1"/>
  <c r="M686" i="15"/>
  <c r="N686" i="15" s="1"/>
  <c r="L686" i="15"/>
  <c r="K686" i="15"/>
  <c r="I686" i="15"/>
  <c r="J686" i="15" s="1"/>
  <c r="H686" i="15"/>
  <c r="O685" i="15"/>
  <c r="P685" i="15" s="1"/>
  <c r="M685" i="15"/>
  <c r="N685" i="15" s="1"/>
  <c r="L685" i="15"/>
  <c r="K685" i="15"/>
  <c r="I685" i="15"/>
  <c r="J685" i="15" s="1"/>
  <c r="H685" i="15"/>
  <c r="O684" i="15"/>
  <c r="P684" i="15" s="1"/>
  <c r="M684" i="15"/>
  <c r="N684" i="15" s="1"/>
  <c r="L684" i="15"/>
  <c r="K684" i="15"/>
  <c r="I684" i="15"/>
  <c r="J684" i="15" s="1"/>
  <c r="H684" i="15"/>
  <c r="O683" i="15"/>
  <c r="P683" i="15" s="1"/>
  <c r="M683" i="15"/>
  <c r="N683" i="15" s="1"/>
  <c r="L683" i="15"/>
  <c r="K683" i="15"/>
  <c r="I683" i="15"/>
  <c r="J683" i="15" s="1"/>
  <c r="H683" i="15"/>
  <c r="O682" i="15"/>
  <c r="P682" i="15" s="1"/>
  <c r="M682" i="15"/>
  <c r="N682" i="15" s="1"/>
  <c r="L682" i="15"/>
  <c r="K682" i="15"/>
  <c r="I682" i="15"/>
  <c r="J682" i="15" s="1"/>
  <c r="H682" i="15"/>
  <c r="O681" i="15"/>
  <c r="P681" i="15" s="1"/>
  <c r="M681" i="15"/>
  <c r="N681" i="15" s="1"/>
  <c r="L681" i="15"/>
  <c r="K681" i="15"/>
  <c r="I681" i="15"/>
  <c r="J681" i="15" s="1"/>
  <c r="H681" i="15"/>
  <c r="O680" i="15"/>
  <c r="P680" i="15" s="1"/>
  <c r="M680" i="15"/>
  <c r="N680" i="15" s="1"/>
  <c r="L680" i="15"/>
  <c r="K680" i="15"/>
  <c r="I680" i="15"/>
  <c r="J680" i="15" s="1"/>
  <c r="H680" i="15"/>
  <c r="O679" i="15"/>
  <c r="P679" i="15" s="1"/>
  <c r="M679" i="15"/>
  <c r="N679" i="15" s="1"/>
  <c r="L679" i="15"/>
  <c r="K679" i="15"/>
  <c r="I679" i="15"/>
  <c r="J679" i="15" s="1"/>
  <c r="H679" i="15"/>
  <c r="O678" i="15"/>
  <c r="P678" i="15" s="1"/>
  <c r="M678" i="15"/>
  <c r="N678" i="15" s="1"/>
  <c r="L678" i="15"/>
  <c r="K678" i="15"/>
  <c r="I678" i="15"/>
  <c r="J678" i="15" s="1"/>
  <c r="H678" i="15"/>
  <c r="O677" i="15"/>
  <c r="P677" i="15" s="1"/>
  <c r="M677" i="15"/>
  <c r="N677" i="15" s="1"/>
  <c r="L677" i="15"/>
  <c r="K677" i="15"/>
  <c r="I677" i="15"/>
  <c r="J677" i="15" s="1"/>
  <c r="H677" i="15"/>
  <c r="O676" i="15"/>
  <c r="P676" i="15" s="1"/>
  <c r="M676" i="15"/>
  <c r="N676" i="15" s="1"/>
  <c r="L676" i="15"/>
  <c r="K676" i="15"/>
  <c r="I676" i="15"/>
  <c r="J676" i="15" s="1"/>
  <c r="H676" i="15"/>
  <c r="O675" i="15"/>
  <c r="P675" i="15" s="1"/>
  <c r="M675" i="15"/>
  <c r="N675" i="15" s="1"/>
  <c r="L675" i="15"/>
  <c r="K675" i="15"/>
  <c r="I675" i="15"/>
  <c r="J675" i="15" s="1"/>
  <c r="H675" i="15"/>
  <c r="O674" i="15"/>
  <c r="P674" i="15" s="1"/>
  <c r="M674" i="15"/>
  <c r="N674" i="15" s="1"/>
  <c r="L674" i="15"/>
  <c r="K674" i="15"/>
  <c r="I674" i="15"/>
  <c r="J674" i="15" s="1"/>
  <c r="H674" i="15"/>
  <c r="O673" i="15"/>
  <c r="P673" i="15" s="1"/>
  <c r="M673" i="15"/>
  <c r="N673" i="15" s="1"/>
  <c r="L673" i="15"/>
  <c r="K673" i="15"/>
  <c r="I673" i="15"/>
  <c r="J673" i="15" s="1"/>
  <c r="H673" i="15"/>
  <c r="O672" i="15"/>
  <c r="P672" i="15" s="1"/>
  <c r="M672" i="15"/>
  <c r="N672" i="15" s="1"/>
  <c r="L672" i="15"/>
  <c r="K672" i="15"/>
  <c r="I672" i="15"/>
  <c r="J672" i="15" s="1"/>
  <c r="H672" i="15"/>
  <c r="O671" i="15"/>
  <c r="P671" i="15" s="1"/>
  <c r="M671" i="15"/>
  <c r="N671" i="15" s="1"/>
  <c r="L671" i="15"/>
  <c r="K671" i="15"/>
  <c r="I671" i="15"/>
  <c r="J671" i="15" s="1"/>
  <c r="H671" i="15"/>
  <c r="O670" i="15"/>
  <c r="P670" i="15" s="1"/>
  <c r="M670" i="15"/>
  <c r="N670" i="15" s="1"/>
  <c r="L670" i="15"/>
  <c r="K670" i="15"/>
  <c r="I670" i="15"/>
  <c r="J670" i="15" s="1"/>
  <c r="H670" i="15"/>
  <c r="O669" i="15"/>
  <c r="P669" i="15" s="1"/>
  <c r="M669" i="15"/>
  <c r="N669" i="15" s="1"/>
  <c r="L669" i="15"/>
  <c r="K669" i="15"/>
  <c r="I669" i="15"/>
  <c r="J669" i="15" s="1"/>
  <c r="H669" i="15"/>
  <c r="O668" i="15"/>
  <c r="P668" i="15" s="1"/>
  <c r="M668" i="15"/>
  <c r="N668" i="15" s="1"/>
  <c r="L668" i="15"/>
  <c r="K668" i="15"/>
  <c r="I668" i="15"/>
  <c r="J668" i="15" s="1"/>
  <c r="H668" i="15"/>
  <c r="O667" i="15"/>
  <c r="P667" i="15" s="1"/>
  <c r="M667" i="15"/>
  <c r="N667" i="15" s="1"/>
  <c r="L667" i="15"/>
  <c r="K667" i="15"/>
  <c r="I667" i="15"/>
  <c r="J667" i="15" s="1"/>
  <c r="H667" i="15"/>
  <c r="O666" i="15"/>
  <c r="P666" i="15" s="1"/>
  <c r="M666" i="15"/>
  <c r="N666" i="15" s="1"/>
  <c r="L666" i="15"/>
  <c r="K666" i="15"/>
  <c r="I666" i="15"/>
  <c r="J666" i="15" s="1"/>
  <c r="H666" i="15"/>
  <c r="O665" i="15"/>
  <c r="P665" i="15" s="1"/>
  <c r="M665" i="15"/>
  <c r="N665" i="15" s="1"/>
  <c r="L665" i="15"/>
  <c r="K665" i="15"/>
  <c r="I665" i="15"/>
  <c r="J665" i="15" s="1"/>
  <c r="H665" i="15"/>
  <c r="O664" i="15"/>
  <c r="P664" i="15" s="1"/>
  <c r="M664" i="15"/>
  <c r="N664" i="15" s="1"/>
  <c r="L664" i="15"/>
  <c r="K664" i="15"/>
  <c r="I664" i="15"/>
  <c r="J664" i="15" s="1"/>
  <c r="H664" i="15"/>
  <c r="O663" i="15"/>
  <c r="P663" i="15" s="1"/>
  <c r="M663" i="15"/>
  <c r="N663" i="15" s="1"/>
  <c r="L663" i="15"/>
  <c r="K663" i="15"/>
  <c r="I663" i="15"/>
  <c r="J663" i="15" s="1"/>
  <c r="H663" i="15"/>
  <c r="O662" i="15"/>
  <c r="P662" i="15" s="1"/>
  <c r="M662" i="15"/>
  <c r="N662" i="15" s="1"/>
  <c r="L662" i="15"/>
  <c r="K662" i="15"/>
  <c r="I662" i="15"/>
  <c r="J662" i="15" s="1"/>
  <c r="H662" i="15"/>
  <c r="O661" i="15"/>
  <c r="P661" i="15" s="1"/>
  <c r="M661" i="15"/>
  <c r="N661" i="15" s="1"/>
  <c r="L661" i="15"/>
  <c r="K661" i="15"/>
  <c r="I661" i="15"/>
  <c r="J661" i="15" s="1"/>
  <c r="H661" i="15"/>
  <c r="O660" i="15"/>
  <c r="P660" i="15" s="1"/>
  <c r="M660" i="15"/>
  <c r="N660" i="15" s="1"/>
  <c r="L660" i="15"/>
  <c r="K660" i="15"/>
  <c r="I660" i="15"/>
  <c r="J660" i="15" s="1"/>
  <c r="H660" i="15"/>
  <c r="O659" i="15"/>
  <c r="P659" i="15" s="1"/>
  <c r="M659" i="15"/>
  <c r="N659" i="15" s="1"/>
  <c r="L659" i="15"/>
  <c r="K659" i="15"/>
  <c r="I659" i="15"/>
  <c r="J659" i="15" s="1"/>
  <c r="H659" i="15"/>
  <c r="O658" i="15"/>
  <c r="P658" i="15" s="1"/>
  <c r="M658" i="15"/>
  <c r="N658" i="15" s="1"/>
  <c r="L658" i="15"/>
  <c r="K658" i="15"/>
  <c r="I658" i="15"/>
  <c r="J658" i="15" s="1"/>
  <c r="H658" i="15"/>
  <c r="O657" i="15"/>
  <c r="P657" i="15" s="1"/>
  <c r="M657" i="15"/>
  <c r="N657" i="15" s="1"/>
  <c r="L657" i="15"/>
  <c r="K657" i="15"/>
  <c r="I657" i="15"/>
  <c r="J657" i="15" s="1"/>
  <c r="H657" i="15"/>
  <c r="O656" i="15"/>
  <c r="P656" i="15" s="1"/>
  <c r="M656" i="15"/>
  <c r="N656" i="15" s="1"/>
  <c r="L656" i="15"/>
  <c r="K656" i="15"/>
  <c r="I656" i="15"/>
  <c r="J656" i="15" s="1"/>
  <c r="H656" i="15"/>
  <c r="O655" i="15"/>
  <c r="P655" i="15" s="1"/>
  <c r="M655" i="15"/>
  <c r="N655" i="15" s="1"/>
  <c r="L655" i="15"/>
  <c r="K655" i="15"/>
  <c r="I655" i="15"/>
  <c r="J655" i="15" s="1"/>
  <c r="H655" i="15"/>
  <c r="O654" i="15"/>
  <c r="P654" i="15" s="1"/>
  <c r="M654" i="15"/>
  <c r="N654" i="15" s="1"/>
  <c r="L654" i="15"/>
  <c r="K654" i="15"/>
  <c r="I654" i="15"/>
  <c r="J654" i="15" s="1"/>
  <c r="H654" i="15"/>
  <c r="O653" i="15"/>
  <c r="P653" i="15" s="1"/>
  <c r="M653" i="15"/>
  <c r="N653" i="15" s="1"/>
  <c r="L653" i="15"/>
  <c r="K653" i="15"/>
  <c r="I653" i="15"/>
  <c r="J653" i="15" s="1"/>
  <c r="H653" i="15"/>
  <c r="O652" i="15"/>
  <c r="P652" i="15" s="1"/>
  <c r="M652" i="15"/>
  <c r="N652" i="15" s="1"/>
  <c r="L652" i="15"/>
  <c r="K652" i="15"/>
  <c r="I652" i="15"/>
  <c r="J652" i="15" s="1"/>
  <c r="H652" i="15"/>
  <c r="O651" i="15"/>
  <c r="P651" i="15" s="1"/>
  <c r="M651" i="15"/>
  <c r="N651" i="15" s="1"/>
  <c r="L651" i="15"/>
  <c r="K651" i="15"/>
  <c r="I651" i="15"/>
  <c r="J651" i="15" s="1"/>
  <c r="H651" i="15"/>
  <c r="O650" i="15"/>
  <c r="P650" i="15" s="1"/>
  <c r="M650" i="15"/>
  <c r="N650" i="15" s="1"/>
  <c r="L650" i="15"/>
  <c r="K650" i="15"/>
  <c r="I650" i="15"/>
  <c r="J650" i="15" s="1"/>
  <c r="H650" i="15"/>
  <c r="O649" i="15"/>
  <c r="P649" i="15" s="1"/>
  <c r="M649" i="15"/>
  <c r="N649" i="15" s="1"/>
  <c r="L649" i="15"/>
  <c r="K649" i="15"/>
  <c r="I649" i="15"/>
  <c r="J649" i="15" s="1"/>
  <c r="H649" i="15"/>
  <c r="O648" i="15"/>
  <c r="P648" i="15" s="1"/>
  <c r="M648" i="15"/>
  <c r="N648" i="15" s="1"/>
  <c r="L648" i="15"/>
  <c r="K648" i="15"/>
  <c r="I648" i="15"/>
  <c r="J648" i="15" s="1"/>
  <c r="H648" i="15"/>
  <c r="O647" i="15"/>
  <c r="P647" i="15" s="1"/>
  <c r="M647" i="15"/>
  <c r="N647" i="15" s="1"/>
  <c r="L647" i="15"/>
  <c r="K647" i="15"/>
  <c r="I647" i="15"/>
  <c r="J647" i="15" s="1"/>
  <c r="H647" i="15"/>
  <c r="O646" i="15"/>
  <c r="P646" i="15" s="1"/>
  <c r="M646" i="15"/>
  <c r="N646" i="15" s="1"/>
  <c r="L646" i="15"/>
  <c r="K646" i="15"/>
  <c r="I646" i="15"/>
  <c r="J646" i="15" s="1"/>
  <c r="H646" i="15"/>
  <c r="O645" i="15"/>
  <c r="P645" i="15" s="1"/>
  <c r="M645" i="15"/>
  <c r="N645" i="15" s="1"/>
  <c r="L645" i="15"/>
  <c r="K645" i="15"/>
  <c r="I645" i="15"/>
  <c r="J645" i="15" s="1"/>
  <c r="H645" i="15"/>
  <c r="O644" i="15"/>
  <c r="P644" i="15" s="1"/>
  <c r="M644" i="15"/>
  <c r="N644" i="15" s="1"/>
  <c r="L644" i="15"/>
  <c r="K644" i="15"/>
  <c r="I644" i="15"/>
  <c r="J644" i="15" s="1"/>
  <c r="H644" i="15"/>
  <c r="O643" i="15"/>
  <c r="P643" i="15" s="1"/>
  <c r="M643" i="15"/>
  <c r="N643" i="15" s="1"/>
  <c r="L643" i="15"/>
  <c r="K643" i="15"/>
  <c r="I643" i="15"/>
  <c r="J643" i="15" s="1"/>
  <c r="H643" i="15"/>
  <c r="O642" i="15"/>
  <c r="P642" i="15" s="1"/>
  <c r="M642" i="15"/>
  <c r="N642" i="15" s="1"/>
  <c r="L642" i="15"/>
  <c r="K642" i="15"/>
  <c r="I642" i="15"/>
  <c r="J642" i="15" s="1"/>
  <c r="H642" i="15"/>
  <c r="O641" i="15"/>
  <c r="P641" i="15" s="1"/>
  <c r="M641" i="15"/>
  <c r="N641" i="15" s="1"/>
  <c r="L641" i="15"/>
  <c r="K641" i="15"/>
  <c r="I641" i="15"/>
  <c r="J641" i="15" s="1"/>
  <c r="H641" i="15"/>
  <c r="O640" i="15"/>
  <c r="P640" i="15" s="1"/>
  <c r="M640" i="15"/>
  <c r="N640" i="15" s="1"/>
  <c r="L640" i="15"/>
  <c r="K640" i="15"/>
  <c r="I640" i="15"/>
  <c r="J640" i="15" s="1"/>
  <c r="H640" i="15"/>
  <c r="O639" i="15"/>
  <c r="P639" i="15" s="1"/>
  <c r="M639" i="15"/>
  <c r="N639" i="15" s="1"/>
  <c r="L639" i="15"/>
  <c r="K639" i="15"/>
  <c r="I639" i="15"/>
  <c r="J639" i="15" s="1"/>
  <c r="H639" i="15"/>
  <c r="O638" i="15"/>
  <c r="P638" i="15" s="1"/>
  <c r="M638" i="15"/>
  <c r="N638" i="15" s="1"/>
  <c r="L638" i="15"/>
  <c r="K638" i="15"/>
  <c r="I638" i="15"/>
  <c r="J638" i="15" s="1"/>
  <c r="H638" i="15"/>
  <c r="O637" i="15"/>
  <c r="P637" i="15" s="1"/>
  <c r="M637" i="15"/>
  <c r="N637" i="15" s="1"/>
  <c r="L637" i="15"/>
  <c r="K637" i="15"/>
  <c r="I637" i="15"/>
  <c r="J637" i="15" s="1"/>
  <c r="H637" i="15"/>
  <c r="O636" i="15"/>
  <c r="P636" i="15" s="1"/>
  <c r="M636" i="15"/>
  <c r="N636" i="15" s="1"/>
  <c r="L636" i="15"/>
  <c r="K636" i="15"/>
  <c r="I636" i="15"/>
  <c r="J636" i="15" s="1"/>
  <c r="H636" i="15"/>
  <c r="O635" i="15"/>
  <c r="P635" i="15" s="1"/>
  <c r="M635" i="15"/>
  <c r="N635" i="15" s="1"/>
  <c r="L635" i="15"/>
  <c r="K635" i="15"/>
  <c r="I635" i="15"/>
  <c r="J635" i="15" s="1"/>
  <c r="H635" i="15"/>
  <c r="O634" i="15"/>
  <c r="P634" i="15" s="1"/>
  <c r="M634" i="15"/>
  <c r="N634" i="15" s="1"/>
  <c r="L634" i="15"/>
  <c r="K634" i="15"/>
  <c r="I634" i="15"/>
  <c r="J634" i="15" s="1"/>
  <c r="H634" i="15"/>
  <c r="O633" i="15"/>
  <c r="P633" i="15" s="1"/>
  <c r="M633" i="15"/>
  <c r="N633" i="15" s="1"/>
  <c r="L633" i="15"/>
  <c r="K633" i="15"/>
  <c r="I633" i="15"/>
  <c r="J633" i="15" s="1"/>
  <c r="H633" i="15"/>
  <c r="O632" i="15"/>
  <c r="P632" i="15" s="1"/>
  <c r="M632" i="15"/>
  <c r="N632" i="15" s="1"/>
  <c r="L632" i="15"/>
  <c r="K632" i="15"/>
  <c r="I632" i="15"/>
  <c r="J632" i="15" s="1"/>
  <c r="H632" i="15"/>
  <c r="O631" i="15"/>
  <c r="P631" i="15" s="1"/>
  <c r="M631" i="15"/>
  <c r="N631" i="15" s="1"/>
  <c r="L631" i="15"/>
  <c r="K631" i="15"/>
  <c r="I631" i="15"/>
  <c r="J631" i="15" s="1"/>
  <c r="H631" i="15"/>
  <c r="O630" i="15"/>
  <c r="P630" i="15" s="1"/>
  <c r="M630" i="15"/>
  <c r="N630" i="15" s="1"/>
  <c r="L630" i="15"/>
  <c r="K630" i="15"/>
  <c r="I630" i="15"/>
  <c r="J630" i="15" s="1"/>
  <c r="H630" i="15"/>
  <c r="O629" i="15"/>
  <c r="P629" i="15" s="1"/>
  <c r="M629" i="15"/>
  <c r="N629" i="15" s="1"/>
  <c r="L629" i="15"/>
  <c r="K629" i="15"/>
  <c r="I629" i="15"/>
  <c r="J629" i="15" s="1"/>
  <c r="H629" i="15"/>
  <c r="O628" i="15"/>
  <c r="P628" i="15" s="1"/>
  <c r="M628" i="15"/>
  <c r="N628" i="15" s="1"/>
  <c r="L628" i="15"/>
  <c r="K628" i="15"/>
  <c r="I628" i="15"/>
  <c r="J628" i="15" s="1"/>
  <c r="H628" i="15"/>
  <c r="O627" i="15"/>
  <c r="P627" i="15" s="1"/>
  <c r="M627" i="15"/>
  <c r="N627" i="15" s="1"/>
  <c r="L627" i="15"/>
  <c r="K627" i="15"/>
  <c r="I627" i="15"/>
  <c r="J627" i="15" s="1"/>
  <c r="H627" i="15"/>
  <c r="O626" i="15"/>
  <c r="P626" i="15" s="1"/>
  <c r="M626" i="15"/>
  <c r="N626" i="15" s="1"/>
  <c r="L626" i="15"/>
  <c r="K626" i="15"/>
  <c r="I626" i="15"/>
  <c r="J626" i="15" s="1"/>
  <c r="H626" i="15"/>
  <c r="O625" i="15"/>
  <c r="P625" i="15" s="1"/>
  <c r="M625" i="15"/>
  <c r="N625" i="15" s="1"/>
  <c r="L625" i="15"/>
  <c r="K625" i="15"/>
  <c r="I625" i="15"/>
  <c r="J625" i="15" s="1"/>
  <c r="H625" i="15"/>
  <c r="O624" i="15"/>
  <c r="P624" i="15" s="1"/>
  <c r="M624" i="15"/>
  <c r="N624" i="15" s="1"/>
  <c r="L624" i="15"/>
  <c r="K624" i="15"/>
  <c r="I624" i="15"/>
  <c r="J624" i="15" s="1"/>
  <c r="H624" i="15"/>
  <c r="O623" i="15"/>
  <c r="P623" i="15" s="1"/>
  <c r="M623" i="15"/>
  <c r="N623" i="15" s="1"/>
  <c r="L623" i="15"/>
  <c r="K623" i="15"/>
  <c r="I623" i="15"/>
  <c r="J623" i="15" s="1"/>
  <c r="H623" i="15"/>
  <c r="O622" i="15"/>
  <c r="P622" i="15" s="1"/>
  <c r="M622" i="15"/>
  <c r="N622" i="15" s="1"/>
  <c r="L622" i="15"/>
  <c r="K622" i="15"/>
  <c r="I622" i="15"/>
  <c r="J622" i="15" s="1"/>
  <c r="H622" i="15"/>
  <c r="O621" i="15"/>
  <c r="P621" i="15" s="1"/>
  <c r="M621" i="15"/>
  <c r="N621" i="15" s="1"/>
  <c r="L621" i="15"/>
  <c r="K621" i="15"/>
  <c r="I621" i="15"/>
  <c r="J621" i="15" s="1"/>
  <c r="H621" i="15"/>
  <c r="O620" i="15"/>
  <c r="P620" i="15" s="1"/>
  <c r="M620" i="15"/>
  <c r="N620" i="15" s="1"/>
  <c r="L620" i="15"/>
  <c r="K620" i="15"/>
  <c r="I620" i="15"/>
  <c r="J620" i="15" s="1"/>
  <c r="H620" i="15"/>
  <c r="O619" i="15"/>
  <c r="P619" i="15" s="1"/>
  <c r="M619" i="15"/>
  <c r="N619" i="15" s="1"/>
  <c r="L619" i="15"/>
  <c r="K619" i="15"/>
  <c r="I619" i="15"/>
  <c r="J619" i="15" s="1"/>
  <c r="H619" i="15"/>
  <c r="O618" i="15"/>
  <c r="P618" i="15" s="1"/>
  <c r="M618" i="15"/>
  <c r="N618" i="15" s="1"/>
  <c r="L618" i="15"/>
  <c r="K618" i="15"/>
  <c r="I618" i="15"/>
  <c r="J618" i="15" s="1"/>
  <c r="H618" i="15"/>
  <c r="O617" i="15"/>
  <c r="P617" i="15" s="1"/>
  <c r="M617" i="15"/>
  <c r="N617" i="15" s="1"/>
  <c r="L617" i="15"/>
  <c r="K617" i="15"/>
  <c r="I617" i="15"/>
  <c r="J617" i="15" s="1"/>
  <c r="H617" i="15"/>
  <c r="O616" i="15"/>
  <c r="P616" i="15" s="1"/>
  <c r="M616" i="15"/>
  <c r="N616" i="15" s="1"/>
  <c r="L616" i="15"/>
  <c r="K616" i="15"/>
  <c r="I616" i="15"/>
  <c r="J616" i="15" s="1"/>
  <c r="H616" i="15"/>
  <c r="O615" i="15"/>
  <c r="P615" i="15" s="1"/>
  <c r="M615" i="15"/>
  <c r="N615" i="15" s="1"/>
  <c r="L615" i="15"/>
  <c r="K615" i="15"/>
  <c r="I615" i="15"/>
  <c r="J615" i="15" s="1"/>
  <c r="H615" i="15"/>
  <c r="O614" i="15"/>
  <c r="P614" i="15" s="1"/>
  <c r="M614" i="15"/>
  <c r="N614" i="15" s="1"/>
  <c r="L614" i="15"/>
  <c r="K614" i="15"/>
  <c r="I614" i="15"/>
  <c r="J614" i="15" s="1"/>
  <c r="H614" i="15"/>
  <c r="O613" i="15"/>
  <c r="P613" i="15" s="1"/>
  <c r="M613" i="15"/>
  <c r="N613" i="15" s="1"/>
  <c r="L613" i="15"/>
  <c r="K613" i="15"/>
  <c r="I613" i="15"/>
  <c r="J613" i="15" s="1"/>
  <c r="H613" i="15"/>
  <c r="O612" i="15"/>
  <c r="P612" i="15" s="1"/>
  <c r="M612" i="15"/>
  <c r="N612" i="15" s="1"/>
  <c r="L612" i="15"/>
  <c r="K612" i="15"/>
  <c r="I612" i="15"/>
  <c r="J612" i="15" s="1"/>
  <c r="H612" i="15"/>
  <c r="O611" i="15"/>
  <c r="P611" i="15" s="1"/>
  <c r="M611" i="15"/>
  <c r="N611" i="15" s="1"/>
  <c r="L611" i="15"/>
  <c r="K611" i="15"/>
  <c r="I611" i="15"/>
  <c r="J611" i="15" s="1"/>
  <c r="H611" i="15"/>
  <c r="O610" i="15"/>
  <c r="P610" i="15" s="1"/>
  <c r="M610" i="15"/>
  <c r="N610" i="15" s="1"/>
  <c r="L610" i="15"/>
  <c r="K610" i="15"/>
  <c r="I610" i="15"/>
  <c r="J610" i="15" s="1"/>
  <c r="H610" i="15"/>
  <c r="O609" i="15"/>
  <c r="P609" i="15" s="1"/>
  <c r="M609" i="15"/>
  <c r="N609" i="15" s="1"/>
  <c r="L609" i="15"/>
  <c r="K609" i="15"/>
  <c r="I609" i="15"/>
  <c r="J609" i="15" s="1"/>
  <c r="H609" i="15"/>
  <c r="O608" i="15"/>
  <c r="P608" i="15" s="1"/>
  <c r="M608" i="15"/>
  <c r="N608" i="15" s="1"/>
  <c r="L608" i="15"/>
  <c r="K608" i="15"/>
  <c r="I608" i="15"/>
  <c r="J608" i="15" s="1"/>
  <c r="H608" i="15"/>
  <c r="O607" i="15"/>
  <c r="P607" i="15" s="1"/>
  <c r="M607" i="15"/>
  <c r="N607" i="15" s="1"/>
  <c r="L607" i="15"/>
  <c r="K607" i="15"/>
  <c r="I607" i="15"/>
  <c r="J607" i="15" s="1"/>
  <c r="H607" i="15"/>
  <c r="O606" i="15"/>
  <c r="P606" i="15" s="1"/>
  <c r="M606" i="15"/>
  <c r="N606" i="15" s="1"/>
  <c r="L606" i="15"/>
  <c r="K606" i="15"/>
  <c r="I606" i="15"/>
  <c r="J606" i="15" s="1"/>
  <c r="H606" i="15"/>
  <c r="O605" i="15"/>
  <c r="P605" i="15" s="1"/>
  <c r="M605" i="15"/>
  <c r="N605" i="15" s="1"/>
  <c r="L605" i="15"/>
  <c r="K605" i="15"/>
  <c r="I605" i="15"/>
  <c r="J605" i="15" s="1"/>
  <c r="H605" i="15"/>
  <c r="O604" i="15"/>
  <c r="P604" i="15" s="1"/>
  <c r="M604" i="15"/>
  <c r="N604" i="15" s="1"/>
  <c r="L604" i="15"/>
  <c r="K604" i="15"/>
  <c r="I604" i="15"/>
  <c r="J604" i="15" s="1"/>
  <c r="H604" i="15"/>
  <c r="O603" i="15"/>
  <c r="P603" i="15" s="1"/>
  <c r="M603" i="15"/>
  <c r="N603" i="15" s="1"/>
  <c r="L603" i="15"/>
  <c r="K603" i="15"/>
  <c r="I603" i="15"/>
  <c r="J603" i="15" s="1"/>
  <c r="H603" i="15"/>
  <c r="O602" i="15"/>
  <c r="P602" i="15" s="1"/>
  <c r="M602" i="15"/>
  <c r="N602" i="15" s="1"/>
  <c r="L602" i="15"/>
  <c r="K602" i="15"/>
  <c r="I602" i="15"/>
  <c r="J602" i="15" s="1"/>
  <c r="H602" i="15"/>
  <c r="O601" i="15"/>
  <c r="P601" i="15" s="1"/>
  <c r="M601" i="15"/>
  <c r="N601" i="15" s="1"/>
  <c r="L601" i="15"/>
  <c r="K601" i="15"/>
  <c r="I601" i="15"/>
  <c r="J601" i="15" s="1"/>
  <c r="H601" i="15"/>
  <c r="O600" i="15"/>
  <c r="P600" i="15" s="1"/>
  <c r="M600" i="15"/>
  <c r="N600" i="15" s="1"/>
  <c r="L600" i="15"/>
  <c r="K600" i="15"/>
  <c r="I600" i="15"/>
  <c r="J600" i="15" s="1"/>
  <c r="H600" i="15"/>
  <c r="O599" i="15"/>
  <c r="P599" i="15" s="1"/>
  <c r="M599" i="15"/>
  <c r="N599" i="15" s="1"/>
  <c r="L599" i="15"/>
  <c r="K599" i="15"/>
  <c r="I599" i="15"/>
  <c r="J599" i="15" s="1"/>
  <c r="H599" i="15"/>
  <c r="O598" i="15"/>
  <c r="P598" i="15" s="1"/>
  <c r="M598" i="15"/>
  <c r="N598" i="15" s="1"/>
  <c r="L598" i="15"/>
  <c r="K598" i="15"/>
  <c r="I598" i="15"/>
  <c r="J598" i="15" s="1"/>
  <c r="H598" i="15"/>
  <c r="O597" i="15"/>
  <c r="P597" i="15" s="1"/>
  <c r="M597" i="15"/>
  <c r="N597" i="15" s="1"/>
  <c r="L597" i="15"/>
  <c r="K597" i="15"/>
  <c r="I597" i="15"/>
  <c r="J597" i="15" s="1"/>
  <c r="H597" i="15"/>
  <c r="O596" i="15"/>
  <c r="P596" i="15" s="1"/>
  <c r="M596" i="15"/>
  <c r="N596" i="15" s="1"/>
  <c r="L596" i="15"/>
  <c r="K596" i="15"/>
  <c r="I596" i="15"/>
  <c r="J596" i="15" s="1"/>
  <c r="H596" i="15"/>
  <c r="O595" i="15"/>
  <c r="P595" i="15" s="1"/>
  <c r="M595" i="15"/>
  <c r="N595" i="15" s="1"/>
  <c r="L595" i="15"/>
  <c r="K595" i="15"/>
  <c r="I595" i="15"/>
  <c r="J595" i="15" s="1"/>
  <c r="H595" i="15"/>
  <c r="O594" i="15"/>
  <c r="P594" i="15" s="1"/>
  <c r="M594" i="15"/>
  <c r="N594" i="15" s="1"/>
  <c r="L594" i="15"/>
  <c r="K594" i="15"/>
  <c r="I594" i="15"/>
  <c r="J594" i="15" s="1"/>
  <c r="H594" i="15"/>
  <c r="O593" i="15"/>
  <c r="P593" i="15" s="1"/>
  <c r="M593" i="15"/>
  <c r="N593" i="15" s="1"/>
  <c r="L593" i="15"/>
  <c r="K593" i="15"/>
  <c r="I593" i="15"/>
  <c r="J593" i="15" s="1"/>
  <c r="H593" i="15"/>
  <c r="O592" i="15"/>
  <c r="P592" i="15" s="1"/>
  <c r="M592" i="15"/>
  <c r="N592" i="15" s="1"/>
  <c r="L592" i="15"/>
  <c r="K592" i="15"/>
  <c r="I592" i="15"/>
  <c r="J592" i="15" s="1"/>
  <c r="H592" i="15"/>
  <c r="O591" i="15"/>
  <c r="P591" i="15" s="1"/>
  <c r="M591" i="15"/>
  <c r="N591" i="15" s="1"/>
  <c r="L591" i="15"/>
  <c r="K591" i="15"/>
  <c r="I591" i="15"/>
  <c r="J591" i="15" s="1"/>
  <c r="H591" i="15"/>
  <c r="O590" i="15"/>
  <c r="P590" i="15" s="1"/>
  <c r="M590" i="15"/>
  <c r="N590" i="15" s="1"/>
  <c r="L590" i="15"/>
  <c r="K590" i="15"/>
  <c r="I590" i="15"/>
  <c r="J590" i="15" s="1"/>
  <c r="H590" i="15"/>
  <c r="O589" i="15"/>
  <c r="P589" i="15" s="1"/>
  <c r="M589" i="15"/>
  <c r="N589" i="15" s="1"/>
  <c r="L589" i="15"/>
  <c r="K589" i="15"/>
  <c r="I589" i="15"/>
  <c r="J589" i="15" s="1"/>
  <c r="H589" i="15"/>
  <c r="O588" i="15"/>
  <c r="P588" i="15" s="1"/>
  <c r="M588" i="15"/>
  <c r="N588" i="15" s="1"/>
  <c r="L588" i="15"/>
  <c r="K588" i="15"/>
  <c r="I588" i="15"/>
  <c r="J588" i="15" s="1"/>
  <c r="H588" i="15"/>
  <c r="O587" i="15"/>
  <c r="P587" i="15" s="1"/>
  <c r="M587" i="15"/>
  <c r="N587" i="15" s="1"/>
  <c r="L587" i="15"/>
  <c r="K587" i="15"/>
  <c r="I587" i="15"/>
  <c r="J587" i="15" s="1"/>
  <c r="H587" i="15"/>
  <c r="O586" i="15"/>
  <c r="P586" i="15" s="1"/>
  <c r="M586" i="15"/>
  <c r="N586" i="15" s="1"/>
  <c r="L586" i="15"/>
  <c r="K586" i="15"/>
  <c r="I586" i="15"/>
  <c r="J586" i="15" s="1"/>
  <c r="H586" i="15"/>
  <c r="O585" i="15"/>
  <c r="P585" i="15" s="1"/>
  <c r="M585" i="15"/>
  <c r="N585" i="15" s="1"/>
  <c r="L585" i="15"/>
  <c r="K585" i="15"/>
  <c r="I585" i="15"/>
  <c r="J585" i="15" s="1"/>
  <c r="H585" i="15"/>
  <c r="O584" i="15"/>
  <c r="P584" i="15" s="1"/>
  <c r="M584" i="15"/>
  <c r="N584" i="15" s="1"/>
  <c r="L584" i="15"/>
  <c r="K584" i="15"/>
  <c r="I584" i="15"/>
  <c r="J584" i="15" s="1"/>
  <c r="H584" i="15"/>
  <c r="O583" i="15"/>
  <c r="P583" i="15" s="1"/>
  <c r="M583" i="15"/>
  <c r="N583" i="15" s="1"/>
  <c r="L583" i="15"/>
  <c r="K583" i="15"/>
  <c r="I583" i="15"/>
  <c r="J583" i="15" s="1"/>
  <c r="H583" i="15"/>
  <c r="O582" i="15"/>
  <c r="P582" i="15" s="1"/>
  <c r="M582" i="15"/>
  <c r="N582" i="15" s="1"/>
  <c r="L582" i="15"/>
  <c r="K582" i="15"/>
  <c r="I582" i="15"/>
  <c r="J582" i="15" s="1"/>
  <c r="H582" i="15"/>
  <c r="O581" i="15"/>
  <c r="P581" i="15" s="1"/>
  <c r="M581" i="15"/>
  <c r="N581" i="15" s="1"/>
  <c r="L581" i="15"/>
  <c r="K581" i="15"/>
  <c r="I581" i="15"/>
  <c r="J581" i="15" s="1"/>
  <c r="H581" i="15"/>
  <c r="O580" i="15"/>
  <c r="P580" i="15" s="1"/>
  <c r="M580" i="15"/>
  <c r="N580" i="15" s="1"/>
  <c r="L580" i="15"/>
  <c r="K580" i="15"/>
  <c r="I580" i="15"/>
  <c r="J580" i="15" s="1"/>
  <c r="H580" i="15"/>
  <c r="O579" i="15"/>
  <c r="P579" i="15" s="1"/>
  <c r="M579" i="15"/>
  <c r="N579" i="15" s="1"/>
  <c r="L579" i="15"/>
  <c r="K579" i="15"/>
  <c r="I579" i="15"/>
  <c r="J579" i="15" s="1"/>
  <c r="H579" i="15"/>
  <c r="O578" i="15"/>
  <c r="P578" i="15" s="1"/>
  <c r="M578" i="15"/>
  <c r="N578" i="15" s="1"/>
  <c r="L578" i="15"/>
  <c r="K578" i="15"/>
  <c r="I578" i="15"/>
  <c r="J578" i="15" s="1"/>
  <c r="H578" i="15"/>
  <c r="O577" i="15"/>
  <c r="P577" i="15" s="1"/>
  <c r="M577" i="15"/>
  <c r="N577" i="15" s="1"/>
  <c r="L577" i="15"/>
  <c r="K577" i="15"/>
  <c r="I577" i="15"/>
  <c r="J577" i="15" s="1"/>
  <c r="H577" i="15"/>
  <c r="O576" i="15"/>
  <c r="P576" i="15" s="1"/>
  <c r="M576" i="15"/>
  <c r="N576" i="15" s="1"/>
  <c r="L576" i="15"/>
  <c r="K576" i="15"/>
  <c r="I576" i="15"/>
  <c r="J576" i="15" s="1"/>
  <c r="H576" i="15"/>
  <c r="O575" i="15"/>
  <c r="P575" i="15" s="1"/>
  <c r="M575" i="15"/>
  <c r="N575" i="15" s="1"/>
  <c r="L575" i="15"/>
  <c r="K575" i="15"/>
  <c r="I575" i="15"/>
  <c r="J575" i="15" s="1"/>
  <c r="H575" i="15"/>
  <c r="O574" i="15"/>
  <c r="P574" i="15" s="1"/>
  <c r="M574" i="15"/>
  <c r="N574" i="15" s="1"/>
  <c r="L574" i="15"/>
  <c r="K574" i="15"/>
  <c r="I574" i="15"/>
  <c r="J574" i="15" s="1"/>
  <c r="H574" i="15"/>
  <c r="O573" i="15"/>
  <c r="P573" i="15" s="1"/>
  <c r="M573" i="15"/>
  <c r="N573" i="15" s="1"/>
  <c r="L573" i="15"/>
  <c r="K573" i="15"/>
  <c r="I573" i="15"/>
  <c r="J573" i="15" s="1"/>
  <c r="H573" i="15"/>
  <c r="O572" i="15"/>
  <c r="P572" i="15" s="1"/>
  <c r="M572" i="15"/>
  <c r="N572" i="15" s="1"/>
  <c r="L572" i="15"/>
  <c r="K572" i="15"/>
  <c r="I572" i="15"/>
  <c r="J572" i="15" s="1"/>
  <c r="H572" i="15"/>
  <c r="O571" i="15"/>
  <c r="P571" i="15" s="1"/>
  <c r="M571" i="15"/>
  <c r="N571" i="15" s="1"/>
  <c r="L571" i="15"/>
  <c r="K571" i="15"/>
  <c r="I571" i="15"/>
  <c r="J571" i="15" s="1"/>
  <c r="H571" i="15"/>
  <c r="O570" i="15"/>
  <c r="P570" i="15" s="1"/>
  <c r="M570" i="15"/>
  <c r="N570" i="15" s="1"/>
  <c r="L570" i="15"/>
  <c r="K570" i="15"/>
  <c r="I570" i="15"/>
  <c r="J570" i="15" s="1"/>
  <c r="H570" i="15"/>
  <c r="O569" i="15"/>
  <c r="P569" i="15" s="1"/>
  <c r="M569" i="15"/>
  <c r="N569" i="15" s="1"/>
  <c r="L569" i="15"/>
  <c r="K569" i="15"/>
  <c r="I569" i="15"/>
  <c r="J569" i="15" s="1"/>
  <c r="H569" i="15"/>
  <c r="O568" i="15"/>
  <c r="P568" i="15" s="1"/>
  <c r="M568" i="15"/>
  <c r="N568" i="15" s="1"/>
  <c r="L568" i="15"/>
  <c r="K568" i="15"/>
  <c r="I568" i="15"/>
  <c r="J568" i="15" s="1"/>
  <c r="H568" i="15"/>
  <c r="O567" i="15"/>
  <c r="P567" i="15" s="1"/>
  <c r="M567" i="15"/>
  <c r="N567" i="15" s="1"/>
  <c r="L567" i="15"/>
  <c r="K567" i="15"/>
  <c r="I567" i="15"/>
  <c r="J567" i="15" s="1"/>
  <c r="H567" i="15"/>
  <c r="O566" i="15"/>
  <c r="P566" i="15" s="1"/>
  <c r="M566" i="15"/>
  <c r="N566" i="15" s="1"/>
  <c r="L566" i="15"/>
  <c r="K566" i="15"/>
  <c r="I566" i="15"/>
  <c r="J566" i="15" s="1"/>
  <c r="H566" i="15"/>
  <c r="O565" i="15"/>
  <c r="P565" i="15" s="1"/>
  <c r="M565" i="15"/>
  <c r="N565" i="15" s="1"/>
  <c r="L565" i="15"/>
  <c r="K565" i="15"/>
  <c r="I565" i="15"/>
  <c r="J565" i="15" s="1"/>
  <c r="H565" i="15"/>
  <c r="O564" i="15"/>
  <c r="P564" i="15" s="1"/>
  <c r="M564" i="15"/>
  <c r="N564" i="15" s="1"/>
  <c r="L564" i="15"/>
  <c r="K564" i="15"/>
  <c r="I564" i="15"/>
  <c r="J564" i="15" s="1"/>
  <c r="H564" i="15"/>
  <c r="O563" i="15"/>
  <c r="P563" i="15" s="1"/>
  <c r="M563" i="15"/>
  <c r="N563" i="15" s="1"/>
  <c r="L563" i="15"/>
  <c r="K563" i="15"/>
  <c r="I563" i="15"/>
  <c r="J563" i="15" s="1"/>
  <c r="H563" i="15"/>
  <c r="O562" i="15"/>
  <c r="P562" i="15" s="1"/>
  <c r="M562" i="15"/>
  <c r="N562" i="15" s="1"/>
  <c r="L562" i="15"/>
  <c r="K562" i="15"/>
  <c r="I562" i="15"/>
  <c r="J562" i="15" s="1"/>
  <c r="H562" i="15"/>
  <c r="O561" i="15"/>
  <c r="P561" i="15" s="1"/>
  <c r="M561" i="15"/>
  <c r="N561" i="15" s="1"/>
  <c r="L561" i="15"/>
  <c r="K561" i="15"/>
  <c r="I561" i="15"/>
  <c r="J561" i="15" s="1"/>
  <c r="H561" i="15"/>
  <c r="O560" i="15"/>
  <c r="P560" i="15" s="1"/>
  <c r="M560" i="15"/>
  <c r="N560" i="15" s="1"/>
  <c r="L560" i="15"/>
  <c r="K560" i="15"/>
  <c r="I560" i="15"/>
  <c r="J560" i="15" s="1"/>
  <c r="H560" i="15"/>
  <c r="O559" i="15"/>
  <c r="P559" i="15" s="1"/>
  <c r="M559" i="15"/>
  <c r="N559" i="15" s="1"/>
  <c r="L559" i="15"/>
  <c r="K559" i="15"/>
  <c r="I559" i="15"/>
  <c r="J559" i="15" s="1"/>
  <c r="H559" i="15"/>
  <c r="O558" i="15"/>
  <c r="P558" i="15" s="1"/>
  <c r="M558" i="15"/>
  <c r="N558" i="15" s="1"/>
  <c r="L558" i="15"/>
  <c r="K558" i="15"/>
  <c r="I558" i="15"/>
  <c r="J558" i="15" s="1"/>
  <c r="H558" i="15"/>
  <c r="O557" i="15"/>
  <c r="P557" i="15" s="1"/>
  <c r="M557" i="15"/>
  <c r="N557" i="15" s="1"/>
  <c r="L557" i="15"/>
  <c r="K557" i="15"/>
  <c r="I557" i="15"/>
  <c r="J557" i="15" s="1"/>
  <c r="H557" i="15"/>
  <c r="O556" i="15"/>
  <c r="P556" i="15" s="1"/>
  <c r="M556" i="15"/>
  <c r="N556" i="15" s="1"/>
  <c r="L556" i="15"/>
  <c r="K556" i="15"/>
  <c r="I556" i="15"/>
  <c r="J556" i="15" s="1"/>
  <c r="H556" i="15"/>
  <c r="O555" i="15"/>
  <c r="P555" i="15" s="1"/>
  <c r="M555" i="15"/>
  <c r="N555" i="15" s="1"/>
  <c r="L555" i="15"/>
  <c r="K555" i="15"/>
  <c r="I555" i="15"/>
  <c r="J555" i="15" s="1"/>
  <c r="H555" i="15"/>
  <c r="O554" i="15"/>
  <c r="P554" i="15" s="1"/>
  <c r="M554" i="15"/>
  <c r="N554" i="15" s="1"/>
  <c r="L554" i="15"/>
  <c r="K554" i="15"/>
  <c r="I554" i="15"/>
  <c r="J554" i="15" s="1"/>
  <c r="H554" i="15"/>
  <c r="O553" i="15"/>
  <c r="P553" i="15" s="1"/>
  <c r="M553" i="15"/>
  <c r="N553" i="15" s="1"/>
  <c r="L553" i="15"/>
  <c r="K553" i="15"/>
  <c r="I553" i="15"/>
  <c r="J553" i="15" s="1"/>
  <c r="H553" i="15"/>
  <c r="O552" i="15"/>
  <c r="P552" i="15" s="1"/>
  <c r="M552" i="15"/>
  <c r="N552" i="15" s="1"/>
  <c r="L552" i="15"/>
  <c r="K552" i="15"/>
  <c r="I552" i="15"/>
  <c r="J552" i="15" s="1"/>
  <c r="H552" i="15"/>
  <c r="O551" i="15"/>
  <c r="P551" i="15" s="1"/>
  <c r="M551" i="15"/>
  <c r="N551" i="15" s="1"/>
  <c r="L551" i="15"/>
  <c r="K551" i="15"/>
  <c r="I551" i="15"/>
  <c r="J551" i="15" s="1"/>
  <c r="H551" i="15"/>
  <c r="O550" i="15"/>
  <c r="P550" i="15" s="1"/>
  <c r="M550" i="15"/>
  <c r="N550" i="15" s="1"/>
  <c r="L550" i="15"/>
  <c r="K550" i="15"/>
  <c r="I550" i="15"/>
  <c r="J550" i="15" s="1"/>
  <c r="H550" i="15"/>
  <c r="O549" i="15"/>
  <c r="P549" i="15" s="1"/>
  <c r="M549" i="15"/>
  <c r="N549" i="15" s="1"/>
  <c r="L549" i="15"/>
  <c r="K549" i="15"/>
  <c r="I549" i="15"/>
  <c r="J549" i="15" s="1"/>
  <c r="H549" i="15"/>
  <c r="O548" i="15"/>
  <c r="P548" i="15" s="1"/>
  <c r="M548" i="15"/>
  <c r="N548" i="15" s="1"/>
  <c r="L548" i="15"/>
  <c r="K548" i="15"/>
  <c r="I548" i="15"/>
  <c r="J548" i="15" s="1"/>
  <c r="H548" i="15"/>
  <c r="O547" i="15"/>
  <c r="P547" i="15" s="1"/>
  <c r="M547" i="15"/>
  <c r="N547" i="15" s="1"/>
  <c r="L547" i="15"/>
  <c r="K547" i="15"/>
  <c r="I547" i="15"/>
  <c r="J547" i="15" s="1"/>
  <c r="H547" i="15"/>
  <c r="O546" i="15"/>
  <c r="P546" i="15" s="1"/>
  <c r="M546" i="15"/>
  <c r="N546" i="15" s="1"/>
  <c r="L546" i="15"/>
  <c r="K546" i="15"/>
  <c r="I546" i="15"/>
  <c r="J546" i="15" s="1"/>
  <c r="H546" i="15"/>
  <c r="O545" i="15"/>
  <c r="P545" i="15" s="1"/>
  <c r="M545" i="15"/>
  <c r="N545" i="15" s="1"/>
  <c r="L545" i="15"/>
  <c r="K545" i="15"/>
  <c r="I545" i="15"/>
  <c r="J545" i="15" s="1"/>
  <c r="H545" i="15"/>
  <c r="O544" i="15"/>
  <c r="P544" i="15" s="1"/>
  <c r="M544" i="15"/>
  <c r="N544" i="15" s="1"/>
  <c r="L544" i="15"/>
  <c r="K544" i="15"/>
  <c r="I544" i="15"/>
  <c r="J544" i="15" s="1"/>
  <c r="H544" i="15"/>
  <c r="O543" i="15"/>
  <c r="P543" i="15" s="1"/>
  <c r="M543" i="15"/>
  <c r="N543" i="15" s="1"/>
  <c r="L543" i="15"/>
  <c r="K543" i="15"/>
  <c r="I543" i="15"/>
  <c r="J543" i="15" s="1"/>
  <c r="H543" i="15"/>
  <c r="O542" i="15"/>
  <c r="P542" i="15" s="1"/>
  <c r="M542" i="15"/>
  <c r="N542" i="15" s="1"/>
  <c r="L542" i="15"/>
  <c r="K542" i="15"/>
  <c r="I542" i="15"/>
  <c r="J542" i="15" s="1"/>
  <c r="H542" i="15"/>
  <c r="O541" i="15"/>
  <c r="P541" i="15" s="1"/>
  <c r="M541" i="15"/>
  <c r="N541" i="15" s="1"/>
  <c r="L541" i="15"/>
  <c r="K541" i="15"/>
  <c r="I541" i="15"/>
  <c r="J541" i="15" s="1"/>
  <c r="H541" i="15"/>
  <c r="O540" i="15"/>
  <c r="P540" i="15" s="1"/>
  <c r="M540" i="15"/>
  <c r="N540" i="15" s="1"/>
  <c r="L540" i="15"/>
  <c r="K540" i="15"/>
  <c r="I540" i="15"/>
  <c r="J540" i="15" s="1"/>
  <c r="H540" i="15"/>
  <c r="O539" i="15"/>
  <c r="P539" i="15" s="1"/>
  <c r="M539" i="15"/>
  <c r="N539" i="15" s="1"/>
  <c r="L539" i="15"/>
  <c r="K539" i="15"/>
  <c r="I539" i="15"/>
  <c r="J539" i="15" s="1"/>
  <c r="H539" i="15"/>
  <c r="O538" i="15"/>
  <c r="P538" i="15" s="1"/>
  <c r="M538" i="15"/>
  <c r="N538" i="15" s="1"/>
  <c r="L538" i="15"/>
  <c r="K538" i="15"/>
  <c r="I538" i="15"/>
  <c r="J538" i="15" s="1"/>
  <c r="H538" i="15"/>
  <c r="O537" i="15"/>
  <c r="P537" i="15" s="1"/>
  <c r="M537" i="15"/>
  <c r="N537" i="15" s="1"/>
  <c r="L537" i="15"/>
  <c r="K537" i="15"/>
  <c r="I537" i="15"/>
  <c r="J537" i="15" s="1"/>
  <c r="H537" i="15"/>
  <c r="O536" i="15"/>
  <c r="P536" i="15" s="1"/>
  <c r="M536" i="15"/>
  <c r="N536" i="15" s="1"/>
  <c r="L536" i="15"/>
  <c r="K536" i="15"/>
  <c r="I536" i="15"/>
  <c r="J536" i="15" s="1"/>
  <c r="H536" i="15"/>
  <c r="O535" i="15"/>
  <c r="P535" i="15" s="1"/>
  <c r="M535" i="15"/>
  <c r="N535" i="15" s="1"/>
  <c r="L535" i="15"/>
  <c r="K535" i="15"/>
  <c r="I535" i="15"/>
  <c r="J535" i="15" s="1"/>
  <c r="H535" i="15"/>
  <c r="O534" i="15"/>
  <c r="P534" i="15" s="1"/>
  <c r="M534" i="15"/>
  <c r="N534" i="15" s="1"/>
  <c r="L534" i="15"/>
  <c r="K534" i="15"/>
  <c r="I534" i="15"/>
  <c r="J534" i="15" s="1"/>
  <c r="H534" i="15"/>
  <c r="O533" i="15"/>
  <c r="P533" i="15" s="1"/>
  <c r="M533" i="15"/>
  <c r="N533" i="15" s="1"/>
  <c r="L533" i="15"/>
  <c r="K533" i="15"/>
  <c r="I533" i="15"/>
  <c r="J533" i="15" s="1"/>
  <c r="H533" i="15"/>
  <c r="O532" i="15"/>
  <c r="P532" i="15" s="1"/>
  <c r="M532" i="15"/>
  <c r="N532" i="15" s="1"/>
  <c r="L532" i="15"/>
  <c r="K532" i="15"/>
  <c r="I532" i="15"/>
  <c r="J532" i="15" s="1"/>
  <c r="H532" i="15"/>
  <c r="O531" i="15"/>
  <c r="P531" i="15" s="1"/>
  <c r="M531" i="15"/>
  <c r="N531" i="15" s="1"/>
  <c r="L531" i="15"/>
  <c r="K531" i="15"/>
  <c r="I531" i="15"/>
  <c r="J531" i="15" s="1"/>
  <c r="H531" i="15"/>
  <c r="O530" i="15"/>
  <c r="P530" i="15" s="1"/>
  <c r="M530" i="15"/>
  <c r="N530" i="15" s="1"/>
  <c r="L530" i="15"/>
  <c r="K530" i="15"/>
  <c r="I530" i="15"/>
  <c r="J530" i="15" s="1"/>
  <c r="H530" i="15"/>
  <c r="O529" i="15"/>
  <c r="P529" i="15" s="1"/>
  <c r="M529" i="15"/>
  <c r="N529" i="15" s="1"/>
  <c r="L529" i="15"/>
  <c r="K529" i="15"/>
  <c r="I529" i="15"/>
  <c r="J529" i="15" s="1"/>
  <c r="H529" i="15"/>
  <c r="O528" i="15"/>
  <c r="P528" i="15" s="1"/>
  <c r="M528" i="15"/>
  <c r="N528" i="15" s="1"/>
  <c r="L528" i="15"/>
  <c r="K528" i="15"/>
  <c r="I528" i="15"/>
  <c r="J528" i="15" s="1"/>
  <c r="H528" i="15"/>
  <c r="O527" i="15"/>
  <c r="P527" i="15" s="1"/>
  <c r="M527" i="15"/>
  <c r="N527" i="15" s="1"/>
  <c r="L527" i="15"/>
  <c r="K527" i="15"/>
  <c r="I527" i="15"/>
  <c r="J527" i="15" s="1"/>
  <c r="H527" i="15"/>
  <c r="O526" i="15"/>
  <c r="P526" i="15" s="1"/>
  <c r="M526" i="15"/>
  <c r="N526" i="15" s="1"/>
  <c r="L526" i="15"/>
  <c r="K526" i="15"/>
  <c r="I526" i="15"/>
  <c r="J526" i="15" s="1"/>
  <c r="H526" i="15"/>
  <c r="O525" i="15"/>
  <c r="P525" i="15" s="1"/>
  <c r="M525" i="15"/>
  <c r="N525" i="15" s="1"/>
  <c r="L525" i="15"/>
  <c r="K525" i="15"/>
  <c r="I525" i="15"/>
  <c r="J525" i="15" s="1"/>
  <c r="H525" i="15"/>
  <c r="O524" i="15"/>
  <c r="P524" i="15" s="1"/>
  <c r="M524" i="15"/>
  <c r="N524" i="15" s="1"/>
  <c r="L524" i="15"/>
  <c r="K524" i="15"/>
  <c r="I524" i="15"/>
  <c r="J524" i="15" s="1"/>
  <c r="H524" i="15"/>
  <c r="O523" i="15"/>
  <c r="P523" i="15" s="1"/>
  <c r="M523" i="15"/>
  <c r="N523" i="15" s="1"/>
  <c r="L523" i="15"/>
  <c r="K523" i="15"/>
  <c r="I523" i="15"/>
  <c r="J523" i="15" s="1"/>
  <c r="H523" i="15"/>
  <c r="O522" i="15"/>
  <c r="P522" i="15" s="1"/>
  <c r="M522" i="15"/>
  <c r="N522" i="15" s="1"/>
  <c r="L522" i="15"/>
  <c r="K522" i="15"/>
  <c r="I522" i="15"/>
  <c r="J522" i="15" s="1"/>
  <c r="H522" i="15"/>
  <c r="O521" i="15"/>
  <c r="P521" i="15" s="1"/>
  <c r="M521" i="15"/>
  <c r="N521" i="15" s="1"/>
  <c r="L521" i="15"/>
  <c r="K521" i="15"/>
  <c r="I521" i="15"/>
  <c r="J521" i="15" s="1"/>
  <c r="H521" i="15"/>
  <c r="O520" i="15"/>
  <c r="P520" i="15" s="1"/>
  <c r="M520" i="15"/>
  <c r="N520" i="15" s="1"/>
  <c r="L520" i="15"/>
  <c r="K520" i="15"/>
  <c r="I520" i="15"/>
  <c r="J520" i="15" s="1"/>
  <c r="H520" i="15"/>
  <c r="O519" i="15"/>
  <c r="P519" i="15" s="1"/>
  <c r="M519" i="15"/>
  <c r="N519" i="15" s="1"/>
  <c r="L519" i="15"/>
  <c r="K519" i="15"/>
  <c r="I519" i="15"/>
  <c r="J519" i="15" s="1"/>
  <c r="H519" i="15"/>
  <c r="O518" i="15"/>
  <c r="P518" i="15" s="1"/>
  <c r="M518" i="15"/>
  <c r="N518" i="15" s="1"/>
  <c r="L518" i="15"/>
  <c r="K518" i="15"/>
  <c r="I518" i="15"/>
  <c r="J518" i="15" s="1"/>
  <c r="H518" i="15"/>
  <c r="O517" i="15"/>
  <c r="P517" i="15" s="1"/>
  <c r="M517" i="15"/>
  <c r="N517" i="15" s="1"/>
  <c r="L517" i="15"/>
  <c r="K517" i="15"/>
  <c r="I517" i="15"/>
  <c r="J517" i="15" s="1"/>
  <c r="H517" i="15"/>
  <c r="O516" i="15"/>
  <c r="P516" i="15" s="1"/>
  <c r="M516" i="15"/>
  <c r="N516" i="15" s="1"/>
  <c r="L516" i="15"/>
  <c r="K516" i="15"/>
  <c r="I516" i="15"/>
  <c r="J516" i="15" s="1"/>
  <c r="H516" i="15"/>
  <c r="O515" i="15"/>
  <c r="P515" i="15" s="1"/>
  <c r="M515" i="15"/>
  <c r="N515" i="15" s="1"/>
  <c r="L515" i="15"/>
  <c r="K515" i="15"/>
  <c r="I515" i="15"/>
  <c r="J515" i="15" s="1"/>
  <c r="H515" i="15"/>
  <c r="O514" i="15"/>
  <c r="P514" i="15" s="1"/>
  <c r="M514" i="15"/>
  <c r="N514" i="15" s="1"/>
  <c r="L514" i="15"/>
  <c r="K514" i="15"/>
  <c r="I514" i="15"/>
  <c r="J514" i="15" s="1"/>
  <c r="H514" i="15"/>
  <c r="O513" i="15"/>
  <c r="P513" i="15" s="1"/>
  <c r="M513" i="15"/>
  <c r="N513" i="15" s="1"/>
  <c r="L513" i="15"/>
  <c r="K513" i="15"/>
  <c r="I513" i="15"/>
  <c r="J513" i="15" s="1"/>
  <c r="H513" i="15"/>
  <c r="O512" i="15"/>
  <c r="P512" i="15" s="1"/>
  <c r="M512" i="15"/>
  <c r="N512" i="15" s="1"/>
  <c r="L512" i="15"/>
  <c r="K512" i="15"/>
  <c r="I512" i="15"/>
  <c r="J512" i="15" s="1"/>
  <c r="H512" i="15"/>
  <c r="O511" i="15"/>
  <c r="P511" i="15" s="1"/>
  <c r="M511" i="15"/>
  <c r="N511" i="15" s="1"/>
  <c r="L511" i="15"/>
  <c r="K511" i="15"/>
  <c r="I511" i="15"/>
  <c r="J511" i="15" s="1"/>
  <c r="H511" i="15"/>
  <c r="O510" i="15"/>
  <c r="P510" i="15" s="1"/>
  <c r="M510" i="15"/>
  <c r="N510" i="15" s="1"/>
  <c r="L510" i="15"/>
  <c r="K510" i="15"/>
  <c r="I510" i="15"/>
  <c r="J510" i="15" s="1"/>
  <c r="H510" i="15"/>
  <c r="O509" i="15"/>
  <c r="P509" i="15" s="1"/>
  <c r="M509" i="15"/>
  <c r="N509" i="15" s="1"/>
  <c r="L509" i="15"/>
  <c r="K509" i="15"/>
  <c r="I509" i="15"/>
  <c r="J509" i="15" s="1"/>
  <c r="H509" i="15"/>
  <c r="O508" i="15"/>
  <c r="P508" i="15" s="1"/>
  <c r="M508" i="15"/>
  <c r="N508" i="15" s="1"/>
  <c r="L508" i="15"/>
  <c r="K508" i="15"/>
  <c r="I508" i="15"/>
  <c r="J508" i="15" s="1"/>
  <c r="H508" i="15"/>
  <c r="O507" i="15"/>
  <c r="P507" i="15" s="1"/>
  <c r="M507" i="15"/>
  <c r="N507" i="15" s="1"/>
  <c r="L507" i="15"/>
  <c r="K507" i="15"/>
  <c r="I507" i="15"/>
  <c r="J507" i="15" s="1"/>
  <c r="H507" i="15"/>
  <c r="O506" i="15"/>
  <c r="P506" i="15" s="1"/>
  <c r="M506" i="15"/>
  <c r="N506" i="15" s="1"/>
  <c r="L506" i="15"/>
  <c r="K506" i="15"/>
  <c r="I506" i="15"/>
  <c r="J506" i="15" s="1"/>
  <c r="H506" i="15"/>
  <c r="O505" i="15"/>
  <c r="P505" i="15" s="1"/>
  <c r="M505" i="15"/>
  <c r="N505" i="15" s="1"/>
  <c r="L505" i="15"/>
  <c r="K505" i="15"/>
  <c r="I505" i="15"/>
  <c r="J505" i="15" s="1"/>
  <c r="H505" i="15"/>
  <c r="O504" i="15"/>
  <c r="P504" i="15" s="1"/>
  <c r="M504" i="15"/>
  <c r="N504" i="15" s="1"/>
  <c r="L504" i="15"/>
  <c r="K504" i="15"/>
  <c r="I504" i="15"/>
  <c r="J504" i="15" s="1"/>
  <c r="H504" i="15"/>
  <c r="O503" i="15"/>
  <c r="P503" i="15" s="1"/>
  <c r="M503" i="15"/>
  <c r="N503" i="15" s="1"/>
  <c r="L503" i="15"/>
  <c r="K503" i="15"/>
  <c r="I503" i="15"/>
  <c r="J503" i="15" s="1"/>
  <c r="H503" i="15"/>
  <c r="O502" i="15"/>
  <c r="P502" i="15" s="1"/>
  <c r="M502" i="15"/>
  <c r="N502" i="15" s="1"/>
  <c r="L502" i="15"/>
  <c r="K502" i="15"/>
  <c r="I502" i="15"/>
  <c r="J502" i="15" s="1"/>
  <c r="H502" i="15"/>
  <c r="O501" i="15"/>
  <c r="P501" i="15" s="1"/>
  <c r="M501" i="15"/>
  <c r="N501" i="15" s="1"/>
  <c r="L501" i="15"/>
  <c r="K501" i="15"/>
  <c r="I501" i="15"/>
  <c r="J501" i="15" s="1"/>
  <c r="H501" i="15"/>
  <c r="O500" i="15"/>
  <c r="P500" i="15" s="1"/>
  <c r="M500" i="15"/>
  <c r="N500" i="15" s="1"/>
  <c r="L500" i="15"/>
  <c r="K500" i="15"/>
  <c r="I500" i="15"/>
  <c r="J500" i="15" s="1"/>
  <c r="H500" i="15"/>
  <c r="O499" i="15"/>
  <c r="P499" i="15" s="1"/>
  <c r="M499" i="15"/>
  <c r="N499" i="15" s="1"/>
  <c r="L499" i="15"/>
  <c r="K499" i="15"/>
  <c r="I499" i="15"/>
  <c r="J499" i="15" s="1"/>
  <c r="H499" i="15"/>
  <c r="O498" i="15"/>
  <c r="P498" i="15" s="1"/>
  <c r="M498" i="15"/>
  <c r="N498" i="15" s="1"/>
  <c r="L498" i="15"/>
  <c r="K498" i="15"/>
  <c r="I498" i="15"/>
  <c r="J498" i="15" s="1"/>
  <c r="H498" i="15"/>
  <c r="O497" i="15"/>
  <c r="P497" i="15" s="1"/>
  <c r="M497" i="15"/>
  <c r="N497" i="15" s="1"/>
  <c r="L497" i="15"/>
  <c r="K497" i="15"/>
  <c r="I497" i="15"/>
  <c r="J497" i="15" s="1"/>
  <c r="H497" i="15"/>
  <c r="O496" i="15"/>
  <c r="P496" i="15" s="1"/>
  <c r="M496" i="15"/>
  <c r="N496" i="15" s="1"/>
  <c r="L496" i="15"/>
  <c r="K496" i="15"/>
  <c r="I496" i="15"/>
  <c r="J496" i="15" s="1"/>
  <c r="H496" i="15"/>
  <c r="O495" i="15"/>
  <c r="P495" i="15" s="1"/>
  <c r="M495" i="15"/>
  <c r="N495" i="15" s="1"/>
  <c r="L495" i="15"/>
  <c r="K495" i="15"/>
  <c r="I495" i="15"/>
  <c r="J495" i="15" s="1"/>
  <c r="H495" i="15"/>
  <c r="O494" i="15"/>
  <c r="P494" i="15" s="1"/>
  <c r="M494" i="15"/>
  <c r="N494" i="15" s="1"/>
  <c r="L494" i="15"/>
  <c r="K494" i="15"/>
  <c r="I494" i="15"/>
  <c r="J494" i="15" s="1"/>
  <c r="H494" i="15"/>
  <c r="O493" i="15"/>
  <c r="P493" i="15" s="1"/>
  <c r="M493" i="15"/>
  <c r="N493" i="15" s="1"/>
  <c r="L493" i="15"/>
  <c r="K493" i="15"/>
  <c r="I493" i="15"/>
  <c r="J493" i="15" s="1"/>
  <c r="H493" i="15"/>
  <c r="O492" i="15"/>
  <c r="P492" i="15" s="1"/>
  <c r="M492" i="15"/>
  <c r="N492" i="15" s="1"/>
  <c r="L492" i="15"/>
  <c r="K492" i="15"/>
  <c r="I492" i="15"/>
  <c r="J492" i="15" s="1"/>
  <c r="H492" i="15"/>
  <c r="O491" i="15"/>
  <c r="P491" i="15" s="1"/>
  <c r="M491" i="15"/>
  <c r="N491" i="15" s="1"/>
  <c r="L491" i="15"/>
  <c r="K491" i="15"/>
  <c r="I491" i="15"/>
  <c r="J491" i="15" s="1"/>
  <c r="H491" i="15"/>
  <c r="O490" i="15"/>
  <c r="P490" i="15" s="1"/>
  <c r="M490" i="15"/>
  <c r="N490" i="15" s="1"/>
  <c r="L490" i="15"/>
  <c r="K490" i="15"/>
  <c r="I490" i="15"/>
  <c r="J490" i="15" s="1"/>
  <c r="H490" i="15"/>
  <c r="O489" i="15"/>
  <c r="P489" i="15" s="1"/>
  <c r="M489" i="15"/>
  <c r="N489" i="15" s="1"/>
  <c r="L489" i="15"/>
  <c r="K489" i="15"/>
  <c r="I489" i="15"/>
  <c r="J489" i="15" s="1"/>
  <c r="H489" i="15"/>
  <c r="O488" i="15"/>
  <c r="P488" i="15" s="1"/>
  <c r="M488" i="15"/>
  <c r="N488" i="15" s="1"/>
  <c r="L488" i="15"/>
  <c r="K488" i="15"/>
  <c r="I488" i="15"/>
  <c r="J488" i="15" s="1"/>
  <c r="H488" i="15"/>
  <c r="O487" i="15"/>
  <c r="P487" i="15" s="1"/>
  <c r="M487" i="15"/>
  <c r="N487" i="15" s="1"/>
  <c r="L487" i="15"/>
  <c r="K487" i="15"/>
  <c r="I487" i="15"/>
  <c r="J487" i="15" s="1"/>
  <c r="H487" i="15"/>
  <c r="O486" i="15"/>
  <c r="P486" i="15" s="1"/>
  <c r="M486" i="15"/>
  <c r="N486" i="15" s="1"/>
  <c r="L486" i="15"/>
  <c r="K486" i="15"/>
  <c r="I486" i="15"/>
  <c r="J486" i="15" s="1"/>
  <c r="H486" i="15"/>
  <c r="O485" i="15"/>
  <c r="P485" i="15" s="1"/>
  <c r="M485" i="15"/>
  <c r="N485" i="15" s="1"/>
  <c r="L485" i="15"/>
  <c r="K485" i="15"/>
  <c r="I485" i="15"/>
  <c r="J485" i="15" s="1"/>
  <c r="H485" i="15"/>
  <c r="O484" i="15"/>
  <c r="P484" i="15" s="1"/>
  <c r="M484" i="15"/>
  <c r="N484" i="15" s="1"/>
  <c r="L484" i="15"/>
  <c r="K484" i="15"/>
  <c r="I484" i="15"/>
  <c r="J484" i="15" s="1"/>
  <c r="H484" i="15"/>
  <c r="O483" i="15"/>
  <c r="P483" i="15" s="1"/>
  <c r="M483" i="15"/>
  <c r="N483" i="15" s="1"/>
  <c r="L483" i="15"/>
  <c r="K483" i="15"/>
  <c r="I483" i="15"/>
  <c r="J483" i="15" s="1"/>
  <c r="H483" i="15"/>
  <c r="O482" i="15"/>
  <c r="P482" i="15" s="1"/>
  <c r="M482" i="15"/>
  <c r="N482" i="15" s="1"/>
  <c r="L482" i="15"/>
  <c r="K482" i="15"/>
  <c r="I482" i="15"/>
  <c r="J482" i="15" s="1"/>
  <c r="H482" i="15"/>
  <c r="O481" i="15"/>
  <c r="P481" i="15" s="1"/>
  <c r="M481" i="15"/>
  <c r="N481" i="15" s="1"/>
  <c r="L481" i="15"/>
  <c r="K481" i="15"/>
  <c r="I481" i="15"/>
  <c r="J481" i="15" s="1"/>
  <c r="H481" i="15"/>
  <c r="O480" i="15"/>
  <c r="P480" i="15" s="1"/>
  <c r="M480" i="15"/>
  <c r="N480" i="15" s="1"/>
  <c r="L480" i="15"/>
  <c r="K480" i="15"/>
  <c r="I480" i="15"/>
  <c r="J480" i="15" s="1"/>
  <c r="H480" i="15"/>
  <c r="O479" i="15"/>
  <c r="P479" i="15" s="1"/>
  <c r="M479" i="15"/>
  <c r="N479" i="15" s="1"/>
  <c r="L479" i="15"/>
  <c r="K479" i="15"/>
  <c r="I479" i="15"/>
  <c r="J479" i="15" s="1"/>
  <c r="H479" i="15"/>
  <c r="O478" i="15"/>
  <c r="P478" i="15" s="1"/>
  <c r="M478" i="15"/>
  <c r="N478" i="15" s="1"/>
  <c r="L478" i="15"/>
  <c r="K478" i="15"/>
  <c r="I478" i="15"/>
  <c r="J478" i="15" s="1"/>
  <c r="H478" i="15"/>
  <c r="O477" i="15"/>
  <c r="P477" i="15" s="1"/>
  <c r="M477" i="15"/>
  <c r="N477" i="15" s="1"/>
  <c r="L477" i="15"/>
  <c r="K477" i="15"/>
  <c r="I477" i="15"/>
  <c r="J477" i="15" s="1"/>
  <c r="H477" i="15"/>
  <c r="O476" i="15"/>
  <c r="P476" i="15" s="1"/>
  <c r="M476" i="15"/>
  <c r="N476" i="15" s="1"/>
  <c r="L476" i="15"/>
  <c r="K476" i="15"/>
  <c r="I476" i="15"/>
  <c r="J476" i="15" s="1"/>
  <c r="H476" i="15"/>
  <c r="O475" i="15"/>
  <c r="P475" i="15" s="1"/>
  <c r="M475" i="15"/>
  <c r="N475" i="15" s="1"/>
  <c r="L475" i="15"/>
  <c r="K475" i="15"/>
  <c r="I475" i="15"/>
  <c r="J475" i="15" s="1"/>
  <c r="H475" i="15"/>
  <c r="O474" i="15"/>
  <c r="P474" i="15" s="1"/>
  <c r="M474" i="15"/>
  <c r="N474" i="15" s="1"/>
  <c r="L474" i="15"/>
  <c r="K474" i="15"/>
  <c r="I474" i="15"/>
  <c r="J474" i="15" s="1"/>
  <c r="H474" i="15"/>
  <c r="O473" i="15"/>
  <c r="P473" i="15" s="1"/>
  <c r="M473" i="15"/>
  <c r="N473" i="15" s="1"/>
  <c r="L473" i="15"/>
  <c r="K473" i="15"/>
  <c r="I473" i="15"/>
  <c r="J473" i="15" s="1"/>
  <c r="H473" i="15"/>
  <c r="O472" i="15"/>
  <c r="P472" i="15" s="1"/>
  <c r="M472" i="15"/>
  <c r="N472" i="15" s="1"/>
  <c r="L472" i="15"/>
  <c r="K472" i="15"/>
  <c r="I472" i="15"/>
  <c r="J472" i="15" s="1"/>
  <c r="H472" i="15"/>
  <c r="O471" i="15"/>
  <c r="P471" i="15" s="1"/>
  <c r="M471" i="15"/>
  <c r="N471" i="15" s="1"/>
  <c r="L471" i="15"/>
  <c r="K471" i="15"/>
  <c r="I471" i="15"/>
  <c r="J471" i="15" s="1"/>
  <c r="H471" i="15"/>
  <c r="O470" i="15"/>
  <c r="P470" i="15" s="1"/>
  <c r="M470" i="15"/>
  <c r="N470" i="15" s="1"/>
  <c r="L470" i="15"/>
  <c r="K470" i="15"/>
  <c r="I470" i="15"/>
  <c r="J470" i="15" s="1"/>
  <c r="H470" i="15"/>
  <c r="O469" i="15"/>
  <c r="P469" i="15" s="1"/>
  <c r="M469" i="15"/>
  <c r="N469" i="15" s="1"/>
  <c r="L469" i="15"/>
  <c r="K469" i="15"/>
  <c r="I469" i="15"/>
  <c r="J469" i="15" s="1"/>
  <c r="H469" i="15"/>
  <c r="O468" i="15"/>
  <c r="P468" i="15" s="1"/>
  <c r="M468" i="15"/>
  <c r="N468" i="15" s="1"/>
  <c r="L468" i="15"/>
  <c r="K468" i="15"/>
  <c r="I468" i="15"/>
  <c r="J468" i="15" s="1"/>
  <c r="H468" i="15"/>
  <c r="O467" i="15"/>
  <c r="P467" i="15" s="1"/>
  <c r="M467" i="15"/>
  <c r="N467" i="15" s="1"/>
  <c r="L467" i="15"/>
  <c r="K467" i="15"/>
  <c r="I467" i="15"/>
  <c r="J467" i="15" s="1"/>
  <c r="H467" i="15"/>
  <c r="O466" i="15"/>
  <c r="P466" i="15" s="1"/>
  <c r="M466" i="15"/>
  <c r="N466" i="15" s="1"/>
  <c r="L466" i="15"/>
  <c r="K466" i="15"/>
  <c r="I466" i="15"/>
  <c r="J466" i="15" s="1"/>
  <c r="H466" i="15"/>
  <c r="O465" i="15"/>
  <c r="P465" i="15" s="1"/>
  <c r="M465" i="15"/>
  <c r="N465" i="15" s="1"/>
  <c r="L465" i="15"/>
  <c r="K465" i="15"/>
  <c r="I465" i="15"/>
  <c r="J465" i="15" s="1"/>
  <c r="H465" i="15"/>
  <c r="O464" i="15"/>
  <c r="P464" i="15" s="1"/>
  <c r="M464" i="15"/>
  <c r="N464" i="15" s="1"/>
  <c r="L464" i="15"/>
  <c r="K464" i="15"/>
  <c r="I464" i="15"/>
  <c r="J464" i="15" s="1"/>
  <c r="H464" i="15"/>
  <c r="O463" i="15"/>
  <c r="P463" i="15" s="1"/>
  <c r="M463" i="15"/>
  <c r="N463" i="15" s="1"/>
  <c r="L463" i="15"/>
  <c r="K463" i="15"/>
  <c r="I463" i="15"/>
  <c r="J463" i="15" s="1"/>
  <c r="H463" i="15"/>
  <c r="O462" i="15"/>
  <c r="P462" i="15" s="1"/>
  <c r="M462" i="15"/>
  <c r="N462" i="15" s="1"/>
  <c r="L462" i="15"/>
  <c r="K462" i="15"/>
  <c r="I462" i="15"/>
  <c r="J462" i="15" s="1"/>
  <c r="H462" i="15"/>
  <c r="O461" i="15"/>
  <c r="P461" i="15" s="1"/>
  <c r="M461" i="15"/>
  <c r="N461" i="15" s="1"/>
  <c r="L461" i="15"/>
  <c r="K461" i="15"/>
  <c r="I461" i="15"/>
  <c r="J461" i="15" s="1"/>
  <c r="H461" i="15"/>
  <c r="O460" i="15"/>
  <c r="P460" i="15" s="1"/>
  <c r="M460" i="15"/>
  <c r="N460" i="15" s="1"/>
  <c r="L460" i="15"/>
  <c r="K460" i="15"/>
  <c r="I460" i="15"/>
  <c r="J460" i="15" s="1"/>
  <c r="H460" i="15"/>
  <c r="O459" i="15"/>
  <c r="P459" i="15" s="1"/>
  <c r="M459" i="15"/>
  <c r="N459" i="15" s="1"/>
  <c r="L459" i="15"/>
  <c r="K459" i="15"/>
  <c r="I459" i="15"/>
  <c r="J459" i="15" s="1"/>
  <c r="H459" i="15"/>
  <c r="O458" i="15"/>
  <c r="P458" i="15" s="1"/>
  <c r="M458" i="15"/>
  <c r="N458" i="15" s="1"/>
  <c r="L458" i="15"/>
  <c r="K458" i="15"/>
  <c r="I458" i="15"/>
  <c r="J458" i="15" s="1"/>
  <c r="H458" i="15"/>
  <c r="O457" i="15"/>
  <c r="P457" i="15" s="1"/>
  <c r="M457" i="15"/>
  <c r="N457" i="15" s="1"/>
  <c r="L457" i="15"/>
  <c r="K457" i="15"/>
  <c r="I457" i="15"/>
  <c r="J457" i="15" s="1"/>
  <c r="H457" i="15"/>
  <c r="O456" i="15"/>
  <c r="P456" i="15" s="1"/>
  <c r="M456" i="15"/>
  <c r="N456" i="15" s="1"/>
  <c r="L456" i="15"/>
  <c r="K456" i="15"/>
  <c r="I456" i="15"/>
  <c r="J456" i="15" s="1"/>
  <c r="H456" i="15"/>
  <c r="O455" i="15"/>
  <c r="P455" i="15" s="1"/>
  <c r="M455" i="15"/>
  <c r="N455" i="15" s="1"/>
  <c r="L455" i="15"/>
  <c r="K455" i="15"/>
  <c r="I455" i="15"/>
  <c r="J455" i="15" s="1"/>
  <c r="H455" i="15"/>
  <c r="O454" i="15"/>
  <c r="P454" i="15" s="1"/>
  <c r="M454" i="15"/>
  <c r="N454" i="15" s="1"/>
  <c r="L454" i="15"/>
  <c r="K454" i="15"/>
  <c r="I454" i="15"/>
  <c r="J454" i="15" s="1"/>
  <c r="H454" i="15"/>
  <c r="O453" i="15"/>
  <c r="P453" i="15" s="1"/>
  <c r="M453" i="15"/>
  <c r="N453" i="15" s="1"/>
  <c r="L453" i="15"/>
  <c r="K453" i="15"/>
  <c r="I453" i="15"/>
  <c r="J453" i="15" s="1"/>
  <c r="H453" i="15"/>
  <c r="O452" i="15"/>
  <c r="P452" i="15" s="1"/>
  <c r="M452" i="15"/>
  <c r="N452" i="15" s="1"/>
  <c r="L452" i="15"/>
  <c r="K452" i="15"/>
  <c r="I452" i="15"/>
  <c r="J452" i="15" s="1"/>
  <c r="H452" i="15"/>
  <c r="O451" i="15"/>
  <c r="P451" i="15" s="1"/>
  <c r="M451" i="15"/>
  <c r="N451" i="15" s="1"/>
  <c r="L451" i="15"/>
  <c r="K451" i="15"/>
  <c r="I451" i="15"/>
  <c r="J451" i="15" s="1"/>
  <c r="H451" i="15"/>
  <c r="O450" i="15"/>
  <c r="P450" i="15" s="1"/>
  <c r="M450" i="15"/>
  <c r="N450" i="15" s="1"/>
  <c r="L450" i="15"/>
  <c r="K450" i="15"/>
  <c r="I450" i="15"/>
  <c r="J450" i="15" s="1"/>
  <c r="H450" i="15"/>
  <c r="O449" i="15"/>
  <c r="P449" i="15" s="1"/>
  <c r="M449" i="15"/>
  <c r="N449" i="15" s="1"/>
  <c r="L449" i="15"/>
  <c r="K449" i="15"/>
  <c r="I449" i="15"/>
  <c r="J449" i="15" s="1"/>
  <c r="H449" i="15"/>
  <c r="O448" i="15"/>
  <c r="P448" i="15" s="1"/>
  <c r="M448" i="15"/>
  <c r="N448" i="15" s="1"/>
  <c r="L448" i="15"/>
  <c r="K448" i="15"/>
  <c r="I448" i="15"/>
  <c r="J448" i="15" s="1"/>
  <c r="H448" i="15"/>
  <c r="O447" i="15"/>
  <c r="P447" i="15" s="1"/>
  <c r="M447" i="15"/>
  <c r="N447" i="15" s="1"/>
  <c r="L447" i="15"/>
  <c r="K447" i="15"/>
  <c r="I447" i="15"/>
  <c r="J447" i="15" s="1"/>
  <c r="H447" i="15"/>
  <c r="O446" i="15"/>
  <c r="P446" i="15" s="1"/>
  <c r="M446" i="15"/>
  <c r="N446" i="15" s="1"/>
  <c r="L446" i="15"/>
  <c r="K446" i="15"/>
  <c r="I446" i="15"/>
  <c r="J446" i="15" s="1"/>
  <c r="H446" i="15"/>
  <c r="O445" i="15"/>
  <c r="P445" i="15" s="1"/>
  <c r="M445" i="15"/>
  <c r="N445" i="15" s="1"/>
  <c r="L445" i="15"/>
  <c r="K445" i="15"/>
  <c r="I445" i="15"/>
  <c r="J445" i="15" s="1"/>
  <c r="H445" i="15"/>
  <c r="O444" i="15"/>
  <c r="P444" i="15" s="1"/>
  <c r="M444" i="15"/>
  <c r="N444" i="15" s="1"/>
  <c r="L444" i="15"/>
  <c r="K444" i="15"/>
  <c r="I444" i="15"/>
  <c r="J444" i="15" s="1"/>
  <c r="H444" i="15"/>
  <c r="O443" i="15"/>
  <c r="P443" i="15" s="1"/>
  <c r="M443" i="15"/>
  <c r="N443" i="15" s="1"/>
  <c r="L443" i="15"/>
  <c r="K443" i="15"/>
  <c r="I443" i="15"/>
  <c r="J443" i="15" s="1"/>
  <c r="H443" i="15"/>
  <c r="O442" i="15"/>
  <c r="P442" i="15" s="1"/>
  <c r="M442" i="15"/>
  <c r="N442" i="15" s="1"/>
  <c r="L442" i="15"/>
  <c r="K442" i="15"/>
  <c r="I442" i="15"/>
  <c r="J442" i="15" s="1"/>
  <c r="H442" i="15"/>
  <c r="O441" i="15"/>
  <c r="P441" i="15" s="1"/>
  <c r="M441" i="15"/>
  <c r="N441" i="15" s="1"/>
  <c r="L441" i="15"/>
  <c r="K441" i="15"/>
  <c r="I441" i="15"/>
  <c r="J441" i="15" s="1"/>
  <c r="H441" i="15"/>
  <c r="O440" i="15"/>
  <c r="P440" i="15" s="1"/>
  <c r="M440" i="15"/>
  <c r="N440" i="15" s="1"/>
  <c r="L440" i="15"/>
  <c r="K440" i="15"/>
  <c r="I440" i="15"/>
  <c r="J440" i="15" s="1"/>
  <c r="H440" i="15"/>
  <c r="O439" i="15"/>
  <c r="P439" i="15" s="1"/>
  <c r="M439" i="15"/>
  <c r="N439" i="15" s="1"/>
  <c r="L439" i="15"/>
  <c r="K439" i="15"/>
  <c r="I439" i="15"/>
  <c r="J439" i="15" s="1"/>
  <c r="H439" i="15"/>
  <c r="O438" i="15"/>
  <c r="P438" i="15" s="1"/>
  <c r="M438" i="15"/>
  <c r="N438" i="15" s="1"/>
  <c r="L438" i="15"/>
  <c r="K438" i="15"/>
  <c r="I438" i="15"/>
  <c r="J438" i="15" s="1"/>
  <c r="H438" i="15"/>
  <c r="O437" i="15"/>
  <c r="P437" i="15" s="1"/>
  <c r="M437" i="15"/>
  <c r="N437" i="15" s="1"/>
  <c r="L437" i="15"/>
  <c r="K437" i="15"/>
  <c r="I437" i="15"/>
  <c r="J437" i="15" s="1"/>
  <c r="H437" i="15"/>
  <c r="O436" i="15"/>
  <c r="P436" i="15" s="1"/>
  <c r="M436" i="15"/>
  <c r="N436" i="15" s="1"/>
  <c r="L436" i="15"/>
  <c r="K436" i="15"/>
  <c r="I436" i="15"/>
  <c r="J436" i="15" s="1"/>
  <c r="H436" i="15"/>
  <c r="A439" i="17"/>
  <c r="O435" i="15"/>
  <c r="P435" i="15" s="1"/>
  <c r="M435" i="15"/>
  <c r="N435" i="15" s="1"/>
  <c r="L435" i="15"/>
  <c r="K435" i="15"/>
  <c r="I435" i="15"/>
  <c r="J435" i="15" s="1"/>
  <c r="H435" i="15"/>
  <c r="A438" i="17"/>
  <c r="O434" i="15"/>
  <c r="P434" i="15" s="1"/>
  <c r="M434" i="15"/>
  <c r="N434" i="15" s="1"/>
  <c r="L434" i="15"/>
  <c r="K434" i="15"/>
  <c r="I434" i="15"/>
  <c r="J434" i="15" s="1"/>
  <c r="H434" i="15"/>
  <c r="A437" i="17"/>
  <c r="O433" i="15"/>
  <c r="P433" i="15" s="1"/>
  <c r="M433" i="15"/>
  <c r="N433" i="15" s="1"/>
  <c r="L433" i="15"/>
  <c r="K433" i="15"/>
  <c r="I433" i="15"/>
  <c r="J433" i="15" s="1"/>
  <c r="H433" i="15"/>
  <c r="A436" i="17"/>
  <c r="O432" i="15"/>
  <c r="P432" i="15" s="1"/>
  <c r="M432" i="15"/>
  <c r="N432" i="15" s="1"/>
  <c r="L432" i="15"/>
  <c r="K432" i="15"/>
  <c r="I432" i="15"/>
  <c r="J432" i="15" s="1"/>
  <c r="H432" i="15"/>
  <c r="A435" i="17"/>
  <c r="O431" i="15"/>
  <c r="P431" i="15" s="1"/>
  <c r="M431" i="15"/>
  <c r="N431" i="15" s="1"/>
  <c r="L431" i="15"/>
  <c r="K431" i="15"/>
  <c r="I431" i="15"/>
  <c r="J431" i="15" s="1"/>
  <c r="H431" i="15"/>
  <c r="A434" i="17"/>
  <c r="O430" i="15"/>
  <c r="P430" i="15" s="1"/>
  <c r="M430" i="15"/>
  <c r="N430" i="15" s="1"/>
  <c r="L430" i="15"/>
  <c r="K430" i="15"/>
  <c r="I430" i="15"/>
  <c r="J430" i="15" s="1"/>
  <c r="H430" i="15"/>
  <c r="A433" i="17"/>
  <c r="O429" i="15"/>
  <c r="P429" i="15" s="1"/>
  <c r="M429" i="15"/>
  <c r="N429" i="15" s="1"/>
  <c r="L429" i="15"/>
  <c r="K429" i="15"/>
  <c r="I429" i="15"/>
  <c r="J429" i="15" s="1"/>
  <c r="H429" i="15"/>
  <c r="A432" i="17"/>
  <c r="O428" i="15"/>
  <c r="P428" i="15" s="1"/>
  <c r="M428" i="15"/>
  <c r="N428" i="15" s="1"/>
  <c r="L428" i="15"/>
  <c r="K428" i="15"/>
  <c r="I428" i="15"/>
  <c r="J428" i="15" s="1"/>
  <c r="H428" i="15"/>
  <c r="A431" i="17"/>
  <c r="O427" i="15"/>
  <c r="P427" i="15" s="1"/>
  <c r="M427" i="15"/>
  <c r="N427" i="15" s="1"/>
  <c r="L427" i="15"/>
  <c r="K427" i="15"/>
  <c r="I427" i="15"/>
  <c r="J427" i="15" s="1"/>
  <c r="H427" i="15"/>
  <c r="A430" i="17"/>
  <c r="O426" i="15"/>
  <c r="P426" i="15" s="1"/>
  <c r="M426" i="15"/>
  <c r="N426" i="15" s="1"/>
  <c r="L426" i="15"/>
  <c r="K426" i="15"/>
  <c r="I426" i="15"/>
  <c r="J426" i="15" s="1"/>
  <c r="H426" i="15"/>
  <c r="A429" i="17"/>
  <c r="O425" i="15"/>
  <c r="P425" i="15" s="1"/>
  <c r="M425" i="15"/>
  <c r="N425" i="15" s="1"/>
  <c r="L425" i="15"/>
  <c r="K425" i="15"/>
  <c r="I425" i="15"/>
  <c r="J425" i="15" s="1"/>
  <c r="H425" i="15"/>
  <c r="A428" i="17"/>
  <c r="O424" i="15"/>
  <c r="P424" i="15" s="1"/>
  <c r="M424" i="15"/>
  <c r="N424" i="15" s="1"/>
  <c r="L424" i="15"/>
  <c r="K424" i="15"/>
  <c r="I424" i="15"/>
  <c r="J424" i="15" s="1"/>
  <c r="H424" i="15"/>
  <c r="A427" i="17"/>
  <c r="O423" i="15"/>
  <c r="P423" i="15" s="1"/>
  <c r="M423" i="15"/>
  <c r="N423" i="15" s="1"/>
  <c r="L423" i="15"/>
  <c r="K423" i="15"/>
  <c r="I423" i="15"/>
  <c r="J423" i="15" s="1"/>
  <c r="H423" i="15"/>
  <c r="A426" i="17"/>
  <c r="O422" i="15"/>
  <c r="P422" i="15" s="1"/>
  <c r="M422" i="15"/>
  <c r="N422" i="15" s="1"/>
  <c r="L422" i="15"/>
  <c r="K422" i="15"/>
  <c r="I422" i="15"/>
  <c r="J422" i="15" s="1"/>
  <c r="H422" i="15"/>
  <c r="A425" i="17"/>
  <c r="O421" i="15"/>
  <c r="P421" i="15" s="1"/>
  <c r="M421" i="15"/>
  <c r="N421" i="15" s="1"/>
  <c r="L421" i="15"/>
  <c r="K421" i="15"/>
  <c r="I421" i="15"/>
  <c r="J421" i="15" s="1"/>
  <c r="H421" i="15"/>
  <c r="A424" i="17"/>
  <c r="O420" i="15"/>
  <c r="P420" i="15" s="1"/>
  <c r="M420" i="15"/>
  <c r="N420" i="15" s="1"/>
  <c r="L420" i="15"/>
  <c r="K420" i="15"/>
  <c r="I420" i="15"/>
  <c r="J420" i="15" s="1"/>
  <c r="H420" i="15"/>
  <c r="A423" i="17"/>
  <c r="O419" i="15"/>
  <c r="P419" i="15" s="1"/>
  <c r="M419" i="15"/>
  <c r="N419" i="15" s="1"/>
  <c r="L419" i="15"/>
  <c r="K419" i="15"/>
  <c r="I419" i="15"/>
  <c r="J419" i="15" s="1"/>
  <c r="H419" i="15"/>
  <c r="A422" i="17"/>
  <c r="O418" i="15"/>
  <c r="P418" i="15" s="1"/>
  <c r="M418" i="15"/>
  <c r="N418" i="15" s="1"/>
  <c r="L418" i="15"/>
  <c r="K418" i="15"/>
  <c r="I418" i="15"/>
  <c r="J418" i="15" s="1"/>
  <c r="H418" i="15"/>
  <c r="A421" i="17"/>
  <c r="O417" i="15"/>
  <c r="P417" i="15" s="1"/>
  <c r="M417" i="15"/>
  <c r="N417" i="15" s="1"/>
  <c r="L417" i="15"/>
  <c r="K417" i="15"/>
  <c r="I417" i="15"/>
  <c r="J417" i="15" s="1"/>
  <c r="H417" i="15"/>
  <c r="A420" i="17"/>
  <c r="O416" i="15"/>
  <c r="P416" i="15" s="1"/>
  <c r="M416" i="15"/>
  <c r="N416" i="15" s="1"/>
  <c r="L416" i="15"/>
  <c r="K416" i="15"/>
  <c r="I416" i="15"/>
  <c r="J416" i="15" s="1"/>
  <c r="H416" i="15"/>
  <c r="A419" i="17"/>
  <c r="O415" i="15"/>
  <c r="P415" i="15" s="1"/>
  <c r="M415" i="15"/>
  <c r="N415" i="15" s="1"/>
  <c r="L415" i="15"/>
  <c r="K415" i="15"/>
  <c r="I415" i="15"/>
  <c r="J415" i="15" s="1"/>
  <c r="H415" i="15"/>
  <c r="A418" i="17"/>
  <c r="O414" i="15"/>
  <c r="P414" i="15" s="1"/>
  <c r="M414" i="15"/>
  <c r="N414" i="15" s="1"/>
  <c r="L414" i="15"/>
  <c r="K414" i="15"/>
  <c r="I414" i="15"/>
  <c r="J414" i="15" s="1"/>
  <c r="H414" i="15"/>
  <c r="A417" i="17"/>
  <c r="O413" i="15"/>
  <c r="P413" i="15" s="1"/>
  <c r="M413" i="15"/>
  <c r="N413" i="15" s="1"/>
  <c r="L413" i="15"/>
  <c r="K413" i="15"/>
  <c r="I413" i="15"/>
  <c r="J413" i="15" s="1"/>
  <c r="H413" i="15"/>
  <c r="A416" i="17"/>
  <c r="O412" i="15"/>
  <c r="P412" i="15" s="1"/>
  <c r="M412" i="15"/>
  <c r="N412" i="15" s="1"/>
  <c r="L412" i="15"/>
  <c r="K412" i="15"/>
  <c r="I412" i="15"/>
  <c r="J412" i="15" s="1"/>
  <c r="H412" i="15"/>
  <c r="A415" i="17"/>
  <c r="O411" i="15"/>
  <c r="P411" i="15" s="1"/>
  <c r="M411" i="15"/>
  <c r="N411" i="15" s="1"/>
  <c r="L411" i="15"/>
  <c r="K411" i="15"/>
  <c r="I411" i="15"/>
  <c r="J411" i="15" s="1"/>
  <c r="H411" i="15"/>
  <c r="A414" i="17"/>
  <c r="O410" i="15"/>
  <c r="P410" i="15" s="1"/>
  <c r="M410" i="15"/>
  <c r="N410" i="15" s="1"/>
  <c r="L410" i="15"/>
  <c r="K410" i="15"/>
  <c r="I410" i="15"/>
  <c r="J410" i="15" s="1"/>
  <c r="H410" i="15"/>
  <c r="A413" i="17"/>
  <c r="O409" i="15"/>
  <c r="P409" i="15" s="1"/>
  <c r="M409" i="15"/>
  <c r="N409" i="15" s="1"/>
  <c r="L409" i="15"/>
  <c r="K409" i="15"/>
  <c r="I409" i="15"/>
  <c r="J409" i="15" s="1"/>
  <c r="H409" i="15"/>
  <c r="A412" i="17"/>
  <c r="O408" i="15"/>
  <c r="P408" i="15" s="1"/>
  <c r="M408" i="15"/>
  <c r="N408" i="15" s="1"/>
  <c r="L408" i="15"/>
  <c r="K408" i="15"/>
  <c r="I408" i="15"/>
  <c r="J408" i="15" s="1"/>
  <c r="H408" i="15"/>
  <c r="A411" i="17"/>
  <c r="O407" i="15"/>
  <c r="P407" i="15" s="1"/>
  <c r="M407" i="15"/>
  <c r="N407" i="15" s="1"/>
  <c r="L407" i="15"/>
  <c r="K407" i="15"/>
  <c r="I407" i="15"/>
  <c r="J407" i="15" s="1"/>
  <c r="H407" i="15"/>
  <c r="A410" i="17"/>
  <c r="O406" i="15"/>
  <c r="P406" i="15" s="1"/>
  <c r="M406" i="15"/>
  <c r="N406" i="15" s="1"/>
  <c r="L406" i="15"/>
  <c r="K406" i="15"/>
  <c r="I406" i="15"/>
  <c r="J406" i="15" s="1"/>
  <c r="H406" i="15"/>
  <c r="A409" i="17"/>
  <c r="O405" i="15"/>
  <c r="P405" i="15" s="1"/>
  <c r="M405" i="15"/>
  <c r="N405" i="15" s="1"/>
  <c r="L405" i="15"/>
  <c r="K405" i="15"/>
  <c r="I405" i="15"/>
  <c r="J405" i="15" s="1"/>
  <c r="H405" i="15"/>
  <c r="A408" i="17"/>
  <c r="O404" i="15"/>
  <c r="P404" i="15" s="1"/>
  <c r="M404" i="15"/>
  <c r="N404" i="15" s="1"/>
  <c r="L404" i="15"/>
  <c r="K404" i="15"/>
  <c r="I404" i="15"/>
  <c r="J404" i="15" s="1"/>
  <c r="H404" i="15"/>
  <c r="A407" i="17"/>
  <c r="O403" i="15"/>
  <c r="P403" i="15" s="1"/>
  <c r="M403" i="15"/>
  <c r="N403" i="15" s="1"/>
  <c r="L403" i="15"/>
  <c r="K403" i="15"/>
  <c r="I403" i="15"/>
  <c r="J403" i="15" s="1"/>
  <c r="H403" i="15"/>
  <c r="A406" i="17"/>
  <c r="O402" i="15"/>
  <c r="P402" i="15" s="1"/>
  <c r="M402" i="15"/>
  <c r="N402" i="15" s="1"/>
  <c r="L402" i="15"/>
  <c r="K402" i="15"/>
  <c r="I402" i="15"/>
  <c r="J402" i="15" s="1"/>
  <c r="H402" i="15"/>
  <c r="A405" i="17"/>
  <c r="O401" i="15"/>
  <c r="P401" i="15" s="1"/>
  <c r="M401" i="15"/>
  <c r="N401" i="15" s="1"/>
  <c r="L401" i="15"/>
  <c r="K401" i="15"/>
  <c r="I401" i="15"/>
  <c r="J401" i="15" s="1"/>
  <c r="H401" i="15"/>
  <c r="A404" i="17"/>
  <c r="O400" i="15"/>
  <c r="P400" i="15" s="1"/>
  <c r="M400" i="15"/>
  <c r="N400" i="15" s="1"/>
  <c r="L400" i="15"/>
  <c r="K400" i="15"/>
  <c r="I400" i="15"/>
  <c r="J400" i="15" s="1"/>
  <c r="H400" i="15"/>
  <c r="A403" i="17"/>
  <c r="O399" i="15"/>
  <c r="P399" i="15" s="1"/>
  <c r="M399" i="15"/>
  <c r="N399" i="15" s="1"/>
  <c r="L399" i="15"/>
  <c r="K399" i="15"/>
  <c r="I399" i="15"/>
  <c r="J399" i="15" s="1"/>
  <c r="H399" i="15"/>
  <c r="A402" i="17"/>
  <c r="O398" i="15"/>
  <c r="P398" i="15" s="1"/>
  <c r="M398" i="15"/>
  <c r="N398" i="15" s="1"/>
  <c r="L398" i="15"/>
  <c r="K398" i="15"/>
  <c r="I398" i="15"/>
  <c r="J398" i="15" s="1"/>
  <c r="H398" i="15"/>
  <c r="A401" i="17"/>
  <c r="O397" i="15"/>
  <c r="P397" i="15" s="1"/>
  <c r="M397" i="15"/>
  <c r="N397" i="15" s="1"/>
  <c r="L397" i="15"/>
  <c r="K397" i="15"/>
  <c r="I397" i="15"/>
  <c r="J397" i="15" s="1"/>
  <c r="H397" i="15"/>
  <c r="A400" i="17"/>
  <c r="O396" i="15"/>
  <c r="P396" i="15" s="1"/>
  <c r="M396" i="15"/>
  <c r="N396" i="15" s="1"/>
  <c r="L396" i="15"/>
  <c r="K396" i="15"/>
  <c r="I396" i="15"/>
  <c r="J396" i="15" s="1"/>
  <c r="H396" i="15"/>
  <c r="A399" i="17"/>
  <c r="O395" i="15"/>
  <c r="P395" i="15" s="1"/>
  <c r="M395" i="15"/>
  <c r="N395" i="15" s="1"/>
  <c r="L395" i="15"/>
  <c r="K395" i="15"/>
  <c r="I395" i="15"/>
  <c r="J395" i="15" s="1"/>
  <c r="H395" i="15"/>
  <c r="A398" i="17"/>
  <c r="O394" i="15"/>
  <c r="P394" i="15" s="1"/>
  <c r="M394" i="15"/>
  <c r="N394" i="15" s="1"/>
  <c r="L394" i="15"/>
  <c r="K394" i="15"/>
  <c r="I394" i="15"/>
  <c r="J394" i="15" s="1"/>
  <c r="H394" i="15"/>
  <c r="A397" i="17"/>
  <c r="O393" i="15"/>
  <c r="P393" i="15" s="1"/>
  <c r="M393" i="15"/>
  <c r="N393" i="15" s="1"/>
  <c r="L393" i="15"/>
  <c r="K393" i="15"/>
  <c r="I393" i="15"/>
  <c r="J393" i="15" s="1"/>
  <c r="H393" i="15"/>
  <c r="A396" i="17"/>
  <c r="O392" i="15"/>
  <c r="P392" i="15" s="1"/>
  <c r="M392" i="15"/>
  <c r="N392" i="15" s="1"/>
  <c r="L392" i="15"/>
  <c r="K392" i="15"/>
  <c r="I392" i="15"/>
  <c r="J392" i="15" s="1"/>
  <c r="H392" i="15"/>
  <c r="A395" i="17"/>
  <c r="O391" i="15"/>
  <c r="P391" i="15" s="1"/>
  <c r="M391" i="15"/>
  <c r="N391" i="15" s="1"/>
  <c r="L391" i="15"/>
  <c r="K391" i="15"/>
  <c r="I391" i="15"/>
  <c r="J391" i="15" s="1"/>
  <c r="H391" i="15"/>
  <c r="A394" i="17"/>
  <c r="O390" i="15"/>
  <c r="P390" i="15" s="1"/>
  <c r="M390" i="15"/>
  <c r="N390" i="15" s="1"/>
  <c r="L390" i="15"/>
  <c r="K390" i="15"/>
  <c r="I390" i="15"/>
  <c r="J390" i="15" s="1"/>
  <c r="H390" i="15"/>
  <c r="A393" i="17"/>
  <c r="O389" i="15"/>
  <c r="P389" i="15" s="1"/>
  <c r="M389" i="15"/>
  <c r="N389" i="15" s="1"/>
  <c r="L389" i="15"/>
  <c r="K389" i="15"/>
  <c r="I389" i="15"/>
  <c r="J389" i="15" s="1"/>
  <c r="H389" i="15"/>
  <c r="A392" i="17"/>
  <c r="O388" i="15"/>
  <c r="P388" i="15" s="1"/>
  <c r="M388" i="15"/>
  <c r="N388" i="15" s="1"/>
  <c r="L388" i="15"/>
  <c r="K388" i="15"/>
  <c r="I388" i="15"/>
  <c r="J388" i="15" s="1"/>
  <c r="H388" i="15"/>
  <c r="A391" i="17"/>
  <c r="O387" i="15"/>
  <c r="P387" i="15" s="1"/>
  <c r="M387" i="15"/>
  <c r="N387" i="15" s="1"/>
  <c r="L387" i="15"/>
  <c r="K387" i="15"/>
  <c r="I387" i="15"/>
  <c r="J387" i="15" s="1"/>
  <c r="H387" i="15"/>
  <c r="A390" i="17"/>
  <c r="O386" i="15"/>
  <c r="P386" i="15" s="1"/>
  <c r="M386" i="15"/>
  <c r="N386" i="15" s="1"/>
  <c r="L386" i="15"/>
  <c r="K386" i="15"/>
  <c r="I386" i="15"/>
  <c r="J386" i="15" s="1"/>
  <c r="H386" i="15"/>
  <c r="A389" i="17"/>
  <c r="O385" i="15"/>
  <c r="P385" i="15" s="1"/>
  <c r="M385" i="15"/>
  <c r="N385" i="15" s="1"/>
  <c r="L385" i="15"/>
  <c r="K385" i="15"/>
  <c r="I385" i="15"/>
  <c r="J385" i="15" s="1"/>
  <c r="H385" i="15"/>
  <c r="A388" i="17"/>
  <c r="O384" i="15"/>
  <c r="P384" i="15" s="1"/>
  <c r="M384" i="15"/>
  <c r="N384" i="15" s="1"/>
  <c r="L384" i="15"/>
  <c r="K384" i="15"/>
  <c r="I384" i="15"/>
  <c r="J384" i="15" s="1"/>
  <c r="H384" i="15"/>
  <c r="A387" i="17"/>
  <c r="O383" i="15"/>
  <c r="P383" i="15" s="1"/>
  <c r="M383" i="15"/>
  <c r="N383" i="15" s="1"/>
  <c r="L383" i="15"/>
  <c r="K383" i="15"/>
  <c r="I383" i="15"/>
  <c r="J383" i="15" s="1"/>
  <c r="H383" i="15"/>
  <c r="A386" i="17"/>
  <c r="O382" i="15"/>
  <c r="P382" i="15" s="1"/>
  <c r="M382" i="15"/>
  <c r="N382" i="15" s="1"/>
  <c r="L382" i="15"/>
  <c r="K382" i="15"/>
  <c r="I382" i="15"/>
  <c r="J382" i="15" s="1"/>
  <c r="H382" i="15"/>
  <c r="A385" i="17"/>
  <c r="O381" i="15"/>
  <c r="P381" i="15" s="1"/>
  <c r="M381" i="15"/>
  <c r="N381" i="15" s="1"/>
  <c r="L381" i="15"/>
  <c r="K381" i="15"/>
  <c r="I381" i="15"/>
  <c r="J381" i="15" s="1"/>
  <c r="H381" i="15"/>
  <c r="A384" i="17"/>
  <c r="O380" i="15"/>
  <c r="P380" i="15" s="1"/>
  <c r="M380" i="15"/>
  <c r="N380" i="15" s="1"/>
  <c r="L380" i="15"/>
  <c r="K380" i="15"/>
  <c r="I380" i="15"/>
  <c r="J380" i="15" s="1"/>
  <c r="H380" i="15"/>
  <c r="A383" i="17"/>
  <c r="O379" i="15"/>
  <c r="P379" i="15" s="1"/>
  <c r="M379" i="15"/>
  <c r="N379" i="15" s="1"/>
  <c r="L379" i="15"/>
  <c r="K379" i="15"/>
  <c r="I379" i="15"/>
  <c r="J379" i="15" s="1"/>
  <c r="H379" i="15"/>
  <c r="A382" i="17"/>
  <c r="O378" i="15"/>
  <c r="P378" i="15" s="1"/>
  <c r="M378" i="15"/>
  <c r="N378" i="15" s="1"/>
  <c r="L378" i="15"/>
  <c r="K378" i="15"/>
  <c r="I378" i="15"/>
  <c r="J378" i="15" s="1"/>
  <c r="H378" i="15"/>
  <c r="A381" i="17"/>
  <c r="O377" i="15"/>
  <c r="P377" i="15" s="1"/>
  <c r="M377" i="15"/>
  <c r="N377" i="15" s="1"/>
  <c r="L377" i="15"/>
  <c r="K377" i="15"/>
  <c r="I377" i="15"/>
  <c r="J377" i="15" s="1"/>
  <c r="H377" i="15"/>
  <c r="A380" i="17"/>
  <c r="O376" i="15"/>
  <c r="P376" i="15" s="1"/>
  <c r="M376" i="15"/>
  <c r="N376" i="15" s="1"/>
  <c r="L376" i="15"/>
  <c r="K376" i="15"/>
  <c r="I376" i="15"/>
  <c r="J376" i="15" s="1"/>
  <c r="H376" i="15"/>
  <c r="A379" i="17"/>
  <c r="O375" i="15"/>
  <c r="P375" i="15" s="1"/>
  <c r="M375" i="15"/>
  <c r="N375" i="15" s="1"/>
  <c r="L375" i="15"/>
  <c r="K375" i="15"/>
  <c r="I375" i="15"/>
  <c r="J375" i="15" s="1"/>
  <c r="H375" i="15"/>
  <c r="A378" i="17"/>
  <c r="O374" i="15"/>
  <c r="P374" i="15" s="1"/>
  <c r="M374" i="15"/>
  <c r="N374" i="15" s="1"/>
  <c r="L374" i="15"/>
  <c r="K374" i="15"/>
  <c r="I374" i="15"/>
  <c r="J374" i="15" s="1"/>
  <c r="H374" i="15"/>
  <c r="A377" i="17"/>
  <c r="O373" i="15"/>
  <c r="P373" i="15" s="1"/>
  <c r="M373" i="15"/>
  <c r="N373" i="15" s="1"/>
  <c r="L373" i="15"/>
  <c r="K373" i="15"/>
  <c r="I373" i="15"/>
  <c r="J373" i="15" s="1"/>
  <c r="H373" i="15"/>
  <c r="A376" i="17"/>
  <c r="O372" i="15"/>
  <c r="P372" i="15" s="1"/>
  <c r="M372" i="15"/>
  <c r="N372" i="15" s="1"/>
  <c r="L372" i="15"/>
  <c r="K372" i="15"/>
  <c r="I372" i="15"/>
  <c r="J372" i="15" s="1"/>
  <c r="H372" i="15"/>
  <c r="A375" i="17"/>
  <c r="O371" i="15"/>
  <c r="P371" i="15" s="1"/>
  <c r="M371" i="15"/>
  <c r="N371" i="15" s="1"/>
  <c r="L371" i="15"/>
  <c r="K371" i="15"/>
  <c r="I371" i="15"/>
  <c r="J371" i="15" s="1"/>
  <c r="H371" i="15"/>
  <c r="A374" i="17"/>
  <c r="O370" i="15"/>
  <c r="P370" i="15" s="1"/>
  <c r="M370" i="15"/>
  <c r="N370" i="15" s="1"/>
  <c r="L370" i="15"/>
  <c r="K370" i="15"/>
  <c r="I370" i="15"/>
  <c r="J370" i="15" s="1"/>
  <c r="H370" i="15"/>
  <c r="A373" i="17"/>
  <c r="O369" i="15"/>
  <c r="P369" i="15" s="1"/>
  <c r="M369" i="15"/>
  <c r="N369" i="15" s="1"/>
  <c r="L369" i="15"/>
  <c r="K369" i="15"/>
  <c r="I369" i="15"/>
  <c r="J369" i="15" s="1"/>
  <c r="H369" i="15"/>
  <c r="A372" i="17"/>
  <c r="O368" i="15"/>
  <c r="P368" i="15" s="1"/>
  <c r="M368" i="15"/>
  <c r="N368" i="15" s="1"/>
  <c r="L368" i="15"/>
  <c r="K368" i="15"/>
  <c r="I368" i="15"/>
  <c r="J368" i="15" s="1"/>
  <c r="H368" i="15"/>
  <c r="A371" i="17"/>
  <c r="O367" i="15"/>
  <c r="P367" i="15" s="1"/>
  <c r="M367" i="15"/>
  <c r="N367" i="15" s="1"/>
  <c r="L367" i="15"/>
  <c r="K367" i="15"/>
  <c r="I367" i="15"/>
  <c r="J367" i="15" s="1"/>
  <c r="H367" i="15"/>
  <c r="A370" i="17"/>
  <c r="O366" i="15"/>
  <c r="P366" i="15" s="1"/>
  <c r="M366" i="15"/>
  <c r="N366" i="15" s="1"/>
  <c r="L366" i="15"/>
  <c r="K366" i="15"/>
  <c r="I366" i="15"/>
  <c r="J366" i="15" s="1"/>
  <c r="H366" i="15"/>
  <c r="A369" i="17"/>
  <c r="O365" i="15"/>
  <c r="P365" i="15" s="1"/>
  <c r="M365" i="15"/>
  <c r="N365" i="15" s="1"/>
  <c r="L365" i="15"/>
  <c r="K365" i="15"/>
  <c r="I365" i="15"/>
  <c r="J365" i="15" s="1"/>
  <c r="H365" i="15"/>
  <c r="A368" i="17"/>
  <c r="O364" i="15"/>
  <c r="P364" i="15" s="1"/>
  <c r="M364" i="15"/>
  <c r="N364" i="15" s="1"/>
  <c r="L364" i="15"/>
  <c r="K364" i="15"/>
  <c r="I364" i="15"/>
  <c r="J364" i="15" s="1"/>
  <c r="H364" i="15"/>
  <c r="A367" i="17"/>
  <c r="O363" i="15"/>
  <c r="P363" i="15" s="1"/>
  <c r="M363" i="15"/>
  <c r="N363" i="15" s="1"/>
  <c r="L363" i="15"/>
  <c r="K363" i="15"/>
  <c r="I363" i="15"/>
  <c r="J363" i="15" s="1"/>
  <c r="H363" i="15"/>
  <c r="A366" i="17"/>
  <c r="O362" i="15"/>
  <c r="P362" i="15" s="1"/>
  <c r="M362" i="15"/>
  <c r="N362" i="15" s="1"/>
  <c r="L362" i="15"/>
  <c r="K362" i="15"/>
  <c r="I362" i="15"/>
  <c r="J362" i="15" s="1"/>
  <c r="H362" i="15"/>
  <c r="A365" i="17"/>
  <c r="O361" i="15"/>
  <c r="P361" i="15" s="1"/>
  <c r="M361" i="15"/>
  <c r="N361" i="15" s="1"/>
  <c r="L361" i="15"/>
  <c r="K361" i="15"/>
  <c r="I361" i="15"/>
  <c r="J361" i="15" s="1"/>
  <c r="H361" i="15"/>
  <c r="A364" i="17"/>
  <c r="O360" i="15"/>
  <c r="P360" i="15" s="1"/>
  <c r="M360" i="15"/>
  <c r="N360" i="15" s="1"/>
  <c r="L360" i="15"/>
  <c r="K360" i="15"/>
  <c r="I360" i="15"/>
  <c r="J360" i="15" s="1"/>
  <c r="H360" i="15"/>
  <c r="A363" i="17"/>
  <c r="O359" i="15"/>
  <c r="P359" i="15" s="1"/>
  <c r="M359" i="15"/>
  <c r="N359" i="15" s="1"/>
  <c r="L359" i="15"/>
  <c r="K359" i="15"/>
  <c r="I359" i="15"/>
  <c r="J359" i="15" s="1"/>
  <c r="H359" i="15"/>
  <c r="A362" i="17"/>
  <c r="O358" i="15"/>
  <c r="P358" i="15" s="1"/>
  <c r="M358" i="15"/>
  <c r="N358" i="15" s="1"/>
  <c r="L358" i="15"/>
  <c r="K358" i="15"/>
  <c r="I358" i="15"/>
  <c r="J358" i="15" s="1"/>
  <c r="H358" i="15"/>
  <c r="A361" i="17"/>
  <c r="O357" i="15"/>
  <c r="P357" i="15" s="1"/>
  <c r="M357" i="15"/>
  <c r="N357" i="15" s="1"/>
  <c r="L357" i="15"/>
  <c r="K357" i="15"/>
  <c r="I357" i="15"/>
  <c r="J357" i="15" s="1"/>
  <c r="H357" i="15"/>
  <c r="A360" i="17"/>
  <c r="O356" i="15"/>
  <c r="P356" i="15" s="1"/>
  <c r="M356" i="15"/>
  <c r="N356" i="15" s="1"/>
  <c r="L356" i="15"/>
  <c r="K356" i="15"/>
  <c r="I356" i="15"/>
  <c r="J356" i="15" s="1"/>
  <c r="H356" i="15"/>
  <c r="A359" i="17"/>
  <c r="O355" i="15"/>
  <c r="P355" i="15" s="1"/>
  <c r="M355" i="15"/>
  <c r="N355" i="15" s="1"/>
  <c r="L355" i="15"/>
  <c r="K355" i="15"/>
  <c r="I355" i="15"/>
  <c r="J355" i="15" s="1"/>
  <c r="H355" i="15"/>
  <c r="A358" i="17"/>
  <c r="O354" i="15"/>
  <c r="P354" i="15" s="1"/>
  <c r="M354" i="15"/>
  <c r="N354" i="15" s="1"/>
  <c r="L354" i="15"/>
  <c r="K354" i="15"/>
  <c r="I354" i="15"/>
  <c r="J354" i="15" s="1"/>
  <c r="H354" i="15"/>
  <c r="A357" i="17"/>
  <c r="O353" i="15"/>
  <c r="P353" i="15" s="1"/>
  <c r="M353" i="15"/>
  <c r="N353" i="15" s="1"/>
  <c r="L353" i="15"/>
  <c r="K353" i="15"/>
  <c r="I353" i="15"/>
  <c r="J353" i="15" s="1"/>
  <c r="H353" i="15"/>
  <c r="A356" i="17"/>
  <c r="O352" i="15"/>
  <c r="P352" i="15" s="1"/>
  <c r="M352" i="15"/>
  <c r="N352" i="15" s="1"/>
  <c r="L352" i="15"/>
  <c r="K352" i="15"/>
  <c r="I352" i="15"/>
  <c r="J352" i="15" s="1"/>
  <c r="H352" i="15"/>
  <c r="A355" i="17"/>
  <c r="O351" i="15"/>
  <c r="P351" i="15" s="1"/>
  <c r="M351" i="15"/>
  <c r="N351" i="15" s="1"/>
  <c r="L351" i="15"/>
  <c r="K351" i="15"/>
  <c r="I351" i="15"/>
  <c r="J351" i="15" s="1"/>
  <c r="H351" i="15"/>
  <c r="A354" i="17"/>
  <c r="O350" i="15"/>
  <c r="P350" i="15" s="1"/>
  <c r="M350" i="15"/>
  <c r="N350" i="15" s="1"/>
  <c r="L350" i="15"/>
  <c r="K350" i="15"/>
  <c r="I350" i="15"/>
  <c r="J350" i="15" s="1"/>
  <c r="H350" i="15"/>
  <c r="A353" i="17"/>
  <c r="O349" i="15"/>
  <c r="P349" i="15" s="1"/>
  <c r="M349" i="15"/>
  <c r="N349" i="15" s="1"/>
  <c r="L349" i="15"/>
  <c r="K349" i="15"/>
  <c r="I349" i="15"/>
  <c r="J349" i="15" s="1"/>
  <c r="H349" i="15"/>
  <c r="A352" i="17"/>
  <c r="O348" i="15"/>
  <c r="P348" i="15" s="1"/>
  <c r="M348" i="15"/>
  <c r="N348" i="15" s="1"/>
  <c r="L348" i="15"/>
  <c r="K348" i="15"/>
  <c r="I348" i="15"/>
  <c r="J348" i="15" s="1"/>
  <c r="H348" i="15"/>
  <c r="A351" i="17"/>
  <c r="O347" i="15"/>
  <c r="P347" i="15" s="1"/>
  <c r="M347" i="15"/>
  <c r="N347" i="15" s="1"/>
  <c r="L347" i="15"/>
  <c r="K347" i="15"/>
  <c r="I347" i="15"/>
  <c r="J347" i="15" s="1"/>
  <c r="H347" i="15"/>
  <c r="A350" i="17"/>
  <c r="O346" i="15"/>
  <c r="P346" i="15" s="1"/>
  <c r="M346" i="15"/>
  <c r="N346" i="15" s="1"/>
  <c r="L346" i="15"/>
  <c r="K346" i="15"/>
  <c r="I346" i="15"/>
  <c r="J346" i="15" s="1"/>
  <c r="H346" i="15"/>
  <c r="A349" i="17"/>
  <c r="O345" i="15"/>
  <c r="P345" i="15" s="1"/>
  <c r="M345" i="15"/>
  <c r="N345" i="15" s="1"/>
  <c r="L345" i="15"/>
  <c r="K345" i="15"/>
  <c r="I345" i="15"/>
  <c r="J345" i="15" s="1"/>
  <c r="H345" i="15"/>
  <c r="A348" i="17"/>
  <c r="O344" i="15"/>
  <c r="P344" i="15" s="1"/>
  <c r="M344" i="15"/>
  <c r="N344" i="15" s="1"/>
  <c r="L344" i="15"/>
  <c r="K344" i="15"/>
  <c r="I344" i="15"/>
  <c r="J344" i="15" s="1"/>
  <c r="H344" i="15"/>
  <c r="A347" i="17"/>
  <c r="O343" i="15"/>
  <c r="P343" i="15" s="1"/>
  <c r="M343" i="15"/>
  <c r="N343" i="15" s="1"/>
  <c r="L343" i="15"/>
  <c r="K343" i="15"/>
  <c r="I343" i="15"/>
  <c r="J343" i="15" s="1"/>
  <c r="H343" i="15"/>
  <c r="A346" i="17"/>
  <c r="O342" i="15"/>
  <c r="P342" i="15" s="1"/>
  <c r="M342" i="15"/>
  <c r="N342" i="15" s="1"/>
  <c r="L342" i="15"/>
  <c r="K342" i="15"/>
  <c r="I342" i="15"/>
  <c r="J342" i="15" s="1"/>
  <c r="H342" i="15"/>
  <c r="A345" i="17"/>
  <c r="O341" i="15"/>
  <c r="P341" i="15" s="1"/>
  <c r="M341" i="15"/>
  <c r="N341" i="15" s="1"/>
  <c r="L341" i="15"/>
  <c r="K341" i="15"/>
  <c r="I341" i="15"/>
  <c r="J341" i="15" s="1"/>
  <c r="H341" i="15"/>
  <c r="A344" i="17"/>
  <c r="O340" i="15"/>
  <c r="P340" i="15" s="1"/>
  <c r="M340" i="15"/>
  <c r="N340" i="15" s="1"/>
  <c r="L340" i="15"/>
  <c r="K340" i="15"/>
  <c r="I340" i="15"/>
  <c r="J340" i="15" s="1"/>
  <c r="H340" i="15"/>
  <c r="A343" i="17"/>
  <c r="O339" i="15"/>
  <c r="P339" i="15" s="1"/>
  <c r="M339" i="15"/>
  <c r="N339" i="15" s="1"/>
  <c r="L339" i="15"/>
  <c r="K339" i="15"/>
  <c r="I339" i="15"/>
  <c r="J339" i="15" s="1"/>
  <c r="H339" i="15"/>
  <c r="A342" i="17"/>
  <c r="O338" i="15"/>
  <c r="P338" i="15" s="1"/>
  <c r="M338" i="15"/>
  <c r="N338" i="15" s="1"/>
  <c r="L338" i="15"/>
  <c r="K338" i="15"/>
  <c r="I338" i="15"/>
  <c r="J338" i="15" s="1"/>
  <c r="H338" i="15"/>
  <c r="A341" i="17"/>
  <c r="O337" i="15"/>
  <c r="P337" i="15" s="1"/>
  <c r="M337" i="15"/>
  <c r="N337" i="15" s="1"/>
  <c r="L337" i="15"/>
  <c r="K337" i="15"/>
  <c r="I337" i="15"/>
  <c r="J337" i="15" s="1"/>
  <c r="H337" i="15"/>
  <c r="A340" i="17"/>
  <c r="O336" i="15"/>
  <c r="P336" i="15" s="1"/>
  <c r="M336" i="15"/>
  <c r="N336" i="15" s="1"/>
  <c r="L336" i="15"/>
  <c r="K336" i="15"/>
  <c r="I336" i="15"/>
  <c r="J336" i="15" s="1"/>
  <c r="H336" i="15"/>
  <c r="A339" i="17"/>
  <c r="O335" i="15"/>
  <c r="P335" i="15" s="1"/>
  <c r="M335" i="15"/>
  <c r="N335" i="15" s="1"/>
  <c r="L335" i="15"/>
  <c r="K335" i="15"/>
  <c r="I335" i="15"/>
  <c r="J335" i="15" s="1"/>
  <c r="H335" i="15"/>
  <c r="A338" i="17"/>
  <c r="O334" i="15"/>
  <c r="P334" i="15" s="1"/>
  <c r="M334" i="15"/>
  <c r="N334" i="15" s="1"/>
  <c r="L334" i="15"/>
  <c r="K334" i="15"/>
  <c r="I334" i="15"/>
  <c r="J334" i="15" s="1"/>
  <c r="H334" i="15"/>
  <c r="A337" i="17"/>
  <c r="O333" i="15"/>
  <c r="P333" i="15" s="1"/>
  <c r="M333" i="15"/>
  <c r="N333" i="15" s="1"/>
  <c r="L333" i="15"/>
  <c r="K333" i="15"/>
  <c r="I333" i="15"/>
  <c r="J333" i="15" s="1"/>
  <c r="H333" i="15"/>
  <c r="A336" i="17"/>
  <c r="O332" i="15"/>
  <c r="P332" i="15" s="1"/>
  <c r="M332" i="15"/>
  <c r="N332" i="15" s="1"/>
  <c r="L332" i="15"/>
  <c r="K332" i="15"/>
  <c r="I332" i="15"/>
  <c r="J332" i="15" s="1"/>
  <c r="H332" i="15"/>
  <c r="A335" i="17"/>
  <c r="O331" i="15"/>
  <c r="P331" i="15" s="1"/>
  <c r="M331" i="15"/>
  <c r="N331" i="15" s="1"/>
  <c r="L331" i="15"/>
  <c r="K331" i="15"/>
  <c r="I331" i="15"/>
  <c r="J331" i="15" s="1"/>
  <c r="H331" i="15"/>
  <c r="A334" i="17"/>
  <c r="O330" i="15"/>
  <c r="P330" i="15" s="1"/>
  <c r="M330" i="15"/>
  <c r="N330" i="15" s="1"/>
  <c r="L330" i="15"/>
  <c r="K330" i="15"/>
  <c r="I330" i="15"/>
  <c r="J330" i="15" s="1"/>
  <c r="H330" i="15"/>
  <c r="A333" i="17"/>
  <c r="O329" i="15"/>
  <c r="P329" i="15" s="1"/>
  <c r="M329" i="15"/>
  <c r="N329" i="15" s="1"/>
  <c r="L329" i="15"/>
  <c r="K329" i="15"/>
  <c r="I329" i="15"/>
  <c r="J329" i="15" s="1"/>
  <c r="H329" i="15"/>
  <c r="A332" i="17"/>
  <c r="O328" i="15"/>
  <c r="P328" i="15" s="1"/>
  <c r="M328" i="15"/>
  <c r="N328" i="15" s="1"/>
  <c r="L328" i="15"/>
  <c r="K328" i="15"/>
  <c r="I328" i="15"/>
  <c r="J328" i="15" s="1"/>
  <c r="H328" i="15"/>
  <c r="A331" i="17"/>
  <c r="O327" i="15"/>
  <c r="P327" i="15" s="1"/>
  <c r="M327" i="15"/>
  <c r="N327" i="15" s="1"/>
  <c r="L327" i="15"/>
  <c r="K327" i="15"/>
  <c r="I327" i="15"/>
  <c r="J327" i="15" s="1"/>
  <c r="H327" i="15"/>
  <c r="A330" i="17"/>
  <c r="O326" i="15"/>
  <c r="P326" i="15" s="1"/>
  <c r="M326" i="15"/>
  <c r="N326" i="15" s="1"/>
  <c r="L326" i="15"/>
  <c r="K326" i="15"/>
  <c r="I326" i="15"/>
  <c r="J326" i="15" s="1"/>
  <c r="H326" i="15"/>
  <c r="A329" i="17"/>
  <c r="O325" i="15"/>
  <c r="P325" i="15" s="1"/>
  <c r="M325" i="15"/>
  <c r="N325" i="15" s="1"/>
  <c r="L325" i="15"/>
  <c r="K325" i="15"/>
  <c r="I325" i="15"/>
  <c r="J325" i="15" s="1"/>
  <c r="H325" i="15"/>
  <c r="A328" i="17"/>
  <c r="O324" i="15"/>
  <c r="P324" i="15" s="1"/>
  <c r="M324" i="15"/>
  <c r="N324" i="15" s="1"/>
  <c r="L324" i="15"/>
  <c r="K324" i="15"/>
  <c r="I324" i="15"/>
  <c r="J324" i="15" s="1"/>
  <c r="H324" i="15"/>
  <c r="A327" i="17"/>
  <c r="O323" i="15"/>
  <c r="P323" i="15" s="1"/>
  <c r="M323" i="15"/>
  <c r="N323" i="15" s="1"/>
  <c r="L323" i="15"/>
  <c r="K323" i="15"/>
  <c r="I323" i="15"/>
  <c r="J323" i="15" s="1"/>
  <c r="H323" i="15"/>
  <c r="A326" i="17"/>
  <c r="O322" i="15"/>
  <c r="P322" i="15" s="1"/>
  <c r="M322" i="15"/>
  <c r="N322" i="15" s="1"/>
  <c r="L322" i="15"/>
  <c r="K322" i="15"/>
  <c r="I322" i="15"/>
  <c r="J322" i="15" s="1"/>
  <c r="H322" i="15"/>
  <c r="A325" i="17"/>
  <c r="O321" i="15"/>
  <c r="P321" i="15" s="1"/>
  <c r="M321" i="15"/>
  <c r="N321" i="15" s="1"/>
  <c r="L321" i="15"/>
  <c r="K321" i="15"/>
  <c r="I321" i="15"/>
  <c r="J321" i="15" s="1"/>
  <c r="H321" i="15"/>
  <c r="A324" i="17"/>
  <c r="O320" i="15"/>
  <c r="P320" i="15" s="1"/>
  <c r="M320" i="15"/>
  <c r="N320" i="15" s="1"/>
  <c r="L320" i="15"/>
  <c r="K320" i="15"/>
  <c r="I320" i="15"/>
  <c r="J320" i="15" s="1"/>
  <c r="H320" i="15"/>
  <c r="A323" i="17"/>
  <c r="O319" i="15"/>
  <c r="P319" i="15" s="1"/>
  <c r="M319" i="15"/>
  <c r="N319" i="15" s="1"/>
  <c r="L319" i="15"/>
  <c r="K319" i="15"/>
  <c r="I319" i="15"/>
  <c r="J319" i="15" s="1"/>
  <c r="H319" i="15"/>
  <c r="A322" i="17"/>
  <c r="O318" i="15"/>
  <c r="P318" i="15" s="1"/>
  <c r="M318" i="15"/>
  <c r="N318" i="15" s="1"/>
  <c r="L318" i="15"/>
  <c r="K318" i="15"/>
  <c r="I318" i="15"/>
  <c r="J318" i="15" s="1"/>
  <c r="H318" i="15"/>
  <c r="A321" i="17"/>
  <c r="O317" i="15"/>
  <c r="P317" i="15" s="1"/>
  <c r="M317" i="15"/>
  <c r="N317" i="15" s="1"/>
  <c r="L317" i="15"/>
  <c r="K317" i="15"/>
  <c r="I317" i="15"/>
  <c r="J317" i="15" s="1"/>
  <c r="H317" i="15"/>
  <c r="A320" i="17"/>
  <c r="O316" i="15"/>
  <c r="P316" i="15" s="1"/>
  <c r="M316" i="15"/>
  <c r="N316" i="15" s="1"/>
  <c r="L316" i="15"/>
  <c r="K316" i="15"/>
  <c r="I316" i="15"/>
  <c r="J316" i="15" s="1"/>
  <c r="H316" i="15"/>
  <c r="A319" i="17"/>
  <c r="O315" i="15"/>
  <c r="P315" i="15" s="1"/>
  <c r="M315" i="15"/>
  <c r="N315" i="15" s="1"/>
  <c r="L315" i="15"/>
  <c r="K315" i="15"/>
  <c r="I315" i="15"/>
  <c r="J315" i="15" s="1"/>
  <c r="H315" i="15"/>
  <c r="A318" i="17"/>
  <c r="O314" i="15"/>
  <c r="P314" i="15" s="1"/>
  <c r="M314" i="15"/>
  <c r="N314" i="15" s="1"/>
  <c r="L314" i="15"/>
  <c r="K314" i="15"/>
  <c r="I314" i="15"/>
  <c r="J314" i="15" s="1"/>
  <c r="H314" i="15"/>
  <c r="A317" i="17"/>
  <c r="O313" i="15"/>
  <c r="P313" i="15" s="1"/>
  <c r="M313" i="15"/>
  <c r="N313" i="15" s="1"/>
  <c r="L313" i="15"/>
  <c r="K313" i="15"/>
  <c r="I313" i="15"/>
  <c r="J313" i="15" s="1"/>
  <c r="H313" i="15"/>
  <c r="A316" i="17"/>
  <c r="O312" i="15"/>
  <c r="P312" i="15" s="1"/>
  <c r="M312" i="15"/>
  <c r="N312" i="15" s="1"/>
  <c r="L312" i="15"/>
  <c r="K312" i="15"/>
  <c r="I312" i="15"/>
  <c r="J312" i="15" s="1"/>
  <c r="H312" i="15"/>
  <c r="A315" i="17"/>
  <c r="O311" i="15"/>
  <c r="P311" i="15" s="1"/>
  <c r="M311" i="15"/>
  <c r="N311" i="15" s="1"/>
  <c r="L311" i="15"/>
  <c r="K311" i="15"/>
  <c r="I311" i="15"/>
  <c r="J311" i="15" s="1"/>
  <c r="H311" i="15"/>
  <c r="A314" i="17"/>
  <c r="O310" i="15"/>
  <c r="P310" i="15" s="1"/>
  <c r="M310" i="15"/>
  <c r="N310" i="15" s="1"/>
  <c r="L310" i="15"/>
  <c r="K310" i="15"/>
  <c r="I310" i="15"/>
  <c r="J310" i="15" s="1"/>
  <c r="H310" i="15"/>
  <c r="A313" i="17"/>
  <c r="O309" i="15"/>
  <c r="P309" i="15" s="1"/>
  <c r="M309" i="15"/>
  <c r="N309" i="15" s="1"/>
  <c r="L309" i="15"/>
  <c r="K309" i="15"/>
  <c r="I309" i="15"/>
  <c r="J309" i="15" s="1"/>
  <c r="H309" i="15"/>
  <c r="A312" i="17"/>
  <c r="O308" i="15"/>
  <c r="P308" i="15" s="1"/>
  <c r="M308" i="15"/>
  <c r="N308" i="15" s="1"/>
  <c r="L308" i="15"/>
  <c r="K308" i="15"/>
  <c r="I308" i="15"/>
  <c r="J308" i="15" s="1"/>
  <c r="H308" i="15"/>
  <c r="A311" i="17"/>
  <c r="O307" i="15"/>
  <c r="P307" i="15" s="1"/>
  <c r="M307" i="15"/>
  <c r="N307" i="15" s="1"/>
  <c r="L307" i="15"/>
  <c r="K307" i="15"/>
  <c r="I307" i="15"/>
  <c r="J307" i="15" s="1"/>
  <c r="H307" i="15"/>
  <c r="A310" i="17"/>
  <c r="O306" i="15"/>
  <c r="P306" i="15" s="1"/>
  <c r="M306" i="15"/>
  <c r="N306" i="15" s="1"/>
  <c r="L306" i="15"/>
  <c r="K306" i="15"/>
  <c r="I306" i="15"/>
  <c r="J306" i="15" s="1"/>
  <c r="H306" i="15"/>
  <c r="A309" i="17"/>
  <c r="O305" i="15"/>
  <c r="P305" i="15" s="1"/>
  <c r="M305" i="15"/>
  <c r="N305" i="15" s="1"/>
  <c r="L305" i="15"/>
  <c r="K305" i="15"/>
  <c r="I305" i="15"/>
  <c r="J305" i="15" s="1"/>
  <c r="H305" i="15"/>
  <c r="A308" i="17"/>
  <c r="O304" i="15"/>
  <c r="P304" i="15" s="1"/>
  <c r="M304" i="15"/>
  <c r="N304" i="15" s="1"/>
  <c r="L304" i="15"/>
  <c r="K304" i="15"/>
  <c r="I304" i="15"/>
  <c r="J304" i="15" s="1"/>
  <c r="H304" i="15"/>
  <c r="A307" i="17"/>
  <c r="O303" i="15"/>
  <c r="P303" i="15" s="1"/>
  <c r="M303" i="15"/>
  <c r="N303" i="15" s="1"/>
  <c r="L303" i="15"/>
  <c r="K303" i="15"/>
  <c r="I303" i="15"/>
  <c r="J303" i="15" s="1"/>
  <c r="H303" i="15"/>
  <c r="A306" i="17"/>
  <c r="O302" i="15"/>
  <c r="P302" i="15" s="1"/>
  <c r="M302" i="15"/>
  <c r="N302" i="15" s="1"/>
  <c r="L302" i="15"/>
  <c r="K302" i="15"/>
  <c r="I302" i="15"/>
  <c r="J302" i="15" s="1"/>
  <c r="H302" i="15"/>
  <c r="A305" i="17"/>
  <c r="O301" i="15"/>
  <c r="P301" i="15" s="1"/>
  <c r="M301" i="15"/>
  <c r="N301" i="15" s="1"/>
  <c r="L301" i="15"/>
  <c r="K301" i="15"/>
  <c r="I301" i="15"/>
  <c r="J301" i="15" s="1"/>
  <c r="H301" i="15"/>
  <c r="A304" i="17"/>
  <c r="O300" i="15"/>
  <c r="P300" i="15" s="1"/>
  <c r="M300" i="15"/>
  <c r="N300" i="15" s="1"/>
  <c r="L300" i="15"/>
  <c r="K300" i="15"/>
  <c r="I300" i="15"/>
  <c r="J300" i="15" s="1"/>
  <c r="H300" i="15"/>
  <c r="A303" i="17"/>
  <c r="O299" i="15"/>
  <c r="P299" i="15" s="1"/>
  <c r="M299" i="15"/>
  <c r="N299" i="15" s="1"/>
  <c r="L299" i="15"/>
  <c r="K299" i="15"/>
  <c r="I299" i="15"/>
  <c r="J299" i="15" s="1"/>
  <c r="H299" i="15"/>
  <c r="A302" i="17"/>
  <c r="O298" i="15"/>
  <c r="P298" i="15" s="1"/>
  <c r="M298" i="15"/>
  <c r="N298" i="15" s="1"/>
  <c r="L298" i="15"/>
  <c r="K298" i="15"/>
  <c r="I298" i="15"/>
  <c r="J298" i="15" s="1"/>
  <c r="H298" i="15"/>
  <c r="A301" i="17"/>
  <c r="O297" i="15"/>
  <c r="P297" i="15" s="1"/>
  <c r="M297" i="15"/>
  <c r="N297" i="15" s="1"/>
  <c r="L297" i="15"/>
  <c r="K297" i="15"/>
  <c r="I297" i="15"/>
  <c r="J297" i="15" s="1"/>
  <c r="H297" i="15"/>
  <c r="A300" i="17"/>
  <c r="O296" i="15"/>
  <c r="P296" i="15" s="1"/>
  <c r="M296" i="15"/>
  <c r="N296" i="15" s="1"/>
  <c r="L296" i="15"/>
  <c r="K296" i="15"/>
  <c r="I296" i="15"/>
  <c r="J296" i="15" s="1"/>
  <c r="H296" i="15"/>
  <c r="A299" i="17"/>
  <c r="O295" i="15"/>
  <c r="P295" i="15" s="1"/>
  <c r="M295" i="15"/>
  <c r="N295" i="15" s="1"/>
  <c r="L295" i="15"/>
  <c r="K295" i="15"/>
  <c r="I295" i="15"/>
  <c r="J295" i="15" s="1"/>
  <c r="H295" i="15"/>
  <c r="A298" i="17"/>
  <c r="O294" i="15"/>
  <c r="P294" i="15" s="1"/>
  <c r="M294" i="15"/>
  <c r="N294" i="15" s="1"/>
  <c r="L294" i="15"/>
  <c r="K294" i="15"/>
  <c r="I294" i="15"/>
  <c r="J294" i="15" s="1"/>
  <c r="H294" i="15"/>
  <c r="A297" i="17"/>
  <c r="O293" i="15"/>
  <c r="P293" i="15" s="1"/>
  <c r="M293" i="15"/>
  <c r="N293" i="15" s="1"/>
  <c r="L293" i="15"/>
  <c r="K293" i="15"/>
  <c r="I293" i="15"/>
  <c r="J293" i="15" s="1"/>
  <c r="H293" i="15"/>
  <c r="A296" i="17"/>
  <c r="O292" i="15"/>
  <c r="P292" i="15" s="1"/>
  <c r="M292" i="15"/>
  <c r="N292" i="15" s="1"/>
  <c r="L292" i="15"/>
  <c r="K292" i="15"/>
  <c r="I292" i="15"/>
  <c r="J292" i="15" s="1"/>
  <c r="H292" i="15"/>
  <c r="A295" i="17"/>
  <c r="O291" i="15"/>
  <c r="P291" i="15" s="1"/>
  <c r="M291" i="15"/>
  <c r="N291" i="15" s="1"/>
  <c r="L291" i="15"/>
  <c r="K291" i="15"/>
  <c r="I291" i="15"/>
  <c r="J291" i="15" s="1"/>
  <c r="H291" i="15"/>
  <c r="A294" i="17"/>
  <c r="O290" i="15"/>
  <c r="P290" i="15" s="1"/>
  <c r="M290" i="15"/>
  <c r="N290" i="15" s="1"/>
  <c r="L290" i="15"/>
  <c r="K290" i="15"/>
  <c r="I290" i="15"/>
  <c r="J290" i="15" s="1"/>
  <c r="H290" i="15"/>
  <c r="A293" i="17"/>
  <c r="O289" i="15"/>
  <c r="P289" i="15" s="1"/>
  <c r="M289" i="15"/>
  <c r="N289" i="15" s="1"/>
  <c r="L289" i="15"/>
  <c r="K289" i="15"/>
  <c r="I289" i="15"/>
  <c r="J289" i="15" s="1"/>
  <c r="H289" i="15"/>
  <c r="A292" i="17"/>
  <c r="O288" i="15"/>
  <c r="P288" i="15" s="1"/>
  <c r="M288" i="15"/>
  <c r="N288" i="15" s="1"/>
  <c r="L288" i="15"/>
  <c r="K288" i="15"/>
  <c r="I288" i="15"/>
  <c r="J288" i="15" s="1"/>
  <c r="H288" i="15"/>
  <c r="A291" i="17"/>
  <c r="O287" i="15"/>
  <c r="P287" i="15" s="1"/>
  <c r="M287" i="15"/>
  <c r="N287" i="15" s="1"/>
  <c r="L287" i="15"/>
  <c r="K287" i="15"/>
  <c r="I287" i="15"/>
  <c r="J287" i="15" s="1"/>
  <c r="H287" i="15"/>
  <c r="A290" i="17"/>
  <c r="O286" i="15"/>
  <c r="P286" i="15" s="1"/>
  <c r="M286" i="15"/>
  <c r="N286" i="15" s="1"/>
  <c r="L286" i="15"/>
  <c r="K286" i="15"/>
  <c r="I286" i="15"/>
  <c r="J286" i="15" s="1"/>
  <c r="H286" i="15"/>
  <c r="A289" i="17"/>
  <c r="O285" i="15"/>
  <c r="P285" i="15" s="1"/>
  <c r="M285" i="15"/>
  <c r="N285" i="15" s="1"/>
  <c r="L285" i="15"/>
  <c r="K285" i="15"/>
  <c r="I285" i="15"/>
  <c r="J285" i="15" s="1"/>
  <c r="H285" i="15"/>
  <c r="A288" i="17"/>
  <c r="O284" i="15"/>
  <c r="P284" i="15" s="1"/>
  <c r="M284" i="15"/>
  <c r="N284" i="15" s="1"/>
  <c r="L284" i="15"/>
  <c r="K284" i="15"/>
  <c r="I284" i="15"/>
  <c r="J284" i="15" s="1"/>
  <c r="H284" i="15"/>
  <c r="A287" i="17"/>
  <c r="O283" i="15"/>
  <c r="P283" i="15" s="1"/>
  <c r="M283" i="15"/>
  <c r="N283" i="15" s="1"/>
  <c r="L283" i="15"/>
  <c r="K283" i="15"/>
  <c r="I283" i="15"/>
  <c r="J283" i="15" s="1"/>
  <c r="H283" i="15"/>
  <c r="A286" i="17"/>
  <c r="O282" i="15"/>
  <c r="P282" i="15" s="1"/>
  <c r="M282" i="15"/>
  <c r="N282" i="15" s="1"/>
  <c r="L282" i="15"/>
  <c r="K282" i="15"/>
  <c r="I282" i="15"/>
  <c r="J282" i="15" s="1"/>
  <c r="H282" i="15"/>
  <c r="A285" i="17"/>
  <c r="O281" i="15"/>
  <c r="P281" i="15" s="1"/>
  <c r="M281" i="15"/>
  <c r="N281" i="15" s="1"/>
  <c r="L281" i="15"/>
  <c r="K281" i="15"/>
  <c r="I281" i="15"/>
  <c r="J281" i="15" s="1"/>
  <c r="H281" i="15"/>
  <c r="A284" i="17"/>
  <c r="O280" i="15"/>
  <c r="P280" i="15" s="1"/>
  <c r="M280" i="15"/>
  <c r="N280" i="15" s="1"/>
  <c r="L280" i="15"/>
  <c r="K280" i="15"/>
  <c r="I280" i="15"/>
  <c r="J280" i="15" s="1"/>
  <c r="H280" i="15"/>
  <c r="A283" i="17"/>
  <c r="O279" i="15"/>
  <c r="P279" i="15" s="1"/>
  <c r="M279" i="15"/>
  <c r="N279" i="15" s="1"/>
  <c r="L279" i="15"/>
  <c r="K279" i="15"/>
  <c r="I279" i="15"/>
  <c r="J279" i="15" s="1"/>
  <c r="H279" i="15"/>
  <c r="A282" i="17"/>
  <c r="O278" i="15"/>
  <c r="P278" i="15" s="1"/>
  <c r="M278" i="15"/>
  <c r="N278" i="15" s="1"/>
  <c r="L278" i="15"/>
  <c r="K278" i="15"/>
  <c r="I278" i="15"/>
  <c r="J278" i="15" s="1"/>
  <c r="H278" i="15"/>
  <c r="A281" i="17"/>
  <c r="O277" i="15"/>
  <c r="P277" i="15" s="1"/>
  <c r="M277" i="15"/>
  <c r="N277" i="15" s="1"/>
  <c r="L277" i="15"/>
  <c r="K277" i="15"/>
  <c r="I277" i="15"/>
  <c r="J277" i="15" s="1"/>
  <c r="H277" i="15"/>
  <c r="A280" i="17"/>
  <c r="O276" i="15"/>
  <c r="P276" i="15" s="1"/>
  <c r="M276" i="15"/>
  <c r="N276" i="15" s="1"/>
  <c r="L276" i="15"/>
  <c r="K276" i="15"/>
  <c r="I276" i="15"/>
  <c r="J276" i="15" s="1"/>
  <c r="H276" i="15"/>
  <c r="A279" i="17"/>
  <c r="O275" i="15"/>
  <c r="P275" i="15" s="1"/>
  <c r="M275" i="15"/>
  <c r="N275" i="15" s="1"/>
  <c r="L275" i="15"/>
  <c r="K275" i="15"/>
  <c r="I275" i="15"/>
  <c r="J275" i="15" s="1"/>
  <c r="H275" i="15"/>
  <c r="A278" i="17"/>
  <c r="O274" i="15"/>
  <c r="P274" i="15" s="1"/>
  <c r="M274" i="15"/>
  <c r="N274" i="15" s="1"/>
  <c r="L274" i="15"/>
  <c r="K274" i="15"/>
  <c r="I274" i="15"/>
  <c r="J274" i="15" s="1"/>
  <c r="H274" i="15"/>
  <c r="A277" i="17"/>
  <c r="O273" i="15"/>
  <c r="P273" i="15" s="1"/>
  <c r="M273" i="15"/>
  <c r="N273" i="15" s="1"/>
  <c r="L273" i="15"/>
  <c r="K273" i="15"/>
  <c r="I273" i="15"/>
  <c r="J273" i="15" s="1"/>
  <c r="H273" i="15"/>
  <c r="A276" i="17"/>
  <c r="O272" i="15"/>
  <c r="P272" i="15" s="1"/>
  <c r="M272" i="15"/>
  <c r="N272" i="15" s="1"/>
  <c r="L272" i="15"/>
  <c r="K272" i="15"/>
  <c r="I272" i="15"/>
  <c r="J272" i="15" s="1"/>
  <c r="H272" i="15"/>
  <c r="A275" i="17"/>
  <c r="O271" i="15"/>
  <c r="P271" i="15" s="1"/>
  <c r="M271" i="15"/>
  <c r="N271" i="15" s="1"/>
  <c r="L271" i="15"/>
  <c r="K271" i="15"/>
  <c r="I271" i="15"/>
  <c r="J271" i="15" s="1"/>
  <c r="H271" i="15"/>
  <c r="A274" i="17"/>
  <c r="O270" i="15"/>
  <c r="P270" i="15" s="1"/>
  <c r="M270" i="15"/>
  <c r="N270" i="15" s="1"/>
  <c r="L270" i="15"/>
  <c r="K270" i="15"/>
  <c r="I270" i="15"/>
  <c r="J270" i="15" s="1"/>
  <c r="H270" i="15"/>
  <c r="A273" i="17"/>
  <c r="O269" i="15"/>
  <c r="P269" i="15" s="1"/>
  <c r="M269" i="15"/>
  <c r="N269" i="15" s="1"/>
  <c r="L269" i="15"/>
  <c r="K269" i="15"/>
  <c r="I269" i="15"/>
  <c r="J269" i="15" s="1"/>
  <c r="H269" i="15"/>
  <c r="A272" i="17"/>
  <c r="O268" i="15"/>
  <c r="P268" i="15" s="1"/>
  <c r="M268" i="15"/>
  <c r="N268" i="15" s="1"/>
  <c r="L268" i="15"/>
  <c r="K268" i="15"/>
  <c r="I268" i="15"/>
  <c r="J268" i="15" s="1"/>
  <c r="H268" i="15"/>
  <c r="A271" i="17"/>
  <c r="O267" i="15"/>
  <c r="P267" i="15" s="1"/>
  <c r="M267" i="15"/>
  <c r="N267" i="15" s="1"/>
  <c r="L267" i="15"/>
  <c r="K267" i="15"/>
  <c r="I267" i="15"/>
  <c r="J267" i="15" s="1"/>
  <c r="H267" i="15"/>
  <c r="A270" i="17"/>
  <c r="O266" i="15"/>
  <c r="P266" i="15" s="1"/>
  <c r="M266" i="15"/>
  <c r="N266" i="15" s="1"/>
  <c r="L266" i="15"/>
  <c r="K266" i="15"/>
  <c r="I266" i="15"/>
  <c r="J266" i="15" s="1"/>
  <c r="H266" i="15"/>
  <c r="A269" i="17"/>
  <c r="O265" i="15"/>
  <c r="P265" i="15" s="1"/>
  <c r="M265" i="15"/>
  <c r="N265" i="15" s="1"/>
  <c r="L265" i="15"/>
  <c r="K265" i="15"/>
  <c r="I265" i="15"/>
  <c r="J265" i="15" s="1"/>
  <c r="H265" i="15"/>
  <c r="A268" i="17"/>
  <c r="O264" i="15"/>
  <c r="P264" i="15" s="1"/>
  <c r="M264" i="15"/>
  <c r="N264" i="15" s="1"/>
  <c r="L264" i="15"/>
  <c r="K264" i="15"/>
  <c r="I264" i="15"/>
  <c r="J264" i="15" s="1"/>
  <c r="H264" i="15"/>
  <c r="A267" i="17"/>
  <c r="O263" i="15"/>
  <c r="P263" i="15" s="1"/>
  <c r="M263" i="15"/>
  <c r="N263" i="15" s="1"/>
  <c r="L263" i="15"/>
  <c r="K263" i="15"/>
  <c r="I263" i="15"/>
  <c r="J263" i="15" s="1"/>
  <c r="H263" i="15"/>
  <c r="A266" i="17"/>
  <c r="O262" i="15"/>
  <c r="P262" i="15" s="1"/>
  <c r="M262" i="15"/>
  <c r="N262" i="15" s="1"/>
  <c r="L262" i="15"/>
  <c r="K262" i="15"/>
  <c r="I262" i="15"/>
  <c r="J262" i="15" s="1"/>
  <c r="H262" i="15"/>
  <c r="A265" i="17"/>
  <c r="O261" i="15"/>
  <c r="P261" i="15" s="1"/>
  <c r="M261" i="15"/>
  <c r="N261" i="15" s="1"/>
  <c r="L261" i="15"/>
  <c r="K261" i="15"/>
  <c r="I261" i="15"/>
  <c r="J261" i="15" s="1"/>
  <c r="H261" i="15"/>
  <c r="A264" i="17"/>
  <c r="O260" i="15"/>
  <c r="P260" i="15" s="1"/>
  <c r="M260" i="15"/>
  <c r="N260" i="15" s="1"/>
  <c r="L260" i="15"/>
  <c r="K260" i="15"/>
  <c r="I260" i="15"/>
  <c r="J260" i="15" s="1"/>
  <c r="H260" i="15"/>
  <c r="A263" i="17"/>
  <c r="O259" i="15"/>
  <c r="P259" i="15" s="1"/>
  <c r="M259" i="15"/>
  <c r="N259" i="15" s="1"/>
  <c r="L259" i="15"/>
  <c r="K259" i="15"/>
  <c r="I259" i="15"/>
  <c r="J259" i="15" s="1"/>
  <c r="H259" i="15"/>
  <c r="A262" i="17"/>
  <c r="O258" i="15"/>
  <c r="P258" i="15" s="1"/>
  <c r="M258" i="15"/>
  <c r="N258" i="15" s="1"/>
  <c r="L258" i="15"/>
  <c r="K258" i="15"/>
  <c r="I258" i="15"/>
  <c r="J258" i="15" s="1"/>
  <c r="H258" i="15"/>
  <c r="A261" i="17"/>
  <c r="O257" i="15"/>
  <c r="P257" i="15" s="1"/>
  <c r="M257" i="15"/>
  <c r="N257" i="15" s="1"/>
  <c r="L257" i="15"/>
  <c r="K257" i="15"/>
  <c r="I257" i="15"/>
  <c r="J257" i="15" s="1"/>
  <c r="H257" i="15"/>
  <c r="A260" i="17"/>
  <c r="O256" i="15"/>
  <c r="P256" i="15" s="1"/>
  <c r="M256" i="15"/>
  <c r="N256" i="15" s="1"/>
  <c r="L256" i="15"/>
  <c r="K256" i="15"/>
  <c r="I256" i="15"/>
  <c r="J256" i="15" s="1"/>
  <c r="H256" i="15"/>
  <c r="A259" i="17"/>
  <c r="O255" i="15"/>
  <c r="P255" i="15" s="1"/>
  <c r="M255" i="15"/>
  <c r="N255" i="15" s="1"/>
  <c r="L255" i="15"/>
  <c r="K255" i="15"/>
  <c r="I255" i="15"/>
  <c r="J255" i="15" s="1"/>
  <c r="H255" i="15"/>
  <c r="A258" i="17"/>
  <c r="O254" i="15"/>
  <c r="P254" i="15" s="1"/>
  <c r="M254" i="15"/>
  <c r="N254" i="15" s="1"/>
  <c r="L254" i="15"/>
  <c r="K254" i="15"/>
  <c r="I254" i="15"/>
  <c r="J254" i="15" s="1"/>
  <c r="H254" i="15"/>
  <c r="A257" i="17"/>
  <c r="O253" i="15"/>
  <c r="P253" i="15" s="1"/>
  <c r="M253" i="15"/>
  <c r="N253" i="15" s="1"/>
  <c r="L253" i="15"/>
  <c r="K253" i="15"/>
  <c r="I253" i="15"/>
  <c r="J253" i="15" s="1"/>
  <c r="H253" i="15"/>
  <c r="A256" i="17"/>
  <c r="O252" i="15"/>
  <c r="P252" i="15" s="1"/>
  <c r="M252" i="15"/>
  <c r="N252" i="15" s="1"/>
  <c r="L252" i="15"/>
  <c r="K252" i="15"/>
  <c r="I252" i="15"/>
  <c r="J252" i="15" s="1"/>
  <c r="H252" i="15"/>
  <c r="A255" i="17"/>
  <c r="O251" i="15"/>
  <c r="P251" i="15" s="1"/>
  <c r="M251" i="15"/>
  <c r="N251" i="15" s="1"/>
  <c r="L251" i="15"/>
  <c r="K251" i="15"/>
  <c r="I251" i="15"/>
  <c r="J251" i="15" s="1"/>
  <c r="H251" i="15"/>
  <c r="A254" i="17"/>
  <c r="O250" i="15"/>
  <c r="P250" i="15" s="1"/>
  <c r="M250" i="15"/>
  <c r="N250" i="15" s="1"/>
  <c r="L250" i="15"/>
  <c r="K250" i="15"/>
  <c r="I250" i="15"/>
  <c r="J250" i="15" s="1"/>
  <c r="H250" i="15"/>
  <c r="A253" i="17"/>
  <c r="O249" i="15"/>
  <c r="P249" i="15" s="1"/>
  <c r="M249" i="15"/>
  <c r="N249" i="15" s="1"/>
  <c r="L249" i="15"/>
  <c r="K249" i="15"/>
  <c r="I249" i="15"/>
  <c r="J249" i="15" s="1"/>
  <c r="H249" i="15"/>
  <c r="A252" i="17"/>
  <c r="O248" i="15"/>
  <c r="P248" i="15" s="1"/>
  <c r="M248" i="15"/>
  <c r="N248" i="15" s="1"/>
  <c r="L248" i="15"/>
  <c r="K248" i="15"/>
  <c r="I248" i="15"/>
  <c r="J248" i="15" s="1"/>
  <c r="H248" i="15"/>
  <c r="A251" i="17"/>
  <c r="O247" i="15"/>
  <c r="P247" i="15" s="1"/>
  <c r="M247" i="15"/>
  <c r="N247" i="15" s="1"/>
  <c r="L247" i="15"/>
  <c r="K247" i="15"/>
  <c r="I247" i="15"/>
  <c r="J247" i="15" s="1"/>
  <c r="H247" i="15"/>
  <c r="A250" i="17"/>
  <c r="O246" i="15"/>
  <c r="P246" i="15" s="1"/>
  <c r="M246" i="15"/>
  <c r="N246" i="15" s="1"/>
  <c r="L246" i="15"/>
  <c r="K246" i="15"/>
  <c r="I246" i="15"/>
  <c r="J246" i="15" s="1"/>
  <c r="H246" i="15"/>
  <c r="A249" i="17"/>
  <c r="O245" i="15"/>
  <c r="P245" i="15" s="1"/>
  <c r="M245" i="15"/>
  <c r="N245" i="15" s="1"/>
  <c r="L245" i="15"/>
  <c r="K245" i="15"/>
  <c r="I245" i="15"/>
  <c r="J245" i="15" s="1"/>
  <c r="H245" i="15"/>
  <c r="A248" i="17"/>
  <c r="O244" i="15"/>
  <c r="P244" i="15" s="1"/>
  <c r="M244" i="15"/>
  <c r="N244" i="15" s="1"/>
  <c r="L244" i="15"/>
  <c r="K244" i="15"/>
  <c r="I244" i="15"/>
  <c r="J244" i="15" s="1"/>
  <c r="H244" i="15"/>
  <c r="A247" i="17"/>
  <c r="O243" i="15"/>
  <c r="P243" i="15" s="1"/>
  <c r="M243" i="15"/>
  <c r="N243" i="15" s="1"/>
  <c r="L243" i="15"/>
  <c r="K243" i="15"/>
  <c r="I243" i="15"/>
  <c r="J243" i="15" s="1"/>
  <c r="H243" i="15"/>
  <c r="A246" i="17"/>
  <c r="O242" i="15"/>
  <c r="P242" i="15" s="1"/>
  <c r="M242" i="15"/>
  <c r="N242" i="15" s="1"/>
  <c r="L242" i="15"/>
  <c r="K242" i="15"/>
  <c r="I242" i="15"/>
  <c r="J242" i="15" s="1"/>
  <c r="H242" i="15"/>
  <c r="A245" i="17"/>
  <c r="O241" i="15"/>
  <c r="P241" i="15" s="1"/>
  <c r="M241" i="15"/>
  <c r="N241" i="15" s="1"/>
  <c r="L241" i="15"/>
  <c r="K241" i="15"/>
  <c r="I241" i="15"/>
  <c r="J241" i="15" s="1"/>
  <c r="H241" i="15"/>
  <c r="A244" i="17"/>
  <c r="O240" i="15"/>
  <c r="P240" i="15" s="1"/>
  <c r="M240" i="15"/>
  <c r="N240" i="15" s="1"/>
  <c r="L240" i="15"/>
  <c r="K240" i="15"/>
  <c r="I240" i="15"/>
  <c r="J240" i="15" s="1"/>
  <c r="H240" i="15"/>
  <c r="A243" i="17"/>
  <c r="O239" i="15"/>
  <c r="P239" i="15" s="1"/>
  <c r="M239" i="15"/>
  <c r="N239" i="15" s="1"/>
  <c r="L239" i="15"/>
  <c r="K239" i="15"/>
  <c r="I239" i="15"/>
  <c r="J239" i="15" s="1"/>
  <c r="H239" i="15"/>
  <c r="A242" i="17"/>
  <c r="O238" i="15"/>
  <c r="P238" i="15" s="1"/>
  <c r="M238" i="15"/>
  <c r="N238" i="15" s="1"/>
  <c r="L238" i="15"/>
  <c r="K238" i="15"/>
  <c r="I238" i="15"/>
  <c r="J238" i="15" s="1"/>
  <c r="H238" i="15"/>
  <c r="A241" i="17"/>
  <c r="O237" i="15"/>
  <c r="P237" i="15" s="1"/>
  <c r="M237" i="15"/>
  <c r="N237" i="15" s="1"/>
  <c r="L237" i="15"/>
  <c r="K237" i="15"/>
  <c r="I237" i="15"/>
  <c r="J237" i="15" s="1"/>
  <c r="H237" i="15"/>
  <c r="A240" i="17"/>
  <c r="O236" i="15"/>
  <c r="P236" i="15" s="1"/>
  <c r="M236" i="15"/>
  <c r="N236" i="15" s="1"/>
  <c r="L236" i="15"/>
  <c r="K236" i="15"/>
  <c r="I236" i="15"/>
  <c r="J236" i="15" s="1"/>
  <c r="H236" i="15"/>
  <c r="A239" i="17"/>
  <c r="O235" i="15"/>
  <c r="P235" i="15" s="1"/>
  <c r="M235" i="15"/>
  <c r="N235" i="15" s="1"/>
  <c r="L235" i="15"/>
  <c r="K235" i="15"/>
  <c r="I235" i="15"/>
  <c r="J235" i="15" s="1"/>
  <c r="H235" i="15"/>
  <c r="A238" i="17"/>
  <c r="O234" i="15"/>
  <c r="P234" i="15" s="1"/>
  <c r="M234" i="15"/>
  <c r="N234" i="15" s="1"/>
  <c r="L234" i="15"/>
  <c r="K234" i="15"/>
  <c r="I234" i="15"/>
  <c r="J234" i="15" s="1"/>
  <c r="H234" i="15"/>
  <c r="A237" i="17"/>
  <c r="O233" i="15"/>
  <c r="P233" i="15" s="1"/>
  <c r="M233" i="15"/>
  <c r="N233" i="15" s="1"/>
  <c r="L233" i="15"/>
  <c r="K233" i="15"/>
  <c r="I233" i="15"/>
  <c r="J233" i="15" s="1"/>
  <c r="H233" i="15"/>
  <c r="A236" i="17"/>
  <c r="O232" i="15"/>
  <c r="P232" i="15" s="1"/>
  <c r="M232" i="15"/>
  <c r="N232" i="15" s="1"/>
  <c r="L232" i="15"/>
  <c r="K232" i="15"/>
  <c r="I232" i="15"/>
  <c r="J232" i="15" s="1"/>
  <c r="H232" i="15"/>
  <c r="A235" i="17"/>
  <c r="O231" i="15"/>
  <c r="P231" i="15" s="1"/>
  <c r="M231" i="15"/>
  <c r="N231" i="15" s="1"/>
  <c r="L231" i="15"/>
  <c r="K231" i="15"/>
  <c r="I231" i="15"/>
  <c r="J231" i="15" s="1"/>
  <c r="H231" i="15"/>
  <c r="A234" i="17"/>
  <c r="O230" i="15"/>
  <c r="P230" i="15" s="1"/>
  <c r="M230" i="15"/>
  <c r="N230" i="15" s="1"/>
  <c r="L230" i="15"/>
  <c r="K230" i="15"/>
  <c r="I230" i="15"/>
  <c r="J230" i="15" s="1"/>
  <c r="H230" i="15"/>
  <c r="A233" i="17"/>
  <c r="O229" i="15"/>
  <c r="P229" i="15" s="1"/>
  <c r="M229" i="15"/>
  <c r="N229" i="15" s="1"/>
  <c r="L229" i="15"/>
  <c r="K229" i="15"/>
  <c r="I229" i="15"/>
  <c r="J229" i="15" s="1"/>
  <c r="H229" i="15"/>
  <c r="A232" i="17"/>
  <c r="O228" i="15"/>
  <c r="P228" i="15" s="1"/>
  <c r="M228" i="15"/>
  <c r="N228" i="15" s="1"/>
  <c r="L228" i="15"/>
  <c r="K228" i="15"/>
  <c r="I228" i="15"/>
  <c r="J228" i="15" s="1"/>
  <c r="H228" i="15"/>
  <c r="A231" i="17"/>
  <c r="O227" i="15"/>
  <c r="P227" i="15" s="1"/>
  <c r="M227" i="15"/>
  <c r="N227" i="15" s="1"/>
  <c r="L227" i="15"/>
  <c r="K227" i="15"/>
  <c r="I227" i="15"/>
  <c r="J227" i="15" s="1"/>
  <c r="H227" i="15"/>
  <c r="A230" i="17"/>
  <c r="O226" i="15"/>
  <c r="P226" i="15" s="1"/>
  <c r="M226" i="15"/>
  <c r="N226" i="15" s="1"/>
  <c r="L226" i="15"/>
  <c r="K226" i="15"/>
  <c r="I226" i="15"/>
  <c r="J226" i="15" s="1"/>
  <c r="H226" i="15"/>
  <c r="A229" i="17"/>
  <c r="O225" i="15"/>
  <c r="P225" i="15" s="1"/>
  <c r="M225" i="15"/>
  <c r="N225" i="15" s="1"/>
  <c r="L225" i="15"/>
  <c r="K225" i="15"/>
  <c r="I225" i="15"/>
  <c r="J225" i="15" s="1"/>
  <c r="H225" i="15"/>
  <c r="A228" i="17"/>
  <c r="O224" i="15"/>
  <c r="P224" i="15" s="1"/>
  <c r="M224" i="15"/>
  <c r="N224" i="15" s="1"/>
  <c r="L224" i="15"/>
  <c r="K224" i="15"/>
  <c r="I224" i="15"/>
  <c r="J224" i="15" s="1"/>
  <c r="H224" i="15"/>
  <c r="A227" i="17"/>
  <c r="P223" i="15"/>
  <c r="M223" i="15"/>
  <c r="N223" i="15" s="1"/>
  <c r="L223" i="15"/>
  <c r="K223" i="15"/>
  <c r="I223" i="15"/>
  <c r="J223" i="15" s="1"/>
  <c r="H223" i="15"/>
  <c r="A226" i="17"/>
  <c r="O222" i="15"/>
  <c r="P222" i="15" s="1"/>
  <c r="M222" i="15"/>
  <c r="N222" i="15" s="1"/>
  <c r="L222" i="15"/>
  <c r="K222" i="15"/>
  <c r="I222" i="15"/>
  <c r="J222" i="15" s="1"/>
  <c r="H222" i="15"/>
  <c r="A225" i="17"/>
  <c r="O221" i="15"/>
  <c r="P221" i="15" s="1"/>
  <c r="M221" i="15"/>
  <c r="N221" i="15" s="1"/>
  <c r="L221" i="15"/>
  <c r="K221" i="15"/>
  <c r="I221" i="15"/>
  <c r="J221" i="15" s="1"/>
  <c r="H221" i="15"/>
  <c r="A224" i="17"/>
  <c r="O220" i="15"/>
  <c r="P220" i="15" s="1"/>
  <c r="M220" i="15"/>
  <c r="N220" i="15" s="1"/>
  <c r="L220" i="15"/>
  <c r="K220" i="15"/>
  <c r="I220" i="15"/>
  <c r="J220" i="15" s="1"/>
  <c r="H220" i="15"/>
  <c r="A223" i="17"/>
  <c r="O219" i="15"/>
  <c r="P219" i="15" s="1"/>
  <c r="M219" i="15"/>
  <c r="N219" i="15" s="1"/>
  <c r="L219" i="15"/>
  <c r="K219" i="15"/>
  <c r="I219" i="15"/>
  <c r="J219" i="15" s="1"/>
  <c r="H219" i="15"/>
  <c r="A222" i="17"/>
  <c r="O218" i="15"/>
  <c r="P218" i="15" s="1"/>
  <c r="M218" i="15"/>
  <c r="N218" i="15" s="1"/>
  <c r="L218" i="15"/>
  <c r="K218" i="15"/>
  <c r="I218" i="15"/>
  <c r="J218" i="15" s="1"/>
  <c r="H218" i="15"/>
  <c r="A221" i="17"/>
  <c r="O217" i="15"/>
  <c r="P217" i="15" s="1"/>
  <c r="M217" i="15"/>
  <c r="N217" i="15" s="1"/>
  <c r="L217" i="15"/>
  <c r="K217" i="15"/>
  <c r="I217" i="15"/>
  <c r="J217" i="15" s="1"/>
  <c r="H217" i="15"/>
  <c r="A220" i="17"/>
  <c r="O216" i="15"/>
  <c r="P216" i="15" s="1"/>
  <c r="M216" i="15"/>
  <c r="N216" i="15" s="1"/>
  <c r="L216" i="15"/>
  <c r="K216" i="15"/>
  <c r="I216" i="15"/>
  <c r="J216" i="15" s="1"/>
  <c r="H216" i="15"/>
  <c r="A219" i="17"/>
  <c r="O215" i="15"/>
  <c r="P215" i="15" s="1"/>
  <c r="M215" i="15"/>
  <c r="N215" i="15" s="1"/>
  <c r="L215" i="15"/>
  <c r="K215" i="15"/>
  <c r="I215" i="15"/>
  <c r="J215" i="15" s="1"/>
  <c r="H215" i="15"/>
  <c r="A218" i="17"/>
  <c r="O214" i="15"/>
  <c r="P214" i="15" s="1"/>
  <c r="M214" i="15"/>
  <c r="N214" i="15" s="1"/>
  <c r="L214" i="15"/>
  <c r="K214" i="15"/>
  <c r="I214" i="15"/>
  <c r="J214" i="15" s="1"/>
  <c r="H214" i="15"/>
  <c r="A217" i="17"/>
  <c r="O213" i="15"/>
  <c r="P213" i="15" s="1"/>
  <c r="M213" i="15"/>
  <c r="N213" i="15" s="1"/>
  <c r="L213" i="15"/>
  <c r="K213" i="15"/>
  <c r="I213" i="15"/>
  <c r="J213" i="15" s="1"/>
  <c r="H213" i="15"/>
  <c r="A216" i="17"/>
  <c r="O212" i="15"/>
  <c r="P212" i="15" s="1"/>
  <c r="M212" i="15"/>
  <c r="N212" i="15" s="1"/>
  <c r="L212" i="15"/>
  <c r="K212" i="15"/>
  <c r="I212" i="15"/>
  <c r="J212" i="15" s="1"/>
  <c r="H212" i="15"/>
  <c r="A215" i="17"/>
  <c r="O211" i="15"/>
  <c r="P211" i="15" s="1"/>
  <c r="M211" i="15"/>
  <c r="N211" i="15" s="1"/>
  <c r="L211" i="15"/>
  <c r="K211" i="15"/>
  <c r="I211" i="15"/>
  <c r="J211" i="15" s="1"/>
  <c r="H211" i="15"/>
  <c r="A214" i="17"/>
  <c r="O210" i="15"/>
  <c r="P210" i="15" s="1"/>
  <c r="M210" i="15"/>
  <c r="N210" i="15" s="1"/>
  <c r="L210" i="15"/>
  <c r="K210" i="15"/>
  <c r="I210" i="15"/>
  <c r="J210" i="15" s="1"/>
  <c r="H210" i="15"/>
  <c r="A213" i="17"/>
  <c r="O209" i="15"/>
  <c r="P209" i="15" s="1"/>
  <c r="M209" i="15"/>
  <c r="N209" i="15" s="1"/>
  <c r="L209" i="15"/>
  <c r="K209" i="15"/>
  <c r="I209" i="15"/>
  <c r="J209" i="15" s="1"/>
  <c r="H209" i="15"/>
  <c r="A212" i="17"/>
  <c r="O208" i="15"/>
  <c r="P208" i="15" s="1"/>
  <c r="M208" i="15"/>
  <c r="N208" i="15" s="1"/>
  <c r="L208" i="15"/>
  <c r="K208" i="15"/>
  <c r="I208" i="15"/>
  <c r="J208" i="15" s="1"/>
  <c r="H208" i="15"/>
  <c r="A211" i="17"/>
  <c r="O207" i="15"/>
  <c r="P207" i="15" s="1"/>
  <c r="M207" i="15"/>
  <c r="N207" i="15" s="1"/>
  <c r="L207" i="15"/>
  <c r="K207" i="15"/>
  <c r="I207" i="15"/>
  <c r="J207" i="15" s="1"/>
  <c r="H207" i="15"/>
  <c r="A210" i="17"/>
  <c r="O206" i="15"/>
  <c r="P206" i="15" s="1"/>
  <c r="M206" i="15"/>
  <c r="N206" i="15" s="1"/>
  <c r="L206" i="15"/>
  <c r="K206" i="15"/>
  <c r="I206" i="15"/>
  <c r="J206" i="15" s="1"/>
  <c r="H206" i="15"/>
  <c r="A209" i="17"/>
  <c r="O205" i="15"/>
  <c r="P205" i="15" s="1"/>
  <c r="M205" i="15"/>
  <c r="N205" i="15" s="1"/>
  <c r="L205" i="15"/>
  <c r="K205" i="15"/>
  <c r="I205" i="15"/>
  <c r="J205" i="15" s="1"/>
  <c r="H205" i="15"/>
  <c r="A208" i="17"/>
  <c r="O204" i="15"/>
  <c r="P204" i="15" s="1"/>
  <c r="M204" i="15"/>
  <c r="N204" i="15" s="1"/>
  <c r="L204" i="15"/>
  <c r="K204" i="15"/>
  <c r="I204" i="15"/>
  <c r="J204" i="15" s="1"/>
  <c r="H204" i="15"/>
  <c r="A207" i="17"/>
  <c r="O203" i="15"/>
  <c r="P203" i="15" s="1"/>
  <c r="M203" i="15"/>
  <c r="N203" i="15" s="1"/>
  <c r="L203" i="15"/>
  <c r="K203" i="15"/>
  <c r="I203" i="15"/>
  <c r="J203" i="15" s="1"/>
  <c r="H203" i="15"/>
  <c r="A206" i="17"/>
  <c r="O202" i="15"/>
  <c r="P202" i="15" s="1"/>
  <c r="M202" i="15"/>
  <c r="N202" i="15" s="1"/>
  <c r="L202" i="15"/>
  <c r="K202" i="15"/>
  <c r="I202" i="15"/>
  <c r="J202" i="15" s="1"/>
  <c r="H202" i="15"/>
  <c r="A205" i="17"/>
  <c r="O201" i="15"/>
  <c r="P201" i="15" s="1"/>
  <c r="M201" i="15"/>
  <c r="N201" i="15" s="1"/>
  <c r="L201" i="15"/>
  <c r="K201" i="15"/>
  <c r="I201" i="15"/>
  <c r="J201" i="15" s="1"/>
  <c r="H201" i="15"/>
  <c r="A204" i="17"/>
  <c r="O200" i="15"/>
  <c r="P200" i="15" s="1"/>
  <c r="M200" i="15"/>
  <c r="N200" i="15" s="1"/>
  <c r="L200" i="15"/>
  <c r="K200" i="15"/>
  <c r="I200" i="15"/>
  <c r="J200" i="15" s="1"/>
  <c r="H200" i="15"/>
  <c r="A203" i="17"/>
  <c r="O199" i="15"/>
  <c r="P199" i="15" s="1"/>
  <c r="M199" i="15"/>
  <c r="N199" i="15" s="1"/>
  <c r="L199" i="15"/>
  <c r="K199" i="15"/>
  <c r="I199" i="15"/>
  <c r="J199" i="15" s="1"/>
  <c r="H199" i="15"/>
  <c r="A202" i="17"/>
  <c r="O198" i="15"/>
  <c r="P198" i="15" s="1"/>
  <c r="M198" i="15"/>
  <c r="N198" i="15" s="1"/>
  <c r="L198" i="15"/>
  <c r="K198" i="15"/>
  <c r="I198" i="15"/>
  <c r="J198" i="15" s="1"/>
  <c r="H198" i="15"/>
  <c r="A201" i="17"/>
  <c r="O197" i="15"/>
  <c r="P197" i="15" s="1"/>
  <c r="M197" i="15"/>
  <c r="N197" i="15" s="1"/>
  <c r="L197" i="15"/>
  <c r="K197" i="15"/>
  <c r="I197" i="15"/>
  <c r="J197" i="15" s="1"/>
  <c r="H197" i="15"/>
  <c r="A200" i="17"/>
  <c r="O196" i="15"/>
  <c r="P196" i="15" s="1"/>
  <c r="M196" i="15"/>
  <c r="N196" i="15" s="1"/>
  <c r="L196" i="15"/>
  <c r="K196" i="15"/>
  <c r="I196" i="15"/>
  <c r="J196" i="15" s="1"/>
  <c r="H196" i="15"/>
  <c r="A199" i="17"/>
  <c r="O195" i="15"/>
  <c r="P195" i="15" s="1"/>
  <c r="M195" i="15"/>
  <c r="N195" i="15" s="1"/>
  <c r="L195" i="15"/>
  <c r="K195" i="15"/>
  <c r="I195" i="15"/>
  <c r="J195" i="15" s="1"/>
  <c r="H195" i="15"/>
  <c r="A198" i="17"/>
  <c r="O194" i="15"/>
  <c r="P194" i="15" s="1"/>
  <c r="M194" i="15"/>
  <c r="N194" i="15" s="1"/>
  <c r="L194" i="15"/>
  <c r="K194" i="15"/>
  <c r="I194" i="15"/>
  <c r="J194" i="15" s="1"/>
  <c r="H194" i="15"/>
  <c r="A197" i="17"/>
  <c r="O193" i="15"/>
  <c r="P193" i="15" s="1"/>
  <c r="M193" i="15"/>
  <c r="N193" i="15" s="1"/>
  <c r="L193" i="15"/>
  <c r="K193" i="15"/>
  <c r="I193" i="15"/>
  <c r="J193" i="15" s="1"/>
  <c r="H193" i="15"/>
  <c r="A196" i="17"/>
  <c r="O192" i="15"/>
  <c r="P192" i="15" s="1"/>
  <c r="M192" i="15"/>
  <c r="N192" i="15" s="1"/>
  <c r="L192" i="15"/>
  <c r="K192" i="15"/>
  <c r="I192" i="15"/>
  <c r="J192" i="15" s="1"/>
  <c r="H192" i="15"/>
  <c r="A195" i="17"/>
  <c r="O191" i="15"/>
  <c r="P191" i="15" s="1"/>
  <c r="M191" i="15"/>
  <c r="N191" i="15" s="1"/>
  <c r="L191" i="15"/>
  <c r="K191" i="15"/>
  <c r="I191" i="15"/>
  <c r="J191" i="15" s="1"/>
  <c r="H191" i="15"/>
  <c r="A194" i="17"/>
  <c r="O190" i="15"/>
  <c r="P190" i="15" s="1"/>
  <c r="M190" i="15"/>
  <c r="N190" i="15" s="1"/>
  <c r="L190" i="15"/>
  <c r="K190" i="15"/>
  <c r="I190" i="15"/>
  <c r="J190" i="15" s="1"/>
  <c r="H190" i="15"/>
  <c r="A193" i="17"/>
  <c r="O189" i="15"/>
  <c r="P189" i="15" s="1"/>
  <c r="M189" i="15"/>
  <c r="N189" i="15" s="1"/>
  <c r="L189" i="15"/>
  <c r="K189" i="15"/>
  <c r="I189" i="15"/>
  <c r="J189" i="15" s="1"/>
  <c r="H189" i="15"/>
  <c r="A192" i="17"/>
  <c r="O188" i="15"/>
  <c r="P188" i="15" s="1"/>
  <c r="M188" i="15"/>
  <c r="N188" i="15" s="1"/>
  <c r="L188" i="15"/>
  <c r="K188" i="15"/>
  <c r="I188" i="15"/>
  <c r="J188" i="15" s="1"/>
  <c r="H188" i="15"/>
  <c r="A191" i="17"/>
  <c r="O187" i="15"/>
  <c r="P187" i="15" s="1"/>
  <c r="M187" i="15"/>
  <c r="N187" i="15" s="1"/>
  <c r="L187" i="15"/>
  <c r="K187" i="15"/>
  <c r="I187" i="15"/>
  <c r="J187" i="15" s="1"/>
  <c r="H187" i="15"/>
  <c r="A190" i="17"/>
  <c r="O186" i="15"/>
  <c r="P186" i="15" s="1"/>
  <c r="M186" i="15"/>
  <c r="L186" i="15"/>
  <c r="K186" i="15"/>
  <c r="I186" i="15"/>
  <c r="H186" i="15"/>
  <c r="O185" i="15"/>
  <c r="P185" i="15" s="1"/>
  <c r="M185" i="15"/>
  <c r="L185" i="15"/>
  <c r="K185" i="15"/>
  <c r="I185" i="15"/>
  <c r="H185" i="15"/>
  <c r="O184" i="15"/>
  <c r="P184" i="15" s="1"/>
  <c r="M184" i="15"/>
  <c r="L184" i="15"/>
  <c r="K184" i="15"/>
  <c r="I184" i="15"/>
  <c r="H184" i="15"/>
  <c r="O183" i="15"/>
  <c r="P183" i="15" s="1"/>
  <c r="M183" i="15"/>
  <c r="L183" i="15"/>
  <c r="K183" i="15"/>
  <c r="I183" i="15"/>
  <c r="J183" i="15" s="1"/>
  <c r="H183" i="15"/>
  <c r="O182" i="15"/>
  <c r="P182" i="15" s="1"/>
  <c r="M182" i="15"/>
  <c r="L182" i="15"/>
  <c r="K182" i="15"/>
  <c r="I182" i="15"/>
  <c r="H182" i="15"/>
  <c r="O181" i="15"/>
  <c r="P181" i="15" s="1"/>
  <c r="M181" i="15"/>
  <c r="L181" i="15"/>
  <c r="K181" i="15"/>
  <c r="I181" i="15"/>
  <c r="H181" i="15"/>
  <c r="O180" i="15"/>
  <c r="P180" i="15" s="1"/>
  <c r="M180" i="15"/>
  <c r="L180" i="15"/>
  <c r="K180" i="15"/>
  <c r="I180" i="15"/>
  <c r="H180" i="15"/>
  <c r="O179" i="15"/>
  <c r="P179" i="15" s="1"/>
  <c r="M179" i="15"/>
  <c r="L179" i="15"/>
  <c r="K179" i="15"/>
  <c r="I179" i="15"/>
  <c r="H179" i="15"/>
  <c r="O178" i="15"/>
  <c r="P178" i="15" s="1"/>
  <c r="M178" i="15"/>
  <c r="L178" i="15"/>
  <c r="K178" i="15"/>
  <c r="I178" i="15"/>
  <c r="J178" i="15" s="1"/>
  <c r="H178" i="15"/>
  <c r="O177" i="15"/>
  <c r="P177" i="15" s="1"/>
  <c r="M177" i="15"/>
  <c r="L177" i="15"/>
  <c r="K177" i="15"/>
  <c r="I177" i="15"/>
  <c r="H177" i="15"/>
  <c r="O176" i="15"/>
  <c r="P176" i="15" s="1"/>
  <c r="M176" i="15"/>
  <c r="L176" i="15"/>
  <c r="K176" i="15"/>
  <c r="I176" i="15"/>
  <c r="H176" i="15"/>
  <c r="O175" i="15"/>
  <c r="P175" i="15" s="1"/>
  <c r="M175" i="15"/>
  <c r="L175" i="15"/>
  <c r="K175" i="15"/>
  <c r="I175" i="15"/>
  <c r="H175" i="15"/>
  <c r="O174" i="15"/>
  <c r="P174" i="15" s="1"/>
  <c r="M174" i="15"/>
  <c r="L174" i="15"/>
  <c r="K174" i="15"/>
  <c r="I174" i="15"/>
  <c r="H174" i="15"/>
  <c r="O173" i="15"/>
  <c r="P173" i="15" s="1"/>
  <c r="M173" i="15"/>
  <c r="L173" i="15"/>
  <c r="K173" i="15"/>
  <c r="I173" i="15"/>
  <c r="H173" i="15"/>
  <c r="O172" i="15"/>
  <c r="P172" i="15" s="1"/>
  <c r="M172" i="15"/>
  <c r="L172" i="15"/>
  <c r="K172" i="15"/>
  <c r="I172" i="15"/>
  <c r="H172" i="15"/>
  <c r="O171" i="15"/>
  <c r="P171" i="15" s="1"/>
  <c r="M171" i="15"/>
  <c r="L171" i="15"/>
  <c r="K171" i="15"/>
  <c r="I171" i="15"/>
  <c r="H171" i="15"/>
  <c r="O170" i="15"/>
  <c r="P170" i="15" s="1"/>
  <c r="M170" i="15"/>
  <c r="L170" i="15"/>
  <c r="K170" i="15"/>
  <c r="I170" i="15"/>
  <c r="H170" i="15"/>
  <c r="O169" i="15"/>
  <c r="P169" i="15" s="1"/>
  <c r="M169" i="15"/>
  <c r="L169" i="15"/>
  <c r="K169" i="15"/>
  <c r="I169" i="15"/>
  <c r="H169" i="15"/>
  <c r="O168" i="15"/>
  <c r="P168" i="15" s="1"/>
  <c r="M168" i="15"/>
  <c r="L168" i="15"/>
  <c r="K168" i="15"/>
  <c r="I168" i="15"/>
  <c r="H168" i="15"/>
  <c r="O167" i="15"/>
  <c r="P167" i="15" s="1"/>
  <c r="M167" i="15"/>
  <c r="L167" i="15"/>
  <c r="K167" i="15"/>
  <c r="I167" i="15"/>
  <c r="H167" i="15"/>
  <c r="O166" i="15"/>
  <c r="P166" i="15" s="1"/>
  <c r="M166" i="15"/>
  <c r="L166" i="15"/>
  <c r="K166" i="15"/>
  <c r="I166" i="15"/>
  <c r="H166" i="15"/>
  <c r="O165" i="15"/>
  <c r="P165" i="15" s="1"/>
  <c r="M165" i="15"/>
  <c r="L165" i="15"/>
  <c r="K165" i="15"/>
  <c r="I165" i="15"/>
  <c r="H165" i="15"/>
  <c r="O164" i="15"/>
  <c r="P164" i="15" s="1"/>
  <c r="M164" i="15"/>
  <c r="L164" i="15"/>
  <c r="K164" i="15"/>
  <c r="I164" i="15"/>
  <c r="H164" i="15"/>
  <c r="O163" i="15"/>
  <c r="P163" i="15" s="1"/>
  <c r="M163" i="15"/>
  <c r="L163" i="15"/>
  <c r="K163" i="15"/>
  <c r="I163" i="15"/>
  <c r="H163" i="15"/>
  <c r="O162" i="15"/>
  <c r="P162" i="15" s="1"/>
  <c r="M162" i="15"/>
  <c r="L162" i="15"/>
  <c r="K162" i="15"/>
  <c r="I162" i="15"/>
  <c r="H162" i="15"/>
  <c r="O161" i="15"/>
  <c r="P161" i="15" s="1"/>
  <c r="M161" i="15"/>
  <c r="L161" i="15"/>
  <c r="K161" i="15"/>
  <c r="I161" i="15"/>
  <c r="H161" i="15"/>
  <c r="O160" i="15"/>
  <c r="P160" i="15" s="1"/>
  <c r="M160" i="15"/>
  <c r="L160" i="15"/>
  <c r="K160" i="15"/>
  <c r="I160" i="15"/>
  <c r="H160" i="15"/>
  <c r="O159" i="15"/>
  <c r="P159" i="15" s="1"/>
  <c r="M159" i="15"/>
  <c r="L159" i="15"/>
  <c r="K159" i="15"/>
  <c r="I159" i="15"/>
  <c r="H159" i="15"/>
  <c r="O158" i="15"/>
  <c r="P158" i="15" s="1"/>
  <c r="M158" i="15"/>
  <c r="L158" i="15"/>
  <c r="K158" i="15"/>
  <c r="I158" i="15"/>
  <c r="H158" i="15"/>
  <c r="O157" i="15"/>
  <c r="P157" i="15" s="1"/>
  <c r="M157" i="15"/>
  <c r="L157" i="15"/>
  <c r="K157" i="15"/>
  <c r="I157" i="15"/>
  <c r="H157" i="15"/>
  <c r="O156" i="15"/>
  <c r="P156" i="15" s="1"/>
  <c r="M156" i="15"/>
  <c r="L156" i="15"/>
  <c r="K156" i="15"/>
  <c r="I156" i="15"/>
  <c r="H156" i="15"/>
  <c r="O155" i="15"/>
  <c r="P155" i="15" s="1"/>
  <c r="M155" i="15"/>
  <c r="L155" i="15"/>
  <c r="K155" i="15"/>
  <c r="I155" i="15"/>
  <c r="H155" i="15"/>
  <c r="O154" i="15"/>
  <c r="P154" i="15" s="1"/>
  <c r="M154" i="15"/>
  <c r="L154" i="15"/>
  <c r="K154" i="15"/>
  <c r="I154" i="15"/>
  <c r="H154" i="15"/>
  <c r="O153" i="15"/>
  <c r="P153" i="15" s="1"/>
  <c r="M153" i="15"/>
  <c r="L153" i="15"/>
  <c r="K153" i="15"/>
  <c r="I153" i="15"/>
  <c r="H153" i="15"/>
  <c r="O152" i="15"/>
  <c r="P152" i="15" s="1"/>
  <c r="M152" i="15"/>
  <c r="L152" i="15"/>
  <c r="K152" i="15"/>
  <c r="I152" i="15"/>
  <c r="H152" i="15"/>
  <c r="O151" i="15"/>
  <c r="P151" i="15" s="1"/>
  <c r="M151" i="15"/>
  <c r="L151" i="15"/>
  <c r="K151" i="15"/>
  <c r="I151" i="15"/>
  <c r="H151" i="15"/>
  <c r="O150" i="15"/>
  <c r="P150" i="15" s="1"/>
  <c r="M150" i="15"/>
  <c r="L150" i="15"/>
  <c r="K150" i="15"/>
  <c r="I150" i="15"/>
  <c r="H150" i="15"/>
  <c r="O149" i="15"/>
  <c r="P149" i="15" s="1"/>
  <c r="M149" i="15"/>
  <c r="L149" i="15"/>
  <c r="K149" i="15"/>
  <c r="I149" i="15"/>
  <c r="H149" i="15"/>
  <c r="O148" i="15"/>
  <c r="P148" i="15" s="1"/>
  <c r="M148" i="15"/>
  <c r="L148" i="15"/>
  <c r="K148" i="15"/>
  <c r="I148" i="15"/>
  <c r="H148" i="15"/>
  <c r="O147" i="15"/>
  <c r="P147" i="15" s="1"/>
  <c r="M147" i="15"/>
  <c r="L147" i="15"/>
  <c r="K147" i="15"/>
  <c r="I147" i="15"/>
  <c r="H147" i="15"/>
  <c r="O146" i="15"/>
  <c r="P146" i="15" s="1"/>
  <c r="M146" i="15"/>
  <c r="L146" i="15"/>
  <c r="K146" i="15"/>
  <c r="I146" i="15"/>
  <c r="H146" i="15"/>
  <c r="O145" i="15"/>
  <c r="P145" i="15" s="1"/>
  <c r="M145" i="15"/>
  <c r="L145" i="15"/>
  <c r="K145" i="15"/>
  <c r="I145" i="15"/>
  <c r="H145" i="15"/>
  <c r="O144" i="15"/>
  <c r="P144" i="15" s="1"/>
  <c r="M144" i="15"/>
  <c r="L144" i="15"/>
  <c r="K144" i="15"/>
  <c r="I144" i="15"/>
  <c r="H144" i="15"/>
  <c r="O143" i="15"/>
  <c r="P143" i="15" s="1"/>
  <c r="M143" i="15"/>
  <c r="L143" i="15"/>
  <c r="K143" i="15"/>
  <c r="I143" i="15"/>
  <c r="H143" i="15"/>
  <c r="O142" i="15"/>
  <c r="P142" i="15" s="1"/>
  <c r="M142" i="15"/>
  <c r="L142" i="15"/>
  <c r="K142" i="15"/>
  <c r="I142" i="15"/>
  <c r="H142" i="15"/>
  <c r="O141" i="15"/>
  <c r="P141" i="15" s="1"/>
  <c r="M141" i="15"/>
  <c r="L141" i="15"/>
  <c r="K141" i="15"/>
  <c r="I141" i="15"/>
  <c r="H141" i="15"/>
  <c r="O140" i="15"/>
  <c r="P140" i="15" s="1"/>
  <c r="M140" i="15"/>
  <c r="L140" i="15"/>
  <c r="K140" i="15"/>
  <c r="I140" i="15"/>
  <c r="H140" i="15"/>
  <c r="O139" i="15"/>
  <c r="P139" i="15" s="1"/>
  <c r="M139" i="15"/>
  <c r="L139" i="15"/>
  <c r="K139" i="15"/>
  <c r="I139" i="15"/>
  <c r="H139" i="15"/>
  <c r="O138" i="15"/>
  <c r="P138" i="15" s="1"/>
  <c r="M138" i="15"/>
  <c r="L138" i="15"/>
  <c r="K138" i="15"/>
  <c r="I138" i="15"/>
  <c r="H138" i="15"/>
  <c r="O137" i="15"/>
  <c r="P137" i="15" s="1"/>
  <c r="M137" i="15"/>
  <c r="L137" i="15"/>
  <c r="K137" i="15"/>
  <c r="I137" i="15"/>
  <c r="H137" i="15"/>
  <c r="O136" i="15"/>
  <c r="P136" i="15" s="1"/>
  <c r="M136" i="15"/>
  <c r="L136" i="15"/>
  <c r="K136" i="15"/>
  <c r="I136" i="15"/>
  <c r="J136" i="15" s="1"/>
  <c r="H136" i="15"/>
  <c r="O135" i="15"/>
  <c r="P135" i="15" s="1"/>
  <c r="M135" i="15"/>
  <c r="L135" i="15"/>
  <c r="K135" i="15"/>
  <c r="I135" i="15"/>
  <c r="J135" i="15" s="1"/>
  <c r="H135" i="15"/>
  <c r="O134" i="15"/>
  <c r="P134" i="15" s="1"/>
  <c r="M134" i="15"/>
  <c r="L134" i="15"/>
  <c r="K134" i="15"/>
  <c r="I134" i="15"/>
  <c r="H134" i="15"/>
  <c r="O133" i="15"/>
  <c r="P133" i="15" s="1"/>
  <c r="M133" i="15"/>
  <c r="L133" i="15"/>
  <c r="K133" i="15"/>
  <c r="I133" i="15"/>
  <c r="H133" i="15"/>
  <c r="O132" i="15"/>
  <c r="P132" i="15" s="1"/>
  <c r="M132" i="15"/>
  <c r="L132" i="15"/>
  <c r="K132" i="15"/>
  <c r="I132" i="15"/>
  <c r="H132" i="15"/>
  <c r="O131" i="15"/>
  <c r="P131" i="15" s="1"/>
  <c r="M131" i="15"/>
  <c r="L131" i="15"/>
  <c r="K131" i="15"/>
  <c r="I131" i="15"/>
  <c r="H131" i="15"/>
  <c r="O130" i="15"/>
  <c r="P130" i="15" s="1"/>
  <c r="M130" i="15"/>
  <c r="L130" i="15"/>
  <c r="K130" i="15"/>
  <c r="I130" i="15"/>
  <c r="H130" i="15"/>
  <c r="O129" i="15"/>
  <c r="P129" i="15" s="1"/>
  <c r="M129" i="15"/>
  <c r="L129" i="15"/>
  <c r="K129" i="15"/>
  <c r="I129" i="15"/>
  <c r="H129" i="15"/>
  <c r="O128" i="15"/>
  <c r="P128" i="15" s="1"/>
  <c r="M128" i="15"/>
  <c r="L128" i="15"/>
  <c r="K128" i="15"/>
  <c r="I128" i="15"/>
  <c r="H128" i="15"/>
  <c r="O127" i="15"/>
  <c r="P127" i="15" s="1"/>
  <c r="M127" i="15"/>
  <c r="L127" i="15"/>
  <c r="K127" i="15"/>
  <c r="I127" i="15"/>
  <c r="H127" i="15"/>
  <c r="O126" i="15"/>
  <c r="P126" i="15" s="1"/>
  <c r="M126" i="15"/>
  <c r="L126" i="15"/>
  <c r="K126" i="15"/>
  <c r="I126" i="15"/>
  <c r="H126" i="15"/>
  <c r="O125" i="15"/>
  <c r="P125" i="15" s="1"/>
  <c r="M125" i="15"/>
  <c r="L125" i="15"/>
  <c r="K125" i="15"/>
  <c r="I125" i="15"/>
  <c r="H125" i="15"/>
  <c r="O124" i="15"/>
  <c r="P124" i="15" s="1"/>
  <c r="M124" i="15"/>
  <c r="L124" i="15"/>
  <c r="K124" i="15"/>
  <c r="I124" i="15"/>
  <c r="H124" i="15"/>
  <c r="O123" i="15"/>
  <c r="P123" i="15" s="1"/>
  <c r="M123" i="15"/>
  <c r="L123" i="15"/>
  <c r="K123" i="15"/>
  <c r="I123" i="15"/>
  <c r="H123" i="15"/>
  <c r="O122" i="15"/>
  <c r="M122" i="15"/>
  <c r="L122" i="15"/>
  <c r="K122" i="15"/>
  <c r="I122" i="15"/>
  <c r="J122" i="15" s="1"/>
  <c r="H122" i="15"/>
  <c r="O121" i="15"/>
  <c r="M121" i="15"/>
  <c r="L121" i="15"/>
  <c r="K121" i="15"/>
  <c r="I121" i="15"/>
  <c r="J121" i="15" s="1"/>
  <c r="H121" i="15"/>
  <c r="O120" i="15"/>
  <c r="P120" i="15" s="1"/>
  <c r="M120" i="15"/>
  <c r="L120" i="15"/>
  <c r="K120" i="15"/>
  <c r="I120" i="15"/>
  <c r="H120" i="15"/>
  <c r="O119" i="15"/>
  <c r="P119" i="15" s="1"/>
  <c r="M119" i="15"/>
  <c r="L119" i="15"/>
  <c r="K119" i="15"/>
  <c r="I119" i="15"/>
  <c r="H119" i="15"/>
  <c r="O118" i="15"/>
  <c r="P118" i="15" s="1"/>
  <c r="M118" i="15"/>
  <c r="L118" i="15"/>
  <c r="K118" i="15"/>
  <c r="I118" i="15"/>
  <c r="H118" i="15"/>
  <c r="O117" i="15"/>
  <c r="P117" i="15" s="1"/>
  <c r="M117" i="15"/>
  <c r="L117" i="15"/>
  <c r="K117" i="15"/>
  <c r="I117" i="15"/>
  <c r="H117" i="15"/>
  <c r="O116" i="15"/>
  <c r="P116" i="15" s="1"/>
  <c r="M116" i="15"/>
  <c r="L116" i="15"/>
  <c r="K116" i="15"/>
  <c r="I116" i="15"/>
  <c r="H116" i="15"/>
  <c r="O115" i="15"/>
  <c r="P115" i="15" s="1"/>
  <c r="M115" i="15"/>
  <c r="L115" i="15"/>
  <c r="K115" i="15"/>
  <c r="I115" i="15"/>
  <c r="H115" i="15"/>
  <c r="O114" i="15"/>
  <c r="P114" i="15" s="1"/>
  <c r="M114" i="15"/>
  <c r="L114" i="15"/>
  <c r="K114" i="15"/>
  <c r="I114" i="15"/>
  <c r="H114" i="15"/>
  <c r="O113" i="15"/>
  <c r="P113" i="15" s="1"/>
  <c r="M113" i="15"/>
  <c r="L113" i="15"/>
  <c r="K113" i="15"/>
  <c r="I113" i="15"/>
  <c r="H113" i="15"/>
  <c r="O112" i="15"/>
  <c r="P112" i="15" s="1"/>
  <c r="M112" i="15"/>
  <c r="L112" i="15"/>
  <c r="K112" i="15"/>
  <c r="I112" i="15"/>
  <c r="H112" i="15"/>
  <c r="O111" i="15"/>
  <c r="P111" i="15" s="1"/>
  <c r="M111" i="15"/>
  <c r="L111" i="15"/>
  <c r="K111" i="15"/>
  <c r="I111" i="15"/>
  <c r="H111" i="15"/>
  <c r="O110" i="15"/>
  <c r="P110" i="15" s="1"/>
  <c r="M110" i="15"/>
  <c r="L110" i="15"/>
  <c r="K110" i="15"/>
  <c r="I110" i="15"/>
  <c r="H110" i="15"/>
  <c r="O109" i="15"/>
  <c r="P109" i="15" s="1"/>
  <c r="M109" i="15"/>
  <c r="L109" i="15"/>
  <c r="K109" i="15"/>
  <c r="I109" i="15"/>
  <c r="H109" i="15"/>
  <c r="O108" i="15"/>
  <c r="P108" i="15" s="1"/>
  <c r="M108" i="15"/>
  <c r="L108" i="15"/>
  <c r="K108" i="15"/>
  <c r="I108" i="15"/>
  <c r="H108" i="15"/>
  <c r="O107" i="15"/>
  <c r="P107" i="15" s="1"/>
  <c r="M107" i="15"/>
  <c r="L107" i="15"/>
  <c r="K107" i="15"/>
  <c r="I107" i="15"/>
  <c r="H107" i="15"/>
  <c r="O106" i="15"/>
  <c r="P106" i="15" s="1"/>
  <c r="M106" i="15"/>
  <c r="L106" i="15"/>
  <c r="K106" i="15"/>
  <c r="I106" i="15"/>
  <c r="H106" i="15"/>
  <c r="O105" i="15"/>
  <c r="P105" i="15" s="1"/>
  <c r="M105" i="15"/>
  <c r="L105" i="15"/>
  <c r="K105" i="15"/>
  <c r="I105" i="15"/>
  <c r="H105" i="15"/>
  <c r="O104" i="15"/>
  <c r="P104" i="15" s="1"/>
  <c r="M104" i="15"/>
  <c r="L104" i="15"/>
  <c r="K104" i="15"/>
  <c r="I104" i="15"/>
  <c r="H104" i="15"/>
  <c r="O103" i="15"/>
  <c r="P103" i="15" s="1"/>
  <c r="M103" i="15"/>
  <c r="L103" i="15"/>
  <c r="K103" i="15"/>
  <c r="I103" i="15"/>
  <c r="H103" i="15"/>
  <c r="O102" i="15"/>
  <c r="P102" i="15" s="1"/>
  <c r="M102" i="15"/>
  <c r="L102" i="15"/>
  <c r="K102" i="15"/>
  <c r="I102" i="15"/>
  <c r="H102" i="15"/>
  <c r="O101" i="15"/>
  <c r="P101" i="15" s="1"/>
  <c r="M101" i="15"/>
  <c r="L101" i="15"/>
  <c r="K101" i="15"/>
  <c r="I101" i="15"/>
  <c r="H101" i="15"/>
  <c r="O100" i="15"/>
  <c r="P100" i="15" s="1"/>
  <c r="M100" i="15"/>
  <c r="L100" i="15"/>
  <c r="K100" i="15"/>
  <c r="I100" i="15"/>
  <c r="H100" i="15"/>
  <c r="O99" i="15"/>
  <c r="P99" i="15" s="1"/>
  <c r="M99" i="15"/>
  <c r="L99" i="15"/>
  <c r="K99" i="15"/>
  <c r="I99" i="15"/>
  <c r="H99" i="15"/>
  <c r="O98" i="15"/>
  <c r="P98" i="15" s="1"/>
  <c r="M98" i="15"/>
  <c r="L98" i="15"/>
  <c r="K98" i="15"/>
  <c r="I98" i="15"/>
  <c r="H98" i="15"/>
  <c r="O97" i="15"/>
  <c r="P97" i="15" s="1"/>
  <c r="M97" i="15"/>
  <c r="L97" i="15"/>
  <c r="K97" i="15"/>
  <c r="I97" i="15"/>
  <c r="H97" i="15"/>
  <c r="O96" i="15"/>
  <c r="P96" i="15" s="1"/>
  <c r="M96" i="15"/>
  <c r="L96" i="15"/>
  <c r="K96" i="15"/>
  <c r="I96" i="15"/>
  <c r="H96" i="15"/>
  <c r="O95" i="15"/>
  <c r="P95" i="15" s="1"/>
  <c r="M95" i="15"/>
  <c r="L95" i="15"/>
  <c r="K95" i="15"/>
  <c r="I95" i="15"/>
  <c r="H95" i="15"/>
  <c r="O94" i="15"/>
  <c r="P94" i="15" s="1"/>
  <c r="M94" i="15"/>
  <c r="L94" i="15"/>
  <c r="K94" i="15"/>
  <c r="I94" i="15"/>
  <c r="H94" i="15"/>
  <c r="O93" i="15"/>
  <c r="P93" i="15" s="1"/>
  <c r="M93" i="15"/>
  <c r="L93" i="15"/>
  <c r="K93" i="15"/>
  <c r="I93" i="15"/>
  <c r="H93" i="15"/>
  <c r="O92" i="15"/>
  <c r="P92" i="15" s="1"/>
  <c r="M92" i="15"/>
  <c r="L92" i="15"/>
  <c r="K92" i="15"/>
  <c r="I92" i="15"/>
  <c r="H92" i="15"/>
  <c r="O91" i="15"/>
  <c r="P91" i="15" s="1"/>
  <c r="M91" i="15"/>
  <c r="L91" i="15"/>
  <c r="K91" i="15"/>
  <c r="I91" i="15"/>
  <c r="H91" i="15"/>
  <c r="O90" i="15"/>
  <c r="P90" i="15" s="1"/>
  <c r="M90" i="15"/>
  <c r="L90" i="15"/>
  <c r="K90" i="15"/>
  <c r="I90" i="15"/>
  <c r="J90" i="15" s="1"/>
  <c r="H90" i="15"/>
  <c r="O89" i="15"/>
  <c r="P89" i="15" s="1"/>
  <c r="M89" i="15"/>
  <c r="L89" i="15"/>
  <c r="K89" i="15"/>
  <c r="I89" i="15"/>
  <c r="H89" i="15"/>
  <c r="O88" i="15"/>
  <c r="P88" i="15" s="1"/>
  <c r="M88" i="15"/>
  <c r="L88" i="15"/>
  <c r="K88" i="15"/>
  <c r="I88" i="15"/>
  <c r="H88" i="15"/>
  <c r="O87" i="15"/>
  <c r="P87" i="15" s="1"/>
  <c r="M87" i="15"/>
  <c r="L87" i="15"/>
  <c r="K87" i="15"/>
  <c r="I87" i="15"/>
  <c r="J87" i="15" s="1"/>
  <c r="H87" i="15"/>
  <c r="O86" i="15"/>
  <c r="P86" i="15" s="1"/>
  <c r="M86" i="15"/>
  <c r="L86" i="15"/>
  <c r="K86" i="15"/>
  <c r="I86" i="15"/>
  <c r="H86" i="15"/>
  <c r="O85" i="15"/>
  <c r="P85" i="15" s="1"/>
  <c r="M85" i="15"/>
  <c r="L85" i="15"/>
  <c r="K85" i="15"/>
  <c r="I85" i="15"/>
  <c r="J85" i="15" s="1"/>
  <c r="H85" i="15"/>
  <c r="O84" i="15"/>
  <c r="P84" i="15" s="1"/>
  <c r="M84" i="15"/>
  <c r="L84" i="15"/>
  <c r="K84" i="15"/>
  <c r="I84" i="15"/>
  <c r="H84" i="15"/>
  <c r="O83" i="15"/>
  <c r="P83" i="15" s="1"/>
  <c r="M83" i="15"/>
  <c r="L83" i="15"/>
  <c r="K83" i="15"/>
  <c r="I83" i="15"/>
  <c r="H83" i="15"/>
  <c r="O82" i="15"/>
  <c r="M82" i="15"/>
  <c r="L82" i="15"/>
  <c r="K82" i="15"/>
  <c r="I82" i="15"/>
  <c r="J82" i="15" s="1"/>
  <c r="H82" i="15"/>
  <c r="O81" i="15"/>
  <c r="M81" i="15"/>
  <c r="L81" i="15"/>
  <c r="K81" i="15"/>
  <c r="I81" i="15"/>
  <c r="J81" i="15" s="1"/>
  <c r="H81" i="15"/>
  <c r="O80" i="15"/>
  <c r="M80" i="15"/>
  <c r="L80" i="15"/>
  <c r="K80" i="15"/>
  <c r="I80" i="15"/>
  <c r="J80" i="15" s="1"/>
  <c r="H80" i="15"/>
  <c r="O79" i="15"/>
  <c r="P79" i="15" s="1"/>
  <c r="M79" i="15"/>
  <c r="L79" i="15"/>
  <c r="K79" i="15"/>
  <c r="I79" i="15"/>
  <c r="H79" i="15"/>
  <c r="O78" i="15"/>
  <c r="P78" i="15" s="1"/>
  <c r="M78" i="15"/>
  <c r="L78" i="15"/>
  <c r="K78" i="15"/>
  <c r="I78" i="15"/>
  <c r="J78" i="15" s="1"/>
  <c r="H78" i="15"/>
  <c r="O77" i="15"/>
  <c r="P77" i="15" s="1"/>
  <c r="M77" i="15"/>
  <c r="L77" i="15"/>
  <c r="K77" i="15"/>
  <c r="I77" i="15"/>
  <c r="J77" i="15" s="1"/>
  <c r="H77" i="15"/>
  <c r="O76" i="15"/>
  <c r="P76" i="15" s="1"/>
  <c r="M76" i="15"/>
  <c r="L76" i="15"/>
  <c r="K76" i="15"/>
  <c r="I76" i="15"/>
  <c r="J76" i="15" s="1"/>
  <c r="H76" i="15"/>
  <c r="O75" i="15"/>
  <c r="P75" i="15" s="1"/>
  <c r="M75" i="15"/>
  <c r="L75" i="15"/>
  <c r="K75" i="15"/>
  <c r="I75" i="15"/>
  <c r="H75" i="15"/>
  <c r="O74" i="15"/>
  <c r="P74" i="15" s="1"/>
  <c r="M74" i="15"/>
  <c r="L74" i="15"/>
  <c r="K74" i="15"/>
  <c r="I74" i="15"/>
  <c r="H74" i="15"/>
  <c r="O73" i="15"/>
  <c r="P73" i="15" s="1"/>
  <c r="M73" i="15"/>
  <c r="L73" i="15"/>
  <c r="K73" i="15"/>
  <c r="I73" i="15"/>
  <c r="H73" i="15"/>
  <c r="O72" i="15"/>
  <c r="P72" i="15" s="1"/>
  <c r="M72" i="15"/>
  <c r="L72" i="15"/>
  <c r="K72" i="15"/>
  <c r="I72" i="15"/>
  <c r="J72" i="15" s="1"/>
  <c r="H72" i="15"/>
  <c r="O71" i="15"/>
  <c r="M71" i="15"/>
  <c r="L71" i="15"/>
  <c r="K71" i="15"/>
  <c r="I71" i="15"/>
  <c r="J71" i="15" s="1"/>
  <c r="H71" i="15"/>
  <c r="O70" i="15"/>
  <c r="P70" i="15" s="1"/>
  <c r="M70" i="15"/>
  <c r="L70" i="15"/>
  <c r="K70" i="15"/>
  <c r="I70" i="15"/>
  <c r="H70" i="15"/>
  <c r="O69" i="15"/>
  <c r="P69" i="15" s="1"/>
  <c r="M69" i="15"/>
  <c r="L69" i="15"/>
  <c r="K69" i="15"/>
  <c r="I69" i="15"/>
  <c r="H69" i="15"/>
  <c r="O68" i="15"/>
  <c r="P68" i="15" s="1"/>
  <c r="M68" i="15"/>
  <c r="L68" i="15"/>
  <c r="K68" i="15"/>
  <c r="I68" i="15"/>
  <c r="H68" i="15"/>
  <c r="O67" i="15"/>
  <c r="P67" i="15" s="1"/>
  <c r="M67" i="15"/>
  <c r="L67" i="15"/>
  <c r="K67" i="15"/>
  <c r="I67" i="15"/>
  <c r="H67" i="15"/>
  <c r="O66" i="15"/>
  <c r="P66" i="15" s="1"/>
  <c r="M66" i="15"/>
  <c r="L66" i="15"/>
  <c r="K66" i="15"/>
  <c r="I66" i="15"/>
  <c r="H66" i="15"/>
  <c r="O65" i="15"/>
  <c r="P65" i="15" s="1"/>
  <c r="M65" i="15"/>
  <c r="L65" i="15"/>
  <c r="K65" i="15"/>
  <c r="I65" i="15"/>
  <c r="H65" i="15"/>
  <c r="O64" i="15"/>
  <c r="P64" i="15" s="1"/>
  <c r="M64" i="15"/>
  <c r="L64" i="15"/>
  <c r="K64" i="15"/>
  <c r="I64" i="15"/>
  <c r="H64" i="15"/>
  <c r="O63" i="15"/>
  <c r="P63" i="15" s="1"/>
  <c r="M63" i="15"/>
  <c r="L63" i="15"/>
  <c r="K63" i="15"/>
  <c r="I63" i="15"/>
  <c r="H63" i="15"/>
  <c r="O62" i="15"/>
  <c r="P62" i="15" s="1"/>
  <c r="M62" i="15"/>
  <c r="L62" i="15"/>
  <c r="K62" i="15"/>
  <c r="I62" i="15"/>
  <c r="H62" i="15"/>
  <c r="O61" i="15"/>
  <c r="P61" i="15" s="1"/>
  <c r="M61" i="15"/>
  <c r="L61" i="15"/>
  <c r="K61" i="15"/>
  <c r="I61" i="15"/>
  <c r="H61" i="15"/>
  <c r="O60" i="15"/>
  <c r="P60" i="15" s="1"/>
  <c r="M60" i="15"/>
  <c r="L60" i="15"/>
  <c r="K60" i="15"/>
  <c r="I60" i="15"/>
  <c r="H60" i="15"/>
  <c r="O59" i="15"/>
  <c r="P59" i="15" s="1"/>
  <c r="M59" i="15"/>
  <c r="L59" i="15"/>
  <c r="K59" i="15"/>
  <c r="I59" i="15"/>
  <c r="J59" i="15" s="1"/>
  <c r="H59" i="15"/>
  <c r="O58" i="15"/>
  <c r="P58" i="15" s="1"/>
  <c r="M58" i="15"/>
  <c r="L58" i="15"/>
  <c r="K58" i="15"/>
  <c r="I58" i="15"/>
  <c r="H58" i="15"/>
  <c r="O57" i="15"/>
  <c r="P57" i="15" s="1"/>
  <c r="M57" i="15"/>
  <c r="L57" i="15"/>
  <c r="K57" i="15"/>
  <c r="I57" i="15"/>
  <c r="H57" i="15"/>
  <c r="O56" i="15"/>
  <c r="P56" i="15" s="1"/>
  <c r="M56" i="15"/>
  <c r="L56" i="15"/>
  <c r="K56" i="15"/>
  <c r="I56" i="15"/>
  <c r="H56" i="15"/>
  <c r="O55" i="15"/>
  <c r="P55" i="15" s="1"/>
  <c r="M55" i="15"/>
  <c r="L55" i="15"/>
  <c r="K55" i="15"/>
  <c r="I55" i="15"/>
  <c r="H55" i="15"/>
  <c r="O54" i="15"/>
  <c r="P54" i="15" s="1"/>
  <c r="M54" i="15"/>
  <c r="L54" i="15"/>
  <c r="K54" i="15"/>
  <c r="I54" i="15"/>
  <c r="H54" i="15"/>
  <c r="O53" i="15"/>
  <c r="P53" i="15" s="1"/>
  <c r="M53" i="15"/>
  <c r="L53" i="15"/>
  <c r="K53" i="15"/>
  <c r="I53" i="15"/>
  <c r="H53" i="15"/>
  <c r="O52" i="15"/>
  <c r="P52" i="15" s="1"/>
  <c r="M52" i="15"/>
  <c r="L52" i="15"/>
  <c r="K52" i="15"/>
  <c r="I52" i="15"/>
  <c r="H52" i="15"/>
  <c r="O51" i="15"/>
  <c r="P51" i="15" s="1"/>
  <c r="M51" i="15"/>
  <c r="L51" i="15"/>
  <c r="K51" i="15"/>
  <c r="I51" i="15"/>
  <c r="H51" i="15"/>
  <c r="O50" i="15"/>
  <c r="P50" i="15" s="1"/>
  <c r="M50" i="15"/>
  <c r="L50" i="15"/>
  <c r="K50" i="15"/>
  <c r="I50" i="15"/>
  <c r="H50" i="15"/>
  <c r="O49" i="15"/>
  <c r="P49" i="15" s="1"/>
  <c r="M49" i="15"/>
  <c r="L49" i="15"/>
  <c r="K49" i="15"/>
  <c r="I49" i="15"/>
  <c r="H49" i="15"/>
  <c r="O48" i="15"/>
  <c r="P48" i="15" s="1"/>
  <c r="M48" i="15"/>
  <c r="L48" i="15"/>
  <c r="K48" i="15"/>
  <c r="I48" i="15"/>
  <c r="H48" i="15"/>
  <c r="O47" i="15"/>
  <c r="P47" i="15" s="1"/>
  <c r="M47" i="15"/>
  <c r="L47" i="15"/>
  <c r="K47" i="15"/>
  <c r="I47" i="15"/>
  <c r="H47" i="15"/>
  <c r="O46" i="15"/>
  <c r="P46" i="15" s="1"/>
  <c r="M46" i="15"/>
  <c r="L46" i="15"/>
  <c r="K46" i="15"/>
  <c r="I46" i="15"/>
  <c r="H46" i="15"/>
  <c r="O45" i="15"/>
  <c r="P45" i="15" s="1"/>
  <c r="M45" i="15"/>
  <c r="L45" i="15"/>
  <c r="K45" i="15"/>
  <c r="I45" i="15"/>
  <c r="H45" i="15"/>
  <c r="O44" i="15"/>
  <c r="P44" i="15" s="1"/>
  <c r="M44" i="15"/>
  <c r="L44" i="15"/>
  <c r="K44" i="15"/>
  <c r="I44" i="15"/>
  <c r="H44" i="15"/>
  <c r="O43" i="15"/>
  <c r="P43" i="15" s="1"/>
  <c r="M43" i="15"/>
  <c r="L43" i="15"/>
  <c r="K43" i="15"/>
  <c r="I43" i="15"/>
  <c r="H43" i="15"/>
  <c r="O42" i="15"/>
  <c r="P42" i="15" s="1"/>
  <c r="M42" i="15"/>
  <c r="L42" i="15"/>
  <c r="K42" i="15"/>
  <c r="I42" i="15"/>
  <c r="H42" i="15"/>
  <c r="O41" i="15"/>
  <c r="P41" i="15" s="1"/>
  <c r="M41" i="15"/>
  <c r="L41" i="15"/>
  <c r="K41" i="15"/>
  <c r="I41" i="15"/>
  <c r="H41" i="15"/>
  <c r="O40" i="15"/>
  <c r="P40" i="15" s="1"/>
  <c r="M40" i="15"/>
  <c r="L40" i="15"/>
  <c r="K40" i="15"/>
  <c r="I40" i="15"/>
  <c r="H40" i="15"/>
  <c r="O39" i="15"/>
  <c r="P39" i="15" s="1"/>
  <c r="M39" i="15"/>
  <c r="L39" i="15"/>
  <c r="K39" i="15"/>
  <c r="I39" i="15"/>
  <c r="H39" i="15"/>
  <c r="O38" i="15"/>
  <c r="P38" i="15" s="1"/>
  <c r="M38" i="15"/>
  <c r="L38" i="15"/>
  <c r="K38" i="15"/>
  <c r="I38" i="15"/>
  <c r="H38" i="15"/>
  <c r="O37" i="15"/>
  <c r="P37" i="15" s="1"/>
  <c r="M37" i="15"/>
  <c r="L37" i="15"/>
  <c r="K37" i="15"/>
  <c r="I37" i="15"/>
  <c r="H37" i="15"/>
  <c r="O36" i="15"/>
  <c r="P36" i="15" s="1"/>
  <c r="M36" i="15"/>
  <c r="L36" i="15"/>
  <c r="K36" i="15"/>
  <c r="I36" i="15"/>
  <c r="H36" i="15"/>
  <c r="O35" i="15"/>
  <c r="P35" i="15" s="1"/>
  <c r="M35" i="15"/>
  <c r="L35" i="15"/>
  <c r="K35" i="15"/>
  <c r="I35" i="15"/>
  <c r="H35" i="15"/>
  <c r="O34" i="15"/>
  <c r="P34" i="15" s="1"/>
  <c r="M34" i="15"/>
  <c r="L34" i="15"/>
  <c r="K34" i="15"/>
  <c r="I34" i="15"/>
  <c r="H34" i="15"/>
  <c r="O33" i="15"/>
  <c r="P33" i="15" s="1"/>
  <c r="M33" i="15"/>
  <c r="L33" i="15"/>
  <c r="K33" i="15"/>
  <c r="I33" i="15"/>
  <c r="H33" i="15"/>
  <c r="O32" i="15"/>
  <c r="P32" i="15" s="1"/>
  <c r="M32" i="15"/>
  <c r="L32" i="15"/>
  <c r="K32" i="15"/>
  <c r="I32" i="15"/>
  <c r="H32" i="15"/>
  <c r="O31" i="15"/>
  <c r="P31" i="15" s="1"/>
  <c r="M31" i="15"/>
  <c r="L31" i="15"/>
  <c r="K31" i="15"/>
  <c r="I31" i="15"/>
  <c r="H31" i="15"/>
  <c r="O30" i="15"/>
  <c r="P30" i="15" s="1"/>
  <c r="M30" i="15"/>
  <c r="L30" i="15"/>
  <c r="K30" i="15"/>
  <c r="I30" i="15"/>
  <c r="H30" i="15"/>
  <c r="O29" i="15"/>
  <c r="P29" i="15" s="1"/>
  <c r="M29" i="15"/>
  <c r="L29" i="15"/>
  <c r="K29" i="15"/>
  <c r="I29" i="15"/>
  <c r="H29" i="15"/>
  <c r="O28" i="15"/>
  <c r="P28" i="15" s="1"/>
  <c r="M28" i="15"/>
  <c r="L28" i="15"/>
  <c r="K28" i="15"/>
  <c r="I28" i="15"/>
  <c r="H28" i="15"/>
  <c r="O27" i="15"/>
  <c r="P27" i="15" s="1"/>
  <c r="M27" i="15"/>
  <c r="L27" i="15"/>
  <c r="K27" i="15"/>
  <c r="I27" i="15"/>
  <c r="J27" i="15" s="1"/>
  <c r="H27" i="15"/>
  <c r="O26" i="15"/>
  <c r="P26" i="15" s="1"/>
  <c r="M26" i="15"/>
  <c r="L26" i="15"/>
  <c r="K26" i="15"/>
  <c r="I26" i="15"/>
  <c r="H26" i="15"/>
  <c r="O25" i="15"/>
  <c r="P25" i="15" s="1"/>
  <c r="M25" i="15"/>
  <c r="L25" i="15"/>
  <c r="K25" i="15"/>
  <c r="I25" i="15"/>
  <c r="H25" i="15"/>
  <c r="O24" i="15"/>
  <c r="P24" i="15" s="1"/>
  <c r="M24" i="15"/>
  <c r="L24" i="15"/>
  <c r="K24" i="15"/>
  <c r="I24" i="15"/>
  <c r="J24" i="15" s="1"/>
  <c r="H24" i="15"/>
  <c r="O23" i="15"/>
  <c r="P23" i="15" s="1"/>
  <c r="M23" i="15"/>
  <c r="L23" i="15"/>
  <c r="K23" i="15"/>
  <c r="I23" i="15"/>
  <c r="H23" i="15"/>
  <c r="O22" i="15"/>
  <c r="M22" i="15"/>
  <c r="L22" i="15"/>
  <c r="K22" i="15"/>
  <c r="I22" i="15"/>
  <c r="J22" i="15" s="1"/>
  <c r="H22" i="15"/>
  <c r="O21" i="15"/>
  <c r="P21" i="15" s="1"/>
  <c r="M21" i="15"/>
  <c r="L21" i="15"/>
  <c r="K21" i="15"/>
  <c r="I21" i="15"/>
  <c r="H21" i="15"/>
  <c r="O20" i="15"/>
  <c r="P20" i="15" s="1"/>
  <c r="M20" i="15"/>
  <c r="L20" i="15"/>
  <c r="K20" i="15"/>
  <c r="I20" i="15"/>
  <c r="H20" i="15"/>
  <c r="O19" i="15"/>
  <c r="P19" i="15" s="1"/>
  <c r="M19" i="15"/>
  <c r="L19" i="15"/>
  <c r="K19" i="15"/>
  <c r="I19" i="15"/>
  <c r="H19" i="15"/>
  <c r="O18" i="15"/>
  <c r="M18" i="15"/>
  <c r="L18" i="15"/>
  <c r="K18" i="15"/>
  <c r="I18" i="15"/>
  <c r="J18" i="15" s="1"/>
  <c r="H18" i="15"/>
  <c r="O17" i="15"/>
  <c r="M17" i="15"/>
  <c r="L17" i="15"/>
  <c r="K17" i="15"/>
  <c r="I17" i="15"/>
  <c r="J17" i="15" s="1"/>
  <c r="H17" i="15"/>
  <c r="O16" i="15"/>
  <c r="M16" i="15"/>
  <c r="L16" i="15"/>
  <c r="K16" i="15"/>
  <c r="I16" i="15"/>
  <c r="J16" i="15" s="1"/>
  <c r="H16" i="15"/>
  <c r="O15" i="15"/>
  <c r="M15" i="15"/>
  <c r="L15" i="15"/>
  <c r="K15" i="15"/>
  <c r="I15" i="15"/>
  <c r="J15" i="15" s="1"/>
  <c r="H15" i="15"/>
  <c r="O14" i="15"/>
  <c r="M14" i="15"/>
  <c r="L14" i="15"/>
  <c r="K14" i="15"/>
  <c r="I14" i="15"/>
  <c r="J14" i="15" s="1"/>
  <c r="H14" i="15"/>
  <c r="O13" i="15"/>
  <c r="M13" i="15"/>
  <c r="L13" i="15"/>
  <c r="K13" i="15"/>
  <c r="I13" i="15"/>
  <c r="J13" i="15" s="1"/>
  <c r="H13" i="15"/>
  <c r="O12" i="15"/>
  <c r="M12" i="15"/>
  <c r="L12" i="15"/>
  <c r="K12" i="15"/>
  <c r="I12" i="15"/>
  <c r="J12" i="15" s="1"/>
  <c r="H12" i="15"/>
  <c r="O11" i="15"/>
  <c r="M11" i="15"/>
  <c r="L11" i="15"/>
  <c r="K11" i="15"/>
  <c r="I11" i="15"/>
  <c r="J11" i="15" s="1"/>
  <c r="H11" i="15"/>
  <c r="O10" i="15"/>
  <c r="M10" i="15"/>
  <c r="L10" i="15"/>
  <c r="K10" i="15"/>
  <c r="I10" i="15"/>
  <c r="J10" i="15" s="1"/>
  <c r="H10" i="15"/>
  <c r="O9" i="15"/>
  <c r="M9" i="15"/>
  <c r="L9" i="15"/>
  <c r="K9" i="15"/>
  <c r="I9" i="15"/>
  <c r="J9" i="15" s="1"/>
  <c r="H9" i="15"/>
  <c r="O8" i="15"/>
  <c r="M8" i="15"/>
  <c r="L8" i="15"/>
  <c r="K8" i="15"/>
  <c r="I8" i="15"/>
  <c r="J8" i="15" s="1"/>
  <c r="H8" i="15"/>
  <c r="O7" i="15"/>
  <c r="M7" i="15"/>
  <c r="L7" i="15"/>
  <c r="K7" i="15"/>
  <c r="I7" i="15"/>
  <c r="J7" i="15" s="1"/>
  <c r="H7" i="15"/>
  <c r="O6" i="15"/>
  <c r="M6" i="15"/>
  <c r="L6" i="15"/>
  <c r="K6" i="15"/>
  <c r="I6" i="15"/>
  <c r="J6" i="15" s="1"/>
  <c r="H6" i="15"/>
  <c r="O5" i="15"/>
  <c r="M5" i="15"/>
  <c r="L5" i="15"/>
  <c r="K5" i="15"/>
  <c r="I5" i="15"/>
  <c r="J5" i="15" s="1"/>
  <c r="H5" i="15"/>
  <c r="O4" i="15"/>
  <c r="M4" i="15"/>
  <c r="L4" i="15"/>
  <c r="K4" i="15"/>
  <c r="I4" i="15"/>
  <c r="J4" i="15" s="1"/>
  <c r="H4" i="15"/>
  <c r="O3" i="15"/>
  <c r="M3" i="15"/>
  <c r="L3" i="15"/>
  <c r="K3" i="15"/>
  <c r="I3" i="15"/>
  <c r="J3" i="15" s="1"/>
  <c r="H3" i="15"/>
  <c r="O2" i="15"/>
  <c r="M2" i="15"/>
  <c r="L2" i="15"/>
  <c r="K2" i="15"/>
  <c r="I2" i="15"/>
  <c r="J2" i="15" s="1"/>
  <c r="H2" i="15"/>
  <c r="U161" i="17" l="1"/>
  <c r="W107" i="17"/>
  <c r="K127" i="17"/>
  <c r="L127" i="17" s="1"/>
  <c r="K107" i="17"/>
  <c r="L107" i="17" s="1"/>
  <c r="X146" i="17"/>
  <c r="I161" i="17"/>
  <c r="J161" i="17" s="1"/>
  <c r="K125" i="17"/>
  <c r="L125" i="17" s="1"/>
  <c r="U116" i="17"/>
  <c r="W46" i="17"/>
  <c r="I46" i="17"/>
  <c r="J46" i="17" s="1"/>
  <c r="I116" i="17"/>
  <c r="J116" i="17" s="1"/>
  <c r="W43" i="17"/>
  <c r="K45" i="17"/>
  <c r="L45" i="17" s="1"/>
  <c r="W166" i="17"/>
  <c r="I45" i="17"/>
  <c r="J45" i="17" s="1"/>
  <c r="I63" i="17"/>
  <c r="J63" i="17" s="1"/>
  <c r="K26" i="17"/>
  <c r="L26" i="17" s="1"/>
  <c r="W63" i="17"/>
  <c r="W154" i="17"/>
  <c r="I154" i="17"/>
  <c r="J154" i="17" s="1"/>
  <c r="W150" i="17"/>
  <c r="I179" i="17"/>
  <c r="K140" i="17"/>
  <c r="L140" i="17" s="1"/>
  <c r="I30" i="17"/>
  <c r="J30" i="17" s="1"/>
  <c r="K53" i="17"/>
  <c r="L53" i="17" s="1"/>
  <c r="I26" i="17"/>
  <c r="J26" i="17" s="1"/>
  <c r="I150" i="17"/>
  <c r="J150" i="17" s="1"/>
  <c r="K141" i="17"/>
  <c r="L141" i="17" s="1"/>
  <c r="V115" i="17"/>
  <c r="U113" i="17"/>
  <c r="N4" i="15"/>
  <c r="N8" i="15"/>
  <c r="N12" i="15"/>
  <c r="N16" i="15"/>
  <c r="N20" i="15"/>
  <c r="N24" i="15"/>
  <c r="A24" i="15" s="1"/>
  <c r="N28" i="15"/>
  <c r="N32" i="15"/>
  <c r="N36" i="15"/>
  <c r="N40" i="15"/>
  <c r="N44" i="15"/>
  <c r="N48" i="15"/>
  <c r="N52" i="15"/>
  <c r="N56" i="15"/>
  <c r="N60" i="15"/>
  <c r="N64" i="15"/>
  <c r="N68" i="15"/>
  <c r="N72" i="15"/>
  <c r="A72" i="15" s="1"/>
  <c r="N76" i="15"/>
  <c r="A76" i="15" s="1"/>
  <c r="N80" i="15"/>
  <c r="N84" i="15"/>
  <c r="N88" i="15"/>
  <c r="N92" i="15"/>
  <c r="N96" i="15"/>
  <c r="N100" i="15"/>
  <c r="N104" i="15"/>
  <c r="N108" i="15"/>
  <c r="N112" i="15"/>
  <c r="N116" i="15"/>
  <c r="N120" i="15"/>
  <c r="N124" i="15"/>
  <c r="N128" i="15"/>
  <c r="N132" i="15"/>
  <c r="N136" i="15"/>
  <c r="A136" i="15" s="1"/>
  <c r="N140" i="15"/>
  <c r="N144" i="15"/>
  <c r="N148" i="15"/>
  <c r="N152" i="15"/>
  <c r="N156" i="15"/>
  <c r="N160" i="15"/>
  <c r="N164" i="15"/>
  <c r="N168" i="15"/>
  <c r="N172" i="15"/>
  <c r="C172" i="15" s="1"/>
  <c r="N176" i="15"/>
  <c r="N180" i="15"/>
  <c r="B183" i="15"/>
  <c r="N184" i="15"/>
  <c r="V181" i="17"/>
  <c r="K181" i="17"/>
  <c r="L181" i="17" s="1"/>
  <c r="K84" i="17"/>
  <c r="L84" i="17" s="1"/>
  <c r="I177" i="17"/>
  <c r="J177" i="17" s="1"/>
  <c r="I84" i="17"/>
  <c r="J84" i="17" s="1"/>
  <c r="K111" i="17"/>
  <c r="L111" i="17" s="1"/>
  <c r="N23" i="15"/>
  <c r="N27" i="15"/>
  <c r="A27" i="15" s="1"/>
  <c r="A30" i="17" s="1"/>
  <c r="N51" i="15"/>
  <c r="N63" i="15"/>
  <c r="N75" i="15"/>
  <c r="N87" i="15"/>
  <c r="A87" i="15" s="1"/>
  <c r="A90" i="17" s="1"/>
  <c r="N99" i="15"/>
  <c r="N103" i="15"/>
  <c r="N107" i="15"/>
  <c r="N111" i="15"/>
  <c r="N115" i="15"/>
  <c r="N119" i="15"/>
  <c r="N123" i="15"/>
  <c r="N127" i="15"/>
  <c r="N131" i="15"/>
  <c r="N135" i="15"/>
  <c r="A135" i="15" s="1"/>
  <c r="A138" i="17" s="1"/>
  <c r="N139" i="15"/>
  <c r="N143" i="15"/>
  <c r="N147" i="15"/>
  <c r="N151" i="15"/>
  <c r="A151" i="15" s="1"/>
  <c r="N155" i="15"/>
  <c r="N159" i="15"/>
  <c r="N163" i="15"/>
  <c r="N167" i="15"/>
  <c r="A167" i="15" s="1"/>
  <c r="N171" i="15"/>
  <c r="N175" i="15"/>
  <c r="N179" i="15"/>
  <c r="N183" i="15"/>
  <c r="A183" i="15" s="1"/>
  <c r="A186" i="17" s="1"/>
  <c r="I89" i="17"/>
  <c r="J89" i="17" s="1"/>
  <c r="K85" i="17"/>
  <c r="L85" i="17" s="1"/>
  <c r="N7" i="15"/>
  <c r="N15" i="15"/>
  <c r="N31" i="15"/>
  <c r="N35" i="15"/>
  <c r="N47" i="15"/>
  <c r="N59" i="15"/>
  <c r="N71" i="15"/>
  <c r="N83" i="15"/>
  <c r="K89" i="17"/>
  <c r="L89" i="17" s="1"/>
  <c r="I85" i="17"/>
  <c r="J85" i="17" s="1"/>
  <c r="N11" i="15"/>
  <c r="N19" i="15"/>
  <c r="N39" i="15"/>
  <c r="N43" i="15"/>
  <c r="N55" i="15"/>
  <c r="N67" i="15"/>
  <c r="N79" i="15"/>
  <c r="N91" i="15"/>
  <c r="N95" i="15"/>
  <c r="N2" i="15"/>
  <c r="N6" i="15"/>
  <c r="N10" i="15"/>
  <c r="N14" i="15"/>
  <c r="N18" i="15"/>
  <c r="N22" i="15"/>
  <c r="N26" i="15"/>
  <c r="N30" i="15"/>
  <c r="N34" i="15"/>
  <c r="N38" i="15"/>
  <c r="N42" i="15"/>
  <c r="N46" i="15"/>
  <c r="N50" i="15"/>
  <c r="N54" i="15"/>
  <c r="N58" i="15"/>
  <c r="N62" i="15"/>
  <c r="N66" i="15"/>
  <c r="N70" i="15"/>
  <c r="N74" i="15"/>
  <c r="N78" i="15"/>
  <c r="N82" i="15"/>
  <c r="N86" i="15"/>
  <c r="N90" i="15"/>
  <c r="A90" i="15" s="1"/>
  <c r="A93" i="17" s="1"/>
  <c r="N94" i="15"/>
  <c r="N98" i="15"/>
  <c r="N102" i="15"/>
  <c r="N106" i="15"/>
  <c r="N110" i="15"/>
  <c r="N114" i="15"/>
  <c r="N118" i="15"/>
  <c r="N122" i="15"/>
  <c r="N126" i="15"/>
  <c r="N130" i="15"/>
  <c r="N134" i="15"/>
  <c r="N138" i="15"/>
  <c r="N142" i="15"/>
  <c r="N146" i="15"/>
  <c r="N150" i="15"/>
  <c r="N154" i="15"/>
  <c r="N158" i="15"/>
  <c r="N162" i="15"/>
  <c r="N166" i="15"/>
  <c r="A166" i="15" s="1"/>
  <c r="N170" i="15"/>
  <c r="N174" i="15"/>
  <c r="N178" i="15"/>
  <c r="A178" i="15" s="1"/>
  <c r="N182" i="15"/>
  <c r="C182" i="15" s="1"/>
  <c r="N186" i="15"/>
  <c r="C186" i="15" s="1"/>
  <c r="U78" i="17"/>
  <c r="N3" i="15"/>
  <c r="I124" i="17"/>
  <c r="J124" i="17" s="1"/>
  <c r="N5" i="15"/>
  <c r="N9" i="15"/>
  <c r="N13" i="15"/>
  <c r="N17" i="15"/>
  <c r="N21" i="15"/>
  <c r="N25" i="15"/>
  <c r="N29" i="15"/>
  <c r="N33" i="15"/>
  <c r="N37" i="15"/>
  <c r="N41" i="15"/>
  <c r="N45" i="15"/>
  <c r="N49" i="15"/>
  <c r="N53" i="15"/>
  <c r="N57" i="15"/>
  <c r="N61" i="15"/>
  <c r="N65" i="15"/>
  <c r="N69" i="15"/>
  <c r="N73" i="15"/>
  <c r="N77" i="15"/>
  <c r="A77" i="15" s="1"/>
  <c r="N81" i="15"/>
  <c r="N85" i="15"/>
  <c r="A85" i="15" s="1"/>
  <c r="N89" i="15"/>
  <c r="N93" i="15"/>
  <c r="N97" i="15"/>
  <c r="C97" i="15" s="1"/>
  <c r="N101" i="15"/>
  <c r="N105" i="15"/>
  <c r="N109" i="15"/>
  <c r="N113" i="15"/>
  <c r="A113" i="15" s="1"/>
  <c r="N117" i="15"/>
  <c r="N121" i="15"/>
  <c r="N125" i="15"/>
  <c r="N129" i="15"/>
  <c r="C129" i="15" s="1"/>
  <c r="N133" i="15"/>
  <c r="N137" i="15"/>
  <c r="N141" i="15"/>
  <c r="N145" i="15"/>
  <c r="N149" i="15"/>
  <c r="N153" i="15"/>
  <c r="N157" i="15"/>
  <c r="N161" i="15"/>
  <c r="C161" i="15" s="1"/>
  <c r="N165" i="15"/>
  <c r="N169" i="15"/>
  <c r="N173" i="15"/>
  <c r="N177" i="15"/>
  <c r="A177" i="15" s="1"/>
  <c r="N181" i="15"/>
  <c r="A181" i="15" s="1"/>
  <c r="N185" i="15"/>
  <c r="A27" i="17"/>
  <c r="I53" i="17"/>
  <c r="J53" i="17" s="1"/>
  <c r="K165" i="17"/>
  <c r="L165" i="17" s="1"/>
  <c r="I141" i="17"/>
  <c r="J141" i="17" s="1"/>
  <c r="I41" i="17"/>
  <c r="J41" i="17" s="1"/>
  <c r="X189" i="17"/>
  <c r="U13" i="17"/>
  <c r="I13" i="17"/>
  <c r="J13" i="17" s="1"/>
  <c r="I15" i="17"/>
  <c r="J15" i="17" s="1"/>
  <c r="A181" i="17"/>
  <c r="U12" i="17"/>
  <c r="K189" i="17"/>
  <c r="L189" i="17" s="1"/>
  <c r="I94" i="17"/>
  <c r="J94" i="17" s="1"/>
  <c r="K188" i="17"/>
  <c r="L188" i="17" s="1"/>
  <c r="W54" i="17"/>
  <c r="K41" i="17"/>
  <c r="L41" i="17" s="1"/>
  <c r="I49" i="17"/>
  <c r="J49" i="17" s="1"/>
  <c r="W30" i="17"/>
  <c r="K49" i="17"/>
  <c r="L49" i="17" s="1"/>
  <c r="K94" i="17"/>
  <c r="L94" i="17" s="1"/>
  <c r="J186" i="15"/>
  <c r="B186" i="15"/>
  <c r="J185" i="15"/>
  <c r="B185" i="15"/>
  <c r="C185" i="15"/>
  <c r="V185" i="17"/>
  <c r="V133" i="17"/>
  <c r="V22" i="17"/>
  <c r="I102" i="17"/>
  <c r="J102" i="17" s="1"/>
  <c r="W102" i="17"/>
  <c r="V134" i="17"/>
  <c r="I134" i="17"/>
  <c r="J134" i="17" s="1"/>
  <c r="K112" i="17"/>
  <c r="L112" i="17" s="1"/>
  <c r="I133" i="17"/>
  <c r="J133" i="17" s="1"/>
  <c r="A80" i="17"/>
  <c r="A88" i="17"/>
  <c r="W91" i="17"/>
  <c r="V120" i="17"/>
  <c r="A75" i="17"/>
  <c r="A79" i="17"/>
  <c r="A139" i="17"/>
  <c r="C167" i="15"/>
  <c r="I91" i="17"/>
  <c r="J91" i="17" s="1"/>
  <c r="K91" i="17"/>
  <c r="L91" i="17" s="1"/>
  <c r="X86" i="17"/>
  <c r="C25" i="15"/>
  <c r="K142" i="17"/>
  <c r="L142" i="17" s="1"/>
  <c r="K139" i="17"/>
  <c r="L139" i="17" s="1"/>
  <c r="I51" i="17"/>
  <c r="J51" i="17" s="1"/>
  <c r="K87" i="17"/>
  <c r="L87" i="17" s="1"/>
  <c r="W80" i="17"/>
  <c r="W170" i="17"/>
  <c r="K51" i="17"/>
  <c r="L51" i="17" s="1"/>
  <c r="U117" i="17"/>
  <c r="U159" i="17"/>
  <c r="K180" i="17"/>
  <c r="L180" i="17" s="1"/>
  <c r="I176" i="17"/>
  <c r="J176" i="17" s="1"/>
  <c r="K176" i="17"/>
  <c r="L176" i="17" s="1"/>
  <c r="U164" i="17"/>
  <c r="I92" i="17"/>
  <c r="J92" i="17" s="1"/>
  <c r="X88" i="17"/>
  <c r="W33" i="17"/>
  <c r="X87" i="17"/>
  <c r="W177" i="17"/>
  <c r="I178" i="17"/>
  <c r="J178" i="17" s="1"/>
  <c r="K178" i="17"/>
  <c r="L178" i="17" s="1"/>
  <c r="K185" i="17"/>
  <c r="L185" i="17" s="1"/>
  <c r="U82" i="17"/>
  <c r="K82" i="17"/>
  <c r="L82" i="17" s="1"/>
  <c r="K92" i="17"/>
  <c r="L92" i="17" s="1"/>
  <c r="W42" i="17"/>
  <c r="X93" i="17"/>
  <c r="W151" i="17"/>
  <c r="U158" i="17"/>
  <c r="W178" i="17"/>
  <c r="W27" i="17"/>
  <c r="K170" i="17"/>
  <c r="L170" i="17" s="1"/>
  <c r="W49" i="17"/>
  <c r="W139" i="17"/>
  <c r="W179" i="17"/>
  <c r="B136" i="15"/>
  <c r="C168" i="15"/>
  <c r="V176" i="17"/>
  <c r="K166" i="17"/>
  <c r="L166" i="17" s="1"/>
  <c r="U156" i="17"/>
  <c r="I40" i="17"/>
  <c r="J40" i="17" s="1"/>
  <c r="K40" i="17"/>
  <c r="L40" i="17" s="1"/>
  <c r="W38" i="17"/>
  <c r="K151" i="17"/>
  <c r="L151" i="17" s="1"/>
  <c r="B135" i="15"/>
  <c r="K38" i="17"/>
  <c r="L38" i="17" s="1"/>
  <c r="W40" i="17"/>
  <c r="U17" i="17"/>
  <c r="I54" i="17"/>
  <c r="J54" i="17" s="1"/>
  <c r="K159" i="17"/>
  <c r="L159" i="17" s="1"/>
  <c r="J184" i="15"/>
  <c r="B184" i="15"/>
  <c r="J182" i="15"/>
  <c r="B182" i="15"/>
  <c r="C181" i="15"/>
  <c r="J181" i="15"/>
  <c r="B181" i="15"/>
  <c r="C180" i="15"/>
  <c r="J180" i="15"/>
  <c r="B180" i="15"/>
  <c r="J179" i="15"/>
  <c r="B179" i="15"/>
  <c r="B178" i="15"/>
  <c r="C178" i="15"/>
  <c r="C177" i="15"/>
  <c r="J177" i="15"/>
  <c r="B177" i="15"/>
  <c r="J176" i="15"/>
  <c r="B176" i="15"/>
  <c r="J179" i="17"/>
  <c r="C175" i="15"/>
  <c r="J175" i="15"/>
  <c r="B175" i="15"/>
  <c r="J174" i="15"/>
  <c r="B174" i="15"/>
  <c r="J173" i="15"/>
  <c r="B173" i="15"/>
  <c r="J172" i="15"/>
  <c r="B172" i="15"/>
  <c r="C171" i="15"/>
  <c r="J171" i="15"/>
  <c r="B171" i="15"/>
  <c r="C170" i="15"/>
  <c r="J170" i="15"/>
  <c r="B170" i="15"/>
  <c r="C169" i="15"/>
  <c r="J169" i="15"/>
  <c r="B169" i="15"/>
  <c r="J168" i="15"/>
  <c r="B168" i="15"/>
  <c r="J167" i="15"/>
  <c r="B167" i="15"/>
  <c r="C166" i="15"/>
  <c r="J166" i="15"/>
  <c r="B166" i="15"/>
  <c r="C165" i="15"/>
  <c r="J165" i="15"/>
  <c r="B165" i="15"/>
  <c r="C164" i="15"/>
  <c r="J164" i="15"/>
  <c r="B164" i="15"/>
  <c r="J163" i="15"/>
  <c r="B163" i="15"/>
  <c r="C162" i="15"/>
  <c r="J162" i="15"/>
  <c r="B162" i="15"/>
  <c r="J161" i="15"/>
  <c r="B161" i="15"/>
  <c r="C159" i="15"/>
  <c r="J160" i="15"/>
  <c r="B160" i="15"/>
  <c r="J159" i="15"/>
  <c r="B159" i="15"/>
  <c r="J158" i="15"/>
  <c r="B158" i="15"/>
  <c r="J157" i="15"/>
  <c r="B157" i="15"/>
  <c r="C156" i="15"/>
  <c r="J156" i="15"/>
  <c r="B156" i="15"/>
  <c r="C155" i="15"/>
  <c r="J155" i="15"/>
  <c r="B155" i="15"/>
  <c r="C154" i="15"/>
  <c r="J154" i="15"/>
  <c r="B154" i="15"/>
  <c r="C153" i="15"/>
  <c r="J153" i="15"/>
  <c r="B153" i="15"/>
  <c r="C152" i="15"/>
  <c r="J152" i="15"/>
  <c r="B152" i="15"/>
  <c r="C151" i="15"/>
  <c r="J151" i="15"/>
  <c r="B151" i="15"/>
  <c r="C150" i="15"/>
  <c r="J150" i="15"/>
  <c r="B150" i="15"/>
  <c r="C149" i="15"/>
  <c r="J149" i="15"/>
  <c r="B149" i="15"/>
  <c r="C148" i="15"/>
  <c r="J148" i="15"/>
  <c r="B148" i="15"/>
  <c r="C146" i="15"/>
  <c r="J147" i="15"/>
  <c r="B147" i="15"/>
  <c r="J146" i="15"/>
  <c r="B146" i="15"/>
  <c r="J145" i="15"/>
  <c r="B145" i="15"/>
  <c r="J144" i="15"/>
  <c r="B144" i="15"/>
  <c r="C143" i="15"/>
  <c r="J143" i="15"/>
  <c r="B143" i="15"/>
  <c r="J142" i="15"/>
  <c r="B142" i="15"/>
  <c r="C140" i="15"/>
  <c r="J141" i="15"/>
  <c r="B141" i="15"/>
  <c r="J140" i="15"/>
  <c r="B140" i="15"/>
  <c r="C139" i="15"/>
  <c r="J139" i="15"/>
  <c r="B139" i="15"/>
  <c r="C138" i="15"/>
  <c r="C137" i="15"/>
  <c r="J138" i="15"/>
  <c r="B138" i="15"/>
  <c r="J137" i="15"/>
  <c r="B137" i="15"/>
  <c r="C136" i="15"/>
  <c r="C135" i="15"/>
  <c r="C134" i="15"/>
  <c r="J134" i="15"/>
  <c r="B134" i="15"/>
  <c r="C133" i="15"/>
  <c r="C132" i="15"/>
  <c r="J133" i="15"/>
  <c r="B133" i="15"/>
  <c r="J132" i="15"/>
  <c r="B132" i="15"/>
  <c r="J131" i="15"/>
  <c r="B131" i="15"/>
  <c r="C130" i="15"/>
  <c r="J130" i="15"/>
  <c r="B130" i="15"/>
  <c r="J129" i="15"/>
  <c r="B129" i="15"/>
  <c r="B59" i="15"/>
  <c r="B72" i="15"/>
  <c r="B77" i="15"/>
  <c r="B78" i="15"/>
  <c r="P80" i="15"/>
  <c r="B80" i="15"/>
  <c r="C81" i="15"/>
  <c r="P81" i="15"/>
  <c r="B81" i="15"/>
  <c r="C82" i="15"/>
  <c r="P82" i="15"/>
  <c r="B82" i="15"/>
  <c r="B85" i="15"/>
  <c r="B87" i="15"/>
  <c r="B90" i="15"/>
  <c r="C121" i="15"/>
  <c r="P121" i="15"/>
  <c r="B121" i="15"/>
  <c r="C122" i="15"/>
  <c r="J128" i="15"/>
  <c r="B128" i="15"/>
  <c r="C127" i="15"/>
  <c r="J127" i="15"/>
  <c r="B127" i="15"/>
  <c r="J126" i="15"/>
  <c r="B126" i="15"/>
  <c r="J125" i="15"/>
  <c r="B125" i="15"/>
  <c r="C124" i="15"/>
  <c r="J124" i="15"/>
  <c r="B124" i="15"/>
  <c r="C123" i="15"/>
  <c r="J123" i="15"/>
  <c r="B123" i="15"/>
  <c r="P122" i="15"/>
  <c r="B122" i="15"/>
  <c r="C120" i="15"/>
  <c r="J120" i="15"/>
  <c r="B120" i="15"/>
  <c r="C119" i="15"/>
  <c r="J119" i="15"/>
  <c r="B119" i="15"/>
  <c r="C118" i="15"/>
  <c r="J118" i="15"/>
  <c r="B118" i="15"/>
  <c r="C117" i="15"/>
  <c r="J117" i="15"/>
  <c r="B117" i="15"/>
  <c r="C116" i="15"/>
  <c r="J116" i="15"/>
  <c r="B116" i="15"/>
  <c r="J115" i="15"/>
  <c r="B115" i="15"/>
  <c r="C114" i="15"/>
  <c r="J114" i="15"/>
  <c r="B114" i="15"/>
  <c r="C113" i="15"/>
  <c r="J113" i="15"/>
  <c r="B113" i="15"/>
  <c r="C112" i="15"/>
  <c r="J112" i="15"/>
  <c r="B112" i="15"/>
  <c r="C111" i="15"/>
  <c r="J111" i="15"/>
  <c r="B111" i="15"/>
  <c r="J110" i="15"/>
  <c r="B110" i="15"/>
  <c r="J109" i="15"/>
  <c r="B109" i="15"/>
  <c r="C108" i="15"/>
  <c r="J108" i="15"/>
  <c r="B108" i="15"/>
  <c r="C107" i="15"/>
  <c r="J107" i="15"/>
  <c r="B107" i="15"/>
  <c r="C106" i="15"/>
  <c r="J106" i="15"/>
  <c r="B106" i="15"/>
  <c r="C105" i="15"/>
  <c r="J105" i="15"/>
  <c r="B105" i="15"/>
  <c r="C104" i="15"/>
  <c r="J104" i="15"/>
  <c r="B104" i="15"/>
  <c r="C103" i="15"/>
  <c r="J103" i="15"/>
  <c r="B103" i="15"/>
  <c r="C102" i="15"/>
  <c r="C101" i="15"/>
  <c r="J102" i="15"/>
  <c r="B102" i="15"/>
  <c r="J101" i="15"/>
  <c r="B101" i="15"/>
  <c r="C100" i="15"/>
  <c r="J100" i="15"/>
  <c r="B100" i="15"/>
  <c r="J99" i="15"/>
  <c r="B99" i="15"/>
  <c r="C98" i="15"/>
  <c r="J98" i="15"/>
  <c r="B98" i="15"/>
  <c r="J97" i="15"/>
  <c r="B97" i="15"/>
  <c r="C96" i="15"/>
  <c r="J96" i="15"/>
  <c r="B96" i="15"/>
  <c r="J95" i="15"/>
  <c r="B95" i="15"/>
  <c r="J94" i="15"/>
  <c r="B94" i="15"/>
  <c r="J93" i="15"/>
  <c r="B93" i="15"/>
  <c r="C92" i="15"/>
  <c r="J92" i="15"/>
  <c r="B92" i="15"/>
  <c r="C91" i="15"/>
  <c r="J91" i="15"/>
  <c r="B91" i="15"/>
  <c r="C90" i="15"/>
  <c r="C89" i="15"/>
  <c r="J89" i="15"/>
  <c r="B89" i="15"/>
  <c r="C88" i="15"/>
  <c r="J88" i="15"/>
  <c r="B88" i="15"/>
  <c r="C87" i="15"/>
  <c r="C86" i="15"/>
  <c r="J86" i="15"/>
  <c r="B86" i="15"/>
  <c r="C85" i="15"/>
  <c r="C84" i="15"/>
  <c r="J84" i="15"/>
  <c r="B84" i="15"/>
  <c r="J83" i="15"/>
  <c r="B83" i="15"/>
  <c r="C83" i="15"/>
  <c r="C79" i="15"/>
  <c r="J79" i="15"/>
  <c r="B79" i="15"/>
  <c r="C77" i="15"/>
  <c r="C76" i="15"/>
  <c r="B76" i="15"/>
  <c r="C75" i="15"/>
  <c r="J75" i="15"/>
  <c r="B75" i="15"/>
  <c r="C74" i="15"/>
  <c r="J74" i="15"/>
  <c r="B74" i="15"/>
  <c r="J77" i="17"/>
  <c r="C73" i="15"/>
  <c r="J73" i="15"/>
  <c r="B73" i="15"/>
  <c r="C72" i="15"/>
  <c r="C70" i="15"/>
  <c r="C71" i="15"/>
  <c r="P71" i="15"/>
  <c r="B71" i="15"/>
  <c r="J70" i="15"/>
  <c r="B70" i="15"/>
  <c r="C69" i="15"/>
  <c r="J69" i="15"/>
  <c r="B69" i="15"/>
  <c r="C68" i="15"/>
  <c r="J68" i="15"/>
  <c r="B68" i="15"/>
  <c r="C67" i="15"/>
  <c r="J67" i="15"/>
  <c r="B67" i="15"/>
  <c r="C66" i="15"/>
  <c r="J66" i="15"/>
  <c r="B66" i="15"/>
  <c r="C65" i="15"/>
  <c r="J65" i="15"/>
  <c r="B65" i="15"/>
  <c r="J64" i="15"/>
  <c r="B64" i="15"/>
  <c r="C63" i="15"/>
  <c r="J63" i="15"/>
  <c r="B63" i="15"/>
  <c r="J62" i="15"/>
  <c r="B62" i="15"/>
  <c r="J61" i="15"/>
  <c r="B61" i="15"/>
  <c r="C60" i="15"/>
  <c r="J60" i="15"/>
  <c r="B60" i="15"/>
  <c r="C58" i="15"/>
  <c r="J58" i="15"/>
  <c r="B58" i="15"/>
  <c r="C57" i="15"/>
  <c r="J57" i="15"/>
  <c r="B57" i="15"/>
  <c r="C56" i="15"/>
  <c r="J56" i="15"/>
  <c r="B56" i="15"/>
  <c r="J55" i="15"/>
  <c r="B55" i="15"/>
  <c r="C54" i="15"/>
  <c r="J54" i="15"/>
  <c r="B54" i="15"/>
  <c r="C53" i="15"/>
  <c r="J53" i="15"/>
  <c r="B53" i="15"/>
  <c r="C52" i="15"/>
  <c r="J52" i="15"/>
  <c r="B52" i="15"/>
  <c r="C51" i="15"/>
  <c r="J51" i="15"/>
  <c r="B51" i="15"/>
  <c r="C50" i="15"/>
  <c r="J50" i="15"/>
  <c r="B50" i="15"/>
  <c r="C49" i="15"/>
  <c r="J49" i="15"/>
  <c r="B49" i="15"/>
  <c r="J48" i="15"/>
  <c r="B48" i="15"/>
  <c r="C47" i="15"/>
  <c r="J47" i="15"/>
  <c r="B47" i="15"/>
  <c r="J46" i="15"/>
  <c r="B46" i="15"/>
  <c r="J45" i="15"/>
  <c r="B45" i="15"/>
  <c r="C44" i="15"/>
  <c r="J44" i="15"/>
  <c r="B44" i="15"/>
  <c r="C43" i="15"/>
  <c r="J43" i="15"/>
  <c r="B43" i="15"/>
  <c r="C42" i="15"/>
  <c r="J42" i="15"/>
  <c r="B42" i="15"/>
  <c r="C41" i="15"/>
  <c r="J41" i="15"/>
  <c r="B41" i="15"/>
  <c r="C40" i="15"/>
  <c r="J40" i="15"/>
  <c r="B40" i="15"/>
  <c r="C39" i="15"/>
  <c r="J39" i="15"/>
  <c r="B39" i="15"/>
  <c r="C38" i="15"/>
  <c r="J38" i="15"/>
  <c r="B38" i="15"/>
  <c r="C37" i="15"/>
  <c r="C36" i="15"/>
  <c r="J37" i="15"/>
  <c r="B37" i="15"/>
  <c r="J36" i="15"/>
  <c r="B36" i="15"/>
  <c r="C35" i="15"/>
  <c r="J35" i="15"/>
  <c r="B35" i="15"/>
  <c r="C34" i="15"/>
  <c r="C33" i="15"/>
  <c r="J34" i="15"/>
  <c r="B34" i="15"/>
  <c r="J33" i="15"/>
  <c r="B33" i="15"/>
  <c r="J32" i="15"/>
  <c r="B32" i="15"/>
  <c r="C31" i="15"/>
  <c r="J31" i="15"/>
  <c r="B31" i="15"/>
  <c r="C29" i="15"/>
  <c r="C28" i="15"/>
  <c r="J28" i="15"/>
  <c r="B28" i="15"/>
  <c r="J29" i="15"/>
  <c r="B29" i="15"/>
  <c r="J30" i="15"/>
  <c r="B30" i="15"/>
  <c r="C27" i="15"/>
  <c r="B27" i="15"/>
  <c r="C2" i="15"/>
  <c r="C4" i="15"/>
  <c r="C6" i="15"/>
  <c r="C8" i="15"/>
  <c r="C10" i="15"/>
  <c r="C12" i="15"/>
  <c r="C14" i="15"/>
  <c r="C17" i="15"/>
  <c r="C22" i="15"/>
  <c r="P22" i="15"/>
  <c r="B22" i="15"/>
  <c r="C26" i="15"/>
  <c r="C24" i="15"/>
  <c r="B24" i="15"/>
  <c r="J26" i="15"/>
  <c r="B26" i="15"/>
  <c r="J25" i="15"/>
  <c r="B25" i="15"/>
  <c r="C23" i="15"/>
  <c r="J23" i="15"/>
  <c r="B23" i="15"/>
  <c r="C21" i="15"/>
  <c r="J21" i="15"/>
  <c r="B21" i="15"/>
  <c r="C20" i="15"/>
  <c r="C19" i="15"/>
  <c r="J20" i="15"/>
  <c r="B20" i="15"/>
  <c r="J19" i="15"/>
  <c r="B19" i="15"/>
  <c r="P18" i="15"/>
  <c r="B18" i="15"/>
  <c r="P4" i="15"/>
  <c r="B4" i="15"/>
  <c r="C3" i="15"/>
  <c r="C7" i="15"/>
  <c r="P16" i="15"/>
  <c r="B16" i="15"/>
  <c r="P3" i="15"/>
  <c r="B3" i="15"/>
  <c r="P7" i="15"/>
  <c r="B7" i="15"/>
  <c r="P11" i="15"/>
  <c r="B11" i="15"/>
  <c r="P15" i="15"/>
  <c r="B15" i="15"/>
  <c r="P12" i="15"/>
  <c r="B12" i="15"/>
  <c r="P17" i="15"/>
  <c r="B17" i="15"/>
  <c r="P2" i="15"/>
  <c r="B2" i="15"/>
  <c r="P6" i="15"/>
  <c r="B6" i="15"/>
  <c r="P10" i="15"/>
  <c r="B10" i="15"/>
  <c r="P14" i="15"/>
  <c r="B14" i="15"/>
  <c r="P8" i="15"/>
  <c r="B8" i="15"/>
  <c r="C5" i="15"/>
  <c r="C9" i="15"/>
  <c r="I25" i="17"/>
  <c r="J25" i="17" s="1"/>
  <c r="C16" i="15"/>
  <c r="P5" i="15"/>
  <c r="B5" i="15"/>
  <c r="P9" i="15"/>
  <c r="B9" i="15"/>
  <c r="P13" i="15"/>
  <c r="B13" i="15"/>
  <c r="C18" i="15"/>
  <c r="U9" i="17"/>
  <c r="I42" i="17"/>
  <c r="J42" i="17" s="1"/>
  <c r="V27" i="17"/>
  <c r="I27" i="17"/>
  <c r="J27" i="17" s="1"/>
  <c r="I93" i="17"/>
  <c r="J93" i="17" s="1"/>
  <c r="K88" i="17"/>
  <c r="L88" i="17" s="1"/>
  <c r="T43" i="17"/>
  <c r="K60" i="17"/>
  <c r="L60" i="17" s="1"/>
  <c r="I60" i="17"/>
  <c r="J60" i="17" s="1"/>
  <c r="K99" i="17"/>
  <c r="L99" i="17" s="1"/>
  <c r="K120" i="17"/>
  <c r="L120" i="17" s="1"/>
  <c r="I117" i="17"/>
  <c r="J117" i="17" s="1"/>
  <c r="I139" i="17"/>
  <c r="J139" i="17" s="1"/>
  <c r="K117" i="17"/>
  <c r="L117" i="17" s="1"/>
  <c r="V70" i="17"/>
  <c r="T60" i="17"/>
  <c r="I43" i="17"/>
  <c r="J43" i="17" s="1"/>
  <c r="V112" i="17"/>
  <c r="I112" i="17"/>
  <c r="J112" i="17" s="1"/>
  <c r="I58" i="17"/>
  <c r="J58" i="17" s="1"/>
  <c r="T58" i="17"/>
  <c r="K58" i="17"/>
  <c r="L58" i="17" s="1"/>
  <c r="W32" i="17"/>
  <c r="I32" i="17"/>
  <c r="J32" i="17" s="1"/>
  <c r="V25" i="17"/>
  <c r="I82" i="17"/>
  <c r="W15" i="17"/>
  <c r="U120" i="17"/>
  <c r="I33" i="17"/>
  <c r="J33" i="17" s="1"/>
  <c r="V33" i="17"/>
  <c r="K23" i="17"/>
  <c r="L23" i="17" s="1"/>
  <c r="V23" i="17"/>
  <c r="I23" i="17"/>
  <c r="J23" i="17" s="1"/>
  <c r="I57" i="17"/>
  <c r="J57" i="17" s="1"/>
  <c r="W74" i="17"/>
  <c r="I74" i="17"/>
  <c r="J74" i="17" s="1"/>
  <c r="K74" i="17"/>
  <c r="L74" i="17" s="1"/>
  <c r="K50" i="17"/>
  <c r="L50" i="17" s="1"/>
  <c r="I50" i="17"/>
  <c r="J50" i="17" s="1"/>
  <c r="T50" i="17"/>
  <c r="K20" i="17"/>
  <c r="L20" i="17" s="1"/>
  <c r="I20" i="17"/>
  <c r="J20" i="17" s="1"/>
  <c r="K42" i="17"/>
  <c r="L42" i="17" s="1"/>
  <c r="V147" i="17"/>
  <c r="K147" i="17"/>
  <c r="L147" i="17" s="1"/>
  <c r="I147" i="17"/>
  <c r="J147" i="17" s="1"/>
  <c r="I137" i="17"/>
  <c r="J137" i="17" s="1"/>
  <c r="K57" i="17"/>
  <c r="L57" i="17" s="1"/>
  <c r="V17" i="17"/>
  <c r="U80" i="17"/>
  <c r="V88" i="17"/>
  <c r="U66" i="17"/>
  <c r="I66" i="17"/>
  <c r="J66" i="17" s="1"/>
  <c r="K137" i="17"/>
  <c r="L137" i="17" s="1"/>
  <c r="V138" i="17"/>
  <c r="K138" i="17"/>
  <c r="L138" i="17" s="1"/>
  <c r="U7" i="17"/>
  <c r="W12" i="17"/>
  <c r="C157" i="15" l="1"/>
  <c r="A157" i="15"/>
  <c r="C125" i="15"/>
  <c r="A125" i="15"/>
  <c r="C93" i="15"/>
  <c r="A93" i="15"/>
  <c r="C61" i="15"/>
  <c r="A61" i="15"/>
  <c r="A29" i="15"/>
  <c r="A3" i="15"/>
  <c r="A6" i="17" s="1"/>
  <c r="A162" i="15"/>
  <c r="A130" i="15"/>
  <c r="A98" i="15"/>
  <c r="A70" i="15"/>
  <c r="A38" i="15"/>
  <c r="A6" i="15"/>
  <c r="A39" i="15"/>
  <c r="A47" i="15"/>
  <c r="C179" i="15"/>
  <c r="A179" i="15"/>
  <c r="C147" i="15"/>
  <c r="A147" i="15"/>
  <c r="C115" i="15"/>
  <c r="A115" i="15"/>
  <c r="A63" i="15"/>
  <c r="A168" i="15"/>
  <c r="A104" i="15"/>
  <c r="A40" i="15"/>
  <c r="A8" i="15"/>
  <c r="A11" i="17" s="1"/>
  <c r="A9" i="17"/>
  <c r="C183" i="15"/>
  <c r="A185" i="15"/>
  <c r="A153" i="15"/>
  <c r="A121" i="15"/>
  <c r="A89" i="15"/>
  <c r="A57" i="15"/>
  <c r="A25" i="15"/>
  <c r="C158" i="15"/>
  <c r="A158" i="15"/>
  <c r="C126" i="15"/>
  <c r="A126" i="15"/>
  <c r="C94" i="15"/>
  <c r="A94" i="15"/>
  <c r="A66" i="15"/>
  <c r="A34" i="15"/>
  <c r="A2" i="15"/>
  <c r="A5" i="17" s="1"/>
  <c r="A19" i="15"/>
  <c r="A35" i="15"/>
  <c r="A175" i="15"/>
  <c r="A143" i="15"/>
  <c r="A111" i="15"/>
  <c r="A51" i="15"/>
  <c r="A164" i="15"/>
  <c r="A132" i="15"/>
  <c r="A100" i="15"/>
  <c r="A68" i="15"/>
  <c r="A36" i="15"/>
  <c r="A4" i="15"/>
  <c r="A149" i="15"/>
  <c r="A117" i="15"/>
  <c r="A53" i="15"/>
  <c r="A21" i="15"/>
  <c r="A186" i="15"/>
  <c r="A154" i="15"/>
  <c r="A122" i="15"/>
  <c r="C62" i="15"/>
  <c r="A62" i="15"/>
  <c r="C30" i="15"/>
  <c r="A30" i="15"/>
  <c r="C95" i="15"/>
  <c r="A95" i="15"/>
  <c r="C11" i="15"/>
  <c r="A11" i="15"/>
  <c r="A14" i="17" s="1"/>
  <c r="A31" i="15"/>
  <c r="A171" i="15"/>
  <c r="A139" i="15"/>
  <c r="A107" i="15"/>
  <c r="C160" i="15"/>
  <c r="A160" i="15"/>
  <c r="C128" i="15"/>
  <c r="A128" i="15"/>
  <c r="A96" i="15"/>
  <c r="C64" i="15"/>
  <c r="A64" i="15"/>
  <c r="C32" i="15"/>
  <c r="A32" i="15"/>
  <c r="A145" i="15"/>
  <c r="A81" i="15"/>
  <c r="A84" i="17" s="1"/>
  <c r="A49" i="15"/>
  <c r="A17" i="15"/>
  <c r="A182" i="15"/>
  <c r="A150" i="15"/>
  <c r="A118" i="15"/>
  <c r="A58" i="15"/>
  <c r="A26" i="15"/>
  <c r="A91" i="15"/>
  <c r="C15" i="15"/>
  <c r="A15" i="15"/>
  <c r="A18" i="17" s="1"/>
  <c r="A103" i="15"/>
  <c r="A184" i="15"/>
  <c r="A156" i="15"/>
  <c r="A124" i="15"/>
  <c r="A92" i="15"/>
  <c r="A60" i="15"/>
  <c r="A28" i="15"/>
  <c r="C145" i="15"/>
  <c r="C184" i="15"/>
  <c r="C173" i="15"/>
  <c r="A173" i="15"/>
  <c r="C141" i="15"/>
  <c r="A141" i="15"/>
  <c r="C109" i="15"/>
  <c r="A109" i="15"/>
  <c r="C45" i="15"/>
  <c r="A45" i="15"/>
  <c r="C13" i="15"/>
  <c r="A13" i="15"/>
  <c r="A16" i="17" s="1"/>
  <c r="A146" i="15"/>
  <c r="A114" i="15"/>
  <c r="A86" i="15"/>
  <c r="A54" i="15"/>
  <c r="A22" i="15"/>
  <c r="A25" i="17" s="1"/>
  <c r="A79" i="15"/>
  <c r="A7" i="15"/>
  <c r="C163" i="15"/>
  <c r="A163" i="15"/>
  <c r="C131" i="15"/>
  <c r="A131" i="15"/>
  <c r="C99" i="15"/>
  <c r="A99" i="15"/>
  <c r="A23" i="15"/>
  <c r="A152" i="15"/>
  <c r="A120" i="15"/>
  <c r="A88" i="15"/>
  <c r="A56" i="15"/>
  <c r="A20" i="17"/>
  <c r="A7" i="17"/>
  <c r="A169" i="15"/>
  <c r="A137" i="15"/>
  <c r="A105" i="15"/>
  <c r="A73" i="15"/>
  <c r="A41" i="15"/>
  <c r="A9" i="15"/>
  <c r="A12" i="17" s="1"/>
  <c r="C174" i="15"/>
  <c r="A174" i="15"/>
  <c r="C142" i="15"/>
  <c r="A142" i="15"/>
  <c r="C110" i="15"/>
  <c r="A110" i="15"/>
  <c r="A82" i="15"/>
  <c r="A50" i="15"/>
  <c r="A18" i="15"/>
  <c r="A21" i="17" s="1"/>
  <c r="A67" i="15"/>
  <c r="A83" i="15"/>
  <c r="A159" i="15"/>
  <c r="A127" i="15"/>
  <c r="A180" i="15"/>
  <c r="A148" i="15"/>
  <c r="A116" i="15"/>
  <c r="A84" i="15"/>
  <c r="A52" i="15"/>
  <c r="A20" i="15"/>
  <c r="A165" i="15"/>
  <c r="A133" i="15"/>
  <c r="A101" i="15"/>
  <c r="A69" i="15"/>
  <c r="A37" i="15"/>
  <c r="A5" i="15"/>
  <c r="A8" i="17" s="1"/>
  <c r="A170" i="15"/>
  <c r="A138" i="15"/>
  <c r="A106" i="15"/>
  <c r="C78" i="15"/>
  <c r="A78" i="15"/>
  <c r="A81" i="17" s="1"/>
  <c r="C46" i="15"/>
  <c r="A46" i="15"/>
  <c r="A14" i="15"/>
  <c r="A17" i="17" s="1"/>
  <c r="C55" i="15"/>
  <c r="A55" i="15"/>
  <c r="A71" i="15"/>
  <c r="A74" i="17" s="1"/>
  <c r="A155" i="15"/>
  <c r="A123" i="15"/>
  <c r="C176" i="15"/>
  <c r="A176" i="15"/>
  <c r="C144" i="15"/>
  <c r="A144" i="15"/>
  <c r="A112" i="15"/>
  <c r="C80" i="15"/>
  <c r="A80" i="15"/>
  <c r="C48" i="15"/>
  <c r="A48" i="15"/>
  <c r="A16" i="15"/>
  <c r="A19" i="17" s="1"/>
  <c r="A85" i="17"/>
  <c r="A161" i="15"/>
  <c r="A129" i="15"/>
  <c r="A97" i="15"/>
  <c r="A65" i="15"/>
  <c r="A33" i="15"/>
  <c r="A134" i="15"/>
  <c r="A102" i="15"/>
  <c r="A74" i="15"/>
  <c r="A42" i="15"/>
  <c r="A10" i="15"/>
  <c r="A43" i="15"/>
  <c r="C59" i="15"/>
  <c r="A59" i="15"/>
  <c r="A62" i="17" s="1"/>
  <c r="A119" i="15"/>
  <c r="A75" i="15"/>
  <c r="A172" i="15"/>
  <c r="A140" i="15"/>
  <c r="A108" i="15"/>
  <c r="A111" i="17" s="1"/>
  <c r="A44" i="15"/>
  <c r="A12" i="15"/>
  <c r="A15" i="17" s="1"/>
  <c r="X3" i="17"/>
  <c r="A100" i="17"/>
  <c r="A108" i="17"/>
  <c r="A125" i="17"/>
  <c r="A172" i="17"/>
  <c r="A180" i="17"/>
  <c r="A47" i="17"/>
  <c r="A77" i="17"/>
  <c r="A83" i="17"/>
  <c r="A147" i="17"/>
  <c r="A26" i="17"/>
  <c r="A50" i="17"/>
  <c r="A72" i="17"/>
  <c r="A82" i="17"/>
  <c r="A95" i="17"/>
  <c r="A145" i="17"/>
  <c r="A153" i="17"/>
  <c r="A136" i="17"/>
  <c r="A185" i="17"/>
  <c r="A169" i="17"/>
  <c r="A57" i="17"/>
  <c r="A42" i="17"/>
  <c r="A174" i="17"/>
  <c r="A158" i="17"/>
  <c r="A142" i="17"/>
  <c r="A110" i="17"/>
  <c r="A49" i="17"/>
  <c r="A63" i="17"/>
  <c r="A105" i="17"/>
  <c r="A121" i="17"/>
  <c r="A10" i="17"/>
  <c r="A23" i="17"/>
  <c r="A40" i="17"/>
  <c r="A45" i="17"/>
  <c r="A53" i="17"/>
  <c r="A61" i="17"/>
  <c r="A67" i="17"/>
  <c r="A78" i="17"/>
  <c r="A92" i="17"/>
  <c r="A114" i="17"/>
  <c r="A126" i="17"/>
  <c r="A140" i="17"/>
  <c r="A148" i="17"/>
  <c r="A156" i="17"/>
  <c r="A175" i="17"/>
  <c r="A178" i="17"/>
  <c r="A155" i="17"/>
  <c r="A29" i="17"/>
  <c r="A160" i="17"/>
  <c r="A171" i="17"/>
  <c r="A189" i="17"/>
  <c r="A91" i="17"/>
  <c r="A56" i="17"/>
  <c r="A70" i="17"/>
  <c r="A76" i="17"/>
  <c r="A89" i="17"/>
  <c r="A109" i="17"/>
  <c r="A124" i="17"/>
  <c r="A143" i="17"/>
  <c r="A151" i="17"/>
  <c r="A159" i="17"/>
  <c r="A173" i="17"/>
  <c r="A188" i="17"/>
  <c r="A164" i="17"/>
  <c r="A132" i="17"/>
  <c r="A116" i="17"/>
  <c r="A52" i="17"/>
  <c r="A36" i="17"/>
  <c r="A133" i="17"/>
  <c r="A117" i="17"/>
  <c r="A101" i="17"/>
  <c r="A69" i="17"/>
  <c r="A37" i="17"/>
  <c r="A22" i="17"/>
  <c r="A34" i="17"/>
  <c r="A122" i="17"/>
  <c r="A106" i="17"/>
  <c r="A66" i="17"/>
  <c r="A24" i="17"/>
  <c r="A41" i="17"/>
  <c r="A94" i="17"/>
  <c r="A152" i="17"/>
  <c r="A13" i="17"/>
  <c r="A28" i="17"/>
  <c r="A31" i="17"/>
  <c r="A35" i="17"/>
  <c r="A43" i="17"/>
  <c r="A51" i="17"/>
  <c r="A59" i="17"/>
  <c r="A65" i="17"/>
  <c r="A73" i="17"/>
  <c r="A104" i="17"/>
  <c r="A120" i="17"/>
  <c r="A130" i="17"/>
  <c r="A141" i="17"/>
  <c r="A146" i="17"/>
  <c r="A154" i="17"/>
  <c r="A162" i="17"/>
  <c r="A170" i="17"/>
  <c r="A187" i="17"/>
  <c r="A183" i="17"/>
  <c r="A167" i="17"/>
  <c r="A135" i="17"/>
  <c r="A119" i="17"/>
  <c r="A103" i="17"/>
  <c r="A87" i="17"/>
  <c r="A71" i="17"/>
  <c r="A55" i="17"/>
  <c r="A39" i="17"/>
  <c r="A102" i="17"/>
  <c r="A168" i="17"/>
  <c r="A179" i="17"/>
  <c r="A163" i="17"/>
  <c r="A60" i="17"/>
  <c r="A131" i="17"/>
  <c r="A44" i="17"/>
  <c r="A38" i="17"/>
  <c r="A46" i="17"/>
  <c r="A68" i="17"/>
  <c r="A86" i="17"/>
  <c r="A99" i="17"/>
  <c r="A107" i="17"/>
  <c r="A115" i="17"/>
  <c r="A123" i="17"/>
  <c r="A127" i="17"/>
  <c r="A137" i="17"/>
  <c r="A149" i="17"/>
  <c r="A157" i="17"/>
  <c r="A165" i="17"/>
  <c r="A176" i="17"/>
  <c r="A184" i="17"/>
  <c r="A144" i="17"/>
  <c r="A128" i="17"/>
  <c r="A112" i="17"/>
  <c r="A96" i="17"/>
  <c r="A64" i="17"/>
  <c r="A48" i="17"/>
  <c r="A32" i="17"/>
  <c r="A177" i="17"/>
  <c r="A161" i="17"/>
  <c r="A129" i="17"/>
  <c r="A113" i="17"/>
  <c r="A97" i="17"/>
  <c r="A33" i="17"/>
  <c r="A98" i="17"/>
  <c r="A58" i="17"/>
  <c r="A182" i="17"/>
  <c r="A166" i="17"/>
  <c r="A150" i="17"/>
  <c r="A134" i="17"/>
  <c r="A118" i="17"/>
  <c r="A54" i="17"/>
  <c r="I3" i="17"/>
  <c r="L3" i="17"/>
  <c r="Q4" i="17" s="1"/>
  <c r="K3" i="17"/>
  <c r="W3" i="17"/>
  <c r="J82" i="17"/>
  <c r="T3" i="17"/>
  <c r="U3" i="17"/>
  <c r="V3" i="17"/>
  <c r="J3" i="17" l="1"/>
  <c r="Q2" i="17" s="1"/>
  <c r="Y3" i="17"/>
  <c r="X2" i="17" s="1"/>
  <c r="U2" i="17" l="1"/>
  <c r="V2" i="17"/>
  <c r="T2" i="17"/>
  <c r="W2" i="17"/>
  <c r="U1357" i="14" l="1"/>
  <c r="L1357" i="14" s="1"/>
  <c r="V1357" i="14"/>
  <c r="M1357" i="14" s="1"/>
  <c r="C29" i="17" l="1"/>
  <c r="B29" i="17"/>
  <c r="C22" i="17"/>
  <c r="C23" i="17"/>
  <c r="C26" i="17"/>
  <c r="C33" i="17"/>
  <c r="B33" i="17"/>
  <c r="C37" i="17"/>
  <c r="B41" i="17"/>
  <c r="B46" i="17"/>
  <c r="C46" i="17"/>
  <c r="B47" i="17"/>
  <c r="C47" i="17"/>
  <c r="B49" i="17"/>
  <c r="C49" i="17"/>
  <c r="B51" i="17"/>
  <c r="C51" i="17"/>
  <c r="B52" i="17"/>
  <c r="C52" i="17"/>
  <c r="B53" i="17"/>
  <c r="C53" i="17"/>
  <c r="B54" i="17"/>
  <c r="C55" i="17"/>
  <c r="B57" i="17"/>
  <c r="C57" i="17"/>
  <c r="B58" i="17"/>
  <c r="C58" i="17"/>
  <c r="B59" i="17"/>
  <c r="C59" i="17"/>
  <c r="B61" i="17"/>
  <c r="C61" i="17"/>
  <c r="B62" i="17"/>
  <c r="C62" i="17"/>
  <c r="B63" i="17"/>
  <c r="B64" i="17"/>
  <c r="C64" i="17"/>
  <c r="B65" i="17"/>
  <c r="C65" i="17"/>
  <c r="B66" i="17"/>
  <c r="C66" i="17"/>
  <c r="C70" i="17"/>
  <c r="B70" i="17"/>
  <c r="C74" i="17"/>
  <c r="C77" i="17"/>
  <c r="C80" i="17"/>
  <c r="C81" i="17"/>
  <c r="B82" i="17"/>
  <c r="C82" i="17"/>
  <c r="C86" i="17"/>
  <c r="C91" i="17"/>
  <c r="C94" i="17"/>
  <c r="C97" i="17"/>
  <c r="C101" i="17"/>
  <c r="B102" i="17"/>
  <c r="C102" i="17"/>
  <c r="B103" i="17"/>
  <c r="C103" i="17"/>
  <c r="B107" i="17"/>
  <c r="C107" i="17"/>
  <c r="B108" i="17"/>
  <c r="C108" i="17"/>
  <c r="C120" i="17"/>
  <c r="C129" i="17"/>
  <c r="C128" i="17"/>
  <c r="B136" i="17"/>
  <c r="C136" i="17"/>
  <c r="C139" i="17"/>
  <c r="C147" i="17"/>
  <c r="C148" i="17"/>
  <c r="B149" i="17"/>
  <c r="C149" i="17"/>
  <c r="B150" i="17"/>
  <c r="C150" i="17"/>
  <c r="C152" i="17"/>
  <c r="C153" i="17"/>
  <c r="B156" i="17"/>
  <c r="C156" i="17"/>
  <c r="C159" i="17"/>
  <c r="B160" i="17"/>
  <c r="C160" i="17"/>
  <c r="B163" i="17"/>
  <c r="C167" i="17"/>
  <c r="B168" i="17"/>
  <c r="C168" i="17"/>
  <c r="C171" i="17"/>
  <c r="C170" i="17"/>
  <c r="C174" i="17"/>
  <c r="C176" i="17"/>
  <c r="C180" i="17"/>
  <c r="C184" i="17"/>
  <c r="U64" i="14" l="1"/>
  <c r="V138" i="14"/>
  <c r="V163" i="14"/>
  <c r="V81" i="14"/>
  <c r="U22" i="14"/>
  <c r="V24" i="14"/>
  <c r="V148" i="14"/>
  <c r="V36" i="14"/>
  <c r="U174" i="14"/>
  <c r="U119" i="14"/>
  <c r="U111" i="14"/>
  <c r="U33" i="14"/>
  <c r="U102" i="14"/>
  <c r="U50" i="14"/>
  <c r="U48" i="14"/>
  <c r="V140" i="14"/>
  <c r="V145" i="14"/>
  <c r="U122" i="14"/>
  <c r="U36" i="14"/>
  <c r="U84" i="14"/>
  <c r="U130" i="14"/>
  <c r="V157" i="14"/>
  <c r="V84" i="14"/>
  <c r="V70" i="14"/>
  <c r="U71" i="14"/>
  <c r="U164" i="14"/>
  <c r="U46" i="14"/>
  <c r="U156" i="14"/>
  <c r="V118" i="14"/>
  <c r="U90" i="14"/>
  <c r="V134" i="14"/>
  <c r="V75" i="14"/>
  <c r="U150" i="14"/>
  <c r="V8" i="14"/>
  <c r="U125" i="14"/>
  <c r="U170" i="14"/>
  <c r="U41" i="14"/>
  <c r="V95" i="14"/>
  <c r="V82" i="14"/>
  <c r="V60" i="14"/>
  <c r="U183" i="14"/>
  <c r="V146" i="14"/>
  <c r="V100" i="14"/>
  <c r="V11" i="14"/>
  <c r="U114" i="14"/>
  <c r="U171" i="14"/>
  <c r="V67" i="14"/>
  <c r="U167" i="14"/>
  <c r="U59" i="14"/>
  <c r="U155" i="14"/>
  <c r="U12" i="14"/>
  <c r="V143" i="14"/>
  <c r="V177" i="14"/>
  <c r="U63" i="14"/>
  <c r="U27" i="14"/>
  <c r="U30" i="14"/>
  <c r="U185" i="14"/>
  <c r="V66" i="14"/>
  <c r="U18" i="14"/>
  <c r="V113" i="14"/>
  <c r="V99" i="14"/>
  <c r="U112" i="14"/>
  <c r="V89" i="14"/>
  <c r="U118" i="14"/>
  <c r="V77" i="14"/>
  <c r="U107" i="14"/>
  <c r="V51" i="14"/>
  <c r="U148" i="14"/>
  <c r="V186" i="14"/>
  <c r="V56" i="14"/>
  <c r="V64" i="14"/>
  <c r="V153" i="14"/>
  <c r="U16" i="14"/>
  <c r="U137" i="14"/>
  <c r="V137" i="14"/>
  <c r="U17" i="14"/>
  <c r="V120" i="14"/>
  <c r="V182" i="14"/>
  <c r="U47" i="14"/>
  <c r="V165" i="14"/>
  <c r="U109" i="14"/>
  <c r="U178" i="14"/>
  <c r="V104" i="14"/>
  <c r="U93" i="14"/>
  <c r="V188" i="14"/>
  <c r="V101" i="14"/>
  <c r="U127" i="14"/>
  <c r="V79" i="14"/>
  <c r="V41" i="14"/>
  <c r="U100" i="14"/>
  <c r="U35" i="14"/>
  <c r="U182" i="14"/>
  <c r="V98" i="14"/>
  <c r="V94" i="14"/>
  <c r="V162" i="14"/>
  <c r="U136" i="14"/>
  <c r="U25" i="14"/>
  <c r="U62" i="14"/>
  <c r="U117" i="14"/>
  <c r="V83" i="14"/>
  <c r="V12" i="14"/>
  <c r="U78" i="14"/>
  <c r="U131" i="14"/>
  <c r="U168" i="14"/>
  <c r="U54" i="14"/>
  <c r="V72" i="14"/>
  <c r="U11" i="14"/>
  <c r="V88" i="14"/>
  <c r="V142" i="14"/>
  <c r="U94" i="14"/>
  <c r="U105" i="14"/>
  <c r="V151" i="14"/>
  <c r="V125" i="14"/>
  <c r="V27" i="14"/>
  <c r="V105" i="14"/>
  <c r="V32" i="14"/>
  <c r="V55" i="14"/>
  <c r="V31" i="14"/>
  <c r="V22" i="14"/>
  <c r="U143" i="14"/>
  <c r="V34" i="14"/>
  <c r="U158" i="14"/>
  <c r="U175" i="14"/>
  <c r="U152" i="14"/>
  <c r="U9" i="14"/>
  <c r="V132" i="14"/>
  <c r="V53" i="14"/>
  <c r="U140" i="14"/>
  <c r="U98" i="14"/>
  <c r="U103" i="14"/>
  <c r="U187" i="14"/>
  <c r="U37" i="14"/>
  <c r="V17" i="14"/>
  <c r="U145" i="14"/>
  <c r="V25" i="14"/>
  <c r="V20" i="14"/>
  <c r="U49" i="14"/>
  <c r="V33" i="14"/>
  <c r="V130" i="14"/>
  <c r="V74" i="14"/>
  <c r="V106" i="14"/>
  <c r="V30" i="14"/>
  <c r="U86" i="14"/>
  <c r="U141" i="14"/>
  <c r="V14" i="14"/>
  <c r="V159" i="14"/>
  <c r="V173" i="14"/>
  <c r="U91" i="14"/>
  <c r="U55" i="14"/>
  <c r="V119" i="14"/>
  <c r="U186" i="14"/>
  <c r="V18" i="14"/>
  <c r="V115" i="14"/>
  <c r="V114" i="14"/>
  <c r="V23" i="14"/>
  <c r="V108" i="14"/>
  <c r="U134" i="14"/>
  <c r="V185" i="14"/>
  <c r="U45" i="14"/>
  <c r="U89" i="14"/>
  <c r="V158" i="14"/>
  <c r="U51" i="14"/>
  <c r="U139" i="14"/>
  <c r="U57" i="14"/>
  <c r="U73" i="14"/>
  <c r="U159" i="14"/>
  <c r="U53" i="14"/>
  <c r="V13" i="14"/>
  <c r="U75" i="14"/>
  <c r="U23" i="14"/>
  <c r="U95" i="14"/>
  <c r="V110" i="14"/>
  <c r="U96" i="14"/>
  <c r="U68" i="14"/>
  <c r="U121" i="14"/>
  <c r="U99" i="14"/>
  <c r="U81" i="14"/>
  <c r="V87" i="14"/>
  <c r="V161" i="14"/>
  <c r="V39" i="14"/>
  <c r="V150" i="14"/>
  <c r="U160" i="14"/>
  <c r="V169" i="14"/>
  <c r="V46" i="14"/>
  <c r="U135" i="14"/>
  <c r="U83" i="14"/>
  <c r="U61" i="14"/>
  <c r="V127" i="14"/>
  <c r="V174" i="14"/>
  <c r="U19" i="14"/>
  <c r="U67" i="14"/>
  <c r="V168" i="14"/>
  <c r="U82" i="14"/>
  <c r="U110" i="14"/>
  <c r="U166" i="14"/>
  <c r="U147" i="14"/>
  <c r="U101" i="14"/>
  <c r="V147" i="14"/>
  <c r="V15" i="14"/>
  <c r="V58" i="14"/>
  <c r="V91" i="14"/>
  <c r="V102" i="14"/>
  <c r="U40" i="14"/>
  <c r="V109" i="14"/>
  <c r="U115" i="14"/>
  <c r="V139" i="14"/>
  <c r="V73" i="14"/>
  <c r="V96" i="14"/>
  <c r="V10" i="14"/>
  <c r="U180" i="14"/>
  <c r="U92" i="14"/>
  <c r="U161" i="14"/>
  <c r="U116" i="14"/>
  <c r="U163" i="14"/>
  <c r="V121" i="14"/>
  <c r="V4" i="14"/>
  <c r="U181" i="14"/>
  <c r="U138" i="14"/>
  <c r="U173" i="14"/>
  <c r="U70" i="14"/>
  <c r="V183" i="14"/>
  <c r="U132" i="14"/>
  <c r="U177" i="14"/>
  <c r="U69" i="14"/>
  <c r="V166" i="14"/>
  <c r="U144" i="14"/>
  <c r="U165" i="14"/>
  <c r="U76" i="14"/>
  <c r="U79" i="14"/>
  <c r="V160" i="14"/>
  <c r="U88" i="14"/>
  <c r="V7" i="14"/>
  <c r="V6" i="14"/>
  <c r="V97" i="14"/>
  <c r="U38" i="14"/>
  <c r="U153" i="14"/>
  <c r="V129" i="14"/>
  <c r="V92" i="14"/>
  <c r="U60" i="14"/>
  <c r="V152" i="14"/>
  <c r="V117" i="14"/>
  <c r="U4" i="14"/>
  <c r="U66" i="14"/>
  <c r="U34" i="14"/>
  <c r="V47" i="14"/>
  <c r="V155" i="14"/>
  <c r="V144" i="14"/>
  <c r="V149" i="14"/>
  <c r="V184" i="14"/>
  <c r="V35" i="14"/>
  <c r="V69" i="14"/>
  <c r="V103" i="14"/>
  <c r="V123" i="14"/>
  <c r="U120" i="14"/>
  <c r="V57" i="14"/>
  <c r="V63" i="14"/>
  <c r="U179" i="14"/>
  <c r="V170" i="14"/>
  <c r="V80" i="14"/>
  <c r="V5" i="14"/>
  <c r="U80" i="14"/>
  <c r="U29" i="14"/>
  <c r="U97" i="14"/>
  <c r="V40" i="14"/>
  <c r="U72" i="14"/>
  <c r="V171" i="14"/>
  <c r="U39" i="14"/>
  <c r="V175" i="14"/>
  <c r="U151" i="14"/>
  <c r="V44" i="14"/>
  <c r="V167" i="14"/>
  <c r="U28" i="14"/>
  <c r="V154" i="14"/>
  <c r="V26" i="14"/>
  <c r="U10" i="14"/>
  <c r="V141" i="14"/>
  <c r="U146" i="14"/>
  <c r="U13" i="14"/>
  <c r="U7" i="14"/>
  <c r="U56" i="14"/>
  <c r="V187" i="14"/>
  <c r="U169" i="14"/>
  <c r="U26" i="14"/>
  <c r="U188" i="14"/>
  <c r="U87" i="14"/>
  <c r="U162" i="14"/>
  <c r="V50" i="14"/>
  <c r="V49" i="14"/>
  <c r="U128" i="14"/>
  <c r="U58" i="14"/>
  <c r="U106" i="14"/>
  <c r="U129" i="14"/>
  <c r="V61" i="14"/>
  <c r="V116" i="14"/>
  <c r="U20" i="14"/>
  <c r="U31" i="14"/>
  <c r="V54" i="14"/>
  <c r="V52" i="14"/>
  <c r="V37" i="14"/>
  <c r="V124" i="14"/>
  <c r="V68" i="14"/>
  <c r="V48" i="14"/>
  <c r="V135" i="14"/>
  <c r="V45" i="14"/>
  <c r="U74" i="14"/>
  <c r="V86" i="14"/>
  <c r="V112" i="14"/>
  <c r="U104" i="14"/>
  <c r="U108" i="14"/>
  <c r="U5" i="14"/>
  <c r="V176" i="14"/>
  <c r="V131" i="14"/>
  <c r="U142" i="14"/>
  <c r="V107" i="14"/>
  <c r="V9" i="14"/>
  <c r="U65" i="14"/>
  <c r="U8" i="14"/>
  <c r="V128" i="14"/>
  <c r="U77" i="14"/>
  <c r="U43" i="14"/>
  <c r="U157" i="14"/>
  <c r="U44" i="14"/>
  <c r="V156" i="14"/>
  <c r="V62" i="14"/>
  <c r="V76" i="14"/>
  <c r="V164" i="14"/>
  <c r="U123" i="14"/>
  <c r="V85" i="14"/>
  <c r="V90" i="14"/>
  <c r="V181" i="14"/>
  <c r="U113" i="14"/>
  <c r="U172" i="14"/>
  <c r="V179" i="14"/>
  <c r="U133" i="14"/>
  <c r="V43" i="14"/>
  <c r="U14" i="14"/>
  <c r="V180" i="14"/>
  <c r="V93" i="14"/>
  <c r="U126" i="14"/>
  <c r="V126" i="14"/>
  <c r="V65" i="14"/>
  <c r="U154" i="14"/>
  <c r="U184" i="14"/>
  <c r="V59" i="14"/>
  <c r="V28" i="14"/>
  <c r="U32" i="14"/>
  <c r="V29" i="14"/>
  <c r="V19" i="14"/>
  <c r="V71" i="14"/>
  <c r="U52" i="14"/>
  <c r="U124" i="14"/>
  <c r="U42" i="14"/>
  <c r="V136" i="14"/>
  <c r="U85" i="14"/>
  <c r="U24" i="14"/>
  <c r="V16" i="14"/>
  <c r="U6" i="14"/>
  <c r="V133" i="14"/>
  <c r="V122" i="14"/>
  <c r="U176" i="14"/>
  <c r="U15" i="14"/>
  <c r="V178" i="14"/>
  <c r="U21" i="14"/>
  <c r="V21" i="14"/>
  <c r="V38" i="14"/>
  <c r="U149" i="14"/>
  <c r="V172" i="14"/>
  <c r="V78" i="14"/>
  <c r="V42" i="14"/>
  <c r="V111" i="14"/>
</calcChain>
</file>

<file path=xl/sharedStrings.xml><?xml version="1.0" encoding="utf-8"?>
<sst xmlns="http://schemas.openxmlformats.org/spreadsheetml/2006/main" count="931" uniqueCount="126">
  <si>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</si>
  <si>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</si>
  <si>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</si>
  <si>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</si>
  <si>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</si>
  <si>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</si>
  <si>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</si>
  <si>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</si>
  <si>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</si>
  <si>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</si>
  <si>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</si>
  <si>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</si>
  <si>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</si>
  <si>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</si>
  <si>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</si>
  <si>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</si>
  <si>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</si>
  <si>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</si>
  <si>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</si>
  <si>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</si>
  <si>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</si>
  <si>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</si>
  <si>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</si>
  <si>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</si>
  <si>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</si>
  <si>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</si>
  <si>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</si>
  <si>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</si>
  <si>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</si>
  <si>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</si>
  <si>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</si>
  <si>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</si>
  <si>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</si>
  <si>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</si>
  <si>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</si>
  <si>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</si>
  <si>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</si>
  <si>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</si>
  <si>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</si>
  <si>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</si>
  <si>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</si>
  <si>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</si>
  <si>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</si>
  <si>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</si>
  <si>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</si>
  <si>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</si>
  <si>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</si>
  <si>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</si>
  <si>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</si>
  <si>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</si>
  <si>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</si>
  <si>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</si>
  <si>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</si>
  <si>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</si>
  <si>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</si>
  <si>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>dom</t>
  </si>
  <si>
    <t>dominantly</t>
  </si>
  <si>
    <t>pl</t>
  </si>
  <si>
    <t>pale</t>
  </si>
  <si>
    <t>Brightness Code</t>
  </si>
  <si>
    <t>Stimpee 6_OP</t>
  </si>
  <si>
    <t>vf</t>
  </si>
  <si>
    <t>VF</t>
  </si>
  <si>
    <t>mod bri - bri</t>
  </si>
  <si>
    <t>dll - bri</t>
  </si>
  <si>
    <t>dll - mod bri</t>
  </si>
  <si>
    <t>vf-med</t>
  </si>
  <si>
    <t>Mnr</t>
  </si>
  <si>
    <t>f-med</t>
  </si>
  <si>
    <t>f-med, rr crs</t>
  </si>
  <si>
    <t>f-crs</t>
  </si>
  <si>
    <t>dom f-med, rr crs</t>
  </si>
  <si>
    <t>vf-med, rr crs</t>
  </si>
  <si>
    <t>vf-crs</t>
  </si>
  <si>
    <t>f-vcrs</t>
  </si>
  <si>
    <t>VC</t>
  </si>
  <si>
    <t xml:space="preserve"> </t>
  </si>
  <si>
    <t>vf-vcrs</t>
  </si>
  <si>
    <t xml:space="preserve">M </t>
  </si>
  <si>
    <t xml:space="preserve">vf-med </t>
  </si>
  <si>
    <t xml:space="preserve">bri </t>
  </si>
  <si>
    <t>vf-f, rr crs</t>
  </si>
  <si>
    <t>dll-mod bri</t>
  </si>
  <si>
    <t>vf-f,tr med,rr crs</t>
  </si>
  <si>
    <t>vf-f, mnr med</t>
  </si>
  <si>
    <t>vf-f, f-med lse</t>
  </si>
  <si>
    <t>dom f</t>
  </si>
  <si>
    <t>vf-v crs</t>
  </si>
  <si>
    <t>med-crs</t>
  </si>
  <si>
    <t>med-vcrs</t>
  </si>
  <si>
    <t>crs-vcrs</t>
  </si>
  <si>
    <t>med-v crs</t>
  </si>
  <si>
    <t>crs-v crs</t>
  </si>
  <si>
    <t>f-v crs</t>
  </si>
  <si>
    <t>vf-f agg, f-vcrs lse</t>
  </si>
  <si>
    <t>vf-dom f agg, f-crs lse</t>
  </si>
  <si>
    <t>vf-f,f-vcrs lse</t>
  </si>
  <si>
    <t>vf-f, rr med</t>
  </si>
  <si>
    <t>vf- rr f</t>
  </si>
  <si>
    <t>vf-crs,dom med lse</t>
  </si>
  <si>
    <t>vf-f agg, mnr med</t>
  </si>
  <si>
    <t>f-med lse</t>
  </si>
  <si>
    <t>vf-f agg,f-crs</t>
  </si>
  <si>
    <t>Description</t>
  </si>
  <si>
    <t>Reservoir Description</t>
  </si>
  <si>
    <t>Show Description</t>
  </si>
  <si>
    <t>Morris</t>
  </si>
  <si>
    <t>cutoff</t>
  </si>
  <si>
    <t>Upper</t>
  </si>
  <si>
    <t>Lower</t>
  </si>
  <si>
    <t>Top DC20-20</t>
  </si>
  <si>
    <t>Upper pay/in reservoir</t>
  </si>
  <si>
    <t xml:space="preserve">SAMPLES </t>
  </si>
  <si>
    <t>Upper Class Cut Off</t>
  </si>
  <si>
    <t>sum</t>
  </si>
  <si>
    <t>pay</t>
  </si>
  <si>
    <t>Lower Class Cut Off</t>
  </si>
  <si>
    <t>max gr sz</t>
  </si>
  <si>
    <t>DC20-20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</si>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</sst>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egoe UI"/>
    </font>
    <font>
      <sz val="10"/>
      <color theme="1"/>
      <name val="Arial"/>
    </font>
    <font>
      <sz val="10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</cellStyleXfs>
  <cellXfs count="47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0" fontId="11" fillId="0" borderId="1" xfId="2" applyFont="1" applyBorder="1"/>
    <xf numFmtId="164" fontId="12" fillId="0" borderId="1" xfId="2" applyNumberFormat="1" applyFont="1" applyBorder="1"/>
    <xf numFmtId="165" fontId="12" fillId="0" borderId="1" xfId="2" applyNumberFormat="1" applyFont="1" applyBorder="1"/>
    <xf numFmtId="0" fontId="12" fillId="0" borderId="1" xfId="2" applyFont="1" applyBorder="1"/>
    <xf numFmtId="1" fontId="0" fillId="0" borderId="1" xfId="3" applyNumberFormat="1" applyFont="1" applyBorder="1"/>
    <xf numFmtId="9" fontId="0" fillId="0" borderId="1" xfId="3" applyFont="1" applyBorder="1"/>
    <xf numFmtId="0" fontId="12" fillId="0" borderId="1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0" xfId="2" applyFont="1"/>
    <xf numFmtId="10" fontId="12" fillId="0" borderId="2" xfId="2" applyNumberFormat="1" applyFont="1" applyBorder="1" applyAlignment="1">
      <alignment horizontal="left"/>
    </xf>
    <xf numFmtId="166" fontId="0" fillId="0" borderId="0" xfId="3" applyNumberFormat="1" applyFont="1"/>
    <xf numFmtId="0" fontId="12" fillId="0" borderId="9" xfId="2" applyFont="1" applyBorder="1"/>
    <xf numFmtId="0" fontId="13" fillId="0" borderId="1" xfId="2" applyFont="1" applyBorder="1"/>
    <xf numFmtId="1" fontId="12" fillId="0" borderId="1" xfId="2" applyNumberFormat="1" applyFont="1" applyBorder="1"/>
    <xf numFmtId="2" fontId="12" fillId="0" borderId="2" xfId="2" applyNumberFormat="1" applyFont="1" applyBorder="1" applyAlignment="1">
      <alignment horizontal="left"/>
    </xf>
    <xf numFmtId="0" fontId="13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9" fontId="12" fillId="0" borderId="1" xfId="2" applyNumberFormat="1" applyFont="1" applyBorder="1"/>
    <xf numFmtId="0" fontId="12" fillId="2" borderId="2" xfId="2" applyFont="1" applyFill="1" applyBorder="1"/>
    <xf numFmtId="0" fontId="1" fillId="0" borderId="0" xfId="0" applyFont="1"/>
    <xf numFmtId="0" fontId="4" fillId="0" borderId="3" xfId="0" applyFont="1" applyBorder="1" applyAlignment="1">
      <alignment horizontal="left"/>
    </xf>
    <xf numFmtId="0" fontId="12" fillId="0" borderId="1" xfId="2" applyFont="1" applyBorder="1" applyAlignment="1">
      <alignment horizontal="right"/>
    </xf>
    <xf numFmtId="0" fontId="12" fillId="0" borderId="3" xfId="2" applyFont="1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A9698C45-02E1-4116-8897-5C0189F64A65}"/>
    <cellStyle name="Percent 2" xfId="3" xr:uid="{21AB24B5-0F23-41AD-A6E9-7A420FC40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1BA-4C13-BFED-78A459CBB5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1553.62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A-4C13-BFED-78A459CBB53C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1318.75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A-4C13-BFED-78A459CBB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507D5-6FCB-47C8-AC5A-6F310EEF7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L28" sqref="L28"/>
    </sheetView>
  </sheetViews>
  <sheetFormatPr defaultColWidth="12.28515625" defaultRowHeight="15" x14ac:dyDescent="0.25"/>
  <cols>
    <col min="1" max="1" width="4.710937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285156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/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55</v>
      </c>
      <c r="P18" s="10" t="s">
        <v>56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57</v>
      </c>
      <c r="P19" s="12" t="s">
        <v>58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500"/>
  <sheetViews>
    <sheetView zoomScale="110" zoomScaleNormal="110" workbookViewId="0">
      <pane ySplit="3" topLeftCell="A13" activePane="bottomLeft" state="frozen"/>
      <selection pane="bottomLeft" activeCell="R24" sqref="R24"/>
    </sheetView>
  </sheetViews>
  <sheetFormatPr defaultColWidth="12.28515625" defaultRowHeight="15" x14ac:dyDescent="0.25"/>
  <cols>
    <col min="1" max="1" width="13.85546875" style="3" customWidth="1"/>
    <col min="2" max="3" width="13.42578125" style="3" customWidth="1"/>
    <col min="4" max="4" width="15.85546875" style="3" bestFit="1" customWidth="1"/>
    <col min="5" max="11" width="13.42578125" style="3" customWidth="1"/>
    <col min="12" max="13" width="13.42578125" style="14" customWidth="1"/>
    <col min="22" max="22" width="15.140625" bestFit="1" customWidth="1"/>
    <col min="34" max="16384" width="12.28515625" style="3"/>
  </cols>
  <sheetData>
    <row r="1" spans="1:22" x14ac:dyDescent="0.25">
      <c r="B1" s="2" t="s">
        <v>0</v>
      </c>
    </row>
    <row r="3" spans="1:22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59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P3" s="20" t="s">
        <v>12</v>
      </c>
      <c r="Q3" s="19"/>
      <c r="S3" s="20" t="s">
        <v>6</v>
      </c>
      <c r="T3" s="19"/>
      <c r="V3" s="43"/>
    </row>
    <row r="4" spans="1:22" x14ac:dyDescent="0.25">
      <c r="A4" s="3" t="s">
        <v>60</v>
      </c>
      <c r="B4" s="21">
        <v>1545</v>
      </c>
      <c r="C4" s="21">
        <v>30</v>
      </c>
      <c r="D4" s="21" t="s">
        <v>61</v>
      </c>
      <c r="E4" s="5" t="s">
        <v>62</v>
      </c>
      <c r="F4" s="21"/>
      <c r="G4" s="21"/>
      <c r="H4" s="21" t="str">
        <f t="shared" ref="H4:H40" si="0">_xlfn.XLOOKUP(G4,$S$4:$S$9,$T$4:$T$9,"",0,1)</f>
        <v/>
      </c>
      <c r="I4" s="21">
        <v>4</v>
      </c>
      <c r="J4" s="21" t="s">
        <v>30</v>
      </c>
      <c r="K4" s="21"/>
      <c r="L4" s="16">
        <v>45194</v>
      </c>
      <c r="M4" s="22">
        <v>0.10416666666666667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>
        <f t="shared" ref="U4:U67" ca="1" si="1">IF(C4="","",IF(OR(L4="",AND(ISNUMBER(U4),C4=U4)),U4,C4))</f>
        <v>0</v>
      </c>
      <c r="V4" s="23">
        <f t="shared" ref="V4:V67" ca="1" si="2">IF(C4="","",IF(OR(M4="",AND(ISNUMBER(V4),C4=V4)),V4,C4))</f>
        <v>0</v>
      </c>
    </row>
    <row r="5" spans="1:22" x14ac:dyDescent="0.25">
      <c r="A5" s="3" t="s">
        <v>60</v>
      </c>
      <c r="B5" s="21">
        <v>1550</v>
      </c>
      <c r="C5" s="21">
        <v>20</v>
      </c>
      <c r="D5" s="21" t="s">
        <v>13</v>
      </c>
      <c r="E5" s="5" t="s">
        <v>14</v>
      </c>
      <c r="F5" s="21"/>
      <c r="G5" s="21"/>
      <c r="H5" s="21" t="str">
        <f t="shared" si="0"/>
        <v/>
      </c>
      <c r="I5" s="21">
        <v>6</v>
      </c>
      <c r="J5" s="21" t="s">
        <v>30</v>
      </c>
      <c r="K5" s="21"/>
      <c r="L5" s="16">
        <v>45194</v>
      </c>
      <c r="M5" s="22"/>
      <c r="P5" s="9" t="s">
        <v>20</v>
      </c>
      <c r="Q5" s="10" t="s">
        <v>21</v>
      </c>
      <c r="R5" s="3"/>
      <c r="S5" s="9" t="s">
        <v>63</v>
      </c>
      <c r="T5" s="10">
        <v>2.5</v>
      </c>
      <c r="U5" s="23">
        <f t="shared" ca="1" si="1"/>
        <v>0</v>
      </c>
      <c r="V5" s="23">
        <f t="shared" ca="1" si="2"/>
        <v>0</v>
      </c>
    </row>
    <row r="6" spans="1:22" x14ac:dyDescent="0.25">
      <c r="A6" s="3" t="s">
        <v>60</v>
      </c>
      <c r="B6" s="21">
        <v>1555</v>
      </c>
      <c r="C6" s="21">
        <v>20</v>
      </c>
      <c r="D6" s="21" t="s">
        <v>13</v>
      </c>
      <c r="E6" s="5" t="s">
        <v>14</v>
      </c>
      <c r="F6" s="21"/>
      <c r="G6" s="21"/>
      <c r="H6" s="21" t="str">
        <f t="shared" si="0"/>
        <v/>
      </c>
      <c r="I6" s="21">
        <v>5</v>
      </c>
      <c r="J6" s="21" t="s">
        <v>30</v>
      </c>
      <c r="K6" s="21"/>
      <c r="L6" s="16">
        <v>45194</v>
      </c>
      <c r="M6" s="22"/>
      <c r="P6" s="9" t="s">
        <v>22</v>
      </c>
      <c r="Q6" s="10" t="s">
        <v>23</v>
      </c>
      <c r="R6" s="3"/>
      <c r="S6" s="9" t="s">
        <v>43</v>
      </c>
      <c r="T6" s="10">
        <v>2</v>
      </c>
      <c r="U6" s="23">
        <f t="shared" ca="1" si="1"/>
        <v>0</v>
      </c>
      <c r="V6" s="23">
        <f t="shared" ca="1" si="2"/>
        <v>0</v>
      </c>
    </row>
    <row r="7" spans="1:22" x14ac:dyDescent="0.25">
      <c r="A7" s="3" t="s">
        <v>60</v>
      </c>
      <c r="B7" s="21">
        <v>1560</v>
      </c>
      <c r="C7" s="21">
        <v>30</v>
      </c>
      <c r="D7" s="21" t="s">
        <v>13</v>
      </c>
      <c r="E7" s="5" t="s">
        <v>14</v>
      </c>
      <c r="F7" s="21"/>
      <c r="G7" s="21"/>
      <c r="H7" s="21" t="str">
        <f t="shared" si="0"/>
        <v/>
      </c>
      <c r="I7" s="21">
        <v>6</v>
      </c>
      <c r="J7" s="21" t="s">
        <v>30</v>
      </c>
      <c r="K7" s="21"/>
      <c r="L7" s="16">
        <v>45194</v>
      </c>
      <c r="M7" s="22"/>
      <c r="P7" s="9" t="s">
        <v>26</v>
      </c>
      <c r="Q7" s="10" t="s">
        <v>27</v>
      </c>
      <c r="R7" s="3"/>
      <c r="S7" s="44" t="s">
        <v>64</v>
      </c>
      <c r="T7" s="10">
        <v>1.5</v>
      </c>
      <c r="U7" s="23">
        <f t="shared" ca="1" si="1"/>
        <v>0</v>
      </c>
      <c r="V7" s="23">
        <f t="shared" ca="1" si="2"/>
        <v>0</v>
      </c>
    </row>
    <row r="8" spans="1:22" x14ac:dyDescent="0.25">
      <c r="A8" s="3" t="s">
        <v>60</v>
      </c>
      <c r="B8" s="21">
        <v>1565</v>
      </c>
      <c r="C8" s="21">
        <v>20</v>
      </c>
      <c r="D8" s="21" t="s">
        <v>13</v>
      </c>
      <c r="E8" s="5" t="s">
        <v>14</v>
      </c>
      <c r="F8" s="21"/>
      <c r="G8" s="21"/>
      <c r="H8" s="21" t="str">
        <f t="shared" si="0"/>
        <v/>
      </c>
      <c r="I8" s="21">
        <v>7</v>
      </c>
      <c r="J8" s="21" t="s">
        <v>30</v>
      </c>
      <c r="K8" s="21"/>
      <c r="L8" s="16">
        <v>45194</v>
      </c>
      <c r="M8" s="22"/>
      <c r="P8" s="9" t="s">
        <v>28</v>
      </c>
      <c r="Q8" s="10" t="s">
        <v>29</v>
      </c>
      <c r="R8" s="3"/>
      <c r="S8" s="9" t="s">
        <v>65</v>
      </c>
      <c r="T8" s="10">
        <v>1</v>
      </c>
      <c r="U8" s="23">
        <f t="shared" ca="1" si="1"/>
        <v>0</v>
      </c>
      <c r="V8" s="23">
        <f t="shared" ca="1" si="2"/>
        <v>0</v>
      </c>
    </row>
    <row r="9" spans="1:22" x14ac:dyDescent="0.25">
      <c r="A9" s="3" t="s">
        <v>60</v>
      </c>
      <c r="B9" s="21">
        <v>1570</v>
      </c>
      <c r="C9" s="21">
        <v>30</v>
      </c>
      <c r="D9" s="21" t="s">
        <v>13</v>
      </c>
      <c r="E9" s="5" t="s">
        <v>14</v>
      </c>
      <c r="F9" s="21"/>
      <c r="G9" s="21"/>
      <c r="H9" s="21" t="str">
        <f t="shared" si="0"/>
        <v/>
      </c>
      <c r="I9" s="21">
        <v>6</v>
      </c>
      <c r="J9" s="21" t="s">
        <v>30</v>
      </c>
      <c r="K9" s="21"/>
      <c r="L9" s="16">
        <v>45194</v>
      </c>
      <c r="M9" s="22"/>
      <c r="P9" s="9" t="s">
        <v>31</v>
      </c>
      <c r="Q9" s="10" t="s">
        <v>32</v>
      </c>
      <c r="R9" s="3"/>
      <c r="S9" s="11" t="s">
        <v>48</v>
      </c>
      <c r="T9" s="12">
        <v>0.5</v>
      </c>
      <c r="U9" s="23">
        <f t="shared" ca="1" si="1"/>
        <v>0</v>
      </c>
      <c r="V9" s="23">
        <f t="shared" ca="1" si="2"/>
        <v>0</v>
      </c>
    </row>
    <row r="10" spans="1:22" x14ac:dyDescent="0.25">
      <c r="A10" s="3" t="s">
        <v>60</v>
      </c>
      <c r="B10" s="21">
        <v>1575</v>
      </c>
      <c r="C10" s="21">
        <v>25</v>
      </c>
      <c r="D10" s="21" t="s">
        <v>13</v>
      </c>
      <c r="E10" s="5" t="s">
        <v>14</v>
      </c>
      <c r="F10" s="21"/>
      <c r="G10" s="21"/>
      <c r="H10" s="21" t="str">
        <f t="shared" si="0"/>
        <v/>
      </c>
      <c r="I10" s="21">
        <v>7</v>
      </c>
      <c r="J10" s="21" t="s">
        <v>30</v>
      </c>
      <c r="K10" s="21"/>
      <c r="L10" s="16">
        <v>45194</v>
      </c>
      <c r="M10" s="22"/>
      <c r="P10" s="9" t="s">
        <v>15</v>
      </c>
      <c r="Q10" s="10" t="s">
        <v>34</v>
      </c>
      <c r="R10" s="3"/>
      <c r="S10" s="3"/>
      <c r="T10" s="3"/>
      <c r="U10" s="23">
        <f t="shared" ca="1" si="1"/>
        <v>0</v>
      </c>
      <c r="V10" s="23">
        <f t="shared" ca="1" si="2"/>
        <v>0</v>
      </c>
    </row>
    <row r="11" spans="1:22" x14ac:dyDescent="0.25">
      <c r="A11" s="3" t="s">
        <v>60</v>
      </c>
      <c r="B11" s="21">
        <v>1580</v>
      </c>
      <c r="C11" s="21">
        <v>20</v>
      </c>
      <c r="D11" s="21" t="s">
        <v>13</v>
      </c>
      <c r="E11" s="5" t="s">
        <v>14</v>
      </c>
      <c r="F11" s="21"/>
      <c r="G11" s="21"/>
      <c r="H11" s="21" t="str">
        <f t="shared" si="0"/>
        <v/>
      </c>
      <c r="I11" s="21">
        <v>7</v>
      </c>
      <c r="J11" s="21" t="s">
        <v>30</v>
      </c>
      <c r="K11" s="21"/>
      <c r="L11" s="16">
        <v>45194</v>
      </c>
      <c r="M11" s="22"/>
      <c r="P11" s="9" t="s">
        <v>35</v>
      </c>
      <c r="Q11" s="10" t="s">
        <v>36</v>
      </c>
      <c r="R11" s="3"/>
      <c r="S11" s="3"/>
      <c r="T11" s="3"/>
      <c r="U11" s="23">
        <f t="shared" ca="1" si="1"/>
        <v>0</v>
      </c>
      <c r="V11" s="23">
        <f t="shared" ca="1" si="2"/>
        <v>0</v>
      </c>
    </row>
    <row r="12" spans="1:22" x14ac:dyDescent="0.25">
      <c r="A12" s="3" t="s">
        <v>60</v>
      </c>
      <c r="B12" s="21">
        <v>1585</v>
      </c>
      <c r="C12" s="21">
        <v>20</v>
      </c>
      <c r="D12" s="21" t="s">
        <v>13</v>
      </c>
      <c r="E12" s="5" t="s">
        <v>14</v>
      </c>
      <c r="F12" s="21"/>
      <c r="G12" s="21"/>
      <c r="H12" s="21" t="str">
        <f t="shared" si="0"/>
        <v/>
      </c>
      <c r="I12" s="21">
        <v>8</v>
      </c>
      <c r="J12" s="21" t="s">
        <v>30</v>
      </c>
      <c r="K12" s="21"/>
      <c r="L12" s="16">
        <v>45194</v>
      </c>
      <c r="M12" s="22"/>
      <c r="P12" s="9" t="s">
        <v>25</v>
      </c>
      <c r="Q12" s="10" t="s">
        <v>37</v>
      </c>
      <c r="R12" s="3"/>
      <c r="S12" s="3"/>
      <c r="T12" s="3"/>
      <c r="U12" s="23">
        <f t="shared" ca="1" si="1"/>
        <v>0</v>
      </c>
      <c r="V12" s="23">
        <f t="shared" ca="1" si="2"/>
        <v>0</v>
      </c>
    </row>
    <row r="13" spans="1:22" x14ac:dyDescent="0.25">
      <c r="A13" s="3" t="s">
        <v>60</v>
      </c>
      <c r="B13" s="21">
        <v>1590</v>
      </c>
      <c r="C13" s="21">
        <v>20</v>
      </c>
      <c r="D13" s="21" t="s">
        <v>13</v>
      </c>
      <c r="E13" s="5" t="s">
        <v>14</v>
      </c>
      <c r="F13" s="21"/>
      <c r="G13" s="21"/>
      <c r="H13" s="21" t="str">
        <f t="shared" si="0"/>
        <v/>
      </c>
      <c r="I13" s="21">
        <v>7</v>
      </c>
      <c r="J13" s="5" t="s">
        <v>30</v>
      </c>
      <c r="K13" s="21"/>
      <c r="L13" s="16">
        <v>45194</v>
      </c>
      <c r="M13" s="22"/>
      <c r="P13" s="9" t="s">
        <v>39</v>
      </c>
      <c r="Q13" s="10" t="s">
        <v>40</v>
      </c>
      <c r="R13" s="3"/>
      <c r="S13" s="3"/>
      <c r="T13" s="3"/>
      <c r="U13" s="23">
        <f t="shared" ca="1" si="1"/>
        <v>0</v>
      </c>
      <c r="V13" s="23">
        <f t="shared" ca="1" si="2"/>
        <v>0</v>
      </c>
    </row>
    <row r="14" spans="1:22" x14ac:dyDescent="0.25">
      <c r="A14" s="3" t="s">
        <v>60</v>
      </c>
      <c r="B14" s="21">
        <v>1595</v>
      </c>
      <c r="C14" s="21">
        <v>40</v>
      </c>
      <c r="D14" s="21" t="s">
        <v>13</v>
      </c>
      <c r="E14" s="5" t="s">
        <v>14</v>
      </c>
      <c r="F14" s="21"/>
      <c r="G14" s="21"/>
      <c r="H14" s="21" t="str">
        <f t="shared" si="0"/>
        <v/>
      </c>
      <c r="I14" s="21">
        <v>5</v>
      </c>
      <c r="J14" s="21" t="s">
        <v>30</v>
      </c>
      <c r="K14" s="21"/>
      <c r="L14" s="16">
        <v>45194</v>
      </c>
      <c r="M14" s="22">
        <v>0.24166666666666667</v>
      </c>
      <c r="P14" s="9" t="s">
        <v>44</v>
      </c>
      <c r="Q14" s="10" t="s">
        <v>45</v>
      </c>
      <c r="R14" s="3"/>
      <c r="S14" s="3"/>
      <c r="T14" s="3"/>
      <c r="U14" s="23">
        <f t="shared" ca="1" si="1"/>
        <v>0</v>
      </c>
      <c r="V14" s="23">
        <f t="shared" ca="1" si="2"/>
        <v>0</v>
      </c>
    </row>
    <row r="15" spans="1:22" x14ac:dyDescent="0.25">
      <c r="A15" s="3" t="s">
        <v>60</v>
      </c>
      <c r="B15" s="21">
        <v>1600</v>
      </c>
      <c r="C15" s="21">
        <v>30</v>
      </c>
      <c r="D15" s="21" t="s">
        <v>13</v>
      </c>
      <c r="E15" s="5" t="s">
        <v>14</v>
      </c>
      <c r="F15" s="21"/>
      <c r="G15" s="21"/>
      <c r="H15" s="21" t="str">
        <f t="shared" si="0"/>
        <v/>
      </c>
      <c r="I15" s="21">
        <v>5</v>
      </c>
      <c r="J15" s="21"/>
      <c r="K15" s="21"/>
      <c r="L15" s="16">
        <v>45194</v>
      </c>
      <c r="M15" s="22">
        <v>0.25416666666666665</v>
      </c>
      <c r="P15" s="9" t="s">
        <v>48</v>
      </c>
      <c r="Q15" s="10" t="s">
        <v>49</v>
      </c>
      <c r="R15" s="3"/>
      <c r="S15" s="3"/>
      <c r="T15" s="3"/>
      <c r="U15" s="23">
        <f t="shared" ca="1" si="1"/>
        <v>0</v>
      </c>
      <c r="V15" s="23">
        <f t="shared" ca="1" si="2"/>
        <v>0</v>
      </c>
    </row>
    <row r="16" spans="1:22" x14ac:dyDescent="0.25">
      <c r="A16" s="3" t="s">
        <v>60</v>
      </c>
      <c r="B16" s="21">
        <v>1605</v>
      </c>
      <c r="C16" s="21">
        <v>30</v>
      </c>
      <c r="D16" s="21" t="s">
        <v>13</v>
      </c>
      <c r="E16" s="5" t="s">
        <v>14</v>
      </c>
      <c r="F16" s="21"/>
      <c r="G16" s="21"/>
      <c r="H16" s="21" t="str">
        <f t="shared" si="0"/>
        <v/>
      </c>
      <c r="I16" s="21">
        <v>5</v>
      </c>
      <c r="J16" s="21"/>
      <c r="K16" s="21"/>
      <c r="L16" s="16">
        <v>45194</v>
      </c>
      <c r="M16" s="22">
        <v>0.26527777777777778</v>
      </c>
      <c r="P16" s="9" t="s">
        <v>50</v>
      </c>
      <c r="Q16" s="10" t="s">
        <v>51</v>
      </c>
      <c r="R16" s="3"/>
      <c r="S16" s="3"/>
      <c r="T16" s="3"/>
      <c r="U16" s="23">
        <f t="shared" ca="1" si="1"/>
        <v>0</v>
      </c>
      <c r="V16" s="23">
        <f t="shared" ca="1" si="2"/>
        <v>0</v>
      </c>
    </row>
    <row r="17" spans="1:22" x14ac:dyDescent="0.25">
      <c r="A17" s="3" t="s">
        <v>60</v>
      </c>
      <c r="B17" s="21">
        <v>1607</v>
      </c>
      <c r="C17" s="21">
        <v>50</v>
      </c>
      <c r="D17" s="21" t="s">
        <v>13</v>
      </c>
      <c r="E17" s="5" t="s">
        <v>14</v>
      </c>
      <c r="F17" s="21">
        <v>50</v>
      </c>
      <c r="G17" s="21" t="s">
        <v>63</v>
      </c>
      <c r="H17" s="21">
        <f t="shared" si="0"/>
        <v>2.5</v>
      </c>
      <c r="I17" s="21">
        <v>13</v>
      </c>
      <c r="J17" s="21"/>
      <c r="K17" s="21"/>
      <c r="L17" s="16">
        <v>45194</v>
      </c>
      <c r="M17" s="22">
        <v>0.2673611111111111</v>
      </c>
      <c r="P17" s="9" t="s">
        <v>53</v>
      </c>
      <c r="Q17" s="10" t="s">
        <v>54</v>
      </c>
      <c r="R17" s="3"/>
      <c r="S17" s="3"/>
      <c r="T17" s="3"/>
      <c r="U17" s="23" t="str">
        <f t="shared" ca="1" si="1"/>
        <v/>
      </c>
      <c r="V17" s="23" t="str">
        <f t="shared" ca="1" si="2"/>
        <v/>
      </c>
    </row>
    <row r="18" spans="1:22" x14ac:dyDescent="0.25">
      <c r="A18" s="3" t="s">
        <v>60</v>
      </c>
      <c r="B18" s="5">
        <v>1610</v>
      </c>
      <c r="C18" s="5">
        <v>50</v>
      </c>
      <c r="D18" s="5" t="s">
        <v>66</v>
      </c>
      <c r="E18" s="5" t="s">
        <v>19</v>
      </c>
      <c r="F18" s="21">
        <v>30</v>
      </c>
      <c r="G18" s="21" t="s">
        <v>63</v>
      </c>
      <c r="H18" s="21">
        <f t="shared" si="0"/>
        <v>2.5</v>
      </c>
      <c r="I18" s="21">
        <v>24</v>
      </c>
      <c r="J18" s="21"/>
      <c r="K18" s="21"/>
      <c r="L18" s="16">
        <v>45194</v>
      </c>
      <c r="M18" s="22">
        <v>0.28125</v>
      </c>
      <c r="P18" s="9" t="s">
        <v>55</v>
      </c>
      <c r="Q18" s="10" t="s">
        <v>56</v>
      </c>
      <c r="R18" s="3"/>
      <c r="S18" s="3"/>
      <c r="T18" s="3"/>
      <c r="U18" s="23" t="str">
        <f t="shared" ca="1" si="1"/>
        <v/>
      </c>
      <c r="V18" s="23" t="str">
        <f t="shared" ca="1" si="2"/>
        <v/>
      </c>
    </row>
    <row r="19" spans="1:22" x14ac:dyDescent="0.25">
      <c r="A19" s="3" t="s">
        <v>60</v>
      </c>
      <c r="B19" s="5">
        <v>1615</v>
      </c>
      <c r="C19" s="5">
        <v>40</v>
      </c>
      <c r="D19" s="5" t="s">
        <v>13</v>
      </c>
      <c r="E19" s="5" t="s">
        <v>14</v>
      </c>
      <c r="F19" s="21">
        <v>40</v>
      </c>
      <c r="G19" s="21" t="s">
        <v>63</v>
      </c>
      <c r="H19" s="21">
        <f t="shared" si="0"/>
        <v>2.5</v>
      </c>
      <c r="I19" s="21">
        <v>15</v>
      </c>
      <c r="J19" s="21"/>
      <c r="K19" s="21"/>
      <c r="L19" s="16">
        <v>45194</v>
      </c>
      <c r="M19" s="22">
        <v>0.30416666666666664</v>
      </c>
      <c r="P19" s="11" t="s">
        <v>57</v>
      </c>
      <c r="Q19" s="12" t="s">
        <v>58</v>
      </c>
      <c r="R19" s="3"/>
      <c r="S19" s="3"/>
      <c r="T19" s="3"/>
      <c r="U19" s="23" t="str">
        <f t="shared" ca="1" si="1"/>
        <v/>
      </c>
      <c r="V19" s="23" t="str">
        <f t="shared" ca="1" si="2"/>
        <v/>
      </c>
    </row>
    <row r="20" spans="1:22" x14ac:dyDescent="0.25">
      <c r="A20" s="3" t="s">
        <v>60</v>
      </c>
      <c r="B20" s="5">
        <v>1620</v>
      </c>
      <c r="C20" s="5">
        <v>60</v>
      </c>
      <c r="D20" s="5" t="s">
        <v>66</v>
      </c>
      <c r="E20" s="5" t="s">
        <v>19</v>
      </c>
      <c r="F20" s="21">
        <v>50</v>
      </c>
      <c r="G20" s="21" t="s">
        <v>64</v>
      </c>
      <c r="H20" s="21">
        <f t="shared" si="0"/>
        <v>1.5</v>
      </c>
      <c r="I20" s="21">
        <v>32</v>
      </c>
      <c r="J20" s="21" t="s">
        <v>30</v>
      </c>
      <c r="K20" s="21"/>
      <c r="L20" s="16">
        <v>45194</v>
      </c>
      <c r="M20" s="22">
        <v>0.31597222222222221</v>
      </c>
      <c r="U20" s="23" t="str">
        <f t="shared" ca="1" si="1"/>
        <v/>
      </c>
      <c r="V20" s="23" t="str">
        <f t="shared" ca="1" si="2"/>
        <v/>
      </c>
    </row>
    <row r="21" spans="1:22" x14ac:dyDescent="0.25">
      <c r="A21" s="3" t="s">
        <v>60</v>
      </c>
      <c r="B21" s="5">
        <v>1625</v>
      </c>
      <c r="C21" s="5">
        <v>50</v>
      </c>
      <c r="D21" s="5" t="s">
        <v>66</v>
      </c>
      <c r="E21" s="5" t="s">
        <v>19</v>
      </c>
      <c r="F21" s="21">
        <v>30</v>
      </c>
      <c r="G21" s="21" t="s">
        <v>64</v>
      </c>
      <c r="H21" s="21">
        <f t="shared" si="0"/>
        <v>1.5</v>
      </c>
      <c r="I21" s="21">
        <v>50</v>
      </c>
      <c r="J21" s="21" t="s">
        <v>67</v>
      </c>
      <c r="K21" s="21" t="s">
        <v>67</v>
      </c>
      <c r="L21" s="16">
        <v>45194</v>
      </c>
      <c r="M21" s="22">
        <v>0.32500000000000001</v>
      </c>
      <c r="U21" s="23" t="str">
        <f t="shared" ca="1" si="1"/>
        <v/>
      </c>
      <c r="V21" s="23" t="str">
        <f t="shared" ca="1" si="2"/>
        <v/>
      </c>
    </row>
    <row r="22" spans="1:22" x14ac:dyDescent="0.25">
      <c r="A22" s="3" t="s">
        <v>60</v>
      </c>
      <c r="B22" s="5">
        <v>1630</v>
      </c>
      <c r="C22" s="5">
        <v>50</v>
      </c>
      <c r="D22" s="5" t="s">
        <v>66</v>
      </c>
      <c r="E22" s="5" t="s">
        <v>19</v>
      </c>
      <c r="F22" s="21">
        <v>20</v>
      </c>
      <c r="G22" s="21" t="s">
        <v>64</v>
      </c>
      <c r="H22" s="21">
        <f t="shared" si="0"/>
        <v>1.5</v>
      </c>
      <c r="I22" s="21">
        <v>20</v>
      </c>
      <c r="J22" s="21" t="s">
        <v>67</v>
      </c>
      <c r="K22" s="21" t="s">
        <v>67</v>
      </c>
      <c r="L22" s="16">
        <v>45194</v>
      </c>
      <c r="M22" s="22">
        <v>0.33888888888888885</v>
      </c>
      <c r="U22" s="23" t="str">
        <f t="shared" ca="1" si="1"/>
        <v/>
      </c>
      <c r="V22" s="23" t="str">
        <f t="shared" ca="1" si="2"/>
        <v/>
      </c>
    </row>
    <row r="23" spans="1:22" x14ac:dyDescent="0.25">
      <c r="A23" s="3" t="s">
        <v>60</v>
      </c>
      <c r="B23" s="5">
        <v>1635</v>
      </c>
      <c r="C23" s="5">
        <v>70</v>
      </c>
      <c r="D23" s="5" t="s">
        <v>66</v>
      </c>
      <c r="E23" s="5" t="s">
        <v>19</v>
      </c>
      <c r="F23" s="21">
        <v>60</v>
      </c>
      <c r="G23" s="21" t="s">
        <v>64</v>
      </c>
      <c r="H23" s="21">
        <f t="shared" si="0"/>
        <v>1.5</v>
      </c>
      <c r="I23" s="21">
        <v>250</v>
      </c>
      <c r="J23" s="21" t="s">
        <v>30</v>
      </c>
      <c r="K23" s="21" t="s">
        <v>30</v>
      </c>
      <c r="L23" s="16">
        <v>45194</v>
      </c>
      <c r="M23" s="22">
        <v>0.3576388888888889</v>
      </c>
      <c r="U23" s="23" t="str">
        <f t="shared" ca="1" si="1"/>
        <v/>
      </c>
      <c r="V23" s="23" t="str">
        <f t="shared" ca="1" si="2"/>
        <v/>
      </c>
    </row>
    <row r="24" spans="1:22" x14ac:dyDescent="0.25">
      <c r="A24" s="3" t="s">
        <v>60</v>
      </c>
      <c r="B24" s="5">
        <v>1640</v>
      </c>
      <c r="C24" s="5">
        <v>90</v>
      </c>
      <c r="D24" s="5" t="s">
        <v>68</v>
      </c>
      <c r="E24" s="5" t="s">
        <v>19</v>
      </c>
      <c r="F24" s="21">
        <v>100</v>
      </c>
      <c r="G24" s="21" t="s">
        <v>63</v>
      </c>
      <c r="H24" s="21">
        <f t="shared" si="0"/>
        <v>2.5</v>
      </c>
      <c r="I24" s="21">
        <v>255</v>
      </c>
      <c r="J24" s="21"/>
      <c r="K24" s="21" t="s">
        <v>30</v>
      </c>
      <c r="L24" s="16">
        <v>45194</v>
      </c>
      <c r="M24" s="22">
        <v>0.37152777777777773</v>
      </c>
      <c r="U24" s="23" t="str">
        <f t="shared" ca="1" si="1"/>
        <v/>
      </c>
      <c r="V24" s="23" t="str">
        <f t="shared" ca="1" si="2"/>
        <v/>
      </c>
    </row>
    <row r="25" spans="1:22" x14ac:dyDescent="0.25">
      <c r="A25" s="3" t="s">
        <v>60</v>
      </c>
      <c r="B25" s="5">
        <v>1645</v>
      </c>
      <c r="C25" s="5">
        <v>100</v>
      </c>
      <c r="D25" s="5" t="s">
        <v>69</v>
      </c>
      <c r="E25" s="5" t="s">
        <v>42</v>
      </c>
      <c r="F25" s="21">
        <v>100</v>
      </c>
      <c r="G25" s="21" t="s">
        <v>63</v>
      </c>
      <c r="H25" s="21">
        <f t="shared" si="0"/>
        <v>2.5</v>
      </c>
      <c r="I25" s="21">
        <v>267</v>
      </c>
      <c r="J25" s="21"/>
      <c r="K25" s="21" t="s">
        <v>30</v>
      </c>
      <c r="L25" s="16">
        <v>45194</v>
      </c>
      <c r="M25" s="22">
        <v>0.38055555555555554</v>
      </c>
      <c r="U25" s="23" t="str">
        <f t="shared" ca="1" si="1"/>
        <v/>
      </c>
      <c r="V25" s="23" t="str">
        <f t="shared" ca="1" si="2"/>
        <v/>
      </c>
    </row>
    <row r="26" spans="1:22" x14ac:dyDescent="0.25">
      <c r="A26" s="3" t="s">
        <v>60</v>
      </c>
      <c r="B26" s="5">
        <v>1650</v>
      </c>
      <c r="C26" s="5">
        <v>95</v>
      </c>
      <c r="D26" s="5" t="s">
        <v>70</v>
      </c>
      <c r="E26" s="21" t="s">
        <v>42</v>
      </c>
      <c r="F26" s="21">
        <v>100</v>
      </c>
      <c r="G26" s="21" t="s">
        <v>44</v>
      </c>
      <c r="H26" s="21">
        <f t="shared" si="0"/>
        <v>3</v>
      </c>
      <c r="I26" s="21">
        <v>224</v>
      </c>
      <c r="J26" s="21"/>
      <c r="K26" s="21"/>
      <c r="L26" s="16">
        <v>45194</v>
      </c>
      <c r="M26" s="22">
        <v>0.3923611111111111</v>
      </c>
      <c r="U26" s="23" t="str">
        <f t="shared" ca="1" si="1"/>
        <v/>
      </c>
      <c r="V26" s="23" t="str">
        <f t="shared" ca="1" si="2"/>
        <v/>
      </c>
    </row>
    <row r="27" spans="1:22" x14ac:dyDescent="0.25">
      <c r="A27" s="3" t="s">
        <v>60</v>
      </c>
      <c r="B27" s="5">
        <v>1655</v>
      </c>
      <c r="C27" s="5">
        <v>100</v>
      </c>
      <c r="D27" s="5" t="s">
        <v>70</v>
      </c>
      <c r="E27" s="21" t="s">
        <v>42</v>
      </c>
      <c r="F27" s="21">
        <v>100</v>
      </c>
      <c r="G27" s="21" t="s">
        <v>44</v>
      </c>
      <c r="H27" s="21">
        <f t="shared" si="0"/>
        <v>3</v>
      </c>
      <c r="I27" s="21">
        <v>235</v>
      </c>
      <c r="J27" s="21"/>
      <c r="K27" s="21" t="s">
        <v>30</v>
      </c>
      <c r="L27" s="16">
        <v>45194</v>
      </c>
      <c r="M27" s="22">
        <v>0.40763888888888888</v>
      </c>
      <c r="U27" s="23" t="str">
        <f t="shared" ca="1" si="1"/>
        <v/>
      </c>
      <c r="V27" s="23" t="str">
        <f t="shared" ca="1" si="2"/>
        <v/>
      </c>
    </row>
    <row r="28" spans="1:22" x14ac:dyDescent="0.25">
      <c r="A28" s="3" t="s">
        <v>60</v>
      </c>
      <c r="B28" s="5">
        <v>1660</v>
      </c>
      <c r="C28" s="5">
        <v>100</v>
      </c>
      <c r="D28" s="5" t="s">
        <v>71</v>
      </c>
      <c r="E28" s="21" t="str">
        <f>IF(ISNUMBER(SEARCH("v crs",D28))=TRUE,"VC",IF(ISNUMBER(SEARCH("crs",D28))=TRUE,"C",IF(ISNUMBER(SEARCH("med",D28))=TRUE,"M",IF(ISNUMBER(SEARCH("vf",D28))=TRUE,"VF",IF(ISNUMBER(SEARCH("f",D28))=TRUE,"F","")))))</f>
        <v>C</v>
      </c>
      <c r="F28" s="21">
        <v>100</v>
      </c>
      <c r="G28" s="21" t="s">
        <v>44</v>
      </c>
      <c r="H28" s="21">
        <f t="shared" si="0"/>
        <v>3</v>
      </c>
      <c r="I28" s="21">
        <v>185</v>
      </c>
      <c r="J28" s="21"/>
      <c r="K28" s="21" t="s">
        <v>35</v>
      </c>
      <c r="L28" s="16">
        <v>45194</v>
      </c>
      <c r="M28" s="22">
        <v>0.4201388888888889</v>
      </c>
      <c r="U28" s="23" t="str">
        <f t="shared" ca="1" si="1"/>
        <v/>
      </c>
      <c r="V28" s="23" t="str">
        <f t="shared" ca="1" si="2"/>
        <v/>
      </c>
    </row>
    <row r="29" spans="1:22" x14ac:dyDescent="0.25">
      <c r="A29" s="3" t="s">
        <v>60</v>
      </c>
      <c r="B29" s="5">
        <v>1665</v>
      </c>
      <c r="C29" s="5">
        <v>95</v>
      </c>
      <c r="D29" s="5" t="s">
        <v>72</v>
      </c>
      <c r="E29" s="21" t="s">
        <v>42</v>
      </c>
      <c r="F29" s="21">
        <v>100</v>
      </c>
      <c r="G29" s="21" t="s">
        <v>44</v>
      </c>
      <c r="H29" s="21">
        <f t="shared" si="0"/>
        <v>3</v>
      </c>
      <c r="I29" s="21">
        <v>179</v>
      </c>
      <c r="J29" s="21"/>
      <c r="K29" s="21" t="s">
        <v>35</v>
      </c>
      <c r="L29" s="16">
        <v>45194</v>
      </c>
      <c r="M29" s="22">
        <v>0.43402777777777773</v>
      </c>
      <c r="U29" s="23" t="str">
        <f t="shared" ca="1" si="1"/>
        <v/>
      </c>
      <c r="V29" s="23" t="str">
        <f t="shared" ca="1" si="2"/>
        <v/>
      </c>
    </row>
    <row r="30" spans="1:22" x14ac:dyDescent="0.25">
      <c r="A30" s="3" t="s">
        <v>60</v>
      </c>
      <c r="B30" s="5">
        <v>1670</v>
      </c>
      <c r="C30" s="5">
        <v>100</v>
      </c>
      <c r="D30" s="5" t="s">
        <v>73</v>
      </c>
      <c r="E30" s="21" t="str">
        <f>IF(ISNUMBER(SEARCH("v crs",D30))=TRUE,"VC",IF(ISNUMBER(SEARCH("crs",D30))=TRUE,"C",IF(ISNUMBER(SEARCH("med",D30))=TRUE,"M",IF(ISNUMBER(SEARCH("vf",D30))=TRUE,"VF",IF(ISNUMBER(SEARCH("f",D30))=TRUE,"F","")))))</f>
        <v>C</v>
      </c>
      <c r="F30" s="21">
        <v>100</v>
      </c>
      <c r="G30" s="21" t="s">
        <v>44</v>
      </c>
      <c r="H30" s="21">
        <f t="shared" si="0"/>
        <v>3</v>
      </c>
      <c r="I30" s="21">
        <v>218</v>
      </c>
      <c r="J30" s="21"/>
      <c r="K30" s="21" t="s">
        <v>35</v>
      </c>
      <c r="L30" s="16">
        <v>45194</v>
      </c>
      <c r="M30" s="22">
        <v>0.44375000000000003</v>
      </c>
      <c r="U30" s="23" t="str">
        <f t="shared" ca="1" si="1"/>
        <v/>
      </c>
      <c r="V30" s="23" t="str">
        <f t="shared" ca="1" si="2"/>
        <v/>
      </c>
    </row>
    <row r="31" spans="1:22" x14ac:dyDescent="0.25">
      <c r="A31" s="3" t="s">
        <v>60</v>
      </c>
      <c r="B31" s="5">
        <v>1675</v>
      </c>
      <c r="C31" s="5">
        <v>100</v>
      </c>
      <c r="D31" s="5" t="s">
        <v>73</v>
      </c>
      <c r="E31" s="21" t="str">
        <f>IF(ISNUMBER(SEARCH("v crs",D31))=TRUE,"VC",IF(ISNUMBER(SEARCH("crs",D31))=TRUE,"C",IF(ISNUMBER(SEARCH("med",D31))=TRUE,"M",IF(ISNUMBER(SEARCH("vf",D31))=TRUE,"VF",IF(ISNUMBER(SEARCH("f",D31))=TRUE,"F","")))))</f>
        <v>C</v>
      </c>
      <c r="F31" s="21">
        <v>100</v>
      </c>
      <c r="G31" s="21" t="s">
        <v>63</v>
      </c>
      <c r="H31" s="21">
        <f t="shared" si="0"/>
        <v>2.5</v>
      </c>
      <c r="I31" s="21">
        <v>378</v>
      </c>
      <c r="J31" s="21"/>
      <c r="K31" s="21" t="s">
        <v>35</v>
      </c>
      <c r="L31" s="16">
        <v>45194</v>
      </c>
      <c r="M31" s="22">
        <v>0.4548611111111111</v>
      </c>
      <c r="U31" s="23" t="str">
        <f t="shared" ca="1" si="1"/>
        <v/>
      </c>
      <c r="V31" s="23" t="str">
        <f t="shared" ca="1" si="2"/>
        <v/>
      </c>
    </row>
    <row r="32" spans="1:22" x14ac:dyDescent="0.25">
      <c r="A32" s="3" t="s">
        <v>60</v>
      </c>
      <c r="B32" s="5">
        <v>1680</v>
      </c>
      <c r="C32" s="5">
        <v>100</v>
      </c>
      <c r="D32" s="5" t="s">
        <v>70</v>
      </c>
      <c r="E32" s="21" t="str">
        <f>IF(ISNUMBER(SEARCH("v crs",D32))=TRUE,"VC",IF(ISNUMBER(SEARCH("crs",D32))=TRUE,"C",IF(ISNUMBER(SEARCH("med",D32))=TRUE,"M",IF(ISNUMBER(SEARCH("vf",D32))=TRUE,"VF",IF(ISNUMBER(SEARCH("f",D32))=TRUE,"F","")))))</f>
        <v>C</v>
      </c>
      <c r="F32" s="21">
        <v>100</v>
      </c>
      <c r="G32" s="21" t="s">
        <v>63</v>
      </c>
      <c r="H32" s="21">
        <f t="shared" si="0"/>
        <v>2.5</v>
      </c>
      <c r="I32" s="21">
        <v>370</v>
      </c>
      <c r="J32" s="21"/>
      <c r="K32" s="21" t="s">
        <v>35</v>
      </c>
      <c r="L32" s="16">
        <v>45194</v>
      </c>
      <c r="M32" s="22">
        <v>0.46388888888888885</v>
      </c>
      <c r="U32" s="23" t="str">
        <f t="shared" ca="1" si="1"/>
        <v/>
      </c>
      <c r="V32" s="23" t="str">
        <f t="shared" ca="1" si="2"/>
        <v/>
      </c>
    </row>
    <row r="33" spans="1:22" x14ac:dyDescent="0.25">
      <c r="A33" s="3" t="s">
        <v>60</v>
      </c>
      <c r="B33" s="5">
        <v>1690</v>
      </c>
      <c r="C33" s="5">
        <v>100</v>
      </c>
      <c r="D33" s="5" t="s">
        <v>74</v>
      </c>
      <c r="E33" s="21" t="s">
        <v>75</v>
      </c>
      <c r="F33" s="21">
        <v>100</v>
      </c>
      <c r="G33" s="21" t="s">
        <v>44</v>
      </c>
      <c r="H33" s="21">
        <f t="shared" si="0"/>
        <v>3</v>
      </c>
      <c r="I33" s="21">
        <v>312</v>
      </c>
      <c r="J33" s="21" t="s">
        <v>76</v>
      </c>
      <c r="K33" s="21"/>
      <c r="L33" s="16">
        <v>45194</v>
      </c>
      <c r="M33" s="22">
        <v>0.48055555555555557</v>
      </c>
      <c r="U33" s="23" t="str">
        <f t="shared" ca="1" si="1"/>
        <v/>
      </c>
      <c r="V33" s="23" t="str">
        <f t="shared" ca="1" si="2"/>
        <v/>
      </c>
    </row>
    <row r="34" spans="1:22" x14ac:dyDescent="0.25">
      <c r="A34" s="3" t="s">
        <v>60</v>
      </c>
      <c r="B34" s="5">
        <v>1700</v>
      </c>
      <c r="C34" s="5">
        <v>100</v>
      </c>
      <c r="D34" s="5" t="s">
        <v>77</v>
      </c>
      <c r="E34" s="21" t="s">
        <v>75</v>
      </c>
      <c r="F34" s="21">
        <v>100</v>
      </c>
      <c r="G34" s="21" t="s">
        <v>44</v>
      </c>
      <c r="H34" s="21">
        <f t="shared" si="0"/>
        <v>3</v>
      </c>
      <c r="I34" s="21">
        <v>399</v>
      </c>
      <c r="J34" s="21"/>
      <c r="K34" s="21"/>
      <c r="L34" s="16">
        <v>45194</v>
      </c>
      <c r="M34" s="22">
        <v>0.4993055555555555</v>
      </c>
      <c r="U34" s="23" t="str">
        <f t="shared" ca="1" si="1"/>
        <v/>
      </c>
      <c r="V34" s="23" t="str">
        <f t="shared" ca="1" si="2"/>
        <v/>
      </c>
    </row>
    <row r="35" spans="1:22" x14ac:dyDescent="0.25">
      <c r="A35" s="3" t="s">
        <v>60</v>
      </c>
      <c r="B35" s="5">
        <v>1710</v>
      </c>
      <c r="C35" s="5">
        <v>100</v>
      </c>
      <c r="D35" s="5" t="s">
        <v>70</v>
      </c>
      <c r="E35" s="21" t="str">
        <f>IF(ISNUMBER(SEARCH("v crs",D35))=TRUE,"VC",IF(ISNUMBER(SEARCH("crs",D35))=TRUE,"C",IF(ISNUMBER(SEARCH("med",D35))=TRUE,"M",IF(ISNUMBER(SEARCH("vf",D35))=TRUE,"VF",IF(ISNUMBER(SEARCH("f",D35))=TRUE,"F","")))))</f>
        <v>C</v>
      </c>
      <c r="F35" s="21">
        <v>100</v>
      </c>
      <c r="G35" s="21" t="s">
        <v>44</v>
      </c>
      <c r="H35" s="21">
        <f t="shared" si="0"/>
        <v>3</v>
      </c>
      <c r="I35" s="21">
        <v>340</v>
      </c>
      <c r="J35" s="21"/>
      <c r="K35" s="21"/>
      <c r="L35" s="16">
        <v>45194</v>
      </c>
      <c r="M35" s="22">
        <v>0.53125</v>
      </c>
      <c r="U35" s="23" t="str">
        <f t="shared" ca="1" si="1"/>
        <v/>
      </c>
      <c r="V35" s="23" t="str">
        <f t="shared" ca="1" si="2"/>
        <v/>
      </c>
    </row>
    <row r="36" spans="1:22" x14ac:dyDescent="0.25">
      <c r="A36" s="3" t="s">
        <v>60</v>
      </c>
      <c r="B36" s="5">
        <v>1720</v>
      </c>
      <c r="C36" s="13">
        <v>100</v>
      </c>
      <c r="D36" s="13" t="s">
        <v>70</v>
      </c>
      <c r="E36" s="21" t="s">
        <v>42</v>
      </c>
      <c r="F36" s="21">
        <v>100</v>
      </c>
      <c r="G36" s="21" t="s">
        <v>44</v>
      </c>
      <c r="H36" s="21">
        <f t="shared" si="0"/>
        <v>3</v>
      </c>
      <c r="I36" s="21">
        <v>432</v>
      </c>
      <c r="J36" s="21"/>
      <c r="K36" s="21"/>
      <c r="L36" s="16">
        <v>45194</v>
      </c>
      <c r="M36" s="22">
        <v>0.54861111111111105</v>
      </c>
      <c r="U36" s="23" t="str">
        <f t="shared" ca="1" si="1"/>
        <v/>
      </c>
      <c r="V36" s="23" t="str">
        <f t="shared" ca="1" si="2"/>
        <v/>
      </c>
    </row>
    <row r="37" spans="1:22" x14ac:dyDescent="0.25">
      <c r="A37" s="3" t="s">
        <v>60</v>
      </c>
      <c r="B37" s="5">
        <v>1730</v>
      </c>
      <c r="C37" s="13">
        <v>95</v>
      </c>
      <c r="D37" s="13" t="s">
        <v>52</v>
      </c>
      <c r="E37" s="21" t="s">
        <v>42</v>
      </c>
      <c r="F37" s="21">
        <v>100</v>
      </c>
      <c r="G37" s="21" t="s">
        <v>44</v>
      </c>
      <c r="H37" s="21">
        <f t="shared" si="0"/>
        <v>3</v>
      </c>
      <c r="I37" s="21">
        <v>404</v>
      </c>
      <c r="J37" s="21"/>
      <c r="K37" s="21"/>
      <c r="L37" s="16">
        <v>45194</v>
      </c>
      <c r="M37" s="22">
        <v>0.57291666666666663</v>
      </c>
      <c r="U37" s="23" t="str">
        <f t="shared" ca="1" si="1"/>
        <v/>
      </c>
      <c r="V37" s="23" t="str">
        <f t="shared" ca="1" si="2"/>
        <v/>
      </c>
    </row>
    <row r="38" spans="1:22" x14ac:dyDescent="0.25">
      <c r="A38" s="3" t="s">
        <v>60</v>
      </c>
      <c r="B38" s="5">
        <v>1740</v>
      </c>
      <c r="C38" s="13">
        <v>90</v>
      </c>
      <c r="D38" s="13" t="s">
        <v>70</v>
      </c>
      <c r="E38" s="21" t="str">
        <f>IF(ISNUMBER(SEARCH("v crs",D38))=TRUE,"VC",IF(ISNUMBER(SEARCH("crs",D38))=TRUE,"C",IF(ISNUMBER(SEARCH("med",D38))=TRUE,"M",IF(ISNUMBER(SEARCH("vf",D38))=TRUE,"VF",IF(ISNUMBER(SEARCH("f",D38))=TRUE,"F","")))))</f>
        <v>C</v>
      </c>
      <c r="F38" s="21">
        <v>100</v>
      </c>
      <c r="G38" s="21" t="s">
        <v>44</v>
      </c>
      <c r="H38" s="21">
        <f t="shared" si="0"/>
        <v>3</v>
      </c>
      <c r="I38" s="21">
        <v>351</v>
      </c>
      <c r="J38" s="21"/>
      <c r="K38" s="21"/>
      <c r="L38" s="16">
        <v>45194</v>
      </c>
      <c r="M38" s="22">
        <v>0.59236111111111112</v>
      </c>
      <c r="U38" s="23" t="str">
        <f t="shared" ca="1" si="1"/>
        <v/>
      </c>
      <c r="V38" s="23" t="str">
        <f t="shared" ca="1" si="2"/>
        <v/>
      </c>
    </row>
    <row r="39" spans="1:22" x14ac:dyDescent="0.25">
      <c r="A39" s="3" t="s">
        <v>60</v>
      </c>
      <c r="B39" s="5">
        <v>1750</v>
      </c>
      <c r="C39" s="13">
        <v>100</v>
      </c>
      <c r="D39" s="13" t="s">
        <v>52</v>
      </c>
      <c r="E39" s="21" t="str">
        <f>IF(ISNUMBER(SEARCH("v crs",D39))=TRUE,"VC",IF(ISNUMBER(SEARCH("crs",D39))=TRUE,"C",IF(ISNUMBER(SEARCH("med",D39))=TRUE,"M",IF(ISNUMBER(SEARCH("vf",D39))=TRUE,"VF",IF(ISNUMBER(SEARCH("f",D39))=TRUE,"F","")))))</f>
        <v>C</v>
      </c>
      <c r="F39" s="21">
        <v>100</v>
      </c>
      <c r="G39" s="21" t="s">
        <v>63</v>
      </c>
      <c r="H39" s="21">
        <f t="shared" si="0"/>
        <v>2.5</v>
      </c>
      <c r="I39" s="21">
        <v>478</v>
      </c>
      <c r="J39" s="21"/>
      <c r="K39" s="21"/>
      <c r="L39" s="16">
        <v>45194</v>
      </c>
      <c r="M39" s="22">
        <v>0.61111111111111105</v>
      </c>
      <c r="U39" s="23" t="str">
        <f t="shared" ca="1" si="1"/>
        <v/>
      </c>
      <c r="V39" s="23" t="str">
        <f t="shared" ca="1" si="2"/>
        <v/>
      </c>
    </row>
    <row r="40" spans="1:22" x14ac:dyDescent="0.25">
      <c r="A40" s="3" t="s">
        <v>60</v>
      </c>
      <c r="B40" s="5">
        <v>1760</v>
      </c>
      <c r="C40" s="13">
        <v>100</v>
      </c>
      <c r="D40" s="13" t="s">
        <v>72</v>
      </c>
      <c r="E40" s="21" t="s">
        <v>78</v>
      </c>
      <c r="F40" s="21">
        <v>100</v>
      </c>
      <c r="G40" s="21" t="s">
        <v>63</v>
      </c>
      <c r="H40" s="21">
        <f t="shared" si="0"/>
        <v>2.5</v>
      </c>
      <c r="I40" s="21">
        <v>311</v>
      </c>
      <c r="J40" s="21"/>
      <c r="K40" s="21"/>
      <c r="L40" s="16">
        <v>45194</v>
      </c>
      <c r="M40" s="22">
        <v>0.63055555555555554</v>
      </c>
      <c r="U40" s="23" t="str">
        <f t="shared" ca="1" si="1"/>
        <v/>
      </c>
      <c r="V40" s="23" t="str">
        <f t="shared" ca="1" si="2"/>
        <v/>
      </c>
    </row>
    <row r="41" spans="1:22" x14ac:dyDescent="0.25">
      <c r="A41" s="3" t="s">
        <v>60</v>
      </c>
      <c r="B41" s="5">
        <v>1770</v>
      </c>
      <c r="C41" s="13">
        <v>95</v>
      </c>
      <c r="D41" s="13" t="s">
        <v>74</v>
      </c>
      <c r="E41" s="21" t="str">
        <f>IF(ISNUMBER(SEARCH("v crs",D41))=TRUE,"VC",IF(ISNUMBER(SEARCH("crs",D41))=TRUE,"C",IF(ISNUMBER(SEARCH("med",D41))=TRUE,"M",IF(ISNUMBER(SEARCH("vf",D41))=TRUE,"VF",IF(ISNUMBER(SEARCH("f",D41))=TRUE,"F","")))))</f>
        <v>C</v>
      </c>
      <c r="F41" s="21">
        <v>100</v>
      </c>
      <c r="G41" s="21" t="s">
        <v>47</v>
      </c>
      <c r="H41" s="21">
        <v>2.5</v>
      </c>
      <c r="I41" s="21">
        <v>183</v>
      </c>
      <c r="J41" s="21"/>
      <c r="K41" s="21"/>
      <c r="L41" s="16">
        <v>45194</v>
      </c>
      <c r="M41" s="22">
        <v>0.66666666666666663</v>
      </c>
      <c r="U41" s="23" t="str">
        <f t="shared" ca="1" si="1"/>
        <v/>
      </c>
      <c r="V41" s="23" t="str">
        <f t="shared" ca="1" si="2"/>
        <v/>
      </c>
    </row>
    <row r="42" spans="1:22" x14ac:dyDescent="0.25">
      <c r="A42" s="3" t="s">
        <v>60</v>
      </c>
      <c r="B42" s="5">
        <v>1780</v>
      </c>
      <c r="C42" s="13">
        <v>90</v>
      </c>
      <c r="D42" s="13" t="s">
        <v>73</v>
      </c>
      <c r="E42" s="21" t="s">
        <v>42</v>
      </c>
      <c r="F42" s="21">
        <v>80</v>
      </c>
      <c r="G42" s="21" t="s">
        <v>44</v>
      </c>
      <c r="H42" s="21">
        <f>_xlfn.XLOOKUP(G42,$S$4:$S$9,$T$4:$T$9,"",0,1)</f>
        <v>3</v>
      </c>
      <c r="I42" s="21">
        <v>160</v>
      </c>
      <c r="J42" s="21"/>
      <c r="K42" s="21"/>
      <c r="L42" s="16">
        <v>45194</v>
      </c>
      <c r="M42" s="22">
        <v>0.68611111111111101</v>
      </c>
      <c r="U42" s="23" t="str">
        <f t="shared" ca="1" si="1"/>
        <v/>
      </c>
      <c r="V42" s="23" t="str">
        <f t="shared" ca="1" si="2"/>
        <v/>
      </c>
    </row>
    <row r="43" spans="1:22" x14ac:dyDescent="0.25">
      <c r="A43" s="3" t="s">
        <v>60</v>
      </c>
      <c r="B43" s="5">
        <v>1790</v>
      </c>
      <c r="C43" s="13">
        <v>90</v>
      </c>
      <c r="D43" s="13" t="s">
        <v>79</v>
      </c>
      <c r="E43" s="21" t="s">
        <v>19</v>
      </c>
      <c r="F43" s="21">
        <v>80</v>
      </c>
      <c r="G43" s="21" t="s">
        <v>47</v>
      </c>
      <c r="H43" s="21">
        <v>2.5</v>
      </c>
      <c r="I43" s="21">
        <v>213</v>
      </c>
      <c r="J43" s="21"/>
      <c r="K43" s="21"/>
      <c r="L43" s="16">
        <v>45194</v>
      </c>
      <c r="M43" s="22">
        <v>0.71180555555555547</v>
      </c>
      <c r="U43" s="23" t="str">
        <f t="shared" ca="1" si="1"/>
        <v/>
      </c>
      <c r="V43" s="23" t="str">
        <f t="shared" ca="1" si="2"/>
        <v/>
      </c>
    </row>
    <row r="44" spans="1:22" x14ac:dyDescent="0.25">
      <c r="A44" s="3" t="s">
        <v>60</v>
      </c>
      <c r="B44" s="5">
        <v>1800</v>
      </c>
      <c r="C44" s="13">
        <v>95</v>
      </c>
      <c r="D44" s="13" t="s">
        <v>52</v>
      </c>
      <c r="E44" s="21" t="s">
        <v>42</v>
      </c>
      <c r="F44" s="21">
        <v>100</v>
      </c>
      <c r="G44" s="21" t="s">
        <v>80</v>
      </c>
      <c r="H44" s="21">
        <v>3</v>
      </c>
      <c r="I44" s="21">
        <v>222</v>
      </c>
      <c r="J44" s="21"/>
      <c r="K44" s="21" t="s">
        <v>35</v>
      </c>
      <c r="L44" s="16">
        <v>45194</v>
      </c>
      <c r="M44" s="22">
        <v>0.72777777777777775</v>
      </c>
      <c r="U44" s="23" t="str">
        <f t="shared" ca="1" si="1"/>
        <v/>
      </c>
      <c r="V44" s="23" t="str">
        <f t="shared" ca="1" si="2"/>
        <v/>
      </c>
    </row>
    <row r="45" spans="1:22" x14ac:dyDescent="0.25">
      <c r="A45" s="3" t="s">
        <v>60</v>
      </c>
      <c r="B45" s="5">
        <v>1810</v>
      </c>
      <c r="C45" s="13">
        <v>80</v>
      </c>
      <c r="D45" s="13" t="s">
        <v>81</v>
      </c>
      <c r="E45" s="21" t="str">
        <f t="shared" ref="E45:E51" si="3">IF(ISNUMBER(SEARCH("v crs",D45))=TRUE,"VC",IF(ISNUMBER(SEARCH("crs",D45))=TRUE,"C",IF(ISNUMBER(SEARCH("med",D45))=TRUE,"M",IF(ISNUMBER(SEARCH("vf",D45))=TRUE,"VF",IF(ISNUMBER(SEARCH("f",D45))=TRUE,"F","")))))</f>
        <v>C</v>
      </c>
      <c r="F45" s="21">
        <v>100</v>
      </c>
      <c r="G45" s="21" t="s">
        <v>44</v>
      </c>
      <c r="H45" s="21">
        <f t="shared" ref="H45:H52" si="4">_xlfn.XLOOKUP(G45,$S$4:$S$9,$T$4:$T$9,"",0,1)</f>
        <v>3</v>
      </c>
      <c r="I45" s="21">
        <v>125</v>
      </c>
      <c r="J45" s="21"/>
      <c r="K45" s="21"/>
      <c r="L45" s="16">
        <v>45194</v>
      </c>
      <c r="M45" s="22">
        <v>0.75763888888888886</v>
      </c>
      <c r="U45" s="23" t="str">
        <f t="shared" ca="1" si="1"/>
        <v/>
      </c>
      <c r="V45" s="23" t="str">
        <f t="shared" ca="1" si="2"/>
        <v/>
      </c>
    </row>
    <row r="46" spans="1:22" x14ac:dyDescent="0.25">
      <c r="A46" s="3" t="s">
        <v>60</v>
      </c>
      <c r="B46" s="5">
        <v>1820</v>
      </c>
      <c r="C46" s="13">
        <v>50</v>
      </c>
      <c r="D46" s="13" t="s">
        <v>81</v>
      </c>
      <c r="E46" s="21" t="str">
        <f t="shared" si="3"/>
        <v>C</v>
      </c>
      <c r="F46" s="21">
        <v>100</v>
      </c>
      <c r="G46" s="21" t="s">
        <v>44</v>
      </c>
      <c r="H46" s="21">
        <f t="shared" si="4"/>
        <v>3</v>
      </c>
      <c r="I46" s="21">
        <v>195</v>
      </c>
      <c r="J46" s="21"/>
      <c r="K46" s="21"/>
      <c r="L46" s="16">
        <v>45194</v>
      </c>
      <c r="M46" s="22">
        <v>0.77500000000000002</v>
      </c>
      <c r="U46" s="23" t="str">
        <f t="shared" ca="1" si="1"/>
        <v/>
      </c>
      <c r="V46" s="23" t="str">
        <f t="shared" ca="1" si="2"/>
        <v/>
      </c>
    </row>
    <row r="47" spans="1:22" x14ac:dyDescent="0.25">
      <c r="A47" s="3" t="s">
        <v>60</v>
      </c>
      <c r="B47" s="5">
        <v>1830</v>
      </c>
      <c r="C47" s="13">
        <v>80</v>
      </c>
      <c r="D47" s="13" t="s">
        <v>81</v>
      </c>
      <c r="E47" s="21" t="str">
        <f t="shared" si="3"/>
        <v>C</v>
      </c>
      <c r="F47" s="21">
        <v>100</v>
      </c>
      <c r="G47" s="21" t="s">
        <v>43</v>
      </c>
      <c r="H47" s="21">
        <f t="shared" si="4"/>
        <v>2</v>
      </c>
      <c r="I47" s="21">
        <v>152</v>
      </c>
      <c r="J47" s="21"/>
      <c r="K47" s="21"/>
      <c r="L47" s="16">
        <v>45194</v>
      </c>
      <c r="M47" s="22">
        <v>0.79305555555555562</v>
      </c>
      <c r="U47" s="23" t="str">
        <f t="shared" ca="1" si="1"/>
        <v/>
      </c>
      <c r="V47" s="23" t="str">
        <f t="shared" ca="1" si="2"/>
        <v/>
      </c>
    </row>
    <row r="48" spans="1:22" x14ac:dyDescent="0.25">
      <c r="A48" s="3" t="s">
        <v>60</v>
      </c>
      <c r="B48" s="5">
        <v>1840</v>
      </c>
      <c r="C48" s="13">
        <v>90</v>
      </c>
      <c r="D48" s="13" t="s">
        <v>81</v>
      </c>
      <c r="E48" s="21" t="str">
        <f t="shared" si="3"/>
        <v>C</v>
      </c>
      <c r="F48" s="21">
        <v>100</v>
      </c>
      <c r="G48" s="21" t="s">
        <v>43</v>
      </c>
      <c r="H48" s="21">
        <f t="shared" si="4"/>
        <v>2</v>
      </c>
      <c r="I48" s="21">
        <v>235</v>
      </c>
      <c r="J48" s="21"/>
      <c r="K48" s="21"/>
      <c r="L48" s="16">
        <v>45194</v>
      </c>
      <c r="M48" s="22">
        <v>0.81111111111111101</v>
      </c>
      <c r="U48" s="23" t="str">
        <f t="shared" ca="1" si="1"/>
        <v/>
      </c>
      <c r="V48" s="23" t="str">
        <f t="shared" ca="1" si="2"/>
        <v/>
      </c>
    </row>
    <row r="49" spans="1:22" x14ac:dyDescent="0.25">
      <c r="A49" s="3" t="s">
        <v>60</v>
      </c>
      <c r="B49" s="5">
        <v>1850</v>
      </c>
      <c r="C49" s="13">
        <v>100</v>
      </c>
      <c r="D49" s="13" t="s">
        <v>81</v>
      </c>
      <c r="E49" s="21" t="str">
        <f t="shared" si="3"/>
        <v>C</v>
      </c>
      <c r="F49" s="21">
        <v>100</v>
      </c>
      <c r="G49" s="21" t="s">
        <v>44</v>
      </c>
      <c r="H49" s="21">
        <f t="shared" si="4"/>
        <v>3</v>
      </c>
      <c r="I49" s="21">
        <v>183</v>
      </c>
      <c r="J49" s="21"/>
      <c r="K49" s="21"/>
      <c r="L49" s="16">
        <v>45194</v>
      </c>
      <c r="M49" s="22">
        <v>0.83472222222222225</v>
      </c>
      <c r="U49" s="23" t="str">
        <f t="shared" ca="1" si="1"/>
        <v/>
      </c>
      <c r="V49" s="23" t="str">
        <f t="shared" ca="1" si="2"/>
        <v/>
      </c>
    </row>
    <row r="50" spans="1:22" x14ac:dyDescent="0.25">
      <c r="A50" s="3" t="s">
        <v>60</v>
      </c>
      <c r="B50" s="5">
        <v>1860</v>
      </c>
      <c r="C50" s="13">
        <v>100</v>
      </c>
      <c r="D50" s="13" t="s">
        <v>81</v>
      </c>
      <c r="E50" s="21" t="str">
        <f t="shared" si="3"/>
        <v>C</v>
      </c>
      <c r="F50" s="21">
        <v>100</v>
      </c>
      <c r="G50" s="21" t="s">
        <v>44</v>
      </c>
      <c r="H50" s="21">
        <f t="shared" si="4"/>
        <v>3</v>
      </c>
      <c r="I50" s="21">
        <v>185</v>
      </c>
      <c r="J50" s="21"/>
      <c r="K50" s="21"/>
      <c r="L50" s="16">
        <v>45194</v>
      </c>
      <c r="M50" s="22">
        <v>0.86111111111111116</v>
      </c>
      <c r="U50" s="23" t="str">
        <f t="shared" ca="1" si="1"/>
        <v/>
      </c>
      <c r="V50" s="23" t="str">
        <f t="shared" ca="1" si="2"/>
        <v/>
      </c>
    </row>
    <row r="51" spans="1:22" x14ac:dyDescent="0.25">
      <c r="A51" s="3" t="s">
        <v>60</v>
      </c>
      <c r="B51" s="5">
        <v>1870</v>
      </c>
      <c r="C51" s="13">
        <v>100</v>
      </c>
      <c r="D51" s="13" t="s">
        <v>81</v>
      </c>
      <c r="E51" s="21" t="str">
        <f t="shared" si="3"/>
        <v>C</v>
      </c>
      <c r="F51" s="21">
        <v>100</v>
      </c>
      <c r="G51" s="21" t="s">
        <v>44</v>
      </c>
      <c r="H51" s="21">
        <f t="shared" si="4"/>
        <v>3</v>
      </c>
      <c r="I51" s="21">
        <v>190</v>
      </c>
      <c r="J51" s="21"/>
      <c r="K51" s="21"/>
      <c r="L51" s="16">
        <v>45194</v>
      </c>
      <c r="M51" s="22">
        <v>0.88750000000000007</v>
      </c>
      <c r="U51" s="23" t="str">
        <f t="shared" ca="1" si="1"/>
        <v/>
      </c>
      <c r="V51" s="23" t="str">
        <f t="shared" ca="1" si="2"/>
        <v/>
      </c>
    </row>
    <row r="52" spans="1:22" x14ac:dyDescent="0.25">
      <c r="A52" s="3" t="s">
        <v>60</v>
      </c>
      <c r="B52" s="5">
        <v>1880</v>
      </c>
      <c r="C52" s="13">
        <v>90</v>
      </c>
      <c r="D52" s="13" t="s">
        <v>13</v>
      </c>
      <c r="E52" s="21" t="s">
        <v>14</v>
      </c>
      <c r="F52" s="21">
        <v>100</v>
      </c>
      <c r="G52" s="21" t="s">
        <v>44</v>
      </c>
      <c r="H52" s="21">
        <f t="shared" si="4"/>
        <v>3</v>
      </c>
      <c r="I52" s="21">
        <v>124</v>
      </c>
      <c r="J52" s="21"/>
      <c r="K52" s="21"/>
      <c r="L52" s="16">
        <v>45194</v>
      </c>
      <c r="M52" s="22">
        <v>0.91111111111111109</v>
      </c>
      <c r="U52" s="23" t="str">
        <f t="shared" ca="1" si="1"/>
        <v/>
      </c>
      <c r="V52" s="23" t="str">
        <f t="shared" ca="1" si="2"/>
        <v/>
      </c>
    </row>
    <row r="53" spans="1:22" x14ac:dyDescent="0.25">
      <c r="A53" s="3" t="s">
        <v>60</v>
      </c>
      <c r="B53" s="5">
        <v>1885</v>
      </c>
      <c r="C53" s="13">
        <v>70</v>
      </c>
      <c r="D53" s="13" t="s">
        <v>81</v>
      </c>
      <c r="E53" s="21" t="str">
        <f>IF(ISNUMBER(SEARCH("v crs",D53))=TRUE,"VC",IF(ISNUMBER(SEARCH("crs",D53))=TRUE,"C",IF(ISNUMBER(SEARCH("med",D53))=TRUE,"M",IF(ISNUMBER(SEARCH("vf",D53))=TRUE,"VF",IF(ISNUMBER(SEARCH("f",D53))=TRUE,"F","")))))</f>
        <v>C</v>
      </c>
      <c r="F53" s="21">
        <v>100</v>
      </c>
      <c r="G53" s="21" t="s">
        <v>43</v>
      </c>
      <c r="H53" s="21">
        <v>2</v>
      </c>
      <c r="I53" s="21">
        <v>135</v>
      </c>
      <c r="J53" s="21"/>
      <c r="K53" s="21"/>
      <c r="L53" s="16">
        <v>45194</v>
      </c>
      <c r="M53" s="22">
        <v>0.92499999999999993</v>
      </c>
      <c r="U53" s="23" t="str">
        <f t="shared" ca="1" si="1"/>
        <v/>
      </c>
      <c r="V53" s="23" t="str">
        <f t="shared" ca="1" si="2"/>
        <v/>
      </c>
    </row>
    <row r="54" spans="1:22" x14ac:dyDescent="0.25">
      <c r="A54" s="3" t="s">
        <v>60</v>
      </c>
      <c r="B54" s="5">
        <v>1890</v>
      </c>
      <c r="C54" s="13">
        <v>80</v>
      </c>
      <c r="D54" s="13" t="s">
        <v>13</v>
      </c>
      <c r="E54" s="21" t="s">
        <v>14</v>
      </c>
      <c r="F54" s="21">
        <v>100</v>
      </c>
      <c r="G54" s="21" t="s">
        <v>43</v>
      </c>
      <c r="H54" s="21">
        <v>2</v>
      </c>
      <c r="I54" s="21">
        <v>160</v>
      </c>
      <c r="J54" s="21"/>
      <c r="K54" s="21"/>
      <c r="L54" s="16">
        <v>45194</v>
      </c>
      <c r="M54" s="22">
        <v>0.93611111111111101</v>
      </c>
      <c r="U54" s="23" t="str">
        <f t="shared" ca="1" si="1"/>
        <v/>
      </c>
      <c r="V54" s="23" t="str">
        <f t="shared" ca="1" si="2"/>
        <v/>
      </c>
    </row>
    <row r="55" spans="1:22" x14ac:dyDescent="0.25">
      <c r="A55" s="3" t="s">
        <v>60</v>
      </c>
      <c r="B55" s="5">
        <v>1895</v>
      </c>
      <c r="C55" s="13">
        <v>85</v>
      </c>
      <c r="D55" s="13" t="s">
        <v>73</v>
      </c>
      <c r="E55" s="21" t="str">
        <f t="shared" ref="E55:E63" si="5">IF(ISNUMBER(SEARCH("v crs",D55))=TRUE,"VC",IF(ISNUMBER(SEARCH("crs",D55))=TRUE,"C",IF(ISNUMBER(SEARCH("med",D55))=TRUE,"M",IF(ISNUMBER(SEARCH("vf",D55))=TRUE,"VF",IF(ISNUMBER(SEARCH("f",D55))=TRUE,"F","")))))</f>
        <v>C</v>
      </c>
      <c r="F55" s="21">
        <v>100</v>
      </c>
      <c r="G55" s="21" t="s">
        <v>47</v>
      </c>
      <c r="H55" s="21">
        <v>2.5</v>
      </c>
      <c r="I55" s="21">
        <v>130</v>
      </c>
      <c r="J55" s="21"/>
      <c r="K55" s="21"/>
      <c r="L55" s="16">
        <v>45194</v>
      </c>
      <c r="M55" s="22">
        <v>0.95486111111111116</v>
      </c>
      <c r="U55" s="23" t="str">
        <f t="shared" ca="1" si="1"/>
        <v/>
      </c>
      <c r="V55" s="23" t="str">
        <f t="shared" ca="1" si="2"/>
        <v/>
      </c>
    </row>
    <row r="56" spans="1:22" x14ac:dyDescent="0.25">
      <c r="A56" s="3" t="s">
        <v>60</v>
      </c>
      <c r="B56" s="5">
        <v>1900</v>
      </c>
      <c r="C56" s="13">
        <v>95</v>
      </c>
      <c r="D56" s="13" t="s">
        <v>73</v>
      </c>
      <c r="E56" s="21" t="str">
        <f t="shared" si="5"/>
        <v>C</v>
      </c>
      <c r="F56" s="21">
        <v>100</v>
      </c>
      <c r="G56" s="21" t="s">
        <v>47</v>
      </c>
      <c r="H56" s="21">
        <v>2.5</v>
      </c>
      <c r="I56" s="21">
        <v>175</v>
      </c>
      <c r="J56" s="21"/>
      <c r="K56" s="21"/>
      <c r="L56" s="16">
        <v>45194</v>
      </c>
      <c r="M56" s="22">
        <v>0.96736111111111101</v>
      </c>
      <c r="U56" s="23" t="str">
        <f t="shared" ca="1" si="1"/>
        <v/>
      </c>
      <c r="V56" s="23" t="str">
        <f t="shared" ca="1" si="2"/>
        <v/>
      </c>
    </row>
    <row r="57" spans="1:22" x14ac:dyDescent="0.25">
      <c r="A57" s="3" t="s">
        <v>60</v>
      </c>
      <c r="B57" s="5">
        <v>1905</v>
      </c>
      <c r="C57" s="13">
        <v>90</v>
      </c>
      <c r="D57" s="13" t="s">
        <v>73</v>
      </c>
      <c r="E57" s="21" t="str">
        <f t="shared" si="5"/>
        <v>C</v>
      </c>
      <c r="F57" s="21">
        <v>100</v>
      </c>
      <c r="G57" s="21" t="s">
        <v>47</v>
      </c>
      <c r="H57" s="21">
        <v>2.5</v>
      </c>
      <c r="I57" s="21">
        <v>206</v>
      </c>
      <c r="J57" s="21"/>
      <c r="K57" s="21"/>
      <c r="L57" s="16">
        <v>45194</v>
      </c>
      <c r="M57" s="22">
        <v>0.98333333333333339</v>
      </c>
      <c r="U57" s="23" t="str">
        <f t="shared" ca="1" si="1"/>
        <v/>
      </c>
      <c r="V57" s="23" t="str">
        <f t="shared" ca="1" si="2"/>
        <v/>
      </c>
    </row>
    <row r="58" spans="1:22" x14ac:dyDescent="0.25">
      <c r="A58" s="3" t="s">
        <v>60</v>
      </c>
      <c r="B58" s="5">
        <v>1910</v>
      </c>
      <c r="C58" s="13">
        <v>95</v>
      </c>
      <c r="D58" s="13" t="s">
        <v>73</v>
      </c>
      <c r="E58" s="21" t="str">
        <f t="shared" si="5"/>
        <v>C</v>
      </c>
      <c r="F58" s="21">
        <v>100</v>
      </c>
      <c r="G58" s="21" t="s">
        <v>44</v>
      </c>
      <c r="H58" s="21">
        <v>3</v>
      </c>
      <c r="I58" s="21">
        <v>145</v>
      </c>
      <c r="J58" s="21"/>
      <c r="K58" s="21"/>
      <c r="L58" s="16">
        <v>45194</v>
      </c>
      <c r="M58" s="22">
        <v>0.99791666666666667</v>
      </c>
      <c r="U58" s="23" t="str">
        <f t="shared" ca="1" si="1"/>
        <v/>
      </c>
      <c r="V58" s="23" t="str">
        <f t="shared" ca="1" si="2"/>
        <v/>
      </c>
    </row>
    <row r="59" spans="1:22" x14ac:dyDescent="0.25">
      <c r="A59" s="3" t="s">
        <v>60</v>
      </c>
      <c r="B59" s="5">
        <v>1915</v>
      </c>
      <c r="C59" s="13">
        <v>95</v>
      </c>
      <c r="D59" s="13" t="s">
        <v>81</v>
      </c>
      <c r="E59" s="21" t="str">
        <f t="shared" si="5"/>
        <v>C</v>
      </c>
      <c r="F59" s="21">
        <v>100</v>
      </c>
      <c r="G59" s="21" t="s">
        <v>44</v>
      </c>
      <c r="H59" s="21">
        <v>3</v>
      </c>
      <c r="I59" s="21">
        <v>166</v>
      </c>
      <c r="J59" s="21"/>
      <c r="K59" s="21"/>
      <c r="L59" s="16">
        <v>45195</v>
      </c>
      <c r="M59" s="22">
        <v>1.5972222222222224E-2</v>
      </c>
      <c r="U59" s="23" t="str">
        <f t="shared" ca="1" si="1"/>
        <v/>
      </c>
      <c r="V59" s="23" t="str">
        <f t="shared" ca="1" si="2"/>
        <v/>
      </c>
    </row>
    <row r="60" spans="1:22" x14ac:dyDescent="0.25">
      <c r="A60" s="3" t="s">
        <v>60</v>
      </c>
      <c r="B60" s="5">
        <v>1920</v>
      </c>
      <c r="C60" s="13">
        <v>95</v>
      </c>
      <c r="D60" s="13" t="s">
        <v>81</v>
      </c>
      <c r="E60" s="21" t="str">
        <f t="shared" si="5"/>
        <v>C</v>
      </c>
      <c r="F60" s="21">
        <v>100</v>
      </c>
      <c r="G60" s="21" t="s">
        <v>44</v>
      </c>
      <c r="H60" s="21">
        <v>3</v>
      </c>
      <c r="I60" s="21">
        <v>189</v>
      </c>
      <c r="J60" s="21"/>
      <c r="K60" s="21"/>
      <c r="L60" s="16">
        <v>45195</v>
      </c>
      <c r="M60" s="22">
        <v>3.5416666666666666E-2</v>
      </c>
      <c r="U60" s="23" t="str">
        <f t="shared" ca="1" si="1"/>
        <v/>
      </c>
      <c r="V60" s="23" t="str">
        <f t="shared" ca="1" si="2"/>
        <v/>
      </c>
    </row>
    <row r="61" spans="1:22" x14ac:dyDescent="0.25">
      <c r="A61" s="3" t="s">
        <v>60</v>
      </c>
      <c r="B61" s="5">
        <v>1925</v>
      </c>
      <c r="C61" s="13">
        <v>95</v>
      </c>
      <c r="D61" s="13" t="s">
        <v>81</v>
      </c>
      <c r="E61" s="21" t="str">
        <f t="shared" si="5"/>
        <v>C</v>
      </c>
      <c r="F61" s="21">
        <v>100</v>
      </c>
      <c r="G61" s="21" t="s">
        <v>44</v>
      </c>
      <c r="H61" s="21">
        <v>3</v>
      </c>
      <c r="I61" s="21">
        <v>267</v>
      </c>
      <c r="J61" s="21"/>
      <c r="K61" s="21"/>
      <c r="L61" s="16">
        <v>45195</v>
      </c>
      <c r="M61" s="22">
        <v>4.7222222222222221E-2</v>
      </c>
      <c r="U61" s="23" t="str">
        <f t="shared" ca="1" si="1"/>
        <v/>
      </c>
      <c r="V61" s="23" t="str">
        <f t="shared" ca="1" si="2"/>
        <v/>
      </c>
    </row>
    <row r="62" spans="1:22" x14ac:dyDescent="0.25">
      <c r="A62" s="3" t="s">
        <v>60</v>
      </c>
      <c r="B62" s="5">
        <v>1930</v>
      </c>
      <c r="C62" s="13">
        <v>95</v>
      </c>
      <c r="D62" s="13" t="s">
        <v>81</v>
      </c>
      <c r="E62" s="21" t="str">
        <f t="shared" si="5"/>
        <v>C</v>
      </c>
      <c r="F62" s="21">
        <v>100</v>
      </c>
      <c r="G62" s="21" t="s">
        <v>44</v>
      </c>
      <c r="H62" s="21">
        <v>3</v>
      </c>
      <c r="I62" s="21">
        <v>191</v>
      </c>
      <c r="J62" s="21"/>
      <c r="K62" s="21"/>
      <c r="L62" s="16">
        <v>45195</v>
      </c>
      <c r="M62" s="22">
        <v>5.6944444444444443E-2</v>
      </c>
      <c r="U62" s="23" t="str">
        <f t="shared" ca="1" si="1"/>
        <v/>
      </c>
      <c r="V62" s="23" t="str">
        <f t="shared" ca="1" si="2"/>
        <v/>
      </c>
    </row>
    <row r="63" spans="1:22" x14ac:dyDescent="0.25">
      <c r="A63" s="3" t="s">
        <v>60</v>
      </c>
      <c r="B63" s="5">
        <v>1940</v>
      </c>
      <c r="C63" s="13">
        <v>95</v>
      </c>
      <c r="D63" s="13" t="s">
        <v>72</v>
      </c>
      <c r="E63" s="21" t="str">
        <f t="shared" si="5"/>
        <v>C</v>
      </c>
      <c r="F63" s="21">
        <v>100</v>
      </c>
      <c r="G63" s="21" t="s">
        <v>44</v>
      </c>
      <c r="H63" s="21">
        <v>3</v>
      </c>
      <c r="I63" s="21">
        <v>245</v>
      </c>
      <c r="J63" s="21"/>
      <c r="K63" s="21"/>
      <c r="L63" s="16">
        <v>45195</v>
      </c>
      <c r="M63" s="22">
        <v>7.7083333333333337E-2</v>
      </c>
      <c r="U63" s="23" t="str">
        <f t="shared" ca="1" si="1"/>
        <v/>
      </c>
      <c r="V63" s="23" t="str">
        <f t="shared" ca="1" si="2"/>
        <v/>
      </c>
    </row>
    <row r="64" spans="1:22" x14ac:dyDescent="0.25">
      <c r="A64" s="3" t="s">
        <v>60</v>
      </c>
      <c r="B64" s="13">
        <v>1950</v>
      </c>
      <c r="C64" s="13">
        <v>90</v>
      </c>
      <c r="D64" s="13" t="s">
        <v>13</v>
      </c>
      <c r="E64" s="21" t="s">
        <v>14</v>
      </c>
      <c r="F64" s="21">
        <v>100</v>
      </c>
      <c r="G64" s="21" t="s">
        <v>47</v>
      </c>
      <c r="H64" s="21">
        <v>2.5</v>
      </c>
      <c r="I64" s="21">
        <v>265</v>
      </c>
      <c r="J64" s="21"/>
      <c r="K64" s="21"/>
      <c r="L64" s="16">
        <v>45195</v>
      </c>
      <c r="M64" s="22">
        <v>9.5138888888888884E-2</v>
      </c>
      <c r="U64" s="23" t="str">
        <f t="shared" ca="1" si="1"/>
        <v/>
      </c>
      <c r="V64" s="23" t="str">
        <f t="shared" ca="1" si="2"/>
        <v/>
      </c>
    </row>
    <row r="65" spans="1:22" x14ac:dyDescent="0.25">
      <c r="A65" s="3" t="s">
        <v>60</v>
      </c>
      <c r="B65" s="13">
        <v>1960</v>
      </c>
      <c r="C65" s="13">
        <v>60</v>
      </c>
      <c r="D65" s="13" t="s">
        <v>13</v>
      </c>
      <c r="E65" s="21" t="s">
        <v>14</v>
      </c>
      <c r="F65" s="21">
        <v>100</v>
      </c>
      <c r="G65" s="21" t="s">
        <v>47</v>
      </c>
      <c r="H65" s="21">
        <v>2.5</v>
      </c>
      <c r="I65" s="21">
        <v>160</v>
      </c>
      <c r="J65" s="21" t="s">
        <v>50</v>
      </c>
      <c r="K65" s="21"/>
      <c r="L65" s="16">
        <v>45195</v>
      </c>
      <c r="M65" s="22">
        <v>0.11458333333333333</v>
      </c>
      <c r="U65" s="23" t="str">
        <f t="shared" ca="1" si="1"/>
        <v/>
      </c>
      <c r="V65" s="23" t="str">
        <f t="shared" ca="1" si="2"/>
        <v/>
      </c>
    </row>
    <row r="66" spans="1:22" x14ac:dyDescent="0.25">
      <c r="A66" s="3" t="s">
        <v>60</v>
      </c>
      <c r="B66" s="13">
        <v>1970</v>
      </c>
      <c r="C66" s="13">
        <v>30</v>
      </c>
      <c r="D66" s="13" t="s">
        <v>13</v>
      </c>
      <c r="E66" s="21" t="s">
        <v>14</v>
      </c>
      <c r="F66" s="21">
        <v>50</v>
      </c>
      <c r="G66" s="21" t="s">
        <v>43</v>
      </c>
      <c r="H66" s="21">
        <v>2</v>
      </c>
      <c r="I66" s="21">
        <v>150</v>
      </c>
      <c r="J66" s="21" t="s">
        <v>50</v>
      </c>
      <c r="K66" s="21"/>
      <c r="L66" s="16">
        <v>45195</v>
      </c>
      <c r="M66" s="22">
        <v>0.1361111111111111</v>
      </c>
      <c r="U66" s="23" t="str">
        <f t="shared" ca="1" si="1"/>
        <v/>
      </c>
      <c r="V66" s="23" t="str">
        <f t="shared" ca="1" si="2"/>
        <v/>
      </c>
    </row>
    <row r="67" spans="1:22" x14ac:dyDescent="0.25">
      <c r="A67" s="3" t="s">
        <v>60</v>
      </c>
      <c r="B67" s="13">
        <v>1980</v>
      </c>
      <c r="C67" s="13">
        <v>50</v>
      </c>
      <c r="D67" s="13" t="s">
        <v>13</v>
      </c>
      <c r="E67" s="21" t="s">
        <v>14</v>
      </c>
      <c r="F67" s="21">
        <v>90</v>
      </c>
      <c r="G67" s="21" t="s">
        <v>82</v>
      </c>
      <c r="H67" s="21">
        <v>1.5</v>
      </c>
      <c r="I67" s="21">
        <v>168</v>
      </c>
      <c r="J67" s="21" t="s">
        <v>50</v>
      </c>
      <c r="K67" s="21"/>
      <c r="L67" s="16">
        <v>45195</v>
      </c>
      <c r="M67" s="22">
        <v>0.15416666666666667</v>
      </c>
      <c r="U67" s="23" t="str">
        <f t="shared" ca="1" si="1"/>
        <v/>
      </c>
      <c r="V67" s="23" t="str">
        <f t="shared" ca="1" si="2"/>
        <v/>
      </c>
    </row>
    <row r="68" spans="1:22" x14ac:dyDescent="0.25">
      <c r="A68" s="3" t="s">
        <v>60</v>
      </c>
      <c r="B68" s="13">
        <v>1990</v>
      </c>
      <c r="C68" s="13">
        <v>45</v>
      </c>
      <c r="D68" s="13" t="s">
        <v>13</v>
      </c>
      <c r="E68" s="21" t="s">
        <v>14</v>
      </c>
      <c r="F68" s="21">
        <v>90</v>
      </c>
      <c r="G68" s="21" t="s">
        <v>82</v>
      </c>
      <c r="H68" s="21">
        <v>1.5</v>
      </c>
      <c r="I68" s="21">
        <v>145</v>
      </c>
      <c r="J68" s="21" t="s">
        <v>50</v>
      </c>
      <c r="K68" s="21"/>
      <c r="L68" s="16">
        <v>45195</v>
      </c>
      <c r="M68" s="22">
        <v>0.17500000000000002</v>
      </c>
      <c r="U68" s="23" t="str">
        <f t="shared" ref="U68:U131" ca="1" si="6">IF(C68="","",IF(OR(L68="",AND(ISNUMBER(U68),C68=U68)),U68,C68))</f>
        <v/>
      </c>
      <c r="V68" s="23" t="str">
        <f t="shared" ref="V68:V131" ca="1" si="7">IF(C68="","",IF(OR(M68="",AND(ISNUMBER(V68),C68=V68)),V68,C68))</f>
        <v/>
      </c>
    </row>
    <row r="69" spans="1:22" x14ac:dyDescent="0.25">
      <c r="A69" s="3" t="s">
        <v>60</v>
      </c>
      <c r="B69" s="13">
        <v>2000</v>
      </c>
      <c r="C69" s="13">
        <v>50</v>
      </c>
      <c r="D69" s="13" t="s">
        <v>13</v>
      </c>
      <c r="E69" s="21" t="s">
        <v>14</v>
      </c>
      <c r="F69" s="21">
        <v>90</v>
      </c>
      <c r="G69" s="21" t="s">
        <v>82</v>
      </c>
      <c r="H69" s="21">
        <v>1.5</v>
      </c>
      <c r="I69" s="21">
        <v>247</v>
      </c>
      <c r="J69" s="21" t="s">
        <v>50</v>
      </c>
      <c r="K69" s="21"/>
      <c r="L69" s="16">
        <v>45195</v>
      </c>
      <c r="M69" s="22">
        <v>0.19375000000000001</v>
      </c>
      <c r="U69" s="23" t="str">
        <f t="shared" ca="1" si="6"/>
        <v/>
      </c>
      <c r="V69" s="23" t="str">
        <f t="shared" ca="1" si="7"/>
        <v/>
      </c>
    </row>
    <row r="70" spans="1:22" x14ac:dyDescent="0.25">
      <c r="A70" s="3" t="s">
        <v>60</v>
      </c>
      <c r="B70" s="13">
        <v>2010</v>
      </c>
      <c r="C70" s="13">
        <v>80</v>
      </c>
      <c r="D70" s="13" t="s">
        <v>81</v>
      </c>
      <c r="E70" s="21" t="str">
        <f>IF(ISNUMBER(SEARCH("v crs",D70))=TRUE,"VC",IF(ISNUMBER(SEARCH("crs",D70))=TRUE,"C",IF(ISNUMBER(SEARCH("med",D70))=TRUE,"M",IF(ISNUMBER(SEARCH("vf",D70))=TRUE,"VF",IF(ISNUMBER(SEARCH("f",D70))=TRUE,"F","")))))</f>
        <v>C</v>
      </c>
      <c r="F70" s="21">
        <v>100</v>
      </c>
      <c r="G70" s="21" t="s">
        <v>44</v>
      </c>
      <c r="H70" s="21">
        <v>3</v>
      </c>
      <c r="I70" s="21">
        <v>135</v>
      </c>
      <c r="J70" s="21" t="s">
        <v>25</v>
      </c>
      <c r="K70" s="21"/>
      <c r="L70" s="16">
        <v>45195</v>
      </c>
      <c r="M70" s="22">
        <v>0.22222222222222221</v>
      </c>
      <c r="U70" s="23" t="str">
        <f t="shared" ca="1" si="6"/>
        <v/>
      </c>
      <c r="V70" s="23" t="str">
        <f t="shared" ca="1" si="7"/>
        <v/>
      </c>
    </row>
    <row r="71" spans="1:22" x14ac:dyDescent="0.25">
      <c r="A71" s="3" t="s">
        <v>60</v>
      </c>
      <c r="B71" s="13">
        <v>2020</v>
      </c>
      <c r="C71" s="13">
        <v>90</v>
      </c>
      <c r="D71" s="13" t="s">
        <v>83</v>
      </c>
      <c r="E71" s="21" t="s">
        <v>42</v>
      </c>
      <c r="F71" s="21">
        <v>80</v>
      </c>
      <c r="G71" s="21" t="s">
        <v>47</v>
      </c>
      <c r="H71" s="21">
        <v>2.5</v>
      </c>
      <c r="I71" s="21">
        <v>154</v>
      </c>
      <c r="J71" s="21"/>
      <c r="K71" s="21"/>
      <c r="L71" s="16">
        <v>45195</v>
      </c>
      <c r="M71" s="22">
        <v>0.25347222222222221</v>
      </c>
      <c r="U71" s="23" t="str">
        <f t="shared" ca="1" si="6"/>
        <v/>
      </c>
      <c r="V71" s="23" t="str">
        <f t="shared" ca="1" si="7"/>
        <v/>
      </c>
    </row>
    <row r="72" spans="1:22" x14ac:dyDescent="0.25">
      <c r="A72" s="3" t="s">
        <v>60</v>
      </c>
      <c r="B72" s="13">
        <v>2030</v>
      </c>
      <c r="C72" s="13">
        <v>70</v>
      </c>
      <c r="D72" s="13" t="s">
        <v>72</v>
      </c>
      <c r="E72" s="21" t="s">
        <v>42</v>
      </c>
      <c r="F72" s="21">
        <v>50</v>
      </c>
      <c r="G72" s="21" t="s">
        <v>47</v>
      </c>
      <c r="H72" s="21">
        <v>2.5</v>
      </c>
      <c r="I72" s="21">
        <v>165</v>
      </c>
      <c r="J72" s="21" t="s">
        <v>25</v>
      </c>
      <c r="K72" s="21"/>
      <c r="L72" s="16">
        <v>45195</v>
      </c>
      <c r="M72" s="22">
        <v>0.27777777777777779</v>
      </c>
      <c r="U72" s="23" t="str">
        <f t="shared" ca="1" si="6"/>
        <v/>
      </c>
      <c r="V72" s="23" t="str">
        <f t="shared" ca="1" si="7"/>
        <v/>
      </c>
    </row>
    <row r="73" spans="1:22" x14ac:dyDescent="0.25">
      <c r="A73" s="3" t="s">
        <v>60</v>
      </c>
      <c r="B73" s="13">
        <v>2040</v>
      </c>
      <c r="C73" s="13">
        <v>90</v>
      </c>
      <c r="D73" s="13" t="s">
        <v>72</v>
      </c>
      <c r="E73" s="21" t="s">
        <v>42</v>
      </c>
      <c r="F73" s="21">
        <v>80</v>
      </c>
      <c r="G73" s="21" t="s">
        <v>47</v>
      </c>
      <c r="H73" s="21">
        <v>2.5</v>
      </c>
      <c r="I73" s="21">
        <v>200</v>
      </c>
      <c r="J73" s="21" t="s">
        <v>25</v>
      </c>
      <c r="K73" s="21" t="s">
        <v>35</v>
      </c>
      <c r="L73" s="16">
        <v>45195</v>
      </c>
      <c r="M73" s="22">
        <v>0.2986111111111111</v>
      </c>
      <c r="U73" s="23" t="str">
        <f t="shared" ca="1" si="6"/>
        <v/>
      </c>
      <c r="V73" s="23" t="str">
        <f t="shared" ca="1" si="7"/>
        <v/>
      </c>
    </row>
    <row r="74" spans="1:22" x14ac:dyDescent="0.25">
      <c r="A74" s="3" t="s">
        <v>60</v>
      </c>
      <c r="B74" s="13">
        <v>2050</v>
      </c>
      <c r="C74" s="13">
        <v>90</v>
      </c>
      <c r="D74" s="13" t="s">
        <v>84</v>
      </c>
      <c r="E74" s="21" t="s">
        <v>19</v>
      </c>
      <c r="F74" s="21">
        <v>80</v>
      </c>
      <c r="G74" s="21" t="s">
        <v>47</v>
      </c>
      <c r="H74" s="21">
        <v>2.5</v>
      </c>
      <c r="I74" s="21">
        <v>150</v>
      </c>
      <c r="J74" s="21"/>
      <c r="K74" s="21" t="s">
        <v>35</v>
      </c>
      <c r="L74" s="16">
        <v>45195</v>
      </c>
      <c r="M74" s="22">
        <v>0.31944444444444448</v>
      </c>
      <c r="U74" s="23" t="str">
        <f t="shared" ca="1" si="6"/>
        <v/>
      </c>
      <c r="V74" s="23" t="str">
        <f t="shared" ca="1" si="7"/>
        <v/>
      </c>
    </row>
    <row r="75" spans="1:22" x14ac:dyDescent="0.25">
      <c r="A75" s="3" t="s">
        <v>60</v>
      </c>
      <c r="B75" s="13">
        <v>2060</v>
      </c>
      <c r="C75" s="13">
        <v>95</v>
      </c>
      <c r="D75" s="13" t="s">
        <v>84</v>
      </c>
      <c r="E75" s="21" t="s">
        <v>78</v>
      </c>
      <c r="F75" s="21">
        <v>80</v>
      </c>
      <c r="G75" s="21" t="s">
        <v>47</v>
      </c>
      <c r="H75" s="21">
        <v>2.5</v>
      </c>
      <c r="I75" s="21">
        <v>195</v>
      </c>
      <c r="J75" s="21"/>
      <c r="K75" s="21"/>
      <c r="L75" s="16">
        <v>45195</v>
      </c>
      <c r="M75" s="22">
        <v>0.34027777777777773</v>
      </c>
      <c r="U75" s="23" t="str">
        <f t="shared" ca="1" si="6"/>
        <v/>
      </c>
      <c r="V75" s="23" t="str">
        <f t="shared" ca="1" si="7"/>
        <v/>
      </c>
    </row>
    <row r="76" spans="1:22" x14ac:dyDescent="0.25">
      <c r="A76" s="3" t="s">
        <v>60</v>
      </c>
      <c r="B76" s="13">
        <v>2070</v>
      </c>
      <c r="C76" s="13">
        <v>90</v>
      </c>
      <c r="D76" s="13" t="s">
        <v>85</v>
      </c>
      <c r="E76" s="21" t="s">
        <v>78</v>
      </c>
      <c r="F76" s="21">
        <v>60</v>
      </c>
      <c r="G76" s="21" t="s">
        <v>47</v>
      </c>
      <c r="H76" s="21">
        <v>2.5</v>
      </c>
      <c r="I76" s="21">
        <v>156</v>
      </c>
      <c r="J76" s="21"/>
      <c r="K76" s="21" t="s">
        <v>35</v>
      </c>
      <c r="L76" s="16">
        <v>45195</v>
      </c>
      <c r="M76" s="22">
        <v>0.35833333333333334</v>
      </c>
      <c r="U76" s="23" t="str">
        <f t="shared" ca="1" si="6"/>
        <v/>
      </c>
      <c r="V76" s="23" t="str">
        <f t="shared" ca="1" si="7"/>
        <v/>
      </c>
    </row>
    <row r="77" spans="1:22" x14ac:dyDescent="0.25">
      <c r="A77" s="3" t="s">
        <v>60</v>
      </c>
      <c r="B77" s="13">
        <v>2080</v>
      </c>
      <c r="C77" s="13">
        <v>90</v>
      </c>
      <c r="D77" s="13" t="s">
        <v>86</v>
      </c>
      <c r="E77" s="21" t="str">
        <f>IF(ISNUMBER(SEARCH("v crs",D77))=TRUE,"VC",IF(ISNUMBER(SEARCH("crs",D77))=TRUE,"C",IF(ISNUMBER(SEARCH("med",D77))=TRUE,"M",IF(ISNUMBER(SEARCH("vf",D77))=TRUE,"VF",IF(ISNUMBER(SEARCH("f",D77))=TRUE,"F","")))))</f>
        <v>F</v>
      </c>
      <c r="F77" s="21">
        <v>70</v>
      </c>
      <c r="G77" s="21" t="s">
        <v>47</v>
      </c>
      <c r="H77" s="21">
        <v>2.5</v>
      </c>
      <c r="I77" s="21">
        <v>189</v>
      </c>
      <c r="J77" s="21"/>
      <c r="K77" s="21"/>
      <c r="L77" s="16">
        <v>45195</v>
      </c>
      <c r="M77" s="22">
        <v>0.37777777777777777</v>
      </c>
      <c r="U77" s="23" t="str">
        <f t="shared" ca="1" si="6"/>
        <v/>
      </c>
      <c r="V77" s="23" t="str">
        <f t="shared" ca="1" si="7"/>
        <v/>
      </c>
    </row>
    <row r="78" spans="1:22" x14ac:dyDescent="0.25">
      <c r="A78" s="3" t="s">
        <v>60</v>
      </c>
      <c r="B78" s="13">
        <v>2090</v>
      </c>
      <c r="C78" s="13">
        <v>90</v>
      </c>
      <c r="D78" s="13" t="s">
        <v>87</v>
      </c>
      <c r="E78" s="21" t="s">
        <v>75</v>
      </c>
      <c r="F78" s="21">
        <v>100</v>
      </c>
      <c r="G78" s="21" t="s">
        <v>80</v>
      </c>
      <c r="H78" s="21">
        <v>3</v>
      </c>
      <c r="I78" s="21">
        <v>229</v>
      </c>
      <c r="J78" s="21" t="s">
        <v>25</v>
      </c>
      <c r="K78" s="21" t="s">
        <v>25</v>
      </c>
      <c r="L78" s="16">
        <v>45195</v>
      </c>
      <c r="M78" s="22">
        <v>0.3972222222222222</v>
      </c>
      <c r="U78" s="23" t="str">
        <f t="shared" ca="1" si="6"/>
        <v/>
      </c>
      <c r="V78" s="23" t="str">
        <f t="shared" ca="1" si="7"/>
        <v/>
      </c>
    </row>
    <row r="79" spans="1:22" x14ac:dyDescent="0.25">
      <c r="A79" s="3" t="s">
        <v>60</v>
      </c>
      <c r="B79" s="13">
        <v>2100</v>
      </c>
      <c r="C79" s="13">
        <v>90</v>
      </c>
      <c r="D79" s="13" t="s">
        <v>88</v>
      </c>
      <c r="E79" s="21" t="s">
        <v>42</v>
      </c>
      <c r="F79" s="21">
        <v>100</v>
      </c>
      <c r="G79" s="21" t="s">
        <v>80</v>
      </c>
      <c r="H79" s="21">
        <v>3</v>
      </c>
      <c r="I79" s="21">
        <v>167</v>
      </c>
      <c r="J79" s="21"/>
      <c r="K79" s="21"/>
      <c r="L79" s="16">
        <v>45195</v>
      </c>
      <c r="M79" s="22">
        <v>0.41944444444444445</v>
      </c>
      <c r="U79" s="23" t="str">
        <f t="shared" ca="1" si="6"/>
        <v/>
      </c>
      <c r="V79" s="23" t="str">
        <f t="shared" ca="1" si="7"/>
        <v/>
      </c>
    </row>
    <row r="80" spans="1:22" x14ac:dyDescent="0.25">
      <c r="A80" s="3" t="s">
        <v>60</v>
      </c>
      <c r="B80" s="13">
        <v>2110</v>
      </c>
      <c r="C80" s="13">
        <v>100</v>
      </c>
      <c r="D80" s="13" t="s">
        <v>89</v>
      </c>
      <c r="E80" s="21" t="s">
        <v>75</v>
      </c>
      <c r="F80" s="21">
        <v>100</v>
      </c>
      <c r="G80" s="21" t="s">
        <v>80</v>
      </c>
      <c r="H80" s="21">
        <v>3</v>
      </c>
      <c r="I80" s="21">
        <v>155</v>
      </c>
      <c r="J80" s="21"/>
      <c r="K80" s="21"/>
      <c r="L80" s="16">
        <v>45195</v>
      </c>
      <c r="M80" s="22">
        <v>0.44027777777777777</v>
      </c>
      <c r="U80" s="23" t="str">
        <f t="shared" ca="1" si="6"/>
        <v/>
      </c>
      <c r="V80" s="23" t="str">
        <f t="shared" ca="1" si="7"/>
        <v/>
      </c>
    </row>
    <row r="81" spans="1:22" x14ac:dyDescent="0.25">
      <c r="A81" s="3" t="s">
        <v>60</v>
      </c>
      <c r="B81" s="13">
        <v>2120</v>
      </c>
      <c r="C81" s="13">
        <v>100</v>
      </c>
      <c r="D81" s="13" t="s">
        <v>90</v>
      </c>
      <c r="E81" s="21" t="s">
        <v>75</v>
      </c>
      <c r="F81" s="21">
        <v>100</v>
      </c>
      <c r="G81" s="21" t="s">
        <v>80</v>
      </c>
      <c r="H81" s="21">
        <v>3</v>
      </c>
      <c r="I81" s="21">
        <v>144</v>
      </c>
      <c r="J81" s="21"/>
      <c r="K81" s="21"/>
      <c r="L81" s="16">
        <v>45195</v>
      </c>
      <c r="M81" s="22">
        <v>0.4597222222222222</v>
      </c>
      <c r="U81" s="23" t="str">
        <f t="shared" ca="1" si="6"/>
        <v/>
      </c>
      <c r="V81" s="23" t="str">
        <f t="shared" ca="1" si="7"/>
        <v/>
      </c>
    </row>
    <row r="82" spans="1:22" x14ac:dyDescent="0.25">
      <c r="A82" s="3" t="s">
        <v>60</v>
      </c>
      <c r="B82" s="13">
        <v>2130</v>
      </c>
      <c r="C82" s="13">
        <v>100</v>
      </c>
      <c r="D82" s="13" t="s">
        <v>91</v>
      </c>
      <c r="E82" s="21" t="s">
        <v>75</v>
      </c>
      <c r="F82" s="21">
        <v>100</v>
      </c>
      <c r="G82" s="21" t="s">
        <v>80</v>
      </c>
      <c r="H82" s="21">
        <v>3</v>
      </c>
      <c r="I82" s="21">
        <v>162</v>
      </c>
      <c r="J82" s="21"/>
      <c r="K82" s="21"/>
      <c r="L82" s="16">
        <v>45195</v>
      </c>
      <c r="M82" s="22">
        <v>0.4826388888888889</v>
      </c>
      <c r="U82" s="23" t="str">
        <f t="shared" ca="1" si="6"/>
        <v/>
      </c>
      <c r="V82" s="23" t="str">
        <f t="shared" ca="1" si="7"/>
        <v/>
      </c>
    </row>
    <row r="83" spans="1:22" x14ac:dyDescent="0.25">
      <c r="A83" s="3" t="s">
        <v>60</v>
      </c>
      <c r="B83" s="13">
        <v>2140</v>
      </c>
      <c r="C83" s="13">
        <v>100</v>
      </c>
      <c r="D83" s="13" t="s">
        <v>91</v>
      </c>
      <c r="E83" s="21" t="s">
        <v>75</v>
      </c>
      <c r="F83" s="21">
        <v>100</v>
      </c>
      <c r="G83" s="21" t="s">
        <v>80</v>
      </c>
      <c r="H83" s="21">
        <v>3</v>
      </c>
      <c r="I83" s="21">
        <v>142</v>
      </c>
      <c r="J83" s="21"/>
      <c r="K83" s="21"/>
      <c r="L83" s="16">
        <v>45195</v>
      </c>
      <c r="M83" s="22">
        <v>0.50138888888888888</v>
      </c>
      <c r="U83" s="23" t="str">
        <f t="shared" ca="1" si="6"/>
        <v/>
      </c>
      <c r="V83" s="23" t="str">
        <f t="shared" ca="1" si="7"/>
        <v/>
      </c>
    </row>
    <row r="84" spans="1:22" x14ac:dyDescent="0.25">
      <c r="A84" s="3" t="s">
        <v>60</v>
      </c>
      <c r="B84" s="13">
        <v>2150</v>
      </c>
      <c r="C84" s="13">
        <v>100</v>
      </c>
      <c r="D84" s="13" t="s">
        <v>92</v>
      </c>
      <c r="E84" s="21" t="s">
        <v>75</v>
      </c>
      <c r="F84" s="21">
        <v>100</v>
      </c>
      <c r="G84" s="21" t="s">
        <v>80</v>
      </c>
      <c r="H84" s="21">
        <v>3</v>
      </c>
      <c r="I84" s="21">
        <v>157</v>
      </c>
      <c r="J84" s="21"/>
      <c r="K84" s="21"/>
      <c r="L84" s="16">
        <v>45195</v>
      </c>
      <c r="M84" s="22">
        <v>0.51736111111111105</v>
      </c>
      <c r="U84" s="23" t="str">
        <f t="shared" ca="1" si="6"/>
        <v/>
      </c>
      <c r="V84" s="23" t="str">
        <f t="shared" ca="1" si="7"/>
        <v/>
      </c>
    </row>
    <row r="85" spans="1:22" x14ac:dyDescent="0.25">
      <c r="A85" s="3" t="s">
        <v>60</v>
      </c>
      <c r="B85" s="13">
        <v>2160</v>
      </c>
      <c r="C85" s="13">
        <v>100</v>
      </c>
      <c r="D85" s="13" t="s">
        <v>92</v>
      </c>
      <c r="E85" s="21" t="s">
        <v>75</v>
      </c>
      <c r="F85" s="21">
        <v>100</v>
      </c>
      <c r="G85" s="21" t="s">
        <v>80</v>
      </c>
      <c r="H85" s="21">
        <v>3</v>
      </c>
      <c r="I85" s="21">
        <v>234</v>
      </c>
      <c r="J85" s="21"/>
      <c r="K85" s="21"/>
      <c r="L85" s="16">
        <v>45195</v>
      </c>
      <c r="M85" s="22">
        <v>0.54166666666666663</v>
      </c>
      <c r="U85" s="23" t="str">
        <f t="shared" ca="1" si="6"/>
        <v/>
      </c>
      <c r="V85" s="23" t="str">
        <f t="shared" ca="1" si="7"/>
        <v/>
      </c>
    </row>
    <row r="86" spans="1:22" x14ac:dyDescent="0.25">
      <c r="A86" s="3" t="s">
        <v>60</v>
      </c>
      <c r="B86" s="13">
        <v>2170</v>
      </c>
      <c r="C86" s="13">
        <v>100</v>
      </c>
      <c r="D86" s="13" t="s">
        <v>93</v>
      </c>
      <c r="E86" s="21" t="s">
        <v>75</v>
      </c>
      <c r="F86" s="21">
        <v>100</v>
      </c>
      <c r="G86" s="21" t="s">
        <v>80</v>
      </c>
      <c r="H86" s="21">
        <v>3</v>
      </c>
      <c r="I86" s="21">
        <v>147</v>
      </c>
      <c r="J86" s="21"/>
      <c r="K86" s="21" t="s">
        <v>35</v>
      </c>
      <c r="L86" s="16">
        <v>45195</v>
      </c>
      <c r="M86" s="22">
        <v>0.5625</v>
      </c>
      <c r="U86" s="23" t="str">
        <f t="shared" ca="1" si="6"/>
        <v/>
      </c>
      <c r="V86" s="23" t="str">
        <f t="shared" ca="1" si="7"/>
        <v/>
      </c>
    </row>
    <row r="87" spans="1:22" x14ac:dyDescent="0.25">
      <c r="A87" s="3" t="s">
        <v>60</v>
      </c>
      <c r="B87" s="13">
        <v>2180</v>
      </c>
      <c r="C87" s="13">
        <v>100</v>
      </c>
      <c r="D87" s="13" t="s">
        <v>93</v>
      </c>
      <c r="E87" s="21" t="str">
        <f>IF(ISNUMBER(SEARCH("v crs",D87))=TRUE,"VC",IF(ISNUMBER(SEARCH("crs",D87))=TRUE,"C",IF(ISNUMBER(SEARCH("med",D87))=TRUE,"M",IF(ISNUMBER(SEARCH("vf",D87))=TRUE,"VF",IF(ISNUMBER(SEARCH("f",D87))=TRUE,"F","")))))</f>
        <v>VC</v>
      </c>
      <c r="F87" s="21">
        <v>100</v>
      </c>
      <c r="G87" s="21" t="s">
        <v>47</v>
      </c>
      <c r="H87" s="21">
        <v>2.5</v>
      </c>
      <c r="I87" s="21">
        <v>156</v>
      </c>
      <c r="J87" s="21"/>
      <c r="K87" s="21"/>
      <c r="L87" s="16">
        <v>45195</v>
      </c>
      <c r="M87" s="22">
        <v>0.58333333333333337</v>
      </c>
      <c r="U87" s="23" t="str">
        <f t="shared" ca="1" si="6"/>
        <v/>
      </c>
      <c r="V87" s="23" t="str">
        <f t="shared" ca="1" si="7"/>
        <v/>
      </c>
    </row>
    <row r="88" spans="1:22" x14ac:dyDescent="0.25">
      <c r="A88" s="3" t="s">
        <v>60</v>
      </c>
      <c r="B88" s="13">
        <v>2190</v>
      </c>
      <c r="C88" s="13">
        <v>100</v>
      </c>
      <c r="D88" s="13" t="s">
        <v>94</v>
      </c>
      <c r="E88" s="21" t="s">
        <v>75</v>
      </c>
      <c r="F88" s="21">
        <v>100</v>
      </c>
      <c r="G88" s="21" t="s">
        <v>80</v>
      </c>
      <c r="H88" s="21">
        <v>3</v>
      </c>
      <c r="I88" s="21">
        <v>248</v>
      </c>
      <c r="J88" s="21"/>
      <c r="K88" s="21"/>
      <c r="L88" s="16">
        <v>45195</v>
      </c>
      <c r="M88" s="22">
        <v>0.59861111111111109</v>
      </c>
      <c r="U88" s="23" t="str">
        <f t="shared" ca="1" si="6"/>
        <v/>
      </c>
      <c r="V88" s="23" t="str">
        <f t="shared" ca="1" si="7"/>
        <v/>
      </c>
    </row>
    <row r="89" spans="1:22" x14ac:dyDescent="0.25">
      <c r="A89" s="3" t="s">
        <v>60</v>
      </c>
      <c r="B89" s="13">
        <v>2200</v>
      </c>
      <c r="C89" s="13">
        <v>100</v>
      </c>
      <c r="D89" s="13" t="s">
        <v>94</v>
      </c>
      <c r="E89" s="21" t="str">
        <f>IF(ISNUMBER(SEARCH("v crs",D89))=TRUE,"VC",IF(ISNUMBER(SEARCH("crs",D89))=TRUE,"C",IF(ISNUMBER(SEARCH("med",D89))=TRUE,"M",IF(ISNUMBER(SEARCH("vf",D89))=TRUE,"VF",IF(ISNUMBER(SEARCH("f",D89))=TRUE,"F","")))))</f>
        <v>C</v>
      </c>
      <c r="F89" s="21">
        <v>100</v>
      </c>
      <c r="G89" s="21" t="s">
        <v>80</v>
      </c>
      <c r="H89" s="21">
        <v>3</v>
      </c>
      <c r="I89" s="21">
        <v>198</v>
      </c>
      <c r="J89" s="21"/>
      <c r="K89" s="21"/>
      <c r="L89" s="16">
        <v>45195</v>
      </c>
      <c r="M89" s="22">
        <v>0.6166666666666667</v>
      </c>
      <c r="U89" s="23" t="str">
        <f t="shared" ca="1" si="6"/>
        <v/>
      </c>
      <c r="V89" s="23" t="str">
        <f t="shared" ca="1" si="7"/>
        <v/>
      </c>
    </row>
    <row r="90" spans="1:22" x14ac:dyDescent="0.25">
      <c r="A90" s="3" t="s">
        <v>60</v>
      </c>
      <c r="B90" s="13">
        <v>2210</v>
      </c>
      <c r="C90" s="13">
        <v>100</v>
      </c>
      <c r="D90" s="13" t="s">
        <v>94</v>
      </c>
      <c r="E90" s="21" t="str">
        <f>IF(ISNUMBER(SEARCH("v crs",D90))=TRUE,"VC",IF(ISNUMBER(SEARCH("crs",D90))=TRUE,"C",IF(ISNUMBER(SEARCH("med",D90))=TRUE,"M",IF(ISNUMBER(SEARCH("vf",D90))=TRUE,"VF",IF(ISNUMBER(SEARCH("f",D90))=TRUE,"F","")))))</f>
        <v>C</v>
      </c>
      <c r="F90" s="21">
        <v>100</v>
      </c>
      <c r="G90" s="21" t="s">
        <v>80</v>
      </c>
      <c r="H90" s="21">
        <v>3</v>
      </c>
      <c r="I90" s="21">
        <v>224</v>
      </c>
      <c r="J90" s="21"/>
      <c r="K90" s="21"/>
      <c r="L90" s="16">
        <v>45195</v>
      </c>
      <c r="M90" s="22">
        <v>0.6333333333333333</v>
      </c>
      <c r="U90" s="23" t="str">
        <f t="shared" ca="1" si="6"/>
        <v/>
      </c>
      <c r="V90" s="23" t="str">
        <f t="shared" ca="1" si="7"/>
        <v/>
      </c>
    </row>
    <row r="91" spans="1:22" x14ac:dyDescent="0.25">
      <c r="A91" s="3" t="s">
        <v>60</v>
      </c>
      <c r="B91" s="13">
        <v>2220</v>
      </c>
      <c r="C91" s="13">
        <v>100</v>
      </c>
      <c r="D91" s="13" t="s">
        <v>95</v>
      </c>
      <c r="E91" s="21" t="str">
        <f>IF(ISNUMBER(SEARCH("v crs",D91))=TRUE,"VC",IF(ISNUMBER(SEARCH("crs",D91))=TRUE,"C",IF(ISNUMBER(SEARCH("med",D91))=TRUE,"M",IF(ISNUMBER(SEARCH("vf",D91))=TRUE,"VF",IF(ISNUMBER(SEARCH("f",D91))=TRUE,"F","")))))</f>
        <v>C</v>
      </c>
      <c r="F91" s="21">
        <v>100</v>
      </c>
      <c r="G91" s="21" t="s">
        <v>80</v>
      </c>
      <c r="H91" s="21">
        <v>3</v>
      </c>
      <c r="I91" s="21">
        <v>186</v>
      </c>
      <c r="J91" s="21"/>
      <c r="K91" s="21" t="s">
        <v>35</v>
      </c>
      <c r="L91" s="16">
        <v>45195</v>
      </c>
      <c r="M91" s="22">
        <v>0.65555555555555556</v>
      </c>
      <c r="U91" s="23" t="str">
        <f t="shared" ca="1" si="6"/>
        <v/>
      </c>
      <c r="V91" s="23" t="str">
        <f t="shared" ca="1" si="7"/>
        <v/>
      </c>
    </row>
    <row r="92" spans="1:22" x14ac:dyDescent="0.25">
      <c r="A92" s="3" t="s">
        <v>60</v>
      </c>
      <c r="B92" s="13">
        <v>2230</v>
      </c>
      <c r="C92" s="13">
        <v>100</v>
      </c>
      <c r="D92" s="13" t="s">
        <v>96</v>
      </c>
      <c r="E92" s="21" t="s">
        <v>75</v>
      </c>
      <c r="F92" s="21">
        <v>100</v>
      </c>
      <c r="G92" s="21" t="s">
        <v>80</v>
      </c>
      <c r="H92" s="21">
        <v>3</v>
      </c>
      <c r="I92" s="21">
        <v>155</v>
      </c>
      <c r="J92" s="21"/>
      <c r="K92" s="21"/>
      <c r="L92" s="16">
        <v>45195</v>
      </c>
      <c r="M92" s="22">
        <v>0.67361111111111116</v>
      </c>
      <c r="U92" s="23" t="str">
        <f t="shared" ca="1" si="6"/>
        <v/>
      </c>
      <c r="V92" s="23" t="str">
        <f t="shared" ca="1" si="7"/>
        <v/>
      </c>
    </row>
    <row r="93" spans="1:22" x14ac:dyDescent="0.25">
      <c r="A93" s="3" t="s">
        <v>60</v>
      </c>
      <c r="B93" s="13">
        <v>2240</v>
      </c>
      <c r="C93" s="13">
        <v>100</v>
      </c>
      <c r="D93" s="13" t="s">
        <v>77</v>
      </c>
      <c r="E93" s="21" t="s">
        <v>75</v>
      </c>
      <c r="F93" s="21">
        <v>100</v>
      </c>
      <c r="G93" s="21" t="s">
        <v>80</v>
      </c>
      <c r="H93" s="21">
        <v>3</v>
      </c>
      <c r="I93" s="21">
        <v>272</v>
      </c>
      <c r="J93" s="21"/>
      <c r="K93" s="21"/>
      <c r="L93" s="16">
        <v>45195</v>
      </c>
      <c r="M93" s="22">
        <v>0.69305555555555554</v>
      </c>
      <c r="U93" s="23" t="str">
        <f t="shared" ca="1" si="6"/>
        <v/>
      </c>
      <c r="V93" s="23" t="str">
        <f t="shared" ca="1" si="7"/>
        <v/>
      </c>
    </row>
    <row r="94" spans="1:22" x14ac:dyDescent="0.25">
      <c r="A94" s="3" t="s">
        <v>60</v>
      </c>
      <c r="B94" s="13">
        <v>2250</v>
      </c>
      <c r="C94" s="13">
        <v>100</v>
      </c>
      <c r="D94" s="13" t="s">
        <v>77</v>
      </c>
      <c r="E94" s="21" t="s">
        <v>75</v>
      </c>
      <c r="F94" s="21">
        <v>100</v>
      </c>
      <c r="G94" s="21" t="s">
        <v>80</v>
      </c>
      <c r="H94" s="21">
        <v>3</v>
      </c>
      <c r="I94" s="21">
        <v>249</v>
      </c>
      <c r="J94" s="21"/>
      <c r="K94" s="21"/>
      <c r="L94" s="16">
        <v>45195</v>
      </c>
      <c r="M94" s="22">
        <v>0.71250000000000002</v>
      </c>
      <c r="U94" s="23" t="str">
        <f t="shared" ca="1" si="6"/>
        <v/>
      </c>
      <c r="V94" s="23" t="str">
        <f t="shared" ca="1" si="7"/>
        <v/>
      </c>
    </row>
    <row r="95" spans="1:22" x14ac:dyDescent="0.25">
      <c r="A95" s="3" t="s">
        <v>60</v>
      </c>
      <c r="B95" s="13">
        <v>2260</v>
      </c>
      <c r="C95" s="13">
        <v>100</v>
      </c>
      <c r="D95" s="13" t="s">
        <v>73</v>
      </c>
      <c r="E95" s="21" t="s">
        <v>42</v>
      </c>
      <c r="F95" s="21">
        <v>100</v>
      </c>
      <c r="G95" s="21" t="s">
        <v>80</v>
      </c>
      <c r="H95" s="21">
        <v>3</v>
      </c>
      <c r="I95" s="21">
        <v>246</v>
      </c>
      <c r="J95" s="21"/>
      <c r="K95" s="21"/>
      <c r="L95" s="16">
        <v>45195</v>
      </c>
      <c r="M95" s="22">
        <v>0.72916666666666663</v>
      </c>
      <c r="U95" s="23" t="str">
        <f t="shared" ca="1" si="6"/>
        <v/>
      </c>
      <c r="V95" s="23" t="str">
        <f t="shared" ca="1" si="7"/>
        <v/>
      </c>
    </row>
    <row r="96" spans="1:22" x14ac:dyDescent="0.25">
      <c r="A96" s="3" t="s">
        <v>60</v>
      </c>
      <c r="B96" s="13">
        <v>2270</v>
      </c>
      <c r="C96" s="13">
        <v>100</v>
      </c>
      <c r="D96" s="13" t="s">
        <v>77</v>
      </c>
      <c r="E96" s="21" t="s">
        <v>75</v>
      </c>
      <c r="F96" s="21">
        <v>100</v>
      </c>
      <c r="G96" s="21" t="s">
        <v>44</v>
      </c>
      <c r="H96" s="21">
        <v>3</v>
      </c>
      <c r="I96" s="21">
        <v>290</v>
      </c>
      <c r="J96" s="21"/>
      <c r="K96" s="21"/>
      <c r="L96" s="16">
        <v>45195</v>
      </c>
      <c r="M96" s="22">
        <v>0.74861111111111101</v>
      </c>
      <c r="U96" s="23" t="str">
        <f t="shared" ca="1" si="6"/>
        <v/>
      </c>
      <c r="V96" s="23" t="str">
        <f t="shared" ca="1" si="7"/>
        <v/>
      </c>
    </row>
    <row r="97" spans="1:22" x14ac:dyDescent="0.25">
      <c r="A97" s="3" t="s">
        <v>60</v>
      </c>
      <c r="B97" s="13">
        <v>2280</v>
      </c>
      <c r="C97" s="13">
        <v>100</v>
      </c>
      <c r="D97" s="13" t="s">
        <v>73</v>
      </c>
      <c r="E97" s="21" t="s">
        <v>42</v>
      </c>
      <c r="F97" s="21">
        <v>100</v>
      </c>
      <c r="G97" s="21" t="s">
        <v>44</v>
      </c>
      <c r="H97" s="21">
        <v>3</v>
      </c>
      <c r="I97" s="21">
        <v>253</v>
      </c>
      <c r="J97" s="21"/>
      <c r="K97" s="21"/>
      <c r="L97" s="16">
        <v>45195</v>
      </c>
      <c r="M97" s="22">
        <v>0.77083333333333337</v>
      </c>
      <c r="U97" s="23" t="str">
        <f t="shared" ca="1" si="6"/>
        <v/>
      </c>
      <c r="V97" s="23" t="str">
        <f t="shared" ca="1" si="7"/>
        <v/>
      </c>
    </row>
    <row r="98" spans="1:22" x14ac:dyDescent="0.25">
      <c r="A98" s="3" t="s">
        <v>60</v>
      </c>
      <c r="B98" s="13">
        <v>2290</v>
      </c>
      <c r="C98" s="13">
        <v>95</v>
      </c>
      <c r="D98" s="13" t="s">
        <v>73</v>
      </c>
      <c r="E98" s="21" t="str">
        <f>IF(ISNUMBER(SEARCH("v crs",D98))=TRUE,"VC",IF(ISNUMBER(SEARCH("crs",D98))=TRUE,"C",IF(ISNUMBER(SEARCH("med",D98))=TRUE,"M",IF(ISNUMBER(SEARCH("vf",D98))=TRUE,"VF",IF(ISNUMBER(SEARCH("f",D98))=TRUE,"F","")))))</f>
        <v>C</v>
      </c>
      <c r="F98" s="21">
        <v>100</v>
      </c>
      <c r="G98" s="21" t="s">
        <v>44</v>
      </c>
      <c r="H98" s="21">
        <v>3</v>
      </c>
      <c r="I98" s="21">
        <v>300</v>
      </c>
      <c r="J98" s="21"/>
      <c r="K98" s="21"/>
      <c r="L98" s="16">
        <v>45195</v>
      </c>
      <c r="M98" s="22">
        <v>0.78888888888888886</v>
      </c>
      <c r="U98" s="23" t="str">
        <f t="shared" ca="1" si="6"/>
        <v/>
      </c>
      <c r="V98" s="23" t="str">
        <f t="shared" ca="1" si="7"/>
        <v/>
      </c>
    </row>
    <row r="99" spans="1:22" x14ac:dyDescent="0.25">
      <c r="A99" s="3" t="s">
        <v>60</v>
      </c>
      <c r="B99" s="13">
        <v>2300</v>
      </c>
      <c r="C99" s="13">
        <v>90</v>
      </c>
      <c r="D99" s="13" t="s">
        <v>73</v>
      </c>
      <c r="E99" s="21" t="str">
        <f>IF(ISNUMBER(SEARCH("v crs",D99))=TRUE,"VC",IF(ISNUMBER(SEARCH("crs",D99))=TRUE,"C",IF(ISNUMBER(SEARCH("med",D99))=TRUE,"M",IF(ISNUMBER(SEARCH("vf",D99))=TRUE,"VF",IF(ISNUMBER(SEARCH("f",D99))=TRUE,"F","")))))</f>
        <v>C</v>
      </c>
      <c r="F99" s="21">
        <v>100</v>
      </c>
      <c r="G99" s="21" t="s">
        <v>43</v>
      </c>
      <c r="H99" s="21">
        <v>2</v>
      </c>
      <c r="I99" s="21">
        <v>303</v>
      </c>
      <c r="J99" s="21"/>
      <c r="K99" s="21"/>
      <c r="L99" s="16">
        <v>45195</v>
      </c>
      <c r="M99" s="22">
        <v>0.8041666666666667</v>
      </c>
      <c r="U99" s="23" t="str">
        <f t="shared" ca="1" si="6"/>
        <v/>
      </c>
      <c r="V99" s="23" t="str">
        <f t="shared" ca="1" si="7"/>
        <v/>
      </c>
    </row>
    <row r="100" spans="1:22" x14ac:dyDescent="0.25">
      <c r="A100" s="3" t="s">
        <v>60</v>
      </c>
      <c r="B100" s="13">
        <v>2310</v>
      </c>
      <c r="C100" s="13">
        <v>85</v>
      </c>
      <c r="D100" s="13" t="s">
        <v>73</v>
      </c>
      <c r="E100" s="21" t="str">
        <f>IF(ISNUMBER(SEARCH("v crs",D100))=TRUE,"VC",IF(ISNUMBER(SEARCH("crs",D100))=TRUE,"C",IF(ISNUMBER(SEARCH("med",D100))=TRUE,"M",IF(ISNUMBER(SEARCH("vf",D100))=TRUE,"VF",IF(ISNUMBER(SEARCH("f",D100))=TRUE,"F","")))))</f>
        <v>C</v>
      </c>
      <c r="F100" s="21">
        <v>100</v>
      </c>
      <c r="G100" s="21" t="s">
        <v>47</v>
      </c>
      <c r="H100" s="21">
        <v>2.5</v>
      </c>
      <c r="I100" s="21">
        <v>316</v>
      </c>
      <c r="J100" s="21"/>
      <c r="K100" s="21"/>
      <c r="L100" s="16">
        <v>45195</v>
      </c>
      <c r="M100" s="22">
        <v>0.82291666666666663</v>
      </c>
      <c r="U100" s="23" t="str">
        <f t="shared" ca="1" si="6"/>
        <v/>
      </c>
      <c r="V100" s="23" t="str">
        <f t="shared" ca="1" si="7"/>
        <v/>
      </c>
    </row>
    <row r="101" spans="1:22" x14ac:dyDescent="0.25">
      <c r="A101" s="3" t="s">
        <v>60</v>
      </c>
      <c r="B101" s="13">
        <v>2320</v>
      </c>
      <c r="C101" s="13">
        <v>95</v>
      </c>
      <c r="D101" s="13" t="s">
        <v>73</v>
      </c>
      <c r="E101" s="21" t="str">
        <f>IF(ISNUMBER(SEARCH("v crs",D101))=TRUE,"VC",IF(ISNUMBER(SEARCH("crs",D101))=TRUE,"C",IF(ISNUMBER(SEARCH("med",D101))=TRUE,"M",IF(ISNUMBER(SEARCH("vf",D101))=TRUE,"VF",IF(ISNUMBER(SEARCH("f",D101))=TRUE,"F","")))))</f>
        <v>C</v>
      </c>
      <c r="F101" s="21">
        <v>100</v>
      </c>
      <c r="G101" s="21" t="s">
        <v>47</v>
      </c>
      <c r="H101" s="21">
        <v>2.5</v>
      </c>
      <c r="I101" s="21">
        <v>265</v>
      </c>
      <c r="J101" s="21"/>
      <c r="K101" s="21"/>
      <c r="L101" s="16">
        <v>45195</v>
      </c>
      <c r="M101" s="22">
        <v>0.84166666666666667</v>
      </c>
      <c r="U101" s="23" t="str">
        <f t="shared" ca="1" si="6"/>
        <v/>
      </c>
      <c r="V101" s="23" t="str">
        <f t="shared" ca="1" si="7"/>
        <v/>
      </c>
    </row>
    <row r="102" spans="1:22" x14ac:dyDescent="0.25">
      <c r="A102" s="3" t="s">
        <v>60</v>
      </c>
      <c r="B102" s="13">
        <v>2330</v>
      </c>
      <c r="C102" s="13">
        <v>100</v>
      </c>
      <c r="D102" s="13" t="s">
        <v>77</v>
      </c>
      <c r="E102" s="21" t="s">
        <v>75</v>
      </c>
      <c r="F102" s="21">
        <v>100</v>
      </c>
      <c r="G102" s="21" t="s">
        <v>43</v>
      </c>
      <c r="H102" s="21">
        <v>2</v>
      </c>
      <c r="I102" s="21">
        <v>295</v>
      </c>
      <c r="J102" s="21"/>
      <c r="K102" s="21"/>
      <c r="L102" s="16">
        <v>45195</v>
      </c>
      <c r="M102" s="22">
        <v>0.85833333333333339</v>
      </c>
      <c r="U102" s="23" t="str">
        <f t="shared" ca="1" si="6"/>
        <v/>
      </c>
      <c r="V102" s="23" t="str">
        <f t="shared" ca="1" si="7"/>
        <v/>
      </c>
    </row>
    <row r="103" spans="1:22" x14ac:dyDescent="0.25">
      <c r="A103" s="3" t="s">
        <v>60</v>
      </c>
      <c r="B103" s="13">
        <v>2340</v>
      </c>
      <c r="C103" s="13">
        <v>100</v>
      </c>
      <c r="D103" s="13" t="s">
        <v>73</v>
      </c>
      <c r="E103" s="21" t="str">
        <f>IF(ISNUMBER(SEARCH("v crs",D103))=TRUE,"VC",IF(ISNUMBER(SEARCH("crs",D103))=TRUE,"C",IF(ISNUMBER(SEARCH("med",D103))=TRUE,"M",IF(ISNUMBER(SEARCH("vf",D103))=TRUE,"VF",IF(ISNUMBER(SEARCH("f",D103))=TRUE,"F","")))))</f>
        <v>C</v>
      </c>
      <c r="F103" s="21">
        <v>100</v>
      </c>
      <c r="G103" s="21" t="s">
        <v>43</v>
      </c>
      <c r="H103" s="21">
        <v>2</v>
      </c>
      <c r="I103" s="21">
        <v>234</v>
      </c>
      <c r="J103" s="21"/>
      <c r="K103" s="21"/>
      <c r="L103" s="16">
        <v>45195</v>
      </c>
      <c r="M103" s="22">
        <v>0.87638888888888899</v>
      </c>
      <c r="U103" s="23" t="str">
        <f t="shared" ca="1" si="6"/>
        <v/>
      </c>
      <c r="V103" s="23" t="str">
        <f t="shared" ca="1" si="7"/>
        <v/>
      </c>
    </row>
    <row r="104" spans="1:22" x14ac:dyDescent="0.25">
      <c r="A104" s="3" t="s">
        <v>60</v>
      </c>
      <c r="B104" s="13">
        <v>2350</v>
      </c>
      <c r="C104" s="13">
        <v>100</v>
      </c>
      <c r="D104" s="13" t="s">
        <v>73</v>
      </c>
      <c r="E104" s="21" t="str">
        <f>IF(ISNUMBER(SEARCH("v crs",D104))=TRUE,"VC",IF(ISNUMBER(SEARCH("crs",D104))=TRUE,"C",IF(ISNUMBER(SEARCH("med",D104))=TRUE,"M",IF(ISNUMBER(SEARCH("vf",D104))=TRUE,"VF",IF(ISNUMBER(SEARCH("f",D104))=TRUE,"F","")))))</f>
        <v>C</v>
      </c>
      <c r="F104" s="21">
        <v>100</v>
      </c>
      <c r="G104" s="21" t="s">
        <v>43</v>
      </c>
      <c r="H104" s="21">
        <v>2</v>
      </c>
      <c r="I104" s="21">
        <v>195</v>
      </c>
      <c r="J104" s="21"/>
      <c r="K104" s="21"/>
      <c r="L104" s="16">
        <v>45195</v>
      </c>
      <c r="M104" s="22">
        <v>0.89861111111111114</v>
      </c>
      <c r="U104" s="23" t="str">
        <f t="shared" ca="1" si="6"/>
        <v/>
      </c>
      <c r="V104" s="23" t="str">
        <f t="shared" ca="1" si="7"/>
        <v/>
      </c>
    </row>
    <row r="105" spans="1:22" x14ac:dyDescent="0.25">
      <c r="A105" s="3" t="s">
        <v>60</v>
      </c>
      <c r="B105" s="13">
        <v>2360</v>
      </c>
      <c r="C105" s="13">
        <v>100</v>
      </c>
      <c r="D105" s="13" t="s">
        <v>73</v>
      </c>
      <c r="E105" s="21" t="str">
        <f>IF(ISNUMBER(SEARCH("v crs",D105))=TRUE,"VC",IF(ISNUMBER(SEARCH("crs",D105))=TRUE,"C",IF(ISNUMBER(SEARCH("med",D105))=TRUE,"M",IF(ISNUMBER(SEARCH("vf",D105))=TRUE,"VF",IF(ISNUMBER(SEARCH("f",D105))=TRUE,"F","")))))</f>
        <v>C</v>
      </c>
      <c r="F105" s="21">
        <v>100</v>
      </c>
      <c r="G105" s="21" t="s">
        <v>43</v>
      </c>
      <c r="H105" s="21">
        <v>2</v>
      </c>
      <c r="I105" s="21">
        <v>210</v>
      </c>
      <c r="J105" s="21"/>
      <c r="K105" s="21"/>
      <c r="L105" s="16">
        <v>45195</v>
      </c>
      <c r="M105" s="22">
        <v>0.91249999999999998</v>
      </c>
      <c r="U105" s="23" t="str">
        <f t="shared" ca="1" si="6"/>
        <v/>
      </c>
      <c r="V105" s="23" t="str">
        <f t="shared" ca="1" si="7"/>
        <v/>
      </c>
    </row>
    <row r="106" spans="1:22" x14ac:dyDescent="0.25">
      <c r="A106" s="3" t="s">
        <v>60</v>
      </c>
      <c r="B106" s="13">
        <v>2370</v>
      </c>
      <c r="C106" s="13">
        <v>95</v>
      </c>
      <c r="D106" s="13" t="s">
        <v>81</v>
      </c>
      <c r="E106" s="21" t="str">
        <f>IF(ISNUMBER(SEARCH("v crs",D106))=TRUE,"VC",IF(ISNUMBER(SEARCH("crs",D106))=TRUE,"C",IF(ISNUMBER(SEARCH("med",D106))=TRUE,"M",IF(ISNUMBER(SEARCH("vf",D106))=TRUE,"VF",IF(ISNUMBER(SEARCH("f",D106))=TRUE,"F","")))))</f>
        <v>C</v>
      </c>
      <c r="F106" s="21">
        <v>100</v>
      </c>
      <c r="G106" s="21" t="s">
        <v>82</v>
      </c>
      <c r="H106" s="21">
        <v>1.5</v>
      </c>
      <c r="I106" s="21">
        <v>184</v>
      </c>
      <c r="J106" s="21"/>
      <c r="K106" s="21"/>
      <c r="L106" s="16">
        <v>45195</v>
      </c>
      <c r="M106" s="22">
        <v>0.93472222222222223</v>
      </c>
      <c r="U106" s="23" t="str">
        <f t="shared" ca="1" si="6"/>
        <v/>
      </c>
      <c r="V106" s="23" t="str">
        <f t="shared" ca="1" si="7"/>
        <v/>
      </c>
    </row>
    <row r="107" spans="1:22" x14ac:dyDescent="0.25">
      <c r="A107" s="3" t="s">
        <v>60</v>
      </c>
      <c r="B107" s="13">
        <v>2380</v>
      </c>
      <c r="C107" s="13">
        <v>90</v>
      </c>
      <c r="D107" s="13" t="s">
        <v>81</v>
      </c>
      <c r="E107" s="21" t="str">
        <f>IF(ISNUMBER(SEARCH("v crs",D107))=TRUE,"VC",IF(ISNUMBER(SEARCH("crs",D107))=TRUE,"C",IF(ISNUMBER(SEARCH("med",D107))=TRUE,"M",IF(ISNUMBER(SEARCH("vf",D107))=TRUE,"VF",IF(ISNUMBER(SEARCH("f",D107))=TRUE,"F","")))))</f>
        <v>C</v>
      </c>
      <c r="F107" s="21">
        <v>100</v>
      </c>
      <c r="G107" s="21" t="s">
        <v>82</v>
      </c>
      <c r="H107" s="21">
        <v>1.5</v>
      </c>
      <c r="I107" s="21">
        <v>193</v>
      </c>
      <c r="J107" s="21"/>
      <c r="K107" s="21"/>
      <c r="L107" s="16">
        <v>45195</v>
      </c>
      <c r="M107" s="22">
        <v>0.94861111111111107</v>
      </c>
      <c r="U107" s="23" t="str">
        <f t="shared" ca="1" si="6"/>
        <v/>
      </c>
      <c r="V107" s="23" t="str">
        <f t="shared" ca="1" si="7"/>
        <v/>
      </c>
    </row>
    <row r="108" spans="1:22" x14ac:dyDescent="0.25">
      <c r="A108" s="3" t="s">
        <v>60</v>
      </c>
      <c r="B108" s="13">
        <v>2390</v>
      </c>
      <c r="C108" s="13">
        <v>80</v>
      </c>
      <c r="D108" s="13" t="s">
        <v>13</v>
      </c>
      <c r="E108" s="21" t="s">
        <v>14</v>
      </c>
      <c r="F108" s="21">
        <v>90</v>
      </c>
      <c r="G108" s="21" t="s">
        <v>48</v>
      </c>
      <c r="H108" s="21">
        <v>1</v>
      </c>
      <c r="I108" s="21">
        <v>174</v>
      </c>
      <c r="J108" s="21"/>
      <c r="K108" s="21"/>
      <c r="L108" s="16">
        <v>45195</v>
      </c>
      <c r="M108" s="22">
        <v>0.97083333333333333</v>
      </c>
      <c r="U108" s="23" t="str">
        <f t="shared" ca="1" si="6"/>
        <v/>
      </c>
      <c r="V108" s="23" t="str">
        <f t="shared" ca="1" si="7"/>
        <v/>
      </c>
    </row>
    <row r="109" spans="1:22" x14ac:dyDescent="0.25">
      <c r="A109" s="3" t="s">
        <v>60</v>
      </c>
      <c r="B109" s="13">
        <v>2400</v>
      </c>
      <c r="C109" s="13">
        <v>80</v>
      </c>
      <c r="D109" s="13" t="s">
        <v>13</v>
      </c>
      <c r="E109" s="21" t="s">
        <v>14</v>
      </c>
      <c r="F109" s="21">
        <v>100</v>
      </c>
      <c r="G109" s="21" t="s">
        <v>48</v>
      </c>
      <c r="H109" s="21">
        <v>1</v>
      </c>
      <c r="I109" s="21">
        <v>160</v>
      </c>
      <c r="J109" s="21"/>
      <c r="K109" s="21"/>
      <c r="L109" s="16">
        <v>45195</v>
      </c>
      <c r="M109" s="22">
        <v>0.9916666666666667</v>
      </c>
      <c r="U109" s="23" t="str">
        <f t="shared" ca="1" si="6"/>
        <v/>
      </c>
      <c r="V109" s="23" t="str">
        <f t="shared" ca="1" si="7"/>
        <v/>
      </c>
    </row>
    <row r="110" spans="1:22" x14ac:dyDescent="0.25">
      <c r="A110" s="3" t="s">
        <v>60</v>
      </c>
      <c r="B110" s="13">
        <v>2410</v>
      </c>
      <c r="C110" s="13">
        <v>80</v>
      </c>
      <c r="D110" s="13" t="s">
        <v>13</v>
      </c>
      <c r="E110" s="21" t="s">
        <v>14</v>
      </c>
      <c r="F110" s="21">
        <v>100</v>
      </c>
      <c r="G110" s="21" t="s">
        <v>48</v>
      </c>
      <c r="H110" s="21">
        <v>1</v>
      </c>
      <c r="I110" s="21">
        <v>172</v>
      </c>
      <c r="J110" s="21"/>
      <c r="K110" s="21"/>
      <c r="L110" s="16">
        <v>45196</v>
      </c>
      <c r="M110" s="22">
        <v>8.3333333333333332E-3</v>
      </c>
      <c r="U110" s="23" t="str">
        <f t="shared" ca="1" si="6"/>
        <v/>
      </c>
      <c r="V110" s="23" t="str">
        <f t="shared" ca="1" si="7"/>
        <v/>
      </c>
    </row>
    <row r="111" spans="1:22" x14ac:dyDescent="0.25">
      <c r="A111" s="3" t="s">
        <v>60</v>
      </c>
      <c r="B111" s="13">
        <v>2420</v>
      </c>
      <c r="C111" s="13">
        <v>85</v>
      </c>
      <c r="D111" s="13" t="s">
        <v>13</v>
      </c>
      <c r="E111" s="21" t="s">
        <v>14</v>
      </c>
      <c r="F111" s="21">
        <v>100</v>
      </c>
      <c r="G111" s="21" t="s">
        <v>48</v>
      </c>
      <c r="H111" s="21">
        <v>1</v>
      </c>
      <c r="I111" s="21">
        <v>169</v>
      </c>
      <c r="J111" s="21"/>
      <c r="K111" s="21"/>
      <c r="L111" s="16">
        <v>45196</v>
      </c>
      <c r="M111" s="22">
        <v>3.2638888888888891E-2</v>
      </c>
      <c r="U111" s="23" t="str">
        <f t="shared" ca="1" si="6"/>
        <v/>
      </c>
      <c r="V111" s="23" t="str">
        <f t="shared" ca="1" si="7"/>
        <v/>
      </c>
    </row>
    <row r="112" spans="1:22" x14ac:dyDescent="0.25">
      <c r="A112" s="3" t="s">
        <v>60</v>
      </c>
      <c r="B112" s="13">
        <v>2430</v>
      </c>
      <c r="C112" s="13">
        <v>90</v>
      </c>
      <c r="D112" s="13" t="s">
        <v>13</v>
      </c>
      <c r="E112" s="21" t="s">
        <v>14</v>
      </c>
      <c r="F112" s="21">
        <v>100</v>
      </c>
      <c r="G112" s="21" t="s">
        <v>82</v>
      </c>
      <c r="H112" s="21">
        <v>1.5</v>
      </c>
      <c r="I112" s="21">
        <v>191</v>
      </c>
      <c r="J112" s="21"/>
      <c r="K112" s="21"/>
      <c r="L112" s="16">
        <v>45196</v>
      </c>
      <c r="M112" s="22">
        <v>5.2777777777777778E-2</v>
      </c>
      <c r="U112" s="23" t="str">
        <f t="shared" ca="1" si="6"/>
        <v/>
      </c>
      <c r="V112" s="23" t="str">
        <f t="shared" ca="1" si="7"/>
        <v/>
      </c>
    </row>
    <row r="113" spans="1:22" x14ac:dyDescent="0.25">
      <c r="A113" s="3" t="s">
        <v>60</v>
      </c>
      <c r="B113" s="13">
        <v>2440</v>
      </c>
      <c r="C113" s="13">
        <v>95</v>
      </c>
      <c r="D113" s="13" t="s">
        <v>13</v>
      </c>
      <c r="E113" s="21" t="s">
        <v>14</v>
      </c>
      <c r="F113" s="21">
        <v>100</v>
      </c>
      <c r="G113" s="21" t="s">
        <v>82</v>
      </c>
      <c r="H113" s="21">
        <v>1.5</v>
      </c>
      <c r="I113" s="21">
        <v>205</v>
      </c>
      <c r="J113" s="21"/>
      <c r="K113" s="21"/>
      <c r="L113" s="16">
        <v>45196</v>
      </c>
      <c r="M113" s="22">
        <v>7.1527777777777787E-2</v>
      </c>
      <c r="U113" s="23" t="str">
        <f t="shared" ca="1" si="6"/>
        <v/>
      </c>
      <c r="V113" s="23" t="str">
        <f t="shared" ca="1" si="7"/>
        <v/>
      </c>
    </row>
    <row r="114" spans="1:22" x14ac:dyDescent="0.25">
      <c r="A114" s="3" t="s">
        <v>60</v>
      </c>
      <c r="B114" s="13">
        <v>2450</v>
      </c>
      <c r="C114" s="13">
        <v>95</v>
      </c>
      <c r="D114" s="13" t="s">
        <v>97</v>
      </c>
      <c r="E114" s="21" t="str">
        <f>IF(ISNUMBER(SEARCH("v crs",D114))=TRUE,"VC",IF(ISNUMBER(SEARCH("crs",D114))=TRUE,"C",IF(ISNUMBER(SEARCH("med",D114))=TRUE,"M",IF(ISNUMBER(SEARCH("vf",D114))=TRUE,"VF",IF(ISNUMBER(SEARCH("f",D114))=TRUE,"F","")))))</f>
        <v>M</v>
      </c>
      <c r="F114" s="21">
        <v>100</v>
      </c>
      <c r="G114" s="21" t="s">
        <v>82</v>
      </c>
      <c r="H114" s="21">
        <v>1.5</v>
      </c>
      <c r="I114" s="21">
        <v>169</v>
      </c>
      <c r="J114" s="21"/>
      <c r="K114" s="21"/>
      <c r="L114" s="16">
        <v>45196</v>
      </c>
      <c r="M114" s="22">
        <v>9.0277777777777776E-2</v>
      </c>
      <c r="U114" s="23" t="str">
        <f t="shared" ca="1" si="6"/>
        <v/>
      </c>
      <c r="V114" s="23" t="str">
        <f t="shared" ca="1" si="7"/>
        <v/>
      </c>
    </row>
    <row r="115" spans="1:22" x14ac:dyDescent="0.25">
      <c r="A115" s="3" t="s">
        <v>60</v>
      </c>
      <c r="B115" s="13">
        <v>2460</v>
      </c>
      <c r="C115" s="13">
        <v>95</v>
      </c>
      <c r="D115" s="13" t="s">
        <v>13</v>
      </c>
      <c r="E115" s="21" t="s">
        <v>14</v>
      </c>
      <c r="F115" s="21">
        <v>100</v>
      </c>
      <c r="G115" s="21" t="s">
        <v>82</v>
      </c>
      <c r="H115" s="21">
        <v>1.5</v>
      </c>
      <c r="I115" s="21">
        <v>176</v>
      </c>
      <c r="J115" s="21"/>
      <c r="K115" s="21"/>
      <c r="L115" s="16">
        <v>45196</v>
      </c>
      <c r="M115" s="22">
        <v>0.1125</v>
      </c>
      <c r="U115" s="23" t="str">
        <f t="shared" ca="1" si="6"/>
        <v/>
      </c>
      <c r="V115" s="23" t="str">
        <f t="shared" ca="1" si="7"/>
        <v/>
      </c>
    </row>
    <row r="116" spans="1:22" x14ac:dyDescent="0.25">
      <c r="A116" s="3" t="s">
        <v>60</v>
      </c>
      <c r="B116" s="13">
        <v>2470</v>
      </c>
      <c r="C116" s="13">
        <v>90</v>
      </c>
      <c r="D116" s="13" t="s">
        <v>13</v>
      </c>
      <c r="E116" s="21" t="s">
        <v>14</v>
      </c>
      <c r="F116" s="21">
        <v>90</v>
      </c>
      <c r="G116" s="21" t="s">
        <v>82</v>
      </c>
      <c r="H116" s="21">
        <v>1.5</v>
      </c>
      <c r="I116" s="21">
        <v>181</v>
      </c>
      <c r="J116" s="21"/>
      <c r="K116" s="21"/>
      <c r="L116" s="16">
        <v>45196</v>
      </c>
      <c r="M116" s="22">
        <v>0.13194444444444445</v>
      </c>
      <c r="U116" s="23" t="str">
        <f t="shared" ca="1" si="6"/>
        <v/>
      </c>
      <c r="V116" s="23" t="str">
        <f t="shared" ca="1" si="7"/>
        <v/>
      </c>
    </row>
    <row r="117" spans="1:22" x14ac:dyDescent="0.25">
      <c r="A117" s="3" t="s">
        <v>60</v>
      </c>
      <c r="B117" s="13">
        <v>2480</v>
      </c>
      <c r="C117" s="13">
        <v>60</v>
      </c>
      <c r="D117" s="13" t="s">
        <v>61</v>
      </c>
      <c r="E117" s="21" t="str">
        <f>IF(ISNUMBER(SEARCH("v crs",D117))=TRUE,"VC",IF(ISNUMBER(SEARCH("crs",D117))=TRUE,"C",IF(ISNUMBER(SEARCH("med",D117))=TRUE,"M",IF(ISNUMBER(SEARCH("vf",D117))=TRUE,"VF",IF(ISNUMBER(SEARCH("f",D117))=TRUE,"F","")))))</f>
        <v>VF</v>
      </c>
      <c r="F117" s="21">
        <v>90</v>
      </c>
      <c r="G117" s="21" t="s">
        <v>48</v>
      </c>
      <c r="H117" s="21">
        <v>1</v>
      </c>
      <c r="I117" s="21">
        <v>209</v>
      </c>
      <c r="J117" s="21"/>
      <c r="K117" s="21"/>
      <c r="L117" s="16">
        <v>45196</v>
      </c>
      <c r="M117" s="22">
        <v>0.15347222222222223</v>
      </c>
      <c r="U117" s="23" t="str">
        <f t="shared" ca="1" si="6"/>
        <v/>
      </c>
      <c r="V117" s="23" t="str">
        <f t="shared" ca="1" si="7"/>
        <v/>
      </c>
    </row>
    <row r="118" spans="1:22" x14ac:dyDescent="0.25">
      <c r="A118" s="3" t="s">
        <v>60</v>
      </c>
      <c r="B118" s="13">
        <v>2490</v>
      </c>
      <c r="C118" s="13">
        <v>85</v>
      </c>
      <c r="D118" s="13" t="s">
        <v>13</v>
      </c>
      <c r="E118" s="21" t="s">
        <v>14</v>
      </c>
      <c r="F118" s="21">
        <v>90</v>
      </c>
      <c r="G118" s="21" t="s">
        <v>82</v>
      </c>
      <c r="H118" s="21">
        <v>1.5</v>
      </c>
      <c r="I118" s="21">
        <v>214</v>
      </c>
      <c r="J118" s="21"/>
      <c r="K118" s="21"/>
      <c r="L118" s="16">
        <v>45196</v>
      </c>
      <c r="M118" s="22">
        <v>0.17083333333333331</v>
      </c>
      <c r="U118" s="23" t="str">
        <f t="shared" ca="1" si="6"/>
        <v/>
      </c>
      <c r="V118" s="23" t="str">
        <f t="shared" ca="1" si="7"/>
        <v/>
      </c>
    </row>
    <row r="119" spans="1:22" x14ac:dyDescent="0.25">
      <c r="A119" s="3" t="s">
        <v>60</v>
      </c>
      <c r="B119" s="13">
        <v>2500</v>
      </c>
      <c r="C119" s="13">
        <v>90</v>
      </c>
      <c r="D119" s="13" t="s">
        <v>97</v>
      </c>
      <c r="E119" s="21" t="str">
        <f>IF(ISNUMBER(SEARCH("v crs",D119))=TRUE,"VC",IF(ISNUMBER(SEARCH("crs",D119))=TRUE,"C",IF(ISNUMBER(SEARCH("med",D119))=TRUE,"M",IF(ISNUMBER(SEARCH("vf",D119))=TRUE,"VF",IF(ISNUMBER(SEARCH("f",D119))=TRUE,"F","")))))</f>
        <v>M</v>
      </c>
      <c r="F119" s="21">
        <v>90</v>
      </c>
      <c r="G119" s="21" t="s">
        <v>82</v>
      </c>
      <c r="H119" s="21">
        <v>1.5</v>
      </c>
      <c r="I119" s="21">
        <v>191</v>
      </c>
      <c r="J119" s="21"/>
      <c r="K119" s="21"/>
      <c r="L119" s="16">
        <v>45196</v>
      </c>
      <c r="M119" s="22">
        <v>0.19027777777777777</v>
      </c>
      <c r="U119" s="23" t="str">
        <f t="shared" ca="1" si="6"/>
        <v/>
      </c>
      <c r="V119" s="23" t="str">
        <f t="shared" ca="1" si="7"/>
        <v/>
      </c>
    </row>
    <row r="120" spans="1:22" x14ac:dyDescent="0.25">
      <c r="A120" s="3" t="s">
        <v>60</v>
      </c>
      <c r="B120" s="13">
        <v>2510</v>
      </c>
      <c r="C120" s="13">
        <v>70</v>
      </c>
      <c r="D120" s="13" t="s">
        <v>98</v>
      </c>
      <c r="E120" s="21" t="s">
        <v>14</v>
      </c>
      <c r="F120" s="21">
        <v>100</v>
      </c>
      <c r="G120" s="21" t="s">
        <v>82</v>
      </c>
      <c r="H120" s="21">
        <v>1.5</v>
      </c>
      <c r="I120" s="21">
        <v>157</v>
      </c>
      <c r="J120" s="21"/>
      <c r="K120" s="21"/>
      <c r="L120" s="16">
        <v>45196</v>
      </c>
      <c r="M120" s="22">
        <v>0.21249999999999999</v>
      </c>
      <c r="U120" s="23" t="str">
        <f t="shared" ca="1" si="6"/>
        <v/>
      </c>
      <c r="V120" s="23" t="str">
        <f t="shared" ca="1" si="7"/>
        <v/>
      </c>
    </row>
    <row r="121" spans="1:22" x14ac:dyDescent="0.25">
      <c r="A121" s="3" t="s">
        <v>60</v>
      </c>
      <c r="B121" s="13">
        <v>2520</v>
      </c>
      <c r="C121" s="13">
        <v>80</v>
      </c>
      <c r="D121" s="13" t="s">
        <v>13</v>
      </c>
      <c r="E121" s="21" t="s">
        <v>14</v>
      </c>
      <c r="F121" s="21">
        <v>100</v>
      </c>
      <c r="G121" s="21" t="s">
        <v>82</v>
      </c>
      <c r="H121" s="21">
        <v>1.5</v>
      </c>
      <c r="I121" s="21">
        <v>185</v>
      </c>
      <c r="J121" s="21"/>
      <c r="K121" s="21"/>
      <c r="L121" s="16">
        <v>45196</v>
      </c>
      <c r="M121" s="22">
        <v>0.23611111111111113</v>
      </c>
      <c r="U121" s="23" t="str">
        <f t="shared" ca="1" si="6"/>
        <v/>
      </c>
      <c r="V121" s="23" t="str">
        <f t="shared" ca="1" si="7"/>
        <v/>
      </c>
    </row>
    <row r="122" spans="1:22" x14ac:dyDescent="0.25">
      <c r="A122" s="3" t="s">
        <v>60</v>
      </c>
      <c r="B122" s="13">
        <v>2530</v>
      </c>
      <c r="C122" s="13">
        <v>85</v>
      </c>
      <c r="D122" s="13" t="s">
        <v>81</v>
      </c>
      <c r="E122" s="21" t="str">
        <f>IF(ISNUMBER(SEARCH("v crs",D122))=TRUE,"VC",IF(ISNUMBER(SEARCH("crs",D122))=TRUE,"C",IF(ISNUMBER(SEARCH("med",D122))=TRUE,"M",IF(ISNUMBER(SEARCH("vf",D122))=TRUE,"VF",IF(ISNUMBER(SEARCH("f",D122))=TRUE,"F","")))))</f>
        <v>C</v>
      </c>
      <c r="F122" s="21">
        <v>100</v>
      </c>
      <c r="G122" s="21" t="s">
        <v>82</v>
      </c>
      <c r="H122" s="21">
        <v>1.5</v>
      </c>
      <c r="I122" s="21">
        <v>210</v>
      </c>
      <c r="J122" s="21"/>
      <c r="K122" s="21"/>
      <c r="L122" s="16">
        <v>45196</v>
      </c>
      <c r="M122" s="22">
        <v>0.25416666666666665</v>
      </c>
      <c r="U122" s="23" t="str">
        <f t="shared" ca="1" si="6"/>
        <v/>
      </c>
      <c r="V122" s="23" t="str">
        <f t="shared" ca="1" si="7"/>
        <v/>
      </c>
    </row>
    <row r="123" spans="1:22" x14ac:dyDescent="0.25">
      <c r="A123" s="3" t="s">
        <v>60</v>
      </c>
      <c r="B123" s="13">
        <v>2540</v>
      </c>
      <c r="C123" s="13">
        <v>80</v>
      </c>
      <c r="D123" s="13" t="s">
        <v>66</v>
      </c>
      <c r="E123" s="21" t="s">
        <v>78</v>
      </c>
      <c r="F123" s="21">
        <v>100</v>
      </c>
      <c r="G123" s="21" t="s">
        <v>43</v>
      </c>
      <c r="H123" s="21">
        <v>2.5</v>
      </c>
      <c r="I123" s="21">
        <v>170</v>
      </c>
      <c r="J123" s="21"/>
      <c r="K123" s="21"/>
      <c r="L123" s="16">
        <v>45196</v>
      </c>
      <c r="M123" s="22">
        <v>0.27916666666666667</v>
      </c>
      <c r="U123" s="23" t="str">
        <f t="shared" ca="1" si="6"/>
        <v/>
      </c>
      <c r="V123" s="23" t="str">
        <f t="shared" ca="1" si="7"/>
        <v/>
      </c>
    </row>
    <row r="124" spans="1:22" x14ac:dyDescent="0.25">
      <c r="A124" s="3" t="s">
        <v>60</v>
      </c>
      <c r="B124" s="13">
        <v>2550</v>
      </c>
      <c r="C124" s="13">
        <v>70</v>
      </c>
      <c r="D124" s="13" t="s">
        <v>66</v>
      </c>
      <c r="E124" s="21" t="s">
        <v>78</v>
      </c>
      <c r="F124" s="21">
        <v>80</v>
      </c>
      <c r="G124" s="21" t="s">
        <v>43</v>
      </c>
      <c r="H124" s="21">
        <v>2.5</v>
      </c>
      <c r="I124" s="21">
        <v>161</v>
      </c>
      <c r="J124" s="21"/>
      <c r="K124" s="21" t="s">
        <v>35</v>
      </c>
      <c r="L124" s="16">
        <v>45196</v>
      </c>
      <c r="M124" s="22">
        <v>0.2951388888888889</v>
      </c>
      <c r="U124" s="23" t="str">
        <f t="shared" ca="1" si="6"/>
        <v/>
      </c>
      <c r="V124" s="23" t="str">
        <f t="shared" ca="1" si="7"/>
        <v/>
      </c>
    </row>
    <row r="125" spans="1:22" x14ac:dyDescent="0.25">
      <c r="A125" s="3" t="s">
        <v>60</v>
      </c>
      <c r="B125" s="13">
        <v>2560</v>
      </c>
      <c r="C125" s="13">
        <v>90</v>
      </c>
      <c r="D125" s="13" t="s">
        <v>84</v>
      </c>
      <c r="E125" s="21" t="s">
        <v>78</v>
      </c>
      <c r="F125" s="21">
        <v>80</v>
      </c>
      <c r="G125" s="21" t="s">
        <v>63</v>
      </c>
      <c r="H125" s="21">
        <v>2.5</v>
      </c>
      <c r="I125" s="21">
        <v>160</v>
      </c>
      <c r="J125" s="21"/>
      <c r="K125" s="21"/>
      <c r="L125" s="16">
        <v>45196</v>
      </c>
      <c r="M125" s="22">
        <v>0.31944444444444448</v>
      </c>
      <c r="U125" s="23" t="str">
        <f t="shared" ca="1" si="6"/>
        <v/>
      </c>
      <c r="V125" s="23" t="str">
        <f t="shared" ca="1" si="7"/>
        <v/>
      </c>
    </row>
    <row r="126" spans="1:22" x14ac:dyDescent="0.25">
      <c r="A126" s="3" t="s">
        <v>60</v>
      </c>
      <c r="B126" s="13">
        <v>2570</v>
      </c>
      <c r="C126" s="13">
        <v>100</v>
      </c>
      <c r="D126" s="13" t="s">
        <v>99</v>
      </c>
      <c r="E126" s="21" t="s">
        <v>42</v>
      </c>
      <c r="F126" s="21">
        <v>100</v>
      </c>
      <c r="G126" s="21" t="s">
        <v>63</v>
      </c>
      <c r="H126" s="21">
        <v>2.5</v>
      </c>
      <c r="I126" s="21">
        <v>190</v>
      </c>
      <c r="J126" s="21"/>
      <c r="K126" s="21"/>
      <c r="L126" s="16">
        <v>45196</v>
      </c>
      <c r="M126" s="22">
        <v>0.33333333333333331</v>
      </c>
      <c r="U126" s="23" t="str">
        <f t="shared" ca="1" si="6"/>
        <v/>
      </c>
      <c r="V126" s="23" t="str">
        <f t="shared" ca="1" si="7"/>
        <v/>
      </c>
    </row>
    <row r="127" spans="1:22" x14ac:dyDescent="0.25">
      <c r="A127" s="3" t="s">
        <v>60</v>
      </c>
      <c r="B127" s="13">
        <v>2580</v>
      </c>
      <c r="C127" s="13">
        <v>95</v>
      </c>
      <c r="D127" s="13" t="s">
        <v>100</v>
      </c>
      <c r="E127" s="21" t="s">
        <v>78</v>
      </c>
      <c r="F127" s="21">
        <v>100</v>
      </c>
      <c r="G127" s="21" t="s">
        <v>63</v>
      </c>
      <c r="H127" s="21">
        <v>2.5</v>
      </c>
      <c r="I127" s="21">
        <v>184</v>
      </c>
      <c r="J127" s="21"/>
      <c r="K127" s="21"/>
      <c r="L127" s="16">
        <v>45196</v>
      </c>
      <c r="M127" s="22">
        <v>0.3576388888888889</v>
      </c>
      <c r="U127" s="23" t="str">
        <f t="shared" ca="1" si="6"/>
        <v/>
      </c>
      <c r="V127" s="23" t="str">
        <f t="shared" ca="1" si="7"/>
        <v/>
      </c>
    </row>
    <row r="128" spans="1:22" x14ac:dyDescent="0.25">
      <c r="A128" s="3" t="s">
        <v>60</v>
      </c>
      <c r="B128" s="13">
        <v>2590</v>
      </c>
      <c r="C128" s="13">
        <v>100</v>
      </c>
      <c r="D128" s="13" t="s">
        <v>101</v>
      </c>
      <c r="E128" s="21" t="s">
        <v>78</v>
      </c>
      <c r="F128" s="21">
        <v>100</v>
      </c>
      <c r="G128" s="21" t="s">
        <v>63</v>
      </c>
      <c r="H128" s="21">
        <v>2.5</v>
      </c>
      <c r="I128" s="21">
        <v>185</v>
      </c>
      <c r="J128" s="21"/>
      <c r="K128" s="21"/>
      <c r="L128" s="16">
        <v>45196</v>
      </c>
      <c r="M128" s="22">
        <v>0.37152777777777773</v>
      </c>
      <c r="U128" s="23" t="str">
        <f t="shared" ca="1" si="6"/>
        <v/>
      </c>
      <c r="V128" s="23" t="str">
        <f t="shared" ca="1" si="7"/>
        <v/>
      </c>
    </row>
    <row r="129" spans="1:22" x14ac:dyDescent="0.25">
      <c r="A129" s="3" t="s">
        <v>60</v>
      </c>
      <c r="B129" s="13">
        <v>2600</v>
      </c>
      <c r="C129" s="13">
        <v>100</v>
      </c>
      <c r="D129" s="13" t="s">
        <v>66</v>
      </c>
      <c r="E129" s="21" t="s">
        <v>78</v>
      </c>
      <c r="F129" s="21">
        <v>100</v>
      </c>
      <c r="G129" s="21" t="s">
        <v>63</v>
      </c>
      <c r="H129" s="21">
        <v>2.5</v>
      </c>
      <c r="I129" s="21">
        <v>175</v>
      </c>
      <c r="J129" s="21"/>
      <c r="K129" s="21"/>
      <c r="L129" s="16">
        <v>45196</v>
      </c>
      <c r="M129" s="22">
        <v>0.38541666666666669</v>
      </c>
      <c r="U129" s="23" t="str">
        <f t="shared" ca="1" si="6"/>
        <v/>
      </c>
      <c r="V129" s="23" t="str">
        <f t="shared" ca="1" si="7"/>
        <v/>
      </c>
    </row>
    <row r="130" spans="1:22" x14ac:dyDescent="0.25">
      <c r="A130" s="3" t="s">
        <v>60</v>
      </c>
      <c r="B130" s="13">
        <v>2610</v>
      </c>
      <c r="C130" s="13">
        <v>90</v>
      </c>
      <c r="D130" s="13" t="s">
        <v>66</v>
      </c>
      <c r="E130" s="21" t="s">
        <v>78</v>
      </c>
      <c r="F130" s="21">
        <v>80</v>
      </c>
      <c r="G130" s="21" t="s">
        <v>82</v>
      </c>
      <c r="H130" s="21">
        <v>1.5</v>
      </c>
      <c r="I130" s="21">
        <v>151</v>
      </c>
      <c r="J130" s="21"/>
      <c r="K130" s="21"/>
      <c r="L130" s="16">
        <v>45196</v>
      </c>
      <c r="M130" s="22">
        <v>0.41111111111111115</v>
      </c>
      <c r="U130" s="23" t="str">
        <f t="shared" ca="1" si="6"/>
        <v/>
      </c>
      <c r="V130" s="23" t="str">
        <f t="shared" ca="1" si="7"/>
        <v/>
      </c>
    </row>
    <row r="131" spans="1:22" x14ac:dyDescent="0.25">
      <c r="A131" s="3" t="s">
        <v>60</v>
      </c>
      <c r="B131" s="13">
        <v>2620</v>
      </c>
      <c r="C131" s="13">
        <v>80</v>
      </c>
      <c r="D131" s="13" t="s">
        <v>66</v>
      </c>
      <c r="E131" s="21" t="s">
        <v>78</v>
      </c>
      <c r="F131" s="21">
        <v>70</v>
      </c>
      <c r="G131" s="21" t="s">
        <v>63</v>
      </c>
      <c r="H131" s="21">
        <v>2.5</v>
      </c>
      <c r="I131" s="21">
        <v>150</v>
      </c>
      <c r="J131" s="21"/>
      <c r="K131" s="21"/>
      <c r="L131" s="16">
        <v>45196</v>
      </c>
      <c r="M131" s="22">
        <v>0.44097222222222227</v>
      </c>
      <c r="U131" s="23" t="str">
        <f t="shared" ca="1" si="6"/>
        <v/>
      </c>
      <c r="V131" s="23" t="str">
        <f t="shared" ca="1" si="7"/>
        <v/>
      </c>
    </row>
    <row r="132" spans="1:22" x14ac:dyDescent="0.25">
      <c r="A132" s="3" t="s">
        <v>60</v>
      </c>
      <c r="B132" s="13">
        <v>2630</v>
      </c>
      <c r="C132" s="13">
        <v>90</v>
      </c>
      <c r="D132" s="13" t="s">
        <v>66</v>
      </c>
      <c r="E132" s="21" t="str">
        <f>IF(ISNUMBER(SEARCH("v crs",D132))=TRUE,"VC",IF(ISNUMBER(SEARCH("crs",D132))=TRUE,"C",IF(ISNUMBER(SEARCH("med",D132))=TRUE,"M",IF(ISNUMBER(SEARCH("vf",D132))=TRUE,"VF",IF(ISNUMBER(SEARCH("f",D132))=TRUE,"F","")))))</f>
        <v>M</v>
      </c>
      <c r="F132" s="21">
        <v>80</v>
      </c>
      <c r="G132" s="21" t="s">
        <v>63</v>
      </c>
      <c r="H132" s="21">
        <v>2.5</v>
      </c>
      <c r="I132" s="21">
        <v>157</v>
      </c>
      <c r="J132" s="21"/>
      <c r="K132" s="21"/>
      <c r="L132" s="16">
        <v>45196</v>
      </c>
      <c r="M132" s="22">
        <v>0.46111111111111108</v>
      </c>
      <c r="U132" s="23" t="str">
        <f t="shared" ref="U132:U195" ca="1" si="8">IF(C132="","",IF(OR(L132="",AND(ISNUMBER(U132),C132=U132)),U132,C132))</f>
        <v/>
      </c>
      <c r="V132" s="23" t="str">
        <f t="shared" ref="V132:V195" ca="1" si="9">IF(C132="","",IF(OR(M132="",AND(ISNUMBER(V132),C132=V132)),V132,C132))</f>
        <v/>
      </c>
    </row>
    <row r="133" spans="1:22" x14ac:dyDescent="0.25">
      <c r="A133" s="3" t="s">
        <v>60</v>
      </c>
      <c r="B133" s="13">
        <v>2640</v>
      </c>
      <c r="C133" s="13">
        <v>95</v>
      </c>
      <c r="D133" s="13" t="s">
        <v>66</v>
      </c>
      <c r="E133" s="21" t="str">
        <f>IF(ISNUMBER(SEARCH("v crs",D133))=TRUE,"VC",IF(ISNUMBER(SEARCH("crs",D133))=TRUE,"C",IF(ISNUMBER(SEARCH("med",D133))=TRUE,"M",IF(ISNUMBER(SEARCH("vf",D133))=TRUE,"VF",IF(ISNUMBER(SEARCH("f",D133))=TRUE,"F","")))))</f>
        <v>M</v>
      </c>
      <c r="F133" s="21">
        <v>100</v>
      </c>
      <c r="G133" s="21" t="s">
        <v>80</v>
      </c>
      <c r="H133" s="21">
        <v>3</v>
      </c>
      <c r="I133" s="21">
        <v>247</v>
      </c>
      <c r="J133" s="21"/>
      <c r="K133" s="21"/>
      <c r="L133" s="16">
        <v>45196</v>
      </c>
      <c r="M133" s="22">
        <v>0.4826388888888889</v>
      </c>
      <c r="U133" s="23" t="str">
        <f t="shared" ca="1" si="8"/>
        <v/>
      </c>
      <c r="V133" s="23" t="str">
        <f t="shared" ca="1" si="9"/>
        <v/>
      </c>
    </row>
    <row r="134" spans="1:22" x14ac:dyDescent="0.25">
      <c r="A134" s="3" t="s">
        <v>60</v>
      </c>
      <c r="B134" s="13">
        <v>2650</v>
      </c>
      <c r="C134" s="13">
        <v>100</v>
      </c>
      <c r="D134" s="13" t="s">
        <v>66</v>
      </c>
      <c r="E134" s="21" t="str">
        <f>IF(ISNUMBER(SEARCH("v crs",D134))=TRUE,"VC",IF(ISNUMBER(SEARCH("crs",D134))=TRUE,"C",IF(ISNUMBER(SEARCH("med",D134))=TRUE,"M",IF(ISNUMBER(SEARCH("vf",D134))=TRUE,"VF",IF(ISNUMBER(SEARCH("f",D134))=TRUE,"F","")))))</f>
        <v>M</v>
      </c>
      <c r="F134" s="21">
        <v>100</v>
      </c>
      <c r="G134" s="21" t="s">
        <v>80</v>
      </c>
      <c r="H134" s="21">
        <v>3</v>
      </c>
      <c r="I134" s="21">
        <v>246</v>
      </c>
      <c r="J134" s="21"/>
      <c r="K134" s="21"/>
      <c r="L134" s="16">
        <v>45196</v>
      </c>
      <c r="M134" s="22">
        <v>0.50208333333333333</v>
      </c>
      <c r="U134" s="23" t="str">
        <f t="shared" ca="1" si="8"/>
        <v/>
      </c>
      <c r="V134" s="23" t="str">
        <f t="shared" ca="1" si="9"/>
        <v/>
      </c>
    </row>
    <row r="135" spans="1:22" x14ac:dyDescent="0.25">
      <c r="A135" s="3" t="s">
        <v>60</v>
      </c>
      <c r="B135" s="13">
        <v>2660</v>
      </c>
      <c r="C135" s="13">
        <v>100</v>
      </c>
      <c r="D135" s="13" t="s">
        <v>68</v>
      </c>
      <c r="E135" s="21" t="str">
        <f>IF(ISNUMBER(SEARCH("v crs",D135))=TRUE,"VC",IF(ISNUMBER(SEARCH("crs",D135))=TRUE,"C",IF(ISNUMBER(SEARCH("med",D135))=TRUE,"M",IF(ISNUMBER(SEARCH("vf",D135))=TRUE,"VF",IF(ISNUMBER(SEARCH("f",D135))=TRUE,"F","")))))</f>
        <v>M</v>
      </c>
      <c r="F135" s="21">
        <v>100</v>
      </c>
      <c r="G135" s="21" t="s">
        <v>80</v>
      </c>
      <c r="H135" s="21">
        <v>3</v>
      </c>
      <c r="I135" s="21">
        <v>258</v>
      </c>
      <c r="J135" s="21"/>
      <c r="K135" s="21"/>
      <c r="L135" s="16">
        <v>45196</v>
      </c>
      <c r="M135" s="22">
        <v>0.51944444444444449</v>
      </c>
      <c r="U135" s="23" t="str">
        <f t="shared" ca="1" si="8"/>
        <v/>
      </c>
      <c r="V135" s="23" t="str">
        <f t="shared" ca="1" si="9"/>
        <v/>
      </c>
    </row>
    <row r="136" spans="1:22" x14ac:dyDescent="0.25">
      <c r="A136" s="3" t="s">
        <v>60</v>
      </c>
      <c r="B136" s="13">
        <v>2670</v>
      </c>
      <c r="C136" s="13">
        <v>100</v>
      </c>
      <c r="D136" s="13" t="s">
        <v>66</v>
      </c>
      <c r="E136" s="21" t="s">
        <v>78</v>
      </c>
      <c r="F136" s="21">
        <v>100</v>
      </c>
      <c r="G136" s="21" t="s">
        <v>80</v>
      </c>
      <c r="H136" s="21">
        <v>3</v>
      </c>
      <c r="I136" s="21">
        <v>264</v>
      </c>
      <c r="J136" s="21"/>
      <c r="K136" s="21"/>
      <c r="L136" s="16">
        <v>45196</v>
      </c>
      <c r="M136" s="22">
        <v>0.53749999999999998</v>
      </c>
      <c r="U136" s="23" t="str">
        <f t="shared" ca="1" si="8"/>
        <v/>
      </c>
      <c r="V136" s="23" t="str">
        <f t="shared" ca="1" si="9"/>
        <v/>
      </c>
    </row>
    <row r="137" spans="1:22" x14ac:dyDescent="0.25">
      <c r="A137" s="3" t="s">
        <v>60</v>
      </c>
      <c r="B137" s="13">
        <v>2680</v>
      </c>
      <c r="C137" s="13">
        <v>100</v>
      </c>
      <c r="D137" s="13" t="s">
        <v>68</v>
      </c>
      <c r="E137" s="21" t="str">
        <f t="shared" ref="E137:E145" si="10">IF(ISNUMBER(SEARCH("v crs",D137))=TRUE,"VC",IF(ISNUMBER(SEARCH("crs",D137))=TRUE,"C",IF(ISNUMBER(SEARCH("med",D137))=TRUE,"M",IF(ISNUMBER(SEARCH("vf",D137))=TRUE,"VF",IF(ISNUMBER(SEARCH("f",D137))=TRUE,"F","")))))</f>
        <v>M</v>
      </c>
      <c r="F137" s="21">
        <v>100</v>
      </c>
      <c r="G137" s="21" t="s">
        <v>80</v>
      </c>
      <c r="H137" s="21">
        <v>3</v>
      </c>
      <c r="I137" s="21">
        <v>271</v>
      </c>
      <c r="J137" s="21"/>
      <c r="K137" s="21"/>
      <c r="L137" s="16">
        <v>45196</v>
      </c>
      <c r="M137" s="22">
        <v>0.55486111111111114</v>
      </c>
      <c r="U137" s="23" t="str">
        <f t="shared" ca="1" si="8"/>
        <v/>
      </c>
      <c r="V137" s="23" t="str">
        <f t="shared" ca="1" si="9"/>
        <v/>
      </c>
    </row>
    <row r="138" spans="1:22" x14ac:dyDescent="0.25">
      <c r="A138" s="3" t="s">
        <v>60</v>
      </c>
      <c r="B138" s="13">
        <v>2690</v>
      </c>
      <c r="C138" s="13">
        <v>100</v>
      </c>
      <c r="D138" s="13" t="s">
        <v>70</v>
      </c>
      <c r="E138" s="21" t="str">
        <f t="shared" si="10"/>
        <v>C</v>
      </c>
      <c r="F138" s="21">
        <v>100</v>
      </c>
      <c r="G138" s="21" t="s">
        <v>80</v>
      </c>
      <c r="H138" s="21">
        <v>3</v>
      </c>
      <c r="I138" s="21">
        <v>246</v>
      </c>
      <c r="J138" s="21"/>
      <c r="K138" s="21"/>
      <c r="L138" s="16">
        <v>45196</v>
      </c>
      <c r="M138" s="22">
        <v>0.57430555555555551</v>
      </c>
      <c r="U138" s="23" t="str">
        <f t="shared" ca="1" si="8"/>
        <v/>
      </c>
      <c r="V138" s="23" t="str">
        <f t="shared" ca="1" si="9"/>
        <v/>
      </c>
    </row>
    <row r="139" spans="1:22" x14ac:dyDescent="0.25">
      <c r="A139" s="3" t="s">
        <v>60</v>
      </c>
      <c r="B139" s="13">
        <v>2700</v>
      </c>
      <c r="C139" s="13">
        <v>100</v>
      </c>
      <c r="D139" s="13" t="s">
        <v>73</v>
      </c>
      <c r="E139" s="21" t="str">
        <f t="shared" si="10"/>
        <v>C</v>
      </c>
      <c r="F139" s="21">
        <v>100</v>
      </c>
      <c r="G139" s="21" t="s">
        <v>80</v>
      </c>
      <c r="H139" s="21">
        <v>3</v>
      </c>
      <c r="I139" s="21">
        <v>180</v>
      </c>
      <c r="J139" s="21"/>
      <c r="K139" s="21"/>
      <c r="L139" s="16">
        <v>45196</v>
      </c>
      <c r="M139" s="22">
        <v>0.60069444444444442</v>
      </c>
      <c r="U139" s="23" t="str">
        <f t="shared" ca="1" si="8"/>
        <v/>
      </c>
      <c r="V139" s="23" t="str">
        <f t="shared" ca="1" si="9"/>
        <v/>
      </c>
    </row>
    <row r="140" spans="1:22" x14ac:dyDescent="0.25">
      <c r="A140" s="3" t="s">
        <v>60</v>
      </c>
      <c r="B140" s="13">
        <v>2710</v>
      </c>
      <c r="C140" s="13">
        <v>95</v>
      </c>
      <c r="D140" s="13" t="s">
        <v>73</v>
      </c>
      <c r="E140" s="21" t="str">
        <f t="shared" si="10"/>
        <v>C</v>
      </c>
      <c r="F140" s="21">
        <v>100</v>
      </c>
      <c r="G140" s="21" t="s">
        <v>47</v>
      </c>
      <c r="H140" s="21">
        <v>2.5</v>
      </c>
      <c r="I140" s="21">
        <v>185</v>
      </c>
      <c r="J140" s="21"/>
      <c r="K140" s="21"/>
      <c r="L140" s="16">
        <v>45196</v>
      </c>
      <c r="M140" s="22">
        <v>0.61597222222222225</v>
      </c>
      <c r="U140" s="23" t="str">
        <f t="shared" ca="1" si="8"/>
        <v/>
      </c>
      <c r="V140" s="23" t="str">
        <f t="shared" ca="1" si="9"/>
        <v/>
      </c>
    </row>
    <row r="141" spans="1:22" x14ac:dyDescent="0.25">
      <c r="A141" s="3" t="s">
        <v>60</v>
      </c>
      <c r="B141" s="13">
        <v>2720</v>
      </c>
      <c r="C141" s="13">
        <v>95</v>
      </c>
      <c r="D141" s="13" t="s">
        <v>70</v>
      </c>
      <c r="E141" s="21" t="str">
        <f t="shared" si="10"/>
        <v>C</v>
      </c>
      <c r="F141" s="21">
        <v>100</v>
      </c>
      <c r="G141" s="21" t="s">
        <v>80</v>
      </c>
      <c r="H141" s="21">
        <v>3</v>
      </c>
      <c r="I141" s="21">
        <v>177</v>
      </c>
      <c r="J141" s="21"/>
      <c r="K141" s="21"/>
      <c r="L141" s="16">
        <v>45196</v>
      </c>
      <c r="M141" s="22">
        <v>0.6333333333333333</v>
      </c>
      <c r="U141" s="23" t="str">
        <f t="shared" ca="1" si="8"/>
        <v/>
      </c>
      <c r="V141" s="23" t="str">
        <f t="shared" ca="1" si="9"/>
        <v/>
      </c>
    </row>
    <row r="142" spans="1:22" x14ac:dyDescent="0.25">
      <c r="A142" s="3" t="s">
        <v>60</v>
      </c>
      <c r="B142" s="13">
        <v>2730</v>
      </c>
      <c r="C142" s="13">
        <v>90</v>
      </c>
      <c r="D142" s="13" t="s">
        <v>66</v>
      </c>
      <c r="E142" s="21" t="str">
        <f t="shared" si="10"/>
        <v>M</v>
      </c>
      <c r="F142" s="21">
        <v>100</v>
      </c>
      <c r="G142" s="21" t="s">
        <v>80</v>
      </c>
      <c r="H142" s="21">
        <v>3</v>
      </c>
      <c r="I142" s="21">
        <v>196</v>
      </c>
      <c r="J142" s="21"/>
      <c r="K142" s="21"/>
      <c r="L142" s="16">
        <v>45196</v>
      </c>
      <c r="M142" s="22">
        <v>0.65833333333333333</v>
      </c>
      <c r="U142" s="23" t="str">
        <f t="shared" ca="1" si="8"/>
        <v/>
      </c>
      <c r="V142" s="23" t="str">
        <f t="shared" ca="1" si="9"/>
        <v/>
      </c>
    </row>
    <row r="143" spans="1:22" x14ac:dyDescent="0.25">
      <c r="A143" s="3" t="s">
        <v>60</v>
      </c>
      <c r="B143" s="13">
        <v>2740</v>
      </c>
      <c r="C143" s="13">
        <v>95</v>
      </c>
      <c r="D143" s="13" t="s">
        <v>66</v>
      </c>
      <c r="E143" s="21" t="str">
        <f t="shared" si="10"/>
        <v>M</v>
      </c>
      <c r="F143" s="21">
        <v>100</v>
      </c>
      <c r="G143" s="21" t="s">
        <v>80</v>
      </c>
      <c r="H143" s="21">
        <v>3</v>
      </c>
      <c r="I143" s="21">
        <v>216</v>
      </c>
      <c r="J143" s="21"/>
      <c r="K143" s="21"/>
      <c r="L143" s="16">
        <v>45196</v>
      </c>
      <c r="M143" s="22">
        <v>0.68402777777777779</v>
      </c>
      <c r="U143" s="23" t="str">
        <f t="shared" ca="1" si="8"/>
        <v/>
      </c>
      <c r="V143" s="23" t="str">
        <f t="shared" ca="1" si="9"/>
        <v/>
      </c>
    </row>
    <row r="144" spans="1:22" x14ac:dyDescent="0.25">
      <c r="A144" s="3" t="s">
        <v>60</v>
      </c>
      <c r="B144" s="13">
        <v>2750</v>
      </c>
      <c r="C144" s="13">
        <v>100</v>
      </c>
      <c r="D144" s="13" t="s">
        <v>73</v>
      </c>
      <c r="E144" s="21" t="str">
        <f t="shared" si="10"/>
        <v>C</v>
      </c>
      <c r="F144" s="21">
        <v>100</v>
      </c>
      <c r="G144" s="21" t="s">
        <v>80</v>
      </c>
      <c r="H144" s="21">
        <v>3</v>
      </c>
      <c r="I144" s="21">
        <v>209</v>
      </c>
      <c r="J144" s="21"/>
      <c r="K144" s="21"/>
      <c r="L144" s="16">
        <v>45196</v>
      </c>
      <c r="M144" s="22">
        <v>0.70694444444444438</v>
      </c>
      <c r="U144" s="23" t="str">
        <f t="shared" ca="1" si="8"/>
        <v/>
      </c>
      <c r="V144" s="23" t="str">
        <f t="shared" ca="1" si="9"/>
        <v/>
      </c>
    </row>
    <row r="145" spans="1:22" x14ac:dyDescent="0.25">
      <c r="A145" s="3" t="s">
        <v>60</v>
      </c>
      <c r="B145" s="13">
        <v>2760</v>
      </c>
      <c r="C145" s="13">
        <v>100</v>
      </c>
      <c r="D145" s="13" t="s">
        <v>93</v>
      </c>
      <c r="E145" s="21" t="str">
        <f t="shared" si="10"/>
        <v>VC</v>
      </c>
      <c r="F145" s="21">
        <v>100</v>
      </c>
      <c r="G145" s="21" t="s">
        <v>80</v>
      </c>
      <c r="H145" s="21">
        <v>3</v>
      </c>
      <c r="I145" s="21">
        <v>233</v>
      </c>
      <c r="J145" s="21"/>
      <c r="K145" s="21"/>
      <c r="L145" s="16">
        <v>45196</v>
      </c>
      <c r="M145" s="22">
        <v>0.72499999999999998</v>
      </c>
      <c r="U145" s="23" t="str">
        <f t="shared" ca="1" si="8"/>
        <v/>
      </c>
      <c r="V145" s="23" t="str">
        <f t="shared" ca="1" si="9"/>
        <v/>
      </c>
    </row>
    <row r="146" spans="1:22" x14ac:dyDescent="0.25">
      <c r="A146" s="3" t="s">
        <v>60</v>
      </c>
      <c r="B146" s="13">
        <v>2770</v>
      </c>
      <c r="C146" s="13">
        <v>100</v>
      </c>
      <c r="D146" s="13" t="s">
        <v>77</v>
      </c>
      <c r="E146" s="21" t="s">
        <v>75</v>
      </c>
      <c r="F146" s="21">
        <v>100</v>
      </c>
      <c r="G146" s="21" t="s">
        <v>44</v>
      </c>
      <c r="H146" s="21">
        <v>3</v>
      </c>
      <c r="I146" s="21">
        <v>249</v>
      </c>
      <c r="J146" s="21"/>
      <c r="K146" s="21"/>
      <c r="L146" s="16">
        <v>45196</v>
      </c>
      <c r="M146" s="22">
        <v>0.75069444444444444</v>
      </c>
      <c r="U146" s="23" t="str">
        <f t="shared" ca="1" si="8"/>
        <v/>
      </c>
      <c r="V146" s="23" t="str">
        <f t="shared" ca="1" si="9"/>
        <v/>
      </c>
    </row>
    <row r="147" spans="1:22" x14ac:dyDescent="0.25">
      <c r="A147" s="3" t="s">
        <v>60</v>
      </c>
      <c r="B147" s="13">
        <v>2780</v>
      </c>
      <c r="C147" s="13">
        <v>100</v>
      </c>
      <c r="D147" s="13" t="s">
        <v>73</v>
      </c>
      <c r="E147" s="21" t="str">
        <f t="shared" ref="E147:E154" si="11">IF(ISNUMBER(SEARCH("v crs",D147))=TRUE,"VC",IF(ISNUMBER(SEARCH("crs",D147))=TRUE,"C",IF(ISNUMBER(SEARCH("med",D147))=TRUE,"M",IF(ISNUMBER(SEARCH("vf",D147))=TRUE,"VF",IF(ISNUMBER(SEARCH("f",D147))=TRUE,"F","")))))</f>
        <v>C</v>
      </c>
      <c r="F147" s="21">
        <v>100</v>
      </c>
      <c r="G147" s="21" t="s">
        <v>44</v>
      </c>
      <c r="H147" s="21">
        <v>3</v>
      </c>
      <c r="I147" s="21">
        <v>216</v>
      </c>
      <c r="J147" s="21"/>
      <c r="K147" s="21"/>
      <c r="L147" s="16">
        <v>45196</v>
      </c>
      <c r="M147" s="22">
        <v>0.7715277777777777</v>
      </c>
      <c r="U147" s="23" t="str">
        <f t="shared" ca="1" si="8"/>
        <v/>
      </c>
      <c r="V147" s="23" t="str">
        <f t="shared" ca="1" si="9"/>
        <v/>
      </c>
    </row>
    <row r="148" spans="1:22" x14ac:dyDescent="0.25">
      <c r="A148" s="3" t="s">
        <v>60</v>
      </c>
      <c r="B148" s="13">
        <v>2790</v>
      </c>
      <c r="C148" s="13">
        <v>95</v>
      </c>
      <c r="D148" s="13" t="s">
        <v>73</v>
      </c>
      <c r="E148" s="21" t="str">
        <f t="shared" si="11"/>
        <v>C</v>
      </c>
      <c r="F148" s="21">
        <v>100</v>
      </c>
      <c r="G148" s="21" t="s">
        <v>47</v>
      </c>
      <c r="H148" s="21">
        <v>2.5</v>
      </c>
      <c r="I148" s="21">
        <v>199</v>
      </c>
      <c r="J148" s="21"/>
      <c r="K148" s="21"/>
      <c r="L148" s="16">
        <v>45196</v>
      </c>
      <c r="M148" s="22">
        <v>0.79722222222222217</v>
      </c>
      <c r="U148" s="23" t="str">
        <f t="shared" ca="1" si="8"/>
        <v/>
      </c>
      <c r="V148" s="23" t="str">
        <f t="shared" ca="1" si="9"/>
        <v/>
      </c>
    </row>
    <row r="149" spans="1:22" x14ac:dyDescent="0.25">
      <c r="A149" s="3" t="s">
        <v>60</v>
      </c>
      <c r="B149" s="13">
        <v>2800</v>
      </c>
      <c r="C149" s="13">
        <v>95</v>
      </c>
      <c r="D149" s="13" t="s">
        <v>73</v>
      </c>
      <c r="E149" s="21" t="str">
        <f t="shared" si="11"/>
        <v>C</v>
      </c>
      <c r="F149" s="21">
        <v>100</v>
      </c>
      <c r="G149" s="21" t="s">
        <v>47</v>
      </c>
      <c r="H149" s="21">
        <v>2.5</v>
      </c>
      <c r="I149" s="21">
        <v>230</v>
      </c>
      <c r="J149" s="21"/>
      <c r="K149" s="21"/>
      <c r="L149" s="16">
        <v>45196</v>
      </c>
      <c r="M149" s="22">
        <v>0.81388888888888899</v>
      </c>
      <c r="U149" s="23" t="str">
        <f t="shared" ca="1" si="8"/>
        <v/>
      </c>
      <c r="V149" s="23" t="str">
        <f t="shared" ca="1" si="9"/>
        <v/>
      </c>
    </row>
    <row r="150" spans="1:22" x14ac:dyDescent="0.25">
      <c r="A150" s="3" t="s">
        <v>60</v>
      </c>
      <c r="B150" s="13">
        <v>2810</v>
      </c>
      <c r="C150" s="13">
        <v>100</v>
      </c>
      <c r="D150" s="13" t="s">
        <v>22</v>
      </c>
      <c r="E150" s="21" t="str">
        <f t="shared" si="11"/>
        <v>C</v>
      </c>
      <c r="F150" s="21">
        <v>100</v>
      </c>
      <c r="G150" s="21" t="s">
        <v>47</v>
      </c>
      <c r="H150" s="21">
        <v>2.5</v>
      </c>
      <c r="I150" s="21">
        <v>192</v>
      </c>
      <c r="J150" s="21"/>
      <c r="K150" s="21"/>
      <c r="L150" s="16">
        <v>45196</v>
      </c>
      <c r="M150" s="22">
        <v>0.83958333333333324</v>
      </c>
      <c r="U150" s="23" t="str">
        <f t="shared" ca="1" si="8"/>
        <v/>
      </c>
      <c r="V150" s="23" t="str">
        <f t="shared" ca="1" si="9"/>
        <v/>
      </c>
    </row>
    <row r="151" spans="1:22" x14ac:dyDescent="0.25">
      <c r="A151" s="3" t="s">
        <v>60</v>
      </c>
      <c r="B151" s="13">
        <v>2820</v>
      </c>
      <c r="C151" s="13">
        <v>100</v>
      </c>
      <c r="D151" s="13" t="s">
        <v>22</v>
      </c>
      <c r="E151" s="21" t="str">
        <f t="shared" si="11"/>
        <v>C</v>
      </c>
      <c r="F151" s="21">
        <v>100</v>
      </c>
      <c r="G151" s="21" t="s">
        <v>44</v>
      </c>
      <c r="H151" s="21">
        <v>3</v>
      </c>
      <c r="I151" s="21">
        <v>246</v>
      </c>
      <c r="J151" s="21"/>
      <c r="K151" s="21"/>
      <c r="L151" s="16">
        <v>45196</v>
      </c>
      <c r="M151" s="22">
        <v>0.85625000000000007</v>
      </c>
      <c r="U151" s="23" t="str">
        <f t="shared" ca="1" si="8"/>
        <v/>
      </c>
      <c r="V151" s="23" t="str">
        <f t="shared" ca="1" si="9"/>
        <v/>
      </c>
    </row>
    <row r="152" spans="1:22" x14ac:dyDescent="0.25">
      <c r="A152" s="3" t="s">
        <v>60</v>
      </c>
      <c r="B152" s="13">
        <v>2830</v>
      </c>
      <c r="C152" s="13">
        <v>100</v>
      </c>
      <c r="D152" s="13" t="s">
        <v>73</v>
      </c>
      <c r="E152" s="21" t="str">
        <f t="shared" si="11"/>
        <v>C</v>
      </c>
      <c r="F152" s="21">
        <v>100</v>
      </c>
      <c r="G152" s="21" t="s">
        <v>44</v>
      </c>
      <c r="H152" s="21">
        <v>3</v>
      </c>
      <c r="I152" s="21">
        <v>199</v>
      </c>
      <c r="J152" s="21"/>
      <c r="K152" s="21"/>
      <c r="L152" s="16">
        <v>45196</v>
      </c>
      <c r="M152" s="22">
        <v>0.88541666666666663</v>
      </c>
      <c r="U152" s="23" t="str">
        <f t="shared" ca="1" si="8"/>
        <v/>
      </c>
      <c r="V152" s="23" t="str">
        <f t="shared" ca="1" si="9"/>
        <v/>
      </c>
    </row>
    <row r="153" spans="1:22" x14ac:dyDescent="0.25">
      <c r="A153" s="3" t="s">
        <v>60</v>
      </c>
      <c r="B153" s="13">
        <v>2840</v>
      </c>
      <c r="C153" s="13">
        <v>100</v>
      </c>
      <c r="D153" s="13" t="s">
        <v>73</v>
      </c>
      <c r="E153" s="21" t="str">
        <f t="shared" si="11"/>
        <v>C</v>
      </c>
      <c r="F153" s="21">
        <v>100</v>
      </c>
      <c r="G153" s="21" t="s">
        <v>44</v>
      </c>
      <c r="H153" s="21">
        <v>3</v>
      </c>
      <c r="I153" s="21">
        <v>260</v>
      </c>
      <c r="J153" s="21"/>
      <c r="K153" s="21"/>
      <c r="L153" s="16">
        <v>45196</v>
      </c>
      <c r="M153" s="22">
        <v>0.90277777777777779</v>
      </c>
      <c r="U153" s="23" t="str">
        <f t="shared" ca="1" si="8"/>
        <v/>
      </c>
      <c r="V153" s="23" t="str">
        <f t="shared" ca="1" si="9"/>
        <v/>
      </c>
    </row>
    <row r="154" spans="1:22" x14ac:dyDescent="0.25">
      <c r="A154" s="3" t="s">
        <v>60</v>
      </c>
      <c r="B154" s="13">
        <v>2850</v>
      </c>
      <c r="C154" s="13">
        <v>100</v>
      </c>
      <c r="D154" s="13" t="s">
        <v>73</v>
      </c>
      <c r="E154" s="21" t="str">
        <f t="shared" si="11"/>
        <v>C</v>
      </c>
      <c r="F154" s="21">
        <v>100</v>
      </c>
      <c r="G154" s="21" t="s">
        <v>47</v>
      </c>
      <c r="H154" s="21">
        <v>2.5</v>
      </c>
      <c r="I154" s="21">
        <v>127</v>
      </c>
      <c r="J154" s="21"/>
      <c r="K154" s="21"/>
      <c r="L154" s="16">
        <v>45196</v>
      </c>
      <c r="M154" s="22">
        <v>0.93125000000000002</v>
      </c>
      <c r="U154" s="23" t="str">
        <f t="shared" ca="1" si="8"/>
        <v/>
      </c>
      <c r="V154" s="23" t="str">
        <f t="shared" ca="1" si="9"/>
        <v/>
      </c>
    </row>
    <row r="155" spans="1:22" x14ac:dyDescent="0.25">
      <c r="A155" s="3" t="s">
        <v>60</v>
      </c>
      <c r="B155" s="13">
        <v>2860</v>
      </c>
      <c r="C155" s="13">
        <v>40</v>
      </c>
      <c r="D155" s="13" t="s">
        <v>13</v>
      </c>
      <c r="E155" s="21" t="s">
        <v>14</v>
      </c>
      <c r="F155" s="21">
        <v>90</v>
      </c>
      <c r="G155" s="21" t="s">
        <v>82</v>
      </c>
      <c r="H155" s="21">
        <v>1.5</v>
      </c>
      <c r="I155" s="21">
        <v>140</v>
      </c>
      <c r="J155" s="21" t="s">
        <v>50</v>
      </c>
      <c r="K155" s="21" t="s">
        <v>25</v>
      </c>
      <c r="L155" s="16">
        <v>45196</v>
      </c>
      <c r="M155" s="22">
        <v>0.95694444444444438</v>
      </c>
      <c r="U155" s="23" t="str">
        <f t="shared" ca="1" si="8"/>
        <v/>
      </c>
      <c r="V155" s="23" t="str">
        <f t="shared" ca="1" si="9"/>
        <v/>
      </c>
    </row>
    <row r="156" spans="1:22" x14ac:dyDescent="0.25">
      <c r="A156" s="3" t="s">
        <v>60</v>
      </c>
      <c r="B156" s="13">
        <v>2870</v>
      </c>
      <c r="C156" s="13">
        <v>30</v>
      </c>
      <c r="D156" s="13" t="s">
        <v>13</v>
      </c>
      <c r="E156" s="21" t="s">
        <v>14</v>
      </c>
      <c r="F156" s="21">
        <v>90</v>
      </c>
      <c r="G156" s="21" t="s">
        <v>48</v>
      </c>
      <c r="H156" s="21">
        <v>1</v>
      </c>
      <c r="I156" s="21">
        <v>134</v>
      </c>
      <c r="J156" s="21" t="s">
        <v>50</v>
      </c>
      <c r="K156" s="21" t="s">
        <v>25</v>
      </c>
      <c r="L156" s="16">
        <v>45196</v>
      </c>
      <c r="M156" s="22">
        <v>0.97638888888888886</v>
      </c>
      <c r="U156" s="23" t="str">
        <f t="shared" ca="1" si="8"/>
        <v/>
      </c>
      <c r="V156" s="23" t="str">
        <f t="shared" ca="1" si="9"/>
        <v/>
      </c>
    </row>
    <row r="157" spans="1:22" x14ac:dyDescent="0.25">
      <c r="A157" s="3" t="s">
        <v>60</v>
      </c>
      <c r="B157" s="13">
        <v>2880</v>
      </c>
      <c r="C157" s="13">
        <v>40</v>
      </c>
      <c r="D157" s="13" t="s">
        <v>13</v>
      </c>
      <c r="E157" s="21" t="s">
        <v>14</v>
      </c>
      <c r="F157" s="21">
        <v>90</v>
      </c>
      <c r="G157" s="21" t="s">
        <v>48</v>
      </c>
      <c r="H157" s="21">
        <v>1</v>
      </c>
      <c r="I157" s="21">
        <v>130</v>
      </c>
      <c r="J157" s="21" t="s">
        <v>50</v>
      </c>
      <c r="K157" s="21" t="s">
        <v>25</v>
      </c>
      <c r="L157" s="16">
        <v>45196</v>
      </c>
      <c r="M157" s="22">
        <v>0.99791666666666667</v>
      </c>
      <c r="U157" s="23" t="str">
        <f t="shared" ca="1" si="8"/>
        <v/>
      </c>
      <c r="V157" s="23" t="str">
        <f t="shared" ca="1" si="9"/>
        <v/>
      </c>
    </row>
    <row r="158" spans="1:22" x14ac:dyDescent="0.25">
      <c r="A158" s="3" t="s">
        <v>60</v>
      </c>
      <c r="B158" s="13">
        <v>2890</v>
      </c>
      <c r="C158" s="13">
        <v>50</v>
      </c>
      <c r="D158" s="13" t="s">
        <v>13</v>
      </c>
      <c r="E158" s="21" t="s">
        <v>14</v>
      </c>
      <c r="F158" s="21">
        <v>90</v>
      </c>
      <c r="G158" s="21" t="s">
        <v>82</v>
      </c>
      <c r="H158" s="21">
        <v>1.5</v>
      </c>
      <c r="I158" s="21">
        <v>121</v>
      </c>
      <c r="J158" s="21" t="s">
        <v>50</v>
      </c>
      <c r="K158" s="21" t="s">
        <v>25</v>
      </c>
      <c r="L158" s="16">
        <v>45197</v>
      </c>
      <c r="M158" s="22">
        <v>1.9444444444444445E-2</v>
      </c>
      <c r="U158" s="23" t="str">
        <f t="shared" ca="1" si="8"/>
        <v/>
      </c>
      <c r="V158" s="23" t="str">
        <f t="shared" ca="1" si="9"/>
        <v/>
      </c>
    </row>
    <row r="159" spans="1:22" x14ac:dyDescent="0.25">
      <c r="A159" s="3" t="s">
        <v>60</v>
      </c>
      <c r="B159" s="13">
        <v>2900</v>
      </c>
      <c r="C159" s="13">
        <v>55</v>
      </c>
      <c r="D159" s="13" t="s">
        <v>13</v>
      </c>
      <c r="E159" s="21" t="s">
        <v>14</v>
      </c>
      <c r="F159" s="21">
        <v>90</v>
      </c>
      <c r="G159" s="21" t="s">
        <v>82</v>
      </c>
      <c r="H159" s="21">
        <v>1.5</v>
      </c>
      <c r="I159" s="21">
        <v>118</v>
      </c>
      <c r="J159" s="21" t="s">
        <v>35</v>
      </c>
      <c r="K159" s="21" t="s">
        <v>35</v>
      </c>
      <c r="L159" s="16">
        <v>45197</v>
      </c>
      <c r="M159" s="22">
        <v>4.0972222222222222E-2</v>
      </c>
      <c r="U159" s="23" t="str">
        <f t="shared" ca="1" si="8"/>
        <v/>
      </c>
      <c r="V159" s="23" t="str">
        <f t="shared" ca="1" si="9"/>
        <v/>
      </c>
    </row>
    <row r="160" spans="1:22" x14ac:dyDescent="0.25">
      <c r="A160" s="3" t="s">
        <v>60</v>
      </c>
      <c r="B160" s="13">
        <v>2910</v>
      </c>
      <c r="C160" s="13">
        <v>65</v>
      </c>
      <c r="D160" s="13" t="s">
        <v>13</v>
      </c>
      <c r="E160" s="21" t="s">
        <v>14</v>
      </c>
      <c r="F160" s="21">
        <v>90</v>
      </c>
      <c r="G160" s="21" t="s">
        <v>82</v>
      </c>
      <c r="H160" s="21">
        <v>1.5</v>
      </c>
      <c r="I160" s="21">
        <v>128</v>
      </c>
      <c r="J160" s="21" t="s">
        <v>25</v>
      </c>
      <c r="K160" s="21" t="s">
        <v>35</v>
      </c>
      <c r="L160" s="16">
        <v>45197</v>
      </c>
      <c r="M160" s="22">
        <v>5.8333333333333327E-2</v>
      </c>
      <c r="U160" s="23" t="str">
        <f t="shared" ca="1" si="8"/>
        <v/>
      </c>
      <c r="V160" s="23" t="str">
        <f t="shared" ca="1" si="9"/>
        <v/>
      </c>
    </row>
    <row r="161" spans="1:22" x14ac:dyDescent="0.25">
      <c r="A161" s="3" t="s">
        <v>60</v>
      </c>
      <c r="B161" s="13">
        <v>2920</v>
      </c>
      <c r="C161" s="13">
        <v>70</v>
      </c>
      <c r="D161" s="13" t="s">
        <v>13</v>
      </c>
      <c r="E161" s="21" t="s">
        <v>14</v>
      </c>
      <c r="F161" s="21">
        <v>90</v>
      </c>
      <c r="G161" s="21" t="s">
        <v>82</v>
      </c>
      <c r="H161" s="21">
        <v>1.5</v>
      </c>
      <c r="I161" s="21">
        <v>113</v>
      </c>
      <c r="J161" s="21" t="s">
        <v>25</v>
      </c>
      <c r="K161" s="21" t="s">
        <v>35</v>
      </c>
      <c r="L161" s="16">
        <v>45197</v>
      </c>
      <c r="M161" s="22">
        <v>7.6388888888888895E-2</v>
      </c>
      <c r="U161" s="23" t="str">
        <f t="shared" ca="1" si="8"/>
        <v/>
      </c>
      <c r="V161" s="23" t="str">
        <f t="shared" ca="1" si="9"/>
        <v/>
      </c>
    </row>
    <row r="162" spans="1:22" x14ac:dyDescent="0.25">
      <c r="A162" s="3" t="s">
        <v>60</v>
      </c>
      <c r="B162" s="13">
        <v>2930</v>
      </c>
      <c r="C162" s="13">
        <v>40</v>
      </c>
      <c r="D162" s="13" t="s">
        <v>13</v>
      </c>
      <c r="E162" s="21" t="s">
        <v>14</v>
      </c>
      <c r="F162" s="21">
        <v>70</v>
      </c>
      <c r="G162" s="21" t="s">
        <v>82</v>
      </c>
      <c r="H162" s="21">
        <v>1.5</v>
      </c>
      <c r="I162" s="21">
        <v>95</v>
      </c>
      <c r="J162" s="21" t="s">
        <v>50</v>
      </c>
      <c r="K162" s="21" t="s">
        <v>25</v>
      </c>
      <c r="L162" s="16">
        <v>45197</v>
      </c>
      <c r="M162" s="22">
        <v>9.5833333333333326E-2</v>
      </c>
      <c r="U162" s="23" t="str">
        <f t="shared" ca="1" si="8"/>
        <v/>
      </c>
      <c r="V162" s="23" t="str">
        <f t="shared" ca="1" si="9"/>
        <v/>
      </c>
    </row>
    <row r="163" spans="1:22" x14ac:dyDescent="0.25">
      <c r="A163" s="3" t="s">
        <v>60</v>
      </c>
      <c r="B163" s="13">
        <v>2940</v>
      </c>
      <c r="C163" s="13">
        <v>20</v>
      </c>
      <c r="D163" s="13" t="s">
        <v>13</v>
      </c>
      <c r="E163" s="21" t="s">
        <v>14</v>
      </c>
      <c r="F163" s="21">
        <v>50</v>
      </c>
      <c r="G163" s="21" t="s">
        <v>82</v>
      </c>
      <c r="H163" s="21">
        <v>1.5</v>
      </c>
      <c r="I163" s="21">
        <v>199</v>
      </c>
      <c r="J163" s="21" t="s">
        <v>50</v>
      </c>
      <c r="K163" s="21" t="s">
        <v>25</v>
      </c>
      <c r="L163" s="16">
        <v>45197</v>
      </c>
      <c r="M163" s="22">
        <v>0.12708333333333333</v>
      </c>
      <c r="U163" s="23" t="str">
        <f t="shared" ca="1" si="8"/>
        <v/>
      </c>
      <c r="V163" s="23" t="str">
        <f t="shared" ca="1" si="9"/>
        <v/>
      </c>
    </row>
    <row r="164" spans="1:22" x14ac:dyDescent="0.25">
      <c r="A164" s="3" t="s">
        <v>60</v>
      </c>
      <c r="B164" s="13">
        <v>2950</v>
      </c>
      <c r="C164" s="13">
        <v>70</v>
      </c>
      <c r="D164" s="13" t="s">
        <v>13</v>
      </c>
      <c r="E164" s="21" t="s">
        <v>14</v>
      </c>
      <c r="F164" s="21">
        <v>100</v>
      </c>
      <c r="G164" s="21" t="s">
        <v>47</v>
      </c>
      <c r="H164" s="21">
        <v>2.5</v>
      </c>
      <c r="I164" s="21">
        <v>209</v>
      </c>
      <c r="J164" s="21" t="s">
        <v>25</v>
      </c>
      <c r="K164" s="21" t="s">
        <v>35</v>
      </c>
      <c r="L164" s="16">
        <v>45197</v>
      </c>
      <c r="M164" s="22">
        <v>0.15</v>
      </c>
      <c r="U164" s="23" t="str">
        <f t="shared" ca="1" si="8"/>
        <v/>
      </c>
      <c r="V164" s="23" t="str">
        <f t="shared" ca="1" si="9"/>
        <v/>
      </c>
    </row>
    <row r="165" spans="1:22" x14ac:dyDescent="0.25">
      <c r="A165" s="3" t="s">
        <v>60</v>
      </c>
      <c r="B165" s="13">
        <v>2960</v>
      </c>
      <c r="C165" s="13">
        <v>90</v>
      </c>
      <c r="D165" s="13" t="s">
        <v>73</v>
      </c>
      <c r="E165" s="21" t="str">
        <f t="shared" ref="E165:E228" si="12">IF(ISNUMBER(SEARCH("v crs",D165))=TRUE,"VC",IF(ISNUMBER(SEARCH("crs",D165))=TRUE,"C",IF(ISNUMBER(SEARCH("med",D165))=TRUE,"M",IF(ISNUMBER(SEARCH("vf",D165))=TRUE,"VF",IF(ISNUMBER(SEARCH("f",D165))=TRUE,"F","")))))</f>
        <v>C</v>
      </c>
      <c r="F165" s="21">
        <v>100</v>
      </c>
      <c r="G165" s="21" t="s">
        <v>47</v>
      </c>
      <c r="H165" s="21">
        <v>2.5</v>
      </c>
      <c r="I165" s="21">
        <v>168</v>
      </c>
      <c r="J165" s="21"/>
      <c r="K165" s="21"/>
      <c r="L165" s="16">
        <v>45197</v>
      </c>
      <c r="M165" s="22">
        <v>0.17291666666666669</v>
      </c>
      <c r="U165" s="23" t="str">
        <f t="shared" ca="1" si="8"/>
        <v/>
      </c>
      <c r="V165" s="23" t="str">
        <f t="shared" ca="1" si="9"/>
        <v/>
      </c>
    </row>
    <row r="166" spans="1:22" x14ac:dyDescent="0.25">
      <c r="A166" s="3" t="s">
        <v>60</v>
      </c>
      <c r="B166" s="13">
        <v>2970</v>
      </c>
      <c r="C166" s="13">
        <v>95</v>
      </c>
      <c r="D166" s="13" t="s">
        <v>73</v>
      </c>
      <c r="E166" s="21" t="str">
        <f t="shared" si="12"/>
        <v>C</v>
      </c>
      <c r="F166" s="21">
        <v>100</v>
      </c>
      <c r="G166" s="21" t="s">
        <v>47</v>
      </c>
      <c r="H166" s="21">
        <v>2.5</v>
      </c>
      <c r="I166" s="21">
        <v>166</v>
      </c>
      <c r="J166" s="21"/>
      <c r="K166" s="21"/>
      <c r="L166" s="16">
        <v>45197</v>
      </c>
      <c r="M166" s="22">
        <v>0.20138888888888887</v>
      </c>
      <c r="U166" s="23" t="str">
        <f t="shared" ca="1" si="8"/>
        <v/>
      </c>
      <c r="V166" s="23" t="str">
        <f t="shared" ca="1" si="9"/>
        <v/>
      </c>
    </row>
    <row r="167" spans="1:22" x14ac:dyDescent="0.25">
      <c r="A167" s="3" t="s">
        <v>60</v>
      </c>
      <c r="B167" s="13">
        <v>2980</v>
      </c>
      <c r="C167" s="13">
        <v>100</v>
      </c>
      <c r="D167" s="13" t="s">
        <v>73</v>
      </c>
      <c r="E167" s="21" t="str">
        <f t="shared" si="12"/>
        <v>C</v>
      </c>
      <c r="F167" s="21">
        <v>100</v>
      </c>
      <c r="G167" s="21" t="s">
        <v>44</v>
      </c>
      <c r="H167" s="21">
        <v>3</v>
      </c>
      <c r="I167" s="21">
        <v>220</v>
      </c>
      <c r="J167" s="21"/>
      <c r="K167" s="21"/>
      <c r="L167" s="16">
        <v>45197</v>
      </c>
      <c r="M167" s="22">
        <v>0.22361111111111109</v>
      </c>
      <c r="U167" s="23" t="str">
        <f t="shared" ca="1" si="8"/>
        <v/>
      </c>
      <c r="V167" s="23" t="str">
        <f t="shared" ca="1" si="9"/>
        <v/>
      </c>
    </row>
    <row r="168" spans="1:22" x14ac:dyDescent="0.25">
      <c r="A168" s="3" t="s">
        <v>60</v>
      </c>
      <c r="B168" s="13">
        <v>2990</v>
      </c>
      <c r="C168" s="13">
        <v>90</v>
      </c>
      <c r="D168" s="13" t="s">
        <v>73</v>
      </c>
      <c r="E168" s="21" t="str">
        <f t="shared" si="12"/>
        <v>C</v>
      </c>
      <c r="F168" s="21">
        <v>100</v>
      </c>
      <c r="G168" s="21" t="s">
        <v>47</v>
      </c>
      <c r="H168" s="21">
        <v>2.5</v>
      </c>
      <c r="I168" s="21">
        <v>164</v>
      </c>
      <c r="J168" s="21"/>
      <c r="K168" s="21"/>
      <c r="L168" s="16">
        <v>45197</v>
      </c>
      <c r="M168" s="22">
        <v>0.24583333333333335</v>
      </c>
      <c r="U168" s="23" t="str">
        <f t="shared" ca="1" si="8"/>
        <v/>
      </c>
      <c r="V168" s="23" t="str">
        <f t="shared" ca="1" si="9"/>
        <v/>
      </c>
    </row>
    <row r="169" spans="1:22" x14ac:dyDescent="0.25">
      <c r="A169" s="3" t="s">
        <v>60</v>
      </c>
      <c r="B169" s="13">
        <v>3000</v>
      </c>
      <c r="C169" s="13">
        <v>80</v>
      </c>
      <c r="D169" s="13" t="s">
        <v>102</v>
      </c>
      <c r="E169" s="21" t="str">
        <f t="shared" si="12"/>
        <v>C</v>
      </c>
      <c r="F169" s="21">
        <v>100</v>
      </c>
      <c r="G169" s="21" t="s">
        <v>47</v>
      </c>
      <c r="H169" s="21">
        <v>2.5</v>
      </c>
      <c r="I169" s="21">
        <v>128</v>
      </c>
      <c r="J169" s="21"/>
      <c r="K169" s="21"/>
      <c r="L169" s="16">
        <v>45197</v>
      </c>
      <c r="M169" s="22">
        <v>0.2673611111111111</v>
      </c>
      <c r="U169" s="23" t="str">
        <f t="shared" ca="1" si="8"/>
        <v/>
      </c>
      <c r="V169" s="23" t="str">
        <f t="shared" ca="1" si="9"/>
        <v/>
      </c>
    </row>
    <row r="170" spans="1:22" x14ac:dyDescent="0.25">
      <c r="A170" s="3" t="s">
        <v>60</v>
      </c>
      <c r="B170" s="13">
        <v>3010</v>
      </c>
      <c r="C170" s="13">
        <v>80</v>
      </c>
      <c r="D170" s="13" t="s">
        <v>102</v>
      </c>
      <c r="E170" s="21" t="str">
        <f t="shared" si="12"/>
        <v>C</v>
      </c>
      <c r="F170" s="21">
        <v>100</v>
      </c>
      <c r="G170" s="21" t="s">
        <v>47</v>
      </c>
      <c r="H170" s="21">
        <v>2.5</v>
      </c>
      <c r="I170" s="21">
        <v>186</v>
      </c>
      <c r="J170" s="21"/>
      <c r="K170" s="21"/>
      <c r="L170" s="16">
        <v>45197</v>
      </c>
      <c r="M170" s="22">
        <v>0.2951388888888889</v>
      </c>
      <c r="U170" s="23" t="str">
        <f t="shared" ca="1" si="8"/>
        <v/>
      </c>
      <c r="V170" s="23" t="str">
        <f t="shared" ca="1" si="9"/>
        <v/>
      </c>
    </row>
    <row r="171" spans="1:22" x14ac:dyDescent="0.25">
      <c r="A171" s="3" t="s">
        <v>60</v>
      </c>
      <c r="B171" s="13">
        <v>3020</v>
      </c>
      <c r="C171" s="13">
        <v>90</v>
      </c>
      <c r="D171" s="13" t="s">
        <v>68</v>
      </c>
      <c r="E171" s="21" t="str">
        <f t="shared" si="12"/>
        <v>M</v>
      </c>
      <c r="F171" s="21">
        <v>100</v>
      </c>
      <c r="G171" s="21" t="s">
        <v>80</v>
      </c>
      <c r="H171" s="21">
        <v>3</v>
      </c>
      <c r="I171" s="21">
        <v>161</v>
      </c>
      <c r="J171" s="21"/>
      <c r="K171" s="21"/>
      <c r="L171" s="16">
        <v>45197</v>
      </c>
      <c r="M171" s="22">
        <v>0.31944444444444448</v>
      </c>
      <c r="U171" s="23" t="str">
        <f t="shared" ca="1" si="8"/>
        <v/>
      </c>
      <c r="V171" s="23" t="str">
        <f t="shared" ca="1" si="9"/>
        <v/>
      </c>
    </row>
    <row r="172" spans="1:22" x14ac:dyDescent="0.25">
      <c r="A172" s="3" t="s">
        <v>60</v>
      </c>
      <c r="B172" s="13">
        <v>3030</v>
      </c>
      <c r="C172" s="13">
        <v>95</v>
      </c>
      <c r="D172" s="13" t="s">
        <v>68</v>
      </c>
      <c r="E172" s="21" t="str">
        <f t="shared" si="12"/>
        <v>M</v>
      </c>
      <c r="F172" s="21">
        <v>100</v>
      </c>
      <c r="G172" s="21" t="s">
        <v>80</v>
      </c>
      <c r="H172" s="21">
        <v>3</v>
      </c>
      <c r="I172" s="21">
        <v>164</v>
      </c>
      <c r="J172" s="21"/>
      <c r="K172" s="21"/>
      <c r="L172" s="16">
        <v>45197</v>
      </c>
      <c r="M172" s="22">
        <v>0.33749999999999997</v>
      </c>
      <c r="U172" s="23" t="str">
        <f t="shared" ca="1" si="8"/>
        <v/>
      </c>
      <c r="V172" s="23" t="str">
        <f t="shared" ca="1" si="9"/>
        <v/>
      </c>
    </row>
    <row r="173" spans="1:22" x14ac:dyDescent="0.25">
      <c r="A173" s="3" t="s">
        <v>60</v>
      </c>
      <c r="B173" s="13">
        <v>3040</v>
      </c>
      <c r="C173" s="13">
        <v>80</v>
      </c>
      <c r="D173" s="13" t="s">
        <v>66</v>
      </c>
      <c r="E173" s="21" t="str">
        <f t="shared" si="12"/>
        <v>M</v>
      </c>
      <c r="F173" s="21">
        <v>100</v>
      </c>
      <c r="G173" s="21" t="s">
        <v>80</v>
      </c>
      <c r="H173" s="21">
        <v>3</v>
      </c>
      <c r="I173" s="21">
        <v>187</v>
      </c>
      <c r="J173" s="21"/>
      <c r="K173" s="21"/>
      <c r="L173" s="16">
        <v>45197</v>
      </c>
      <c r="M173" s="22">
        <v>0.3666666666666667</v>
      </c>
      <c r="U173" s="23" t="str">
        <f t="shared" ca="1" si="8"/>
        <v/>
      </c>
      <c r="V173" s="23" t="str">
        <f t="shared" ca="1" si="9"/>
        <v/>
      </c>
    </row>
    <row r="174" spans="1:22" x14ac:dyDescent="0.25">
      <c r="A174" s="3" t="s">
        <v>60</v>
      </c>
      <c r="B174" s="13">
        <v>3050</v>
      </c>
      <c r="C174" s="13">
        <v>90</v>
      </c>
      <c r="D174" s="13" t="s">
        <v>66</v>
      </c>
      <c r="E174" s="21" t="str">
        <f t="shared" si="12"/>
        <v>M</v>
      </c>
      <c r="F174" s="21">
        <v>100</v>
      </c>
      <c r="G174" s="21" t="s">
        <v>80</v>
      </c>
      <c r="H174" s="21">
        <v>3</v>
      </c>
      <c r="I174" s="21">
        <v>198</v>
      </c>
      <c r="J174" s="21"/>
      <c r="K174" s="21"/>
      <c r="L174" s="16">
        <v>45197</v>
      </c>
      <c r="M174" s="22">
        <v>0.38680555555555557</v>
      </c>
      <c r="U174" s="23" t="str">
        <f t="shared" ca="1" si="8"/>
        <v/>
      </c>
      <c r="V174" s="23" t="str">
        <f t="shared" ca="1" si="9"/>
        <v/>
      </c>
    </row>
    <row r="175" spans="1:22" x14ac:dyDescent="0.25">
      <c r="A175" s="3" t="s">
        <v>60</v>
      </c>
      <c r="B175" s="13">
        <v>3060</v>
      </c>
      <c r="C175" s="13">
        <v>90</v>
      </c>
      <c r="D175" s="13" t="s">
        <v>66</v>
      </c>
      <c r="E175" s="21" t="str">
        <f t="shared" si="12"/>
        <v>M</v>
      </c>
      <c r="F175" s="21">
        <v>100</v>
      </c>
      <c r="G175" s="21" t="s">
        <v>80</v>
      </c>
      <c r="H175" s="21">
        <v>3</v>
      </c>
      <c r="I175" s="21">
        <v>140</v>
      </c>
      <c r="J175" s="21"/>
      <c r="K175" s="21" t="s">
        <v>35</v>
      </c>
      <c r="L175" s="16">
        <v>45197</v>
      </c>
      <c r="M175" s="22">
        <v>0.41388888888888892</v>
      </c>
      <c r="U175" s="23" t="str">
        <f t="shared" ca="1" si="8"/>
        <v/>
      </c>
      <c r="V175" s="23" t="str">
        <f t="shared" ca="1" si="9"/>
        <v/>
      </c>
    </row>
    <row r="176" spans="1:22" x14ac:dyDescent="0.25">
      <c r="A176" s="3" t="s">
        <v>60</v>
      </c>
      <c r="B176" s="13">
        <v>3070</v>
      </c>
      <c r="C176" s="13">
        <v>100</v>
      </c>
      <c r="D176" s="13" t="s">
        <v>73</v>
      </c>
      <c r="E176" s="21" t="str">
        <f t="shared" si="12"/>
        <v>C</v>
      </c>
      <c r="F176" s="21">
        <v>100</v>
      </c>
      <c r="G176" s="21" t="s">
        <v>80</v>
      </c>
      <c r="H176" s="21">
        <v>3</v>
      </c>
      <c r="I176" s="21">
        <v>158</v>
      </c>
      <c r="J176" s="21"/>
      <c r="K176" s="21"/>
      <c r="L176" s="16">
        <v>45197</v>
      </c>
      <c r="M176" s="22">
        <v>0.44791666666666669</v>
      </c>
      <c r="U176" s="23" t="str">
        <f t="shared" ca="1" si="8"/>
        <v/>
      </c>
      <c r="V176" s="23" t="str">
        <f t="shared" ca="1" si="9"/>
        <v/>
      </c>
    </row>
    <row r="177" spans="1:22" x14ac:dyDescent="0.25">
      <c r="A177" s="3" t="s">
        <v>60</v>
      </c>
      <c r="B177" s="13">
        <v>3080</v>
      </c>
      <c r="C177" s="13">
        <v>80</v>
      </c>
      <c r="D177" s="13" t="s">
        <v>70</v>
      </c>
      <c r="E177" s="21" t="str">
        <f t="shared" si="12"/>
        <v>C</v>
      </c>
      <c r="F177" s="21">
        <v>100</v>
      </c>
      <c r="G177" s="21" t="s">
        <v>80</v>
      </c>
      <c r="H177" s="21">
        <v>3</v>
      </c>
      <c r="I177" s="21">
        <v>150</v>
      </c>
      <c r="J177" s="21"/>
      <c r="K177" s="21"/>
      <c r="L177" s="16">
        <v>45197</v>
      </c>
      <c r="M177" s="22">
        <v>0.4826388888888889</v>
      </c>
      <c r="U177" s="23" t="str">
        <f t="shared" ca="1" si="8"/>
        <v/>
      </c>
      <c r="V177" s="23" t="str">
        <f t="shared" ca="1" si="9"/>
        <v/>
      </c>
    </row>
    <row r="178" spans="1:22" x14ac:dyDescent="0.25">
      <c r="A178" s="3" t="s">
        <v>60</v>
      </c>
      <c r="B178" s="13">
        <v>3090</v>
      </c>
      <c r="C178" s="13">
        <v>90</v>
      </c>
      <c r="D178" s="13" t="s">
        <v>70</v>
      </c>
      <c r="E178" s="21" t="str">
        <f t="shared" si="12"/>
        <v>C</v>
      </c>
      <c r="F178" s="21">
        <v>100</v>
      </c>
      <c r="G178" s="21" t="s">
        <v>80</v>
      </c>
      <c r="H178" s="21">
        <v>3</v>
      </c>
      <c r="I178" s="21">
        <v>190</v>
      </c>
      <c r="J178" s="21"/>
      <c r="K178" s="21"/>
      <c r="L178" s="16">
        <v>45197</v>
      </c>
      <c r="M178" s="22">
        <v>0.50972222222222219</v>
      </c>
      <c r="U178" s="23" t="str">
        <f t="shared" ca="1" si="8"/>
        <v/>
      </c>
      <c r="V178" s="23" t="str">
        <f t="shared" ca="1" si="9"/>
        <v/>
      </c>
    </row>
    <row r="179" spans="1:22" x14ac:dyDescent="0.25">
      <c r="A179" s="3" t="s">
        <v>60</v>
      </c>
      <c r="B179" s="13">
        <v>3100</v>
      </c>
      <c r="C179" s="13">
        <v>100</v>
      </c>
      <c r="D179" s="13" t="s">
        <v>73</v>
      </c>
      <c r="E179" s="21" t="str">
        <f t="shared" si="12"/>
        <v>C</v>
      </c>
      <c r="F179" s="21">
        <v>100</v>
      </c>
      <c r="G179" s="21" t="s">
        <v>80</v>
      </c>
      <c r="H179" s="21">
        <v>3</v>
      </c>
      <c r="I179" s="21">
        <v>180</v>
      </c>
      <c r="J179" s="21"/>
      <c r="K179" s="21"/>
      <c r="L179" s="16">
        <v>45197</v>
      </c>
      <c r="M179" s="22">
        <v>0.53749999999999998</v>
      </c>
      <c r="U179" s="23" t="str">
        <f t="shared" ca="1" si="8"/>
        <v/>
      </c>
      <c r="V179" s="23" t="str">
        <f t="shared" ca="1" si="9"/>
        <v/>
      </c>
    </row>
    <row r="180" spans="1:22" x14ac:dyDescent="0.25">
      <c r="A180" s="3" t="s">
        <v>60</v>
      </c>
      <c r="B180" s="13">
        <v>3110</v>
      </c>
      <c r="C180" s="13">
        <v>100</v>
      </c>
      <c r="D180" s="13" t="s">
        <v>66</v>
      </c>
      <c r="E180" s="21" t="str">
        <f t="shared" si="12"/>
        <v>M</v>
      </c>
      <c r="F180" s="21">
        <v>90</v>
      </c>
      <c r="G180" s="21" t="s">
        <v>80</v>
      </c>
      <c r="H180" s="21">
        <v>3</v>
      </c>
      <c r="I180" s="21">
        <v>138</v>
      </c>
      <c r="J180" s="21"/>
      <c r="K180" s="21"/>
      <c r="L180" s="16">
        <v>45197</v>
      </c>
      <c r="M180" s="22">
        <v>0.56597222222222221</v>
      </c>
      <c r="U180" s="23" t="str">
        <f t="shared" ca="1" si="8"/>
        <v/>
      </c>
      <c r="V180" s="23" t="str">
        <f t="shared" ca="1" si="9"/>
        <v/>
      </c>
    </row>
    <row r="181" spans="1:22" x14ac:dyDescent="0.25">
      <c r="A181" s="3" t="s">
        <v>60</v>
      </c>
      <c r="B181" s="13">
        <v>3120</v>
      </c>
      <c r="C181" s="13">
        <v>90</v>
      </c>
      <c r="D181" s="13" t="s">
        <v>70</v>
      </c>
      <c r="E181" s="21" t="str">
        <f t="shared" si="12"/>
        <v>C</v>
      </c>
      <c r="F181" s="21">
        <v>80</v>
      </c>
      <c r="G181" s="21" t="s">
        <v>47</v>
      </c>
      <c r="H181" s="21">
        <v>2.5</v>
      </c>
      <c r="I181" s="21">
        <v>215</v>
      </c>
      <c r="J181" s="21"/>
      <c r="K181" s="21"/>
      <c r="L181" s="16">
        <v>45197</v>
      </c>
      <c r="M181" s="22">
        <v>0.59305555555555556</v>
      </c>
      <c r="U181" s="23" t="str">
        <f t="shared" ca="1" si="8"/>
        <v/>
      </c>
      <c r="V181" s="23" t="str">
        <f t="shared" ca="1" si="9"/>
        <v/>
      </c>
    </row>
    <row r="182" spans="1:22" x14ac:dyDescent="0.25">
      <c r="A182" s="3" t="s">
        <v>60</v>
      </c>
      <c r="B182" s="13">
        <v>3130</v>
      </c>
      <c r="C182" s="13">
        <v>90</v>
      </c>
      <c r="D182" s="13" t="s">
        <v>70</v>
      </c>
      <c r="E182" s="21" t="str">
        <f t="shared" si="12"/>
        <v>C</v>
      </c>
      <c r="F182" s="21">
        <v>100</v>
      </c>
      <c r="G182" s="21" t="s">
        <v>80</v>
      </c>
      <c r="H182" s="21">
        <v>3</v>
      </c>
      <c r="I182" s="21">
        <v>204</v>
      </c>
      <c r="J182" s="21"/>
      <c r="K182" s="21"/>
      <c r="L182" s="16">
        <v>45197</v>
      </c>
      <c r="M182" s="22">
        <v>0.6118055555555556</v>
      </c>
      <c r="U182" s="23" t="str">
        <f t="shared" ca="1" si="8"/>
        <v/>
      </c>
      <c r="V182" s="23" t="str">
        <f t="shared" ca="1" si="9"/>
        <v/>
      </c>
    </row>
    <row r="183" spans="1:22" x14ac:dyDescent="0.25">
      <c r="A183" s="3" t="s">
        <v>60</v>
      </c>
      <c r="B183" s="13">
        <v>3140</v>
      </c>
      <c r="C183" s="13">
        <v>100</v>
      </c>
      <c r="D183" s="13" t="s">
        <v>70</v>
      </c>
      <c r="E183" s="21" t="str">
        <f t="shared" si="12"/>
        <v>C</v>
      </c>
      <c r="F183" s="21">
        <v>100</v>
      </c>
      <c r="G183" s="21" t="s">
        <v>80</v>
      </c>
      <c r="H183" s="21">
        <v>3</v>
      </c>
      <c r="I183" s="21">
        <v>180</v>
      </c>
      <c r="J183" s="21"/>
      <c r="K183" s="21"/>
      <c r="L183" s="16">
        <v>45197</v>
      </c>
      <c r="M183" s="22">
        <v>0.63541666666666663</v>
      </c>
      <c r="U183" s="23" t="str">
        <f t="shared" ca="1" si="8"/>
        <v/>
      </c>
      <c r="V183" s="23" t="str">
        <f t="shared" ca="1" si="9"/>
        <v/>
      </c>
    </row>
    <row r="184" spans="1:22" x14ac:dyDescent="0.25">
      <c r="A184" s="3" t="s">
        <v>60</v>
      </c>
      <c r="B184" s="13">
        <v>3150</v>
      </c>
      <c r="C184" s="13">
        <v>100</v>
      </c>
      <c r="D184" s="13" t="s">
        <v>68</v>
      </c>
      <c r="E184" s="21" t="str">
        <f t="shared" si="12"/>
        <v>M</v>
      </c>
      <c r="F184" s="21">
        <v>100</v>
      </c>
      <c r="G184" s="21" t="s">
        <v>80</v>
      </c>
      <c r="H184" s="21">
        <v>3</v>
      </c>
      <c r="I184" s="21">
        <v>174</v>
      </c>
      <c r="J184" s="21"/>
      <c r="K184" s="21"/>
      <c r="L184" s="16">
        <v>45197</v>
      </c>
      <c r="M184" s="22">
        <v>0.66388888888888886</v>
      </c>
      <c r="U184" s="23" t="str">
        <f t="shared" ca="1" si="8"/>
        <v/>
      </c>
      <c r="V184" s="23" t="str">
        <f t="shared" ca="1" si="9"/>
        <v/>
      </c>
    </row>
    <row r="185" spans="1:22" x14ac:dyDescent="0.25">
      <c r="A185" s="3" t="s">
        <v>60</v>
      </c>
      <c r="B185" s="13">
        <v>3160</v>
      </c>
      <c r="C185" s="13">
        <v>100</v>
      </c>
      <c r="D185" s="13" t="s">
        <v>68</v>
      </c>
      <c r="E185" s="21" t="str">
        <f t="shared" si="12"/>
        <v>M</v>
      </c>
      <c r="F185" s="21">
        <v>100</v>
      </c>
      <c r="G185" s="21" t="s">
        <v>80</v>
      </c>
      <c r="H185" s="21">
        <v>3</v>
      </c>
      <c r="I185" s="21">
        <v>178</v>
      </c>
      <c r="J185" s="21"/>
      <c r="K185" s="21"/>
      <c r="L185" s="16">
        <v>45197</v>
      </c>
      <c r="M185" s="22">
        <v>0.6875</v>
      </c>
      <c r="U185" s="23" t="str">
        <f t="shared" ca="1" si="8"/>
        <v/>
      </c>
      <c r="V185" s="23" t="str">
        <f t="shared" ca="1" si="9"/>
        <v/>
      </c>
    </row>
    <row r="186" spans="1:22" x14ac:dyDescent="0.25">
      <c r="A186" s="3" t="s">
        <v>60</v>
      </c>
      <c r="B186" s="13">
        <v>3170</v>
      </c>
      <c r="C186" s="13">
        <v>100</v>
      </c>
      <c r="D186" s="13" t="s">
        <v>93</v>
      </c>
      <c r="E186" s="21" t="str">
        <f t="shared" si="12"/>
        <v>VC</v>
      </c>
      <c r="F186" s="21">
        <v>100</v>
      </c>
      <c r="G186" s="21" t="s">
        <v>80</v>
      </c>
      <c r="H186" s="21">
        <v>3</v>
      </c>
      <c r="I186" s="21">
        <v>191</v>
      </c>
      <c r="J186" s="21"/>
      <c r="K186" s="21"/>
      <c r="L186" s="16">
        <v>45197</v>
      </c>
      <c r="M186" s="22">
        <v>0.71527777777777779</v>
      </c>
      <c r="U186" s="23" t="str">
        <f t="shared" ca="1" si="8"/>
        <v/>
      </c>
      <c r="V186" s="23" t="str">
        <f t="shared" ca="1" si="9"/>
        <v/>
      </c>
    </row>
    <row r="187" spans="1:22" x14ac:dyDescent="0.25">
      <c r="A187" s="3" t="s">
        <v>60</v>
      </c>
      <c r="B187" s="13">
        <v>3180</v>
      </c>
      <c r="C187" s="13">
        <v>100</v>
      </c>
      <c r="D187" s="13" t="s">
        <v>93</v>
      </c>
      <c r="E187" s="21" t="str">
        <f t="shared" si="12"/>
        <v>VC</v>
      </c>
      <c r="F187" s="21">
        <v>100</v>
      </c>
      <c r="G187" s="21" t="s">
        <v>80</v>
      </c>
      <c r="H187" s="21">
        <v>3</v>
      </c>
      <c r="I187" s="21">
        <v>181</v>
      </c>
      <c r="J187" s="21"/>
      <c r="K187" s="21"/>
      <c r="L187" s="16">
        <v>45197</v>
      </c>
      <c r="M187" s="22">
        <v>0.73472222222222217</v>
      </c>
      <c r="U187" s="23" t="str">
        <f t="shared" ca="1" si="8"/>
        <v/>
      </c>
      <c r="V187" s="23" t="str">
        <f t="shared" ca="1" si="9"/>
        <v/>
      </c>
    </row>
    <row r="188" spans="1:22" x14ac:dyDescent="0.25">
      <c r="A188" s="3" t="s">
        <v>60</v>
      </c>
      <c r="B188" s="13">
        <v>3186</v>
      </c>
      <c r="C188" s="13">
        <v>100</v>
      </c>
      <c r="D188" s="13" t="s">
        <v>93</v>
      </c>
      <c r="E188" s="21" t="str">
        <f t="shared" si="12"/>
        <v>VC</v>
      </c>
      <c r="F188" s="21">
        <v>100</v>
      </c>
      <c r="G188" s="21" t="s">
        <v>80</v>
      </c>
      <c r="H188" s="21">
        <v>3</v>
      </c>
      <c r="I188" s="21">
        <v>190</v>
      </c>
      <c r="J188" s="21"/>
      <c r="K188" s="21"/>
      <c r="L188" s="16">
        <v>45197</v>
      </c>
      <c r="M188" s="22">
        <v>0.75</v>
      </c>
      <c r="U188" s="23" t="str">
        <f t="shared" ca="1" si="8"/>
        <v/>
      </c>
      <c r="V188" s="23" t="str">
        <f t="shared" ca="1" si="9"/>
        <v/>
      </c>
    </row>
    <row r="189" spans="1:22" x14ac:dyDescent="0.25">
      <c r="B189" s="13"/>
      <c r="C189" s="13"/>
      <c r="D189" s="13"/>
      <c r="E189" s="21" t="str">
        <f t="shared" si="12"/>
        <v/>
      </c>
      <c r="F189" s="21"/>
      <c r="G189" s="21"/>
      <c r="H189" s="21"/>
      <c r="I189" s="21"/>
      <c r="J189" s="21"/>
      <c r="K189" s="21"/>
      <c r="L189" s="16" t="str">
        <f t="shared" ref="L189:L252" ca="1" si="13">IF(AND(C189&lt;&gt;"",C189&lt;&gt;U189),TODAY(),IF(C189="","",L189))</f>
        <v/>
      </c>
      <c r="M189" s="22" t="str">
        <f t="shared" ref="M189:M252" ca="1" si="14">IF(AND(C189&lt;&gt;"",C189&lt;&gt;V189),NOW(),IF(C189="","",M189))</f>
        <v/>
      </c>
      <c r="U189" s="23" t="str">
        <f t="shared" si="8"/>
        <v/>
      </c>
      <c r="V189" s="23" t="str">
        <f t="shared" si="9"/>
        <v/>
      </c>
    </row>
    <row r="190" spans="1:22" x14ac:dyDescent="0.25">
      <c r="B190" s="13"/>
      <c r="C190" s="13"/>
      <c r="D190" s="13"/>
      <c r="E190" s="21" t="str">
        <f t="shared" si="12"/>
        <v/>
      </c>
      <c r="F190" s="21"/>
      <c r="G190" s="21"/>
      <c r="H190" s="21"/>
      <c r="I190" s="21"/>
      <c r="J190" s="21"/>
      <c r="K190" s="21"/>
      <c r="L190" s="16" t="str">
        <f t="shared" ca="1" si="13"/>
        <v/>
      </c>
      <c r="M190" s="22" t="str">
        <f t="shared" ca="1" si="14"/>
        <v/>
      </c>
      <c r="U190" s="23" t="str">
        <f t="shared" si="8"/>
        <v/>
      </c>
      <c r="V190" s="23" t="str">
        <f t="shared" si="9"/>
        <v/>
      </c>
    </row>
    <row r="191" spans="1:22" x14ac:dyDescent="0.25">
      <c r="B191" s="13"/>
      <c r="C191" s="13"/>
      <c r="D191" s="13"/>
      <c r="E191" s="21" t="str">
        <f t="shared" si="12"/>
        <v/>
      </c>
      <c r="F191" s="21"/>
      <c r="G191" s="21"/>
      <c r="H191" s="21"/>
      <c r="I191" s="21"/>
      <c r="J191" s="21"/>
      <c r="K191" s="21"/>
      <c r="L191" s="16" t="str">
        <f t="shared" ca="1" si="13"/>
        <v/>
      </c>
      <c r="M191" s="22" t="str">
        <f t="shared" ca="1" si="14"/>
        <v/>
      </c>
      <c r="U191" s="23" t="str">
        <f t="shared" si="8"/>
        <v/>
      </c>
      <c r="V191" s="23" t="str">
        <f t="shared" si="9"/>
        <v/>
      </c>
    </row>
    <row r="192" spans="1:22" x14ac:dyDescent="0.25">
      <c r="B192" s="13"/>
      <c r="C192" s="13"/>
      <c r="D192" s="13"/>
      <c r="E192" s="21" t="str">
        <f t="shared" si="12"/>
        <v/>
      </c>
      <c r="F192" s="21"/>
      <c r="G192" s="21"/>
      <c r="H192" s="21"/>
      <c r="I192" s="21"/>
      <c r="J192" s="21"/>
      <c r="K192" s="21"/>
      <c r="L192" s="16" t="str">
        <f t="shared" ca="1" si="13"/>
        <v/>
      </c>
      <c r="M192" s="22" t="str">
        <f t="shared" ca="1" si="14"/>
        <v/>
      </c>
      <c r="U192" s="23" t="str">
        <f t="shared" si="8"/>
        <v/>
      </c>
      <c r="V192" s="23" t="str">
        <f t="shared" si="9"/>
        <v/>
      </c>
    </row>
    <row r="193" spans="2:22" x14ac:dyDescent="0.25">
      <c r="B193" s="13"/>
      <c r="C193" s="13"/>
      <c r="D193" s="13"/>
      <c r="E193" s="21" t="str">
        <f t="shared" si="12"/>
        <v/>
      </c>
      <c r="F193" s="21"/>
      <c r="G193" s="21"/>
      <c r="H193" s="21"/>
      <c r="I193" s="21"/>
      <c r="J193" s="21"/>
      <c r="K193" s="21"/>
      <c r="L193" s="16" t="str">
        <f t="shared" ca="1" si="13"/>
        <v/>
      </c>
      <c r="M193" s="22" t="str">
        <f t="shared" ca="1" si="14"/>
        <v/>
      </c>
      <c r="U193" s="23" t="str">
        <f t="shared" si="8"/>
        <v/>
      </c>
      <c r="V193" s="23" t="str">
        <f t="shared" si="9"/>
        <v/>
      </c>
    </row>
    <row r="194" spans="2:22" x14ac:dyDescent="0.25">
      <c r="B194" s="13"/>
      <c r="C194" s="13"/>
      <c r="D194" s="13"/>
      <c r="E194" s="21" t="str">
        <f t="shared" si="12"/>
        <v/>
      </c>
      <c r="F194" s="21"/>
      <c r="G194" s="21"/>
      <c r="H194" s="21"/>
      <c r="I194" s="21"/>
      <c r="J194" s="21"/>
      <c r="K194" s="21"/>
      <c r="L194" s="16" t="str">
        <f t="shared" ca="1" si="13"/>
        <v/>
      </c>
      <c r="M194" s="22" t="str">
        <f t="shared" ca="1" si="14"/>
        <v/>
      </c>
      <c r="U194" s="23" t="str">
        <f t="shared" si="8"/>
        <v/>
      </c>
      <c r="V194" s="23" t="str">
        <f t="shared" si="9"/>
        <v/>
      </c>
    </row>
    <row r="195" spans="2:22" x14ac:dyDescent="0.25">
      <c r="B195" s="13"/>
      <c r="C195" s="13"/>
      <c r="D195" s="13"/>
      <c r="E195" s="21" t="str">
        <f t="shared" si="12"/>
        <v/>
      </c>
      <c r="F195" s="21"/>
      <c r="G195" s="21"/>
      <c r="H195" s="21"/>
      <c r="I195" s="21"/>
      <c r="J195" s="21"/>
      <c r="K195" s="21"/>
      <c r="L195" s="16" t="str">
        <f t="shared" ca="1" si="13"/>
        <v/>
      </c>
      <c r="M195" s="22" t="str">
        <f t="shared" ca="1" si="14"/>
        <v/>
      </c>
      <c r="U195" s="23" t="str">
        <f t="shared" si="8"/>
        <v/>
      </c>
      <c r="V195" s="23" t="str">
        <f t="shared" si="9"/>
        <v/>
      </c>
    </row>
    <row r="196" spans="2:22" x14ac:dyDescent="0.25">
      <c r="B196" s="13"/>
      <c r="C196" s="13"/>
      <c r="D196" s="13"/>
      <c r="E196" s="21" t="str">
        <f t="shared" si="12"/>
        <v/>
      </c>
      <c r="F196" s="21"/>
      <c r="G196" s="21"/>
      <c r="H196" s="21"/>
      <c r="I196" s="21"/>
      <c r="J196" s="21"/>
      <c r="K196" s="21"/>
      <c r="L196" s="16" t="str">
        <f t="shared" ca="1" si="13"/>
        <v/>
      </c>
      <c r="M196" s="22" t="str">
        <f t="shared" ca="1" si="14"/>
        <v/>
      </c>
      <c r="U196" s="23" t="str">
        <f t="shared" ref="U196:U259" si="15">IF(C196="","",IF(OR(L196="",AND(ISNUMBER(U196),C196=U196)),U196,C196))</f>
        <v/>
      </c>
      <c r="V196" s="23" t="str">
        <f t="shared" ref="V196:V259" si="16">IF(C196="","",IF(OR(M196="",AND(ISNUMBER(V196),C196=V196)),V196,C196))</f>
        <v/>
      </c>
    </row>
    <row r="197" spans="2:22" x14ac:dyDescent="0.25">
      <c r="B197" s="13"/>
      <c r="C197" s="13"/>
      <c r="D197" s="13"/>
      <c r="E197" s="21" t="str">
        <f t="shared" si="12"/>
        <v/>
      </c>
      <c r="F197" s="21"/>
      <c r="G197" s="21"/>
      <c r="H197" s="21"/>
      <c r="I197" s="21"/>
      <c r="J197" s="21"/>
      <c r="K197" s="21"/>
      <c r="L197" s="16" t="str">
        <f t="shared" ca="1" si="13"/>
        <v/>
      </c>
      <c r="M197" s="22" t="str">
        <f t="shared" ca="1" si="14"/>
        <v/>
      </c>
      <c r="U197" s="23" t="str">
        <f t="shared" si="15"/>
        <v/>
      </c>
      <c r="V197" s="23" t="str">
        <f t="shared" si="16"/>
        <v/>
      </c>
    </row>
    <row r="198" spans="2:22" x14ac:dyDescent="0.25">
      <c r="B198" s="13"/>
      <c r="C198" s="13"/>
      <c r="D198" s="13"/>
      <c r="E198" s="21" t="str">
        <f t="shared" si="12"/>
        <v/>
      </c>
      <c r="F198" s="21"/>
      <c r="G198" s="21"/>
      <c r="H198" s="21"/>
      <c r="I198" s="21"/>
      <c r="J198" s="21"/>
      <c r="K198" s="21"/>
      <c r="L198" s="16" t="str">
        <f t="shared" ca="1" si="13"/>
        <v/>
      </c>
      <c r="M198" s="22" t="str">
        <f t="shared" ca="1" si="14"/>
        <v/>
      </c>
      <c r="U198" s="23" t="str">
        <f t="shared" si="15"/>
        <v/>
      </c>
      <c r="V198" s="23" t="str">
        <f t="shared" si="16"/>
        <v/>
      </c>
    </row>
    <row r="199" spans="2:22" x14ac:dyDescent="0.25">
      <c r="B199" s="13"/>
      <c r="C199" s="13"/>
      <c r="D199" s="13"/>
      <c r="E199" s="21" t="str">
        <f t="shared" si="12"/>
        <v/>
      </c>
      <c r="F199" s="21"/>
      <c r="G199" s="21"/>
      <c r="H199" s="21"/>
      <c r="I199" s="21"/>
      <c r="J199" s="21"/>
      <c r="K199" s="21"/>
      <c r="L199" s="16" t="str">
        <f t="shared" ca="1" si="13"/>
        <v/>
      </c>
      <c r="M199" s="22" t="str">
        <f t="shared" ca="1" si="14"/>
        <v/>
      </c>
      <c r="U199" s="23" t="str">
        <f t="shared" si="15"/>
        <v/>
      </c>
      <c r="V199" s="23" t="str">
        <f t="shared" si="16"/>
        <v/>
      </c>
    </row>
    <row r="200" spans="2:22" x14ac:dyDescent="0.25">
      <c r="B200" s="13"/>
      <c r="C200" s="13"/>
      <c r="D200" s="13"/>
      <c r="E200" s="21" t="str">
        <f t="shared" si="12"/>
        <v/>
      </c>
      <c r="F200" s="21"/>
      <c r="G200" s="21"/>
      <c r="H200" s="21"/>
      <c r="I200" s="21"/>
      <c r="J200" s="21"/>
      <c r="K200" s="21"/>
      <c r="L200" s="16" t="str">
        <f t="shared" ca="1" si="13"/>
        <v/>
      </c>
      <c r="M200" s="22" t="str">
        <f t="shared" ca="1" si="14"/>
        <v/>
      </c>
      <c r="U200" s="23" t="str">
        <f t="shared" si="15"/>
        <v/>
      </c>
      <c r="V200" s="23" t="str">
        <f t="shared" si="16"/>
        <v/>
      </c>
    </row>
    <row r="201" spans="2:22" x14ac:dyDescent="0.25">
      <c r="B201" s="13"/>
      <c r="C201" s="13"/>
      <c r="D201" s="13"/>
      <c r="E201" s="21" t="str">
        <f t="shared" si="12"/>
        <v/>
      </c>
      <c r="F201" s="21"/>
      <c r="G201" s="21"/>
      <c r="H201" s="21"/>
      <c r="I201" s="21"/>
      <c r="J201" s="21"/>
      <c r="K201" s="21"/>
      <c r="L201" s="16" t="str">
        <f t="shared" ca="1" si="13"/>
        <v/>
      </c>
      <c r="M201" s="22" t="str">
        <f t="shared" ca="1" si="14"/>
        <v/>
      </c>
      <c r="U201" s="23" t="str">
        <f t="shared" si="15"/>
        <v/>
      </c>
      <c r="V201" s="23" t="str">
        <f t="shared" si="16"/>
        <v/>
      </c>
    </row>
    <row r="202" spans="2:22" x14ac:dyDescent="0.25">
      <c r="B202" s="13"/>
      <c r="C202" s="13"/>
      <c r="D202" s="13"/>
      <c r="E202" s="21" t="str">
        <f t="shared" si="12"/>
        <v/>
      </c>
      <c r="F202" s="21"/>
      <c r="G202" s="21"/>
      <c r="H202" s="21"/>
      <c r="I202" s="21"/>
      <c r="J202" s="21"/>
      <c r="K202" s="21"/>
      <c r="L202" s="16" t="str">
        <f t="shared" ca="1" si="13"/>
        <v/>
      </c>
      <c r="M202" s="22" t="str">
        <f t="shared" ca="1" si="14"/>
        <v/>
      </c>
      <c r="U202" s="23" t="str">
        <f t="shared" si="15"/>
        <v/>
      </c>
      <c r="V202" s="23" t="str">
        <f t="shared" si="16"/>
        <v/>
      </c>
    </row>
    <row r="203" spans="2:22" x14ac:dyDescent="0.25">
      <c r="B203" s="13"/>
      <c r="C203" s="13"/>
      <c r="D203" s="13"/>
      <c r="E203" s="21" t="str">
        <f t="shared" si="12"/>
        <v/>
      </c>
      <c r="F203" s="21"/>
      <c r="G203" s="21"/>
      <c r="H203" s="21"/>
      <c r="I203" s="21"/>
      <c r="J203" s="21"/>
      <c r="K203" s="21"/>
      <c r="L203" s="16" t="str">
        <f t="shared" ca="1" si="13"/>
        <v/>
      </c>
      <c r="M203" s="22" t="str">
        <f t="shared" ca="1" si="14"/>
        <v/>
      </c>
      <c r="U203" s="23" t="str">
        <f t="shared" si="15"/>
        <v/>
      </c>
      <c r="V203" s="23" t="str">
        <f t="shared" si="16"/>
        <v/>
      </c>
    </row>
    <row r="204" spans="2:22" x14ac:dyDescent="0.25">
      <c r="B204" s="13"/>
      <c r="C204" s="13"/>
      <c r="D204" s="13"/>
      <c r="E204" s="21" t="str">
        <f t="shared" si="12"/>
        <v/>
      </c>
      <c r="F204" s="21"/>
      <c r="G204" s="21"/>
      <c r="H204" s="21"/>
      <c r="I204" s="21"/>
      <c r="J204" s="21"/>
      <c r="K204" s="21"/>
      <c r="L204" s="16" t="str">
        <f t="shared" ca="1" si="13"/>
        <v/>
      </c>
      <c r="M204" s="22" t="str">
        <f t="shared" ca="1" si="14"/>
        <v/>
      </c>
      <c r="U204" s="23" t="str">
        <f t="shared" si="15"/>
        <v/>
      </c>
      <c r="V204" s="23" t="str">
        <f t="shared" si="16"/>
        <v/>
      </c>
    </row>
    <row r="205" spans="2:22" x14ac:dyDescent="0.25">
      <c r="B205" s="13"/>
      <c r="C205" s="13"/>
      <c r="D205" s="13"/>
      <c r="E205" s="21" t="str">
        <f t="shared" si="12"/>
        <v/>
      </c>
      <c r="F205" s="21"/>
      <c r="G205" s="21"/>
      <c r="H205" s="21"/>
      <c r="I205" s="21"/>
      <c r="J205" s="21"/>
      <c r="K205" s="21"/>
      <c r="L205" s="16" t="str">
        <f t="shared" ca="1" si="13"/>
        <v/>
      </c>
      <c r="M205" s="22" t="str">
        <f t="shared" ca="1" si="14"/>
        <v/>
      </c>
      <c r="U205" s="23" t="str">
        <f t="shared" si="15"/>
        <v/>
      </c>
      <c r="V205" s="23" t="str">
        <f t="shared" si="16"/>
        <v/>
      </c>
    </row>
    <row r="206" spans="2:22" x14ac:dyDescent="0.25">
      <c r="B206" s="13"/>
      <c r="C206" s="13"/>
      <c r="D206" s="13"/>
      <c r="E206" s="21" t="str">
        <f t="shared" si="12"/>
        <v/>
      </c>
      <c r="F206" s="21"/>
      <c r="G206" s="21"/>
      <c r="H206" s="21"/>
      <c r="I206" s="21"/>
      <c r="J206" s="21"/>
      <c r="K206" s="21"/>
      <c r="L206" s="16" t="str">
        <f t="shared" ca="1" si="13"/>
        <v/>
      </c>
      <c r="M206" s="22" t="str">
        <f t="shared" ca="1" si="14"/>
        <v/>
      </c>
      <c r="U206" s="23" t="str">
        <f t="shared" si="15"/>
        <v/>
      </c>
      <c r="V206" s="23" t="str">
        <f t="shared" si="16"/>
        <v/>
      </c>
    </row>
    <row r="207" spans="2:22" x14ac:dyDescent="0.25">
      <c r="B207" s="13"/>
      <c r="C207" s="13"/>
      <c r="D207" s="13"/>
      <c r="E207" s="21" t="str">
        <f t="shared" si="12"/>
        <v/>
      </c>
      <c r="F207" s="21"/>
      <c r="G207" s="21"/>
      <c r="H207" s="21"/>
      <c r="I207" s="21"/>
      <c r="J207" s="21"/>
      <c r="K207" s="21"/>
      <c r="L207" s="16" t="str">
        <f t="shared" ca="1" si="13"/>
        <v/>
      </c>
      <c r="M207" s="22" t="str">
        <f t="shared" ca="1" si="14"/>
        <v/>
      </c>
      <c r="U207" s="23" t="str">
        <f t="shared" si="15"/>
        <v/>
      </c>
      <c r="V207" s="23" t="str">
        <f t="shared" si="16"/>
        <v/>
      </c>
    </row>
    <row r="208" spans="2:22" x14ac:dyDescent="0.25">
      <c r="B208" s="13"/>
      <c r="C208" s="13"/>
      <c r="D208" s="13"/>
      <c r="E208" s="21" t="str">
        <f t="shared" si="12"/>
        <v/>
      </c>
      <c r="F208" s="21"/>
      <c r="G208" s="21"/>
      <c r="H208" s="21"/>
      <c r="I208" s="21"/>
      <c r="J208" s="21"/>
      <c r="K208" s="21"/>
      <c r="L208" s="16" t="str">
        <f t="shared" ca="1" si="13"/>
        <v/>
      </c>
      <c r="M208" s="22" t="str">
        <f t="shared" ca="1" si="14"/>
        <v/>
      </c>
      <c r="U208" s="23" t="str">
        <f t="shared" si="15"/>
        <v/>
      </c>
      <c r="V208" s="23" t="str">
        <f t="shared" si="16"/>
        <v/>
      </c>
    </row>
    <row r="209" spans="2:22" x14ac:dyDescent="0.25">
      <c r="B209" s="13"/>
      <c r="C209" s="13"/>
      <c r="D209" s="13"/>
      <c r="E209" s="21" t="str">
        <f t="shared" si="12"/>
        <v/>
      </c>
      <c r="F209" s="21"/>
      <c r="G209" s="21"/>
      <c r="H209" s="21"/>
      <c r="I209" s="21"/>
      <c r="J209" s="21"/>
      <c r="K209" s="21"/>
      <c r="L209" s="16" t="str">
        <f t="shared" ca="1" si="13"/>
        <v/>
      </c>
      <c r="M209" s="22" t="str">
        <f t="shared" ca="1" si="14"/>
        <v/>
      </c>
      <c r="U209" s="23" t="str">
        <f t="shared" si="15"/>
        <v/>
      </c>
      <c r="V209" s="23" t="str">
        <f t="shared" si="16"/>
        <v/>
      </c>
    </row>
    <row r="210" spans="2:22" x14ac:dyDescent="0.25">
      <c r="B210" s="13"/>
      <c r="C210" s="13"/>
      <c r="D210" s="13"/>
      <c r="E210" s="21" t="str">
        <f t="shared" si="12"/>
        <v/>
      </c>
      <c r="F210" s="21"/>
      <c r="G210" s="21"/>
      <c r="H210" s="21"/>
      <c r="I210" s="21"/>
      <c r="J210" s="21"/>
      <c r="K210" s="21"/>
      <c r="L210" s="16" t="str">
        <f t="shared" ca="1" si="13"/>
        <v/>
      </c>
      <c r="M210" s="22" t="str">
        <f t="shared" ca="1" si="14"/>
        <v/>
      </c>
      <c r="U210" s="23" t="str">
        <f t="shared" si="15"/>
        <v/>
      </c>
      <c r="V210" s="23" t="str">
        <f t="shared" si="16"/>
        <v/>
      </c>
    </row>
    <row r="211" spans="2:22" x14ac:dyDescent="0.25">
      <c r="B211" s="13"/>
      <c r="C211" s="13"/>
      <c r="D211" s="13"/>
      <c r="E211" s="21" t="str">
        <f t="shared" si="12"/>
        <v/>
      </c>
      <c r="F211" s="21"/>
      <c r="G211" s="21"/>
      <c r="H211" s="21"/>
      <c r="I211" s="21"/>
      <c r="J211" s="21"/>
      <c r="K211" s="21"/>
      <c r="L211" s="16" t="str">
        <f t="shared" ca="1" si="13"/>
        <v/>
      </c>
      <c r="M211" s="22" t="str">
        <f t="shared" ca="1" si="14"/>
        <v/>
      </c>
      <c r="U211" s="23" t="str">
        <f t="shared" si="15"/>
        <v/>
      </c>
      <c r="V211" s="23" t="str">
        <f t="shared" si="16"/>
        <v/>
      </c>
    </row>
    <row r="212" spans="2:22" x14ac:dyDescent="0.25">
      <c r="B212" s="13"/>
      <c r="C212" s="13"/>
      <c r="D212" s="13"/>
      <c r="E212" s="21" t="str">
        <f t="shared" si="12"/>
        <v/>
      </c>
      <c r="F212" s="21"/>
      <c r="G212" s="21"/>
      <c r="H212" s="21"/>
      <c r="I212" s="21"/>
      <c r="J212" s="21"/>
      <c r="K212" s="21"/>
      <c r="L212" s="16" t="str">
        <f t="shared" ca="1" si="13"/>
        <v/>
      </c>
      <c r="M212" s="22" t="str">
        <f t="shared" ca="1" si="14"/>
        <v/>
      </c>
      <c r="U212" s="23" t="str">
        <f t="shared" si="15"/>
        <v/>
      </c>
      <c r="V212" s="23" t="str">
        <f t="shared" si="16"/>
        <v/>
      </c>
    </row>
    <row r="213" spans="2:22" x14ac:dyDescent="0.25">
      <c r="B213" s="13"/>
      <c r="C213" s="13"/>
      <c r="D213" s="13"/>
      <c r="E213" s="21" t="str">
        <f t="shared" si="12"/>
        <v/>
      </c>
      <c r="F213" s="21"/>
      <c r="G213" s="21"/>
      <c r="H213" s="21"/>
      <c r="I213" s="21"/>
      <c r="J213" s="21"/>
      <c r="K213" s="21"/>
      <c r="L213" s="16" t="str">
        <f t="shared" ca="1" si="13"/>
        <v/>
      </c>
      <c r="M213" s="22" t="str">
        <f t="shared" ca="1" si="14"/>
        <v/>
      </c>
      <c r="U213" s="23" t="str">
        <f t="shared" si="15"/>
        <v/>
      </c>
      <c r="V213" s="23" t="str">
        <f t="shared" si="16"/>
        <v/>
      </c>
    </row>
    <row r="214" spans="2:22" x14ac:dyDescent="0.25">
      <c r="B214" s="13"/>
      <c r="C214" s="13"/>
      <c r="D214" s="13"/>
      <c r="E214" s="21" t="str">
        <f t="shared" si="12"/>
        <v/>
      </c>
      <c r="F214" s="21"/>
      <c r="G214" s="21"/>
      <c r="H214" s="21"/>
      <c r="I214" s="21"/>
      <c r="J214" s="21"/>
      <c r="K214" s="21"/>
      <c r="L214" s="16" t="str">
        <f t="shared" ca="1" si="13"/>
        <v/>
      </c>
      <c r="M214" s="22" t="str">
        <f t="shared" ca="1" si="14"/>
        <v/>
      </c>
      <c r="U214" s="23" t="str">
        <f t="shared" si="15"/>
        <v/>
      </c>
      <c r="V214" s="23" t="str">
        <f t="shared" si="16"/>
        <v/>
      </c>
    </row>
    <row r="215" spans="2:22" x14ac:dyDescent="0.25">
      <c r="B215" s="13"/>
      <c r="C215" s="13"/>
      <c r="D215" s="13"/>
      <c r="E215" s="21" t="str">
        <f t="shared" si="12"/>
        <v/>
      </c>
      <c r="F215" s="21"/>
      <c r="G215" s="21"/>
      <c r="H215" s="21"/>
      <c r="I215" s="21"/>
      <c r="J215" s="21"/>
      <c r="K215" s="21"/>
      <c r="L215" s="16" t="str">
        <f t="shared" ca="1" si="13"/>
        <v/>
      </c>
      <c r="M215" s="22" t="str">
        <f t="shared" ca="1" si="14"/>
        <v/>
      </c>
      <c r="U215" s="23" t="str">
        <f t="shared" si="15"/>
        <v/>
      </c>
      <c r="V215" s="23" t="str">
        <f t="shared" si="16"/>
        <v/>
      </c>
    </row>
    <row r="216" spans="2:22" x14ac:dyDescent="0.25">
      <c r="B216" s="13"/>
      <c r="C216" s="13"/>
      <c r="D216" s="13"/>
      <c r="E216" s="21" t="str">
        <f t="shared" si="12"/>
        <v/>
      </c>
      <c r="F216" s="21"/>
      <c r="G216" s="21"/>
      <c r="H216" s="21"/>
      <c r="I216" s="21"/>
      <c r="J216" s="21"/>
      <c r="K216" s="21"/>
      <c r="L216" s="16" t="str">
        <f t="shared" ca="1" si="13"/>
        <v/>
      </c>
      <c r="M216" s="22" t="str">
        <f t="shared" ca="1" si="14"/>
        <v/>
      </c>
      <c r="U216" s="23" t="str">
        <f t="shared" si="15"/>
        <v/>
      </c>
      <c r="V216" s="23" t="str">
        <f t="shared" si="16"/>
        <v/>
      </c>
    </row>
    <row r="217" spans="2:22" x14ac:dyDescent="0.25">
      <c r="B217" s="13"/>
      <c r="C217" s="13"/>
      <c r="D217" s="13"/>
      <c r="E217" s="21" t="str">
        <f t="shared" si="12"/>
        <v/>
      </c>
      <c r="F217" s="21"/>
      <c r="G217" s="21"/>
      <c r="H217" s="21"/>
      <c r="I217" s="21"/>
      <c r="J217" s="21"/>
      <c r="K217" s="21"/>
      <c r="L217" s="16" t="str">
        <f t="shared" ca="1" si="13"/>
        <v/>
      </c>
      <c r="M217" s="22" t="str">
        <f t="shared" ca="1" si="14"/>
        <v/>
      </c>
      <c r="U217" s="23" t="str">
        <f t="shared" si="15"/>
        <v/>
      </c>
      <c r="V217" s="23" t="str">
        <f t="shared" si="16"/>
        <v/>
      </c>
    </row>
    <row r="218" spans="2:22" x14ac:dyDescent="0.25">
      <c r="B218" s="13"/>
      <c r="C218" s="13"/>
      <c r="D218" s="13"/>
      <c r="E218" s="21" t="str">
        <f t="shared" si="12"/>
        <v/>
      </c>
      <c r="F218" s="21"/>
      <c r="G218" s="21"/>
      <c r="H218" s="21"/>
      <c r="I218" s="21"/>
      <c r="J218" s="21"/>
      <c r="K218" s="21"/>
      <c r="L218" s="16" t="str">
        <f t="shared" ca="1" si="13"/>
        <v/>
      </c>
      <c r="M218" s="22" t="str">
        <f t="shared" ca="1" si="14"/>
        <v/>
      </c>
      <c r="U218" s="23" t="str">
        <f t="shared" si="15"/>
        <v/>
      </c>
      <c r="V218" s="23" t="str">
        <f t="shared" si="16"/>
        <v/>
      </c>
    </row>
    <row r="219" spans="2:22" x14ac:dyDescent="0.25">
      <c r="B219" s="13"/>
      <c r="C219" s="13"/>
      <c r="D219" s="13"/>
      <c r="E219" s="21" t="str">
        <f t="shared" si="12"/>
        <v/>
      </c>
      <c r="F219" s="21"/>
      <c r="G219" s="21"/>
      <c r="H219" s="21"/>
      <c r="I219" s="21"/>
      <c r="J219" s="21"/>
      <c r="K219" s="21"/>
      <c r="L219" s="16" t="str">
        <f t="shared" ca="1" si="13"/>
        <v/>
      </c>
      <c r="M219" s="22" t="str">
        <f t="shared" ca="1" si="14"/>
        <v/>
      </c>
      <c r="U219" s="23" t="str">
        <f t="shared" si="15"/>
        <v/>
      </c>
      <c r="V219" s="23" t="str">
        <f t="shared" si="16"/>
        <v/>
      </c>
    </row>
    <row r="220" spans="2:22" x14ac:dyDescent="0.25">
      <c r="B220" s="13"/>
      <c r="C220" s="13"/>
      <c r="D220" s="13"/>
      <c r="E220" s="21" t="str">
        <f t="shared" si="12"/>
        <v/>
      </c>
      <c r="F220" s="21"/>
      <c r="G220" s="21"/>
      <c r="H220" s="21"/>
      <c r="I220" s="21"/>
      <c r="J220" s="21"/>
      <c r="K220" s="21"/>
      <c r="L220" s="16" t="str">
        <f t="shared" ca="1" si="13"/>
        <v/>
      </c>
      <c r="M220" s="22" t="str">
        <f t="shared" ca="1" si="14"/>
        <v/>
      </c>
      <c r="U220" s="23" t="str">
        <f t="shared" si="15"/>
        <v/>
      </c>
      <c r="V220" s="23" t="str">
        <f t="shared" si="16"/>
        <v/>
      </c>
    </row>
    <row r="221" spans="2:22" x14ac:dyDescent="0.25">
      <c r="B221" s="13"/>
      <c r="C221" s="13"/>
      <c r="D221" s="13"/>
      <c r="E221" s="21" t="str">
        <f t="shared" si="12"/>
        <v/>
      </c>
      <c r="F221" s="21"/>
      <c r="G221" s="21"/>
      <c r="H221" s="21"/>
      <c r="I221" s="21"/>
      <c r="J221" s="21"/>
      <c r="K221" s="21"/>
      <c r="L221" s="16" t="str">
        <f t="shared" ca="1" si="13"/>
        <v/>
      </c>
      <c r="M221" s="22" t="str">
        <f t="shared" ca="1" si="14"/>
        <v/>
      </c>
      <c r="U221" s="23" t="str">
        <f t="shared" si="15"/>
        <v/>
      </c>
      <c r="V221" s="23" t="str">
        <f t="shared" si="16"/>
        <v/>
      </c>
    </row>
    <row r="222" spans="2:22" x14ac:dyDescent="0.25">
      <c r="B222" s="13"/>
      <c r="C222" s="13"/>
      <c r="D222" s="13"/>
      <c r="E222" s="21" t="str">
        <f t="shared" si="12"/>
        <v/>
      </c>
      <c r="F222" s="21"/>
      <c r="G222" s="21"/>
      <c r="H222" s="21"/>
      <c r="I222" s="21"/>
      <c r="J222" s="21"/>
      <c r="K222" s="21"/>
      <c r="L222" s="16" t="str">
        <f t="shared" ca="1" si="13"/>
        <v/>
      </c>
      <c r="M222" s="22" t="str">
        <f t="shared" ca="1" si="14"/>
        <v/>
      </c>
      <c r="U222" s="23" t="str">
        <f t="shared" si="15"/>
        <v/>
      </c>
      <c r="V222" s="23" t="str">
        <f t="shared" si="16"/>
        <v/>
      </c>
    </row>
    <row r="223" spans="2:22" x14ac:dyDescent="0.25">
      <c r="B223" s="13"/>
      <c r="C223" s="13"/>
      <c r="D223" s="13"/>
      <c r="E223" s="21" t="str">
        <f t="shared" si="12"/>
        <v/>
      </c>
      <c r="F223" s="21"/>
      <c r="G223" s="21"/>
      <c r="H223" s="21"/>
      <c r="I223" s="21"/>
      <c r="J223" s="21"/>
      <c r="K223" s="21"/>
      <c r="L223" s="16" t="str">
        <f t="shared" ca="1" si="13"/>
        <v/>
      </c>
      <c r="M223" s="22" t="str">
        <f t="shared" ca="1" si="14"/>
        <v/>
      </c>
      <c r="U223" s="23" t="str">
        <f t="shared" si="15"/>
        <v/>
      </c>
      <c r="V223" s="23" t="str">
        <f t="shared" si="16"/>
        <v/>
      </c>
    </row>
    <row r="224" spans="2:22" x14ac:dyDescent="0.25">
      <c r="B224" s="13"/>
      <c r="C224" s="13"/>
      <c r="D224" s="13"/>
      <c r="E224" s="21" t="str">
        <f t="shared" si="12"/>
        <v/>
      </c>
      <c r="F224" s="21"/>
      <c r="G224" s="21"/>
      <c r="H224" s="21"/>
      <c r="I224" s="21"/>
      <c r="J224" s="21"/>
      <c r="K224" s="21"/>
      <c r="L224" s="16" t="str">
        <f t="shared" ca="1" si="13"/>
        <v/>
      </c>
      <c r="M224" s="22" t="str">
        <f t="shared" ca="1" si="14"/>
        <v/>
      </c>
      <c r="U224" s="23" t="str">
        <f t="shared" si="15"/>
        <v/>
      </c>
      <c r="V224" s="23" t="str">
        <f t="shared" si="16"/>
        <v/>
      </c>
    </row>
    <row r="225" spans="2:22" x14ac:dyDescent="0.25">
      <c r="B225" s="13"/>
      <c r="C225" s="13"/>
      <c r="D225" s="13"/>
      <c r="E225" s="21" t="str">
        <f t="shared" si="12"/>
        <v/>
      </c>
      <c r="F225" s="21"/>
      <c r="G225" s="21"/>
      <c r="H225" s="21"/>
      <c r="I225" s="21"/>
      <c r="J225" s="21"/>
      <c r="K225" s="21"/>
      <c r="L225" s="16" t="str">
        <f t="shared" ca="1" si="13"/>
        <v/>
      </c>
      <c r="M225" s="22" t="str">
        <f t="shared" ca="1" si="14"/>
        <v/>
      </c>
      <c r="U225" s="23" t="str">
        <f t="shared" si="15"/>
        <v/>
      </c>
      <c r="V225" s="23" t="str">
        <f t="shared" si="16"/>
        <v/>
      </c>
    </row>
    <row r="226" spans="2:22" x14ac:dyDescent="0.25">
      <c r="B226" s="5"/>
      <c r="C226" s="13"/>
      <c r="D226" s="13"/>
      <c r="E226" s="21" t="str">
        <f t="shared" si="12"/>
        <v/>
      </c>
      <c r="F226" s="21"/>
      <c r="G226" s="21"/>
      <c r="H226" s="21"/>
      <c r="I226" s="21"/>
      <c r="J226" s="21"/>
      <c r="K226" s="21"/>
      <c r="L226" s="16" t="str">
        <f t="shared" ca="1" si="13"/>
        <v/>
      </c>
      <c r="M226" s="22" t="str">
        <f t="shared" ca="1" si="14"/>
        <v/>
      </c>
      <c r="U226" s="23" t="str">
        <f t="shared" si="15"/>
        <v/>
      </c>
      <c r="V226" s="23" t="str">
        <f t="shared" si="16"/>
        <v/>
      </c>
    </row>
    <row r="227" spans="2:22" x14ac:dyDescent="0.25">
      <c r="B227" s="5"/>
      <c r="C227" s="13"/>
      <c r="D227" s="13"/>
      <c r="E227" s="21" t="str">
        <f t="shared" si="12"/>
        <v/>
      </c>
      <c r="F227" s="21"/>
      <c r="G227" s="21"/>
      <c r="H227" s="21"/>
      <c r="I227" s="21"/>
      <c r="J227" s="21"/>
      <c r="K227" s="21"/>
      <c r="L227" s="16" t="str">
        <f t="shared" ca="1" si="13"/>
        <v/>
      </c>
      <c r="M227" s="22" t="str">
        <f t="shared" ca="1" si="14"/>
        <v/>
      </c>
      <c r="U227" s="23" t="str">
        <f t="shared" si="15"/>
        <v/>
      </c>
      <c r="V227" s="23" t="str">
        <f t="shared" si="16"/>
        <v/>
      </c>
    </row>
    <row r="228" spans="2:22" x14ac:dyDescent="0.25">
      <c r="B228" s="5"/>
      <c r="C228" s="13"/>
      <c r="D228" s="13"/>
      <c r="E228" s="21" t="str">
        <f t="shared" si="12"/>
        <v/>
      </c>
      <c r="F228" s="21"/>
      <c r="G228" s="21"/>
      <c r="H228" s="21"/>
      <c r="I228" s="21"/>
      <c r="J228" s="21"/>
      <c r="K228" s="21"/>
      <c r="L228" s="16" t="str">
        <f t="shared" ca="1" si="13"/>
        <v/>
      </c>
      <c r="M228" s="22" t="str">
        <f t="shared" ca="1" si="14"/>
        <v/>
      </c>
      <c r="U228" s="23" t="str">
        <f t="shared" si="15"/>
        <v/>
      </c>
      <c r="V228" s="23" t="str">
        <f t="shared" si="16"/>
        <v/>
      </c>
    </row>
    <row r="229" spans="2:22" x14ac:dyDescent="0.25">
      <c r="B229" s="5"/>
      <c r="C229" s="13"/>
      <c r="D229" s="13"/>
      <c r="E229" s="21" t="str">
        <f t="shared" ref="E229:E292" si="17">IF(ISNUMBER(SEARCH("v crs",D229))=TRUE,"VC",IF(ISNUMBER(SEARCH("crs",D229))=TRUE,"C",IF(ISNUMBER(SEARCH("med",D229))=TRUE,"M",IF(ISNUMBER(SEARCH("vf",D229))=TRUE,"VF",IF(ISNUMBER(SEARCH("f",D229))=TRUE,"F","")))))</f>
        <v/>
      </c>
      <c r="F229" s="21"/>
      <c r="G229" s="21"/>
      <c r="H229" s="21"/>
      <c r="I229" s="21"/>
      <c r="J229" s="21"/>
      <c r="K229" s="21"/>
      <c r="L229" s="16" t="str">
        <f t="shared" ca="1" si="13"/>
        <v/>
      </c>
      <c r="M229" s="22" t="str">
        <f t="shared" ca="1" si="14"/>
        <v/>
      </c>
      <c r="U229" s="23" t="str">
        <f t="shared" si="15"/>
        <v/>
      </c>
      <c r="V229" s="23" t="str">
        <f t="shared" si="16"/>
        <v/>
      </c>
    </row>
    <row r="230" spans="2:22" x14ac:dyDescent="0.25">
      <c r="B230" s="5"/>
      <c r="C230" s="13"/>
      <c r="D230" s="13"/>
      <c r="E230" s="21" t="str">
        <f t="shared" si="17"/>
        <v/>
      </c>
      <c r="F230" s="21"/>
      <c r="G230" s="21"/>
      <c r="H230" s="21"/>
      <c r="I230" s="21"/>
      <c r="J230" s="21"/>
      <c r="K230" s="21"/>
      <c r="L230" s="16" t="str">
        <f t="shared" ca="1" si="13"/>
        <v/>
      </c>
      <c r="M230" s="22" t="str">
        <f t="shared" ca="1" si="14"/>
        <v/>
      </c>
      <c r="U230" s="23" t="str">
        <f t="shared" si="15"/>
        <v/>
      </c>
      <c r="V230" s="23" t="str">
        <f t="shared" si="16"/>
        <v/>
      </c>
    </row>
    <row r="231" spans="2:22" x14ac:dyDescent="0.25">
      <c r="B231" s="5"/>
      <c r="C231" s="13"/>
      <c r="D231" s="13"/>
      <c r="E231" s="21" t="str">
        <f t="shared" si="17"/>
        <v/>
      </c>
      <c r="F231" s="21"/>
      <c r="G231" s="21"/>
      <c r="H231" s="21"/>
      <c r="I231" s="21"/>
      <c r="J231" s="21"/>
      <c r="K231" s="21"/>
      <c r="L231" s="16" t="str">
        <f t="shared" ca="1" si="13"/>
        <v/>
      </c>
      <c r="M231" s="22" t="str">
        <f t="shared" ca="1" si="14"/>
        <v/>
      </c>
      <c r="U231" s="23" t="str">
        <f t="shared" si="15"/>
        <v/>
      </c>
      <c r="V231" s="23" t="str">
        <f t="shared" si="16"/>
        <v/>
      </c>
    </row>
    <row r="232" spans="2:22" x14ac:dyDescent="0.25">
      <c r="B232" s="5"/>
      <c r="C232" s="13"/>
      <c r="D232" s="13"/>
      <c r="E232" s="21" t="str">
        <f t="shared" si="17"/>
        <v/>
      </c>
      <c r="F232" s="21"/>
      <c r="G232" s="21"/>
      <c r="H232" s="21"/>
      <c r="I232" s="21"/>
      <c r="J232" s="21"/>
      <c r="K232" s="21"/>
      <c r="L232" s="16" t="str">
        <f t="shared" ca="1" si="13"/>
        <v/>
      </c>
      <c r="M232" s="22" t="str">
        <f t="shared" ca="1" si="14"/>
        <v/>
      </c>
      <c r="U232" s="23" t="str">
        <f t="shared" si="15"/>
        <v/>
      </c>
      <c r="V232" s="23" t="str">
        <f t="shared" si="16"/>
        <v/>
      </c>
    </row>
    <row r="233" spans="2:22" x14ac:dyDescent="0.25">
      <c r="B233" s="5"/>
      <c r="C233" s="13"/>
      <c r="D233" s="13"/>
      <c r="E233" s="21" t="str">
        <f t="shared" si="17"/>
        <v/>
      </c>
      <c r="F233" s="21"/>
      <c r="G233" s="21"/>
      <c r="H233" s="21"/>
      <c r="I233" s="21"/>
      <c r="J233" s="21"/>
      <c r="K233" s="21"/>
      <c r="L233" s="16" t="str">
        <f t="shared" ca="1" si="13"/>
        <v/>
      </c>
      <c r="M233" s="22" t="str">
        <f t="shared" ca="1" si="14"/>
        <v/>
      </c>
      <c r="U233" s="23" t="str">
        <f t="shared" si="15"/>
        <v/>
      </c>
      <c r="V233" s="23" t="str">
        <f t="shared" si="16"/>
        <v/>
      </c>
    </row>
    <row r="234" spans="2:22" x14ac:dyDescent="0.25">
      <c r="B234" s="5"/>
      <c r="C234" s="13"/>
      <c r="D234" s="13"/>
      <c r="E234" s="21" t="str">
        <f t="shared" si="17"/>
        <v/>
      </c>
      <c r="F234" s="21"/>
      <c r="G234" s="21"/>
      <c r="H234" s="21"/>
      <c r="I234" s="21"/>
      <c r="J234" s="21"/>
      <c r="K234" s="21"/>
      <c r="L234" s="16" t="str">
        <f t="shared" ca="1" si="13"/>
        <v/>
      </c>
      <c r="M234" s="22" t="str">
        <f t="shared" ca="1" si="14"/>
        <v/>
      </c>
      <c r="U234" s="23" t="str">
        <f t="shared" si="15"/>
        <v/>
      </c>
      <c r="V234" s="23" t="str">
        <f t="shared" si="16"/>
        <v/>
      </c>
    </row>
    <row r="235" spans="2:22" x14ac:dyDescent="0.25">
      <c r="B235" s="5"/>
      <c r="C235" s="13"/>
      <c r="D235" s="13"/>
      <c r="E235" s="21" t="str">
        <f t="shared" si="17"/>
        <v/>
      </c>
      <c r="F235" s="21"/>
      <c r="G235" s="21"/>
      <c r="H235" s="21"/>
      <c r="I235" s="21"/>
      <c r="J235" s="21"/>
      <c r="K235" s="21"/>
      <c r="L235" s="16" t="str">
        <f t="shared" ca="1" si="13"/>
        <v/>
      </c>
      <c r="M235" s="22" t="str">
        <f t="shared" ca="1" si="14"/>
        <v/>
      </c>
      <c r="U235" s="23" t="str">
        <f t="shared" si="15"/>
        <v/>
      </c>
      <c r="V235" s="23" t="str">
        <f t="shared" si="16"/>
        <v/>
      </c>
    </row>
    <row r="236" spans="2:22" x14ac:dyDescent="0.25">
      <c r="B236" s="5"/>
      <c r="C236" s="13"/>
      <c r="D236" s="13"/>
      <c r="E236" s="21" t="str">
        <f t="shared" si="17"/>
        <v/>
      </c>
      <c r="F236" s="21"/>
      <c r="G236" s="21"/>
      <c r="H236" s="21"/>
      <c r="I236" s="21"/>
      <c r="J236" s="21"/>
      <c r="K236" s="21"/>
      <c r="L236" s="16" t="str">
        <f t="shared" ca="1" si="13"/>
        <v/>
      </c>
      <c r="M236" s="22" t="str">
        <f t="shared" ca="1" si="14"/>
        <v/>
      </c>
      <c r="U236" s="23" t="str">
        <f t="shared" si="15"/>
        <v/>
      </c>
      <c r="V236" s="23" t="str">
        <f t="shared" si="16"/>
        <v/>
      </c>
    </row>
    <row r="237" spans="2:22" x14ac:dyDescent="0.25">
      <c r="B237" s="5"/>
      <c r="C237" s="13"/>
      <c r="D237" s="13"/>
      <c r="E237" s="21" t="str">
        <f t="shared" si="17"/>
        <v/>
      </c>
      <c r="F237" s="21"/>
      <c r="G237" s="21"/>
      <c r="H237" s="21"/>
      <c r="I237" s="21"/>
      <c r="J237" s="21"/>
      <c r="K237" s="21"/>
      <c r="L237" s="16" t="str">
        <f t="shared" ca="1" si="13"/>
        <v/>
      </c>
      <c r="M237" s="22" t="str">
        <f t="shared" ca="1" si="14"/>
        <v/>
      </c>
      <c r="U237" s="23" t="str">
        <f t="shared" si="15"/>
        <v/>
      </c>
      <c r="V237" s="23" t="str">
        <f t="shared" si="16"/>
        <v/>
      </c>
    </row>
    <row r="238" spans="2:22" x14ac:dyDescent="0.25">
      <c r="B238" s="5"/>
      <c r="C238" s="13"/>
      <c r="D238" s="13"/>
      <c r="E238" s="21" t="str">
        <f t="shared" si="17"/>
        <v/>
      </c>
      <c r="F238" s="21"/>
      <c r="G238" s="21"/>
      <c r="H238" s="21"/>
      <c r="I238" s="21"/>
      <c r="J238" s="21"/>
      <c r="K238" s="21"/>
      <c r="L238" s="16" t="str">
        <f t="shared" ca="1" si="13"/>
        <v/>
      </c>
      <c r="M238" s="22" t="str">
        <f t="shared" ca="1" si="14"/>
        <v/>
      </c>
      <c r="U238" s="23" t="str">
        <f t="shared" si="15"/>
        <v/>
      </c>
      <c r="V238" s="23" t="str">
        <f t="shared" si="16"/>
        <v/>
      </c>
    </row>
    <row r="239" spans="2:22" x14ac:dyDescent="0.25">
      <c r="B239" s="5"/>
      <c r="C239" s="13"/>
      <c r="D239" s="13"/>
      <c r="E239" s="21" t="str">
        <f t="shared" si="17"/>
        <v/>
      </c>
      <c r="F239" s="21"/>
      <c r="G239" s="21"/>
      <c r="H239" s="21"/>
      <c r="I239" s="21"/>
      <c r="J239" s="21"/>
      <c r="K239" s="21"/>
      <c r="L239" s="16" t="str">
        <f t="shared" ca="1" si="13"/>
        <v/>
      </c>
      <c r="M239" s="22" t="str">
        <f t="shared" ca="1" si="14"/>
        <v/>
      </c>
      <c r="U239" s="23" t="str">
        <f t="shared" si="15"/>
        <v/>
      </c>
      <c r="V239" s="23" t="str">
        <f t="shared" si="16"/>
        <v/>
      </c>
    </row>
    <row r="240" spans="2:22" x14ac:dyDescent="0.25">
      <c r="B240" s="5"/>
      <c r="C240" s="13"/>
      <c r="D240" s="13"/>
      <c r="E240" s="21" t="str">
        <f t="shared" si="17"/>
        <v/>
      </c>
      <c r="F240" s="21"/>
      <c r="G240" s="21"/>
      <c r="H240" s="21"/>
      <c r="I240" s="21"/>
      <c r="J240" s="21"/>
      <c r="K240" s="21"/>
      <c r="L240" s="16" t="str">
        <f t="shared" ca="1" si="13"/>
        <v/>
      </c>
      <c r="M240" s="22" t="str">
        <f t="shared" ca="1" si="14"/>
        <v/>
      </c>
      <c r="U240" s="23" t="str">
        <f t="shared" si="15"/>
        <v/>
      </c>
      <c r="V240" s="23" t="str">
        <f t="shared" si="16"/>
        <v/>
      </c>
    </row>
    <row r="241" spans="2:22" x14ac:dyDescent="0.25">
      <c r="B241" s="5"/>
      <c r="C241" s="13"/>
      <c r="D241" s="13"/>
      <c r="E241" s="21" t="str">
        <f t="shared" si="17"/>
        <v/>
      </c>
      <c r="F241" s="21"/>
      <c r="G241" s="21"/>
      <c r="H241" s="21"/>
      <c r="I241" s="21"/>
      <c r="J241" s="21"/>
      <c r="K241" s="21"/>
      <c r="L241" s="16" t="str">
        <f t="shared" ca="1" si="13"/>
        <v/>
      </c>
      <c r="M241" s="22" t="str">
        <f t="shared" ca="1" si="14"/>
        <v/>
      </c>
      <c r="U241" s="23" t="str">
        <f t="shared" si="15"/>
        <v/>
      </c>
      <c r="V241" s="23" t="str">
        <f t="shared" si="16"/>
        <v/>
      </c>
    </row>
    <row r="242" spans="2:22" x14ac:dyDescent="0.25">
      <c r="B242" s="5"/>
      <c r="C242" s="13"/>
      <c r="D242" s="13"/>
      <c r="E242" s="21" t="str">
        <f t="shared" si="17"/>
        <v/>
      </c>
      <c r="F242" s="21"/>
      <c r="G242" s="21"/>
      <c r="H242" s="21"/>
      <c r="I242" s="21"/>
      <c r="J242" s="21"/>
      <c r="K242" s="21"/>
      <c r="L242" s="16" t="str">
        <f t="shared" ca="1" si="13"/>
        <v/>
      </c>
      <c r="M242" s="22" t="str">
        <f t="shared" ca="1" si="14"/>
        <v/>
      </c>
      <c r="U242" s="23" t="str">
        <f t="shared" si="15"/>
        <v/>
      </c>
      <c r="V242" s="23" t="str">
        <f t="shared" si="16"/>
        <v/>
      </c>
    </row>
    <row r="243" spans="2:22" x14ac:dyDescent="0.25">
      <c r="B243" s="5"/>
      <c r="C243" s="13"/>
      <c r="D243" s="13"/>
      <c r="E243" s="21" t="str">
        <f t="shared" si="17"/>
        <v/>
      </c>
      <c r="F243" s="21"/>
      <c r="G243" s="21"/>
      <c r="H243" s="21"/>
      <c r="I243" s="21"/>
      <c r="J243" s="21"/>
      <c r="K243" s="21"/>
      <c r="L243" s="16" t="str">
        <f t="shared" ca="1" si="13"/>
        <v/>
      </c>
      <c r="M243" s="22" t="str">
        <f t="shared" ca="1" si="14"/>
        <v/>
      </c>
      <c r="U243" s="23" t="str">
        <f t="shared" si="15"/>
        <v/>
      </c>
      <c r="V243" s="23" t="str">
        <f t="shared" si="16"/>
        <v/>
      </c>
    </row>
    <row r="244" spans="2:22" x14ac:dyDescent="0.25">
      <c r="B244" s="5"/>
      <c r="C244" s="13"/>
      <c r="D244" s="13"/>
      <c r="E244" s="21" t="str">
        <f t="shared" si="17"/>
        <v/>
      </c>
      <c r="F244" s="21"/>
      <c r="G244" s="21"/>
      <c r="H244" s="21"/>
      <c r="I244" s="21"/>
      <c r="J244" s="21"/>
      <c r="K244" s="21"/>
      <c r="L244" s="16" t="str">
        <f t="shared" ca="1" si="13"/>
        <v/>
      </c>
      <c r="M244" s="22" t="str">
        <f t="shared" ca="1" si="14"/>
        <v/>
      </c>
      <c r="U244" s="23" t="str">
        <f t="shared" si="15"/>
        <v/>
      </c>
      <c r="V244" s="23" t="str">
        <f t="shared" si="16"/>
        <v/>
      </c>
    </row>
    <row r="245" spans="2:22" x14ac:dyDescent="0.25">
      <c r="B245" s="5"/>
      <c r="C245" s="13"/>
      <c r="D245" s="13"/>
      <c r="E245" s="21" t="str">
        <f t="shared" si="17"/>
        <v/>
      </c>
      <c r="F245" s="21"/>
      <c r="G245" s="21"/>
      <c r="H245" s="21"/>
      <c r="I245" s="21"/>
      <c r="J245" s="21"/>
      <c r="K245" s="21"/>
      <c r="L245" s="16" t="str">
        <f t="shared" ca="1" si="13"/>
        <v/>
      </c>
      <c r="M245" s="22" t="str">
        <f t="shared" ca="1" si="14"/>
        <v/>
      </c>
      <c r="U245" s="23" t="str">
        <f t="shared" si="15"/>
        <v/>
      </c>
      <c r="V245" s="23" t="str">
        <f t="shared" si="16"/>
        <v/>
      </c>
    </row>
    <row r="246" spans="2:22" x14ac:dyDescent="0.25">
      <c r="B246" s="5"/>
      <c r="C246" s="13"/>
      <c r="D246" s="13"/>
      <c r="E246" s="21" t="str">
        <f t="shared" si="17"/>
        <v/>
      </c>
      <c r="F246" s="21"/>
      <c r="G246" s="21"/>
      <c r="H246" s="21"/>
      <c r="I246" s="21"/>
      <c r="J246" s="21"/>
      <c r="K246" s="21"/>
      <c r="L246" s="16" t="str">
        <f t="shared" ca="1" si="13"/>
        <v/>
      </c>
      <c r="M246" s="22" t="str">
        <f t="shared" ca="1" si="14"/>
        <v/>
      </c>
      <c r="U246" s="23" t="str">
        <f t="shared" si="15"/>
        <v/>
      </c>
      <c r="V246" s="23" t="str">
        <f t="shared" si="16"/>
        <v/>
      </c>
    </row>
    <row r="247" spans="2:22" x14ac:dyDescent="0.25">
      <c r="B247" s="5"/>
      <c r="C247" s="13"/>
      <c r="D247" s="13"/>
      <c r="E247" s="21" t="str">
        <f t="shared" si="17"/>
        <v/>
      </c>
      <c r="F247" s="21"/>
      <c r="G247" s="21"/>
      <c r="H247" s="21"/>
      <c r="I247" s="21"/>
      <c r="J247" s="21"/>
      <c r="K247" s="21"/>
      <c r="L247" s="16" t="str">
        <f t="shared" ca="1" si="13"/>
        <v/>
      </c>
      <c r="M247" s="22" t="str">
        <f t="shared" ca="1" si="14"/>
        <v/>
      </c>
      <c r="U247" s="23" t="str">
        <f t="shared" si="15"/>
        <v/>
      </c>
      <c r="V247" s="23" t="str">
        <f t="shared" si="16"/>
        <v/>
      </c>
    </row>
    <row r="248" spans="2:22" x14ac:dyDescent="0.25">
      <c r="B248" s="5"/>
      <c r="C248" s="13"/>
      <c r="D248" s="13"/>
      <c r="E248" s="21" t="str">
        <f t="shared" si="17"/>
        <v/>
      </c>
      <c r="F248" s="21"/>
      <c r="G248" s="21"/>
      <c r="H248" s="21"/>
      <c r="I248" s="21"/>
      <c r="J248" s="21"/>
      <c r="K248" s="21"/>
      <c r="L248" s="16" t="str">
        <f t="shared" ca="1" si="13"/>
        <v/>
      </c>
      <c r="M248" s="22" t="str">
        <f t="shared" ca="1" si="14"/>
        <v/>
      </c>
      <c r="U248" s="23" t="str">
        <f t="shared" si="15"/>
        <v/>
      </c>
      <c r="V248" s="23" t="str">
        <f t="shared" si="16"/>
        <v/>
      </c>
    </row>
    <row r="249" spans="2:22" x14ac:dyDescent="0.25">
      <c r="B249" s="5"/>
      <c r="C249" s="13"/>
      <c r="D249" s="13"/>
      <c r="E249" s="21" t="str">
        <f t="shared" si="17"/>
        <v/>
      </c>
      <c r="F249" s="21"/>
      <c r="G249" s="21"/>
      <c r="H249" s="21"/>
      <c r="I249" s="21"/>
      <c r="J249" s="21"/>
      <c r="K249" s="21"/>
      <c r="L249" s="16" t="str">
        <f t="shared" ca="1" si="13"/>
        <v/>
      </c>
      <c r="M249" s="22" t="str">
        <f t="shared" ca="1" si="14"/>
        <v/>
      </c>
      <c r="U249" s="23" t="str">
        <f t="shared" si="15"/>
        <v/>
      </c>
      <c r="V249" s="23" t="str">
        <f t="shared" si="16"/>
        <v/>
      </c>
    </row>
    <row r="250" spans="2:22" x14ac:dyDescent="0.25">
      <c r="B250" s="5"/>
      <c r="C250" s="13"/>
      <c r="D250" s="13"/>
      <c r="E250" s="21" t="str">
        <f t="shared" si="17"/>
        <v/>
      </c>
      <c r="F250" s="21"/>
      <c r="G250" s="21"/>
      <c r="H250" s="21"/>
      <c r="I250" s="21"/>
      <c r="J250" s="21"/>
      <c r="K250" s="21"/>
      <c r="L250" s="16" t="str">
        <f t="shared" ca="1" si="13"/>
        <v/>
      </c>
      <c r="M250" s="22" t="str">
        <f t="shared" ca="1" si="14"/>
        <v/>
      </c>
      <c r="U250" s="23" t="str">
        <f t="shared" si="15"/>
        <v/>
      </c>
      <c r="V250" s="23" t="str">
        <f t="shared" si="16"/>
        <v/>
      </c>
    </row>
    <row r="251" spans="2:22" x14ac:dyDescent="0.25">
      <c r="B251" s="5"/>
      <c r="C251" s="13"/>
      <c r="D251" s="13"/>
      <c r="E251" s="21" t="str">
        <f t="shared" si="17"/>
        <v/>
      </c>
      <c r="F251" s="21"/>
      <c r="G251" s="21"/>
      <c r="H251" s="21"/>
      <c r="I251" s="21"/>
      <c r="J251" s="21"/>
      <c r="K251" s="21"/>
      <c r="L251" s="16" t="str">
        <f t="shared" ca="1" si="13"/>
        <v/>
      </c>
      <c r="M251" s="22" t="str">
        <f t="shared" ca="1" si="14"/>
        <v/>
      </c>
      <c r="U251" s="23" t="str">
        <f t="shared" si="15"/>
        <v/>
      </c>
      <c r="V251" s="23" t="str">
        <f t="shared" si="16"/>
        <v/>
      </c>
    </row>
    <row r="252" spans="2:22" x14ac:dyDescent="0.25">
      <c r="B252" s="5"/>
      <c r="C252" s="13"/>
      <c r="D252" s="13"/>
      <c r="E252" s="21" t="str">
        <f t="shared" si="17"/>
        <v/>
      </c>
      <c r="F252" s="21"/>
      <c r="G252" s="21"/>
      <c r="H252" s="21"/>
      <c r="I252" s="21"/>
      <c r="J252" s="21"/>
      <c r="K252" s="21"/>
      <c r="L252" s="16" t="str">
        <f t="shared" ca="1" si="13"/>
        <v/>
      </c>
      <c r="M252" s="22" t="str">
        <f t="shared" ca="1" si="14"/>
        <v/>
      </c>
      <c r="U252" s="23" t="str">
        <f t="shared" si="15"/>
        <v/>
      </c>
      <c r="V252" s="23" t="str">
        <f t="shared" si="16"/>
        <v/>
      </c>
    </row>
    <row r="253" spans="2:22" x14ac:dyDescent="0.25">
      <c r="B253" s="5"/>
      <c r="C253" s="13"/>
      <c r="D253" s="13"/>
      <c r="E253" s="21" t="str">
        <f t="shared" si="17"/>
        <v/>
      </c>
      <c r="F253" s="21"/>
      <c r="G253" s="21"/>
      <c r="H253" s="21"/>
      <c r="I253" s="21"/>
      <c r="J253" s="21"/>
      <c r="K253" s="21"/>
      <c r="L253" s="16" t="str">
        <f t="shared" ref="L253:L316" ca="1" si="18">IF(AND(C253&lt;&gt;"",C253&lt;&gt;U253),TODAY(),IF(C253="","",L253))</f>
        <v/>
      </c>
      <c r="M253" s="22" t="str">
        <f t="shared" ref="M253:M316" ca="1" si="19">IF(AND(C253&lt;&gt;"",C253&lt;&gt;V253),NOW(),IF(C253="","",M253))</f>
        <v/>
      </c>
      <c r="U253" s="23" t="str">
        <f t="shared" si="15"/>
        <v/>
      </c>
      <c r="V253" s="23" t="str">
        <f t="shared" si="16"/>
        <v/>
      </c>
    </row>
    <row r="254" spans="2:22" x14ac:dyDescent="0.25">
      <c r="B254" s="5"/>
      <c r="C254" s="13"/>
      <c r="D254" s="13"/>
      <c r="E254" s="21" t="str">
        <f t="shared" si="17"/>
        <v/>
      </c>
      <c r="F254" s="21"/>
      <c r="G254" s="21"/>
      <c r="H254" s="21"/>
      <c r="I254" s="21"/>
      <c r="J254" s="21"/>
      <c r="K254" s="21"/>
      <c r="L254" s="16" t="str">
        <f t="shared" ca="1" si="18"/>
        <v/>
      </c>
      <c r="M254" s="22" t="str">
        <f t="shared" ca="1" si="19"/>
        <v/>
      </c>
      <c r="U254" s="23" t="str">
        <f t="shared" si="15"/>
        <v/>
      </c>
      <c r="V254" s="23" t="str">
        <f t="shared" si="16"/>
        <v/>
      </c>
    </row>
    <row r="255" spans="2:22" x14ac:dyDescent="0.25">
      <c r="B255" s="5"/>
      <c r="C255" s="13"/>
      <c r="D255" s="13"/>
      <c r="E255" s="21" t="str">
        <f t="shared" si="17"/>
        <v/>
      </c>
      <c r="F255" s="21"/>
      <c r="G255" s="21"/>
      <c r="H255" s="21"/>
      <c r="I255" s="21"/>
      <c r="J255" s="21"/>
      <c r="K255" s="21"/>
      <c r="L255" s="16" t="str">
        <f t="shared" ca="1" si="18"/>
        <v/>
      </c>
      <c r="M255" s="22" t="str">
        <f t="shared" ca="1" si="19"/>
        <v/>
      </c>
      <c r="U255" s="23" t="str">
        <f t="shared" si="15"/>
        <v/>
      </c>
      <c r="V255" s="23" t="str">
        <f t="shared" si="16"/>
        <v/>
      </c>
    </row>
    <row r="256" spans="2:22" x14ac:dyDescent="0.25">
      <c r="B256" s="5"/>
      <c r="C256" s="13"/>
      <c r="D256" s="13"/>
      <c r="E256" s="21" t="str">
        <f t="shared" si="17"/>
        <v/>
      </c>
      <c r="F256" s="21"/>
      <c r="G256" s="21"/>
      <c r="H256" s="21"/>
      <c r="I256" s="21"/>
      <c r="J256" s="21"/>
      <c r="K256" s="21"/>
      <c r="L256" s="16" t="str">
        <f t="shared" ca="1" si="18"/>
        <v/>
      </c>
      <c r="M256" s="22" t="str">
        <f t="shared" ca="1" si="19"/>
        <v/>
      </c>
      <c r="U256" s="23" t="str">
        <f t="shared" si="15"/>
        <v/>
      </c>
      <c r="V256" s="23" t="str">
        <f t="shared" si="16"/>
        <v/>
      </c>
    </row>
    <row r="257" spans="2:22" x14ac:dyDescent="0.25">
      <c r="B257" s="5"/>
      <c r="C257" s="13"/>
      <c r="D257" s="13"/>
      <c r="E257" s="21" t="str">
        <f t="shared" si="17"/>
        <v/>
      </c>
      <c r="F257" s="21"/>
      <c r="G257" s="21"/>
      <c r="H257" s="21"/>
      <c r="I257" s="21"/>
      <c r="J257" s="21"/>
      <c r="K257" s="21"/>
      <c r="L257" s="16" t="str">
        <f t="shared" ca="1" si="18"/>
        <v/>
      </c>
      <c r="M257" s="22" t="str">
        <f t="shared" ca="1" si="19"/>
        <v/>
      </c>
      <c r="U257" s="23" t="str">
        <f t="shared" si="15"/>
        <v/>
      </c>
      <c r="V257" s="23" t="str">
        <f t="shared" si="16"/>
        <v/>
      </c>
    </row>
    <row r="258" spans="2:22" x14ac:dyDescent="0.25">
      <c r="B258" s="5"/>
      <c r="C258" s="13"/>
      <c r="D258" s="13"/>
      <c r="E258" s="21" t="str">
        <f t="shared" si="17"/>
        <v/>
      </c>
      <c r="F258" s="21"/>
      <c r="G258" s="21"/>
      <c r="H258" s="21"/>
      <c r="I258" s="21"/>
      <c r="J258" s="21"/>
      <c r="K258" s="21"/>
      <c r="L258" s="16" t="str">
        <f t="shared" ca="1" si="18"/>
        <v/>
      </c>
      <c r="M258" s="22" t="str">
        <f t="shared" ca="1" si="19"/>
        <v/>
      </c>
      <c r="U258" s="23" t="str">
        <f t="shared" si="15"/>
        <v/>
      </c>
      <c r="V258" s="23" t="str">
        <f t="shared" si="16"/>
        <v/>
      </c>
    </row>
    <row r="259" spans="2:22" x14ac:dyDescent="0.25">
      <c r="B259" s="5"/>
      <c r="C259" s="5"/>
      <c r="D259" s="5"/>
      <c r="E259" s="21" t="str">
        <f t="shared" si="17"/>
        <v/>
      </c>
      <c r="F259" s="21"/>
      <c r="G259" s="21"/>
      <c r="H259" s="21"/>
      <c r="I259" s="21"/>
      <c r="J259" s="21"/>
      <c r="K259" s="21"/>
      <c r="L259" s="16" t="str">
        <f t="shared" ca="1" si="18"/>
        <v/>
      </c>
      <c r="M259" s="22" t="str">
        <f t="shared" ca="1" si="19"/>
        <v/>
      </c>
      <c r="U259" s="23" t="str">
        <f t="shared" si="15"/>
        <v/>
      </c>
      <c r="V259" s="23" t="str">
        <f t="shared" si="16"/>
        <v/>
      </c>
    </row>
    <row r="260" spans="2:22" x14ac:dyDescent="0.25">
      <c r="B260" s="5"/>
      <c r="C260" s="5"/>
      <c r="D260" s="5"/>
      <c r="E260" s="21" t="str">
        <f t="shared" si="17"/>
        <v/>
      </c>
      <c r="F260" s="21"/>
      <c r="G260" s="21"/>
      <c r="H260" s="21"/>
      <c r="I260" s="21"/>
      <c r="J260" s="21"/>
      <c r="K260" s="21"/>
      <c r="L260" s="16" t="str">
        <f t="shared" ca="1" si="18"/>
        <v/>
      </c>
      <c r="M260" s="22" t="str">
        <f t="shared" ca="1" si="19"/>
        <v/>
      </c>
      <c r="U260" s="23" t="str">
        <f t="shared" ref="U260:U323" si="20">IF(C260="","",IF(OR(L260="",AND(ISNUMBER(U260),C260=U260)),U260,C260))</f>
        <v/>
      </c>
      <c r="V260" s="23" t="str">
        <f t="shared" ref="V260:V323" si="21">IF(C260="","",IF(OR(M260="",AND(ISNUMBER(V260),C260=V260)),V260,C260))</f>
        <v/>
      </c>
    </row>
    <row r="261" spans="2:22" x14ac:dyDescent="0.25">
      <c r="B261" s="5"/>
      <c r="C261" s="5"/>
      <c r="D261" s="5"/>
      <c r="E261" s="21" t="str">
        <f t="shared" si="17"/>
        <v/>
      </c>
      <c r="F261" s="21"/>
      <c r="G261" s="21"/>
      <c r="H261" s="21"/>
      <c r="I261" s="21"/>
      <c r="J261" s="21"/>
      <c r="K261" s="21"/>
      <c r="L261" s="16" t="str">
        <f t="shared" ca="1" si="18"/>
        <v/>
      </c>
      <c r="M261" s="22" t="str">
        <f t="shared" ca="1" si="19"/>
        <v/>
      </c>
      <c r="U261" s="23" t="str">
        <f t="shared" si="20"/>
        <v/>
      </c>
      <c r="V261" s="23" t="str">
        <f t="shared" si="21"/>
        <v/>
      </c>
    </row>
    <row r="262" spans="2:22" x14ac:dyDescent="0.25">
      <c r="B262" s="5"/>
      <c r="C262" s="5"/>
      <c r="D262" s="5"/>
      <c r="E262" s="21" t="str">
        <f t="shared" si="17"/>
        <v/>
      </c>
      <c r="F262" s="21"/>
      <c r="G262" s="21"/>
      <c r="H262" s="21"/>
      <c r="I262" s="21"/>
      <c r="J262" s="21"/>
      <c r="K262" s="21"/>
      <c r="L262" s="16" t="str">
        <f t="shared" ca="1" si="18"/>
        <v/>
      </c>
      <c r="M262" s="22" t="str">
        <f t="shared" ca="1" si="19"/>
        <v/>
      </c>
      <c r="U262" s="23" t="str">
        <f t="shared" si="20"/>
        <v/>
      </c>
      <c r="V262" s="23" t="str">
        <f t="shared" si="21"/>
        <v/>
      </c>
    </row>
    <row r="263" spans="2:22" x14ac:dyDescent="0.25">
      <c r="B263" s="5"/>
      <c r="C263" s="5"/>
      <c r="D263" s="5"/>
      <c r="E263" s="21" t="str">
        <f t="shared" si="17"/>
        <v/>
      </c>
      <c r="F263" s="21"/>
      <c r="G263" s="21"/>
      <c r="H263" s="21"/>
      <c r="I263" s="21"/>
      <c r="J263" s="21"/>
      <c r="K263" s="21"/>
      <c r="L263" s="16" t="str">
        <f t="shared" ca="1" si="18"/>
        <v/>
      </c>
      <c r="M263" s="22" t="str">
        <f t="shared" ca="1" si="19"/>
        <v/>
      </c>
      <c r="U263" s="23" t="str">
        <f t="shared" si="20"/>
        <v/>
      </c>
      <c r="V263" s="23" t="str">
        <f t="shared" si="21"/>
        <v/>
      </c>
    </row>
    <row r="264" spans="2:22" x14ac:dyDescent="0.25">
      <c r="B264" s="5"/>
      <c r="C264" s="5"/>
      <c r="D264" s="5"/>
      <c r="E264" s="21" t="str">
        <f t="shared" si="17"/>
        <v/>
      </c>
      <c r="F264" s="21"/>
      <c r="G264" s="21"/>
      <c r="H264" s="21"/>
      <c r="I264" s="21"/>
      <c r="J264" s="21"/>
      <c r="K264" s="21"/>
      <c r="L264" s="16" t="str">
        <f t="shared" ca="1" si="18"/>
        <v/>
      </c>
      <c r="M264" s="22" t="str">
        <f t="shared" ca="1" si="19"/>
        <v/>
      </c>
      <c r="U264" s="23" t="str">
        <f t="shared" si="20"/>
        <v/>
      </c>
      <c r="V264" s="23" t="str">
        <f t="shared" si="21"/>
        <v/>
      </c>
    </row>
    <row r="265" spans="2:22" x14ac:dyDescent="0.25">
      <c r="B265" s="5"/>
      <c r="C265" s="5"/>
      <c r="D265" s="5"/>
      <c r="E265" s="21" t="str">
        <f t="shared" si="17"/>
        <v/>
      </c>
      <c r="F265" s="21"/>
      <c r="G265" s="21"/>
      <c r="H265" s="21"/>
      <c r="I265" s="21"/>
      <c r="J265" s="21"/>
      <c r="K265" s="21"/>
      <c r="L265" s="16" t="str">
        <f t="shared" ca="1" si="18"/>
        <v/>
      </c>
      <c r="M265" s="22" t="str">
        <f t="shared" ca="1" si="19"/>
        <v/>
      </c>
      <c r="U265" s="23" t="str">
        <f t="shared" si="20"/>
        <v/>
      </c>
      <c r="V265" s="23" t="str">
        <f t="shared" si="21"/>
        <v/>
      </c>
    </row>
    <row r="266" spans="2:22" x14ac:dyDescent="0.25">
      <c r="B266" s="5"/>
      <c r="C266" s="5"/>
      <c r="D266" s="5"/>
      <c r="E266" s="21" t="str">
        <f t="shared" si="17"/>
        <v/>
      </c>
      <c r="F266" s="21"/>
      <c r="G266" s="21"/>
      <c r="H266" s="21"/>
      <c r="I266" s="21"/>
      <c r="J266" s="21"/>
      <c r="K266" s="21"/>
      <c r="L266" s="16" t="str">
        <f t="shared" ca="1" si="18"/>
        <v/>
      </c>
      <c r="M266" s="22" t="str">
        <f t="shared" ca="1" si="19"/>
        <v/>
      </c>
      <c r="U266" s="23" t="str">
        <f t="shared" si="20"/>
        <v/>
      </c>
      <c r="V266" s="23" t="str">
        <f t="shared" si="21"/>
        <v/>
      </c>
    </row>
    <row r="267" spans="2:22" x14ac:dyDescent="0.25">
      <c r="B267" s="5"/>
      <c r="C267" s="5"/>
      <c r="D267" s="5"/>
      <c r="E267" s="21" t="str">
        <f t="shared" si="17"/>
        <v/>
      </c>
      <c r="F267" s="21"/>
      <c r="G267" s="21"/>
      <c r="H267" s="21"/>
      <c r="I267" s="21"/>
      <c r="J267" s="21"/>
      <c r="K267" s="21"/>
      <c r="L267" s="16" t="str">
        <f t="shared" ca="1" si="18"/>
        <v/>
      </c>
      <c r="M267" s="22" t="str">
        <f t="shared" ca="1" si="19"/>
        <v/>
      </c>
      <c r="U267" s="23" t="str">
        <f t="shared" si="20"/>
        <v/>
      </c>
      <c r="V267" s="23" t="str">
        <f t="shared" si="21"/>
        <v/>
      </c>
    </row>
    <row r="268" spans="2:22" x14ac:dyDescent="0.25">
      <c r="B268" s="5"/>
      <c r="C268" s="5"/>
      <c r="D268" s="5"/>
      <c r="E268" s="21" t="str">
        <f t="shared" si="17"/>
        <v/>
      </c>
      <c r="F268" s="21"/>
      <c r="G268" s="21"/>
      <c r="H268" s="21"/>
      <c r="I268" s="21"/>
      <c r="J268" s="21"/>
      <c r="K268" s="21"/>
      <c r="L268" s="16" t="str">
        <f t="shared" ca="1" si="18"/>
        <v/>
      </c>
      <c r="M268" s="22" t="str">
        <f t="shared" ca="1" si="19"/>
        <v/>
      </c>
      <c r="U268" s="23" t="str">
        <f t="shared" si="20"/>
        <v/>
      </c>
      <c r="V268" s="23" t="str">
        <f t="shared" si="21"/>
        <v/>
      </c>
    </row>
    <row r="269" spans="2:22" x14ac:dyDescent="0.25">
      <c r="B269" s="5"/>
      <c r="C269" s="5"/>
      <c r="D269" s="5"/>
      <c r="E269" s="21" t="str">
        <f t="shared" si="17"/>
        <v/>
      </c>
      <c r="F269" s="21"/>
      <c r="G269" s="21"/>
      <c r="H269" s="21"/>
      <c r="I269" s="21"/>
      <c r="J269" s="21"/>
      <c r="K269" s="21"/>
      <c r="L269" s="16" t="str">
        <f t="shared" ca="1" si="18"/>
        <v/>
      </c>
      <c r="M269" s="22" t="str">
        <f t="shared" ca="1" si="19"/>
        <v/>
      </c>
      <c r="U269" s="23" t="str">
        <f t="shared" si="20"/>
        <v/>
      </c>
      <c r="V269" s="23" t="str">
        <f t="shared" si="21"/>
        <v/>
      </c>
    </row>
    <row r="270" spans="2:22" x14ac:dyDescent="0.25">
      <c r="B270" s="5"/>
      <c r="C270" s="5"/>
      <c r="D270" s="5"/>
      <c r="E270" s="21" t="str">
        <f t="shared" si="17"/>
        <v/>
      </c>
      <c r="F270" s="21"/>
      <c r="G270" s="21"/>
      <c r="H270" s="21"/>
      <c r="I270" s="21"/>
      <c r="J270" s="21"/>
      <c r="K270" s="21"/>
      <c r="L270" s="16" t="str">
        <f t="shared" ca="1" si="18"/>
        <v/>
      </c>
      <c r="M270" s="22" t="str">
        <f t="shared" ca="1" si="19"/>
        <v/>
      </c>
      <c r="U270" s="23" t="str">
        <f t="shared" si="20"/>
        <v/>
      </c>
      <c r="V270" s="23" t="str">
        <f t="shared" si="21"/>
        <v/>
      </c>
    </row>
    <row r="271" spans="2:22" x14ac:dyDescent="0.25">
      <c r="B271" s="5"/>
      <c r="C271" s="5"/>
      <c r="D271" s="5"/>
      <c r="E271" s="21" t="str">
        <f t="shared" si="17"/>
        <v/>
      </c>
      <c r="F271" s="21"/>
      <c r="G271" s="21"/>
      <c r="H271" s="21"/>
      <c r="I271" s="21"/>
      <c r="J271" s="21"/>
      <c r="K271" s="21"/>
      <c r="L271" s="16" t="str">
        <f t="shared" ca="1" si="18"/>
        <v/>
      </c>
      <c r="M271" s="22" t="str">
        <f t="shared" ca="1" si="19"/>
        <v/>
      </c>
      <c r="U271" s="23" t="str">
        <f t="shared" si="20"/>
        <v/>
      </c>
      <c r="V271" s="23" t="str">
        <f t="shared" si="21"/>
        <v/>
      </c>
    </row>
    <row r="272" spans="2:22" x14ac:dyDescent="0.25">
      <c r="B272" s="5"/>
      <c r="C272" s="5"/>
      <c r="D272" s="5"/>
      <c r="E272" s="21" t="str">
        <f t="shared" si="17"/>
        <v/>
      </c>
      <c r="F272" s="21"/>
      <c r="G272" s="21"/>
      <c r="H272" s="21"/>
      <c r="I272" s="21"/>
      <c r="J272" s="21"/>
      <c r="K272" s="21"/>
      <c r="L272" s="16" t="str">
        <f t="shared" ca="1" si="18"/>
        <v/>
      </c>
      <c r="M272" s="22" t="str">
        <f t="shared" ca="1" si="19"/>
        <v/>
      </c>
      <c r="U272" s="23" t="str">
        <f t="shared" si="20"/>
        <v/>
      </c>
      <c r="V272" s="23" t="str">
        <f t="shared" si="21"/>
        <v/>
      </c>
    </row>
    <row r="273" spans="2:22" x14ac:dyDescent="0.25">
      <c r="B273" s="5"/>
      <c r="C273" s="5"/>
      <c r="D273" s="5"/>
      <c r="E273" s="21" t="str">
        <f t="shared" si="17"/>
        <v/>
      </c>
      <c r="F273" s="21"/>
      <c r="G273" s="21"/>
      <c r="H273" s="21"/>
      <c r="I273" s="21"/>
      <c r="J273" s="21"/>
      <c r="K273" s="21"/>
      <c r="L273" s="16" t="str">
        <f t="shared" ca="1" si="18"/>
        <v/>
      </c>
      <c r="M273" s="22" t="str">
        <f t="shared" ca="1" si="19"/>
        <v/>
      </c>
      <c r="U273" s="23" t="str">
        <f t="shared" si="20"/>
        <v/>
      </c>
      <c r="V273" s="23" t="str">
        <f t="shared" si="21"/>
        <v/>
      </c>
    </row>
    <row r="274" spans="2:22" x14ac:dyDescent="0.25">
      <c r="B274" s="5"/>
      <c r="C274" s="5"/>
      <c r="D274" s="5"/>
      <c r="E274" s="21" t="str">
        <f t="shared" si="17"/>
        <v/>
      </c>
      <c r="F274" s="21"/>
      <c r="G274" s="21"/>
      <c r="H274" s="21"/>
      <c r="I274" s="21"/>
      <c r="J274" s="21"/>
      <c r="K274" s="21"/>
      <c r="L274" s="16" t="str">
        <f t="shared" ca="1" si="18"/>
        <v/>
      </c>
      <c r="M274" s="22" t="str">
        <f t="shared" ca="1" si="19"/>
        <v/>
      </c>
      <c r="U274" s="23" t="str">
        <f t="shared" si="20"/>
        <v/>
      </c>
      <c r="V274" s="23" t="str">
        <f t="shared" si="21"/>
        <v/>
      </c>
    </row>
    <row r="275" spans="2:22" x14ac:dyDescent="0.25">
      <c r="B275" s="5"/>
      <c r="C275" s="5"/>
      <c r="D275" s="5"/>
      <c r="E275" s="21" t="str">
        <f t="shared" si="17"/>
        <v/>
      </c>
      <c r="F275" s="21"/>
      <c r="G275" s="21"/>
      <c r="H275" s="21"/>
      <c r="I275" s="21"/>
      <c r="J275" s="21"/>
      <c r="K275" s="21"/>
      <c r="L275" s="16" t="str">
        <f t="shared" ca="1" si="18"/>
        <v/>
      </c>
      <c r="M275" s="22" t="str">
        <f t="shared" ca="1" si="19"/>
        <v/>
      </c>
      <c r="U275" s="23" t="str">
        <f t="shared" si="20"/>
        <v/>
      </c>
      <c r="V275" s="23" t="str">
        <f t="shared" si="21"/>
        <v/>
      </c>
    </row>
    <row r="276" spans="2:22" x14ac:dyDescent="0.25">
      <c r="B276" s="5"/>
      <c r="C276" s="5"/>
      <c r="D276" s="5"/>
      <c r="E276" s="21" t="str">
        <f t="shared" si="17"/>
        <v/>
      </c>
      <c r="F276" s="21"/>
      <c r="G276" s="21"/>
      <c r="H276" s="21"/>
      <c r="I276" s="21"/>
      <c r="J276" s="21"/>
      <c r="K276" s="21"/>
      <c r="L276" s="16" t="str">
        <f t="shared" ca="1" si="18"/>
        <v/>
      </c>
      <c r="M276" s="22" t="str">
        <f t="shared" ca="1" si="19"/>
        <v/>
      </c>
      <c r="U276" s="23" t="str">
        <f t="shared" si="20"/>
        <v/>
      </c>
      <c r="V276" s="23" t="str">
        <f t="shared" si="21"/>
        <v/>
      </c>
    </row>
    <row r="277" spans="2:22" x14ac:dyDescent="0.25">
      <c r="B277" s="5"/>
      <c r="C277" s="5"/>
      <c r="D277" s="5"/>
      <c r="E277" s="21" t="str">
        <f t="shared" si="17"/>
        <v/>
      </c>
      <c r="F277" s="21"/>
      <c r="G277" s="21"/>
      <c r="H277" s="21"/>
      <c r="I277" s="21"/>
      <c r="J277" s="21"/>
      <c r="K277" s="21"/>
      <c r="L277" s="16" t="str">
        <f t="shared" ca="1" si="18"/>
        <v/>
      </c>
      <c r="M277" s="22" t="str">
        <f t="shared" ca="1" si="19"/>
        <v/>
      </c>
      <c r="U277" s="23" t="str">
        <f t="shared" si="20"/>
        <v/>
      </c>
      <c r="V277" s="23" t="str">
        <f t="shared" si="21"/>
        <v/>
      </c>
    </row>
    <row r="278" spans="2:22" x14ac:dyDescent="0.25">
      <c r="B278" s="5"/>
      <c r="C278" s="5"/>
      <c r="D278" s="5"/>
      <c r="E278" s="21" t="str">
        <f t="shared" si="17"/>
        <v/>
      </c>
      <c r="F278" s="21"/>
      <c r="G278" s="21"/>
      <c r="H278" s="21"/>
      <c r="I278" s="21"/>
      <c r="J278" s="21"/>
      <c r="K278" s="21"/>
      <c r="L278" s="16" t="str">
        <f t="shared" ca="1" si="18"/>
        <v/>
      </c>
      <c r="M278" s="22" t="str">
        <f t="shared" ca="1" si="19"/>
        <v/>
      </c>
      <c r="U278" s="23" t="str">
        <f t="shared" si="20"/>
        <v/>
      </c>
      <c r="V278" s="23" t="str">
        <f t="shared" si="21"/>
        <v/>
      </c>
    </row>
    <row r="279" spans="2:22" x14ac:dyDescent="0.25">
      <c r="B279" s="5"/>
      <c r="C279" s="5"/>
      <c r="D279" s="5"/>
      <c r="E279" s="21" t="str">
        <f t="shared" si="17"/>
        <v/>
      </c>
      <c r="F279" s="21"/>
      <c r="G279" s="21"/>
      <c r="H279" s="21"/>
      <c r="I279" s="21"/>
      <c r="J279" s="21"/>
      <c r="K279" s="21"/>
      <c r="L279" s="16" t="str">
        <f t="shared" ca="1" si="18"/>
        <v/>
      </c>
      <c r="M279" s="22" t="str">
        <f t="shared" ca="1" si="19"/>
        <v/>
      </c>
      <c r="U279" s="23" t="str">
        <f t="shared" si="20"/>
        <v/>
      </c>
      <c r="V279" s="23" t="str">
        <f t="shared" si="21"/>
        <v/>
      </c>
    </row>
    <row r="280" spans="2:22" x14ac:dyDescent="0.25">
      <c r="B280" s="5"/>
      <c r="C280" s="5"/>
      <c r="D280" s="5"/>
      <c r="E280" s="21" t="str">
        <f t="shared" si="17"/>
        <v/>
      </c>
      <c r="F280" s="21"/>
      <c r="G280" s="21"/>
      <c r="H280" s="21"/>
      <c r="I280" s="21"/>
      <c r="J280" s="21"/>
      <c r="K280" s="21"/>
      <c r="L280" s="16" t="str">
        <f t="shared" ca="1" si="18"/>
        <v/>
      </c>
      <c r="M280" s="22" t="str">
        <f t="shared" ca="1" si="19"/>
        <v/>
      </c>
      <c r="U280" s="23" t="str">
        <f t="shared" si="20"/>
        <v/>
      </c>
      <c r="V280" s="23" t="str">
        <f t="shared" si="21"/>
        <v/>
      </c>
    </row>
    <row r="281" spans="2:22" x14ac:dyDescent="0.25">
      <c r="B281" s="5"/>
      <c r="C281" s="5"/>
      <c r="D281" s="5"/>
      <c r="E281" s="21" t="str">
        <f t="shared" si="17"/>
        <v/>
      </c>
      <c r="F281" s="21"/>
      <c r="G281" s="21"/>
      <c r="H281" s="21"/>
      <c r="I281" s="21"/>
      <c r="J281" s="21"/>
      <c r="K281" s="21"/>
      <c r="L281" s="16" t="str">
        <f t="shared" ca="1" si="18"/>
        <v/>
      </c>
      <c r="M281" s="22" t="str">
        <f t="shared" ca="1" si="19"/>
        <v/>
      </c>
      <c r="U281" s="23" t="str">
        <f t="shared" si="20"/>
        <v/>
      </c>
      <c r="V281" s="23" t="str">
        <f t="shared" si="21"/>
        <v/>
      </c>
    </row>
    <row r="282" spans="2:22" x14ac:dyDescent="0.25">
      <c r="B282" s="5"/>
      <c r="C282" s="5"/>
      <c r="D282" s="5"/>
      <c r="E282" s="21" t="str">
        <f t="shared" si="17"/>
        <v/>
      </c>
      <c r="F282" s="21"/>
      <c r="G282" s="21"/>
      <c r="H282" s="21"/>
      <c r="I282" s="21"/>
      <c r="J282" s="21"/>
      <c r="K282" s="21"/>
      <c r="L282" s="16" t="str">
        <f t="shared" ca="1" si="18"/>
        <v/>
      </c>
      <c r="M282" s="22" t="str">
        <f t="shared" ca="1" si="19"/>
        <v/>
      </c>
      <c r="U282" s="23" t="str">
        <f t="shared" si="20"/>
        <v/>
      </c>
      <c r="V282" s="23" t="str">
        <f t="shared" si="21"/>
        <v/>
      </c>
    </row>
    <row r="283" spans="2:22" x14ac:dyDescent="0.25">
      <c r="B283" s="5"/>
      <c r="C283" s="5"/>
      <c r="D283" s="5"/>
      <c r="E283" s="21" t="str">
        <f t="shared" si="17"/>
        <v/>
      </c>
      <c r="F283" s="21"/>
      <c r="G283" s="21"/>
      <c r="H283" s="21"/>
      <c r="I283" s="21"/>
      <c r="J283" s="21"/>
      <c r="K283" s="21"/>
      <c r="L283" s="16" t="str">
        <f t="shared" ca="1" si="18"/>
        <v/>
      </c>
      <c r="M283" s="22" t="str">
        <f t="shared" ca="1" si="19"/>
        <v/>
      </c>
      <c r="U283" s="23" t="str">
        <f t="shared" si="20"/>
        <v/>
      </c>
      <c r="V283" s="23" t="str">
        <f t="shared" si="21"/>
        <v/>
      </c>
    </row>
    <row r="284" spans="2:22" x14ac:dyDescent="0.25">
      <c r="B284" s="5"/>
      <c r="C284" s="5"/>
      <c r="D284" s="5"/>
      <c r="E284" s="21" t="str">
        <f t="shared" si="17"/>
        <v/>
      </c>
      <c r="F284" s="21"/>
      <c r="G284" s="21"/>
      <c r="H284" s="21"/>
      <c r="I284" s="21"/>
      <c r="J284" s="21"/>
      <c r="K284" s="21"/>
      <c r="L284" s="16" t="str">
        <f t="shared" ca="1" si="18"/>
        <v/>
      </c>
      <c r="M284" s="22" t="str">
        <f t="shared" ca="1" si="19"/>
        <v/>
      </c>
      <c r="U284" s="23" t="str">
        <f t="shared" si="20"/>
        <v/>
      </c>
      <c r="V284" s="23" t="str">
        <f t="shared" si="21"/>
        <v/>
      </c>
    </row>
    <row r="285" spans="2:22" x14ac:dyDescent="0.25">
      <c r="B285" s="5"/>
      <c r="C285" s="5"/>
      <c r="D285" s="5"/>
      <c r="E285" s="21" t="str">
        <f t="shared" si="17"/>
        <v/>
      </c>
      <c r="F285" s="21"/>
      <c r="G285" s="21"/>
      <c r="H285" s="21"/>
      <c r="I285" s="21"/>
      <c r="J285" s="21"/>
      <c r="K285" s="21"/>
      <c r="L285" s="16" t="str">
        <f t="shared" ca="1" si="18"/>
        <v/>
      </c>
      <c r="M285" s="22" t="str">
        <f t="shared" ca="1" si="19"/>
        <v/>
      </c>
      <c r="U285" s="23" t="str">
        <f t="shared" si="20"/>
        <v/>
      </c>
      <c r="V285" s="23" t="str">
        <f t="shared" si="21"/>
        <v/>
      </c>
    </row>
    <row r="286" spans="2:22" x14ac:dyDescent="0.25">
      <c r="B286" s="5"/>
      <c r="C286" s="5"/>
      <c r="D286" s="5"/>
      <c r="E286" s="21" t="str">
        <f t="shared" si="17"/>
        <v/>
      </c>
      <c r="F286" s="21"/>
      <c r="G286" s="21"/>
      <c r="H286" s="21"/>
      <c r="I286" s="21"/>
      <c r="J286" s="21"/>
      <c r="K286" s="21"/>
      <c r="L286" s="16" t="str">
        <f t="shared" ca="1" si="18"/>
        <v/>
      </c>
      <c r="M286" s="22" t="str">
        <f t="shared" ca="1" si="19"/>
        <v/>
      </c>
      <c r="U286" s="23" t="str">
        <f t="shared" si="20"/>
        <v/>
      </c>
      <c r="V286" s="23" t="str">
        <f t="shared" si="21"/>
        <v/>
      </c>
    </row>
    <row r="287" spans="2:22" x14ac:dyDescent="0.25">
      <c r="B287" s="5"/>
      <c r="C287" s="5"/>
      <c r="D287" s="5"/>
      <c r="E287" s="21" t="str">
        <f t="shared" si="17"/>
        <v/>
      </c>
      <c r="F287" s="21"/>
      <c r="G287" s="21"/>
      <c r="H287" s="21"/>
      <c r="I287" s="21"/>
      <c r="J287" s="21"/>
      <c r="K287" s="21"/>
      <c r="L287" s="16" t="str">
        <f t="shared" ca="1" si="18"/>
        <v/>
      </c>
      <c r="M287" s="22" t="str">
        <f t="shared" ca="1" si="19"/>
        <v/>
      </c>
      <c r="U287" s="23" t="str">
        <f t="shared" si="20"/>
        <v/>
      </c>
      <c r="V287" s="23" t="str">
        <f t="shared" si="21"/>
        <v/>
      </c>
    </row>
    <row r="288" spans="2:22" x14ac:dyDescent="0.25">
      <c r="B288" s="5"/>
      <c r="C288" s="5"/>
      <c r="D288" s="5"/>
      <c r="E288" s="21" t="str">
        <f t="shared" si="17"/>
        <v/>
      </c>
      <c r="F288" s="21"/>
      <c r="G288" s="21"/>
      <c r="H288" s="21"/>
      <c r="I288" s="21"/>
      <c r="J288" s="21"/>
      <c r="K288" s="21"/>
      <c r="L288" s="16" t="str">
        <f t="shared" ca="1" si="18"/>
        <v/>
      </c>
      <c r="M288" s="22" t="str">
        <f t="shared" ca="1" si="19"/>
        <v/>
      </c>
      <c r="U288" s="23" t="str">
        <f t="shared" si="20"/>
        <v/>
      </c>
      <c r="V288" s="23" t="str">
        <f t="shared" si="21"/>
        <v/>
      </c>
    </row>
    <row r="289" spans="2:22" x14ac:dyDescent="0.25">
      <c r="B289" s="5"/>
      <c r="C289" s="5"/>
      <c r="D289" s="5"/>
      <c r="E289" s="21" t="str">
        <f t="shared" si="17"/>
        <v/>
      </c>
      <c r="F289" s="21"/>
      <c r="G289" s="21"/>
      <c r="H289" s="21"/>
      <c r="I289" s="21"/>
      <c r="J289" s="21"/>
      <c r="K289" s="21"/>
      <c r="L289" s="16" t="str">
        <f t="shared" ca="1" si="18"/>
        <v/>
      </c>
      <c r="M289" s="22" t="str">
        <f t="shared" ca="1" si="19"/>
        <v/>
      </c>
      <c r="U289" s="23" t="str">
        <f t="shared" si="20"/>
        <v/>
      </c>
      <c r="V289" s="23" t="str">
        <f t="shared" si="21"/>
        <v/>
      </c>
    </row>
    <row r="290" spans="2:22" x14ac:dyDescent="0.25">
      <c r="B290" s="5"/>
      <c r="C290" s="5"/>
      <c r="D290" s="5"/>
      <c r="E290" s="21" t="str">
        <f t="shared" si="17"/>
        <v/>
      </c>
      <c r="F290" s="21"/>
      <c r="G290" s="21"/>
      <c r="H290" s="21"/>
      <c r="I290" s="21"/>
      <c r="J290" s="21"/>
      <c r="K290" s="21"/>
      <c r="L290" s="16" t="str">
        <f t="shared" ca="1" si="18"/>
        <v/>
      </c>
      <c r="M290" s="22" t="str">
        <f t="shared" ca="1" si="19"/>
        <v/>
      </c>
      <c r="U290" s="23" t="str">
        <f t="shared" si="20"/>
        <v/>
      </c>
      <c r="V290" s="23" t="str">
        <f t="shared" si="21"/>
        <v/>
      </c>
    </row>
    <row r="291" spans="2:22" x14ac:dyDescent="0.25">
      <c r="B291" s="5"/>
      <c r="C291" s="5"/>
      <c r="D291" s="5"/>
      <c r="E291" s="21" t="str">
        <f t="shared" si="17"/>
        <v/>
      </c>
      <c r="F291" s="21"/>
      <c r="G291" s="21"/>
      <c r="H291" s="21"/>
      <c r="I291" s="21"/>
      <c r="J291" s="21"/>
      <c r="K291" s="21"/>
      <c r="L291" s="16" t="str">
        <f t="shared" ca="1" si="18"/>
        <v/>
      </c>
      <c r="M291" s="22" t="str">
        <f t="shared" ca="1" si="19"/>
        <v/>
      </c>
      <c r="U291" s="23" t="str">
        <f t="shared" si="20"/>
        <v/>
      </c>
      <c r="V291" s="23" t="str">
        <f t="shared" si="21"/>
        <v/>
      </c>
    </row>
    <row r="292" spans="2:22" x14ac:dyDescent="0.25">
      <c r="B292" s="5"/>
      <c r="C292" s="5"/>
      <c r="D292" s="5"/>
      <c r="E292" s="21" t="str">
        <f t="shared" si="17"/>
        <v/>
      </c>
      <c r="F292" s="21"/>
      <c r="G292" s="21"/>
      <c r="H292" s="21"/>
      <c r="I292" s="21"/>
      <c r="J292" s="21"/>
      <c r="K292" s="21"/>
      <c r="L292" s="16" t="str">
        <f t="shared" ca="1" si="18"/>
        <v/>
      </c>
      <c r="M292" s="22" t="str">
        <f t="shared" ca="1" si="19"/>
        <v/>
      </c>
      <c r="U292" s="23" t="str">
        <f t="shared" si="20"/>
        <v/>
      </c>
      <c r="V292" s="23" t="str">
        <f t="shared" si="21"/>
        <v/>
      </c>
    </row>
    <row r="293" spans="2:22" x14ac:dyDescent="0.25">
      <c r="B293" s="5"/>
      <c r="C293" s="5"/>
      <c r="D293" s="5"/>
      <c r="E293" s="21" t="str">
        <f t="shared" ref="E293:E356" si="22">IF(ISNUMBER(SEARCH("v crs",D293))=TRUE,"VC",IF(ISNUMBER(SEARCH("crs",D293))=TRUE,"C",IF(ISNUMBER(SEARCH("med",D293))=TRUE,"M",IF(ISNUMBER(SEARCH("vf",D293))=TRUE,"VF",IF(ISNUMBER(SEARCH("f",D293))=TRUE,"F","")))))</f>
        <v/>
      </c>
      <c r="F293" s="21"/>
      <c r="G293" s="21"/>
      <c r="H293" s="21"/>
      <c r="I293" s="21"/>
      <c r="J293" s="21"/>
      <c r="K293" s="21"/>
      <c r="L293" s="16" t="str">
        <f t="shared" ca="1" si="18"/>
        <v/>
      </c>
      <c r="M293" s="22" t="str">
        <f t="shared" ca="1" si="19"/>
        <v/>
      </c>
      <c r="U293" s="23" t="str">
        <f t="shared" si="20"/>
        <v/>
      </c>
      <c r="V293" s="23" t="str">
        <f t="shared" si="21"/>
        <v/>
      </c>
    </row>
    <row r="294" spans="2:22" x14ac:dyDescent="0.25">
      <c r="E294" s="21" t="str">
        <f t="shared" si="22"/>
        <v/>
      </c>
      <c r="F294" s="21"/>
      <c r="G294" s="21"/>
      <c r="H294" s="21"/>
      <c r="I294" s="21"/>
      <c r="J294" s="21"/>
      <c r="K294" s="21"/>
      <c r="L294" s="16" t="str">
        <f t="shared" ca="1" si="18"/>
        <v/>
      </c>
      <c r="M294" s="22" t="str">
        <f t="shared" ca="1" si="19"/>
        <v/>
      </c>
      <c r="U294" s="23" t="str">
        <f t="shared" si="20"/>
        <v/>
      </c>
      <c r="V294" s="23" t="str">
        <f t="shared" si="21"/>
        <v/>
      </c>
    </row>
    <row r="295" spans="2:22" x14ac:dyDescent="0.25">
      <c r="E295" s="21" t="str">
        <f t="shared" si="22"/>
        <v/>
      </c>
      <c r="F295" s="21"/>
      <c r="G295" s="21"/>
      <c r="H295" s="21"/>
      <c r="I295" s="21"/>
      <c r="J295" s="21"/>
      <c r="K295" s="21"/>
      <c r="L295" s="16" t="str">
        <f t="shared" ca="1" si="18"/>
        <v/>
      </c>
      <c r="M295" s="22" t="str">
        <f t="shared" ca="1" si="19"/>
        <v/>
      </c>
      <c r="U295" s="23" t="str">
        <f t="shared" si="20"/>
        <v/>
      </c>
      <c r="V295" s="23" t="str">
        <f t="shared" si="21"/>
        <v/>
      </c>
    </row>
    <row r="296" spans="2:22" x14ac:dyDescent="0.25">
      <c r="E296" s="21" t="str">
        <f t="shared" si="22"/>
        <v/>
      </c>
      <c r="F296" s="21"/>
      <c r="G296" s="21"/>
      <c r="H296" s="21"/>
      <c r="I296" s="21"/>
      <c r="J296" s="21"/>
      <c r="K296" s="21"/>
      <c r="L296" s="16" t="str">
        <f t="shared" ca="1" si="18"/>
        <v/>
      </c>
      <c r="M296" s="22" t="str">
        <f t="shared" ca="1" si="19"/>
        <v/>
      </c>
      <c r="U296" s="23" t="str">
        <f t="shared" si="20"/>
        <v/>
      </c>
      <c r="V296" s="23" t="str">
        <f t="shared" si="21"/>
        <v/>
      </c>
    </row>
    <row r="297" spans="2:22" x14ac:dyDescent="0.25">
      <c r="E297" s="21" t="str">
        <f t="shared" si="22"/>
        <v/>
      </c>
      <c r="F297" s="21"/>
      <c r="G297" s="21"/>
      <c r="H297" s="21"/>
      <c r="I297" s="21"/>
      <c r="J297" s="21"/>
      <c r="K297" s="21"/>
      <c r="L297" s="16" t="str">
        <f t="shared" ca="1" si="18"/>
        <v/>
      </c>
      <c r="M297" s="22" t="str">
        <f t="shared" ca="1" si="19"/>
        <v/>
      </c>
      <c r="U297" s="23" t="str">
        <f t="shared" si="20"/>
        <v/>
      </c>
      <c r="V297" s="23" t="str">
        <f t="shared" si="21"/>
        <v/>
      </c>
    </row>
    <row r="298" spans="2:22" x14ac:dyDescent="0.25">
      <c r="E298" s="21" t="str">
        <f t="shared" si="22"/>
        <v/>
      </c>
      <c r="F298" s="21"/>
      <c r="G298" s="21"/>
      <c r="H298" s="21"/>
      <c r="I298" s="21"/>
      <c r="J298" s="21"/>
      <c r="K298" s="21"/>
      <c r="L298" s="16" t="str">
        <f t="shared" ca="1" si="18"/>
        <v/>
      </c>
      <c r="M298" s="22" t="str">
        <f t="shared" ca="1" si="19"/>
        <v/>
      </c>
      <c r="U298" s="23" t="str">
        <f t="shared" si="20"/>
        <v/>
      </c>
      <c r="V298" s="23" t="str">
        <f t="shared" si="21"/>
        <v/>
      </c>
    </row>
    <row r="299" spans="2:22" x14ac:dyDescent="0.25">
      <c r="E299" s="21" t="str">
        <f t="shared" si="22"/>
        <v/>
      </c>
      <c r="F299" s="21"/>
      <c r="G299" s="21"/>
      <c r="H299" s="21"/>
      <c r="I299" s="21"/>
      <c r="J299" s="21"/>
      <c r="K299" s="21"/>
      <c r="L299" s="16" t="str">
        <f t="shared" ca="1" si="18"/>
        <v/>
      </c>
      <c r="M299" s="22" t="str">
        <f t="shared" ca="1" si="19"/>
        <v/>
      </c>
      <c r="U299" s="23" t="str">
        <f t="shared" si="20"/>
        <v/>
      </c>
      <c r="V299" s="23" t="str">
        <f t="shared" si="21"/>
        <v/>
      </c>
    </row>
    <row r="300" spans="2:22" x14ac:dyDescent="0.25">
      <c r="E300" s="21" t="str">
        <f t="shared" si="22"/>
        <v/>
      </c>
      <c r="F300" s="21"/>
      <c r="G300" s="21"/>
      <c r="H300" s="21"/>
      <c r="I300" s="21"/>
      <c r="J300" s="21"/>
      <c r="K300" s="21"/>
      <c r="L300" s="16" t="str">
        <f t="shared" ca="1" si="18"/>
        <v/>
      </c>
      <c r="M300" s="22" t="str">
        <f t="shared" ca="1" si="19"/>
        <v/>
      </c>
      <c r="U300" s="23" t="str">
        <f t="shared" si="20"/>
        <v/>
      </c>
      <c r="V300" s="23" t="str">
        <f t="shared" si="21"/>
        <v/>
      </c>
    </row>
    <row r="301" spans="2:22" x14ac:dyDescent="0.25">
      <c r="E301" s="21" t="str">
        <f t="shared" si="22"/>
        <v/>
      </c>
      <c r="F301" s="21"/>
      <c r="G301" s="21"/>
      <c r="H301" s="21"/>
      <c r="I301" s="21"/>
      <c r="J301" s="21"/>
      <c r="K301" s="21"/>
      <c r="L301" s="16" t="str">
        <f t="shared" ca="1" si="18"/>
        <v/>
      </c>
      <c r="M301" s="22" t="str">
        <f t="shared" ca="1" si="19"/>
        <v/>
      </c>
      <c r="U301" s="23" t="str">
        <f t="shared" si="20"/>
        <v/>
      </c>
      <c r="V301" s="23" t="str">
        <f t="shared" si="21"/>
        <v/>
      </c>
    </row>
    <row r="302" spans="2:22" x14ac:dyDescent="0.25">
      <c r="E302" s="21" t="str">
        <f t="shared" si="22"/>
        <v/>
      </c>
      <c r="F302" s="21"/>
      <c r="G302" s="21"/>
      <c r="H302" s="21"/>
      <c r="I302" s="21"/>
      <c r="J302" s="21"/>
      <c r="K302" s="21"/>
      <c r="L302" s="16" t="str">
        <f t="shared" ca="1" si="18"/>
        <v/>
      </c>
      <c r="M302" s="22" t="str">
        <f t="shared" ca="1" si="19"/>
        <v/>
      </c>
      <c r="U302" s="23" t="str">
        <f t="shared" si="20"/>
        <v/>
      </c>
      <c r="V302" s="23" t="str">
        <f t="shared" si="21"/>
        <v/>
      </c>
    </row>
    <row r="303" spans="2:22" x14ac:dyDescent="0.25">
      <c r="E303" s="21" t="str">
        <f t="shared" si="22"/>
        <v/>
      </c>
      <c r="F303" s="21"/>
      <c r="G303" s="21"/>
      <c r="H303" s="21"/>
      <c r="I303" s="21"/>
      <c r="J303" s="21"/>
      <c r="K303" s="21"/>
      <c r="L303" s="16" t="str">
        <f t="shared" ca="1" si="18"/>
        <v/>
      </c>
      <c r="M303" s="22" t="str">
        <f t="shared" ca="1" si="19"/>
        <v/>
      </c>
      <c r="U303" s="23" t="str">
        <f t="shared" si="20"/>
        <v/>
      </c>
      <c r="V303" s="23" t="str">
        <f t="shared" si="21"/>
        <v/>
      </c>
    </row>
    <row r="304" spans="2:22" x14ac:dyDescent="0.25">
      <c r="E304" s="21" t="str">
        <f t="shared" si="22"/>
        <v/>
      </c>
      <c r="F304" s="21"/>
      <c r="G304" s="21"/>
      <c r="H304" s="21"/>
      <c r="I304" s="21"/>
      <c r="J304" s="21"/>
      <c r="K304" s="21"/>
      <c r="L304" s="16" t="str">
        <f t="shared" ca="1" si="18"/>
        <v/>
      </c>
      <c r="M304" s="22" t="str">
        <f t="shared" ca="1" si="19"/>
        <v/>
      </c>
      <c r="U304" s="23" t="str">
        <f t="shared" si="20"/>
        <v/>
      </c>
      <c r="V304" s="23" t="str">
        <f t="shared" si="21"/>
        <v/>
      </c>
    </row>
    <row r="305" spans="5:22" x14ac:dyDescent="0.25">
      <c r="E305" s="21" t="str">
        <f t="shared" si="22"/>
        <v/>
      </c>
      <c r="F305" s="21"/>
      <c r="G305" s="21"/>
      <c r="H305" s="21"/>
      <c r="I305" s="21"/>
      <c r="J305" s="21"/>
      <c r="K305" s="21"/>
      <c r="L305" s="16" t="str">
        <f t="shared" ca="1" si="18"/>
        <v/>
      </c>
      <c r="M305" s="22" t="str">
        <f t="shared" ca="1" si="19"/>
        <v/>
      </c>
      <c r="U305" s="23" t="str">
        <f t="shared" si="20"/>
        <v/>
      </c>
      <c r="V305" s="23" t="str">
        <f t="shared" si="21"/>
        <v/>
      </c>
    </row>
    <row r="306" spans="5:22" x14ac:dyDescent="0.25">
      <c r="E306" s="21" t="str">
        <f t="shared" si="22"/>
        <v/>
      </c>
      <c r="F306" s="21"/>
      <c r="G306" s="21"/>
      <c r="H306" s="21"/>
      <c r="I306" s="21"/>
      <c r="J306" s="21"/>
      <c r="K306" s="21"/>
      <c r="L306" s="16" t="str">
        <f t="shared" ca="1" si="18"/>
        <v/>
      </c>
      <c r="M306" s="22" t="str">
        <f t="shared" ca="1" si="19"/>
        <v/>
      </c>
      <c r="U306" s="23" t="str">
        <f t="shared" si="20"/>
        <v/>
      </c>
      <c r="V306" s="23" t="str">
        <f t="shared" si="21"/>
        <v/>
      </c>
    </row>
    <row r="307" spans="5:22" x14ac:dyDescent="0.25">
      <c r="E307" s="21" t="str">
        <f t="shared" si="22"/>
        <v/>
      </c>
      <c r="F307" s="21"/>
      <c r="G307" s="21"/>
      <c r="H307" s="21"/>
      <c r="I307" s="21"/>
      <c r="J307" s="21"/>
      <c r="K307" s="21"/>
      <c r="L307" s="16" t="str">
        <f t="shared" ca="1" si="18"/>
        <v/>
      </c>
      <c r="M307" s="22" t="str">
        <f t="shared" ca="1" si="19"/>
        <v/>
      </c>
      <c r="U307" s="23" t="str">
        <f t="shared" si="20"/>
        <v/>
      </c>
      <c r="V307" s="23" t="str">
        <f t="shared" si="21"/>
        <v/>
      </c>
    </row>
    <row r="308" spans="5:22" x14ac:dyDescent="0.25">
      <c r="E308" s="21" t="str">
        <f t="shared" si="22"/>
        <v/>
      </c>
      <c r="F308" s="21"/>
      <c r="G308" s="21"/>
      <c r="H308" s="21"/>
      <c r="I308" s="21"/>
      <c r="J308" s="21"/>
      <c r="K308" s="21"/>
      <c r="L308" s="16" t="str">
        <f t="shared" ca="1" si="18"/>
        <v/>
      </c>
      <c r="M308" s="22" t="str">
        <f t="shared" ca="1" si="19"/>
        <v/>
      </c>
      <c r="U308" s="23" t="str">
        <f t="shared" si="20"/>
        <v/>
      </c>
      <c r="V308" s="23" t="str">
        <f t="shared" si="21"/>
        <v/>
      </c>
    </row>
    <row r="309" spans="5:22" x14ac:dyDescent="0.25">
      <c r="E309" s="21" t="str">
        <f t="shared" si="22"/>
        <v/>
      </c>
      <c r="F309" s="21"/>
      <c r="G309" s="21"/>
      <c r="H309" s="21"/>
      <c r="I309" s="21"/>
      <c r="J309" s="21"/>
      <c r="K309" s="21"/>
      <c r="L309" s="16" t="str">
        <f t="shared" ca="1" si="18"/>
        <v/>
      </c>
      <c r="M309" s="22" t="str">
        <f t="shared" ca="1" si="19"/>
        <v/>
      </c>
      <c r="U309" s="23" t="str">
        <f t="shared" si="20"/>
        <v/>
      </c>
      <c r="V309" s="23" t="str">
        <f t="shared" si="21"/>
        <v/>
      </c>
    </row>
    <row r="310" spans="5:22" x14ac:dyDescent="0.25">
      <c r="E310" s="21" t="str">
        <f t="shared" si="22"/>
        <v/>
      </c>
      <c r="F310" s="21"/>
      <c r="G310" s="21"/>
      <c r="H310" s="21"/>
      <c r="I310" s="21"/>
      <c r="J310" s="21"/>
      <c r="K310" s="21"/>
      <c r="L310" s="16" t="str">
        <f t="shared" ca="1" si="18"/>
        <v/>
      </c>
      <c r="M310" s="22" t="str">
        <f t="shared" ca="1" si="19"/>
        <v/>
      </c>
      <c r="U310" s="23" t="str">
        <f t="shared" si="20"/>
        <v/>
      </c>
      <c r="V310" s="23" t="str">
        <f t="shared" si="21"/>
        <v/>
      </c>
    </row>
    <row r="311" spans="5:22" x14ac:dyDescent="0.25">
      <c r="E311" s="21" t="str">
        <f t="shared" si="22"/>
        <v/>
      </c>
      <c r="F311" s="21"/>
      <c r="G311" s="21"/>
      <c r="H311" s="21"/>
      <c r="I311" s="21"/>
      <c r="J311" s="21"/>
      <c r="K311" s="21"/>
      <c r="L311" s="16" t="str">
        <f t="shared" ca="1" si="18"/>
        <v/>
      </c>
      <c r="M311" s="22" t="str">
        <f t="shared" ca="1" si="19"/>
        <v/>
      </c>
      <c r="U311" s="23" t="str">
        <f t="shared" si="20"/>
        <v/>
      </c>
      <c r="V311" s="23" t="str">
        <f t="shared" si="21"/>
        <v/>
      </c>
    </row>
    <row r="312" spans="5:22" x14ac:dyDescent="0.25">
      <c r="E312" s="21" t="str">
        <f t="shared" si="22"/>
        <v/>
      </c>
      <c r="F312" s="21"/>
      <c r="G312" s="21"/>
      <c r="H312" s="21"/>
      <c r="I312" s="21"/>
      <c r="J312" s="21"/>
      <c r="K312" s="21"/>
      <c r="L312" s="16" t="str">
        <f t="shared" ca="1" si="18"/>
        <v/>
      </c>
      <c r="M312" s="22" t="str">
        <f t="shared" ca="1" si="19"/>
        <v/>
      </c>
      <c r="U312" s="23" t="str">
        <f t="shared" si="20"/>
        <v/>
      </c>
      <c r="V312" s="23" t="str">
        <f t="shared" si="21"/>
        <v/>
      </c>
    </row>
    <row r="313" spans="5:22" x14ac:dyDescent="0.25">
      <c r="E313" s="21" t="str">
        <f t="shared" si="22"/>
        <v/>
      </c>
      <c r="F313" s="21"/>
      <c r="G313" s="21"/>
      <c r="H313" s="21"/>
      <c r="I313" s="21"/>
      <c r="J313" s="21"/>
      <c r="K313" s="21"/>
      <c r="L313" s="16" t="str">
        <f t="shared" ca="1" si="18"/>
        <v/>
      </c>
      <c r="M313" s="22" t="str">
        <f t="shared" ca="1" si="19"/>
        <v/>
      </c>
      <c r="U313" s="23" t="str">
        <f t="shared" si="20"/>
        <v/>
      </c>
      <c r="V313" s="23" t="str">
        <f t="shared" si="21"/>
        <v/>
      </c>
    </row>
    <row r="314" spans="5:22" x14ac:dyDescent="0.25">
      <c r="E314" s="21" t="str">
        <f t="shared" si="22"/>
        <v/>
      </c>
      <c r="F314" s="21"/>
      <c r="G314" s="21"/>
      <c r="H314" s="21"/>
      <c r="I314" s="21"/>
      <c r="J314" s="21"/>
      <c r="K314" s="21"/>
      <c r="L314" s="16" t="str">
        <f t="shared" ca="1" si="18"/>
        <v/>
      </c>
      <c r="M314" s="22" t="str">
        <f t="shared" ca="1" si="19"/>
        <v/>
      </c>
      <c r="U314" s="23" t="str">
        <f t="shared" si="20"/>
        <v/>
      </c>
      <c r="V314" s="23" t="str">
        <f t="shared" si="21"/>
        <v/>
      </c>
    </row>
    <row r="315" spans="5:22" x14ac:dyDescent="0.25">
      <c r="E315" s="21" t="str">
        <f t="shared" si="22"/>
        <v/>
      </c>
      <c r="F315" s="21"/>
      <c r="G315" s="21"/>
      <c r="H315" s="21"/>
      <c r="I315" s="21"/>
      <c r="J315" s="21"/>
      <c r="K315" s="21"/>
      <c r="L315" s="16" t="str">
        <f t="shared" ca="1" si="18"/>
        <v/>
      </c>
      <c r="M315" s="22" t="str">
        <f t="shared" ca="1" si="19"/>
        <v/>
      </c>
      <c r="U315" s="23" t="str">
        <f t="shared" si="20"/>
        <v/>
      </c>
      <c r="V315" s="23" t="str">
        <f t="shared" si="21"/>
        <v/>
      </c>
    </row>
    <row r="316" spans="5:22" x14ac:dyDescent="0.25">
      <c r="E316" s="21" t="str">
        <f t="shared" si="22"/>
        <v/>
      </c>
      <c r="F316" s="21"/>
      <c r="G316" s="21"/>
      <c r="H316" s="21"/>
      <c r="I316" s="21"/>
      <c r="J316" s="21"/>
      <c r="K316" s="21"/>
      <c r="L316" s="16" t="str">
        <f t="shared" ca="1" si="18"/>
        <v/>
      </c>
      <c r="M316" s="22" t="str">
        <f t="shared" ca="1" si="19"/>
        <v/>
      </c>
      <c r="U316" s="23" t="str">
        <f t="shared" si="20"/>
        <v/>
      </c>
      <c r="V316" s="23" t="str">
        <f t="shared" si="21"/>
        <v/>
      </c>
    </row>
    <row r="317" spans="5:22" x14ac:dyDescent="0.25">
      <c r="E317" s="21" t="str">
        <f t="shared" si="22"/>
        <v/>
      </c>
      <c r="F317" s="21"/>
      <c r="G317" s="21"/>
      <c r="H317" s="21"/>
      <c r="I317" s="21"/>
      <c r="J317" s="21"/>
      <c r="K317" s="21"/>
      <c r="L317" s="16" t="str">
        <f t="shared" ref="L317:L380" ca="1" si="23">IF(AND(C317&lt;&gt;"",C317&lt;&gt;U317),TODAY(),IF(C317="","",L317))</f>
        <v/>
      </c>
      <c r="M317" s="22" t="str">
        <f t="shared" ref="M317:M380" ca="1" si="24">IF(AND(C317&lt;&gt;"",C317&lt;&gt;V317),NOW(),IF(C317="","",M317))</f>
        <v/>
      </c>
      <c r="U317" s="23" t="str">
        <f t="shared" si="20"/>
        <v/>
      </c>
      <c r="V317" s="23" t="str">
        <f t="shared" si="21"/>
        <v/>
      </c>
    </row>
    <row r="318" spans="5:22" x14ac:dyDescent="0.25">
      <c r="E318" s="21" t="str">
        <f t="shared" si="22"/>
        <v/>
      </c>
      <c r="F318" s="21"/>
      <c r="G318" s="21"/>
      <c r="H318" s="21"/>
      <c r="I318" s="21"/>
      <c r="J318" s="21"/>
      <c r="K318" s="21"/>
      <c r="L318" s="16" t="str">
        <f t="shared" ca="1" si="23"/>
        <v/>
      </c>
      <c r="M318" s="22" t="str">
        <f t="shared" ca="1" si="24"/>
        <v/>
      </c>
      <c r="U318" s="23" t="str">
        <f t="shared" si="20"/>
        <v/>
      </c>
      <c r="V318" s="23" t="str">
        <f t="shared" si="21"/>
        <v/>
      </c>
    </row>
    <row r="319" spans="5:22" x14ac:dyDescent="0.25">
      <c r="E319" s="21" t="str">
        <f t="shared" si="22"/>
        <v/>
      </c>
      <c r="F319" s="21"/>
      <c r="G319" s="21"/>
      <c r="H319" s="21"/>
      <c r="I319" s="21"/>
      <c r="J319" s="21"/>
      <c r="K319" s="21"/>
      <c r="L319" s="16" t="str">
        <f t="shared" ca="1" si="23"/>
        <v/>
      </c>
      <c r="M319" s="22" t="str">
        <f t="shared" ca="1" si="24"/>
        <v/>
      </c>
      <c r="U319" s="23" t="str">
        <f t="shared" si="20"/>
        <v/>
      </c>
      <c r="V319" s="23" t="str">
        <f t="shared" si="21"/>
        <v/>
      </c>
    </row>
    <row r="320" spans="5:22" x14ac:dyDescent="0.25">
      <c r="E320" s="21" t="str">
        <f t="shared" si="22"/>
        <v/>
      </c>
      <c r="F320" s="21"/>
      <c r="G320" s="21"/>
      <c r="H320" s="21"/>
      <c r="I320" s="21"/>
      <c r="J320" s="21"/>
      <c r="K320" s="21"/>
      <c r="L320" s="16" t="str">
        <f t="shared" ca="1" si="23"/>
        <v/>
      </c>
      <c r="M320" s="22" t="str">
        <f t="shared" ca="1" si="24"/>
        <v/>
      </c>
      <c r="U320" s="23" t="str">
        <f t="shared" si="20"/>
        <v/>
      </c>
      <c r="V320" s="23" t="str">
        <f t="shared" si="21"/>
        <v/>
      </c>
    </row>
    <row r="321" spans="5:22" x14ac:dyDescent="0.25">
      <c r="E321" s="21" t="str">
        <f t="shared" si="22"/>
        <v/>
      </c>
      <c r="F321" s="21"/>
      <c r="G321" s="21"/>
      <c r="H321" s="21"/>
      <c r="I321" s="21"/>
      <c r="J321" s="21"/>
      <c r="K321" s="21"/>
      <c r="L321" s="16" t="str">
        <f t="shared" ca="1" si="23"/>
        <v/>
      </c>
      <c r="M321" s="22" t="str">
        <f t="shared" ca="1" si="24"/>
        <v/>
      </c>
      <c r="U321" s="23" t="str">
        <f t="shared" si="20"/>
        <v/>
      </c>
      <c r="V321" s="23" t="str">
        <f t="shared" si="21"/>
        <v/>
      </c>
    </row>
    <row r="322" spans="5:22" x14ac:dyDescent="0.25">
      <c r="E322" s="21" t="str">
        <f t="shared" si="22"/>
        <v/>
      </c>
      <c r="F322" s="21"/>
      <c r="G322" s="21"/>
      <c r="H322" s="21"/>
      <c r="I322" s="21"/>
      <c r="J322" s="21"/>
      <c r="K322" s="21"/>
      <c r="L322" s="16" t="str">
        <f t="shared" ca="1" si="23"/>
        <v/>
      </c>
      <c r="M322" s="22" t="str">
        <f t="shared" ca="1" si="24"/>
        <v/>
      </c>
      <c r="U322" s="23" t="str">
        <f t="shared" si="20"/>
        <v/>
      </c>
      <c r="V322" s="23" t="str">
        <f t="shared" si="21"/>
        <v/>
      </c>
    </row>
    <row r="323" spans="5:22" x14ac:dyDescent="0.25">
      <c r="E323" s="21" t="str">
        <f t="shared" si="22"/>
        <v/>
      </c>
      <c r="F323" s="21"/>
      <c r="G323" s="21"/>
      <c r="H323" s="21"/>
      <c r="I323" s="21"/>
      <c r="J323" s="21"/>
      <c r="K323" s="21"/>
      <c r="L323" s="16" t="str">
        <f t="shared" ca="1" si="23"/>
        <v/>
      </c>
      <c r="M323" s="22" t="str">
        <f t="shared" ca="1" si="24"/>
        <v/>
      </c>
      <c r="U323" s="23" t="str">
        <f t="shared" si="20"/>
        <v/>
      </c>
      <c r="V323" s="23" t="str">
        <f t="shared" si="21"/>
        <v/>
      </c>
    </row>
    <row r="324" spans="5:22" x14ac:dyDescent="0.25">
      <c r="E324" s="21" t="str">
        <f t="shared" si="22"/>
        <v/>
      </c>
      <c r="F324" s="21"/>
      <c r="G324" s="21"/>
      <c r="H324" s="21"/>
      <c r="I324" s="21"/>
      <c r="J324" s="21"/>
      <c r="K324" s="21"/>
      <c r="L324" s="16" t="str">
        <f t="shared" ca="1" si="23"/>
        <v/>
      </c>
      <c r="M324" s="22" t="str">
        <f t="shared" ca="1" si="24"/>
        <v/>
      </c>
      <c r="U324" s="23" t="str">
        <f t="shared" ref="U324:U387" si="25">IF(C324="","",IF(OR(L324="",AND(ISNUMBER(U324),C324=U324)),U324,C324))</f>
        <v/>
      </c>
      <c r="V324" s="23" t="str">
        <f t="shared" ref="V324:V387" si="26">IF(C324="","",IF(OR(M324="",AND(ISNUMBER(V324),C324=V324)),V324,C324))</f>
        <v/>
      </c>
    </row>
    <row r="325" spans="5:22" x14ac:dyDescent="0.25">
      <c r="E325" s="21" t="str">
        <f t="shared" si="22"/>
        <v/>
      </c>
      <c r="F325" s="21"/>
      <c r="G325" s="21"/>
      <c r="H325" s="21"/>
      <c r="I325" s="21"/>
      <c r="J325" s="21"/>
      <c r="K325" s="21"/>
      <c r="L325" s="16" t="str">
        <f t="shared" ca="1" si="23"/>
        <v/>
      </c>
      <c r="M325" s="22" t="str">
        <f t="shared" ca="1" si="24"/>
        <v/>
      </c>
      <c r="U325" s="23" t="str">
        <f t="shared" si="25"/>
        <v/>
      </c>
      <c r="V325" s="23" t="str">
        <f t="shared" si="26"/>
        <v/>
      </c>
    </row>
    <row r="326" spans="5:22" x14ac:dyDescent="0.25">
      <c r="E326" s="21" t="str">
        <f t="shared" si="22"/>
        <v/>
      </c>
      <c r="F326" s="21"/>
      <c r="G326" s="21"/>
      <c r="H326" s="21"/>
      <c r="I326" s="21"/>
      <c r="J326" s="21"/>
      <c r="K326" s="21"/>
      <c r="L326" s="16" t="str">
        <f t="shared" ca="1" si="23"/>
        <v/>
      </c>
      <c r="M326" s="22" t="str">
        <f t="shared" ca="1" si="24"/>
        <v/>
      </c>
      <c r="U326" s="23" t="str">
        <f t="shared" si="25"/>
        <v/>
      </c>
      <c r="V326" s="23" t="str">
        <f t="shared" si="26"/>
        <v/>
      </c>
    </row>
    <row r="327" spans="5:22" x14ac:dyDescent="0.25">
      <c r="E327" s="21" t="str">
        <f t="shared" si="22"/>
        <v/>
      </c>
      <c r="F327" s="21"/>
      <c r="G327" s="21"/>
      <c r="H327" s="21"/>
      <c r="I327" s="21"/>
      <c r="J327" s="21"/>
      <c r="K327" s="21"/>
      <c r="L327" s="16" t="str">
        <f t="shared" ca="1" si="23"/>
        <v/>
      </c>
      <c r="M327" s="22" t="str">
        <f t="shared" ca="1" si="24"/>
        <v/>
      </c>
      <c r="U327" s="23" t="str">
        <f t="shared" si="25"/>
        <v/>
      </c>
      <c r="V327" s="23" t="str">
        <f t="shared" si="26"/>
        <v/>
      </c>
    </row>
    <row r="328" spans="5:22" x14ac:dyDescent="0.25">
      <c r="E328" s="21" t="str">
        <f t="shared" si="22"/>
        <v/>
      </c>
      <c r="F328" s="21"/>
      <c r="G328" s="21"/>
      <c r="H328" s="21"/>
      <c r="I328" s="21"/>
      <c r="J328" s="21"/>
      <c r="K328" s="21"/>
      <c r="L328" s="16" t="str">
        <f t="shared" ca="1" si="23"/>
        <v/>
      </c>
      <c r="M328" s="22" t="str">
        <f t="shared" ca="1" si="24"/>
        <v/>
      </c>
      <c r="U328" s="23" t="str">
        <f t="shared" si="25"/>
        <v/>
      </c>
      <c r="V328" s="23" t="str">
        <f t="shared" si="26"/>
        <v/>
      </c>
    </row>
    <row r="329" spans="5:22" x14ac:dyDescent="0.25">
      <c r="E329" s="21" t="str">
        <f t="shared" si="22"/>
        <v/>
      </c>
      <c r="F329" s="21"/>
      <c r="G329" s="21"/>
      <c r="H329" s="21"/>
      <c r="I329" s="21"/>
      <c r="J329" s="21"/>
      <c r="K329" s="21"/>
      <c r="L329" s="16" t="str">
        <f t="shared" ca="1" si="23"/>
        <v/>
      </c>
      <c r="M329" s="22" t="str">
        <f t="shared" ca="1" si="24"/>
        <v/>
      </c>
      <c r="U329" s="23" t="str">
        <f t="shared" si="25"/>
        <v/>
      </c>
      <c r="V329" s="23" t="str">
        <f t="shared" si="26"/>
        <v/>
      </c>
    </row>
    <row r="330" spans="5:22" x14ac:dyDescent="0.25">
      <c r="E330" s="21" t="str">
        <f t="shared" si="22"/>
        <v/>
      </c>
      <c r="F330" s="21"/>
      <c r="G330" s="21"/>
      <c r="H330" s="21"/>
      <c r="I330" s="21"/>
      <c r="J330" s="21"/>
      <c r="K330" s="21"/>
      <c r="L330" s="16" t="str">
        <f t="shared" ca="1" si="23"/>
        <v/>
      </c>
      <c r="M330" s="22" t="str">
        <f t="shared" ca="1" si="24"/>
        <v/>
      </c>
      <c r="U330" s="23" t="str">
        <f t="shared" si="25"/>
        <v/>
      </c>
      <c r="V330" s="23" t="str">
        <f t="shared" si="26"/>
        <v/>
      </c>
    </row>
    <row r="331" spans="5:22" x14ac:dyDescent="0.25">
      <c r="E331" s="21" t="str">
        <f t="shared" si="22"/>
        <v/>
      </c>
      <c r="F331" s="21"/>
      <c r="G331" s="21"/>
      <c r="H331" s="21"/>
      <c r="I331" s="21"/>
      <c r="J331" s="21"/>
      <c r="K331" s="21"/>
      <c r="L331" s="16" t="str">
        <f t="shared" ca="1" si="23"/>
        <v/>
      </c>
      <c r="M331" s="22" t="str">
        <f t="shared" ca="1" si="24"/>
        <v/>
      </c>
      <c r="U331" s="23" t="str">
        <f t="shared" si="25"/>
        <v/>
      </c>
      <c r="V331" s="23" t="str">
        <f t="shared" si="26"/>
        <v/>
      </c>
    </row>
    <row r="332" spans="5:22" x14ac:dyDescent="0.25">
      <c r="E332" s="21" t="str">
        <f t="shared" si="22"/>
        <v/>
      </c>
      <c r="F332" s="21"/>
      <c r="G332" s="21"/>
      <c r="H332" s="21"/>
      <c r="I332" s="21"/>
      <c r="J332" s="21"/>
      <c r="K332" s="21"/>
      <c r="L332" s="16" t="str">
        <f t="shared" ca="1" si="23"/>
        <v/>
      </c>
      <c r="M332" s="22" t="str">
        <f t="shared" ca="1" si="24"/>
        <v/>
      </c>
      <c r="U332" s="23" t="str">
        <f t="shared" si="25"/>
        <v/>
      </c>
      <c r="V332" s="23" t="str">
        <f t="shared" si="26"/>
        <v/>
      </c>
    </row>
    <row r="333" spans="5:22" x14ac:dyDescent="0.25">
      <c r="E333" s="21" t="str">
        <f t="shared" si="22"/>
        <v/>
      </c>
      <c r="F333" s="21"/>
      <c r="G333" s="21"/>
      <c r="H333" s="21"/>
      <c r="I333" s="21"/>
      <c r="J333" s="21"/>
      <c r="K333" s="21"/>
      <c r="L333" s="16" t="str">
        <f t="shared" ca="1" si="23"/>
        <v/>
      </c>
      <c r="M333" s="22" t="str">
        <f t="shared" ca="1" si="24"/>
        <v/>
      </c>
      <c r="U333" s="23" t="str">
        <f t="shared" si="25"/>
        <v/>
      </c>
      <c r="V333" s="23" t="str">
        <f t="shared" si="26"/>
        <v/>
      </c>
    </row>
    <row r="334" spans="5:22" x14ac:dyDescent="0.25">
      <c r="E334" s="21" t="str">
        <f t="shared" si="22"/>
        <v/>
      </c>
      <c r="F334" s="21"/>
      <c r="G334" s="21"/>
      <c r="H334" s="21"/>
      <c r="I334" s="21"/>
      <c r="J334" s="21"/>
      <c r="K334" s="21"/>
      <c r="L334" s="16" t="str">
        <f t="shared" ca="1" si="23"/>
        <v/>
      </c>
      <c r="M334" s="22" t="str">
        <f t="shared" ca="1" si="24"/>
        <v/>
      </c>
      <c r="U334" s="23" t="str">
        <f t="shared" si="25"/>
        <v/>
      </c>
      <c r="V334" s="23" t="str">
        <f t="shared" si="26"/>
        <v/>
      </c>
    </row>
    <row r="335" spans="5:22" x14ac:dyDescent="0.25">
      <c r="E335" s="21" t="str">
        <f t="shared" si="22"/>
        <v/>
      </c>
      <c r="F335" s="21"/>
      <c r="G335" s="21"/>
      <c r="H335" s="21"/>
      <c r="I335" s="21"/>
      <c r="J335" s="21"/>
      <c r="K335" s="21"/>
      <c r="L335" s="16" t="str">
        <f t="shared" ca="1" si="23"/>
        <v/>
      </c>
      <c r="M335" s="22" t="str">
        <f t="shared" ca="1" si="24"/>
        <v/>
      </c>
      <c r="U335" s="23" t="str">
        <f t="shared" si="25"/>
        <v/>
      </c>
      <c r="V335" s="23" t="str">
        <f t="shared" si="26"/>
        <v/>
      </c>
    </row>
    <row r="336" spans="5:22" x14ac:dyDescent="0.25">
      <c r="E336" s="21" t="str">
        <f t="shared" si="22"/>
        <v/>
      </c>
      <c r="F336" s="21"/>
      <c r="G336" s="21"/>
      <c r="H336" s="21"/>
      <c r="I336" s="21"/>
      <c r="J336" s="21"/>
      <c r="K336" s="21"/>
      <c r="L336" s="16" t="str">
        <f t="shared" ca="1" si="23"/>
        <v/>
      </c>
      <c r="M336" s="22" t="str">
        <f t="shared" ca="1" si="24"/>
        <v/>
      </c>
      <c r="U336" s="23" t="str">
        <f t="shared" si="25"/>
        <v/>
      </c>
      <c r="V336" s="23" t="str">
        <f t="shared" si="26"/>
        <v/>
      </c>
    </row>
    <row r="337" spans="5:22" x14ac:dyDescent="0.25">
      <c r="E337" s="21" t="str">
        <f t="shared" si="22"/>
        <v/>
      </c>
      <c r="F337" s="21"/>
      <c r="G337" s="21"/>
      <c r="H337" s="21"/>
      <c r="I337" s="21"/>
      <c r="J337" s="21"/>
      <c r="K337" s="21"/>
      <c r="L337" s="16" t="str">
        <f t="shared" ca="1" si="23"/>
        <v/>
      </c>
      <c r="M337" s="22" t="str">
        <f t="shared" ca="1" si="24"/>
        <v/>
      </c>
      <c r="U337" s="23" t="str">
        <f t="shared" si="25"/>
        <v/>
      </c>
      <c r="V337" s="23" t="str">
        <f t="shared" si="26"/>
        <v/>
      </c>
    </row>
    <row r="338" spans="5:22" x14ac:dyDescent="0.25">
      <c r="E338" s="21" t="str">
        <f t="shared" si="22"/>
        <v/>
      </c>
      <c r="F338" s="21"/>
      <c r="G338" s="21"/>
      <c r="H338" s="21"/>
      <c r="I338" s="21"/>
      <c r="J338" s="21"/>
      <c r="K338" s="21"/>
      <c r="L338" s="16" t="str">
        <f t="shared" ca="1" si="23"/>
        <v/>
      </c>
      <c r="M338" s="22" t="str">
        <f t="shared" ca="1" si="24"/>
        <v/>
      </c>
      <c r="U338" s="23" t="str">
        <f t="shared" si="25"/>
        <v/>
      </c>
      <c r="V338" s="23" t="str">
        <f t="shared" si="26"/>
        <v/>
      </c>
    </row>
    <row r="339" spans="5:22" x14ac:dyDescent="0.25">
      <c r="E339" s="21" t="str">
        <f t="shared" si="22"/>
        <v/>
      </c>
      <c r="F339" s="21"/>
      <c r="G339" s="21"/>
      <c r="H339" s="21"/>
      <c r="I339" s="21"/>
      <c r="J339" s="21"/>
      <c r="K339" s="21"/>
      <c r="L339" s="16" t="str">
        <f t="shared" ca="1" si="23"/>
        <v/>
      </c>
      <c r="M339" s="22" t="str">
        <f t="shared" ca="1" si="24"/>
        <v/>
      </c>
      <c r="U339" s="23" t="str">
        <f t="shared" si="25"/>
        <v/>
      </c>
      <c r="V339" s="23" t="str">
        <f t="shared" si="26"/>
        <v/>
      </c>
    </row>
    <row r="340" spans="5:22" x14ac:dyDescent="0.25">
      <c r="E340" s="21" t="str">
        <f t="shared" si="22"/>
        <v/>
      </c>
      <c r="F340" s="21"/>
      <c r="G340" s="21"/>
      <c r="H340" s="21"/>
      <c r="I340" s="21"/>
      <c r="J340" s="21"/>
      <c r="K340" s="21"/>
      <c r="L340" s="16" t="str">
        <f t="shared" ca="1" si="23"/>
        <v/>
      </c>
      <c r="M340" s="22" t="str">
        <f t="shared" ca="1" si="24"/>
        <v/>
      </c>
      <c r="U340" s="23" t="str">
        <f t="shared" si="25"/>
        <v/>
      </c>
      <c r="V340" s="23" t="str">
        <f t="shared" si="26"/>
        <v/>
      </c>
    </row>
    <row r="341" spans="5:22" x14ac:dyDescent="0.25">
      <c r="E341" s="21" t="str">
        <f t="shared" si="22"/>
        <v/>
      </c>
      <c r="F341" s="21"/>
      <c r="G341" s="21"/>
      <c r="H341" s="21"/>
      <c r="I341" s="21"/>
      <c r="J341" s="21"/>
      <c r="K341" s="21"/>
      <c r="L341" s="16" t="str">
        <f t="shared" ca="1" si="23"/>
        <v/>
      </c>
      <c r="M341" s="22" t="str">
        <f t="shared" ca="1" si="24"/>
        <v/>
      </c>
      <c r="U341" s="23" t="str">
        <f t="shared" si="25"/>
        <v/>
      </c>
      <c r="V341" s="23" t="str">
        <f t="shared" si="26"/>
        <v/>
      </c>
    </row>
    <row r="342" spans="5:22" x14ac:dyDescent="0.25">
      <c r="E342" s="21" t="str">
        <f t="shared" si="22"/>
        <v/>
      </c>
      <c r="F342" s="21"/>
      <c r="G342" s="21"/>
      <c r="H342" s="21"/>
      <c r="I342" s="21"/>
      <c r="J342" s="21"/>
      <c r="K342" s="21"/>
      <c r="L342" s="16" t="str">
        <f t="shared" ca="1" si="23"/>
        <v/>
      </c>
      <c r="M342" s="22" t="str">
        <f t="shared" ca="1" si="24"/>
        <v/>
      </c>
      <c r="U342" s="23" t="str">
        <f t="shared" si="25"/>
        <v/>
      </c>
      <c r="V342" s="23" t="str">
        <f t="shared" si="26"/>
        <v/>
      </c>
    </row>
    <row r="343" spans="5:22" x14ac:dyDescent="0.25">
      <c r="E343" s="21" t="str">
        <f t="shared" si="22"/>
        <v/>
      </c>
      <c r="F343" s="21"/>
      <c r="G343" s="21"/>
      <c r="H343" s="21"/>
      <c r="I343" s="21"/>
      <c r="J343" s="21"/>
      <c r="K343" s="21"/>
      <c r="L343" s="16" t="str">
        <f t="shared" ca="1" si="23"/>
        <v/>
      </c>
      <c r="M343" s="22" t="str">
        <f t="shared" ca="1" si="24"/>
        <v/>
      </c>
      <c r="U343" s="23" t="str">
        <f t="shared" si="25"/>
        <v/>
      </c>
      <c r="V343" s="23" t="str">
        <f t="shared" si="26"/>
        <v/>
      </c>
    </row>
    <row r="344" spans="5:22" x14ac:dyDescent="0.25">
      <c r="E344" s="21" t="str">
        <f t="shared" si="22"/>
        <v/>
      </c>
      <c r="F344" s="21"/>
      <c r="G344" s="21"/>
      <c r="H344" s="21"/>
      <c r="I344" s="21"/>
      <c r="J344" s="21"/>
      <c r="K344" s="21"/>
      <c r="L344" s="16" t="str">
        <f t="shared" ca="1" si="23"/>
        <v/>
      </c>
      <c r="M344" s="22" t="str">
        <f t="shared" ca="1" si="24"/>
        <v/>
      </c>
      <c r="U344" s="23" t="str">
        <f t="shared" si="25"/>
        <v/>
      </c>
      <c r="V344" s="23" t="str">
        <f t="shared" si="26"/>
        <v/>
      </c>
    </row>
    <row r="345" spans="5:22" x14ac:dyDescent="0.25">
      <c r="E345" s="21" t="str">
        <f t="shared" si="22"/>
        <v/>
      </c>
      <c r="F345" s="21"/>
      <c r="G345" s="21"/>
      <c r="H345" s="21"/>
      <c r="I345" s="21"/>
      <c r="J345" s="21"/>
      <c r="K345" s="21"/>
      <c r="L345" s="16" t="str">
        <f t="shared" ca="1" si="23"/>
        <v/>
      </c>
      <c r="M345" s="22" t="str">
        <f t="shared" ca="1" si="24"/>
        <v/>
      </c>
      <c r="U345" s="23" t="str">
        <f t="shared" si="25"/>
        <v/>
      </c>
      <c r="V345" s="23" t="str">
        <f t="shared" si="26"/>
        <v/>
      </c>
    </row>
    <row r="346" spans="5:22" x14ac:dyDescent="0.25">
      <c r="E346" s="21" t="str">
        <f t="shared" si="22"/>
        <v/>
      </c>
      <c r="F346" s="21"/>
      <c r="G346" s="21"/>
      <c r="H346" s="21"/>
      <c r="I346" s="21"/>
      <c r="J346" s="21"/>
      <c r="K346" s="21"/>
      <c r="L346" s="16" t="str">
        <f t="shared" ca="1" si="23"/>
        <v/>
      </c>
      <c r="M346" s="22" t="str">
        <f t="shared" ca="1" si="24"/>
        <v/>
      </c>
      <c r="U346" s="23" t="str">
        <f t="shared" si="25"/>
        <v/>
      </c>
      <c r="V346" s="23" t="str">
        <f t="shared" si="26"/>
        <v/>
      </c>
    </row>
    <row r="347" spans="5:22" x14ac:dyDescent="0.25">
      <c r="E347" s="21" t="str">
        <f t="shared" si="22"/>
        <v/>
      </c>
      <c r="F347" s="21"/>
      <c r="G347" s="21"/>
      <c r="H347" s="21"/>
      <c r="I347" s="21"/>
      <c r="J347" s="21"/>
      <c r="K347" s="21"/>
      <c r="L347" s="16" t="str">
        <f t="shared" ca="1" si="23"/>
        <v/>
      </c>
      <c r="M347" s="22" t="str">
        <f t="shared" ca="1" si="24"/>
        <v/>
      </c>
      <c r="U347" s="23" t="str">
        <f t="shared" si="25"/>
        <v/>
      </c>
      <c r="V347" s="23" t="str">
        <f t="shared" si="26"/>
        <v/>
      </c>
    </row>
    <row r="348" spans="5:22" x14ac:dyDescent="0.25">
      <c r="E348" s="21" t="str">
        <f t="shared" si="22"/>
        <v/>
      </c>
      <c r="F348" s="21"/>
      <c r="G348" s="21"/>
      <c r="H348" s="21"/>
      <c r="I348" s="21"/>
      <c r="J348" s="21"/>
      <c r="K348" s="21"/>
      <c r="L348" s="16" t="str">
        <f t="shared" ca="1" si="23"/>
        <v/>
      </c>
      <c r="M348" s="22" t="str">
        <f t="shared" ca="1" si="24"/>
        <v/>
      </c>
      <c r="U348" s="23" t="str">
        <f t="shared" si="25"/>
        <v/>
      </c>
      <c r="V348" s="23" t="str">
        <f t="shared" si="26"/>
        <v/>
      </c>
    </row>
    <row r="349" spans="5:22" x14ac:dyDescent="0.25">
      <c r="E349" s="21" t="str">
        <f t="shared" si="22"/>
        <v/>
      </c>
      <c r="F349" s="21"/>
      <c r="G349" s="21"/>
      <c r="H349" s="21"/>
      <c r="I349" s="21"/>
      <c r="J349" s="21"/>
      <c r="K349" s="21"/>
      <c r="L349" s="16" t="str">
        <f t="shared" ca="1" si="23"/>
        <v/>
      </c>
      <c r="M349" s="22" t="str">
        <f t="shared" ca="1" si="24"/>
        <v/>
      </c>
      <c r="U349" s="23" t="str">
        <f t="shared" si="25"/>
        <v/>
      </c>
      <c r="V349" s="23" t="str">
        <f t="shared" si="26"/>
        <v/>
      </c>
    </row>
    <row r="350" spans="5:22" x14ac:dyDescent="0.25">
      <c r="E350" s="21" t="str">
        <f t="shared" si="22"/>
        <v/>
      </c>
      <c r="F350" s="21"/>
      <c r="G350" s="21"/>
      <c r="H350" s="21"/>
      <c r="I350" s="21"/>
      <c r="J350" s="21"/>
      <c r="K350" s="21"/>
      <c r="L350" s="16" t="str">
        <f t="shared" ca="1" si="23"/>
        <v/>
      </c>
      <c r="M350" s="22" t="str">
        <f t="shared" ca="1" si="24"/>
        <v/>
      </c>
      <c r="U350" s="23" t="str">
        <f t="shared" si="25"/>
        <v/>
      </c>
      <c r="V350" s="23" t="str">
        <f t="shared" si="26"/>
        <v/>
      </c>
    </row>
    <row r="351" spans="5:22" x14ac:dyDescent="0.25">
      <c r="E351" s="21" t="str">
        <f t="shared" si="22"/>
        <v/>
      </c>
      <c r="F351" s="21"/>
      <c r="G351" s="21"/>
      <c r="H351" s="21"/>
      <c r="I351" s="21"/>
      <c r="J351" s="21"/>
      <c r="K351" s="21"/>
      <c r="L351" s="16" t="str">
        <f t="shared" ca="1" si="23"/>
        <v/>
      </c>
      <c r="M351" s="22" t="str">
        <f t="shared" ca="1" si="24"/>
        <v/>
      </c>
      <c r="U351" s="23" t="str">
        <f t="shared" si="25"/>
        <v/>
      </c>
      <c r="V351" s="23" t="str">
        <f t="shared" si="26"/>
        <v/>
      </c>
    </row>
    <row r="352" spans="5:22" x14ac:dyDescent="0.25">
      <c r="E352" s="21" t="str">
        <f t="shared" si="22"/>
        <v/>
      </c>
      <c r="F352" s="21"/>
      <c r="G352" s="21"/>
      <c r="H352" s="21"/>
      <c r="I352" s="21"/>
      <c r="J352" s="21"/>
      <c r="K352" s="21"/>
      <c r="L352" s="16" t="str">
        <f t="shared" ca="1" si="23"/>
        <v/>
      </c>
      <c r="M352" s="22" t="str">
        <f t="shared" ca="1" si="24"/>
        <v/>
      </c>
      <c r="U352" s="23" t="str">
        <f t="shared" si="25"/>
        <v/>
      </c>
      <c r="V352" s="23" t="str">
        <f t="shared" si="26"/>
        <v/>
      </c>
    </row>
    <row r="353" spans="5:22" x14ac:dyDescent="0.25">
      <c r="E353" s="21" t="str">
        <f t="shared" si="22"/>
        <v/>
      </c>
      <c r="F353" s="21"/>
      <c r="G353" s="21"/>
      <c r="H353" s="21"/>
      <c r="I353" s="21"/>
      <c r="J353" s="21"/>
      <c r="K353" s="21"/>
      <c r="L353" s="16" t="str">
        <f t="shared" ca="1" si="23"/>
        <v/>
      </c>
      <c r="M353" s="22" t="str">
        <f t="shared" ca="1" si="24"/>
        <v/>
      </c>
      <c r="U353" s="23" t="str">
        <f t="shared" si="25"/>
        <v/>
      </c>
      <c r="V353" s="23" t="str">
        <f t="shared" si="26"/>
        <v/>
      </c>
    </row>
    <row r="354" spans="5:22" x14ac:dyDescent="0.25">
      <c r="E354" s="21" t="str">
        <f t="shared" si="22"/>
        <v/>
      </c>
      <c r="F354" s="21"/>
      <c r="G354" s="21"/>
      <c r="H354" s="21"/>
      <c r="I354" s="21"/>
      <c r="J354" s="21"/>
      <c r="K354" s="21"/>
      <c r="L354" s="16" t="str">
        <f t="shared" ca="1" si="23"/>
        <v/>
      </c>
      <c r="M354" s="22" t="str">
        <f t="shared" ca="1" si="24"/>
        <v/>
      </c>
      <c r="U354" s="23" t="str">
        <f t="shared" si="25"/>
        <v/>
      </c>
      <c r="V354" s="23" t="str">
        <f t="shared" si="26"/>
        <v/>
      </c>
    </row>
    <row r="355" spans="5:22" x14ac:dyDescent="0.25">
      <c r="E355" s="21" t="str">
        <f t="shared" si="22"/>
        <v/>
      </c>
      <c r="F355" s="21"/>
      <c r="G355" s="21"/>
      <c r="H355" s="21"/>
      <c r="I355" s="21"/>
      <c r="J355" s="21"/>
      <c r="K355" s="21"/>
      <c r="L355" s="16" t="str">
        <f t="shared" ca="1" si="23"/>
        <v/>
      </c>
      <c r="M355" s="22" t="str">
        <f t="shared" ca="1" si="24"/>
        <v/>
      </c>
      <c r="U355" s="23" t="str">
        <f t="shared" si="25"/>
        <v/>
      </c>
      <c r="V355" s="23" t="str">
        <f t="shared" si="26"/>
        <v/>
      </c>
    </row>
    <row r="356" spans="5:22" x14ac:dyDescent="0.25">
      <c r="E356" s="21" t="str">
        <f t="shared" si="22"/>
        <v/>
      </c>
      <c r="F356" s="21"/>
      <c r="G356" s="21"/>
      <c r="H356" s="21"/>
      <c r="I356" s="21"/>
      <c r="J356" s="21"/>
      <c r="K356" s="21"/>
      <c r="L356" s="16" t="str">
        <f t="shared" ca="1" si="23"/>
        <v/>
      </c>
      <c r="M356" s="22" t="str">
        <f t="shared" ca="1" si="24"/>
        <v/>
      </c>
      <c r="U356" s="23" t="str">
        <f t="shared" si="25"/>
        <v/>
      </c>
      <c r="V356" s="23" t="str">
        <f t="shared" si="26"/>
        <v/>
      </c>
    </row>
    <row r="357" spans="5:22" x14ac:dyDescent="0.25">
      <c r="E357" s="21" t="str">
        <f t="shared" ref="E357:E420" si="27">IF(ISNUMBER(SEARCH("v crs",D357))=TRUE,"VC",IF(ISNUMBER(SEARCH("crs",D357))=TRUE,"C",IF(ISNUMBER(SEARCH("med",D357))=TRUE,"M",IF(ISNUMBER(SEARCH("vf",D357))=TRUE,"VF",IF(ISNUMBER(SEARCH("f",D357))=TRUE,"F","")))))</f>
        <v/>
      </c>
      <c r="F357" s="21"/>
      <c r="G357" s="21"/>
      <c r="H357" s="21"/>
      <c r="I357" s="21"/>
      <c r="J357" s="21"/>
      <c r="K357" s="21"/>
      <c r="L357" s="16" t="str">
        <f t="shared" ca="1" si="23"/>
        <v/>
      </c>
      <c r="M357" s="22" t="str">
        <f t="shared" ca="1" si="24"/>
        <v/>
      </c>
      <c r="U357" s="23" t="str">
        <f t="shared" si="25"/>
        <v/>
      </c>
      <c r="V357" s="23" t="str">
        <f t="shared" si="26"/>
        <v/>
      </c>
    </row>
    <row r="358" spans="5:22" x14ac:dyDescent="0.25">
      <c r="E358" s="21" t="str">
        <f t="shared" si="27"/>
        <v/>
      </c>
      <c r="F358" s="21"/>
      <c r="G358" s="21"/>
      <c r="H358" s="21"/>
      <c r="I358" s="21"/>
      <c r="J358" s="21"/>
      <c r="K358" s="21"/>
      <c r="L358" s="16" t="str">
        <f t="shared" ca="1" si="23"/>
        <v/>
      </c>
      <c r="M358" s="22" t="str">
        <f t="shared" ca="1" si="24"/>
        <v/>
      </c>
      <c r="U358" s="23" t="str">
        <f t="shared" si="25"/>
        <v/>
      </c>
      <c r="V358" s="23" t="str">
        <f t="shared" si="26"/>
        <v/>
      </c>
    </row>
    <row r="359" spans="5:22" x14ac:dyDescent="0.25">
      <c r="E359" s="21" t="str">
        <f t="shared" si="27"/>
        <v/>
      </c>
      <c r="F359" s="21"/>
      <c r="G359" s="21"/>
      <c r="H359" s="21"/>
      <c r="I359" s="21"/>
      <c r="J359" s="21"/>
      <c r="K359" s="21"/>
      <c r="L359" s="16" t="str">
        <f t="shared" ca="1" si="23"/>
        <v/>
      </c>
      <c r="M359" s="22" t="str">
        <f t="shared" ca="1" si="24"/>
        <v/>
      </c>
      <c r="U359" s="23" t="str">
        <f t="shared" si="25"/>
        <v/>
      </c>
      <c r="V359" s="23" t="str">
        <f t="shared" si="26"/>
        <v/>
      </c>
    </row>
    <row r="360" spans="5:22" x14ac:dyDescent="0.25">
      <c r="E360" s="21" t="str">
        <f t="shared" si="27"/>
        <v/>
      </c>
      <c r="F360" s="21"/>
      <c r="G360" s="21"/>
      <c r="H360" s="21"/>
      <c r="I360" s="21"/>
      <c r="J360" s="21"/>
      <c r="K360" s="21"/>
      <c r="L360" s="16" t="str">
        <f t="shared" ca="1" si="23"/>
        <v/>
      </c>
      <c r="M360" s="22" t="str">
        <f t="shared" ca="1" si="24"/>
        <v/>
      </c>
      <c r="U360" s="23" t="str">
        <f t="shared" si="25"/>
        <v/>
      </c>
      <c r="V360" s="23" t="str">
        <f t="shared" si="26"/>
        <v/>
      </c>
    </row>
    <row r="361" spans="5:22" x14ac:dyDescent="0.25">
      <c r="E361" s="21" t="str">
        <f t="shared" si="27"/>
        <v/>
      </c>
      <c r="F361" s="21"/>
      <c r="G361" s="21"/>
      <c r="H361" s="21"/>
      <c r="I361" s="21"/>
      <c r="J361" s="21"/>
      <c r="K361" s="21"/>
      <c r="L361" s="16" t="str">
        <f t="shared" ca="1" si="23"/>
        <v/>
      </c>
      <c r="M361" s="22" t="str">
        <f t="shared" ca="1" si="24"/>
        <v/>
      </c>
      <c r="U361" s="23" t="str">
        <f t="shared" si="25"/>
        <v/>
      </c>
      <c r="V361" s="23" t="str">
        <f t="shared" si="26"/>
        <v/>
      </c>
    </row>
    <row r="362" spans="5:22" x14ac:dyDescent="0.25">
      <c r="E362" s="21" t="str">
        <f t="shared" si="27"/>
        <v/>
      </c>
      <c r="F362" s="21"/>
      <c r="G362" s="21"/>
      <c r="H362" s="21"/>
      <c r="I362" s="21"/>
      <c r="J362" s="21"/>
      <c r="K362" s="21"/>
      <c r="L362" s="16" t="str">
        <f t="shared" ca="1" si="23"/>
        <v/>
      </c>
      <c r="M362" s="22" t="str">
        <f t="shared" ca="1" si="24"/>
        <v/>
      </c>
      <c r="U362" s="23" t="str">
        <f t="shared" si="25"/>
        <v/>
      </c>
      <c r="V362" s="23" t="str">
        <f t="shared" si="26"/>
        <v/>
      </c>
    </row>
    <row r="363" spans="5:22" x14ac:dyDescent="0.25">
      <c r="E363" s="21" t="str">
        <f t="shared" si="27"/>
        <v/>
      </c>
      <c r="F363" s="21"/>
      <c r="G363" s="21"/>
      <c r="H363" s="21"/>
      <c r="I363" s="21"/>
      <c r="J363" s="21"/>
      <c r="K363" s="21"/>
      <c r="L363" s="16" t="str">
        <f t="shared" ca="1" si="23"/>
        <v/>
      </c>
      <c r="M363" s="22" t="str">
        <f t="shared" ca="1" si="24"/>
        <v/>
      </c>
      <c r="U363" s="23" t="str">
        <f t="shared" si="25"/>
        <v/>
      </c>
      <c r="V363" s="23" t="str">
        <f t="shared" si="26"/>
        <v/>
      </c>
    </row>
    <row r="364" spans="5:22" x14ac:dyDescent="0.25">
      <c r="E364" s="21" t="str">
        <f t="shared" si="27"/>
        <v/>
      </c>
      <c r="F364" s="21"/>
      <c r="G364" s="21"/>
      <c r="H364" s="21"/>
      <c r="I364" s="21"/>
      <c r="J364" s="21"/>
      <c r="K364" s="21"/>
      <c r="L364" s="16" t="str">
        <f t="shared" ca="1" si="23"/>
        <v/>
      </c>
      <c r="M364" s="22" t="str">
        <f t="shared" ca="1" si="24"/>
        <v/>
      </c>
      <c r="U364" s="23" t="str">
        <f t="shared" si="25"/>
        <v/>
      </c>
      <c r="V364" s="23" t="str">
        <f t="shared" si="26"/>
        <v/>
      </c>
    </row>
    <row r="365" spans="5:22" x14ac:dyDescent="0.25">
      <c r="E365" s="21" t="str">
        <f t="shared" si="27"/>
        <v/>
      </c>
      <c r="F365" s="21"/>
      <c r="G365" s="21"/>
      <c r="H365" s="21"/>
      <c r="I365" s="21"/>
      <c r="J365" s="21"/>
      <c r="K365" s="21"/>
      <c r="L365" s="16" t="str">
        <f t="shared" ca="1" si="23"/>
        <v/>
      </c>
      <c r="M365" s="22" t="str">
        <f t="shared" ca="1" si="24"/>
        <v/>
      </c>
      <c r="U365" s="23" t="str">
        <f t="shared" si="25"/>
        <v/>
      </c>
      <c r="V365" s="23" t="str">
        <f t="shared" si="26"/>
        <v/>
      </c>
    </row>
    <row r="366" spans="5:22" x14ac:dyDescent="0.25">
      <c r="E366" s="21" t="str">
        <f t="shared" si="27"/>
        <v/>
      </c>
      <c r="F366" s="21"/>
      <c r="G366" s="21"/>
      <c r="H366" s="21"/>
      <c r="I366" s="21"/>
      <c r="J366" s="21"/>
      <c r="K366" s="21"/>
      <c r="L366" s="16" t="str">
        <f t="shared" ca="1" si="23"/>
        <v/>
      </c>
      <c r="M366" s="22" t="str">
        <f t="shared" ca="1" si="24"/>
        <v/>
      </c>
      <c r="U366" s="23" t="str">
        <f t="shared" si="25"/>
        <v/>
      </c>
      <c r="V366" s="23" t="str">
        <f t="shared" si="26"/>
        <v/>
      </c>
    </row>
    <row r="367" spans="5:22" x14ac:dyDescent="0.25">
      <c r="E367" s="21" t="str">
        <f t="shared" si="27"/>
        <v/>
      </c>
      <c r="F367" s="21"/>
      <c r="G367" s="21"/>
      <c r="H367" s="21"/>
      <c r="I367" s="21"/>
      <c r="J367" s="21"/>
      <c r="K367" s="21"/>
      <c r="L367" s="16" t="str">
        <f t="shared" ca="1" si="23"/>
        <v/>
      </c>
      <c r="M367" s="22" t="str">
        <f t="shared" ca="1" si="24"/>
        <v/>
      </c>
      <c r="U367" s="23" t="str">
        <f t="shared" si="25"/>
        <v/>
      </c>
      <c r="V367" s="23" t="str">
        <f t="shared" si="26"/>
        <v/>
      </c>
    </row>
    <row r="368" spans="5:22" x14ac:dyDescent="0.25">
      <c r="E368" s="21" t="str">
        <f t="shared" si="27"/>
        <v/>
      </c>
      <c r="F368" s="21"/>
      <c r="G368" s="21"/>
      <c r="H368" s="21"/>
      <c r="I368" s="21"/>
      <c r="J368" s="21"/>
      <c r="K368" s="21"/>
      <c r="L368" s="16" t="str">
        <f t="shared" ca="1" si="23"/>
        <v/>
      </c>
      <c r="M368" s="22" t="str">
        <f t="shared" ca="1" si="24"/>
        <v/>
      </c>
      <c r="U368" s="23" t="str">
        <f t="shared" si="25"/>
        <v/>
      </c>
      <c r="V368" s="23" t="str">
        <f t="shared" si="26"/>
        <v/>
      </c>
    </row>
    <row r="369" spans="5:22" x14ac:dyDescent="0.25">
      <c r="E369" s="21" t="str">
        <f t="shared" si="27"/>
        <v/>
      </c>
      <c r="F369" s="21"/>
      <c r="G369" s="21"/>
      <c r="H369" s="21"/>
      <c r="I369" s="21"/>
      <c r="J369" s="21"/>
      <c r="K369" s="21"/>
      <c r="L369" s="16" t="str">
        <f t="shared" ca="1" si="23"/>
        <v/>
      </c>
      <c r="M369" s="22" t="str">
        <f t="shared" ca="1" si="24"/>
        <v/>
      </c>
      <c r="U369" s="23" t="str">
        <f t="shared" si="25"/>
        <v/>
      </c>
      <c r="V369" s="23" t="str">
        <f t="shared" si="26"/>
        <v/>
      </c>
    </row>
    <row r="370" spans="5:22" x14ac:dyDescent="0.25">
      <c r="E370" s="21" t="str">
        <f t="shared" si="27"/>
        <v/>
      </c>
      <c r="F370" s="21"/>
      <c r="G370" s="21"/>
      <c r="H370" s="21"/>
      <c r="I370" s="21"/>
      <c r="J370" s="21"/>
      <c r="K370" s="21"/>
      <c r="L370" s="16" t="str">
        <f t="shared" ca="1" si="23"/>
        <v/>
      </c>
      <c r="M370" s="22" t="str">
        <f t="shared" ca="1" si="24"/>
        <v/>
      </c>
      <c r="U370" s="23" t="str">
        <f t="shared" si="25"/>
        <v/>
      </c>
      <c r="V370" s="23" t="str">
        <f t="shared" si="26"/>
        <v/>
      </c>
    </row>
    <row r="371" spans="5:22" x14ac:dyDescent="0.25">
      <c r="E371" s="21" t="str">
        <f t="shared" si="27"/>
        <v/>
      </c>
      <c r="F371" s="21"/>
      <c r="G371" s="21"/>
      <c r="H371" s="21"/>
      <c r="I371" s="21"/>
      <c r="J371" s="21"/>
      <c r="K371" s="21"/>
      <c r="L371" s="16" t="str">
        <f t="shared" ca="1" si="23"/>
        <v/>
      </c>
      <c r="M371" s="22" t="str">
        <f t="shared" ca="1" si="24"/>
        <v/>
      </c>
      <c r="U371" s="23" t="str">
        <f t="shared" si="25"/>
        <v/>
      </c>
      <c r="V371" s="23" t="str">
        <f t="shared" si="26"/>
        <v/>
      </c>
    </row>
    <row r="372" spans="5:22" x14ac:dyDescent="0.25">
      <c r="E372" s="21" t="str">
        <f t="shared" si="27"/>
        <v/>
      </c>
      <c r="F372" s="21"/>
      <c r="G372" s="21"/>
      <c r="H372" s="21"/>
      <c r="I372" s="21"/>
      <c r="J372" s="21"/>
      <c r="K372" s="21"/>
      <c r="L372" s="16" t="str">
        <f t="shared" ca="1" si="23"/>
        <v/>
      </c>
      <c r="M372" s="22" t="str">
        <f t="shared" ca="1" si="24"/>
        <v/>
      </c>
      <c r="U372" s="23" t="str">
        <f t="shared" si="25"/>
        <v/>
      </c>
      <c r="V372" s="23" t="str">
        <f t="shared" si="26"/>
        <v/>
      </c>
    </row>
    <row r="373" spans="5:22" x14ac:dyDescent="0.25">
      <c r="E373" s="21" t="str">
        <f t="shared" si="27"/>
        <v/>
      </c>
      <c r="F373" s="21"/>
      <c r="G373" s="21"/>
      <c r="H373" s="21"/>
      <c r="I373" s="21"/>
      <c r="J373" s="21"/>
      <c r="K373" s="21"/>
      <c r="L373" s="16" t="str">
        <f t="shared" ca="1" si="23"/>
        <v/>
      </c>
      <c r="M373" s="22" t="str">
        <f t="shared" ca="1" si="24"/>
        <v/>
      </c>
      <c r="U373" s="23" t="str">
        <f t="shared" si="25"/>
        <v/>
      </c>
      <c r="V373" s="23" t="str">
        <f t="shared" si="26"/>
        <v/>
      </c>
    </row>
    <row r="374" spans="5:22" x14ac:dyDescent="0.25">
      <c r="E374" s="21" t="str">
        <f t="shared" si="27"/>
        <v/>
      </c>
      <c r="F374" s="21"/>
      <c r="G374" s="21"/>
      <c r="H374" s="21"/>
      <c r="I374" s="21"/>
      <c r="J374" s="21"/>
      <c r="K374" s="21"/>
      <c r="L374" s="16" t="str">
        <f t="shared" ca="1" si="23"/>
        <v/>
      </c>
      <c r="M374" s="22" t="str">
        <f t="shared" ca="1" si="24"/>
        <v/>
      </c>
      <c r="U374" s="23" t="str">
        <f t="shared" si="25"/>
        <v/>
      </c>
      <c r="V374" s="23" t="str">
        <f t="shared" si="26"/>
        <v/>
      </c>
    </row>
    <row r="375" spans="5:22" x14ac:dyDescent="0.25">
      <c r="E375" s="21" t="str">
        <f t="shared" si="27"/>
        <v/>
      </c>
      <c r="F375" s="21"/>
      <c r="G375" s="21"/>
      <c r="H375" s="21"/>
      <c r="I375" s="21"/>
      <c r="J375" s="21"/>
      <c r="K375" s="21"/>
      <c r="L375" s="16" t="str">
        <f t="shared" ca="1" si="23"/>
        <v/>
      </c>
      <c r="M375" s="22" t="str">
        <f t="shared" ca="1" si="24"/>
        <v/>
      </c>
      <c r="U375" s="23" t="str">
        <f t="shared" si="25"/>
        <v/>
      </c>
      <c r="V375" s="23" t="str">
        <f t="shared" si="26"/>
        <v/>
      </c>
    </row>
    <row r="376" spans="5:22" x14ac:dyDescent="0.25">
      <c r="E376" s="21" t="str">
        <f t="shared" si="27"/>
        <v/>
      </c>
      <c r="F376" s="21"/>
      <c r="G376" s="21"/>
      <c r="H376" s="21"/>
      <c r="I376" s="21"/>
      <c r="J376" s="21"/>
      <c r="K376" s="21"/>
      <c r="L376" s="16" t="str">
        <f t="shared" ca="1" si="23"/>
        <v/>
      </c>
      <c r="M376" s="22" t="str">
        <f t="shared" ca="1" si="24"/>
        <v/>
      </c>
      <c r="U376" s="23" t="str">
        <f t="shared" si="25"/>
        <v/>
      </c>
      <c r="V376" s="23" t="str">
        <f t="shared" si="26"/>
        <v/>
      </c>
    </row>
    <row r="377" spans="5:22" x14ac:dyDescent="0.25">
      <c r="E377" s="21" t="str">
        <f t="shared" si="27"/>
        <v/>
      </c>
      <c r="F377" s="21"/>
      <c r="G377" s="21"/>
      <c r="H377" s="21"/>
      <c r="I377" s="21"/>
      <c r="J377" s="21"/>
      <c r="K377" s="21"/>
      <c r="L377" s="16" t="str">
        <f t="shared" ca="1" si="23"/>
        <v/>
      </c>
      <c r="M377" s="22" t="str">
        <f t="shared" ca="1" si="24"/>
        <v/>
      </c>
      <c r="U377" s="23" t="str">
        <f t="shared" si="25"/>
        <v/>
      </c>
      <c r="V377" s="23" t="str">
        <f t="shared" si="26"/>
        <v/>
      </c>
    </row>
    <row r="378" spans="5:22" x14ac:dyDescent="0.25">
      <c r="E378" s="21" t="str">
        <f t="shared" si="27"/>
        <v/>
      </c>
      <c r="F378" s="21"/>
      <c r="G378" s="21"/>
      <c r="H378" s="21"/>
      <c r="I378" s="21"/>
      <c r="J378" s="21"/>
      <c r="K378" s="21"/>
      <c r="L378" s="16" t="str">
        <f t="shared" ca="1" si="23"/>
        <v/>
      </c>
      <c r="M378" s="22" t="str">
        <f t="shared" ca="1" si="24"/>
        <v/>
      </c>
      <c r="U378" s="23" t="str">
        <f t="shared" si="25"/>
        <v/>
      </c>
      <c r="V378" s="23" t="str">
        <f t="shared" si="26"/>
        <v/>
      </c>
    </row>
    <row r="379" spans="5:22" x14ac:dyDescent="0.25">
      <c r="E379" s="21" t="str">
        <f t="shared" si="27"/>
        <v/>
      </c>
      <c r="F379" s="21"/>
      <c r="G379" s="21"/>
      <c r="H379" s="21"/>
      <c r="I379" s="21"/>
      <c r="J379" s="21"/>
      <c r="K379" s="21"/>
      <c r="L379" s="16" t="str">
        <f t="shared" ca="1" si="23"/>
        <v/>
      </c>
      <c r="M379" s="22" t="str">
        <f t="shared" ca="1" si="24"/>
        <v/>
      </c>
      <c r="U379" s="23" t="str">
        <f t="shared" si="25"/>
        <v/>
      </c>
      <c r="V379" s="23" t="str">
        <f t="shared" si="26"/>
        <v/>
      </c>
    </row>
    <row r="380" spans="5:22" x14ac:dyDescent="0.25">
      <c r="E380" s="21" t="str">
        <f t="shared" si="27"/>
        <v/>
      </c>
      <c r="F380" s="21"/>
      <c r="G380" s="21"/>
      <c r="H380" s="21"/>
      <c r="I380" s="21"/>
      <c r="J380" s="21"/>
      <c r="K380" s="21"/>
      <c r="L380" s="16" t="str">
        <f t="shared" ca="1" si="23"/>
        <v/>
      </c>
      <c r="M380" s="22" t="str">
        <f t="shared" ca="1" si="24"/>
        <v/>
      </c>
      <c r="U380" s="23" t="str">
        <f t="shared" si="25"/>
        <v/>
      </c>
      <c r="V380" s="23" t="str">
        <f t="shared" si="26"/>
        <v/>
      </c>
    </row>
    <row r="381" spans="5:22" x14ac:dyDescent="0.25">
      <c r="E381" s="21" t="str">
        <f t="shared" si="27"/>
        <v/>
      </c>
      <c r="F381" s="21"/>
      <c r="G381" s="21"/>
      <c r="H381" s="21"/>
      <c r="I381" s="21"/>
      <c r="J381" s="21"/>
      <c r="K381" s="21"/>
      <c r="L381" s="16" t="str">
        <f t="shared" ref="L381:L444" ca="1" si="28">IF(AND(C381&lt;&gt;"",C381&lt;&gt;U381),TODAY(),IF(C381="","",L381))</f>
        <v/>
      </c>
      <c r="M381" s="22" t="str">
        <f t="shared" ref="M381:M444" ca="1" si="29">IF(AND(C381&lt;&gt;"",C381&lt;&gt;V381),NOW(),IF(C381="","",M381))</f>
        <v/>
      </c>
      <c r="U381" s="23" t="str">
        <f t="shared" si="25"/>
        <v/>
      </c>
      <c r="V381" s="23" t="str">
        <f t="shared" si="26"/>
        <v/>
      </c>
    </row>
    <row r="382" spans="5:22" x14ac:dyDescent="0.25">
      <c r="E382" s="21" t="str">
        <f t="shared" si="27"/>
        <v/>
      </c>
      <c r="F382" s="21"/>
      <c r="G382" s="21"/>
      <c r="H382" s="21"/>
      <c r="I382" s="21"/>
      <c r="J382" s="21"/>
      <c r="K382" s="21"/>
      <c r="L382" s="16" t="str">
        <f t="shared" ca="1" si="28"/>
        <v/>
      </c>
      <c r="M382" s="22" t="str">
        <f t="shared" ca="1" si="29"/>
        <v/>
      </c>
      <c r="U382" s="23" t="str">
        <f t="shared" si="25"/>
        <v/>
      </c>
      <c r="V382" s="23" t="str">
        <f t="shared" si="26"/>
        <v/>
      </c>
    </row>
    <row r="383" spans="5:22" x14ac:dyDescent="0.25">
      <c r="E383" s="21" t="str">
        <f t="shared" si="27"/>
        <v/>
      </c>
      <c r="F383" s="21"/>
      <c r="G383" s="21"/>
      <c r="H383" s="21"/>
      <c r="I383" s="21"/>
      <c r="J383" s="21"/>
      <c r="K383" s="21"/>
      <c r="L383" s="16" t="str">
        <f t="shared" ca="1" si="28"/>
        <v/>
      </c>
      <c r="M383" s="22" t="str">
        <f t="shared" ca="1" si="29"/>
        <v/>
      </c>
      <c r="U383" s="23" t="str">
        <f t="shared" si="25"/>
        <v/>
      </c>
      <c r="V383" s="23" t="str">
        <f t="shared" si="26"/>
        <v/>
      </c>
    </row>
    <row r="384" spans="5:22" x14ac:dyDescent="0.25">
      <c r="E384" s="21" t="str">
        <f t="shared" si="27"/>
        <v/>
      </c>
      <c r="F384" s="21"/>
      <c r="G384" s="21"/>
      <c r="H384" s="21"/>
      <c r="I384" s="21"/>
      <c r="J384" s="21"/>
      <c r="K384" s="21"/>
      <c r="L384" s="16" t="str">
        <f t="shared" ca="1" si="28"/>
        <v/>
      </c>
      <c r="M384" s="22" t="str">
        <f t="shared" ca="1" si="29"/>
        <v/>
      </c>
      <c r="U384" s="23" t="str">
        <f t="shared" si="25"/>
        <v/>
      </c>
      <c r="V384" s="23" t="str">
        <f t="shared" si="26"/>
        <v/>
      </c>
    </row>
    <row r="385" spans="5:22" x14ac:dyDescent="0.25">
      <c r="E385" s="21" t="str">
        <f t="shared" si="27"/>
        <v/>
      </c>
      <c r="F385" s="21"/>
      <c r="G385" s="21"/>
      <c r="H385" s="21"/>
      <c r="I385" s="21"/>
      <c r="J385" s="21"/>
      <c r="K385" s="21"/>
      <c r="L385" s="16" t="str">
        <f t="shared" ca="1" si="28"/>
        <v/>
      </c>
      <c r="M385" s="22" t="str">
        <f t="shared" ca="1" si="29"/>
        <v/>
      </c>
      <c r="U385" s="23" t="str">
        <f t="shared" si="25"/>
        <v/>
      </c>
      <c r="V385" s="23" t="str">
        <f t="shared" si="26"/>
        <v/>
      </c>
    </row>
    <row r="386" spans="5:22" x14ac:dyDescent="0.25">
      <c r="E386" s="21" t="str">
        <f t="shared" si="27"/>
        <v/>
      </c>
      <c r="F386" s="21"/>
      <c r="G386" s="21"/>
      <c r="H386" s="21"/>
      <c r="I386" s="21"/>
      <c r="J386" s="21"/>
      <c r="K386" s="21"/>
      <c r="L386" s="16" t="str">
        <f t="shared" ca="1" si="28"/>
        <v/>
      </c>
      <c r="M386" s="22" t="str">
        <f t="shared" ca="1" si="29"/>
        <v/>
      </c>
      <c r="U386" s="23" t="str">
        <f t="shared" si="25"/>
        <v/>
      </c>
      <c r="V386" s="23" t="str">
        <f t="shared" si="26"/>
        <v/>
      </c>
    </row>
    <row r="387" spans="5:22" x14ac:dyDescent="0.25">
      <c r="E387" s="21" t="str">
        <f t="shared" si="27"/>
        <v/>
      </c>
      <c r="F387" s="21"/>
      <c r="G387" s="21"/>
      <c r="H387" s="21"/>
      <c r="I387" s="21"/>
      <c r="J387" s="21"/>
      <c r="K387" s="21"/>
      <c r="L387" s="16" t="str">
        <f t="shared" ca="1" si="28"/>
        <v/>
      </c>
      <c r="M387" s="22" t="str">
        <f t="shared" ca="1" si="29"/>
        <v/>
      </c>
      <c r="U387" s="23" t="str">
        <f t="shared" si="25"/>
        <v/>
      </c>
      <c r="V387" s="23" t="str">
        <f t="shared" si="26"/>
        <v/>
      </c>
    </row>
    <row r="388" spans="5:22" x14ac:dyDescent="0.25">
      <c r="E388" s="21" t="str">
        <f t="shared" si="27"/>
        <v/>
      </c>
      <c r="F388" s="21"/>
      <c r="G388" s="21"/>
      <c r="H388" s="21"/>
      <c r="I388" s="21"/>
      <c r="J388" s="21"/>
      <c r="K388" s="21"/>
      <c r="L388" s="16" t="str">
        <f t="shared" ca="1" si="28"/>
        <v/>
      </c>
      <c r="M388" s="22" t="str">
        <f t="shared" ca="1" si="29"/>
        <v/>
      </c>
      <c r="U388" s="23" t="str">
        <f t="shared" ref="U388:U451" si="30">IF(C388="","",IF(OR(L388="",AND(ISNUMBER(U388),C388=U388)),U388,C388))</f>
        <v/>
      </c>
      <c r="V388" s="23" t="str">
        <f t="shared" ref="V388:V451" si="31">IF(C388="","",IF(OR(M388="",AND(ISNUMBER(V388),C388=V388)),V388,C388))</f>
        <v/>
      </c>
    </row>
    <row r="389" spans="5:22" x14ac:dyDescent="0.25">
      <c r="E389" s="21" t="str">
        <f t="shared" si="27"/>
        <v/>
      </c>
      <c r="F389" s="21"/>
      <c r="G389" s="21"/>
      <c r="H389" s="21"/>
      <c r="I389" s="21"/>
      <c r="J389" s="21"/>
      <c r="K389" s="21"/>
      <c r="L389" s="16" t="str">
        <f t="shared" ca="1" si="28"/>
        <v/>
      </c>
      <c r="M389" s="22" t="str">
        <f t="shared" ca="1" si="29"/>
        <v/>
      </c>
      <c r="U389" s="23" t="str">
        <f t="shared" si="30"/>
        <v/>
      </c>
      <c r="V389" s="23" t="str">
        <f t="shared" si="31"/>
        <v/>
      </c>
    </row>
    <row r="390" spans="5:22" x14ac:dyDescent="0.25">
      <c r="E390" s="21" t="str">
        <f t="shared" si="27"/>
        <v/>
      </c>
      <c r="F390" s="21"/>
      <c r="G390" s="21"/>
      <c r="H390" s="21"/>
      <c r="I390" s="21"/>
      <c r="J390" s="21"/>
      <c r="K390" s="21"/>
      <c r="L390" s="16" t="str">
        <f t="shared" ca="1" si="28"/>
        <v/>
      </c>
      <c r="M390" s="22" t="str">
        <f t="shared" ca="1" si="29"/>
        <v/>
      </c>
      <c r="U390" s="23" t="str">
        <f t="shared" si="30"/>
        <v/>
      </c>
      <c r="V390" s="23" t="str">
        <f t="shared" si="31"/>
        <v/>
      </c>
    </row>
    <row r="391" spans="5:22" x14ac:dyDescent="0.25">
      <c r="E391" s="21" t="str">
        <f t="shared" si="27"/>
        <v/>
      </c>
      <c r="F391" s="21"/>
      <c r="G391" s="21"/>
      <c r="H391" s="21"/>
      <c r="I391" s="21"/>
      <c r="J391" s="21"/>
      <c r="K391" s="21"/>
      <c r="L391" s="16" t="str">
        <f t="shared" ca="1" si="28"/>
        <v/>
      </c>
      <c r="M391" s="22" t="str">
        <f t="shared" ca="1" si="29"/>
        <v/>
      </c>
      <c r="U391" s="23" t="str">
        <f t="shared" si="30"/>
        <v/>
      </c>
      <c r="V391" s="23" t="str">
        <f t="shared" si="31"/>
        <v/>
      </c>
    </row>
    <row r="392" spans="5:22" x14ac:dyDescent="0.25">
      <c r="E392" s="21" t="str">
        <f t="shared" si="27"/>
        <v/>
      </c>
      <c r="F392" s="21"/>
      <c r="G392" s="21"/>
      <c r="H392" s="21"/>
      <c r="I392" s="21"/>
      <c r="J392" s="21"/>
      <c r="K392" s="21"/>
      <c r="L392" s="16" t="str">
        <f t="shared" ca="1" si="28"/>
        <v/>
      </c>
      <c r="M392" s="22" t="str">
        <f t="shared" ca="1" si="29"/>
        <v/>
      </c>
      <c r="U392" s="23" t="str">
        <f t="shared" si="30"/>
        <v/>
      </c>
      <c r="V392" s="23" t="str">
        <f t="shared" si="31"/>
        <v/>
      </c>
    </row>
    <row r="393" spans="5:22" x14ac:dyDescent="0.25">
      <c r="E393" s="21" t="str">
        <f t="shared" si="27"/>
        <v/>
      </c>
      <c r="F393" s="21"/>
      <c r="G393" s="21"/>
      <c r="H393" s="21"/>
      <c r="I393" s="21"/>
      <c r="J393" s="21"/>
      <c r="K393" s="21"/>
      <c r="L393" s="16" t="str">
        <f t="shared" ca="1" si="28"/>
        <v/>
      </c>
      <c r="M393" s="22" t="str">
        <f t="shared" ca="1" si="29"/>
        <v/>
      </c>
      <c r="U393" s="23" t="str">
        <f t="shared" si="30"/>
        <v/>
      </c>
      <c r="V393" s="23" t="str">
        <f t="shared" si="31"/>
        <v/>
      </c>
    </row>
    <row r="394" spans="5:22" x14ac:dyDescent="0.25">
      <c r="E394" s="21" t="str">
        <f t="shared" si="27"/>
        <v/>
      </c>
      <c r="F394" s="21"/>
      <c r="G394" s="21"/>
      <c r="H394" s="21"/>
      <c r="I394" s="21"/>
      <c r="J394" s="21"/>
      <c r="K394" s="21"/>
      <c r="L394" s="16" t="str">
        <f t="shared" ca="1" si="28"/>
        <v/>
      </c>
      <c r="M394" s="22" t="str">
        <f t="shared" ca="1" si="29"/>
        <v/>
      </c>
      <c r="U394" s="23" t="str">
        <f t="shared" si="30"/>
        <v/>
      </c>
      <c r="V394" s="23" t="str">
        <f t="shared" si="31"/>
        <v/>
      </c>
    </row>
    <row r="395" spans="5:22" x14ac:dyDescent="0.25">
      <c r="E395" s="21" t="str">
        <f t="shared" si="27"/>
        <v/>
      </c>
      <c r="F395" s="21"/>
      <c r="G395" s="21"/>
      <c r="H395" s="21"/>
      <c r="I395" s="21"/>
      <c r="J395" s="21"/>
      <c r="K395" s="21"/>
      <c r="L395" s="16" t="str">
        <f t="shared" ca="1" si="28"/>
        <v/>
      </c>
      <c r="M395" s="22" t="str">
        <f t="shared" ca="1" si="29"/>
        <v/>
      </c>
      <c r="U395" s="23" t="str">
        <f t="shared" si="30"/>
        <v/>
      </c>
      <c r="V395" s="23" t="str">
        <f t="shared" si="31"/>
        <v/>
      </c>
    </row>
    <row r="396" spans="5:22" x14ac:dyDescent="0.25">
      <c r="E396" s="21" t="str">
        <f t="shared" si="27"/>
        <v/>
      </c>
      <c r="F396" s="21"/>
      <c r="G396" s="21"/>
      <c r="H396" s="21"/>
      <c r="I396" s="21"/>
      <c r="J396" s="21"/>
      <c r="K396" s="21"/>
      <c r="L396" s="16" t="str">
        <f t="shared" ca="1" si="28"/>
        <v/>
      </c>
      <c r="M396" s="22" t="str">
        <f t="shared" ca="1" si="29"/>
        <v/>
      </c>
      <c r="U396" s="23" t="str">
        <f t="shared" si="30"/>
        <v/>
      </c>
      <c r="V396" s="23" t="str">
        <f t="shared" si="31"/>
        <v/>
      </c>
    </row>
    <row r="397" spans="5:22" x14ac:dyDescent="0.25">
      <c r="E397" s="21" t="str">
        <f t="shared" si="27"/>
        <v/>
      </c>
      <c r="F397" s="21"/>
      <c r="G397" s="21"/>
      <c r="H397" s="21"/>
      <c r="I397" s="21"/>
      <c r="J397" s="21"/>
      <c r="K397" s="21"/>
      <c r="L397" s="16" t="str">
        <f t="shared" ca="1" si="28"/>
        <v/>
      </c>
      <c r="M397" s="22" t="str">
        <f t="shared" ca="1" si="29"/>
        <v/>
      </c>
      <c r="U397" s="23" t="str">
        <f t="shared" si="30"/>
        <v/>
      </c>
      <c r="V397" s="23" t="str">
        <f t="shared" si="31"/>
        <v/>
      </c>
    </row>
    <row r="398" spans="5:22" x14ac:dyDescent="0.25">
      <c r="E398" s="21" t="str">
        <f t="shared" si="27"/>
        <v/>
      </c>
      <c r="F398" s="21"/>
      <c r="G398" s="21"/>
      <c r="H398" s="21"/>
      <c r="I398" s="21"/>
      <c r="J398" s="21"/>
      <c r="K398" s="21"/>
      <c r="L398" s="16" t="str">
        <f t="shared" ca="1" si="28"/>
        <v/>
      </c>
      <c r="M398" s="22" t="str">
        <f t="shared" ca="1" si="29"/>
        <v/>
      </c>
      <c r="U398" s="23" t="str">
        <f t="shared" si="30"/>
        <v/>
      </c>
      <c r="V398" s="23" t="str">
        <f t="shared" si="31"/>
        <v/>
      </c>
    </row>
    <row r="399" spans="5:22" x14ac:dyDescent="0.25">
      <c r="E399" s="21" t="str">
        <f t="shared" si="27"/>
        <v/>
      </c>
      <c r="F399" s="21"/>
      <c r="G399" s="21"/>
      <c r="H399" s="21"/>
      <c r="I399" s="21"/>
      <c r="J399" s="21"/>
      <c r="K399" s="21"/>
      <c r="L399" s="16" t="str">
        <f t="shared" ca="1" si="28"/>
        <v/>
      </c>
      <c r="M399" s="22" t="str">
        <f t="shared" ca="1" si="29"/>
        <v/>
      </c>
      <c r="U399" s="23" t="str">
        <f t="shared" si="30"/>
        <v/>
      </c>
      <c r="V399" s="23" t="str">
        <f t="shared" si="31"/>
        <v/>
      </c>
    </row>
    <row r="400" spans="5:22" x14ac:dyDescent="0.25">
      <c r="E400" s="21" t="str">
        <f t="shared" si="27"/>
        <v/>
      </c>
      <c r="F400" s="21"/>
      <c r="G400" s="21"/>
      <c r="H400" s="21"/>
      <c r="I400" s="21"/>
      <c r="J400" s="21"/>
      <c r="K400" s="21"/>
      <c r="L400" s="16" t="str">
        <f t="shared" ca="1" si="28"/>
        <v/>
      </c>
      <c r="M400" s="22" t="str">
        <f t="shared" ca="1" si="29"/>
        <v/>
      </c>
      <c r="U400" s="23" t="str">
        <f t="shared" si="30"/>
        <v/>
      </c>
      <c r="V400" s="23" t="str">
        <f t="shared" si="31"/>
        <v/>
      </c>
    </row>
    <row r="401" spans="5:22" x14ac:dyDescent="0.25">
      <c r="E401" s="21" t="str">
        <f t="shared" si="27"/>
        <v/>
      </c>
      <c r="F401" s="21"/>
      <c r="G401" s="21"/>
      <c r="H401" s="21"/>
      <c r="I401" s="21"/>
      <c r="J401" s="21"/>
      <c r="K401" s="21"/>
      <c r="L401" s="16" t="str">
        <f t="shared" ca="1" si="28"/>
        <v/>
      </c>
      <c r="M401" s="22" t="str">
        <f t="shared" ca="1" si="29"/>
        <v/>
      </c>
      <c r="U401" s="23" t="str">
        <f t="shared" si="30"/>
        <v/>
      </c>
      <c r="V401" s="23" t="str">
        <f t="shared" si="31"/>
        <v/>
      </c>
    </row>
    <row r="402" spans="5:22" x14ac:dyDescent="0.25">
      <c r="E402" s="21" t="str">
        <f t="shared" si="27"/>
        <v/>
      </c>
      <c r="F402" s="21"/>
      <c r="G402" s="21"/>
      <c r="H402" s="21"/>
      <c r="I402" s="21"/>
      <c r="J402" s="21"/>
      <c r="K402" s="21"/>
      <c r="L402" s="16" t="str">
        <f t="shared" ca="1" si="28"/>
        <v/>
      </c>
      <c r="M402" s="22" t="str">
        <f t="shared" ca="1" si="29"/>
        <v/>
      </c>
      <c r="U402" s="23" t="str">
        <f t="shared" si="30"/>
        <v/>
      </c>
      <c r="V402" s="23" t="str">
        <f t="shared" si="31"/>
        <v/>
      </c>
    </row>
    <row r="403" spans="5:22" x14ac:dyDescent="0.25">
      <c r="E403" s="21" t="str">
        <f t="shared" si="27"/>
        <v/>
      </c>
      <c r="F403" s="21"/>
      <c r="G403" s="21"/>
      <c r="H403" s="21"/>
      <c r="I403" s="21"/>
      <c r="J403" s="21"/>
      <c r="K403" s="21"/>
      <c r="L403" s="16" t="str">
        <f t="shared" ca="1" si="28"/>
        <v/>
      </c>
      <c r="M403" s="22" t="str">
        <f t="shared" ca="1" si="29"/>
        <v/>
      </c>
      <c r="U403" s="23" t="str">
        <f t="shared" si="30"/>
        <v/>
      </c>
      <c r="V403" s="23" t="str">
        <f t="shared" si="31"/>
        <v/>
      </c>
    </row>
    <row r="404" spans="5:22" x14ac:dyDescent="0.25">
      <c r="E404" s="21" t="str">
        <f t="shared" si="27"/>
        <v/>
      </c>
      <c r="F404" s="21"/>
      <c r="G404" s="21"/>
      <c r="H404" s="21"/>
      <c r="I404" s="21"/>
      <c r="J404" s="21"/>
      <c r="K404" s="21"/>
      <c r="L404" s="16" t="str">
        <f t="shared" ca="1" si="28"/>
        <v/>
      </c>
      <c r="M404" s="22" t="str">
        <f t="shared" ca="1" si="29"/>
        <v/>
      </c>
      <c r="U404" s="23" t="str">
        <f t="shared" si="30"/>
        <v/>
      </c>
      <c r="V404" s="23" t="str">
        <f t="shared" si="31"/>
        <v/>
      </c>
    </row>
    <row r="405" spans="5:22" x14ac:dyDescent="0.25">
      <c r="E405" s="21" t="str">
        <f t="shared" si="27"/>
        <v/>
      </c>
      <c r="F405" s="21"/>
      <c r="G405" s="21"/>
      <c r="H405" s="21"/>
      <c r="I405" s="21"/>
      <c r="J405" s="21"/>
      <c r="K405" s="21"/>
      <c r="L405" s="16" t="str">
        <f t="shared" ca="1" si="28"/>
        <v/>
      </c>
      <c r="M405" s="22" t="str">
        <f t="shared" ca="1" si="29"/>
        <v/>
      </c>
      <c r="U405" s="23" t="str">
        <f t="shared" si="30"/>
        <v/>
      </c>
      <c r="V405" s="23" t="str">
        <f t="shared" si="31"/>
        <v/>
      </c>
    </row>
    <row r="406" spans="5:22" x14ac:dyDescent="0.25">
      <c r="E406" s="21" t="str">
        <f t="shared" si="27"/>
        <v/>
      </c>
      <c r="F406" s="21"/>
      <c r="G406" s="21"/>
      <c r="H406" s="21"/>
      <c r="I406" s="21"/>
      <c r="J406" s="21"/>
      <c r="K406" s="21"/>
      <c r="L406" s="16" t="str">
        <f t="shared" ca="1" si="28"/>
        <v/>
      </c>
      <c r="M406" s="22" t="str">
        <f t="shared" ca="1" si="29"/>
        <v/>
      </c>
      <c r="U406" s="23" t="str">
        <f t="shared" si="30"/>
        <v/>
      </c>
      <c r="V406" s="23" t="str">
        <f t="shared" si="31"/>
        <v/>
      </c>
    </row>
    <row r="407" spans="5:22" x14ac:dyDescent="0.25">
      <c r="E407" s="21" t="str">
        <f t="shared" si="27"/>
        <v/>
      </c>
      <c r="F407" s="21"/>
      <c r="G407" s="21"/>
      <c r="H407" s="21"/>
      <c r="I407" s="21"/>
      <c r="J407" s="21"/>
      <c r="K407" s="21"/>
      <c r="L407" s="16" t="str">
        <f t="shared" ca="1" si="28"/>
        <v/>
      </c>
      <c r="M407" s="22" t="str">
        <f t="shared" ca="1" si="29"/>
        <v/>
      </c>
      <c r="U407" s="23" t="str">
        <f t="shared" si="30"/>
        <v/>
      </c>
      <c r="V407" s="23" t="str">
        <f t="shared" si="31"/>
        <v/>
      </c>
    </row>
    <row r="408" spans="5:22" x14ac:dyDescent="0.25">
      <c r="E408" s="21" t="str">
        <f t="shared" si="27"/>
        <v/>
      </c>
      <c r="F408" s="21"/>
      <c r="G408" s="21"/>
      <c r="H408" s="21"/>
      <c r="I408" s="21"/>
      <c r="J408" s="21"/>
      <c r="K408" s="21"/>
      <c r="L408" s="16" t="str">
        <f t="shared" ca="1" si="28"/>
        <v/>
      </c>
      <c r="M408" s="22" t="str">
        <f t="shared" ca="1" si="29"/>
        <v/>
      </c>
      <c r="U408" s="23" t="str">
        <f t="shared" si="30"/>
        <v/>
      </c>
      <c r="V408" s="23" t="str">
        <f t="shared" si="31"/>
        <v/>
      </c>
    </row>
    <row r="409" spans="5:22" x14ac:dyDescent="0.25">
      <c r="E409" s="21" t="str">
        <f t="shared" si="27"/>
        <v/>
      </c>
      <c r="F409" s="21"/>
      <c r="G409" s="21"/>
      <c r="H409" s="21"/>
      <c r="I409" s="21"/>
      <c r="J409" s="21"/>
      <c r="K409" s="21"/>
      <c r="L409" s="16" t="str">
        <f t="shared" ca="1" si="28"/>
        <v/>
      </c>
      <c r="M409" s="22" t="str">
        <f t="shared" ca="1" si="29"/>
        <v/>
      </c>
      <c r="U409" s="23" t="str">
        <f t="shared" si="30"/>
        <v/>
      </c>
      <c r="V409" s="23" t="str">
        <f t="shared" si="31"/>
        <v/>
      </c>
    </row>
    <row r="410" spans="5:22" x14ac:dyDescent="0.25">
      <c r="E410" s="21" t="str">
        <f t="shared" si="27"/>
        <v/>
      </c>
      <c r="F410" s="21"/>
      <c r="G410" s="21"/>
      <c r="H410" s="21"/>
      <c r="I410" s="21"/>
      <c r="J410" s="21"/>
      <c r="K410" s="21"/>
      <c r="L410" s="16" t="str">
        <f t="shared" ca="1" si="28"/>
        <v/>
      </c>
      <c r="M410" s="22" t="str">
        <f t="shared" ca="1" si="29"/>
        <v/>
      </c>
      <c r="U410" s="23" t="str">
        <f t="shared" si="30"/>
        <v/>
      </c>
      <c r="V410" s="23" t="str">
        <f t="shared" si="31"/>
        <v/>
      </c>
    </row>
    <row r="411" spans="5:22" x14ac:dyDescent="0.25">
      <c r="E411" s="21" t="str">
        <f t="shared" si="27"/>
        <v/>
      </c>
      <c r="F411" s="21"/>
      <c r="G411" s="21"/>
      <c r="H411" s="21"/>
      <c r="I411" s="21"/>
      <c r="J411" s="21"/>
      <c r="K411" s="21"/>
      <c r="L411" s="16" t="str">
        <f t="shared" ca="1" si="28"/>
        <v/>
      </c>
      <c r="M411" s="22" t="str">
        <f t="shared" ca="1" si="29"/>
        <v/>
      </c>
      <c r="U411" s="23" t="str">
        <f t="shared" si="30"/>
        <v/>
      </c>
      <c r="V411" s="23" t="str">
        <f t="shared" si="31"/>
        <v/>
      </c>
    </row>
    <row r="412" spans="5:22" x14ac:dyDescent="0.25">
      <c r="E412" s="21" t="str">
        <f t="shared" si="27"/>
        <v/>
      </c>
      <c r="F412" s="21"/>
      <c r="G412" s="21"/>
      <c r="H412" s="21"/>
      <c r="I412" s="21"/>
      <c r="J412" s="21"/>
      <c r="K412" s="21"/>
      <c r="L412" s="16" t="str">
        <f t="shared" ca="1" si="28"/>
        <v/>
      </c>
      <c r="M412" s="22" t="str">
        <f t="shared" ca="1" si="29"/>
        <v/>
      </c>
      <c r="U412" s="23" t="str">
        <f t="shared" si="30"/>
        <v/>
      </c>
      <c r="V412" s="23" t="str">
        <f t="shared" si="31"/>
        <v/>
      </c>
    </row>
    <row r="413" spans="5:22" x14ac:dyDescent="0.25">
      <c r="E413" s="21" t="str">
        <f t="shared" si="27"/>
        <v/>
      </c>
      <c r="F413" s="21"/>
      <c r="G413" s="21"/>
      <c r="H413" s="21"/>
      <c r="I413" s="21"/>
      <c r="J413" s="21"/>
      <c r="K413" s="21"/>
      <c r="L413" s="16" t="str">
        <f t="shared" ca="1" si="28"/>
        <v/>
      </c>
      <c r="M413" s="22" t="str">
        <f t="shared" ca="1" si="29"/>
        <v/>
      </c>
      <c r="U413" s="23" t="str">
        <f t="shared" si="30"/>
        <v/>
      </c>
      <c r="V413" s="23" t="str">
        <f t="shared" si="31"/>
        <v/>
      </c>
    </row>
    <row r="414" spans="5:22" x14ac:dyDescent="0.25">
      <c r="E414" s="21" t="str">
        <f t="shared" si="27"/>
        <v/>
      </c>
      <c r="F414" s="21"/>
      <c r="G414" s="21"/>
      <c r="H414" s="21"/>
      <c r="I414" s="21"/>
      <c r="J414" s="21"/>
      <c r="K414" s="21"/>
      <c r="L414" s="16" t="str">
        <f t="shared" ca="1" si="28"/>
        <v/>
      </c>
      <c r="M414" s="22" t="str">
        <f t="shared" ca="1" si="29"/>
        <v/>
      </c>
      <c r="U414" s="23" t="str">
        <f t="shared" si="30"/>
        <v/>
      </c>
      <c r="V414" s="23" t="str">
        <f t="shared" si="31"/>
        <v/>
      </c>
    </row>
    <row r="415" spans="5:22" x14ac:dyDescent="0.25">
      <c r="E415" s="21" t="str">
        <f t="shared" si="27"/>
        <v/>
      </c>
      <c r="F415" s="21"/>
      <c r="G415" s="21"/>
      <c r="H415" s="21"/>
      <c r="I415" s="21"/>
      <c r="J415" s="21"/>
      <c r="K415" s="21"/>
      <c r="L415" s="16" t="str">
        <f t="shared" ca="1" si="28"/>
        <v/>
      </c>
      <c r="M415" s="22" t="str">
        <f t="shared" ca="1" si="29"/>
        <v/>
      </c>
      <c r="U415" s="23" t="str">
        <f t="shared" si="30"/>
        <v/>
      </c>
      <c r="V415" s="23" t="str">
        <f t="shared" si="31"/>
        <v/>
      </c>
    </row>
    <row r="416" spans="5:22" x14ac:dyDescent="0.25">
      <c r="E416" s="21" t="str">
        <f t="shared" si="27"/>
        <v/>
      </c>
      <c r="F416" s="21"/>
      <c r="G416" s="21"/>
      <c r="H416" s="21"/>
      <c r="I416" s="21"/>
      <c r="J416" s="21"/>
      <c r="K416" s="21"/>
      <c r="L416" s="16" t="str">
        <f t="shared" ca="1" si="28"/>
        <v/>
      </c>
      <c r="M416" s="22" t="str">
        <f t="shared" ca="1" si="29"/>
        <v/>
      </c>
      <c r="U416" s="23" t="str">
        <f t="shared" si="30"/>
        <v/>
      </c>
      <c r="V416" s="23" t="str">
        <f t="shared" si="31"/>
        <v/>
      </c>
    </row>
    <row r="417" spans="5:22" x14ac:dyDescent="0.25">
      <c r="E417" s="21" t="str">
        <f t="shared" si="27"/>
        <v/>
      </c>
      <c r="F417" s="21"/>
      <c r="G417" s="21"/>
      <c r="H417" s="21"/>
      <c r="I417" s="21"/>
      <c r="J417" s="21"/>
      <c r="K417" s="21"/>
      <c r="L417" s="16" t="str">
        <f t="shared" ca="1" si="28"/>
        <v/>
      </c>
      <c r="M417" s="22" t="str">
        <f t="shared" ca="1" si="29"/>
        <v/>
      </c>
      <c r="U417" s="23" t="str">
        <f t="shared" si="30"/>
        <v/>
      </c>
      <c r="V417" s="23" t="str">
        <f t="shared" si="31"/>
        <v/>
      </c>
    </row>
    <row r="418" spans="5:22" x14ac:dyDescent="0.25">
      <c r="E418" s="21" t="str">
        <f t="shared" si="27"/>
        <v/>
      </c>
      <c r="F418" s="21"/>
      <c r="G418" s="21"/>
      <c r="H418" s="21"/>
      <c r="I418" s="21"/>
      <c r="J418" s="21"/>
      <c r="K418" s="21"/>
      <c r="L418" s="16" t="str">
        <f t="shared" ca="1" si="28"/>
        <v/>
      </c>
      <c r="M418" s="22" t="str">
        <f t="shared" ca="1" si="29"/>
        <v/>
      </c>
      <c r="U418" s="23" t="str">
        <f t="shared" si="30"/>
        <v/>
      </c>
      <c r="V418" s="23" t="str">
        <f t="shared" si="31"/>
        <v/>
      </c>
    </row>
    <row r="419" spans="5:22" x14ac:dyDescent="0.25">
      <c r="E419" s="21" t="str">
        <f t="shared" si="27"/>
        <v/>
      </c>
      <c r="F419" s="21"/>
      <c r="G419" s="21"/>
      <c r="H419" s="21"/>
      <c r="I419" s="21"/>
      <c r="J419" s="21"/>
      <c r="K419" s="21"/>
      <c r="L419" s="16" t="str">
        <f t="shared" ca="1" si="28"/>
        <v/>
      </c>
      <c r="M419" s="22" t="str">
        <f t="shared" ca="1" si="29"/>
        <v/>
      </c>
      <c r="U419" s="23" t="str">
        <f t="shared" si="30"/>
        <v/>
      </c>
      <c r="V419" s="23" t="str">
        <f t="shared" si="31"/>
        <v/>
      </c>
    </row>
    <row r="420" spans="5:22" x14ac:dyDescent="0.25">
      <c r="E420" s="21" t="str">
        <f t="shared" si="27"/>
        <v/>
      </c>
      <c r="F420" s="21"/>
      <c r="G420" s="21"/>
      <c r="H420" s="21"/>
      <c r="I420" s="21"/>
      <c r="J420" s="21"/>
      <c r="K420" s="21"/>
      <c r="L420" s="16" t="str">
        <f t="shared" ca="1" si="28"/>
        <v/>
      </c>
      <c r="M420" s="22" t="str">
        <f t="shared" ca="1" si="29"/>
        <v/>
      </c>
      <c r="U420" s="23" t="str">
        <f t="shared" si="30"/>
        <v/>
      </c>
      <c r="V420" s="23" t="str">
        <f t="shared" si="31"/>
        <v/>
      </c>
    </row>
    <row r="421" spans="5:22" x14ac:dyDescent="0.25">
      <c r="E421" s="21" t="str">
        <f t="shared" ref="E421:E484" si="32">IF(ISNUMBER(SEARCH("v crs",D421))=TRUE,"VC",IF(ISNUMBER(SEARCH("crs",D421))=TRUE,"C",IF(ISNUMBER(SEARCH("med",D421))=TRUE,"M",IF(ISNUMBER(SEARCH("vf",D421))=TRUE,"VF",IF(ISNUMBER(SEARCH("f",D421))=TRUE,"F","")))))</f>
        <v/>
      </c>
      <c r="F421" s="21"/>
      <c r="G421" s="21"/>
      <c r="H421" s="21"/>
      <c r="I421" s="21"/>
      <c r="J421" s="21"/>
      <c r="K421" s="21"/>
      <c r="L421" s="16" t="str">
        <f t="shared" ca="1" si="28"/>
        <v/>
      </c>
      <c r="M421" s="22" t="str">
        <f t="shared" ca="1" si="29"/>
        <v/>
      </c>
      <c r="U421" s="23" t="str">
        <f t="shared" si="30"/>
        <v/>
      </c>
      <c r="V421" s="23" t="str">
        <f t="shared" si="31"/>
        <v/>
      </c>
    </row>
    <row r="422" spans="5:22" x14ac:dyDescent="0.25">
      <c r="E422" s="21" t="str">
        <f t="shared" si="32"/>
        <v/>
      </c>
      <c r="F422" s="21"/>
      <c r="G422" s="21"/>
      <c r="H422" s="21"/>
      <c r="I422" s="21"/>
      <c r="J422" s="21"/>
      <c r="K422" s="21"/>
      <c r="L422" s="16" t="str">
        <f t="shared" ca="1" si="28"/>
        <v/>
      </c>
      <c r="M422" s="22" t="str">
        <f t="shared" ca="1" si="29"/>
        <v/>
      </c>
      <c r="U422" s="23" t="str">
        <f t="shared" si="30"/>
        <v/>
      </c>
      <c r="V422" s="23" t="str">
        <f t="shared" si="31"/>
        <v/>
      </c>
    </row>
    <row r="423" spans="5:22" x14ac:dyDescent="0.25">
      <c r="E423" s="21" t="str">
        <f t="shared" si="32"/>
        <v/>
      </c>
      <c r="F423" s="21"/>
      <c r="G423" s="21"/>
      <c r="H423" s="21"/>
      <c r="I423" s="21"/>
      <c r="J423" s="21"/>
      <c r="K423" s="21"/>
      <c r="L423" s="16" t="str">
        <f t="shared" ca="1" si="28"/>
        <v/>
      </c>
      <c r="M423" s="22" t="str">
        <f t="shared" ca="1" si="29"/>
        <v/>
      </c>
      <c r="U423" s="23" t="str">
        <f t="shared" si="30"/>
        <v/>
      </c>
      <c r="V423" s="23" t="str">
        <f t="shared" si="31"/>
        <v/>
      </c>
    </row>
    <row r="424" spans="5:22" x14ac:dyDescent="0.25">
      <c r="E424" s="21" t="str">
        <f t="shared" si="32"/>
        <v/>
      </c>
      <c r="F424" s="21"/>
      <c r="G424" s="21"/>
      <c r="H424" s="21"/>
      <c r="I424" s="21"/>
      <c r="J424" s="21"/>
      <c r="K424" s="21"/>
      <c r="L424" s="16" t="str">
        <f t="shared" ca="1" si="28"/>
        <v/>
      </c>
      <c r="M424" s="22" t="str">
        <f t="shared" ca="1" si="29"/>
        <v/>
      </c>
      <c r="U424" s="23" t="str">
        <f t="shared" si="30"/>
        <v/>
      </c>
      <c r="V424" s="23" t="str">
        <f t="shared" si="31"/>
        <v/>
      </c>
    </row>
    <row r="425" spans="5:22" x14ac:dyDescent="0.25">
      <c r="E425" s="21" t="str">
        <f t="shared" si="32"/>
        <v/>
      </c>
      <c r="F425" s="21"/>
      <c r="G425" s="21"/>
      <c r="H425" s="21"/>
      <c r="I425" s="21"/>
      <c r="J425" s="21"/>
      <c r="K425" s="21"/>
      <c r="L425" s="16" t="str">
        <f t="shared" ca="1" si="28"/>
        <v/>
      </c>
      <c r="M425" s="22" t="str">
        <f t="shared" ca="1" si="29"/>
        <v/>
      </c>
      <c r="U425" s="23" t="str">
        <f t="shared" si="30"/>
        <v/>
      </c>
      <c r="V425" s="23" t="str">
        <f t="shared" si="31"/>
        <v/>
      </c>
    </row>
    <row r="426" spans="5:22" x14ac:dyDescent="0.25">
      <c r="E426" s="21" t="str">
        <f t="shared" si="32"/>
        <v/>
      </c>
      <c r="F426" s="21"/>
      <c r="G426" s="21"/>
      <c r="H426" s="21"/>
      <c r="I426" s="21"/>
      <c r="J426" s="21"/>
      <c r="K426" s="21"/>
      <c r="L426" s="16" t="str">
        <f t="shared" ca="1" si="28"/>
        <v/>
      </c>
      <c r="M426" s="22" t="str">
        <f t="shared" ca="1" si="29"/>
        <v/>
      </c>
      <c r="U426" s="23" t="str">
        <f t="shared" si="30"/>
        <v/>
      </c>
      <c r="V426" s="23" t="str">
        <f t="shared" si="31"/>
        <v/>
      </c>
    </row>
    <row r="427" spans="5:22" x14ac:dyDescent="0.25">
      <c r="E427" s="21" t="str">
        <f t="shared" si="32"/>
        <v/>
      </c>
      <c r="F427" s="21"/>
      <c r="G427" s="21"/>
      <c r="H427" s="21"/>
      <c r="I427" s="21"/>
      <c r="J427" s="21"/>
      <c r="K427" s="21"/>
      <c r="L427" s="16" t="str">
        <f t="shared" ca="1" si="28"/>
        <v/>
      </c>
      <c r="M427" s="22" t="str">
        <f t="shared" ca="1" si="29"/>
        <v/>
      </c>
      <c r="U427" s="23" t="str">
        <f t="shared" si="30"/>
        <v/>
      </c>
      <c r="V427" s="23" t="str">
        <f t="shared" si="31"/>
        <v/>
      </c>
    </row>
    <row r="428" spans="5:22" x14ac:dyDescent="0.25">
      <c r="E428" s="21" t="str">
        <f t="shared" si="32"/>
        <v/>
      </c>
      <c r="F428" s="21"/>
      <c r="G428" s="21"/>
      <c r="H428" s="21"/>
      <c r="I428" s="21"/>
      <c r="J428" s="21"/>
      <c r="K428" s="21"/>
      <c r="L428" s="16" t="str">
        <f t="shared" ca="1" si="28"/>
        <v/>
      </c>
      <c r="M428" s="22" t="str">
        <f t="shared" ca="1" si="29"/>
        <v/>
      </c>
      <c r="U428" s="23" t="str">
        <f t="shared" si="30"/>
        <v/>
      </c>
      <c r="V428" s="23" t="str">
        <f t="shared" si="31"/>
        <v/>
      </c>
    </row>
    <row r="429" spans="5:22" x14ac:dyDescent="0.25">
      <c r="E429" s="21" t="str">
        <f t="shared" si="32"/>
        <v/>
      </c>
      <c r="F429" s="21"/>
      <c r="G429" s="21"/>
      <c r="H429" s="21"/>
      <c r="I429" s="21"/>
      <c r="J429" s="21"/>
      <c r="K429" s="21"/>
      <c r="L429" s="16" t="str">
        <f t="shared" ca="1" si="28"/>
        <v/>
      </c>
      <c r="M429" s="22" t="str">
        <f t="shared" ca="1" si="29"/>
        <v/>
      </c>
      <c r="U429" s="23" t="str">
        <f t="shared" si="30"/>
        <v/>
      </c>
      <c r="V429" s="23" t="str">
        <f t="shared" si="31"/>
        <v/>
      </c>
    </row>
    <row r="430" spans="5:22" x14ac:dyDescent="0.25">
      <c r="E430" s="21" t="str">
        <f t="shared" si="32"/>
        <v/>
      </c>
      <c r="F430" s="21"/>
      <c r="G430" s="21"/>
      <c r="H430" s="21"/>
      <c r="I430" s="21"/>
      <c r="J430" s="21"/>
      <c r="K430" s="21"/>
      <c r="L430" s="16" t="str">
        <f t="shared" ca="1" si="28"/>
        <v/>
      </c>
      <c r="M430" s="22" t="str">
        <f t="shared" ca="1" si="29"/>
        <v/>
      </c>
      <c r="U430" s="23" t="str">
        <f t="shared" si="30"/>
        <v/>
      </c>
      <c r="V430" s="23" t="str">
        <f t="shared" si="31"/>
        <v/>
      </c>
    </row>
    <row r="431" spans="5:22" x14ac:dyDescent="0.25">
      <c r="E431" s="21" t="str">
        <f t="shared" si="32"/>
        <v/>
      </c>
      <c r="F431" s="21"/>
      <c r="G431" s="21"/>
      <c r="H431" s="21"/>
      <c r="I431" s="21"/>
      <c r="J431" s="21"/>
      <c r="K431" s="21"/>
      <c r="L431" s="16" t="str">
        <f t="shared" ca="1" si="28"/>
        <v/>
      </c>
      <c r="M431" s="22" t="str">
        <f t="shared" ca="1" si="29"/>
        <v/>
      </c>
      <c r="U431" s="23" t="str">
        <f t="shared" si="30"/>
        <v/>
      </c>
      <c r="V431" s="23" t="str">
        <f t="shared" si="31"/>
        <v/>
      </c>
    </row>
    <row r="432" spans="5:22" x14ac:dyDescent="0.25">
      <c r="E432" s="21" t="str">
        <f t="shared" si="32"/>
        <v/>
      </c>
      <c r="F432" s="21"/>
      <c r="G432" s="21"/>
      <c r="H432" s="21"/>
      <c r="I432" s="21"/>
      <c r="J432" s="21"/>
      <c r="K432" s="21"/>
      <c r="L432" s="16" t="str">
        <f t="shared" ca="1" si="28"/>
        <v/>
      </c>
      <c r="M432" s="22" t="str">
        <f t="shared" ca="1" si="29"/>
        <v/>
      </c>
      <c r="U432" s="23" t="str">
        <f t="shared" si="30"/>
        <v/>
      </c>
      <c r="V432" s="23" t="str">
        <f t="shared" si="31"/>
        <v/>
      </c>
    </row>
    <row r="433" spans="5:22" x14ac:dyDescent="0.25">
      <c r="E433" s="21" t="str">
        <f t="shared" si="32"/>
        <v/>
      </c>
      <c r="F433" s="21"/>
      <c r="G433" s="21"/>
      <c r="H433" s="21"/>
      <c r="I433" s="21"/>
      <c r="J433" s="21"/>
      <c r="K433" s="21"/>
      <c r="L433" s="16" t="str">
        <f t="shared" ca="1" si="28"/>
        <v/>
      </c>
      <c r="M433" s="22" t="str">
        <f t="shared" ca="1" si="29"/>
        <v/>
      </c>
      <c r="U433" s="23" t="str">
        <f t="shared" si="30"/>
        <v/>
      </c>
      <c r="V433" s="23" t="str">
        <f t="shared" si="31"/>
        <v/>
      </c>
    </row>
    <row r="434" spans="5:22" x14ac:dyDescent="0.25">
      <c r="E434" s="21" t="str">
        <f t="shared" si="32"/>
        <v/>
      </c>
      <c r="F434" s="21"/>
      <c r="G434" s="21"/>
      <c r="H434" s="21"/>
      <c r="I434" s="21"/>
      <c r="J434" s="21"/>
      <c r="K434" s="21"/>
      <c r="L434" s="16" t="str">
        <f t="shared" ca="1" si="28"/>
        <v/>
      </c>
      <c r="M434" s="22" t="str">
        <f t="shared" ca="1" si="29"/>
        <v/>
      </c>
      <c r="U434" s="23" t="str">
        <f t="shared" si="30"/>
        <v/>
      </c>
      <c r="V434" s="23" t="str">
        <f t="shared" si="31"/>
        <v/>
      </c>
    </row>
    <row r="435" spans="5:22" x14ac:dyDescent="0.25">
      <c r="E435" s="21" t="str">
        <f t="shared" si="32"/>
        <v/>
      </c>
      <c r="F435" s="21"/>
      <c r="G435" s="21"/>
      <c r="H435" s="21"/>
      <c r="I435" s="21"/>
      <c r="J435" s="21"/>
      <c r="K435" s="21"/>
      <c r="L435" s="16" t="str">
        <f t="shared" ca="1" si="28"/>
        <v/>
      </c>
      <c r="M435" s="22" t="str">
        <f t="shared" ca="1" si="29"/>
        <v/>
      </c>
      <c r="U435" s="23" t="str">
        <f t="shared" si="30"/>
        <v/>
      </c>
      <c r="V435" s="23" t="str">
        <f t="shared" si="31"/>
        <v/>
      </c>
    </row>
    <row r="436" spans="5:22" x14ac:dyDescent="0.25">
      <c r="E436" s="21" t="str">
        <f t="shared" si="32"/>
        <v/>
      </c>
      <c r="F436" s="21"/>
      <c r="G436" s="21"/>
      <c r="H436" s="21"/>
      <c r="I436" s="21"/>
      <c r="J436" s="21"/>
      <c r="K436" s="21"/>
      <c r="L436" s="16" t="str">
        <f t="shared" ca="1" si="28"/>
        <v/>
      </c>
      <c r="M436" s="22" t="str">
        <f t="shared" ca="1" si="29"/>
        <v/>
      </c>
      <c r="U436" s="23" t="str">
        <f t="shared" si="30"/>
        <v/>
      </c>
      <c r="V436" s="23" t="str">
        <f t="shared" si="31"/>
        <v/>
      </c>
    </row>
    <row r="437" spans="5:22" x14ac:dyDescent="0.25">
      <c r="E437" s="21" t="str">
        <f t="shared" si="32"/>
        <v/>
      </c>
      <c r="F437" s="21"/>
      <c r="G437" s="21"/>
      <c r="H437" s="21"/>
      <c r="I437" s="21"/>
      <c r="J437" s="21"/>
      <c r="K437" s="21"/>
      <c r="L437" s="16" t="str">
        <f t="shared" ca="1" si="28"/>
        <v/>
      </c>
      <c r="M437" s="22" t="str">
        <f t="shared" ca="1" si="29"/>
        <v/>
      </c>
      <c r="U437" s="23" t="str">
        <f t="shared" si="30"/>
        <v/>
      </c>
      <c r="V437" s="23" t="str">
        <f t="shared" si="31"/>
        <v/>
      </c>
    </row>
    <row r="438" spans="5:22" x14ac:dyDescent="0.25">
      <c r="E438" s="21" t="str">
        <f t="shared" si="32"/>
        <v/>
      </c>
      <c r="F438" s="21"/>
      <c r="G438" s="21"/>
      <c r="H438" s="21"/>
      <c r="I438" s="21"/>
      <c r="J438" s="21"/>
      <c r="K438" s="21"/>
      <c r="L438" s="16" t="str">
        <f t="shared" ca="1" si="28"/>
        <v/>
      </c>
      <c r="M438" s="22" t="str">
        <f t="shared" ca="1" si="29"/>
        <v/>
      </c>
      <c r="U438" s="23" t="str">
        <f t="shared" si="30"/>
        <v/>
      </c>
      <c r="V438" s="23" t="str">
        <f t="shared" si="31"/>
        <v/>
      </c>
    </row>
    <row r="439" spans="5:22" x14ac:dyDescent="0.25">
      <c r="E439" s="21" t="str">
        <f t="shared" si="32"/>
        <v/>
      </c>
      <c r="F439" s="21"/>
      <c r="G439" s="21"/>
      <c r="H439" s="21"/>
      <c r="I439" s="21"/>
      <c r="J439" s="21"/>
      <c r="K439" s="21"/>
      <c r="L439" s="16" t="str">
        <f t="shared" ca="1" si="28"/>
        <v/>
      </c>
      <c r="M439" s="22" t="str">
        <f t="shared" ca="1" si="29"/>
        <v/>
      </c>
      <c r="U439" s="23" t="str">
        <f t="shared" si="30"/>
        <v/>
      </c>
      <c r="V439" s="23" t="str">
        <f t="shared" si="31"/>
        <v/>
      </c>
    </row>
    <row r="440" spans="5:22" x14ac:dyDescent="0.25">
      <c r="E440" s="21" t="str">
        <f t="shared" si="32"/>
        <v/>
      </c>
      <c r="F440" s="21"/>
      <c r="G440" s="21"/>
      <c r="H440" s="21"/>
      <c r="I440" s="21"/>
      <c r="J440" s="21"/>
      <c r="K440" s="21"/>
      <c r="L440" s="16" t="str">
        <f t="shared" ca="1" si="28"/>
        <v/>
      </c>
      <c r="M440" s="22" t="str">
        <f t="shared" ca="1" si="29"/>
        <v/>
      </c>
      <c r="U440" s="23" t="str">
        <f t="shared" si="30"/>
        <v/>
      </c>
      <c r="V440" s="23" t="str">
        <f t="shared" si="31"/>
        <v/>
      </c>
    </row>
    <row r="441" spans="5:22" x14ac:dyDescent="0.25">
      <c r="E441" s="21" t="str">
        <f t="shared" si="32"/>
        <v/>
      </c>
      <c r="F441" s="21"/>
      <c r="G441" s="21"/>
      <c r="H441" s="21"/>
      <c r="I441" s="21"/>
      <c r="J441" s="21"/>
      <c r="K441" s="21"/>
      <c r="L441" s="16" t="str">
        <f t="shared" ca="1" si="28"/>
        <v/>
      </c>
      <c r="M441" s="22" t="str">
        <f t="shared" ca="1" si="29"/>
        <v/>
      </c>
      <c r="U441" s="23" t="str">
        <f t="shared" si="30"/>
        <v/>
      </c>
      <c r="V441" s="23" t="str">
        <f t="shared" si="31"/>
        <v/>
      </c>
    </row>
    <row r="442" spans="5:22" x14ac:dyDescent="0.25">
      <c r="E442" s="21" t="str">
        <f t="shared" si="32"/>
        <v/>
      </c>
      <c r="F442" s="21"/>
      <c r="G442" s="21"/>
      <c r="H442" s="21"/>
      <c r="I442" s="21"/>
      <c r="J442" s="21"/>
      <c r="K442" s="21"/>
      <c r="L442" s="16" t="str">
        <f t="shared" ca="1" si="28"/>
        <v/>
      </c>
      <c r="M442" s="22" t="str">
        <f t="shared" ca="1" si="29"/>
        <v/>
      </c>
      <c r="U442" s="23" t="str">
        <f t="shared" si="30"/>
        <v/>
      </c>
      <c r="V442" s="23" t="str">
        <f t="shared" si="31"/>
        <v/>
      </c>
    </row>
    <row r="443" spans="5:22" x14ac:dyDescent="0.25">
      <c r="E443" s="21" t="str">
        <f t="shared" si="32"/>
        <v/>
      </c>
      <c r="F443" s="21"/>
      <c r="G443" s="21"/>
      <c r="H443" s="21"/>
      <c r="I443" s="21"/>
      <c r="J443" s="21"/>
      <c r="K443" s="21"/>
      <c r="L443" s="16" t="str">
        <f t="shared" ca="1" si="28"/>
        <v/>
      </c>
      <c r="M443" s="22" t="str">
        <f t="shared" ca="1" si="29"/>
        <v/>
      </c>
      <c r="U443" s="23" t="str">
        <f t="shared" si="30"/>
        <v/>
      </c>
      <c r="V443" s="23" t="str">
        <f t="shared" si="31"/>
        <v/>
      </c>
    </row>
    <row r="444" spans="5:22" x14ac:dyDescent="0.25">
      <c r="E444" s="21" t="str">
        <f t="shared" si="32"/>
        <v/>
      </c>
      <c r="F444" s="21"/>
      <c r="G444" s="21"/>
      <c r="H444" s="21"/>
      <c r="I444" s="21"/>
      <c r="J444" s="21"/>
      <c r="K444" s="21"/>
      <c r="L444" s="16" t="str">
        <f t="shared" ca="1" si="28"/>
        <v/>
      </c>
      <c r="M444" s="22" t="str">
        <f t="shared" ca="1" si="29"/>
        <v/>
      </c>
      <c r="U444" s="23" t="str">
        <f t="shared" si="30"/>
        <v/>
      </c>
      <c r="V444" s="23" t="str">
        <f t="shared" si="31"/>
        <v/>
      </c>
    </row>
    <row r="445" spans="5:22" x14ac:dyDescent="0.25">
      <c r="E445" s="21" t="str">
        <f t="shared" si="32"/>
        <v/>
      </c>
      <c r="F445" s="21"/>
      <c r="G445" s="21"/>
      <c r="H445" s="21"/>
      <c r="I445" s="21"/>
      <c r="J445" s="21"/>
      <c r="K445" s="21"/>
      <c r="L445" s="16" t="str">
        <f t="shared" ref="L445:L508" ca="1" si="33">IF(AND(C445&lt;&gt;"",C445&lt;&gt;U445),TODAY(),IF(C445="","",L445))</f>
        <v/>
      </c>
      <c r="M445" s="22" t="str">
        <f t="shared" ref="M445:M508" ca="1" si="34">IF(AND(C445&lt;&gt;"",C445&lt;&gt;V445),NOW(),IF(C445="","",M445))</f>
        <v/>
      </c>
      <c r="U445" s="23" t="str">
        <f t="shared" si="30"/>
        <v/>
      </c>
      <c r="V445" s="23" t="str">
        <f t="shared" si="31"/>
        <v/>
      </c>
    </row>
    <row r="446" spans="5:22" x14ac:dyDescent="0.25">
      <c r="E446" s="21" t="str">
        <f t="shared" si="32"/>
        <v/>
      </c>
      <c r="F446" s="21"/>
      <c r="G446" s="21"/>
      <c r="H446" s="21"/>
      <c r="I446" s="21"/>
      <c r="J446" s="21"/>
      <c r="K446" s="21"/>
      <c r="L446" s="16" t="str">
        <f t="shared" ca="1" si="33"/>
        <v/>
      </c>
      <c r="M446" s="22" t="str">
        <f t="shared" ca="1" si="34"/>
        <v/>
      </c>
      <c r="U446" s="23" t="str">
        <f t="shared" si="30"/>
        <v/>
      </c>
      <c r="V446" s="23" t="str">
        <f t="shared" si="31"/>
        <v/>
      </c>
    </row>
    <row r="447" spans="5:22" x14ac:dyDescent="0.25">
      <c r="E447" s="21" t="str">
        <f t="shared" si="32"/>
        <v/>
      </c>
      <c r="F447" s="21"/>
      <c r="G447" s="21"/>
      <c r="H447" s="21"/>
      <c r="I447" s="21"/>
      <c r="J447" s="21"/>
      <c r="K447" s="21"/>
      <c r="L447" s="16" t="str">
        <f t="shared" ca="1" si="33"/>
        <v/>
      </c>
      <c r="M447" s="22" t="str">
        <f t="shared" ca="1" si="34"/>
        <v/>
      </c>
      <c r="U447" s="23" t="str">
        <f t="shared" si="30"/>
        <v/>
      </c>
      <c r="V447" s="23" t="str">
        <f t="shared" si="31"/>
        <v/>
      </c>
    </row>
    <row r="448" spans="5:22" x14ac:dyDescent="0.25">
      <c r="E448" s="21" t="str">
        <f t="shared" si="32"/>
        <v/>
      </c>
      <c r="F448" s="21"/>
      <c r="G448" s="21"/>
      <c r="H448" s="21"/>
      <c r="I448" s="21"/>
      <c r="J448" s="21"/>
      <c r="K448" s="21"/>
      <c r="L448" s="16" t="str">
        <f t="shared" ca="1" si="33"/>
        <v/>
      </c>
      <c r="M448" s="22" t="str">
        <f t="shared" ca="1" si="34"/>
        <v/>
      </c>
      <c r="U448" s="23" t="str">
        <f t="shared" si="30"/>
        <v/>
      </c>
      <c r="V448" s="23" t="str">
        <f t="shared" si="31"/>
        <v/>
      </c>
    </row>
    <row r="449" spans="5:22" x14ac:dyDescent="0.25">
      <c r="E449" s="21" t="str">
        <f t="shared" si="32"/>
        <v/>
      </c>
      <c r="F449" s="21"/>
      <c r="G449" s="21"/>
      <c r="H449" s="21"/>
      <c r="I449" s="21"/>
      <c r="J449" s="21"/>
      <c r="K449" s="21"/>
      <c r="L449" s="16" t="str">
        <f t="shared" ca="1" si="33"/>
        <v/>
      </c>
      <c r="M449" s="22" t="str">
        <f t="shared" ca="1" si="34"/>
        <v/>
      </c>
      <c r="U449" s="23" t="str">
        <f t="shared" si="30"/>
        <v/>
      </c>
      <c r="V449" s="23" t="str">
        <f t="shared" si="31"/>
        <v/>
      </c>
    </row>
    <row r="450" spans="5:22" x14ac:dyDescent="0.25">
      <c r="E450" s="21" t="str">
        <f t="shared" si="32"/>
        <v/>
      </c>
      <c r="F450" s="21"/>
      <c r="G450" s="21"/>
      <c r="H450" s="21"/>
      <c r="I450" s="21"/>
      <c r="J450" s="21"/>
      <c r="K450" s="21"/>
      <c r="L450" s="16" t="str">
        <f t="shared" ca="1" si="33"/>
        <v/>
      </c>
      <c r="M450" s="22" t="str">
        <f t="shared" ca="1" si="34"/>
        <v/>
      </c>
      <c r="U450" s="23" t="str">
        <f t="shared" si="30"/>
        <v/>
      </c>
      <c r="V450" s="23" t="str">
        <f t="shared" si="31"/>
        <v/>
      </c>
    </row>
    <row r="451" spans="5:22" x14ac:dyDescent="0.25">
      <c r="E451" s="21" t="str">
        <f t="shared" si="32"/>
        <v/>
      </c>
      <c r="F451" s="21"/>
      <c r="G451" s="21"/>
      <c r="H451" s="21"/>
      <c r="I451" s="21"/>
      <c r="J451" s="21"/>
      <c r="K451" s="21"/>
      <c r="L451" s="16" t="str">
        <f t="shared" ca="1" si="33"/>
        <v/>
      </c>
      <c r="M451" s="22" t="str">
        <f t="shared" ca="1" si="34"/>
        <v/>
      </c>
      <c r="U451" s="23" t="str">
        <f t="shared" si="30"/>
        <v/>
      </c>
      <c r="V451" s="23" t="str">
        <f t="shared" si="31"/>
        <v/>
      </c>
    </row>
    <row r="452" spans="5:22" x14ac:dyDescent="0.25">
      <c r="E452" s="21" t="str">
        <f t="shared" si="32"/>
        <v/>
      </c>
      <c r="F452" s="21"/>
      <c r="G452" s="21"/>
      <c r="H452" s="21"/>
      <c r="I452" s="21"/>
      <c r="J452" s="21"/>
      <c r="K452" s="21"/>
      <c r="L452" s="16" t="str">
        <f t="shared" ca="1" si="33"/>
        <v/>
      </c>
      <c r="M452" s="22" t="str">
        <f t="shared" ca="1" si="34"/>
        <v/>
      </c>
      <c r="U452" s="23" t="str">
        <f t="shared" ref="U452:U515" si="35">IF(C452="","",IF(OR(L452="",AND(ISNUMBER(U452),C452=U452)),U452,C452))</f>
        <v/>
      </c>
      <c r="V452" s="23" t="str">
        <f t="shared" ref="V452:V515" si="36">IF(C452="","",IF(OR(M452="",AND(ISNUMBER(V452),C452=V452)),V452,C452))</f>
        <v/>
      </c>
    </row>
    <row r="453" spans="5:22" x14ac:dyDescent="0.25">
      <c r="E453" s="21" t="str">
        <f t="shared" si="32"/>
        <v/>
      </c>
      <c r="F453" s="21"/>
      <c r="G453" s="21"/>
      <c r="H453" s="21"/>
      <c r="I453" s="21"/>
      <c r="J453" s="21"/>
      <c r="K453" s="21"/>
      <c r="L453" s="16" t="str">
        <f t="shared" ca="1" si="33"/>
        <v/>
      </c>
      <c r="M453" s="22" t="str">
        <f t="shared" ca="1" si="34"/>
        <v/>
      </c>
      <c r="U453" s="23" t="str">
        <f t="shared" si="35"/>
        <v/>
      </c>
      <c r="V453" s="23" t="str">
        <f t="shared" si="36"/>
        <v/>
      </c>
    </row>
    <row r="454" spans="5:22" x14ac:dyDescent="0.25">
      <c r="E454" s="21" t="str">
        <f t="shared" si="32"/>
        <v/>
      </c>
      <c r="F454" s="21"/>
      <c r="G454" s="21"/>
      <c r="H454" s="21"/>
      <c r="I454" s="21"/>
      <c r="J454" s="21"/>
      <c r="K454" s="21"/>
      <c r="L454" s="16" t="str">
        <f t="shared" ca="1" si="33"/>
        <v/>
      </c>
      <c r="M454" s="22" t="str">
        <f t="shared" ca="1" si="34"/>
        <v/>
      </c>
      <c r="U454" s="23" t="str">
        <f t="shared" si="35"/>
        <v/>
      </c>
      <c r="V454" s="23" t="str">
        <f t="shared" si="36"/>
        <v/>
      </c>
    </row>
    <row r="455" spans="5:22" x14ac:dyDescent="0.25">
      <c r="E455" s="21" t="str">
        <f t="shared" si="32"/>
        <v/>
      </c>
      <c r="F455" s="21"/>
      <c r="G455" s="21"/>
      <c r="H455" s="21"/>
      <c r="I455" s="21"/>
      <c r="J455" s="21"/>
      <c r="K455" s="21"/>
      <c r="L455" s="16" t="str">
        <f t="shared" ca="1" si="33"/>
        <v/>
      </c>
      <c r="M455" s="22" t="str">
        <f t="shared" ca="1" si="34"/>
        <v/>
      </c>
      <c r="U455" s="23" t="str">
        <f t="shared" si="35"/>
        <v/>
      </c>
      <c r="V455" s="23" t="str">
        <f t="shared" si="36"/>
        <v/>
      </c>
    </row>
    <row r="456" spans="5:22" x14ac:dyDescent="0.25">
      <c r="E456" s="21" t="str">
        <f t="shared" si="32"/>
        <v/>
      </c>
      <c r="F456" s="21"/>
      <c r="G456" s="21"/>
      <c r="H456" s="21"/>
      <c r="I456" s="21"/>
      <c r="J456" s="21"/>
      <c r="K456" s="21"/>
      <c r="L456" s="16" t="str">
        <f t="shared" ca="1" si="33"/>
        <v/>
      </c>
      <c r="M456" s="22" t="str">
        <f t="shared" ca="1" si="34"/>
        <v/>
      </c>
      <c r="U456" s="23" t="str">
        <f t="shared" si="35"/>
        <v/>
      </c>
      <c r="V456" s="23" t="str">
        <f t="shared" si="36"/>
        <v/>
      </c>
    </row>
    <row r="457" spans="5:22" x14ac:dyDescent="0.25">
      <c r="E457" s="21" t="str">
        <f t="shared" si="32"/>
        <v/>
      </c>
      <c r="F457" s="21"/>
      <c r="G457" s="21"/>
      <c r="H457" s="21"/>
      <c r="I457" s="21"/>
      <c r="J457" s="21"/>
      <c r="K457" s="21"/>
      <c r="L457" s="16" t="str">
        <f t="shared" ca="1" si="33"/>
        <v/>
      </c>
      <c r="M457" s="22" t="str">
        <f t="shared" ca="1" si="34"/>
        <v/>
      </c>
      <c r="U457" s="23" t="str">
        <f t="shared" si="35"/>
        <v/>
      </c>
      <c r="V457" s="23" t="str">
        <f t="shared" si="36"/>
        <v/>
      </c>
    </row>
    <row r="458" spans="5:22" x14ac:dyDescent="0.25">
      <c r="E458" s="21" t="str">
        <f t="shared" si="32"/>
        <v/>
      </c>
      <c r="F458" s="21"/>
      <c r="G458" s="21"/>
      <c r="H458" s="21"/>
      <c r="I458" s="21"/>
      <c r="J458" s="21"/>
      <c r="K458" s="21"/>
      <c r="L458" s="16" t="str">
        <f t="shared" ca="1" si="33"/>
        <v/>
      </c>
      <c r="M458" s="22" t="str">
        <f t="shared" ca="1" si="34"/>
        <v/>
      </c>
      <c r="U458" s="23" t="str">
        <f t="shared" si="35"/>
        <v/>
      </c>
      <c r="V458" s="23" t="str">
        <f t="shared" si="36"/>
        <v/>
      </c>
    </row>
    <row r="459" spans="5:22" x14ac:dyDescent="0.25">
      <c r="E459" s="21" t="str">
        <f t="shared" si="32"/>
        <v/>
      </c>
      <c r="F459" s="21"/>
      <c r="G459" s="21"/>
      <c r="H459" s="21"/>
      <c r="I459" s="21"/>
      <c r="J459" s="21"/>
      <c r="K459" s="21"/>
      <c r="L459" s="16" t="str">
        <f t="shared" ca="1" si="33"/>
        <v/>
      </c>
      <c r="M459" s="22" t="str">
        <f t="shared" ca="1" si="34"/>
        <v/>
      </c>
      <c r="U459" s="23" t="str">
        <f t="shared" si="35"/>
        <v/>
      </c>
      <c r="V459" s="23" t="str">
        <f t="shared" si="36"/>
        <v/>
      </c>
    </row>
    <row r="460" spans="5:22" x14ac:dyDescent="0.25">
      <c r="E460" s="21" t="str">
        <f t="shared" si="32"/>
        <v/>
      </c>
      <c r="F460" s="21"/>
      <c r="G460" s="21"/>
      <c r="H460" s="21"/>
      <c r="I460" s="21"/>
      <c r="J460" s="21"/>
      <c r="K460" s="21"/>
      <c r="L460" s="16" t="str">
        <f t="shared" ca="1" si="33"/>
        <v/>
      </c>
      <c r="M460" s="22" t="str">
        <f t="shared" ca="1" si="34"/>
        <v/>
      </c>
      <c r="U460" s="23" t="str">
        <f t="shared" si="35"/>
        <v/>
      </c>
      <c r="V460" s="23" t="str">
        <f t="shared" si="36"/>
        <v/>
      </c>
    </row>
    <row r="461" spans="5:22" x14ac:dyDescent="0.25">
      <c r="E461" s="21" t="str">
        <f t="shared" si="32"/>
        <v/>
      </c>
      <c r="F461" s="21"/>
      <c r="G461" s="21"/>
      <c r="H461" s="21"/>
      <c r="I461" s="21"/>
      <c r="J461" s="21"/>
      <c r="K461" s="21"/>
      <c r="L461" s="16" t="str">
        <f t="shared" ca="1" si="33"/>
        <v/>
      </c>
      <c r="M461" s="22" t="str">
        <f t="shared" ca="1" si="34"/>
        <v/>
      </c>
      <c r="U461" s="23" t="str">
        <f t="shared" si="35"/>
        <v/>
      </c>
      <c r="V461" s="23" t="str">
        <f t="shared" si="36"/>
        <v/>
      </c>
    </row>
    <row r="462" spans="5:22" x14ac:dyDescent="0.25">
      <c r="E462" s="21" t="str">
        <f t="shared" si="32"/>
        <v/>
      </c>
      <c r="F462" s="21"/>
      <c r="G462" s="21"/>
      <c r="H462" s="21"/>
      <c r="I462" s="21"/>
      <c r="J462" s="21"/>
      <c r="K462" s="21"/>
      <c r="L462" s="16" t="str">
        <f t="shared" ca="1" si="33"/>
        <v/>
      </c>
      <c r="M462" s="22" t="str">
        <f t="shared" ca="1" si="34"/>
        <v/>
      </c>
      <c r="U462" s="23" t="str">
        <f t="shared" si="35"/>
        <v/>
      </c>
      <c r="V462" s="23" t="str">
        <f t="shared" si="36"/>
        <v/>
      </c>
    </row>
    <row r="463" spans="5:22" x14ac:dyDescent="0.25">
      <c r="E463" s="21" t="str">
        <f t="shared" si="32"/>
        <v/>
      </c>
      <c r="F463" s="21"/>
      <c r="G463" s="21"/>
      <c r="H463" s="21"/>
      <c r="I463" s="21"/>
      <c r="J463" s="21"/>
      <c r="K463" s="21"/>
      <c r="L463" s="16" t="str">
        <f t="shared" ca="1" si="33"/>
        <v/>
      </c>
      <c r="M463" s="22" t="str">
        <f t="shared" ca="1" si="34"/>
        <v/>
      </c>
      <c r="U463" s="23" t="str">
        <f t="shared" si="35"/>
        <v/>
      </c>
      <c r="V463" s="23" t="str">
        <f t="shared" si="36"/>
        <v/>
      </c>
    </row>
    <row r="464" spans="5:22" x14ac:dyDescent="0.25">
      <c r="E464" s="21" t="str">
        <f t="shared" si="32"/>
        <v/>
      </c>
      <c r="F464" s="21"/>
      <c r="G464" s="21"/>
      <c r="H464" s="21"/>
      <c r="I464" s="21"/>
      <c r="J464" s="21"/>
      <c r="K464" s="21"/>
      <c r="L464" s="16" t="str">
        <f t="shared" ca="1" si="33"/>
        <v/>
      </c>
      <c r="M464" s="22" t="str">
        <f t="shared" ca="1" si="34"/>
        <v/>
      </c>
      <c r="U464" s="23" t="str">
        <f t="shared" si="35"/>
        <v/>
      </c>
      <c r="V464" s="23" t="str">
        <f t="shared" si="36"/>
        <v/>
      </c>
    </row>
    <row r="465" spans="5:22" x14ac:dyDescent="0.25">
      <c r="E465" s="21" t="str">
        <f t="shared" si="32"/>
        <v/>
      </c>
      <c r="F465" s="21"/>
      <c r="G465" s="21"/>
      <c r="H465" s="21"/>
      <c r="I465" s="21"/>
      <c r="J465" s="21"/>
      <c r="K465" s="21"/>
      <c r="L465" s="16" t="str">
        <f t="shared" ca="1" si="33"/>
        <v/>
      </c>
      <c r="M465" s="22" t="str">
        <f t="shared" ca="1" si="34"/>
        <v/>
      </c>
      <c r="U465" s="23" t="str">
        <f t="shared" si="35"/>
        <v/>
      </c>
      <c r="V465" s="23" t="str">
        <f t="shared" si="36"/>
        <v/>
      </c>
    </row>
    <row r="466" spans="5:22" x14ac:dyDescent="0.25">
      <c r="E466" s="21" t="str">
        <f t="shared" si="32"/>
        <v/>
      </c>
      <c r="F466" s="21"/>
      <c r="G466" s="21"/>
      <c r="H466" s="21"/>
      <c r="I466" s="21"/>
      <c r="J466" s="21"/>
      <c r="K466" s="21"/>
      <c r="L466" s="16" t="str">
        <f t="shared" ca="1" si="33"/>
        <v/>
      </c>
      <c r="M466" s="22" t="str">
        <f t="shared" ca="1" si="34"/>
        <v/>
      </c>
      <c r="U466" s="23" t="str">
        <f t="shared" si="35"/>
        <v/>
      </c>
      <c r="V466" s="23" t="str">
        <f t="shared" si="36"/>
        <v/>
      </c>
    </row>
    <row r="467" spans="5:22" x14ac:dyDescent="0.25">
      <c r="E467" s="21" t="str">
        <f t="shared" si="32"/>
        <v/>
      </c>
      <c r="F467" s="21"/>
      <c r="G467" s="21"/>
      <c r="H467" s="21"/>
      <c r="I467" s="21"/>
      <c r="J467" s="21"/>
      <c r="K467" s="21"/>
      <c r="L467" s="16" t="str">
        <f t="shared" ca="1" si="33"/>
        <v/>
      </c>
      <c r="M467" s="22" t="str">
        <f t="shared" ca="1" si="34"/>
        <v/>
      </c>
      <c r="U467" s="23" t="str">
        <f t="shared" si="35"/>
        <v/>
      </c>
      <c r="V467" s="23" t="str">
        <f t="shared" si="36"/>
        <v/>
      </c>
    </row>
    <row r="468" spans="5:22" x14ac:dyDescent="0.25">
      <c r="E468" s="21" t="str">
        <f t="shared" si="32"/>
        <v/>
      </c>
      <c r="F468" s="21"/>
      <c r="G468" s="21"/>
      <c r="H468" s="21"/>
      <c r="I468" s="21"/>
      <c r="J468" s="21"/>
      <c r="K468" s="21"/>
      <c r="L468" s="16" t="str">
        <f t="shared" ca="1" si="33"/>
        <v/>
      </c>
      <c r="M468" s="22" t="str">
        <f t="shared" ca="1" si="34"/>
        <v/>
      </c>
      <c r="U468" s="23" t="str">
        <f t="shared" si="35"/>
        <v/>
      </c>
      <c r="V468" s="23" t="str">
        <f t="shared" si="36"/>
        <v/>
      </c>
    </row>
    <row r="469" spans="5:22" x14ac:dyDescent="0.25">
      <c r="E469" s="21" t="str">
        <f t="shared" si="32"/>
        <v/>
      </c>
      <c r="F469" s="21"/>
      <c r="G469" s="21"/>
      <c r="H469" s="21"/>
      <c r="I469" s="21"/>
      <c r="J469" s="21"/>
      <c r="K469" s="21"/>
      <c r="L469" s="16" t="str">
        <f t="shared" ca="1" si="33"/>
        <v/>
      </c>
      <c r="M469" s="22" t="str">
        <f t="shared" ca="1" si="34"/>
        <v/>
      </c>
      <c r="U469" s="23" t="str">
        <f t="shared" si="35"/>
        <v/>
      </c>
      <c r="V469" s="23" t="str">
        <f t="shared" si="36"/>
        <v/>
      </c>
    </row>
    <row r="470" spans="5:22" x14ac:dyDescent="0.25">
      <c r="E470" s="21" t="str">
        <f t="shared" si="32"/>
        <v/>
      </c>
      <c r="F470" s="21"/>
      <c r="G470" s="21"/>
      <c r="H470" s="21"/>
      <c r="I470" s="21"/>
      <c r="J470" s="21"/>
      <c r="K470" s="21"/>
      <c r="L470" s="16" t="str">
        <f t="shared" ca="1" si="33"/>
        <v/>
      </c>
      <c r="M470" s="22" t="str">
        <f t="shared" ca="1" si="34"/>
        <v/>
      </c>
      <c r="U470" s="23" t="str">
        <f t="shared" si="35"/>
        <v/>
      </c>
      <c r="V470" s="23" t="str">
        <f t="shared" si="36"/>
        <v/>
      </c>
    </row>
    <row r="471" spans="5:22" x14ac:dyDescent="0.25">
      <c r="E471" s="21" t="str">
        <f t="shared" si="32"/>
        <v/>
      </c>
      <c r="F471" s="21"/>
      <c r="G471" s="21"/>
      <c r="H471" s="21"/>
      <c r="I471" s="21"/>
      <c r="J471" s="21"/>
      <c r="K471" s="21"/>
      <c r="L471" s="16" t="str">
        <f t="shared" ca="1" si="33"/>
        <v/>
      </c>
      <c r="M471" s="22" t="str">
        <f t="shared" ca="1" si="34"/>
        <v/>
      </c>
      <c r="U471" s="23" t="str">
        <f t="shared" si="35"/>
        <v/>
      </c>
      <c r="V471" s="23" t="str">
        <f t="shared" si="36"/>
        <v/>
      </c>
    </row>
    <row r="472" spans="5:22" x14ac:dyDescent="0.25">
      <c r="E472" s="21" t="str">
        <f t="shared" si="32"/>
        <v/>
      </c>
      <c r="F472" s="21"/>
      <c r="G472" s="21"/>
      <c r="H472" s="21"/>
      <c r="I472" s="21"/>
      <c r="J472" s="21"/>
      <c r="K472" s="21"/>
      <c r="L472" s="16" t="str">
        <f t="shared" ca="1" si="33"/>
        <v/>
      </c>
      <c r="M472" s="22" t="str">
        <f t="shared" ca="1" si="34"/>
        <v/>
      </c>
      <c r="U472" s="23" t="str">
        <f t="shared" si="35"/>
        <v/>
      </c>
      <c r="V472" s="23" t="str">
        <f t="shared" si="36"/>
        <v/>
      </c>
    </row>
    <row r="473" spans="5:22" x14ac:dyDescent="0.25">
      <c r="E473" s="21" t="str">
        <f t="shared" si="32"/>
        <v/>
      </c>
      <c r="F473" s="21"/>
      <c r="G473" s="21"/>
      <c r="H473" s="21"/>
      <c r="I473" s="21"/>
      <c r="J473" s="21"/>
      <c r="K473" s="21"/>
      <c r="L473" s="16" t="str">
        <f t="shared" ca="1" si="33"/>
        <v/>
      </c>
      <c r="M473" s="22" t="str">
        <f t="shared" ca="1" si="34"/>
        <v/>
      </c>
      <c r="U473" s="23" t="str">
        <f t="shared" si="35"/>
        <v/>
      </c>
      <c r="V473" s="23" t="str">
        <f t="shared" si="36"/>
        <v/>
      </c>
    </row>
    <row r="474" spans="5:22" x14ac:dyDescent="0.25">
      <c r="E474" s="21" t="str">
        <f t="shared" si="32"/>
        <v/>
      </c>
      <c r="F474" s="21"/>
      <c r="G474" s="21"/>
      <c r="H474" s="21"/>
      <c r="I474" s="21"/>
      <c r="J474" s="21"/>
      <c r="K474" s="21"/>
      <c r="L474" s="16" t="str">
        <f t="shared" ca="1" si="33"/>
        <v/>
      </c>
      <c r="M474" s="22" t="str">
        <f t="shared" ca="1" si="34"/>
        <v/>
      </c>
      <c r="U474" s="23" t="str">
        <f t="shared" si="35"/>
        <v/>
      </c>
      <c r="V474" s="23" t="str">
        <f t="shared" si="36"/>
        <v/>
      </c>
    </row>
    <row r="475" spans="5:22" x14ac:dyDescent="0.25">
      <c r="E475" s="21" t="str">
        <f t="shared" si="32"/>
        <v/>
      </c>
      <c r="F475" s="21"/>
      <c r="G475" s="21"/>
      <c r="H475" s="21"/>
      <c r="I475" s="21"/>
      <c r="J475" s="21"/>
      <c r="K475" s="21"/>
      <c r="L475" s="16" t="str">
        <f t="shared" ca="1" si="33"/>
        <v/>
      </c>
      <c r="M475" s="22" t="str">
        <f t="shared" ca="1" si="34"/>
        <v/>
      </c>
      <c r="U475" s="23" t="str">
        <f t="shared" si="35"/>
        <v/>
      </c>
      <c r="V475" s="23" t="str">
        <f t="shared" si="36"/>
        <v/>
      </c>
    </row>
    <row r="476" spans="5:22" x14ac:dyDescent="0.25">
      <c r="E476" s="21" t="str">
        <f t="shared" si="32"/>
        <v/>
      </c>
      <c r="F476" s="21"/>
      <c r="G476" s="21"/>
      <c r="H476" s="21"/>
      <c r="I476" s="21"/>
      <c r="J476" s="21"/>
      <c r="K476" s="21"/>
      <c r="L476" s="16" t="str">
        <f t="shared" ca="1" si="33"/>
        <v/>
      </c>
      <c r="M476" s="22" t="str">
        <f t="shared" ca="1" si="34"/>
        <v/>
      </c>
      <c r="U476" s="23" t="str">
        <f t="shared" si="35"/>
        <v/>
      </c>
      <c r="V476" s="23" t="str">
        <f t="shared" si="36"/>
        <v/>
      </c>
    </row>
    <row r="477" spans="5:22" x14ac:dyDescent="0.25">
      <c r="E477" s="21" t="str">
        <f t="shared" si="32"/>
        <v/>
      </c>
      <c r="F477" s="21"/>
      <c r="G477" s="21"/>
      <c r="H477" s="21"/>
      <c r="I477" s="21"/>
      <c r="J477" s="21"/>
      <c r="K477" s="21"/>
      <c r="L477" s="16" t="str">
        <f t="shared" ca="1" si="33"/>
        <v/>
      </c>
      <c r="M477" s="22" t="str">
        <f t="shared" ca="1" si="34"/>
        <v/>
      </c>
      <c r="U477" s="23" t="str">
        <f t="shared" si="35"/>
        <v/>
      </c>
      <c r="V477" s="23" t="str">
        <f t="shared" si="36"/>
        <v/>
      </c>
    </row>
    <row r="478" spans="5:22" x14ac:dyDescent="0.25">
      <c r="E478" s="21" t="str">
        <f t="shared" si="32"/>
        <v/>
      </c>
      <c r="F478" s="21"/>
      <c r="G478" s="21"/>
      <c r="H478" s="21"/>
      <c r="I478" s="21"/>
      <c r="J478" s="21"/>
      <c r="K478" s="21"/>
      <c r="L478" s="16" t="str">
        <f t="shared" ca="1" si="33"/>
        <v/>
      </c>
      <c r="M478" s="22" t="str">
        <f t="shared" ca="1" si="34"/>
        <v/>
      </c>
      <c r="U478" s="23" t="str">
        <f t="shared" si="35"/>
        <v/>
      </c>
      <c r="V478" s="23" t="str">
        <f t="shared" si="36"/>
        <v/>
      </c>
    </row>
    <row r="479" spans="5:22" x14ac:dyDescent="0.25">
      <c r="E479" s="21" t="str">
        <f t="shared" si="32"/>
        <v/>
      </c>
      <c r="F479" s="21"/>
      <c r="G479" s="21"/>
      <c r="H479" s="21"/>
      <c r="I479" s="21"/>
      <c r="J479" s="21"/>
      <c r="K479" s="21"/>
      <c r="L479" s="16" t="str">
        <f t="shared" ca="1" si="33"/>
        <v/>
      </c>
      <c r="M479" s="22" t="str">
        <f t="shared" ca="1" si="34"/>
        <v/>
      </c>
      <c r="U479" s="23" t="str">
        <f t="shared" si="35"/>
        <v/>
      </c>
      <c r="V479" s="23" t="str">
        <f t="shared" si="36"/>
        <v/>
      </c>
    </row>
    <row r="480" spans="5:22" x14ac:dyDescent="0.25">
      <c r="E480" s="21" t="str">
        <f t="shared" si="32"/>
        <v/>
      </c>
      <c r="F480" s="21"/>
      <c r="G480" s="21"/>
      <c r="H480" s="21"/>
      <c r="I480" s="21"/>
      <c r="J480" s="21"/>
      <c r="K480" s="21"/>
      <c r="L480" s="16" t="str">
        <f t="shared" ca="1" si="33"/>
        <v/>
      </c>
      <c r="M480" s="22" t="str">
        <f t="shared" ca="1" si="34"/>
        <v/>
      </c>
      <c r="U480" s="23" t="str">
        <f t="shared" si="35"/>
        <v/>
      </c>
      <c r="V480" s="23" t="str">
        <f t="shared" si="36"/>
        <v/>
      </c>
    </row>
    <row r="481" spans="5:22" x14ac:dyDescent="0.25">
      <c r="E481" s="21" t="str">
        <f t="shared" si="32"/>
        <v/>
      </c>
      <c r="F481" s="21"/>
      <c r="G481" s="21"/>
      <c r="H481" s="21"/>
      <c r="I481" s="21"/>
      <c r="J481" s="21"/>
      <c r="K481" s="21"/>
      <c r="L481" s="16" t="str">
        <f t="shared" ca="1" si="33"/>
        <v/>
      </c>
      <c r="M481" s="22" t="str">
        <f t="shared" ca="1" si="34"/>
        <v/>
      </c>
      <c r="U481" s="23" t="str">
        <f t="shared" si="35"/>
        <v/>
      </c>
      <c r="V481" s="23" t="str">
        <f t="shared" si="36"/>
        <v/>
      </c>
    </row>
    <row r="482" spans="5:22" x14ac:dyDescent="0.25">
      <c r="E482" s="21" t="str">
        <f t="shared" si="32"/>
        <v/>
      </c>
      <c r="F482" s="21"/>
      <c r="G482" s="21"/>
      <c r="H482" s="21"/>
      <c r="I482" s="21"/>
      <c r="J482" s="21"/>
      <c r="K482" s="21"/>
      <c r="L482" s="16" t="str">
        <f t="shared" ca="1" si="33"/>
        <v/>
      </c>
      <c r="M482" s="22" t="str">
        <f t="shared" ca="1" si="34"/>
        <v/>
      </c>
      <c r="U482" s="23" t="str">
        <f t="shared" si="35"/>
        <v/>
      </c>
      <c r="V482" s="23" t="str">
        <f t="shared" si="36"/>
        <v/>
      </c>
    </row>
    <row r="483" spans="5:22" x14ac:dyDescent="0.25">
      <c r="E483" s="21" t="str">
        <f t="shared" si="32"/>
        <v/>
      </c>
      <c r="F483" s="21"/>
      <c r="G483" s="21"/>
      <c r="H483" s="21"/>
      <c r="I483" s="21"/>
      <c r="J483" s="21"/>
      <c r="K483" s="21"/>
      <c r="L483" s="16" t="str">
        <f t="shared" ca="1" si="33"/>
        <v/>
      </c>
      <c r="M483" s="22" t="str">
        <f t="shared" ca="1" si="34"/>
        <v/>
      </c>
      <c r="U483" s="23" t="str">
        <f t="shared" si="35"/>
        <v/>
      </c>
      <c r="V483" s="23" t="str">
        <f t="shared" si="36"/>
        <v/>
      </c>
    </row>
    <row r="484" spans="5:22" x14ac:dyDescent="0.25">
      <c r="E484" s="21" t="str">
        <f t="shared" si="32"/>
        <v/>
      </c>
      <c r="F484" s="21"/>
      <c r="G484" s="21"/>
      <c r="H484" s="21"/>
      <c r="I484" s="21"/>
      <c r="J484" s="21"/>
      <c r="K484" s="21"/>
      <c r="L484" s="16" t="str">
        <f t="shared" ca="1" si="33"/>
        <v/>
      </c>
      <c r="M484" s="22" t="str">
        <f t="shared" ca="1" si="34"/>
        <v/>
      </c>
      <c r="U484" s="23" t="str">
        <f t="shared" si="35"/>
        <v/>
      </c>
      <c r="V484" s="23" t="str">
        <f t="shared" si="36"/>
        <v/>
      </c>
    </row>
    <row r="485" spans="5:22" x14ac:dyDescent="0.25">
      <c r="E485" s="21" t="str">
        <f t="shared" ref="E485:E548" si="37">IF(ISNUMBER(SEARCH("v crs",D485))=TRUE,"VC",IF(ISNUMBER(SEARCH("crs",D485))=TRUE,"C",IF(ISNUMBER(SEARCH("med",D485))=TRUE,"M",IF(ISNUMBER(SEARCH("vf",D485))=TRUE,"VF",IF(ISNUMBER(SEARCH("f",D485))=TRUE,"F","")))))</f>
        <v/>
      </c>
      <c r="F485" s="21"/>
      <c r="G485" s="21"/>
      <c r="H485" s="21"/>
      <c r="I485" s="21"/>
      <c r="J485" s="21"/>
      <c r="K485" s="21"/>
      <c r="L485" s="16" t="str">
        <f t="shared" ca="1" si="33"/>
        <v/>
      </c>
      <c r="M485" s="22" t="str">
        <f t="shared" ca="1" si="34"/>
        <v/>
      </c>
      <c r="U485" s="23" t="str">
        <f t="shared" si="35"/>
        <v/>
      </c>
      <c r="V485" s="23" t="str">
        <f t="shared" si="36"/>
        <v/>
      </c>
    </row>
    <row r="486" spans="5:22" x14ac:dyDescent="0.25">
      <c r="E486" s="21" t="str">
        <f t="shared" si="37"/>
        <v/>
      </c>
      <c r="F486" s="21"/>
      <c r="G486" s="21"/>
      <c r="H486" s="21"/>
      <c r="I486" s="21"/>
      <c r="J486" s="21"/>
      <c r="K486" s="21"/>
      <c r="L486" s="16" t="str">
        <f t="shared" ca="1" si="33"/>
        <v/>
      </c>
      <c r="M486" s="22" t="str">
        <f t="shared" ca="1" si="34"/>
        <v/>
      </c>
      <c r="U486" s="23" t="str">
        <f t="shared" si="35"/>
        <v/>
      </c>
      <c r="V486" s="23" t="str">
        <f t="shared" si="36"/>
        <v/>
      </c>
    </row>
    <row r="487" spans="5:22" x14ac:dyDescent="0.25">
      <c r="E487" s="21" t="str">
        <f t="shared" si="37"/>
        <v/>
      </c>
      <c r="F487" s="21"/>
      <c r="G487" s="21"/>
      <c r="H487" s="21"/>
      <c r="I487" s="21"/>
      <c r="J487" s="21"/>
      <c r="K487" s="21"/>
      <c r="L487" s="16" t="str">
        <f t="shared" ca="1" si="33"/>
        <v/>
      </c>
      <c r="M487" s="22" t="str">
        <f t="shared" ca="1" si="34"/>
        <v/>
      </c>
      <c r="U487" s="23" t="str">
        <f t="shared" si="35"/>
        <v/>
      </c>
      <c r="V487" s="23" t="str">
        <f t="shared" si="36"/>
        <v/>
      </c>
    </row>
    <row r="488" spans="5:22" x14ac:dyDescent="0.25">
      <c r="E488" s="21" t="str">
        <f t="shared" si="37"/>
        <v/>
      </c>
      <c r="F488" s="21"/>
      <c r="G488" s="21"/>
      <c r="H488" s="21"/>
      <c r="I488" s="21"/>
      <c r="J488" s="21"/>
      <c r="K488" s="21"/>
      <c r="L488" s="16" t="str">
        <f t="shared" ca="1" si="33"/>
        <v/>
      </c>
      <c r="M488" s="22" t="str">
        <f t="shared" ca="1" si="34"/>
        <v/>
      </c>
      <c r="U488" s="23" t="str">
        <f t="shared" si="35"/>
        <v/>
      </c>
      <c r="V488" s="23" t="str">
        <f t="shared" si="36"/>
        <v/>
      </c>
    </row>
    <row r="489" spans="5:22" x14ac:dyDescent="0.25">
      <c r="E489" s="21" t="str">
        <f t="shared" si="37"/>
        <v/>
      </c>
      <c r="F489" s="21"/>
      <c r="G489" s="21"/>
      <c r="H489" s="21"/>
      <c r="I489" s="21"/>
      <c r="J489" s="21"/>
      <c r="K489" s="21"/>
      <c r="L489" s="16" t="str">
        <f t="shared" ca="1" si="33"/>
        <v/>
      </c>
      <c r="M489" s="22" t="str">
        <f t="shared" ca="1" si="34"/>
        <v/>
      </c>
      <c r="U489" s="23" t="str">
        <f t="shared" si="35"/>
        <v/>
      </c>
      <c r="V489" s="23" t="str">
        <f t="shared" si="36"/>
        <v/>
      </c>
    </row>
    <row r="490" spans="5:22" x14ac:dyDescent="0.25">
      <c r="E490" s="21" t="str">
        <f t="shared" si="37"/>
        <v/>
      </c>
      <c r="F490" s="21"/>
      <c r="G490" s="21"/>
      <c r="H490" s="21"/>
      <c r="I490" s="21"/>
      <c r="J490" s="21"/>
      <c r="K490" s="21"/>
      <c r="L490" s="16" t="str">
        <f t="shared" ca="1" si="33"/>
        <v/>
      </c>
      <c r="M490" s="22" t="str">
        <f t="shared" ca="1" si="34"/>
        <v/>
      </c>
      <c r="U490" s="23" t="str">
        <f t="shared" si="35"/>
        <v/>
      </c>
      <c r="V490" s="23" t="str">
        <f t="shared" si="36"/>
        <v/>
      </c>
    </row>
    <row r="491" spans="5:22" x14ac:dyDescent="0.25">
      <c r="E491" s="21" t="str">
        <f t="shared" si="37"/>
        <v/>
      </c>
      <c r="F491" s="21"/>
      <c r="G491" s="21"/>
      <c r="H491" s="21"/>
      <c r="I491" s="21"/>
      <c r="J491" s="21"/>
      <c r="K491" s="21"/>
      <c r="L491" s="16" t="str">
        <f t="shared" ca="1" si="33"/>
        <v/>
      </c>
      <c r="M491" s="22" t="str">
        <f t="shared" ca="1" si="34"/>
        <v/>
      </c>
      <c r="U491" s="23" t="str">
        <f t="shared" si="35"/>
        <v/>
      </c>
      <c r="V491" s="23" t="str">
        <f t="shared" si="36"/>
        <v/>
      </c>
    </row>
    <row r="492" spans="5:22" x14ac:dyDescent="0.25">
      <c r="E492" s="21" t="str">
        <f t="shared" si="37"/>
        <v/>
      </c>
      <c r="F492" s="21"/>
      <c r="G492" s="21"/>
      <c r="H492" s="21"/>
      <c r="I492" s="21"/>
      <c r="J492" s="21"/>
      <c r="K492" s="21"/>
      <c r="L492" s="16" t="str">
        <f t="shared" ca="1" si="33"/>
        <v/>
      </c>
      <c r="M492" s="22" t="str">
        <f t="shared" ca="1" si="34"/>
        <v/>
      </c>
      <c r="U492" s="23" t="str">
        <f t="shared" si="35"/>
        <v/>
      </c>
      <c r="V492" s="23" t="str">
        <f t="shared" si="36"/>
        <v/>
      </c>
    </row>
    <row r="493" spans="5:22" x14ac:dyDescent="0.25">
      <c r="E493" s="21" t="str">
        <f t="shared" si="37"/>
        <v/>
      </c>
      <c r="F493" s="21"/>
      <c r="G493" s="21"/>
      <c r="H493" s="21"/>
      <c r="I493" s="21"/>
      <c r="J493" s="21"/>
      <c r="K493" s="21"/>
      <c r="L493" s="16" t="str">
        <f t="shared" ca="1" si="33"/>
        <v/>
      </c>
      <c r="M493" s="22" t="str">
        <f t="shared" ca="1" si="34"/>
        <v/>
      </c>
      <c r="U493" s="23" t="str">
        <f t="shared" si="35"/>
        <v/>
      </c>
      <c r="V493" s="23" t="str">
        <f t="shared" si="36"/>
        <v/>
      </c>
    </row>
    <row r="494" spans="5:22" x14ac:dyDescent="0.25">
      <c r="E494" s="21" t="str">
        <f t="shared" si="37"/>
        <v/>
      </c>
      <c r="F494" s="21"/>
      <c r="G494" s="21"/>
      <c r="H494" s="21"/>
      <c r="I494" s="21"/>
      <c r="J494" s="21"/>
      <c r="K494" s="21"/>
      <c r="L494" s="16" t="str">
        <f t="shared" ca="1" si="33"/>
        <v/>
      </c>
      <c r="M494" s="22" t="str">
        <f t="shared" ca="1" si="34"/>
        <v/>
      </c>
      <c r="U494" s="23" t="str">
        <f t="shared" si="35"/>
        <v/>
      </c>
      <c r="V494" s="23" t="str">
        <f t="shared" si="36"/>
        <v/>
      </c>
    </row>
    <row r="495" spans="5:22" x14ac:dyDescent="0.25">
      <c r="E495" s="21" t="str">
        <f t="shared" si="37"/>
        <v/>
      </c>
      <c r="F495" s="21"/>
      <c r="G495" s="21"/>
      <c r="H495" s="21"/>
      <c r="I495" s="21"/>
      <c r="J495" s="21"/>
      <c r="K495" s="21"/>
      <c r="L495" s="16" t="str">
        <f t="shared" ca="1" si="33"/>
        <v/>
      </c>
      <c r="M495" s="22" t="str">
        <f t="shared" ca="1" si="34"/>
        <v/>
      </c>
      <c r="U495" s="23" t="str">
        <f t="shared" si="35"/>
        <v/>
      </c>
      <c r="V495" s="23" t="str">
        <f t="shared" si="36"/>
        <v/>
      </c>
    </row>
    <row r="496" spans="5:22" x14ac:dyDescent="0.25">
      <c r="E496" s="21" t="str">
        <f t="shared" si="37"/>
        <v/>
      </c>
      <c r="F496" s="21"/>
      <c r="G496" s="21"/>
      <c r="H496" s="21"/>
      <c r="I496" s="21"/>
      <c r="J496" s="21"/>
      <c r="K496" s="21"/>
      <c r="L496" s="16" t="str">
        <f t="shared" ca="1" si="33"/>
        <v/>
      </c>
      <c r="M496" s="22" t="str">
        <f t="shared" ca="1" si="34"/>
        <v/>
      </c>
      <c r="U496" s="23" t="str">
        <f t="shared" si="35"/>
        <v/>
      </c>
      <c r="V496" s="23" t="str">
        <f t="shared" si="36"/>
        <v/>
      </c>
    </row>
    <row r="497" spans="5:22" x14ac:dyDescent="0.25">
      <c r="E497" s="21" t="str">
        <f t="shared" si="37"/>
        <v/>
      </c>
      <c r="F497" s="21"/>
      <c r="G497" s="21"/>
      <c r="H497" s="21"/>
      <c r="I497" s="21"/>
      <c r="J497" s="21"/>
      <c r="K497" s="21"/>
      <c r="L497" s="16" t="str">
        <f t="shared" ca="1" si="33"/>
        <v/>
      </c>
      <c r="M497" s="22" t="str">
        <f t="shared" ca="1" si="34"/>
        <v/>
      </c>
      <c r="U497" s="23" t="str">
        <f t="shared" si="35"/>
        <v/>
      </c>
      <c r="V497" s="23" t="str">
        <f t="shared" si="36"/>
        <v/>
      </c>
    </row>
    <row r="498" spans="5:22" x14ac:dyDescent="0.25">
      <c r="E498" s="21" t="str">
        <f t="shared" si="37"/>
        <v/>
      </c>
      <c r="F498" s="21"/>
      <c r="G498" s="21"/>
      <c r="H498" s="21"/>
      <c r="I498" s="21"/>
      <c r="J498" s="21"/>
      <c r="K498" s="21"/>
      <c r="L498" s="16" t="str">
        <f t="shared" ca="1" si="33"/>
        <v/>
      </c>
      <c r="M498" s="22" t="str">
        <f t="shared" ca="1" si="34"/>
        <v/>
      </c>
      <c r="U498" s="23" t="str">
        <f t="shared" si="35"/>
        <v/>
      </c>
      <c r="V498" s="23" t="str">
        <f t="shared" si="36"/>
        <v/>
      </c>
    </row>
    <row r="499" spans="5:22" x14ac:dyDescent="0.25">
      <c r="E499" s="21" t="str">
        <f t="shared" si="37"/>
        <v/>
      </c>
      <c r="F499" s="21"/>
      <c r="G499" s="21"/>
      <c r="H499" s="21"/>
      <c r="I499" s="21"/>
      <c r="J499" s="21"/>
      <c r="K499" s="21"/>
      <c r="L499" s="16" t="str">
        <f t="shared" ca="1" si="33"/>
        <v/>
      </c>
      <c r="M499" s="22" t="str">
        <f t="shared" ca="1" si="34"/>
        <v/>
      </c>
      <c r="U499" s="23" t="str">
        <f t="shared" si="35"/>
        <v/>
      </c>
      <c r="V499" s="23" t="str">
        <f t="shared" si="36"/>
        <v/>
      </c>
    </row>
    <row r="500" spans="5:22" x14ac:dyDescent="0.25">
      <c r="E500" s="21" t="str">
        <f t="shared" si="37"/>
        <v/>
      </c>
      <c r="F500" s="21"/>
      <c r="G500" s="21"/>
      <c r="H500" s="21"/>
      <c r="I500" s="21"/>
      <c r="J500" s="21"/>
      <c r="K500" s="21"/>
      <c r="L500" s="16" t="str">
        <f t="shared" ca="1" si="33"/>
        <v/>
      </c>
      <c r="M500" s="22" t="str">
        <f t="shared" ca="1" si="34"/>
        <v/>
      </c>
      <c r="U500" s="23" t="str">
        <f t="shared" si="35"/>
        <v/>
      </c>
      <c r="V500" s="23" t="str">
        <f t="shared" si="36"/>
        <v/>
      </c>
    </row>
    <row r="501" spans="5:22" x14ac:dyDescent="0.25">
      <c r="E501" s="21" t="str">
        <f t="shared" si="37"/>
        <v/>
      </c>
      <c r="F501" s="21"/>
      <c r="G501" s="21"/>
      <c r="H501" s="21"/>
      <c r="I501" s="21"/>
      <c r="J501" s="21"/>
      <c r="K501" s="21"/>
      <c r="L501" s="16" t="str">
        <f t="shared" ca="1" si="33"/>
        <v/>
      </c>
      <c r="M501" s="22" t="str">
        <f t="shared" ca="1" si="34"/>
        <v/>
      </c>
      <c r="U501" s="23" t="str">
        <f t="shared" si="35"/>
        <v/>
      </c>
      <c r="V501" s="23" t="str">
        <f t="shared" si="36"/>
        <v/>
      </c>
    </row>
    <row r="502" spans="5:22" x14ac:dyDescent="0.25">
      <c r="E502" s="21" t="str">
        <f t="shared" si="37"/>
        <v/>
      </c>
      <c r="F502" s="21"/>
      <c r="G502" s="21"/>
      <c r="H502" s="21"/>
      <c r="I502" s="21"/>
      <c r="J502" s="21"/>
      <c r="K502" s="21"/>
      <c r="L502" s="16" t="str">
        <f t="shared" ca="1" si="33"/>
        <v/>
      </c>
      <c r="M502" s="22" t="str">
        <f t="shared" ca="1" si="34"/>
        <v/>
      </c>
      <c r="U502" s="23" t="str">
        <f t="shared" si="35"/>
        <v/>
      </c>
      <c r="V502" s="23" t="str">
        <f t="shared" si="36"/>
        <v/>
      </c>
    </row>
    <row r="503" spans="5:22" x14ac:dyDescent="0.25">
      <c r="E503" s="21" t="str">
        <f t="shared" si="37"/>
        <v/>
      </c>
      <c r="F503" s="21"/>
      <c r="G503" s="21"/>
      <c r="H503" s="21"/>
      <c r="I503" s="21"/>
      <c r="J503" s="21"/>
      <c r="K503" s="21"/>
      <c r="L503" s="16" t="str">
        <f t="shared" ca="1" si="33"/>
        <v/>
      </c>
      <c r="M503" s="22" t="str">
        <f t="shared" ca="1" si="34"/>
        <v/>
      </c>
      <c r="U503" s="23" t="str">
        <f t="shared" si="35"/>
        <v/>
      </c>
      <c r="V503" s="23" t="str">
        <f t="shared" si="36"/>
        <v/>
      </c>
    </row>
    <row r="504" spans="5:22" x14ac:dyDescent="0.25">
      <c r="E504" s="21" t="str">
        <f t="shared" si="37"/>
        <v/>
      </c>
      <c r="F504" s="21"/>
      <c r="G504" s="21"/>
      <c r="H504" s="21"/>
      <c r="I504" s="21"/>
      <c r="J504" s="21"/>
      <c r="K504" s="21"/>
      <c r="L504" s="16" t="str">
        <f t="shared" ca="1" si="33"/>
        <v/>
      </c>
      <c r="M504" s="22" t="str">
        <f t="shared" ca="1" si="34"/>
        <v/>
      </c>
      <c r="U504" s="23" t="str">
        <f t="shared" si="35"/>
        <v/>
      </c>
      <c r="V504" s="23" t="str">
        <f t="shared" si="36"/>
        <v/>
      </c>
    </row>
    <row r="505" spans="5:22" x14ac:dyDescent="0.25">
      <c r="E505" s="21" t="str">
        <f t="shared" si="37"/>
        <v/>
      </c>
      <c r="F505" s="21"/>
      <c r="G505" s="21"/>
      <c r="H505" s="21"/>
      <c r="I505" s="21"/>
      <c r="J505" s="21"/>
      <c r="K505" s="21"/>
      <c r="L505" s="16" t="str">
        <f t="shared" ca="1" si="33"/>
        <v/>
      </c>
      <c r="M505" s="22" t="str">
        <f t="shared" ca="1" si="34"/>
        <v/>
      </c>
      <c r="U505" s="23" t="str">
        <f t="shared" si="35"/>
        <v/>
      </c>
      <c r="V505" s="23" t="str">
        <f t="shared" si="36"/>
        <v/>
      </c>
    </row>
    <row r="506" spans="5:22" x14ac:dyDescent="0.25">
      <c r="E506" s="21" t="str">
        <f t="shared" si="37"/>
        <v/>
      </c>
      <c r="F506" s="21"/>
      <c r="G506" s="21"/>
      <c r="H506" s="21"/>
      <c r="I506" s="21"/>
      <c r="J506" s="21"/>
      <c r="K506" s="21"/>
      <c r="L506" s="16" t="str">
        <f t="shared" ca="1" si="33"/>
        <v/>
      </c>
      <c r="M506" s="22" t="str">
        <f t="shared" ca="1" si="34"/>
        <v/>
      </c>
      <c r="U506" s="23" t="str">
        <f t="shared" si="35"/>
        <v/>
      </c>
      <c r="V506" s="23" t="str">
        <f t="shared" si="36"/>
        <v/>
      </c>
    </row>
    <row r="507" spans="5:22" x14ac:dyDescent="0.25">
      <c r="E507" s="21" t="str">
        <f t="shared" si="37"/>
        <v/>
      </c>
      <c r="F507" s="21"/>
      <c r="G507" s="21"/>
      <c r="H507" s="21"/>
      <c r="I507" s="21"/>
      <c r="J507" s="21"/>
      <c r="K507" s="21"/>
      <c r="L507" s="16" t="str">
        <f t="shared" ca="1" si="33"/>
        <v/>
      </c>
      <c r="M507" s="22" t="str">
        <f t="shared" ca="1" si="34"/>
        <v/>
      </c>
      <c r="U507" s="23" t="str">
        <f t="shared" si="35"/>
        <v/>
      </c>
      <c r="V507" s="23" t="str">
        <f t="shared" si="36"/>
        <v/>
      </c>
    </row>
    <row r="508" spans="5:22" x14ac:dyDescent="0.25">
      <c r="E508" s="21" t="str">
        <f t="shared" si="37"/>
        <v/>
      </c>
      <c r="F508" s="21"/>
      <c r="G508" s="21"/>
      <c r="H508" s="21"/>
      <c r="I508" s="21"/>
      <c r="J508" s="21"/>
      <c r="K508" s="21"/>
      <c r="L508" s="16" t="str">
        <f t="shared" ca="1" si="33"/>
        <v/>
      </c>
      <c r="M508" s="22" t="str">
        <f t="shared" ca="1" si="34"/>
        <v/>
      </c>
      <c r="U508" s="23" t="str">
        <f t="shared" si="35"/>
        <v/>
      </c>
      <c r="V508" s="23" t="str">
        <f t="shared" si="36"/>
        <v/>
      </c>
    </row>
    <row r="509" spans="5:22" x14ac:dyDescent="0.25">
      <c r="E509" s="21" t="str">
        <f t="shared" si="37"/>
        <v/>
      </c>
      <c r="F509" s="21"/>
      <c r="G509" s="21"/>
      <c r="H509" s="21"/>
      <c r="I509" s="21"/>
      <c r="J509" s="21"/>
      <c r="K509" s="21"/>
      <c r="L509" s="16" t="str">
        <f t="shared" ref="L509:L572" ca="1" si="38">IF(AND(C509&lt;&gt;"",C509&lt;&gt;U509),TODAY(),IF(C509="","",L509))</f>
        <v/>
      </c>
      <c r="M509" s="22" t="str">
        <f t="shared" ref="M509:M572" ca="1" si="39">IF(AND(C509&lt;&gt;"",C509&lt;&gt;V509),NOW(),IF(C509="","",M509))</f>
        <v/>
      </c>
      <c r="U509" s="23" t="str">
        <f t="shared" si="35"/>
        <v/>
      </c>
      <c r="V509" s="23" t="str">
        <f t="shared" si="36"/>
        <v/>
      </c>
    </row>
    <row r="510" spans="5:22" x14ac:dyDescent="0.25">
      <c r="E510" s="21" t="str">
        <f t="shared" si="37"/>
        <v/>
      </c>
      <c r="F510" s="21"/>
      <c r="G510" s="21"/>
      <c r="H510" s="21"/>
      <c r="I510" s="21"/>
      <c r="J510" s="21"/>
      <c r="K510" s="21"/>
      <c r="L510" s="16" t="str">
        <f t="shared" ca="1" si="38"/>
        <v/>
      </c>
      <c r="M510" s="22" t="str">
        <f t="shared" ca="1" si="39"/>
        <v/>
      </c>
      <c r="U510" s="23" t="str">
        <f t="shared" si="35"/>
        <v/>
      </c>
      <c r="V510" s="23" t="str">
        <f t="shared" si="36"/>
        <v/>
      </c>
    </row>
    <row r="511" spans="5:22" x14ac:dyDescent="0.25">
      <c r="E511" s="21" t="str">
        <f t="shared" si="37"/>
        <v/>
      </c>
      <c r="F511" s="21"/>
      <c r="G511" s="21"/>
      <c r="H511" s="21"/>
      <c r="I511" s="21"/>
      <c r="J511" s="21"/>
      <c r="K511" s="21"/>
      <c r="L511" s="16" t="str">
        <f t="shared" ca="1" si="38"/>
        <v/>
      </c>
      <c r="M511" s="22" t="str">
        <f t="shared" ca="1" si="39"/>
        <v/>
      </c>
      <c r="U511" s="23" t="str">
        <f t="shared" si="35"/>
        <v/>
      </c>
      <c r="V511" s="23" t="str">
        <f t="shared" si="36"/>
        <v/>
      </c>
    </row>
    <row r="512" spans="5:22" x14ac:dyDescent="0.25">
      <c r="E512" s="21" t="str">
        <f t="shared" si="37"/>
        <v/>
      </c>
      <c r="F512" s="21"/>
      <c r="G512" s="21"/>
      <c r="H512" s="21"/>
      <c r="I512" s="21"/>
      <c r="J512" s="21"/>
      <c r="K512" s="21"/>
      <c r="L512" s="16" t="str">
        <f t="shared" ca="1" si="38"/>
        <v/>
      </c>
      <c r="M512" s="22" t="str">
        <f t="shared" ca="1" si="39"/>
        <v/>
      </c>
      <c r="U512" s="23" t="str">
        <f t="shared" si="35"/>
        <v/>
      </c>
      <c r="V512" s="23" t="str">
        <f t="shared" si="36"/>
        <v/>
      </c>
    </row>
    <row r="513" spans="5:22" x14ac:dyDescent="0.25">
      <c r="E513" s="21" t="str">
        <f t="shared" si="37"/>
        <v/>
      </c>
      <c r="F513" s="21"/>
      <c r="G513" s="21"/>
      <c r="H513" s="21"/>
      <c r="I513" s="21"/>
      <c r="J513" s="21"/>
      <c r="K513" s="21"/>
      <c r="L513" s="16" t="str">
        <f t="shared" ca="1" si="38"/>
        <v/>
      </c>
      <c r="M513" s="22" t="str">
        <f t="shared" ca="1" si="39"/>
        <v/>
      </c>
      <c r="U513" s="23" t="str">
        <f t="shared" si="35"/>
        <v/>
      </c>
      <c r="V513" s="23" t="str">
        <f t="shared" si="36"/>
        <v/>
      </c>
    </row>
    <row r="514" spans="5:22" x14ac:dyDescent="0.25">
      <c r="E514" s="21" t="str">
        <f t="shared" si="37"/>
        <v/>
      </c>
      <c r="F514" s="21"/>
      <c r="G514" s="21"/>
      <c r="H514" s="21"/>
      <c r="I514" s="21"/>
      <c r="J514" s="21"/>
      <c r="K514" s="21"/>
      <c r="L514" s="16" t="str">
        <f t="shared" ca="1" si="38"/>
        <v/>
      </c>
      <c r="M514" s="22" t="str">
        <f t="shared" ca="1" si="39"/>
        <v/>
      </c>
      <c r="U514" s="23" t="str">
        <f t="shared" si="35"/>
        <v/>
      </c>
      <c r="V514" s="23" t="str">
        <f t="shared" si="36"/>
        <v/>
      </c>
    </row>
    <row r="515" spans="5:22" x14ac:dyDescent="0.25">
      <c r="E515" s="21" t="str">
        <f t="shared" si="37"/>
        <v/>
      </c>
      <c r="F515" s="21"/>
      <c r="G515" s="21"/>
      <c r="H515" s="21"/>
      <c r="I515" s="21"/>
      <c r="J515" s="21"/>
      <c r="K515" s="21"/>
      <c r="L515" s="16" t="str">
        <f t="shared" ca="1" si="38"/>
        <v/>
      </c>
      <c r="M515" s="22" t="str">
        <f t="shared" ca="1" si="39"/>
        <v/>
      </c>
      <c r="U515" s="23" t="str">
        <f t="shared" si="35"/>
        <v/>
      </c>
      <c r="V515" s="23" t="str">
        <f t="shared" si="36"/>
        <v/>
      </c>
    </row>
    <row r="516" spans="5:22" x14ac:dyDescent="0.25">
      <c r="E516" s="21" t="str">
        <f t="shared" si="37"/>
        <v/>
      </c>
      <c r="F516" s="21"/>
      <c r="G516" s="21"/>
      <c r="H516" s="21"/>
      <c r="I516" s="21"/>
      <c r="J516" s="21"/>
      <c r="K516" s="21"/>
      <c r="L516" s="16" t="str">
        <f t="shared" ca="1" si="38"/>
        <v/>
      </c>
      <c r="M516" s="22" t="str">
        <f t="shared" ca="1" si="39"/>
        <v/>
      </c>
      <c r="U516" s="23" t="str">
        <f t="shared" ref="U516:U579" si="40">IF(C516="","",IF(OR(L516="",AND(ISNUMBER(U516),C516=U516)),U516,C516))</f>
        <v/>
      </c>
      <c r="V516" s="23" t="str">
        <f t="shared" ref="V516:V579" si="41">IF(C516="","",IF(OR(M516="",AND(ISNUMBER(V516),C516=V516)),V516,C516))</f>
        <v/>
      </c>
    </row>
    <row r="517" spans="5:22" x14ac:dyDescent="0.25">
      <c r="E517" s="21" t="str">
        <f t="shared" si="37"/>
        <v/>
      </c>
      <c r="F517" s="21"/>
      <c r="G517" s="21"/>
      <c r="H517" s="21"/>
      <c r="I517" s="21"/>
      <c r="J517" s="21"/>
      <c r="K517" s="21"/>
      <c r="L517" s="16" t="str">
        <f t="shared" ca="1" si="38"/>
        <v/>
      </c>
      <c r="M517" s="22" t="str">
        <f t="shared" ca="1" si="39"/>
        <v/>
      </c>
      <c r="U517" s="23" t="str">
        <f t="shared" si="40"/>
        <v/>
      </c>
      <c r="V517" s="23" t="str">
        <f t="shared" si="41"/>
        <v/>
      </c>
    </row>
    <row r="518" spans="5:22" x14ac:dyDescent="0.25">
      <c r="E518" s="21" t="str">
        <f t="shared" si="37"/>
        <v/>
      </c>
      <c r="F518" s="21"/>
      <c r="G518" s="21"/>
      <c r="H518" s="21"/>
      <c r="I518" s="21"/>
      <c r="J518" s="21"/>
      <c r="K518" s="21"/>
      <c r="L518" s="16" t="str">
        <f t="shared" ca="1" si="38"/>
        <v/>
      </c>
      <c r="M518" s="22" t="str">
        <f t="shared" ca="1" si="39"/>
        <v/>
      </c>
      <c r="U518" s="23" t="str">
        <f t="shared" si="40"/>
        <v/>
      </c>
      <c r="V518" s="23" t="str">
        <f t="shared" si="41"/>
        <v/>
      </c>
    </row>
    <row r="519" spans="5:22" x14ac:dyDescent="0.25">
      <c r="E519" s="21" t="str">
        <f t="shared" si="37"/>
        <v/>
      </c>
      <c r="F519" s="21"/>
      <c r="G519" s="21"/>
      <c r="H519" s="21"/>
      <c r="I519" s="21"/>
      <c r="J519" s="21"/>
      <c r="K519" s="21"/>
      <c r="L519" s="16" t="str">
        <f t="shared" ca="1" si="38"/>
        <v/>
      </c>
      <c r="M519" s="22" t="str">
        <f t="shared" ca="1" si="39"/>
        <v/>
      </c>
      <c r="U519" s="23" t="str">
        <f t="shared" si="40"/>
        <v/>
      </c>
      <c r="V519" s="23" t="str">
        <f t="shared" si="41"/>
        <v/>
      </c>
    </row>
    <row r="520" spans="5:22" x14ac:dyDescent="0.25">
      <c r="E520" s="21" t="str">
        <f t="shared" si="37"/>
        <v/>
      </c>
      <c r="F520" s="21"/>
      <c r="G520" s="21"/>
      <c r="H520" s="21"/>
      <c r="I520" s="21"/>
      <c r="J520" s="21"/>
      <c r="K520" s="21"/>
      <c r="L520" s="16" t="str">
        <f t="shared" ca="1" si="38"/>
        <v/>
      </c>
      <c r="M520" s="22" t="str">
        <f t="shared" ca="1" si="39"/>
        <v/>
      </c>
      <c r="U520" s="23" t="str">
        <f t="shared" si="40"/>
        <v/>
      </c>
      <c r="V520" s="23" t="str">
        <f t="shared" si="41"/>
        <v/>
      </c>
    </row>
    <row r="521" spans="5:22" x14ac:dyDescent="0.25">
      <c r="E521" s="21" t="str">
        <f t="shared" si="37"/>
        <v/>
      </c>
      <c r="F521" s="21"/>
      <c r="G521" s="21"/>
      <c r="H521" s="21"/>
      <c r="I521" s="21"/>
      <c r="J521" s="21"/>
      <c r="K521" s="21"/>
      <c r="L521" s="16" t="str">
        <f t="shared" ca="1" si="38"/>
        <v/>
      </c>
      <c r="M521" s="22" t="str">
        <f t="shared" ca="1" si="39"/>
        <v/>
      </c>
      <c r="U521" s="23" t="str">
        <f t="shared" si="40"/>
        <v/>
      </c>
      <c r="V521" s="23" t="str">
        <f t="shared" si="41"/>
        <v/>
      </c>
    </row>
    <row r="522" spans="5:22" x14ac:dyDescent="0.25">
      <c r="E522" s="21" t="str">
        <f t="shared" si="37"/>
        <v/>
      </c>
      <c r="F522" s="21"/>
      <c r="G522" s="21"/>
      <c r="H522" s="21"/>
      <c r="I522" s="21"/>
      <c r="J522" s="21"/>
      <c r="K522" s="21"/>
      <c r="L522" s="16" t="str">
        <f t="shared" ca="1" si="38"/>
        <v/>
      </c>
      <c r="M522" s="22" t="str">
        <f t="shared" ca="1" si="39"/>
        <v/>
      </c>
      <c r="U522" s="23" t="str">
        <f t="shared" si="40"/>
        <v/>
      </c>
      <c r="V522" s="23" t="str">
        <f t="shared" si="41"/>
        <v/>
      </c>
    </row>
    <row r="523" spans="5:22" x14ac:dyDescent="0.25">
      <c r="E523" s="21" t="str">
        <f t="shared" si="37"/>
        <v/>
      </c>
      <c r="F523" s="21"/>
      <c r="G523" s="21"/>
      <c r="H523" s="21"/>
      <c r="I523" s="21"/>
      <c r="J523" s="21"/>
      <c r="K523" s="21"/>
      <c r="L523" s="16" t="str">
        <f t="shared" ca="1" si="38"/>
        <v/>
      </c>
      <c r="M523" s="22" t="str">
        <f t="shared" ca="1" si="39"/>
        <v/>
      </c>
      <c r="U523" s="23" t="str">
        <f t="shared" si="40"/>
        <v/>
      </c>
      <c r="V523" s="23" t="str">
        <f t="shared" si="41"/>
        <v/>
      </c>
    </row>
    <row r="524" spans="5:22" x14ac:dyDescent="0.25">
      <c r="E524" s="21" t="str">
        <f t="shared" si="37"/>
        <v/>
      </c>
      <c r="F524" s="21"/>
      <c r="G524" s="21"/>
      <c r="H524" s="21"/>
      <c r="I524" s="21"/>
      <c r="J524" s="21"/>
      <c r="K524" s="21"/>
      <c r="L524" s="16" t="str">
        <f t="shared" ca="1" si="38"/>
        <v/>
      </c>
      <c r="M524" s="22" t="str">
        <f t="shared" ca="1" si="39"/>
        <v/>
      </c>
      <c r="U524" s="23" t="str">
        <f t="shared" si="40"/>
        <v/>
      </c>
      <c r="V524" s="23" t="str">
        <f t="shared" si="41"/>
        <v/>
      </c>
    </row>
    <row r="525" spans="5:22" x14ac:dyDescent="0.25">
      <c r="E525" s="21" t="str">
        <f t="shared" si="37"/>
        <v/>
      </c>
      <c r="F525" s="21"/>
      <c r="G525" s="21"/>
      <c r="H525" s="21"/>
      <c r="I525" s="21"/>
      <c r="J525" s="21"/>
      <c r="K525" s="21"/>
      <c r="L525" s="16" t="str">
        <f t="shared" ca="1" si="38"/>
        <v/>
      </c>
      <c r="M525" s="22" t="str">
        <f t="shared" ca="1" si="39"/>
        <v/>
      </c>
      <c r="U525" s="23" t="str">
        <f t="shared" si="40"/>
        <v/>
      </c>
      <c r="V525" s="23" t="str">
        <f t="shared" si="41"/>
        <v/>
      </c>
    </row>
    <row r="526" spans="5:22" x14ac:dyDescent="0.25">
      <c r="E526" s="21" t="str">
        <f t="shared" si="37"/>
        <v/>
      </c>
      <c r="F526" s="21"/>
      <c r="G526" s="21"/>
      <c r="H526" s="21"/>
      <c r="I526" s="21"/>
      <c r="J526" s="21"/>
      <c r="K526" s="21"/>
      <c r="L526" s="16" t="str">
        <f t="shared" ca="1" si="38"/>
        <v/>
      </c>
      <c r="M526" s="22" t="str">
        <f t="shared" ca="1" si="39"/>
        <v/>
      </c>
      <c r="U526" s="23" t="str">
        <f t="shared" si="40"/>
        <v/>
      </c>
      <c r="V526" s="23" t="str">
        <f t="shared" si="41"/>
        <v/>
      </c>
    </row>
    <row r="527" spans="5:22" x14ac:dyDescent="0.25">
      <c r="E527" s="21" t="str">
        <f t="shared" si="37"/>
        <v/>
      </c>
      <c r="F527" s="21"/>
      <c r="G527" s="21"/>
      <c r="H527" s="21"/>
      <c r="I527" s="21"/>
      <c r="J527" s="21"/>
      <c r="K527" s="21"/>
      <c r="L527" s="16" t="str">
        <f t="shared" ca="1" si="38"/>
        <v/>
      </c>
      <c r="M527" s="22" t="str">
        <f t="shared" ca="1" si="39"/>
        <v/>
      </c>
      <c r="U527" s="23" t="str">
        <f t="shared" si="40"/>
        <v/>
      </c>
      <c r="V527" s="23" t="str">
        <f t="shared" si="41"/>
        <v/>
      </c>
    </row>
    <row r="528" spans="5:22" x14ac:dyDescent="0.25">
      <c r="E528" s="21" t="str">
        <f t="shared" si="37"/>
        <v/>
      </c>
      <c r="F528" s="21"/>
      <c r="G528" s="21"/>
      <c r="H528" s="21"/>
      <c r="I528" s="21"/>
      <c r="J528" s="21"/>
      <c r="K528" s="21"/>
      <c r="L528" s="16" t="str">
        <f t="shared" ca="1" si="38"/>
        <v/>
      </c>
      <c r="M528" s="22" t="str">
        <f t="shared" ca="1" si="39"/>
        <v/>
      </c>
      <c r="U528" s="23" t="str">
        <f t="shared" si="40"/>
        <v/>
      </c>
      <c r="V528" s="23" t="str">
        <f t="shared" si="41"/>
        <v/>
      </c>
    </row>
    <row r="529" spans="5:22" x14ac:dyDescent="0.25">
      <c r="E529" s="21" t="str">
        <f t="shared" si="37"/>
        <v/>
      </c>
      <c r="F529" s="21"/>
      <c r="G529" s="21"/>
      <c r="H529" s="21"/>
      <c r="I529" s="21"/>
      <c r="J529" s="21"/>
      <c r="K529" s="21"/>
      <c r="L529" s="16" t="str">
        <f t="shared" ca="1" si="38"/>
        <v/>
      </c>
      <c r="M529" s="22" t="str">
        <f t="shared" ca="1" si="39"/>
        <v/>
      </c>
      <c r="U529" s="23" t="str">
        <f t="shared" si="40"/>
        <v/>
      </c>
      <c r="V529" s="23" t="str">
        <f t="shared" si="41"/>
        <v/>
      </c>
    </row>
    <row r="530" spans="5:22" x14ac:dyDescent="0.25">
      <c r="E530" s="21" t="str">
        <f t="shared" si="37"/>
        <v/>
      </c>
      <c r="F530" s="21"/>
      <c r="G530" s="21"/>
      <c r="H530" s="21"/>
      <c r="I530" s="21"/>
      <c r="J530" s="21"/>
      <c r="K530" s="21"/>
      <c r="L530" s="16" t="str">
        <f t="shared" ca="1" si="38"/>
        <v/>
      </c>
      <c r="M530" s="22" t="str">
        <f t="shared" ca="1" si="39"/>
        <v/>
      </c>
      <c r="U530" s="23" t="str">
        <f t="shared" si="40"/>
        <v/>
      </c>
      <c r="V530" s="23" t="str">
        <f t="shared" si="41"/>
        <v/>
      </c>
    </row>
    <row r="531" spans="5:22" x14ac:dyDescent="0.25">
      <c r="E531" s="21" t="str">
        <f t="shared" si="37"/>
        <v/>
      </c>
      <c r="F531" s="21"/>
      <c r="G531" s="21"/>
      <c r="H531" s="21"/>
      <c r="I531" s="21"/>
      <c r="J531" s="21"/>
      <c r="K531" s="21"/>
      <c r="L531" s="16" t="str">
        <f t="shared" ca="1" si="38"/>
        <v/>
      </c>
      <c r="M531" s="22" t="str">
        <f t="shared" ca="1" si="39"/>
        <v/>
      </c>
      <c r="U531" s="23" t="str">
        <f t="shared" si="40"/>
        <v/>
      </c>
      <c r="V531" s="23" t="str">
        <f t="shared" si="41"/>
        <v/>
      </c>
    </row>
    <row r="532" spans="5:22" x14ac:dyDescent="0.25">
      <c r="E532" s="21" t="str">
        <f t="shared" si="37"/>
        <v/>
      </c>
      <c r="F532" s="21"/>
      <c r="G532" s="21"/>
      <c r="H532" s="21"/>
      <c r="I532" s="21"/>
      <c r="J532" s="21"/>
      <c r="K532" s="21"/>
      <c r="L532" s="16" t="str">
        <f t="shared" ca="1" si="38"/>
        <v/>
      </c>
      <c r="M532" s="22" t="str">
        <f t="shared" ca="1" si="39"/>
        <v/>
      </c>
      <c r="U532" s="23" t="str">
        <f t="shared" si="40"/>
        <v/>
      </c>
      <c r="V532" s="23" t="str">
        <f t="shared" si="41"/>
        <v/>
      </c>
    </row>
    <row r="533" spans="5:22" x14ac:dyDescent="0.25">
      <c r="E533" s="21" t="str">
        <f t="shared" si="37"/>
        <v/>
      </c>
      <c r="F533" s="21"/>
      <c r="G533" s="21"/>
      <c r="H533" s="21"/>
      <c r="I533" s="21"/>
      <c r="J533" s="21"/>
      <c r="K533" s="21"/>
      <c r="L533" s="16" t="str">
        <f t="shared" ca="1" si="38"/>
        <v/>
      </c>
      <c r="M533" s="22" t="str">
        <f t="shared" ca="1" si="39"/>
        <v/>
      </c>
      <c r="U533" s="23" t="str">
        <f t="shared" si="40"/>
        <v/>
      </c>
      <c r="V533" s="23" t="str">
        <f t="shared" si="41"/>
        <v/>
      </c>
    </row>
    <row r="534" spans="5:22" x14ac:dyDescent="0.25">
      <c r="E534" s="21" t="str">
        <f t="shared" si="37"/>
        <v/>
      </c>
      <c r="F534" s="21"/>
      <c r="G534" s="21"/>
      <c r="H534" s="21"/>
      <c r="I534" s="21"/>
      <c r="J534" s="21"/>
      <c r="K534" s="21"/>
      <c r="L534" s="16" t="str">
        <f t="shared" ca="1" si="38"/>
        <v/>
      </c>
      <c r="M534" s="22" t="str">
        <f t="shared" ca="1" si="39"/>
        <v/>
      </c>
      <c r="U534" s="23" t="str">
        <f t="shared" si="40"/>
        <v/>
      </c>
      <c r="V534" s="23" t="str">
        <f t="shared" si="41"/>
        <v/>
      </c>
    </row>
    <row r="535" spans="5:22" x14ac:dyDescent="0.25">
      <c r="E535" s="21" t="str">
        <f t="shared" si="37"/>
        <v/>
      </c>
      <c r="F535" s="21"/>
      <c r="G535" s="21"/>
      <c r="H535" s="21"/>
      <c r="I535" s="21"/>
      <c r="J535" s="21"/>
      <c r="K535" s="21"/>
      <c r="L535" s="16" t="str">
        <f t="shared" ca="1" si="38"/>
        <v/>
      </c>
      <c r="M535" s="22" t="str">
        <f t="shared" ca="1" si="39"/>
        <v/>
      </c>
      <c r="U535" s="23" t="str">
        <f t="shared" si="40"/>
        <v/>
      </c>
      <c r="V535" s="23" t="str">
        <f t="shared" si="41"/>
        <v/>
      </c>
    </row>
    <row r="536" spans="5:22" x14ac:dyDescent="0.25">
      <c r="E536" s="21" t="str">
        <f t="shared" si="37"/>
        <v/>
      </c>
      <c r="F536" s="21"/>
      <c r="G536" s="21"/>
      <c r="H536" s="21"/>
      <c r="I536" s="21"/>
      <c r="J536" s="21"/>
      <c r="K536" s="21"/>
      <c r="L536" s="16" t="str">
        <f t="shared" ca="1" si="38"/>
        <v/>
      </c>
      <c r="M536" s="22" t="str">
        <f t="shared" ca="1" si="39"/>
        <v/>
      </c>
      <c r="U536" s="23" t="str">
        <f t="shared" si="40"/>
        <v/>
      </c>
      <c r="V536" s="23" t="str">
        <f t="shared" si="41"/>
        <v/>
      </c>
    </row>
    <row r="537" spans="5:22" x14ac:dyDescent="0.25">
      <c r="E537" s="21" t="str">
        <f t="shared" si="37"/>
        <v/>
      </c>
      <c r="F537" s="21"/>
      <c r="G537" s="21"/>
      <c r="H537" s="21"/>
      <c r="I537" s="21"/>
      <c r="J537" s="21"/>
      <c r="K537" s="21"/>
      <c r="L537" s="16" t="str">
        <f t="shared" ca="1" si="38"/>
        <v/>
      </c>
      <c r="M537" s="22" t="str">
        <f t="shared" ca="1" si="39"/>
        <v/>
      </c>
      <c r="U537" s="23" t="str">
        <f t="shared" si="40"/>
        <v/>
      </c>
      <c r="V537" s="23" t="str">
        <f t="shared" si="41"/>
        <v/>
      </c>
    </row>
    <row r="538" spans="5:22" x14ac:dyDescent="0.25">
      <c r="E538" s="21" t="str">
        <f t="shared" si="37"/>
        <v/>
      </c>
      <c r="F538" s="21"/>
      <c r="G538" s="21"/>
      <c r="H538" s="21"/>
      <c r="I538" s="21"/>
      <c r="J538" s="21"/>
      <c r="K538" s="21"/>
      <c r="L538" s="16" t="str">
        <f t="shared" ca="1" si="38"/>
        <v/>
      </c>
      <c r="M538" s="22" t="str">
        <f t="shared" ca="1" si="39"/>
        <v/>
      </c>
      <c r="U538" s="23" t="str">
        <f t="shared" si="40"/>
        <v/>
      </c>
      <c r="V538" s="23" t="str">
        <f t="shared" si="41"/>
        <v/>
      </c>
    </row>
    <row r="539" spans="5:22" x14ac:dyDescent="0.25">
      <c r="E539" s="21" t="str">
        <f t="shared" si="37"/>
        <v/>
      </c>
      <c r="F539" s="21"/>
      <c r="G539" s="21"/>
      <c r="H539" s="21"/>
      <c r="I539" s="21"/>
      <c r="J539" s="21"/>
      <c r="K539" s="21"/>
      <c r="L539" s="16" t="str">
        <f t="shared" ca="1" si="38"/>
        <v/>
      </c>
      <c r="M539" s="22" t="str">
        <f t="shared" ca="1" si="39"/>
        <v/>
      </c>
      <c r="U539" s="23" t="str">
        <f t="shared" si="40"/>
        <v/>
      </c>
      <c r="V539" s="23" t="str">
        <f t="shared" si="41"/>
        <v/>
      </c>
    </row>
    <row r="540" spans="5:22" x14ac:dyDescent="0.25">
      <c r="E540" s="21" t="str">
        <f t="shared" si="37"/>
        <v/>
      </c>
      <c r="F540" s="21"/>
      <c r="G540" s="21"/>
      <c r="H540" s="21"/>
      <c r="I540" s="21"/>
      <c r="J540" s="21"/>
      <c r="K540" s="21"/>
      <c r="L540" s="16" t="str">
        <f t="shared" ca="1" si="38"/>
        <v/>
      </c>
      <c r="M540" s="22" t="str">
        <f t="shared" ca="1" si="39"/>
        <v/>
      </c>
      <c r="U540" s="23" t="str">
        <f t="shared" si="40"/>
        <v/>
      </c>
      <c r="V540" s="23" t="str">
        <f t="shared" si="41"/>
        <v/>
      </c>
    </row>
    <row r="541" spans="5:22" x14ac:dyDescent="0.25">
      <c r="E541" s="21" t="str">
        <f t="shared" si="37"/>
        <v/>
      </c>
      <c r="F541" s="21"/>
      <c r="G541" s="21"/>
      <c r="H541" s="21"/>
      <c r="I541" s="21"/>
      <c r="J541" s="21"/>
      <c r="K541" s="21"/>
      <c r="L541" s="16" t="str">
        <f t="shared" ca="1" si="38"/>
        <v/>
      </c>
      <c r="M541" s="22" t="str">
        <f t="shared" ca="1" si="39"/>
        <v/>
      </c>
      <c r="U541" s="23" t="str">
        <f t="shared" si="40"/>
        <v/>
      </c>
      <c r="V541" s="23" t="str">
        <f t="shared" si="41"/>
        <v/>
      </c>
    </row>
    <row r="542" spans="5:22" x14ac:dyDescent="0.25">
      <c r="E542" s="21" t="str">
        <f t="shared" si="37"/>
        <v/>
      </c>
      <c r="F542" s="21"/>
      <c r="G542" s="21"/>
      <c r="H542" s="21"/>
      <c r="I542" s="21"/>
      <c r="J542" s="21"/>
      <c r="K542" s="21"/>
      <c r="L542" s="16" t="str">
        <f t="shared" ca="1" si="38"/>
        <v/>
      </c>
      <c r="M542" s="22" t="str">
        <f t="shared" ca="1" si="39"/>
        <v/>
      </c>
      <c r="U542" s="23" t="str">
        <f t="shared" si="40"/>
        <v/>
      </c>
      <c r="V542" s="23" t="str">
        <f t="shared" si="41"/>
        <v/>
      </c>
    </row>
    <row r="543" spans="5:22" x14ac:dyDescent="0.25">
      <c r="E543" s="21" t="str">
        <f t="shared" si="37"/>
        <v/>
      </c>
      <c r="F543" s="21"/>
      <c r="G543" s="21"/>
      <c r="H543" s="21"/>
      <c r="I543" s="21"/>
      <c r="J543" s="21"/>
      <c r="K543" s="21"/>
      <c r="L543" s="16" t="str">
        <f t="shared" ca="1" si="38"/>
        <v/>
      </c>
      <c r="M543" s="22" t="str">
        <f t="shared" ca="1" si="39"/>
        <v/>
      </c>
      <c r="U543" s="23" t="str">
        <f t="shared" si="40"/>
        <v/>
      </c>
      <c r="V543" s="23" t="str">
        <f t="shared" si="41"/>
        <v/>
      </c>
    </row>
    <row r="544" spans="5:22" x14ac:dyDescent="0.25">
      <c r="E544" s="21" t="str">
        <f t="shared" si="37"/>
        <v/>
      </c>
      <c r="F544" s="21"/>
      <c r="G544" s="21"/>
      <c r="H544" s="21"/>
      <c r="I544" s="21"/>
      <c r="J544" s="21"/>
      <c r="K544" s="21"/>
      <c r="L544" s="16" t="str">
        <f t="shared" ca="1" si="38"/>
        <v/>
      </c>
      <c r="M544" s="22" t="str">
        <f t="shared" ca="1" si="39"/>
        <v/>
      </c>
      <c r="U544" s="23" t="str">
        <f t="shared" si="40"/>
        <v/>
      </c>
      <c r="V544" s="23" t="str">
        <f t="shared" si="41"/>
        <v/>
      </c>
    </row>
    <row r="545" spans="5:22" x14ac:dyDescent="0.25">
      <c r="E545" s="21" t="str">
        <f t="shared" si="37"/>
        <v/>
      </c>
      <c r="F545" s="21"/>
      <c r="G545" s="21"/>
      <c r="H545" s="21"/>
      <c r="I545" s="21"/>
      <c r="J545" s="21"/>
      <c r="K545" s="21"/>
      <c r="L545" s="16" t="str">
        <f t="shared" ca="1" si="38"/>
        <v/>
      </c>
      <c r="M545" s="22" t="str">
        <f t="shared" ca="1" si="39"/>
        <v/>
      </c>
      <c r="U545" s="23" t="str">
        <f t="shared" si="40"/>
        <v/>
      </c>
      <c r="V545" s="23" t="str">
        <f t="shared" si="41"/>
        <v/>
      </c>
    </row>
    <row r="546" spans="5:22" x14ac:dyDescent="0.25">
      <c r="E546" s="21" t="str">
        <f t="shared" si="37"/>
        <v/>
      </c>
      <c r="F546" s="21"/>
      <c r="G546" s="21"/>
      <c r="H546" s="21"/>
      <c r="I546" s="21"/>
      <c r="J546" s="21"/>
      <c r="K546" s="21"/>
      <c r="L546" s="16" t="str">
        <f t="shared" ca="1" si="38"/>
        <v/>
      </c>
      <c r="M546" s="22" t="str">
        <f t="shared" ca="1" si="39"/>
        <v/>
      </c>
      <c r="U546" s="23" t="str">
        <f t="shared" si="40"/>
        <v/>
      </c>
      <c r="V546" s="23" t="str">
        <f t="shared" si="41"/>
        <v/>
      </c>
    </row>
    <row r="547" spans="5:22" x14ac:dyDescent="0.25">
      <c r="E547" s="21" t="str">
        <f t="shared" si="37"/>
        <v/>
      </c>
      <c r="F547" s="21"/>
      <c r="G547" s="21"/>
      <c r="H547" s="21"/>
      <c r="I547" s="21"/>
      <c r="J547" s="21"/>
      <c r="K547" s="21"/>
      <c r="L547" s="16" t="str">
        <f t="shared" ca="1" si="38"/>
        <v/>
      </c>
      <c r="M547" s="22" t="str">
        <f t="shared" ca="1" si="39"/>
        <v/>
      </c>
      <c r="U547" s="23" t="str">
        <f t="shared" si="40"/>
        <v/>
      </c>
      <c r="V547" s="23" t="str">
        <f t="shared" si="41"/>
        <v/>
      </c>
    </row>
    <row r="548" spans="5:22" x14ac:dyDescent="0.25">
      <c r="E548" s="21" t="str">
        <f t="shared" si="37"/>
        <v/>
      </c>
      <c r="F548" s="21"/>
      <c r="G548" s="21"/>
      <c r="H548" s="21"/>
      <c r="I548" s="21"/>
      <c r="J548" s="21"/>
      <c r="K548" s="21"/>
      <c r="L548" s="16" t="str">
        <f t="shared" ca="1" si="38"/>
        <v/>
      </c>
      <c r="M548" s="22" t="str">
        <f t="shared" ca="1" si="39"/>
        <v/>
      </c>
      <c r="U548" s="23" t="str">
        <f t="shared" si="40"/>
        <v/>
      </c>
      <c r="V548" s="23" t="str">
        <f t="shared" si="41"/>
        <v/>
      </c>
    </row>
    <row r="549" spans="5:22" x14ac:dyDescent="0.25">
      <c r="E549" s="21" t="str">
        <f t="shared" ref="E549:E612" si="42">IF(ISNUMBER(SEARCH("v crs",D549))=TRUE,"VC",IF(ISNUMBER(SEARCH("crs",D549))=TRUE,"C",IF(ISNUMBER(SEARCH("med",D549))=TRUE,"M",IF(ISNUMBER(SEARCH("vf",D549))=TRUE,"VF",IF(ISNUMBER(SEARCH("f",D549))=TRUE,"F","")))))</f>
        <v/>
      </c>
      <c r="F549" s="21"/>
      <c r="G549" s="21"/>
      <c r="H549" s="21"/>
      <c r="I549" s="21"/>
      <c r="J549" s="21"/>
      <c r="K549" s="21"/>
      <c r="L549" s="16" t="str">
        <f t="shared" ca="1" si="38"/>
        <v/>
      </c>
      <c r="M549" s="22" t="str">
        <f t="shared" ca="1" si="39"/>
        <v/>
      </c>
      <c r="U549" s="23" t="str">
        <f t="shared" si="40"/>
        <v/>
      </c>
      <c r="V549" s="23" t="str">
        <f t="shared" si="41"/>
        <v/>
      </c>
    </row>
    <row r="550" spans="5:22" x14ac:dyDescent="0.25">
      <c r="E550" s="21" t="str">
        <f t="shared" si="42"/>
        <v/>
      </c>
      <c r="F550" s="21"/>
      <c r="G550" s="21"/>
      <c r="H550" s="21"/>
      <c r="I550" s="21"/>
      <c r="J550" s="21"/>
      <c r="K550" s="21"/>
      <c r="L550" s="16" t="str">
        <f t="shared" ca="1" si="38"/>
        <v/>
      </c>
      <c r="M550" s="22" t="str">
        <f t="shared" ca="1" si="39"/>
        <v/>
      </c>
      <c r="U550" s="23" t="str">
        <f t="shared" si="40"/>
        <v/>
      </c>
      <c r="V550" s="23" t="str">
        <f t="shared" si="41"/>
        <v/>
      </c>
    </row>
    <row r="551" spans="5:22" x14ac:dyDescent="0.25">
      <c r="E551" s="21" t="str">
        <f t="shared" si="42"/>
        <v/>
      </c>
      <c r="F551" s="21"/>
      <c r="G551" s="21"/>
      <c r="H551" s="21"/>
      <c r="I551" s="21"/>
      <c r="J551" s="21"/>
      <c r="K551" s="21"/>
      <c r="L551" s="16" t="str">
        <f t="shared" ca="1" si="38"/>
        <v/>
      </c>
      <c r="M551" s="22" t="str">
        <f t="shared" ca="1" si="39"/>
        <v/>
      </c>
      <c r="U551" s="23" t="str">
        <f t="shared" si="40"/>
        <v/>
      </c>
      <c r="V551" s="23" t="str">
        <f t="shared" si="41"/>
        <v/>
      </c>
    </row>
    <row r="552" spans="5:22" x14ac:dyDescent="0.25">
      <c r="E552" s="21" t="str">
        <f t="shared" si="42"/>
        <v/>
      </c>
      <c r="F552" s="21"/>
      <c r="G552" s="21"/>
      <c r="H552" s="21"/>
      <c r="I552" s="21"/>
      <c r="J552" s="21"/>
      <c r="K552" s="21"/>
      <c r="L552" s="16" t="str">
        <f t="shared" ca="1" si="38"/>
        <v/>
      </c>
      <c r="M552" s="22" t="str">
        <f t="shared" ca="1" si="39"/>
        <v/>
      </c>
      <c r="U552" s="23" t="str">
        <f t="shared" si="40"/>
        <v/>
      </c>
      <c r="V552" s="23" t="str">
        <f t="shared" si="41"/>
        <v/>
      </c>
    </row>
    <row r="553" spans="5:22" x14ac:dyDescent="0.25">
      <c r="E553" s="21" t="str">
        <f t="shared" si="42"/>
        <v/>
      </c>
      <c r="F553" s="21"/>
      <c r="G553" s="21"/>
      <c r="H553" s="21"/>
      <c r="I553" s="21"/>
      <c r="J553" s="21"/>
      <c r="K553" s="21"/>
      <c r="L553" s="16" t="str">
        <f t="shared" ca="1" si="38"/>
        <v/>
      </c>
      <c r="M553" s="22" t="str">
        <f t="shared" ca="1" si="39"/>
        <v/>
      </c>
      <c r="U553" s="23" t="str">
        <f t="shared" si="40"/>
        <v/>
      </c>
      <c r="V553" s="23" t="str">
        <f t="shared" si="41"/>
        <v/>
      </c>
    </row>
    <row r="554" spans="5:22" x14ac:dyDescent="0.25">
      <c r="E554" s="21" t="str">
        <f t="shared" si="42"/>
        <v/>
      </c>
      <c r="F554" s="21"/>
      <c r="G554" s="21"/>
      <c r="H554" s="21"/>
      <c r="I554" s="21"/>
      <c r="J554" s="21"/>
      <c r="K554" s="21"/>
      <c r="L554" s="16" t="str">
        <f t="shared" ca="1" si="38"/>
        <v/>
      </c>
      <c r="M554" s="22" t="str">
        <f t="shared" ca="1" si="39"/>
        <v/>
      </c>
      <c r="U554" s="23" t="str">
        <f t="shared" si="40"/>
        <v/>
      </c>
      <c r="V554" s="23" t="str">
        <f t="shared" si="41"/>
        <v/>
      </c>
    </row>
    <row r="555" spans="5:22" x14ac:dyDescent="0.25">
      <c r="E555" s="21" t="str">
        <f t="shared" si="42"/>
        <v/>
      </c>
      <c r="F555" s="21"/>
      <c r="G555" s="21"/>
      <c r="H555" s="21"/>
      <c r="I555" s="21"/>
      <c r="J555" s="21"/>
      <c r="K555" s="21"/>
      <c r="L555" s="16" t="str">
        <f t="shared" ca="1" si="38"/>
        <v/>
      </c>
      <c r="M555" s="22" t="str">
        <f t="shared" ca="1" si="39"/>
        <v/>
      </c>
      <c r="U555" s="23" t="str">
        <f t="shared" si="40"/>
        <v/>
      </c>
      <c r="V555" s="23" t="str">
        <f t="shared" si="41"/>
        <v/>
      </c>
    </row>
    <row r="556" spans="5:22" x14ac:dyDescent="0.25">
      <c r="E556" s="21" t="str">
        <f t="shared" si="42"/>
        <v/>
      </c>
      <c r="F556" s="21"/>
      <c r="G556" s="21"/>
      <c r="H556" s="21"/>
      <c r="I556" s="21"/>
      <c r="J556" s="21"/>
      <c r="K556" s="21"/>
      <c r="L556" s="16" t="str">
        <f t="shared" ca="1" si="38"/>
        <v/>
      </c>
      <c r="M556" s="22" t="str">
        <f t="shared" ca="1" si="39"/>
        <v/>
      </c>
      <c r="U556" s="23" t="str">
        <f t="shared" si="40"/>
        <v/>
      </c>
      <c r="V556" s="23" t="str">
        <f t="shared" si="41"/>
        <v/>
      </c>
    </row>
    <row r="557" spans="5:22" x14ac:dyDescent="0.25">
      <c r="E557" s="21" t="str">
        <f t="shared" si="42"/>
        <v/>
      </c>
      <c r="F557" s="21"/>
      <c r="G557" s="21"/>
      <c r="H557" s="21"/>
      <c r="I557" s="21"/>
      <c r="J557" s="21"/>
      <c r="K557" s="21"/>
      <c r="L557" s="16" t="str">
        <f t="shared" ca="1" si="38"/>
        <v/>
      </c>
      <c r="M557" s="22" t="str">
        <f t="shared" ca="1" si="39"/>
        <v/>
      </c>
      <c r="U557" s="23" t="str">
        <f t="shared" si="40"/>
        <v/>
      </c>
      <c r="V557" s="23" t="str">
        <f t="shared" si="41"/>
        <v/>
      </c>
    </row>
    <row r="558" spans="5:22" x14ac:dyDescent="0.25">
      <c r="E558" s="21" t="str">
        <f t="shared" si="42"/>
        <v/>
      </c>
      <c r="F558" s="21"/>
      <c r="G558" s="21"/>
      <c r="H558" s="21"/>
      <c r="I558" s="21"/>
      <c r="J558" s="21"/>
      <c r="K558" s="21"/>
      <c r="L558" s="16" t="str">
        <f t="shared" ca="1" si="38"/>
        <v/>
      </c>
      <c r="M558" s="22" t="str">
        <f t="shared" ca="1" si="39"/>
        <v/>
      </c>
      <c r="U558" s="23" t="str">
        <f t="shared" si="40"/>
        <v/>
      </c>
      <c r="V558" s="23" t="str">
        <f t="shared" si="41"/>
        <v/>
      </c>
    </row>
    <row r="559" spans="5:22" x14ac:dyDescent="0.25">
      <c r="E559" s="21" t="str">
        <f t="shared" si="42"/>
        <v/>
      </c>
      <c r="F559" s="21"/>
      <c r="G559" s="21"/>
      <c r="H559" s="21"/>
      <c r="I559" s="21"/>
      <c r="J559" s="21"/>
      <c r="K559" s="21"/>
      <c r="L559" s="16" t="str">
        <f t="shared" ca="1" si="38"/>
        <v/>
      </c>
      <c r="M559" s="22" t="str">
        <f t="shared" ca="1" si="39"/>
        <v/>
      </c>
      <c r="U559" s="23" t="str">
        <f t="shared" si="40"/>
        <v/>
      </c>
      <c r="V559" s="23" t="str">
        <f t="shared" si="41"/>
        <v/>
      </c>
    </row>
    <row r="560" spans="5:22" x14ac:dyDescent="0.25">
      <c r="E560" s="21" t="str">
        <f t="shared" si="42"/>
        <v/>
      </c>
      <c r="F560" s="21"/>
      <c r="G560" s="21"/>
      <c r="H560" s="21"/>
      <c r="I560" s="21"/>
      <c r="J560" s="21"/>
      <c r="K560" s="21"/>
      <c r="L560" s="16" t="str">
        <f t="shared" ca="1" si="38"/>
        <v/>
      </c>
      <c r="M560" s="22" t="str">
        <f t="shared" ca="1" si="39"/>
        <v/>
      </c>
      <c r="U560" s="23" t="str">
        <f t="shared" si="40"/>
        <v/>
      </c>
      <c r="V560" s="23" t="str">
        <f t="shared" si="41"/>
        <v/>
      </c>
    </row>
    <row r="561" spans="5:22" x14ac:dyDescent="0.25">
      <c r="E561" s="21" t="str">
        <f t="shared" si="42"/>
        <v/>
      </c>
      <c r="F561" s="21"/>
      <c r="G561" s="21"/>
      <c r="H561" s="21"/>
      <c r="I561" s="21"/>
      <c r="J561" s="21"/>
      <c r="K561" s="21"/>
      <c r="L561" s="16" t="str">
        <f t="shared" ca="1" si="38"/>
        <v/>
      </c>
      <c r="M561" s="22" t="str">
        <f t="shared" ca="1" si="39"/>
        <v/>
      </c>
      <c r="U561" s="23" t="str">
        <f t="shared" si="40"/>
        <v/>
      </c>
      <c r="V561" s="23" t="str">
        <f t="shared" si="41"/>
        <v/>
      </c>
    </row>
    <row r="562" spans="5:22" x14ac:dyDescent="0.25">
      <c r="E562" s="21" t="str">
        <f t="shared" si="42"/>
        <v/>
      </c>
      <c r="F562" s="21"/>
      <c r="G562" s="21"/>
      <c r="H562" s="21"/>
      <c r="I562" s="21"/>
      <c r="J562" s="21"/>
      <c r="K562" s="21"/>
      <c r="L562" s="16" t="str">
        <f t="shared" ca="1" si="38"/>
        <v/>
      </c>
      <c r="M562" s="22" t="str">
        <f t="shared" ca="1" si="39"/>
        <v/>
      </c>
      <c r="U562" s="23" t="str">
        <f t="shared" si="40"/>
        <v/>
      </c>
      <c r="V562" s="23" t="str">
        <f t="shared" si="41"/>
        <v/>
      </c>
    </row>
    <row r="563" spans="5:22" x14ac:dyDescent="0.25">
      <c r="E563" s="21" t="str">
        <f t="shared" si="42"/>
        <v/>
      </c>
      <c r="F563" s="21"/>
      <c r="G563" s="21"/>
      <c r="H563" s="21"/>
      <c r="I563" s="21"/>
      <c r="J563" s="21"/>
      <c r="K563" s="21"/>
      <c r="L563" s="16" t="str">
        <f t="shared" ca="1" si="38"/>
        <v/>
      </c>
      <c r="M563" s="22" t="str">
        <f t="shared" ca="1" si="39"/>
        <v/>
      </c>
      <c r="U563" s="23" t="str">
        <f t="shared" si="40"/>
        <v/>
      </c>
      <c r="V563" s="23" t="str">
        <f t="shared" si="41"/>
        <v/>
      </c>
    </row>
    <row r="564" spans="5:22" x14ac:dyDescent="0.25">
      <c r="E564" s="21" t="str">
        <f t="shared" si="42"/>
        <v/>
      </c>
      <c r="F564" s="21"/>
      <c r="G564" s="21"/>
      <c r="H564" s="21"/>
      <c r="I564" s="21"/>
      <c r="J564" s="21"/>
      <c r="K564" s="21"/>
      <c r="L564" s="16" t="str">
        <f t="shared" ca="1" si="38"/>
        <v/>
      </c>
      <c r="M564" s="22" t="str">
        <f t="shared" ca="1" si="39"/>
        <v/>
      </c>
      <c r="U564" s="23" t="str">
        <f t="shared" si="40"/>
        <v/>
      </c>
      <c r="V564" s="23" t="str">
        <f t="shared" si="41"/>
        <v/>
      </c>
    </row>
    <row r="565" spans="5:22" x14ac:dyDescent="0.25">
      <c r="E565" s="21" t="str">
        <f t="shared" si="42"/>
        <v/>
      </c>
      <c r="F565" s="21"/>
      <c r="G565" s="21"/>
      <c r="H565" s="21"/>
      <c r="I565" s="21"/>
      <c r="J565" s="21"/>
      <c r="K565" s="21"/>
      <c r="L565" s="16" t="str">
        <f t="shared" ca="1" si="38"/>
        <v/>
      </c>
      <c r="M565" s="22" t="str">
        <f t="shared" ca="1" si="39"/>
        <v/>
      </c>
      <c r="U565" s="23" t="str">
        <f t="shared" si="40"/>
        <v/>
      </c>
      <c r="V565" s="23" t="str">
        <f t="shared" si="41"/>
        <v/>
      </c>
    </row>
    <row r="566" spans="5:22" x14ac:dyDescent="0.25">
      <c r="E566" s="21" t="str">
        <f t="shared" si="42"/>
        <v/>
      </c>
      <c r="F566" s="21"/>
      <c r="G566" s="21"/>
      <c r="H566" s="21"/>
      <c r="I566" s="21"/>
      <c r="J566" s="21"/>
      <c r="K566" s="21"/>
      <c r="L566" s="16" t="str">
        <f t="shared" ca="1" si="38"/>
        <v/>
      </c>
      <c r="M566" s="22" t="str">
        <f t="shared" ca="1" si="39"/>
        <v/>
      </c>
      <c r="U566" s="23" t="str">
        <f t="shared" si="40"/>
        <v/>
      </c>
      <c r="V566" s="23" t="str">
        <f t="shared" si="41"/>
        <v/>
      </c>
    </row>
    <row r="567" spans="5:22" x14ac:dyDescent="0.25">
      <c r="E567" s="21" t="str">
        <f t="shared" si="42"/>
        <v/>
      </c>
      <c r="F567" s="21"/>
      <c r="G567" s="21"/>
      <c r="H567" s="21"/>
      <c r="I567" s="21"/>
      <c r="J567" s="21"/>
      <c r="K567" s="21"/>
      <c r="L567" s="16" t="str">
        <f t="shared" ca="1" si="38"/>
        <v/>
      </c>
      <c r="M567" s="22" t="str">
        <f t="shared" ca="1" si="39"/>
        <v/>
      </c>
      <c r="U567" s="23" t="str">
        <f t="shared" si="40"/>
        <v/>
      </c>
      <c r="V567" s="23" t="str">
        <f t="shared" si="41"/>
        <v/>
      </c>
    </row>
    <row r="568" spans="5:22" x14ac:dyDescent="0.25">
      <c r="E568" s="21" t="str">
        <f t="shared" si="42"/>
        <v/>
      </c>
      <c r="F568" s="21"/>
      <c r="G568" s="21"/>
      <c r="H568" s="21"/>
      <c r="I568" s="21"/>
      <c r="J568" s="21"/>
      <c r="K568" s="21"/>
      <c r="L568" s="16" t="str">
        <f t="shared" ca="1" si="38"/>
        <v/>
      </c>
      <c r="M568" s="22" t="str">
        <f t="shared" ca="1" si="39"/>
        <v/>
      </c>
      <c r="U568" s="23" t="str">
        <f t="shared" si="40"/>
        <v/>
      </c>
      <c r="V568" s="23" t="str">
        <f t="shared" si="41"/>
        <v/>
      </c>
    </row>
    <row r="569" spans="5:22" x14ac:dyDescent="0.25">
      <c r="E569" s="21" t="str">
        <f t="shared" si="42"/>
        <v/>
      </c>
      <c r="F569" s="21"/>
      <c r="G569" s="21"/>
      <c r="H569" s="21"/>
      <c r="I569" s="21"/>
      <c r="J569" s="21"/>
      <c r="K569" s="21"/>
      <c r="L569" s="16" t="str">
        <f t="shared" ca="1" si="38"/>
        <v/>
      </c>
      <c r="M569" s="22" t="str">
        <f t="shared" ca="1" si="39"/>
        <v/>
      </c>
      <c r="U569" s="23" t="str">
        <f t="shared" si="40"/>
        <v/>
      </c>
      <c r="V569" s="23" t="str">
        <f t="shared" si="41"/>
        <v/>
      </c>
    </row>
    <row r="570" spans="5:22" x14ac:dyDescent="0.25">
      <c r="E570" s="21" t="str">
        <f t="shared" si="42"/>
        <v/>
      </c>
      <c r="F570" s="21"/>
      <c r="G570" s="21"/>
      <c r="H570" s="21"/>
      <c r="I570" s="21"/>
      <c r="J570" s="21"/>
      <c r="K570" s="21"/>
      <c r="L570" s="16" t="str">
        <f t="shared" ca="1" si="38"/>
        <v/>
      </c>
      <c r="M570" s="22" t="str">
        <f t="shared" ca="1" si="39"/>
        <v/>
      </c>
      <c r="U570" s="23" t="str">
        <f t="shared" si="40"/>
        <v/>
      </c>
      <c r="V570" s="23" t="str">
        <f t="shared" si="41"/>
        <v/>
      </c>
    </row>
    <row r="571" spans="5:22" x14ac:dyDescent="0.25">
      <c r="E571" s="21" t="str">
        <f t="shared" si="42"/>
        <v/>
      </c>
      <c r="F571" s="21"/>
      <c r="G571" s="21"/>
      <c r="H571" s="21"/>
      <c r="I571" s="21"/>
      <c r="J571" s="21"/>
      <c r="K571" s="21"/>
      <c r="L571" s="16" t="str">
        <f t="shared" ca="1" si="38"/>
        <v/>
      </c>
      <c r="M571" s="22" t="str">
        <f t="shared" ca="1" si="39"/>
        <v/>
      </c>
      <c r="U571" s="23" t="str">
        <f t="shared" si="40"/>
        <v/>
      </c>
      <c r="V571" s="23" t="str">
        <f t="shared" si="41"/>
        <v/>
      </c>
    </row>
    <row r="572" spans="5:22" x14ac:dyDescent="0.25">
      <c r="E572" s="21" t="str">
        <f t="shared" si="42"/>
        <v/>
      </c>
      <c r="F572" s="21"/>
      <c r="G572" s="21"/>
      <c r="H572" s="21"/>
      <c r="I572" s="21"/>
      <c r="J572" s="21"/>
      <c r="K572" s="21"/>
      <c r="L572" s="16" t="str">
        <f t="shared" ca="1" si="38"/>
        <v/>
      </c>
      <c r="M572" s="22" t="str">
        <f t="shared" ca="1" si="39"/>
        <v/>
      </c>
      <c r="U572" s="23" t="str">
        <f t="shared" si="40"/>
        <v/>
      </c>
      <c r="V572" s="23" t="str">
        <f t="shared" si="41"/>
        <v/>
      </c>
    </row>
    <row r="573" spans="5:22" x14ac:dyDescent="0.25">
      <c r="E573" s="21" t="str">
        <f t="shared" si="42"/>
        <v/>
      </c>
      <c r="F573" s="21"/>
      <c r="G573" s="21"/>
      <c r="H573" s="21"/>
      <c r="I573" s="21"/>
      <c r="J573" s="21"/>
      <c r="K573" s="21"/>
      <c r="L573" s="16" t="str">
        <f t="shared" ref="L573:L636" ca="1" si="43">IF(AND(C573&lt;&gt;"",C573&lt;&gt;U573),TODAY(),IF(C573="","",L573))</f>
        <v/>
      </c>
      <c r="M573" s="22" t="str">
        <f t="shared" ref="M573:M636" ca="1" si="44">IF(AND(C573&lt;&gt;"",C573&lt;&gt;V573),NOW(),IF(C573="","",M573))</f>
        <v/>
      </c>
      <c r="U573" s="23" t="str">
        <f t="shared" si="40"/>
        <v/>
      </c>
      <c r="V573" s="23" t="str">
        <f t="shared" si="41"/>
        <v/>
      </c>
    </row>
    <row r="574" spans="5:22" x14ac:dyDescent="0.25">
      <c r="E574" s="21" t="str">
        <f t="shared" si="42"/>
        <v/>
      </c>
      <c r="F574" s="21"/>
      <c r="G574" s="21"/>
      <c r="H574" s="21"/>
      <c r="I574" s="21"/>
      <c r="J574" s="21"/>
      <c r="K574" s="21"/>
      <c r="L574" s="16" t="str">
        <f t="shared" ca="1" si="43"/>
        <v/>
      </c>
      <c r="M574" s="22" t="str">
        <f t="shared" ca="1" si="44"/>
        <v/>
      </c>
      <c r="U574" s="23" t="str">
        <f t="shared" si="40"/>
        <v/>
      </c>
      <c r="V574" s="23" t="str">
        <f t="shared" si="41"/>
        <v/>
      </c>
    </row>
    <row r="575" spans="5:22" x14ac:dyDescent="0.25">
      <c r="E575" s="21" t="str">
        <f t="shared" si="42"/>
        <v/>
      </c>
      <c r="F575" s="21"/>
      <c r="G575" s="21"/>
      <c r="H575" s="21"/>
      <c r="I575" s="21"/>
      <c r="J575" s="21"/>
      <c r="K575" s="21"/>
      <c r="L575" s="16" t="str">
        <f t="shared" ca="1" si="43"/>
        <v/>
      </c>
      <c r="M575" s="22" t="str">
        <f t="shared" ca="1" si="44"/>
        <v/>
      </c>
      <c r="U575" s="23" t="str">
        <f t="shared" si="40"/>
        <v/>
      </c>
      <c r="V575" s="23" t="str">
        <f t="shared" si="41"/>
        <v/>
      </c>
    </row>
    <row r="576" spans="5:22" x14ac:dyDescent="0.25">
      <c r="E576" s="21" t="str">
        <f t="shared" si="42"/>
        <v/>
      </c>
      <c r="F576" s="21"/>
      <c r="G576" s="21"/>
      <c r="H576" s="21"/>
      <c r="I576" s="21"/>
      <c r="J576" s="21"/>
      <c r="K576" s="21"/>
      <c r="L576" s="16" t="str">
        <f t="shared" ca="1" si="43"/>
        <v/>
      </c>
      <c r="M576" s="22" t="str">
        <f t="shared" ca="1" si="44"/>
        <v/>
      </c>
      <c r="U576" s="23" t="str">
        <f t="shared" si="40"/>
        <v/>
      </c>
      <c r="V576" s="23" t="str">
        <f t="shared" si="41"/>
        <v/>
      </c>
    </row>
    <row r="577" spans="5:22" x14ac:dyDescent="0.25">
      <c r="E577" s="21" t="str">
        <f t="shared" si="42"/>
        <v/>
      </c>
      <c r="F577" s="21"/>
      <c r="G577" s="21"/>
      <c r="H577" s="21"/>
      <c r="I577" s="21"/>
      <c r="J577" s="21"/>
      <c r="K577" s="21"/>
      <c r="L577" s="16" t="str">
        <f t="shared" ca="1" si="43"/>
        <v/>
      </c>
      <c r="M577" s="22" t="str">
        <f t="shared" ca="1" si="44"/>
        <v/>
      </c>
      <c r="U577" s="23" t="str">
        <f t="shared" si="40"/>
        <v/>
      </c>
      <c r="V577" s="23" t="str">
        <f t="shared" si="41"/>
        <v/>
      </c>
    </row>
    <row r="578" spans="5:22" x14ac:dyDescent="0.25">
      <c r="E578" s="21" t="str">
        <f t="shared" si="42"/>
        <v/>
      </c>
      <c r="F578" s="21"/>
      <c r="G578" s="21"/>
      <c r="H578" s="21"/>
      <c r="I578" s="21"/>
      <c r="J578" s="21"/>
      <c r="K578" s="21"/>
      <c r="L578" s="16" t="str">
        <f t="shared" ca="1" si="43"/>
        <v/>
      </c>
      <c r="M578" s="22" t="str">
        <f t="shared" ca="1" si="44"/>
        <v/>
      </c>
      <c r="U578" s="23" t="str">
        <f t="shared" si="40"/>
        <v/>
      </c>
      <c r="V578" s="23" t="str">
        <f t="shared" si="41"/>
        <v/>
      </c>
    </row>
    <row r="579" spans="5:22" x14ac:dyDescent="0.25">
      <c r="E579" s="21" t="str">
        <f t="shared" si="42"/>
        <v/>
      </c>
      <c r="F579" s="21"/>
      <c r="G579" s="21"/>
      <c r="H579" s="21"/>
      <c r="I579" s="21"/>
      <c r="J579" s="21"/>
      <c r="K579" s="21"/>
      <c r="L579" s="16" t="str">
        <f t="shared" ca="1" si="43"/>
        <v/>
      </c>
      <c r="M579" s="22" t="str">
        <f t="shared" ca="1" si="44"/>
        <v/>
      </c>
      <c r="U579" s="23" t="str">
        <f t="shared" si="40"/>
        <v/>
      </c>
      <c r="V579" s="23" t="str">
        <f t="shared" si="41"/>
        <v/>
      </c>
    </row>
    <row r="580" spans="5:22" x14ac:dyDescent="0.25">
      <c r="E580" s="21" t="str">
        <f t="shared" si="42"/>
        <v/>
      </c>
      <c r="F580" s="21"/>
      <c r="G580" s="21"/>
      <c r="H580" s="21"/>
      <c r="I580" s="21"/>
      <c r="J580" s="21"/>
      <c r="K580" s="21"/>
      <c r="L580" s="16" t="str">
        <f t="shared" ca="1" si="43"/>
        <v/>
      </c>
      <c r="M580" s="22" t="str">
        <f t="shared" ca="1" si="44"/>
        <v/>
      </c>
      <c r="U580" s="23" t="str">
        <f t="shared" ref="U580:U643" si="45">IF(C580="","",IF(OR(L580="",AND(ISNUMBER(U580),C580=U580)),U580,C580))</f>
        <v/>
      </c>
      <c r="V580" s="23" t="str">
        <f t="shared" ref="V580:V643" si="46">IF(C580="","",IF(OR(M580="",AND(ISNUMBER(V580),C580=V580)),V580,C580))</f>
        <v/>
      </c>
    </row>
    <row r="581" spans="5:22" x14ac:dyDescent="0.25">
      <c r="E581" s="21" t="str">
        <f t="shared" si="42"/>
        <v/>
      </c>
      <c r="F581" s="21"/>
      <c r="G581" s="21"/>
      <c r="H581" s="21"/>
      <c r="I581" s="21"/>
      <c r="J581" s="21"/>
      <c r="K581" s="21"/>
      <c r="L581" s="16" t="str">
        <f t="shared" ca="1" si="43"/>
        <v/>
      </c>
      <c r="M581" s="22" t="str">
        <f t="shared" ca="1" si="44"/>
        <v/>
      </c>
      <c r="U581" s="23" t="str">
        <f t="shared" si="45"/>
        <v/>
      </c>
      <c r="V581" s="23" t="str">
        <f t="shared" si="46"/>
        <v/>
      </c>
    </row>
    <row r="582" spans="5:22" x14ac:dyDescent="0.25">
      <c r="E582" s="21" t="str">
        <f t="shared" si="42"/>
        <v/>
      </c>
      <c r="F582" s="21"/>
      <c r="G582" s="21"/>
      <c r="H582" s="21"/>
      <c r="I582" s="21"/>
      <c r="J582" s="21"/>
      <c r="K582" s="21"/>
      <c r="L582" s="16" t="str">
        <f t="shared" ca="1" si="43"/>
        <v/>
      </c>
      <c r="M582" s="22" t="str">
        <f t="shared" ca="1" si="44"/>
        <v/>
      </c>
      <c r="U582" s="23" t="str">
        <f t="shared" si="45"/>
        <v/>
      </c>
      <c r="V582" s="23" t="str">
        <f t="shared" si="46"/>
        <v/>
      </c>
    </row>
    <row r="583" spans="5:22" x14ac:dyDescent="0.25">
      <c r="E583" s="21" t="str">
        <f t="shared" si="42"/>
        <v/>
      </c>
      <c r="F583" s="21"/>
      <c r="G583" s="21"/>
      <c r="H583" s="21"/>
      <c r="I583" s="21"/>
      <c r="J583" s="21"/>
      <c r="K583" s="21"/>
      <c r="L583" s="16" t="str">
        <f t="shared" ca="1" si="43"/>
        <v/>
      </c>
      <c r="M583" s="22" t="str">
        <f t="shared" ca="1" si="44"/>
        <v/>
      </c>
      <c r="U583" s="23" t="str">
        <f t="shared" si="45"/>
        <v/>
      </c>
      <c r="V583" s="23" t="str">
        <f t="shared" si="46"/>
        <v/>
      </c>
    </row>
    <row r="584" spans="5:22" x14ac:dyDescent="0.25">
      <c r="E584" s="21" t="str">
        <f t="shared" si="42"/>
        <v/>
      </c>
      <c r="F584" s="21"/>
      <c r="G584" s="21"/>
      <c r="H584" s="21"/>
      <c r="I584" s="21"/>
      <c r="J584" s="21"/>
      <c r="K584" s="21"/>
      <c r="L584" s="16" t="str">
        <f t="shared" ca="1" si="43"/>
        <v/>
      </c>
      <c r="M584" s="22" t="str">
        <f t="shared" ca="1" si="44"/>
        <v/>
      </c>
      <c r="U584" s="23" t="str">
        <f t="shared" si="45"/>
        <v/>
      </c>
      <c r="V584" s="23" t="str">
        <f t="shared" si="46"/>
        <v/>
      </c>
    </row>
    <row r="585" spans="5:22" x14ac:dyDescent="0.25">
      <c r="E585" s="21" t="str">
        <f t="shared" si="42"/>
        <v/>
      </c>
      <c r="F585" s="21"/>
      <c r="G585" s="21"/>
      <c r="H585" s="21"/>
      <c r="I585" s="21"/>
      <c r="J585" s="21"/>
      <c r="K585" s="21"/>
      <c r="L585" s="16" t="str">
        <f t="shared" ca="1" si="43"/>
        <v/>
      </c>
      <c r="M585" s="22" t="str">
        <f t="shared" ca="1" si="44"/>
        <v/>
      </c>
      <c r="U585" s="23" t="str">
        <f t="shared" si="45"/>
        <v/>
      </c>
      <c r="V585" s="23" t="str">
        <f t="shared" si="46"/>
        <v/>
      </c>
    </row>
    <row r="586" spans="5:22" x14ac:dyDescent="0.25">
      <c r="E586" s="21" t="str">
        <f t="shared" si="42"/>
        <v/>
      </c>
      <c r="F586" s="21"/>
      <c r="G586" s="21"/>
      <c r="H586" s="21"/>
      <c r="I586" s="21"/>
      <c r="J586" s="21"/>
      <c r="K586" s="21"/>
      <c r="L586" s="16" t="str">
        <f t="shared" ca="1" si="43"/>
        <v/>
      </c>
      <c r="M586" s="22" t="str">
        <f t="shared" ca="1" si="44"/>
        <v/>
      </c>
      <c r="U586" s="23" t="str">
        <f t="shared" si="45"/>
        <v/>
      </c>
      <c r="V586" s="23" t="str">
        <f t="shared" si="46"/>
        <v/>
      </c>
    </row>
    <row r="587" spans="5:22" x14ac:dyDescent="0.25">
      <c r="E587" s="21" t="str">
        <f t="shared" si="42"/>
        <v/>
      </c>
      <c r="F587" s="21"/>
      <c r="G587" s="21"/>
      <c r="H587" s="21"/>
      <c r="I587" s="21"/>
      <c r="J587" s="21"/>
      <c r="K587" s="21"/>
      <c r="L587" s="16" t="str">
        <f t="shared" ca="1" si="43"/>
        <v/>
      </c>
      <c r="M587" s="22" t="str">
        <f t="shared" ca="1" si="44"/>
        <v/>
      </c>
      <c r="U587" s="23" t="str">
        <f t="shared" si="45"/>
        <v/>
      </c>
      <c r="V587" s="23" t="str">
        <f t="shared" si="46"/>
        <v/>
      </c>
    </row>
    <row r="588" spans="5:22" x14ac:dyDescent="0.25">
      <c r="E588" s="21" t="str">
        <f t="shared" si="42"/>
        <v/>
      </c>
      <c r="F588" s="21"/>
      <c r="G588" s="21"/>
      <c r="H588" s="21"/>
      <c r="I588" s="21"/>
      <c r="J588" s="21"/>
      <c r="K588" s="21"/>
      <c r="L588" s="16" t="str">
        <f t="shared" ca="1" si="43"/>
        <v/>
      </c>
      <c r="M588" s="22" t="str">
        <f t="shared" ca="1" si="44"/>
        <v/>
      </c>
      <c r="U588" s="23" t="str">
        <f t="shared" si="45"/>
        <v/>
      </c>
      <c r="V588" s="23" t="str">
        <f t="shared" si="46"/>
        <v/>
      </c>
    </row>
    <row r="589" spans="5:22" x14ac:dyDescent="0.25">
      <c r="E589" s="21" t="str">
        <f t="shared" si="42"/>
        <v/>
      </c>
      <c r="F589" s="21"/>
      <c r="G589" s="21"/>
      <c r="H589" s="21"/>
      <c r="I589" s="21"/>
      <c r="J589" s="21"/>
      <c r="K589" s="21"/>
      <c r="L589" s="16" t="str">
        <f t="shared" ca="1" si="43"/>
        <v/>
      </c>
      <c r="M589" s="22" t="str">
        <f t="shared" ca="1" si="44"/>
        <v/>
      </c>
      <c r="U589" s="23" t="str">
        <f t="shared" si="45"/>
        <v/>
      </c>
      <c r="V589" s="23" t="str">
        <f t="shared" si="46"/>
        <v/>
      </c>
    </row>
    <row r="590" spans="5:22" x14ac:dyDescent="0.25">
      <c r="E590" s="21" t="str">
        <f t="shared" si="42"/>
        <v/>
      </c>
      <c r="F590" s="21"/>
      <c r="G590" s="21"/>
      <c r="H590" s="21"/>
      <c r="I590" s="21"/>
      <c r="J590" s="21"/>
      <c r="K590" s="21"/>
      <c r="L590" s="16" t="str">
        <f t="shared" ca="1" si="43"/>
        <v/>
      </c>
      <c r="M590" s="22" t="str">
        <f t="shared" ca="1" si="44"/>
        <v/>
      </c>
      <c r="U590" s="23" t="str">
        <f t="shared" si="45"/>
        <v/>
      </c>
      <c r="V590" s="23" t="str">
        <f t="shared" si="46"/>
        <v/>
      </c>
    </row>
    <row r="591" spans="5:22" x14ac:dyDescent="0.25">
      <c r="E591" s="21" t="str">
        <f t="shared" si="42"/>
        <v/>
      </c>
      <c r="F591" s="21"/>
      <c r="G591" s="21"/>
      <c r="H591" s="21"/>
      <c r="I591" s="21"/>
      <c r="J591" s="21"/>
      <c r="K591" s="21"/>
      <c r="L591" s="16" t="str">
        <f t="shared" ca="1" si="43"/>
        <v/>
      </c>
      <c r="M591" s="22" t="str">
        <f t="shared" ca="1" si="44"/>
        <v/>
      </c>
      <c r="U591" s="23" t="str">
        <f t="shared" si="45"/>
        <v/>
      </c>
      <c r="V591" s="23" t="str">
        <f t="shared" si="46"/>
        <v/>
      </c>
    </row>
    <row r="592" spans="5:22" x14ac:dyDescent="0.25">
      <c r="E592" s="21" t="str">
        <f t="shared" si="42"/>
        <v/>
      </c>
      <c r="F592" s="21"/>
      <c r="G592" s="21"/>
      <c r="H592" s="21"/>
      <c r="I592" s="21"/>
      <c r="J592" s="21"/>
      <c r="K592" s="21"/>
      <c r="L592" s="16" t="str">
        <f t="shared" ca="1" si="43"/>
        <v/>
      </c>
      <c r="M592" s="22" t="str">
        <f t="shared" ca="1" si="44"/>
        <v/>
      </c>
      <c r="U592" s="23" t="str">
        <f t="shared" si="45"/>
        <v/>
      </c>
      <c r="V592" s="23" t="str">
        <f t="shared" si="46"/>
        <v/>
      </c>
    </row>
    <row r="593" spans="5:22" x14ac:dyDescent="0.25">
      <c r="E593" s="21" t="str">
        <f t="shared" si="42"/>
        <v/>
      </c>
      <c r="F593" s="21"/>
      <c r="G593" s="21"/>
      <c r="H593" s="21"/>
      <c r="I593" s="21"/>
      <c r="J593" s="21"/>
      <c r="K593" s="21"/>
      <c r="L593" s="16" t="str">
        <f t="shared" ca="1" si="43"/>
        <v/>
      </c>
      <c r="M593" s="22" t="str">
        <f t="shared" ca="1" si="44"/>
        <v/>
      </c>
      <c r="U593" s="23" t="str">
        <f t="shared" si="45"/>
        <v/>
      </c>
      <c r="V593" s="23" t="str">
        <f t="shared" si="46"/>
        <v/>
      </c>
    </row>
    <row r="594" spans="5:22" x14ac:dyDescent="0.25">
      <c r="E594" s="21" t="str">
        <f t="shared" si="42"/>
        <v/>
      </c>
      <c r="F594" s="21"/>
      <c r="G594" s="21"/>
      <c r="H594" s="21"/>
      <c r="I594" s="21"/>
      <c r="J594" s="21"/>
      <c r="K594" s="21"/>
      <c r="L594" s="16" t="str">
        <f t="shared" ca="1" si="43"/>
        <v/>
      </c>
      <c r="M594" s="22" t="str">
        <f t="shared" ca="1" si="44"/>
        <v/>
      </c>
      <c r="U594" s="23" t="str">
        <f t="shared" si="45"/>
        <v/>
      </c>
      <c r="V594" s="23" t="str">
        <f t="shared" si="46"/>
        <v/>
      </c>
    </row>
    <row r="595" spans="5:22" x14ac:dyDescent="0.25">
      <c r="E595" s="21" t="str">
        <f t="shared" si="42"/>
        <v/>
      </c>
      <c r="F595" s="21"/>
      <c r="G595" s="21"/>
      <c r="H595" s="21"/>
      <c r="I595" s="21"/>
      <c r="J595" s="21"/>
      <c r="K595" s="21"/>
      <c r="L595" s="16" t="str">
        <f t="shared" ca="1" si="43"/>
        <v/>
      </c>
      <c r="M595" s="22" t="str">
        <f t="shared" ca="1" si="44"/>
        <v/>
      </c>
      <c r="U595" s="23" t="str">
        <f t="shared" si="45"/>
        <v/>
      </c>
      <c r="V595" s="23" t="str">
        <f t="shared" si="46"/>
        <v/>
      </c>
    </row>
    <row r="596" spans="5:22" x14ac:dyDescent="0.25">
      <c r="E596" s="21" t="str">
        <f t="shared" si="42"/>
        <v/>
      </c>
      <c r="F596" s="21"/>
      <c r="G596" s="21"/>
      <c r="H596" s="21"/>
      <c r="I596" s="21"/>
      <c r="J596" s="21"/>
      <c r="K596" s="21"/>
      <c r="L596" s="16" t="str">
        <f t="shared" ca="1" si="43"/>
        <v/>
      </c>
      <c r="M596" s="22" t="str">
        <f t="shared" ca="1" si="44"/>
        <v/>
      </c>
      <c r="U596" s="23" t="str">
        <f t="shared" si="45"/>
        <v/>
      </c>
      <c r="V596" s="23" t="str">
        <f t="shared" si="46"/>
        <v/>
      </c>
    </row>
    <row r="597" spans="5:22" x14ac:dyDescent="0.25">
      <c r="E597" s="21" t="str">
        <f t="shared" si="42"/>
        <v/>
      </c>
      <c r="F597" s="21"/>
      <c r="G597" s="21"/>
      <c r="H597" s="21"/>
      <c r="I597" s="21"/>
      <c r="J597" s="21"/>
      <c r="K597" s="21"/>
      <c r="L597" s="16" t="str">
        <f t="shared" ca="1" si="43"/>
        <v/>
      </c>
      <c r="M597" s="22" t="str">
        <f t="shared" ca="1" si="44"/>
        <v/>
      </c>
      <c r="U597" s="23" t="str">
        <f t="shared" si="45"/>
        <v/>
      </c>
      <c r="V597" s="23" t="str">
        <f t="shared" si="46"/>
        <v/>
      </c>
    </row>
    <row r="598" spans="5:22" x14ac:dyDescent="0.25">
      <c r="E598" s="21" t="str">
        <f t="shared" si="42"/>
        <v/>
      </c>
      <c r="F598" s="21"/>
      <c r="G598" s="21"/>
      <c r="H598" s="21"/>
      <c r="I598" s="21"/>
      <c r="J598" s="21"/>
      <c r="K598" s="21"/>
      <c r="L598" s="16" t="str">
        <f t="shared" ca="1" si="43"/>
        <v/>
      </c>
      <c r="M598" s="22" t="str">
        <f t="shared" ca="1" si="44"/>
        <v/>
      </c>
      <c r="U598" s="23" t="str">
        <f t="shared" si="45"/>
        <v/>
      </c>
      <c r="V598" s="23" t="str">
        <f t="shared" si="46"/>
        <v/>
      </c>
    </row>
    <row r="599" spans="5:22" x14ac:dyDescent="0.25">
      <c r="E599" s="21" t="str">
        <f t="shared" si="42"/>
        <v/>
      </c>
      <c r="F599" s="21"/>
      <c r="G599" s="21"/>
      <c r="H599" s="21"/>
      <c r="I599" s="21"/>
      <c r="J599" s="21"/>
      <c r="K599" s="21"/>
      <c r="L599" s="16" t="str">
        <f t="shared" ca="1" si="43"/>
        <v/>
      </c>
      <c r="M599" s="22" t="str">
        <f t="shared" ca="1" si="44"/>
        <v/>
      </c>
      <c r="U599" s="23" t="str">
        <f t="shared" si="45"/>
        <v/>
      </c>
      <c r="V599" s="23" t="str">
        <f t="shared" si="46"/>
        <v/>
      </c>
    </row>
    <row r="600" spans="5:22" x14ac:dyDescent="0.25">
      <c r="E600" s="21" t="str">
        <f t="shared" si="42"/>
        <v/>
      </c>
      <c r="F600" s="21"/>
      <c r="G600" s="21"/>
      <c r="H600" s="21"/>
      <c r="I600" s="21"/>
      <c r="J600" s="21"/>
      <c r="K600" s="21"/>
      <c r="L600" s="16" t="str">
        <f t="shared" ca="1" si="43"/>
        <v/>
      </c>
      <c r="M600" s="22" t="str">
        <f t="shared" ca="1" si="44"/>
        <v/>
      </c>
      <c r="U600" s="23" t="str">
        <f t="shared" si="45"/>
        <v/>
      </c>
      <c r="V600" s="23" t="str">
        <f t="shared" si="46"/>
        <v/>
      </c>
    </row>
    <row r="601" spans="5:22" x14ac:dyDescent="0.25">
      <c r="E601" s="21" t="str">
        <f t="shared" si="42"/>
        <v/>
      </c>
      <c r="F601" s="21"/>
      <c r="G601" s="21"/>
      <c r="H601" s="21"/>
      <c r="I601" s="21"/>
      <c r="J601" s="21"/>
      <c r="K601" s="21"/>
      <c r="L601" s="16" t="str">
        <f t="shared" ca="1" si="43"/>
        <v/>
      </c>
      <c r="M601" s="22" t="str">
        <f t="shared" ca="1" si="44"/>
        <v/>
      </c>
      <c r="U601" s="23" t="str">
        <f t="shared" si="45"/>
        <v/>
      </c>
      <c r="V601" s="23" t="str">
        <f t="shared" si="46"/>
        <v/>
      </c>
    </row>
    <row r="602" spans="5:22" x14ac:dyDescent="0.25">
      <c r="E602" s="21" t="str">
        <f t="shared" si="42"/>
        <v/>
      </c>
      <c r="F602" s="21"/>
      <c r="G602" s="21"/>
      <c r="H602" s="21"/>
      <c r="I602" s="21"/>
      <c r="J602" s="21"/>
      <c r="K602" s="21"/>
      <c r="L602" s="16" t="str">
        <f t="shared" ca="1" si="43"/>
        <v/>
      </c>
      <c r="M602" s="22" t="str">
        <f t="shared" ca="1" si="44"/>
        <v/>
      </c>
      <c r="U602" s="23" t="str">
        <f t="shared" si="45"/>
        <v/>
      </c>
      <c r="V602" s="23" t="str">
        <f t="shared" si="46"/>
        <v/>
      </c>
    </row>
    <row r="603" spans="5:22" x14ac:dyDescent="0.25">
      <c r="E603" s="21" t="str">
        <f t="shared" si="42"/>
        <v/>
      </c>
      <c r="F603" s="21"/>
      <c r="G603" s="21"/>
      <c r="H603" s="21"/>
      <c r="I603" s="21"/>
      <c r="J603" s="21"/>
      <c r="K603" s="21"/>
      <c r="L603" s="16" t="str">
        <f t="shared" ca="1" si="43"/>
        <v/>
      </c>
      <c r="M603" s="22" t="str">
        <f t="shared" ca="1" si="44"/>
        <v/>
      </c>
      <c r="U603" s="23" t="str">
        <f t="shared" si="45"/>
        <v/>
      </c>
      <c r="V603" s="23" t="str">
        <f t="shared" si="46"/>
        <v/>
      </c>
    </row>
    <row r="604" spans="5:22" x14ac:dyDescent="0.25">
      <c r="E604" s="21" t="str">
        <f t="shared" si="42"/>
        <v/>
      </c>
      <c r="F604" s="21"/>
      <c r="G604" s="21"/>
      <c r="H604" s="21"/>
      <c r="I604" s="21"/>
      <c r="J604" s="21"/>
      <c r="K604" s="21"/>
      <c r="L604" s="16" t="str">
        <f t="shared" ca="1" si="43"/>
        <v/>
      </c>
      <c r="M604" s="22" t="str">
        <f t="shared" ca="1" si="44"/>
        <v/>
      </c>
      <c r="U604" s="23" t="str">
        <f t="shared" si="45"/>
        <v/>
      </c>
      <c r="V604" s="23" t="str">
        <f t="shared" si="46"/>
        <v/>
      </c>
    </row>
    <row r="605" spans="5:22" x14ac:dyDescent="0.25">
      <c r="E605" s="21" t="str">
        <f t="shared" si="42"/>
        <v/>
      </c>
      <c r="F605" s="21"/>
      <c r="G605" s="21"/>
      <c r="H605" s="21"/>
      <c r="I605" s="21"/>
      <c r="J605" s="21"/>
      <c r="K605" s="21"/>
      <c r="L605" s="16" t="str">
        <f t="shared" ca="1" si="43"/>
        <v/>
      </c>
      <c r="M605" s="22" t="str">
        <f t="shared" ca="1" si="44"/>
        <v/>
      </c>
      <c r="U605" s="23" t="str">
        <f t="shared" si="45"/>
        <v/>
      </c>
      <c r="V605" s="23" t="str">
        <f t="shared" si="46"/>
        <v/>
      </c>
    </row>
    <row r="606" spans="5:22" x14ac:dyDescent="0.25">
      <c r="E606" s="21" t="str">
        <f t="shared" si="42"/>
        <v/>
      </c>
      <c r="F606" s="21"/>
      <c r="G606" s="21"/>
      <c r="H606" s="21"/>
      <c r="I606" s="21"/>
      <c r="J606" s="21"/>
      <c r="K606" s="21"/>
      <c r="L606" s="16" t="str">
        <f t="shared" ca="1" si="43"/>
        <v/>
      </c>
      <c r="M606" s="22" t="str">
        <f t="shared" ca="1" si="44"/>
        <v/>
      </c>
      <c r="U606" s="23" t="str">
        <f t="shared" si="45"/>
        <v/>
      </c>
      <c r="V606" s="23" t="str">
        <f t="shared" si="46"/>
        <v/>
      </c>
    </row>
    <row r="607" spans="5:22" x14ac:dyDescent="0.25">
      <c r="E607" s="21" t="str">
        <f t="shared" si="42"/>
        <v/>
      </c>
      <c r="F607" s="21"/>
      <c r="G607" s="21"/>
      <c r="H607" s="21"/>
      <c r="I607" s="21"/>
      <c r="J607" s="21"/>
      <c r="K607" s="21"/>
      <c r="L607" s="16" t="str">
        <f t="shared" ca="1" si="43"/>
        <v/>
      </c>
      <c r="M607" s="22" t="str">
        <f t="shared" ca="1" si="44"/>
        <v/>
      </c>
      <c r="U607" s="23" t="str">
        <f t="shared" si="45"/>
        <v/>
      </c>
      <c r="V607" s="23" t="str">
        <f t="shared" si="46"/>
        <v/>
      </c>
    </row>
    <row r="608" spans="5:22" x14ac:dyDescent="0.25">
      <c r="E608" s="21" t="str">
        <f t="shared" si="42"/>
        <v/>
      </c>
      <c r="F608" s="21"/>
      <c r="G608" s="21"/>
      <c r="H608" s="21"/>
      <c r="I608" s="21"/>
      <c r="J608" s="21"/>
      <c r="K608" s="21"/>
      <c r="L608" s="16" t="str">
        <f t="shared" ca="1" si="43"/>
        <v/>
      </c>
      <c r="M608" s="22" t="str">
        <f t="shared" ca="1" si="44"/>
        <v/>
      </c>
      <c r="U608" s="23" t="str">
        <f t="shared" si="45"/>
        <v/>
      </c>
      <c r="V608" s="23" t="str">
        <f t="shared" si="46"/>
        <v/>
      </c>
    </row>
    <row r="609" spans="5:22" x14ac:dyDescent="0.25">
      <c r="E609" s="21" t="str">
        <f t="shared" si="42"/>
        <v/>
      </c>
      <c r="F609" s="21"/>
      <c r="G609" s="21"/>
      <c r="H609" s="21"/>
      <c r="I609" s="21"/>
      <c r="J609" s="21"/>
      <c r="K609" s="21"/>
      <c r="L609" s="16" t="str">
        <f t="shared" ca="1" si="43"/>
        <v/>
      </c>
      <c r="M609" s="22" t="str">
        <f t="shared" ca="1" si="44"/>
        <v/>
      </c>
      <c r="U609" s="23" t="str">
        <f t="shared" si="45"/>
        <v/>
      </c>
      <c r="V609" s="23" t="str">
        <f t="shared" si="46"/>
        <v/>
      </c>
    </row>
    <row r="610" spans="5:22" x14ac:dyDescent="0.25">
      <c r="E610" s="21" t="str">
        <f t="shared" si="42"/>
        <v/>
      </c>
      <c r="F610" s="21"/>
      <c r="G610" s="21"/>
      <c r="H610" s="21"/>
      <c r="I610" s="21"/>
      <c r="J610" s="21"/>
      <c r="K610" s="21"/>
      <c r="L610" s="16" t="str">
        <f t="shared" ca="1" si="43"/>
        <v/>
      </c>
      <c r="M610" s="22" t="str">
        <f t="shared" ca="1" si="44"/>
        <v/>
      </c>
      <c r="U610" s="23" t="str">
        <f t="shared" si="45"/>
        <v/>
      </c>
      <c r="V610" s="23" t="str">
        <f t="shared" si="46"/>
        <v/>
      </c>
    </row>
    <row r="611" spans="5:22" x14ac:dyDescent="0.25">
      <c r="E611" s="21" t="str">
        <f t="shared" si="42"/>
        <v/>
      </c>
      <c r="F611" s="21"/>
      <c r="G611" s="21"/>
      <c r="H611" s="21"/>
      <c r="I611" s="21"/>
      <c r="J611" s="21"/>
      <c r="K611" s="21"/>
      <c r="L611" s="16" t="str">
        <f t="shared" ca="1" si="43"/>
        <v/>
      </c>
      <c r="M611" s="22" t="str">
        <f t="shared" ca="1" si="44"/>
        <v/>
      </c>
      <c r="U611" s="23" t="str">
        <f t="shared" si="45"/>
        <v/>
      </c>
      <c r="V611" s="23" t="str">
        <f t="shared" si="46"/>
        <v/>
      </c>
    </row>
    <row r="612" spans="5:22" x14ac:dyDescent="0.25">
      <c r="E612" s="21" t="str">
        <f t="shared" si="42"/>
        <v/>
      </c>
      <c r="F612" s="21"/>
      <c r="G612" s="21"/>
      <c r="H612" s="21"/>
      <c r="I612" s="21"/>
      <c r="J612" s="21"/>
      <c r="K612" s="21"/>
      <c r="L612" s="16" t="str">
        <f t="shared" ca="1" si="43"/>
        <v/>
      </c>
      <c r="M612" s="22" t="str">
        <f t="shared" ca="1" si="44"/>
        <v/>
      </c>
      <c r="U612" s="23" t="str">
        <f t="shared" si="45"/>
        <v/>
      </c>
      <c r="V612" s="23" t="str">
        <f t="shared" si="46"/>
        <v/>
      </c>
    </row>
    <row r="613" spans="5:22" x14ac:dyDescent="0.25">
      <c r="E613" s="21" t="str">
        <f t="shared" ref="E613:E676" si="47">IF(ISNUMBER(SEARCH("v crs",D613))=TRUE,"VC",IF(ISNUMBER(SEARCH("crs",D613))=TRUE,"C",IF(ISNUMBER(SEARCH("med",D613))=TRUE,"M",IF(ISNUMBER(SEARCH("vf",D613))=TRUE,"VF",IF(ISNUMBER(SEARCH("f",D613))=TRUE,"F","")))))</f>
        <v/>
      </c>
      <c r="F613" s="21"/>
      <c r="G613" s="21"/>
      <c r="H613" s="21"/>
      <c r="I613" s="21"/>
      <c r="J613" s="21"/>
      <c r="K613" s="21"/>
      <c r="L613" s="16" t="str">
        <f t="shared" ca="1" si="43"/>
        <v/>
      </c>
      <c r="M613" s="22" t="str">
        <f t="shared" ca="1" si="44"/>
        <v/>
      </c>
      <c r="U613" s="23" t="str">
        <f t="shared" si="45"/>
        <v/>
      </c>
      <c r="V613" s="23" t="str">
        <f t="shared" si="46"/>
        <v/>
      </c>
    </row>
    <row r="614" spans="5:22" x14ac:dyDescent="0.25">
      <c r="E614" s="21" t="str">
        <f t="shared" si="47"/>
        <v/>
      </c>
      <c r="F614" s="21"/>
      <c r="G614" s="21"/>
      <c r="H614" s="21"/>
      <c r="I614" s="21"/>
      <c r="J614" s="21"/>
      <c r="K614" s="21"/>
      <c r="L614" s="16" t="str">
        <f t="shared" ca="1" si="43"/>
        <v/>
      </c>
      <c r="M614" s="22" t="str">
        <f t="shared" ca="1" si="44"/>
        <v/>
      </c>
      <c r="U614" s="23" t="str">
        <f t="shared" si="45"/>
        <v/>
      </c>
      <c r="V614" s="23" t="str">
        <f t="shared" si="46"/>
        <v/>
      </c>
    </row>
    <row r="615" spans="5:22" x14ac:dyDescent="0.25">
      <c r="E615" s="21" t="str">
        <f t="shared" si="47"/>
        <v/>
      </c>
      <c r="F615" s="21"/>
      <c r="G615" s="21"/>
      <c r="H615" s="21"/>
      <c r="I615" s="21"/>
      <c r="J615" s="21"/>
      <c r="K615" s="21"/>
      <c r="L615" s="16" t="str">
        <f t="shared" ca="1" si="43"/>
        <v/>
      </c>
      <c r="M615" s="22" t="str">
        <f t="shared" ca="1" si="44"/>
        <v/>
      </c>
      <c r="U615" s="23" t="str">
        <f t="shared" si="45"/>
        <v/>
      </c>
      <c r="V615" s="23" t="str">
        <f t="shared" si="46"/>
        <v/>
      </c>
    </row>
    <row r="616" spans="5:22" x14ac:dyDescent="0.25">
      <c r="E616" s="21" t="str">
        <f t="shared" si="47"/>
        <v/>
      </c>
      <c r="F616" s="21"/>
      <c r="G616" s="21"/>
      <c r="H616" s="21"/>
      <c r="I616" s="21"/>
      <c r="J616" s="21"/>
      <c r="K616" s="21"/>
      <c r="L616" s="16" t="str">
        <f t="shared" ca="1" si="43"/>
        <v/>
      </c>
      <c r="M616" s="22" t="str">
        <f t="shared" ca="1" si="44"/>
        <v/>
      </c>
      <c r="U616" s="23" t="str">
        <f t="shared" si="45"/>
        <v/>
      </c>
      <c r="V616" s="23" t="str">
        <f t="shared" si="46"/>
        <v/>
      </c>
    </row>
    <row r="617" spans="5:22" x14ac:dyDescent="0.25">
      <c r="E617" s="21" t="str">
        <f t="shared" si="47"/>
        <v/>
      </c>
      <c r="F617" s="21"/>
      <c r="G617" s="21"/>
      <c r="H617" s="21"/>
      <c r="I617" s="21"/>
      <c r="J617" s="21"/>
      <c r="K617" s="21"/>
      <c r="L617" s="16" t="str">
        <f t="shared" ca="1" si="43"/>
        <v/>
      </c>
      <c r="M617" s="22" t="str">
        <f t="shared" ca="1" si="44"/>
        <v/>
      </c>
      <c r="U617" s="23" t="str">
        <f t="shared" si="45"/>
        <v/>
      </c>
      <c r="V617" s="23" t="str">
        <f t="shared" si="46"/>
        <v/>
      </c>
    </row>
    <row r="618" spans="5:22" x14ac:dyDescent="0.25">
      <c r="E618" s="21" t="str">
        <f t="shared" si="47"/>
        <v/>
      </c>
      <c r="F618" s="21"/>
      <c r="G618" s="21"/>
      <c r="H618" s="21"/>
      <c r="I618" s="21"/>
      <c r="J618" s="21"/>
      <c r="K618" s="21"/>
      <c r="L618" s="16" t="str">
        <f t="shared" ca="1" si="43"/>
        <v/>
      </c>
      <c r="M618" s="22" t="str">
        <f t="shared" ca="1" si="44"/>
        <v/>
      </c>
      <c r="U618" s="23" t="str">
        <f t="shared" si="45"/>
        <v/>
      </c>
      <c r="V618" s="23" t="str">
        <f t="shared" si="46"/>
        <v/>
      </c>
    </row>
    <row r="619" spans="5:22" x14ac:dyDescent="0.25">
      <c r="E619" s="21" t="str">
        <f t="shared" si="47"/>
        <v/>
      </c>
      <c r="F619" s="21"/>
      <c r="G619" s="21"/>
      <c r="H619" s="21"/>
      <c r="I619" s="21"/>
      <c r="J619" s="21"/>
      <c r="K619" s="21"/>
      <c r="L619" s="16" t="str">
        <f t="shared" ca="1" si="43"/>
        <v/>
      </c>
      <c r="M619" s="22" t="str">
        <f t="shared" ca="1" si="44"/>
        <v/>
      </c>
      <c r="U619" s="23" t="str">
        <f t="shared" si="45"/>
        <v/>
      </c>
      <c r="V619" s="23" t="str">
        <f t="shared" si="46"/>
        <v/>
      </c>
    </row>
    <row r="620" spans="5:22" x14ac:dyDescent="0.25">
      <c r="E620" s="21" t="str">
        <f t="shared" si="47"/>
        <v/>
      </c>
      <c r="F620" s="21"/>
      <c r="G620" s="21"/>
      <c r="H620" s="21"/>
      <c r="I620" s="21"/>
      <c r="J620" s="21"/>
      <c r="K620" s="21"/>
      <c r="L620" s="16" t="str">
        <f t="shared" ca="1" si="43"/>
        <v/>
      </c>
      <c r="M620" s="22" t="str">
        <f t="shared" ca="1" si="44"/>
        <v/>
      </c>
      <c r="U620" s="23" t="str">
        <f t="shared" si="45"/>
        <v/>
      </c>
      <c r="V620" s="23" t="str">
        <f t="shared" si="46"/>
        <v/>
      </c>
    </row>
    <row r="621" spans="5:22" x14ac:dyDescent="0.25">
      <c r="E621" s="21" t="str">
        <f t="shared" si="47"/>
        <v/>
      </c>
      <c r="F621" s="21"/>
      <c r="G621" s="21"/>
      <c r="H621" s="21"/>
      <c r="I621" s="21"/>
      <c r="J621" s="21"/>
      <c r="K621" s="21"/>
      <c r="L621" s="16" t="str">
        <f t="shared" ca="1" si="43"/>
        <v/>
      </c>
      <c r="M621" s="22" t="str">
        <f t="shared" ca="1" si="44"/>
        <v/>
      </c>
      <c r="U621" s="23" t="str">
        <f t="shared" si="45"/>
        <v/>
      </c>
      <c r="V621" s="23" t="str">
        <f t="shared" si="46"/>
        <v/>
      </c>
    </row>
    <row r="622" spans="5:22" x14ac:dyDescent="0.25">
      <c r="E622" s="21" t="str">
        <f t="shared" si="47"/>
        <v/>
      </c>
      <c r="F622" s="21"/>
      <c r="G622" s="21"/>
      <c r="H622" s="21"/>
      <c r="I622" s="21"/>
      <c r="J622" s="21"/>
      <c r="K622" s="21"/>
      <c r="L622" s="16" t="str">
        <f t="shared" ca="1" si="43"/>
        <v/>
      </c>
      <c r="M622" s="22" t="str">
        <f t="shared" ca="1" si="44"/>
        <v/>
      </c>
      <c r="U622" s="23" t="str">
        <f t="shared" si="45"/>
        <v/>
      </c>
      <c r="V622" s="23" t="str">
        <f t="shared" si="46"/>
        <v/>
      </c>
    </row>
    <row r="623" spans="5:22" x14ac:dyDescent="0.25">
      <c r="E623" s="21" t="str">
        <f t="shared" si="47"/>
        <v/>
      </c>
      <c r="F623" s="21"/>
      <c r="G623" s="21"/>
      <c r="H623" s="21"/>
      <c r="I623" s="21"/>
      <c r="J623" s="21"/>
      <c r="K623" s="21"/>
      <c r="L623" s="16" t="str">
        <f t="shared" ca="1" si="43"/>
        <v/>
      </c>
      <c r="M623" s="22" t="str">
        <f t="shared" ca="1" si="44"/>
        <v/>
      </c>
      <c r="U623" s="23" t="str">
        <f t="shared" si="45"/>
        <v/>
      </c>
      <c r="V623" s="23" t="str">
        <f t="shared" si="46"/>
        <v/>
      </c>
    </row>
    <row r="624" spans="5:22" x14ac:dyDescent="0.25">
      <c r="E624" s="21" t="str">
        <f t="shared" si="47"/>
        <v/>
      </c>
      <c r="F624" s="21"/>
      <c r="G624" s="21"/>
      <c r="H624" s="21"/>
      <c r="I624" s="21"/>
      <c r="J624" s="21"/>
      <c r="K624" s="21"/>
      <c r="L624" s="16" t="str">
        <f t="shared" ca="1" si="43"/>
        <v/>
      </c>
      <c r="M624" s="22" t="str">
        <f t="shared" ca="1" si="44"/>
        <v/>
      </c>
      <c r="U624" s="23" t="str">
        <f t="shared" si="45"/>
        <v/>
      </c>
      <c r="V624" s="23" t="str">
        <f t="shared" si="46"/>
        <v/>
      </c>
    </row>
    <row r="625" spans="5:22" x14ac:dyDescent="0.25">
      <c r="E625" s="21" t="str">
        <f t="shared" si="47"/>
        <v/>
      </c>
      <c r="F625" s="21"/>
      <c r="G625" s="21"/>
      <c r="H625" s="21"/>
      <c r="I625" s="21"/>
      <c r="J625" s="21"/>
      <c r="K625" s="21"/>
      <c r="L625" s="16" t="str">
        <f t="shared" ca="1" si="43"/>
        <v/>
      </c>
      <c r="M625" s="22" t="str">
        <f t="shared" ca="1" si="44"/>
        <v/>
      </c>
      <c r="U625" s="23" t="str">
        <f t="shared" si="45"/>
        <v/>
      </c>
      <c r="V625" s="23" t="str">
        <f t="shared" si="46"/>
        <v/>
      </c>
    </row>
    <row r="626" spans="5:22" x14ac:dyDescent="0.25">
      <c r="E626" s="21" t="str">
        <f t="shared" si="47"/>
        <v/>
      </c>
      <c r="F626" s="21"/>
      <c r="G626" s="21"/>
      <c r="H626" s="21"/>
      <c r="I626" s="21"/>
      <c r="J626" s="21"/>
      <c r="K626" s="21"/>
      <c r="L626" s="16" t="str">
        <f t="shared" ca="1" si="43"/>
        <v/>
      </c>
      <c r="M626" s="22" t="str">
        <f t="shared" ca="1" si="44"/>
        <v/>
      </c>
      <c r="U626" s="23" t="str">
        <f t="shared" si="45"/>
        <v/>
      </c>
      <c r="V626" s="23" t="str">
        <f t="shared" si="46"/>
        <v/>
      </c>
    </row>
    <row r="627" spans="5:22" x14ac:dyDescent="0.25">
      <c r="E627" s="21" t="str">
        <f t="shared" si="47"/>
        <v/>
      </c>
      <c r="F627" s="21"/>
      <c r="G627" s="21"/>
      <c r="H627" s="21"/>
      <c r="I627" s="21"/>
      <c r="J627" s="21"/>
      <c r="K627" s="21"/>
      <c r="L627" s="16" t="str">
        <f t="shared" ca="1" si="43"/>
        <v/>
      </c>
      <c r="M627" s="22" t="str">
        <f t="shared" ca="1" si="44"/>
        <v/>
      </c>
      <c r="U627" s="23" t="str">
        <f t="shared" si="45"/>
        <v/>
      </c>
      <c r="V627" s="23" t="str">
        <f t="shared" si="46"/>
        <v/>
      </c>
    </row>
    <row r="628" spans="5:22" x14ac:dyDescent="0.25">
      <c r="E628" s="21" t="str">
        <f t="shared" si="47"/>
        <v/>
      </c>
      <c r="F628" s="21"/>
      <c r="G628" s="21"/>
      <c r="H628" s="21"/>
      <c r="I628" s="21"/>
      <c r="J628" s="21"/>
      <c r="K628" s="21"/>
      <c r="L628" s="16" t="str">
        <f t="shared" ca="1" si="43"/>
        <v/>
      </c>
      <c r="M628" s="22" t="str">
        <f t="shared" ca="1" si="44"/>
        <v/>
      </c>
      <c r="U628" s="23" t="str">
        <f t="shared" si="45"/>
        <v/>
      </c>
      <c r="V628" s="23" t="str">
        <f t="shared" si="46"/>
        <v/>
      </c>
    </row>
    <row r="629" spans="5:22" x14ac:dyDescent="0.25">
      <c r="E629" s="21" t="str">
        <f t="shared" si="47"/>
        <v/>
      </c>
      <c r="F629" s="21"/>
      <c r="G629" s="21"/>
      <c r="H629" s="21"/>
      <c r="I629" s="21"/>
      <c r="J629" s="21"/>
      <c r="K629" s="21"/>
      <c r="L629" s="16" t="str">
        <f t="shared" ca="1" si="43"/>
        <v/>
      </c>
      <c r="M629" s="22" t="str">
        <f t="shared" ca="1" si="44"/>
        <v/>
      </c>
      <c r="U629" s="23" t="str">
        <f t="shared" si="45"/>
        <v/>
      </c>
      <c r="V629" s="23" t="str">
        <f t="shared" si="46"/>
        <v/>
      </c>
    </row>
    <row r="630" spans="5:22" x14ac:dyDescent="0.25">
      <c r="E630" s="21" t="str">
        <f t="shared" si="47"/>
        <v/>
      </c>
      <c r="F630" s="21"/>
      <c r="G630" s="21"/>
      <c r="H630" s="21"/>
      <c r="I630" s="21"/>
      <c r="J630" s="21"/>
      <c r="K630" s="21"/>
      <c r="L630" s="16" t="str">
        <f t="shared" ca="1" si="43"/>
        <v/>
      </c>
      <c r="M630" s="22" t="str">
        <f t="shared" ca="1" si="44"/>
        <v/>
      </c>
      <c r="U630" s="23" t="str">
        <f t="shared" si="45"/>
        <v/>
      </c>
      <c r="V630" s="23" t="str">
        <f t="shared" si="46"/>
        <v/>
      </c>
    </row>
    <row r="631" spans="5:22" x14ac:dyDescent="0.25">
      <c r="E631" s="21" t="str">
        <f t="shared" si="47"/>
        <v/>
      </c>
      <c r="F631" s="21"/>
      <c r="G631" s="21"/>
      <c r="H631" s="21"/>
      <c r="I631" s="21"/>
      <c r="J631" s="21"/>
      <c r="K631" s="21"/>
      <c r="L631" s="16" t="str">
        <f t="shared" ca="1" si="43"/>
        <v/>
      </c>
      <c r="M631" s="22" t="str">
        <f t="shared" ca="1" si="44"/>
        <v/>
      </c>
      <c r="U631" s="23" t="str">
        <f t="shared" si="45"/>
        <v/>
      </c>
      <c r="V631" s="23" t="str">
        <f t="shared" si="46"/>
        <v/>
      </c>
    </row>
    <row r="632" spans="5:22" x14ac:dyDescent="0.25">
      <c r="E632" s="21" t="str">
        <f t="shared" si="47"/>
        <v/>
      </c>
      <c r="F632" s="21"/>
      <c r="G632" s="21"/>
      <c r="H632" s="21"/>
      <c r="I632" s="21"/>
      <c r="J632" s="21"/>
      <c r="K632" s="21"/>
      <c r="L632" s="16" t="str">
        <f t="shared" ca="1" si="43"/>
        <v/>
      </c>
      <c r="M632" s="22" t="str">
        <f t="shared" ca="1" si="44"/>
        <v/>
      </c>
      <c r="U632" s="23" t="str">
        <f t="shared" si="45"/>
        <v/>
      </c>
      <c r="V632" s="23" t="str">
        <f t="shared" si="46"/>
        <v/>
      </c>
    </row>
    <row r="633" spans="5:22" x14ac:dyDescent="0.25">
      <c r="E633" s="21" t="str">
        <f t="shared" si="47"/>
        <v/>
      </c>
      <c r="F633" s="21"/>
      <c r="G633" s="21"/>
      <c r="H633" s="21"/>
      <c r="I633" s="21"/>
      <c r="J633" s="21"/>
      <c r="K633" s="21"/>
      <c r="L633" s="16" t="str">
        <f t="shared" ca="1" si="43"/>
        <v/>
      </c>
      <c r="M633" s="22" t="str">
        <f t="shared" ca="1" si="44"/>
        <v/>
      </c>
      <c r="U633" s="23" t="str">
        <f t="shared" si="45"/>
        <v/>
      </c>
      <c r="V633" s="23" t="str">
        <f t="shared" si="46"/>
        <v/>
      </c>
    </row>
    <row r="634" spans="5:22" x14ac:dyDescent="0.25">
      <c r="E634" s="21" t="str">
        <f t="shared" si="47"/>
        <v/>
      </c>
      <c r="F634" s="21"/>
      <c r="G634" s="21"/>
      <c r="H634" s="21"/>
      <c r="I634" s="21"/>
      <c r="J634" s="21"/>
      <c r="K634" s="21"/>
      <c r="L634" s="16" t="str">
        <f t="shared" ca="1" si="43"/>
        <v/>
      </c>
      <c r="M634" s="22" t="str">
        <f t="shared" ca="1" si="44"/>
        <v/>
      </c>
      <c r="U634" s="23" t="str">
        <f t="shared" si="45"/>
        <v/>
      </c>
      <c r="V634" s="23" t="str">
        <f t="shared" si="46"/>
        <v/>
      </c>
    </row>
    <row r="635" spans="5:22" x14ac:dyDescent="0.25">
      <c r="E635" s="21" t="str">
        <f t="shared" si="47"/>
        <v/>
      </c>
      <c r="F635" s="21"/>
      <c r="G635" s="21"/>
      <c r="H635" s="21"/>
      <c r="I635" s="21"/>
      <c r="J635" s="21"/>
      <c r="K635" s="21"/>
      <c r="L635" s="16" t="str">
        <f t="shared" ca="1" si="43"/>
        <v/>
      </c>
      <c r="M635" s="22" t="str">
        <f t="shared" ca="1" si="44"/>
        <v/>
      </c>
      <c r="U635" s="23" t="str">
        <f t="shared" si="45"/>
        <v/>
      </c>
      <c r="V635" s="23" t="str">
        <f t="shared" si="46"/>
        <v/>
      </c>
    </row>
    <row r="636" spans="5:22" x14ac:dyDescent="0.25">
      <c r="E636" s="21" t="str">
        <f t="shared" si="47"/>
        <v/>
      </c>
      <c r="F636" s="21"/>
      <c r="G636" s="21"/>
      <c r="H636" s="21"/>
      <c r="I636" s="21"/>
      <c r="J636" s="21"/>
      <c r="K636" s="21"/>
      <c r="L636" s="16" t="str">
        <f t="shared" ca="1" si="43"/>
        <v/>
      </c>
      <c r="M636" s="22" t="str">
        <f t="shared" ca="1" si="44"/>
        <v/>
      </c>
      <c r="U636" s="23" t="str">
        <f t="shared" si="45"/>
        <v/>
      </c>
      <c r="V636" s="23" t="str">
        <f t="shared" si="46"/>
        <v/>
      </c>
    </row>
    <row r="637" spans="5:22" x14ac:dyDescent="0.25">
      <c r="E637" s="21" t="str">
        <f t="shared" si="47"/>
        <v/>
      </c>
      <c r="F637" s="21"/>
      <c r="G637" s="21"/>
      <c r="H637" s="21"/>
      <c r="I637" s="21"/>
      <c r="J637" s="21"/>
      <c r="K637" s="21"/>
      <c r="L637" s="16" t="str">
        <f t="shared" ref="L637:L700" ca="1" si="48">IF(AND(C637&lt;&gt;"",C637&lt;&gt;U637),TODAY(),IF(C637="","",L637))</f>
        <v/>
      </c>
      <c r="M637" s="22" t="str">
        <f t="shared" ref="M637:M700" ca="1" si="49">IF(AND(C637&lt;&gt;"",C637&lt;&gt;V637),NOW(),IF(C637="","",M637))</f>
        <v/>
      </c>
      <c r="U637" s="23" t="str">
        <f t="shared" si="45"/>
        <v/>
      </c>
      <c r="V637" s="23" t="str">
        <f t="shared" si="46"/>
        <v/>
      </c>
    </row>
    <row r="638" spans="5:22" x14ac:dyDescent="0.25">
      <c r="E638" s="21" t="str">
        <f t="shared" si="47"/>
        <v/>
      </c>
      <c r="F638" s="21"/>
      <c r="G638" s="21"/>
      <c r="H638" s="21"/>
      <c r="I638" s="21"/>
      <c r="J638" s="21"/>
      <c r="K638" s="21"/>
      <c r="L638" s="16" t="str">
        <f t="shared" ca="1" si="48"/>
        <v/>
      </c>
      <c r="M638" s="22" t="str">
        <f t="shared" ca="1" si="49"/>
        <v/>
      </c>
      <c r="U638" s="23" t="str">
        <f t="shared" si="45"/>
        <v/>
      </c>
      <c r="V638" s="23" t="str">
        <f t="shared" si="46"/>
        <v/>
      </c>
    </row>
    <row r="639" spans="5:22" x14ac:dyDescent="0.25">
      <c r="E639" s="21" t="str">
        <f t="shared" si="47"/>
        <v/>
      </c>
      <c r="F639" s="21"/>
      <c r="G639" s="21"/>
      <c r="H639" s="21"/>
      <c r="I639" s="21"/>
      <c r="J639" s="21"/>
      <c r="K639" s="21"/>
      <c r="L639" s="16" t="str">
        <f t="shared" ca="1" si="48"/>
        <v/>
      </c>
      <c r="M639" s="22" t="str">
        <f t="shared" ca="1" si="49"/>
        <v/>
      </c>
      <c r="U639" s="23" t="str">
        <f t="shared" si="45"/>
        <v/>
      </c>
      <c r="V639" s="23" t="str">
        <f t="shared" si="46"/>
        <v/>
      </c>
    </row>
    <row r="640" spans="5:22" x14ac:dyDescent="0.25">
      <c r="E640" s="21" t="str">
        <f t="shared" si="47"/>
        <v/>
      </c>
      <c r="F640" s="21"/>
      <c r="G640" s="21"/>
      <c r="H640" s="21"/>
      <c r="I640" s="21"/>
      <c r="J640" s="21"/>
      <c r="K640" s="21"/>
      <c r="L640" s="16" t="str">
        <f t="shared" ca="1" si="48"/>
        <v/>
      </c>
      <c r="M640" s="22" t="str">
        <f t="shared" ca="1" si="49"/>
        <v/>
      </c>
      <c r="U640" s="23" t="str">
        <f t="shared" si="45"/>
        <v/>
      </c>
      <c r="V640" s="23" t="str">
        <f t="shared" si="46"/>
        <v/>
      </c>
    </row>
    <row r="641" spans="5:22" x14ac:dyDescent="0.25">
      <c r="E641" s="21" t="str">
        <f t="shared" si="47"/>
        <v/>
      </c>
      <c r="F641" s="21"/>
      <c r="G641" s="21"/>
      <c r="H641" s="21"/>
      <c r="I641" s="21"/>
      <c r="J641" s="21"/>
      <c r="K641" s="21"/>
      <c r="L641" s="16" t="str">
        <f t="shared" ca="1" si="48"/>
        <v/>
      </c>
      <c r="M641" s="22" t="str">
        <f t="shared" ca="1" si="49"/>
        <v/>
      </c>
      <c r="U641" s="23" t="str">
        <f t="shared" si="45"/>
        <v/>
      </c>
      <c r="V641" s="23" t="str">
        <f t="shared" si="46"/>
        <v/>
      </c>
    </row>
    <row r="642" spans="5:22" x14ac:dyDescent="0.25">
      <c r="E642" s="21" t="str">
        <f t="shared" si="47"/>
        <v/>
      </c>
      <c r="F642" s="21"/>
      <c r="G642" s="21"/>
      <c r="H642" s="21"/>
      <c r="I642" s="21"/>
      <c r="J642" s="21"/>
      <c r="K642" s="21"/>
      <c r="L642" s="16" t="str">
        <f t="shared" ca="1" si="48"/>
        <v/>
      </c>
      <c r="M642" s="22" t="str">
        <f t="shared" ca="1" si="49"/>
        <v/>
      </c>
      <c r="U642" s="23" t="str">
        <f t="shared" si="45"/>
        <v/>
      </c>
      <c r="V642" s="23" t="str">
        <f t="shared" si="46"/>
        <v/>
      </c>
    </row>
    <row r="643" spans="5:22" x14ac:dyDescent="0.25">
      <c r="E643" s="21" t="str">
        <f t="shared" si="47"/>
        <v/>
      </c>
      <c r="F643" s="21"/>
      <c r="G643" s="21"/>
      <c r="H643" s="21"/>
      <c r="I643" s="21"/>
      <c r="J643" s="21"/>
      <c r="K643" s="21"/>
      <c r="L643" s="16" t="str">
        <f t="shared" ca="1" si="48"/>
        <v/>
      </c>
      <c r="M643" s="22" t="str">
        <f t="shared" ca="1" si="49"/>
        <v/>
      </c>
      <c r="U643" s="23" t="str">
        <f t="shared" si="45"/>
        <v/>
      </c>
      <c r="V643" s="23" t="str">
        <f t="shared" si="46"/>
        <v/>
      </c>
    </row>
    <row r="644" spans="5:22" x14ac:dyDescent="0.25">
      <c r="E644" s="21" t="str">
        <f t="shared" si="47"/>
        <v/>
      </c>
      <c r="F644" s="21"/>
      <c r="G644" s="21"/>
      <c r="H644" s="21"/>
      <c r="I644" s="21"/>
      <c r="J644" s="21"/>
      <c r="K644" s="21"/>
      <c r="L644" s="16" t="str">
        <f t="shared" ca="1" si="48"/>
        <v/>
      </c>
      <c r="M644" s="22" t="str">
        <f t="shared" ca="1" si="49"/>
        <v/>
      </c>
      <c r="U644" s="23" t="str">
        <f t="shared" ref="U644:U707" si="50">IF(C644="","",IF(OR(L644="",AND(ISNUMBER(U644),C644=U644)),U644,C644))</f>
        <v/>
      </c>
      <c r="V644" s="23" t="str">
        <f t="shared" ref="V644:V707" si="51">IF(C644="","",IF(OR(M644="",AND(ISNUMBER(V644),C644=V644)),V644,C644))</f>
        <v/>
      </c>
    </row>
    <row r="645" spans="5:22" x14ac:dyDescent="0.25">
      <c r="E645" s="21" t="str">
        <f t="shared" si="47"/>
        <v/>
      </c>
      <c r="F645" s="21"/>
      <c r="G645" s="21"/>
      <c r="H645" s="21"/>
      <c r="I645" s="21"/>
      <c r="J645" s="21"/>
      <c r="K645" s="21"/>
      <c r="L645" s="16" t="str">
        <f t="shared" ca="1" si="48"/>
        <v/>
      </c>
      <c r="M645" s="22" t="str">
        <f t="shared" ca="1" si="49"/>
        <v/>
      </c>
      <c r="U645" s="23" t="str">
        <f t="shared" si="50"/>
        <v/>
      </c>
      <c r="V645" s="23" t="str">
        <f t="shared" si="51"/>
        <v/>
      </c>
    </row>
    <row r="646" spans="5:22" x14ac:dyDescent="0.25">
      <c r="E646" s="21" t="str">
        <f t="shared" si="47"/>
        <v/>
      </c>
      <c r="F646" s="21"/>
      <c r="G646" s="21"/>
      <c r="H646" s="21"/>
      <c r="I646" s="21"/>
      <c r="J646" s="21"/>
      <c r="K646" s="21"/>
      <c r="L646" s="16" t="str">
        <f t="shared" ca="1" si="48"/>
        <v/>
      </c>
      <c r="M646" s="22" t="str">
        <f t="shared" ca="1" si="49"/>
        <v/>
      </c>
      <c r="U646" s="23" t="str">
        <f t="shared" si="50"/>
        <v/>
      </c>
      <c r="V646" s="23" t="str">
        <f t="shared" si="51"/>
        <v/>
      </c>
    </row>
    <row r="647" spans="5:22" x14ac:dyDescent="0.25">
      <c r="E647" s="21" t="str">
        <f t="shared" si="47"/>
        <v/>
      </c>
      <c r="F647" s="21"/>
      <c r="G647" s="21"/>
      <c r="H647" s="21"/>
      <c r="I647" s="21"/>
      <c r="J647" s="21"/>
      <c r="K647" s="21"/>
      <c r="L647" s="16" t="str">
        <f t="shared" ca="1" si="48"/>
        <v/>
      </c>
      <c r="M647" s="22" t="str">
        <f t="shared" ca="1" si="49"/>
        <v/>
      </c>
      <c r="U647" s="23" t="str">
        <f t="shared" si="50"/>
        <v/>
      </c>
      <c r="V647" s="23" t="str">
        <f t="shared" si="51"/>
        <v/>
      </c>
    </row>
    <row r="648" spans="5:22" x14ac:dyDescent="0.25">
      <c r="E648" s="21" t="str">
        <f t="shared" si="47"/>
        <v/>
      </c>
      <c r="F648" s="21"/>
      <c r="G648" s="21"/>
      <c r="H648" s="21"/>
      <c r="I648" s="21"/>
      <c r="J648" s="21"/>
      <c r="K648" s="21"/>
      <c r="L648" s="16" t="str">
        <f t="shared" ca="1" si="48"/>
        <v/>
      </c>
      <c r="M648" s="22" t="str">
        <f t="shared" ca="1" si="49"/>
        <v/>
      </c>
      <c r="U648" s="23" t="str">
        <f t="shared" si="50"/>
        <v/>
      </c>
      <c r="V648" s="23" t="str">
        <f t="shared" si="51"/>
        <v/>
      </c>
    </row>
    <row r="649" spans="5:22" x14ac:dyDescent="0.25">
      <c r="E649" s="21" t="str">
        <f t="shared" si="47"/>
        <v/>
      </c>
      <c r="F649" s="21"/>
      <c r="G649" s="21"/>
      <c r="H649" s="21"/>
      <c r="I649" s="21"/>
      <c r="J649" s="21"/>
      <c r="K649" s="21"/>
      <c r="L649" s="16" t="str">
        <f t="shared" ca="1" si="48"/>
        <v/>
      </c>
      <c r="M649" s="22" t="str">
        <f t="shared" ca="1" si="49"/>
        <v/>
      </c>
      <c r="U649" s="23" t="str">
        <f t="shared" si="50"/>
        <v/>
      </c>
      <c r="V649" s="23" t="str">
        <f t="shared" si="51"/>
        <v/>
      </c>
    </row>
    <row r="650" spans="5:22" x14ac:dyDescent="0.25">
      <c r="E650" s="21" t="str">
        <f t="shared" si="47"/>
        <v/>
      </c>
      <c r="F650" s="21"/>
      <c r="G650" s="21"/>
      <c r="H650" s="21"/>
      <c r="I650" s="21"/>
      <c r="J650" s="21"/>
      <c r="K650" s="21"/>
      <c r="L650" s="16" t="str">
        <f t="shared" ca="1" si="48"/>
        <v/>
      </c>
      <c r="M650" s="22" t="str">
        <f t="shared" ca="1" si="49"/>
        <v/>
      </c>
      <c r="U650" s="23" t="str">
        <f t="shared" si="50"/>
        <v/>
      </c>
      <c r="V650" s="23" t="str">
        <f t="shared" si="51"/>
        <v/>
      </c>
    </row>
    <row r="651" spans="5:22" x14ac:dyDescent="0.25">
      <c r="E651" s="21" t="str">
        <f t="shared" si="47"/>
        <v/>
      </c>
      <c r="F651" s="21"/>
      <c r="G651" s="21"/>
      <c r="H651" s="21"/>
      <c r="I651" s="21"/>
      <c r="J651" s="21"/>
      <c r="K651" s="21"/>
      <c r="L651" s="16" t="str">
        <f t="shared" ca="1" si="48"/>
        <v/>
      </c>
      <c r="M651" s="22" t="str">
        <f t="shared" ca="1" si="49"/>
        <v/>
      </c>
      <c r="U651" s="23" t="str">
        <f t="shared" si="50"/>
        <v/>
      </c>
      <c r="V651" s="23" t="str">
        <f t="shared" si="51"/>
        <v/>
      </c>
    </row>
    <row r="652" spans="5:22" x14ac:dyDescent="0.25">
      <c r="E652" s="21" t="str">
        <f t="shared" si="47"/>
        <v/>
      </c>
      <c r="F652" s="21"/>
      <c r="G652" s="21"/>
      <c r="H652" s="21"/>
      <c r="I652" s="21"/>
      <c r="J652" s="21"/>
      <c r="K652" s="21"/>
      <c r="L652" s="16" t="str">
        <f t="shared" ca="1" si="48"/>
        <v/>
      </c>
      <c r="M652" s="22" t="str">
        <f t="shared" ca="1" si="49"/>
        <v/>
      </c>
      <c r="U652" s="23" t="str">
        <f t="shared" si="50"/>
        <v/>
      </c>
      <c r="V652" s="23" t="str">
        <f t="shared" si="51"/>
        <v/>
      </c>
    </row>
    <row r="653" spans="5:22" x14ac:dyDescent="0.25">
      <c r="E653" s="21" t="str">
        <f t="shared" si="47"/>
        <v/>
      </c>
      <c r="F653" s="21"/>
      <c r="G653" s="21"/>
      <c r="H653" s="21"/>
      <c r="I653" s="21"/>
      <c r="J653" s="21"/>
      <c r="K653" s="21"/>
      <c r="L653" s="16" t="str">
        <f t="shared" ca="1" si="48"/>
        <v/>
      </c>
      <c r="M653" s="22" t="str">
        <f t="shared" ca="1" si="49"/>
        <v/>
      </c>
      <c r="U653" s="23" t="str">
        <f t="shared" si="50"/>
        <v/>
      </c>
      <c r="V653" s="23" t="str">
        <f t="shared" si="51"/>
        <v/>
      </c>
    </row>
    <row r="654" spans="5:22" x14ac:dyDescent="0.25">
      <c r="E654" s="21" t="str">
        <f t="shared" si="47"/>
        <v/>
      </c>
      <c r="F654" s="21"/>
      <c r="G654" s="21"/>
      <c r="H654" s="21"/>
      <c r="I654" s="21"/>
      <c r="J654" s="21"/>
      <c r="K654" s="21"/>
      <c r="L654" s="16" t="str">
        <f t="shared" ca="1" si="48"/>
        <v/>
      </c>
      <c r="M654" s="22" t="str">
        <f t="shared" ca="1" si="49"/>
        <v/>
      </c>
      <c r="U654" s="23" t="str">
        <f t="shared" si="50"/>
        <v/>
      </c>
      <c r="V654" s="23" t="str">
        <f t="shared" si="51"/>
        <v/>
      </c>
    </row>
    <row r="655" spans="5:22" x14ac:dyDescent="0.25">
      <c r="E655" s="21" t="str">
        <f t="shared" si="47"/>
        <v/>
      </c>
      <c r="F655" s="21"/>
      <c r="G655" s="21"/>
      <c r="H655" s="21"/>
      <c r="I655" s="21"/>
      <c r="J655" s="21"/>
      <c r="K655" s="21"/>
      <c r="L655" s="16" t="str">
        <f t="shared" ca="1" si="48"/>
        <v/>
      </c>
      <c r="M655" s="22" t="str">
        <f t="shared" ca="1" si="49"/>
        <v/>
      </c>
      <c r="U655" s="23" t="str">
        <f t="shared" si="50"/>
        <v/>
      </c>
      <c r="V655" s="23" t="str">
        <f t="shared" si="51"/>
        <v/>
      </c>
    </row>
    <row r="656" spans="5:22" x14ac:dyDescent="0.25">
      <c r="E656" s="21" t="str">
        <f t="shared" si="47"/>
        <v/>
      </c>
      <c r="F656" s="21"/>
      <c r="G656" s="21"/>
      <c r="H656" s="21"/>
      <c r="I656" s="21"/>
      <c r="J656" s="21"/>
      <c r="K656" s="21"/>
      <c r="L656" s="16" t="str">
        <f t="shared" ca="1" si="48"/>
        <v/>
      </c>
      <c r="M656" s="22" t="str">
        <f t="shared" ca="1" si="49"/>
        <v/>
      </c>
      <c r="U656" s="23" t="str">
        <f t="shared" si="50"/>
        <v/>
      </c>
      <c r="V656" s="23" t="str">
        <f t="shared" si="51"/>
        <v/>
      </c>
    </row>
    <row r="657" spans="5:22" x14ac:dyDescent="0.25">
      <c r="E657" s="21" t="str">
        <f t="shared" si="47"/>
        <v/>
      </c>
      <c r="F657" s="21"/>
      <c r="G657" s="21"/>
      <c r="H657" s="21"/>
      <c r="I657" s="21"/>
      <c r="J657" s="21"/>
      <c r="K657" s="21"/>
      <c r="L657" s="16" t="str">
        <f t="shared" ca="1" si="48"/>
        <v/>
      </c>
      <c r="M657" s="22" t="str">
        <f t="shared" ca="1" si="49"/>
        <v/>
      </c>
      <c r="U657" s="23" t="str">
        <f t="shared" si="50"/>
        <v/>
      </c>
      <c r="V657" s="23" t="str">
        <f t="shared" si="51"/>
        <v/>
      </c>
    </row>
    <row r="658" spans="5:22" x14ac:dyDescent="0.25">
      <c r="E658" s="21" t="str">
        <f t="shared" si="47"/>
        <v/>
      </c>
      <c r="F658" s="21"/>
      <c r="G658" s="21"/>
      <c r="H658" s="21"/>
      <c r="I658" s="21"/>
      <c r="J658" s="21"/>
      <c r="K658" s="21"/>
      <c r="L658" s="16" t="str">
        <f t="shared" ca="1" si="48"/>
        <v/>
      </c>
      <c r="M658" s="22" t="str">
        <f t="shared" ca="1" si="49"/>
        <v/>
      </c>
      <c r="U658" s="23" t="str">
        <f t="shared" si="50"/>
        <v/>
      </c>
      <c r="V658" s="23" t="str">
        <f t="shared" si="51"/>
        <v/>
      </c>
    </row>
    <row r="659" spans="5:22" x14ac:dyDescent="0.25">
      <c r="E659" s="21" t="str">
        <f t="shared" si="47"/>
        <v/>
      </c>
      <c r="F659" s="21"/>
      <c r="G659" s="21"/>
      <c r="H659" s="21"/>
      <c r="I659" s="21"/>
      <c r="J659" s="21"/>
      <c r="K659" s="21"/>
      <c r="L659" s="16" t="str">
        <f t="shared" ca="1" si="48"/>
        <v/>
      </c>
      <c r="M659" s="22" t="str">
        <f t="shared" ca="1" si="49"/>
        <v/>
      </c>
      <c r="U659" s="23" t="str">
        <f t="shared" si="50"/>
        <v/>
      </c>
      <c r="V659" s="23" t="str">
        <f t="shared" si="51"/>
        <v/>
      </c>
    </row>
    <row r="660" spans="5:22" x14ac:dyDescent="0.25">
      <c r="E660" s="21" t="str">
        <f t="shared" si="47"/>
        <v/>
      </c>
      <c r="F660" s="21"/>
      <c r="G660" s="21"/>
      <c r="H660" s="21"/>
      <c r="I660" s="21"/>
      <c r="J660" s="21"/>
      <c r="K660" s="21"/>
      <c r="L660" s="16" t="str">
        <f t="shared" ca="1" si="48"/>
        <v/>
      </c>
      <c r="M660" s="22" t="str">
        <f t="shared" ca="1" si="49"/>
        <v/>
      </c>
      <c r="U660" s="23" t="str">
        <f t="shared" si="50"/>
        <v/>
      </c>
      <c r="V660" s="23" t="str">
        <f t="shared" si="51"/>
        <v/>
      </c>
    </row>
    <row r="661" spans="5:22" x14ac:dyDescent="0.25">
      <c r="E661" s="21" t="str">
        <f t="shared" si="47"/>
        <v/>
      </c>
      <c r="F661" s="21"/>
      <c r="G661" s="21"/>
      <c r="H661" s="21"/>
      <c r="I661" s="21"/>
      <c r="J661" s="21"/>
      <c r="K661" s="21"/>
      <c r="L661" s="16" t="str">
        <f t="shared" ca="1" si="48"/>
        <v/>
      </c>
      <c r="M661" s="22" t="str">
        <f t="shared" ca="1" si="49"/>
        <v/>
      </c>
      <c r="U661" s="23" t="str">
        <f t="shared" si="50"/>
        <v/>
      </c>
      <c r="V661" s="23" t="str">
        <f t="shared" si="51"/>
        <v/>
      </c>
    </row>
    <row r="662" spans="5:22" x14ac:dyDescent="0.25">
      <c r="E662" s="21" t="str">
        <f t="shared" si="47"/>
        <v/>
      </c>
      <c r="F662" s="21"/>
      <c r="G662" s="21"/>
      <c r="H662" s="21"/>
      <c r="I662" s="21"/>
      <c r="J662" s="21"/>
      <c r="K662" s="21"/>
      <c r="L662" s="16" t="str">
        <f t="shared" ca="1" si="48"/>
        <v/>
      </c>
      <c r="M662" s="22" t="str">
        <f t="shared" ca="1" si="49"/>
        <v/>
      </c>
      <c r="U662" s="23" t="str">
        <f t="shared" si="50"/>
        <v/>
      </c>
      <c r="V662" s="23" t="str">
        <f t="shared" si="51"/>
        <v/>
      </c>
    </row>
    <row r="663" spans="5:22" x14ac:dyDescent="0.25">
      <c r="E663" s="21" t="str">
        <f t="shared" si="47"/>
        <v/>
      </c>
      <c r="F663" s="21"/>
      <c r="G663" s="21"/>
      <c r="H663" s="21"/>
      <c r="I663" s="21"/>
      <c r="J663" s="21"/>
      <c r="K663" s="21"/>
      <c r="L663" s="16" t="str">
        <f t="shared" ca="1" si="48"/>
        <v/>
      </c>
      <c r="M663" s="22" t="str">
        <f t="shared" ca="1" si="49"/>
        <v/>
      </c>
      <c r="U663" s="23" t="str">
        <f t="shared" si="50"/>
        <v/>
      </c>
      <c r="V663" s="23" t="str">
        <f t="shared" si="51"/>
        <v/>
      </c>
    </row>
    <row r="664" spans="5:22" x14ac:dyDescent="0.25">
      <c r="E664" s="21" t="str">
        <f t="shared" si="47"/>
        <v/>
      </c>
      <c r="F664" s="21"/>
      <c r="G664" s="21"/>
      <c r="H664" s="21"/>
      <c r="I664" s="21"/>
      <c r="J664" s="21"/>
      <c r="K664" s="21"/>
      <c r="L664" s="16" t="str">
        <f t="shared" ca="1" si="48"/>
        <v/>
      </c>
      <c r="M664" s="22" t="str">
        <f t="shared" ca="1" si="49"/>
        <v/>
      </c>
      <c r="U664" s="23" t="str">
        <f t="shared" si="50"/>
        <v/>
      </c>
      <c r="V664" s="23" t="str">
        <f t="shared" si="51"/>
        <v/>
      </c>
    </row>
    <row r="665" spans="5:22" x14ac:dyDescent="0.25">
      <c r="E665" s="21" t="str">
        <f t="shared" si="47"/>
        <v/>
      </c>
      <c r="F665" s="21"/>
      <c r="G665" s="21"/>
      <c r="H665" s="21"/>
      <c r="I665" s="21"/>
      <c r="J665" s="21"/>
      <c r="K665" s="21"/>
      <c r="L665" s="16" t="str">
        <f t="shared" ca="1" si="48"/>
        <v/>
      </c>
      <c r="M665" s="22" t="str">
        <f t="shared" ca="1" si="49"/>
        <v/>
      </c>
      <c r="U665" s="23" t="str">
        <f t="shared" si="50"/>
        <v/>
      </c>
      <c r="V665" s="23" t="str">
        <f t="shared" si="51"/>
        <v/>
      </c>
    </row>
    <row r="666" spans="5:22" x14ac:dyDescent="0.25">
      <c r="E666" s="21" t="str">
        <f t="shared" si="47"/>
        <v/>
      </c>
      <c r="F666" s="21"/>
      <c r="G666" s="21"/>
      <c r="H666" s="21"/>
      <c r="I666" s="21"/>
      <c r="J666" s="21"/>
      <c r="K666" s="21"/>
      <c r="L666" s="16" t="str">
        <f t="shared" ca="1" si="48"/>
        <v/>
      </c>
      <c r="M666" s="22" t="str">
        <f t="shared" ca="1" si="49"/>
        <v/>
      </c>
      <c r="U666" s="23" t="str">
        <f t="shared" si="50"/>
        <v/>
      </c>
      <c r="V666" s="23" t="str">
        <f t="shared" si="51"/>
        <v/>
      </c>
    </row>
    <row r="667" spans="5:22" x14ac:dyDescent="0.25">
      <c r="E667" s="21" t="str">
        <f t="shared" si="47"/>
        <v/>
      </c>
      <c r="F667" s="21"/>
      <c r="G667" s="21"/>
      <c r="H667" s="21"/>
      <c r="I667" s="21"/>
      <c r="J667" s="21"/>
      <c r="K667" s="21"/>
      <c r="L667" s="16" t="str">
        <f t="shared" ca="1" si="48"/>
        <v/>
      </c>
      <c r="M667" s="22" t="str">
        <f t="shared" ca="1" si="49"/>
        <v/>
      </c>
      <c r="U667" s="23" t="str">
        <f t="shared" si="50"/>
        <v/>
      </c>
      <c r="V667" s="23" t="str">
        <f t="shared" si="51"/>
        <v/>
      </c>
    </row>
    <row r="668" spans="5:22" x14ac:dyDescent="0.25">
      <c r="E668" s="21" t="str">
        <f t="shared" si="47"/>
        <v/>
      </c>
      <c r="F668" s="21"/>
      <c r="G668" s="21"/>
      <c r="H668" s="21"/>
      <c r="I668" s="21"/>
      <c r="J668" s="21"/>
      <c r="K668" s="21"/>
      <c r="L668" s="16" t="str">
        <f t="shared" ca="1" si="48"/>
        <v/>
      </c>
      <c r="M668" s="22" t="str">
        <f t="shared" ca="1" si="49"/>
        <v/>
      </c>
      <c r="U668" s="23" t="str">
        <f t="shared" si="50"/>
        <v/>
      </c>
      <c r="V668" s="23" t="str">
        <f t="shared" si="51"/>
        <v/>
      </c>
    </row>
    <row r="669" spans="5:22" x14ac:dyDescent="0.25">
      <c r="E669" s="21" t="str">
        <f t="shared" si="47"/>
        <v/>
      </c>
      <c r="F669" s="21"/>
      <c r="G669" s="21"/>
      <c r="H669" s="21"/>
      <c r="I669" s="21"/>
      <c r="J669" s="21"/>
      <c r="K669" s="21"/>
      <c r="L669" s="16" t="str">
        <f t="shared" ca="1" si="48"/>
        <v/>
      </c>
      <c r="M669" s="22" t="str">
        <f t="shared" ca="1" si="49"/>
        <v/>
      </c>
      <c r="U669" s="23" t="str">
        <f t="shared" si="50"/>
        <v/>
      </c>
      <c r="V669" s="23" t="str">
        <f t="shared" si="51"/>
        <v/>
      </c>
    </row>
    <row r="670" spans="5:22" x14ac:dyDescent="0.25">
      <c r="E670" s="21" t="str">
        <f t="shared" si="47"/>
        <v/>
      </c>
      <c r="F670" s="21"/>
      <c r="G670" s="21"/>
      <c r="H670" s="21"/>
      <c r="I670" s="21"/>
      <c r="J670" s="21"/>
      <c r="K670" s="21"/>
      <c r="L670" s="16" t="str">
        <f t="shared" ca="1" si="48"/>
        <v/>
      </c>
      <c r="M670" s="22" t="str">
        <f t="shared" ca="1" si="49"/>
        <v/>
      </c>
      <c r="U670" s="23" t="str">
        <f t="shared" si="50"/>
        <v/>
      </c>
      <c r="V670" s="23" t="str">
        <f t="shared" si="51"/>
        <v/>
      </c>
    </row>
    <row r="671" spans="5:22" x14ac:dyDescent="0.25">
      <c r="E671" s="21" t="str">
        <f t="shared" si="47"/>
        <v/>
      </c>
      <c r="F671" s="21"/>
      <c r="G671" s="21"/>
      <c r="H671" s="21"/>
      <c r="I671" s="21"/>
      <c r="J671" s="21"/>
      <c r="K671" s="21"/>
      <c r="L671" s="16" t="str">
        <f t="shared" ca="1" si="48"/>
        <v/>
      </c>
      <c r="M671" s="22" t="str">
        <f t="shared" ca="1" si="49"/>
        <v/>
      </c>
      <c r="U671" s="23" t="str">
        <f t="shared" si="50"/>
        <v/>
      </c>
      <c r="V671" s="23" t="str">
        <f t="shared" si="51"/>
        <v/>
      </c>
    </row>
    <row r="672" spans="5:22" x14ac:dyDescent="0.25">
      <c r="E672" s="21" t="str">
        <f t="shared" si="47"/>
        <v/>
      </c>
      <c r="F672" s="21"/>
      <c r="G672" s="21"/>
      <c r="H672" s="21"/>
      <c r="I672" s="21"/>
      <c r="J672" s="21"/>
      <c r="K672" s="21"/>
      <c r="L672" s="16" t="str">
        <f t="shared" ca="1" si="48"/>
        <v/>
      </c>
      <c r="M672" s="22" t="str">
        <f t="shared" ca="1" si="49"/>
        <v/>
      </c>
      <c r="U672" s="23" t="str">
        <f t="shared" si="50"/>
        <v/>
      </c>
      <c r="V672" s="23" t="str">
        <f t="shared" si="51"/>
        <v/>
      </c>
    </row>
    <row r="673" spans="5:22" x14ac:dyDescent="0.25">
      <c r="E673" s="21" t="str">
        <f t="shared" si="47"/>
        <v/>
      </c>
      <c r="F673" s="21"/>
      <c r="G673" s="21"/>
      <c r="H673" s="21"/>
      <c r="I673" s="21"/>
      <c r="J673" s="21"/>
      <c r="K673" s="21"/>
      <c r="L673" s="16" t="str">
        <f t="shared" ca="1" si="48"/>
        <v/>
      </c>
      <c r="M673" s="22" t="str">
        <f t="shared" ca="1" si="49"/>
        <v/>
      </c>
      <c r="U673" s="23" t="str">
        <f t="shared" si="50"/>
        <v/>
      </c>
      <c r="V673" s="23" t="str">
        <f t="shared" si="51"/>
        <v/>
      </c>
    </row>
    <row r="674" spans="5:22" x14ac:dyDescent="0.25">
      <c r="E674" s="21" t="str">
        <f t="shared" si="47"/>
        <v/>
      </c>
      <c r="F674" s="21"/>
      <c r="G674" s="21"/>
      <c r="H674" s="21"/>
      <c r="I674" s="21"/>
      <c r="J674" s="21"/>
      <c r="K674" s="21"/>
      <c r="L674" s="16" t="str">
        <f t="shared" ca="1" si="48"/>
        <v/>
      </c>
      <c r="M674" s="22" t="str">
        <f t="shared" ca="1" si="49"/>
        <v/>
      </c>
      <c r="U674" s="23" t="str">
        <f t="shared" si="50"/>
        <v/>
      </c>
      <c r="V674" s="23" t="str">
        <f t="shared" si="51"/>
        <v/>
      </c>
    </row>
    <row r="675" spans="5:22" x14ac:dyDescent="0.25">
      <c r="E675" s="21" t="str">
        <f t="shared" si="47"/>
        <v/>
      </c>
      <c r="F675" s="21"/>
      <c r="G675" s="21"/>
      <c r="H675" s="21"/>
      <c r="I675" s="21"/>
      <c r="J675" s="21"/>
      <c r="K675" s="21"/>
      <c r="L675" s="16" t="str">
        <f t="shared" ca="1" si="48"/>
        <v/>
      </c>
      <c r="M675" s="22" t="str">
        <f t="shared" ca="1" si="49"/>
        <v/>
      </c>
      <c r="U675" s="23" t="str">
        <f t="shared" si="50"/>
        <v/>
      </c>
      <c r="V675" s="23" t="str">
        <f t="shared" si="51"/>
        <v/>
      </c>
    </row>
    <row r="676" spans="5:22" x14ac:dyDescent="0.25">
      <c r="E676" s="21" t="str">
        <f t="shared" si="47"/>
        <v/>
      </c>
      <c r="F676" s="21"/>
      <c r="G676" s="21"/>
      <c r="H676" s="21"/>
      <c r="I676" s="21"/>
      <c r="J676" s="21"/>
      <c r="K676" s="21"/>
      <c r="L676" s="16" t="str">
        <f t="shared" ca="1" si="48"/>
        <v/>
      </c>
      <c r="M676" s="22" t="str">
        <f t="shared" ca="1" si="49"/>
        <v/>
      </c>
      <c r="U676" s="23" t="str">
        <f t="shared" si="50"/>
        <v/>
      </c>
      <c r="V676" s="23" t="str">
        <f t="shared" si="51"/>
        <v/>
      </c>
    </row>
    <row r="677" spans="5:22" x14ac:dyDescent="0.25">
      <c r="E677" s="21" t="str">
        <f t="shared" ref="E677:E740" si="52">IF(ISNUMBER(SEARCH("v crs",D677))=TRUE,"VC",IF(ISNUMBER(SEARCH("crs",D677))=TRUE,"C",IF(ISNUMBER(SEARCH("med",D677))=TRUE,"M",IF(ISNUMBER(SEARCH("vf",D677))=TRUE,"VF",IF(ISNUMBER(SEARCH("f",D677))=TRUE,"F","")))))</f>
        <v/>
      </c>
      <c r="F677" s="21"/>
      <c r="G677" s="21"/>
      <c r="H677" s="21"/>
      <c r="I677" s="21"/>
      <c r="J677" s="21"/>
      <c r="K677" s="21"/>
      <c r="L677" s="16" t="str">
        <f t="shared" ca="1" si="48"/>
        <v/>
      </c>
      <c r="M677" s="22" t="str">
        <f t="shared" ca="1" si="49"/>
        <v/>
      </c>
      <c r="U677" s="23" t="str">
        <f t="shared" si="50"/>
        <v/>
      </c>
      <c r="V677" s="23" t="str">
        <f t="shared" si="51"/>
        <v/>
      </c>
    </row>
    <row r="678" spans="5:22" x14ac:dyDescent="0.25">
      <c r="E678" s="21" t="str">
        <f t="shared" si="52"/>
        <v/>
      </c>
      <c r="F678" s="21"/>
      <c r="G678" s="21"/>
      <c r="H678" s="21"/>
      <c r="I678" s="21"/>
      <c r="J678" s="21"/>
      <c r="K678" s="21"/>
      <c r="L678" s="16" t="str">
        <f t="shared" ca="1" si="48"/>
        <v/>
      </c>
      <c r="M678" s="22" t="str">
        <f t="shared" ca="1" si="49"/>
        <v/>
      </c>
      <c r="U678" s="23" t="str">
        <f t="shared" si="50"/>
        <v/>
      </c>
      <c r="V678" s="23" t="str">
        <f t="shared" si="51"/>
        <v/>
      </c>
    </row>
    <row r="679" spans="5:22" x14ac:dyDescent="0.25">
      <c r="E679" s="21" t="str">
        <f t="shared" si="52"/>
        <v/>
      </c>
      <c r="F679" s="21"/>
      <c r="G679" s="21"/>
      <c r="H679" s="21"/>
      <c r="I679" s="21"/>
      <c r="J679" s="21"/>
      <c r="K679" s="21"/>
      <c r="L679" s="16" t="str">
        <f t="shared" ca="1" si="48"/>
        <v/>
      </c>
      <c r="M679" s="22" t="str">
        <f t="shared" ca="1" si="49"/>
        <v/>
      </c>
      <c r="U679" s="23" t="str">
        <f t="shared" si="50"/>
        <v/>
      </c>
      <c r="V679" s="23" t="str">
        <f t="shared" si="51"/>
        <v/>
      </c>
    </row>
    <row r="680" spans="5:22" x14ac:dyDescent="0.25">
      <c r="E680" s="21" t="str">
        <f t="shared" si="52"/>
        <v/>
      </c>
      <c r="F680" s="21"/>
      <c r="G680" s="21"/>
      <c r="H680" s="21"/>
      <c r="I680" s="21"/>
      <c r="J680" s="21"/>
      <c r="K680" s="21"/>
      <c r="L680" s="16" t="str">
        <f t="shared" ca="1" si="48"/>
        <v/>
      </c>
      <c r="M680" s="22" t="str">
        <f t="shared" ca="1" si="49"/>
        <v/>
      </c>
      <c r="U680" s="23" t="str">
        <f t="shared" si="50"/>
        <v/>
      </c>
      <c r="V680" s="23" t="str">
        <f t="shared" si="51"/>
        <v/>
      </c>
    </row>
    <row r="681" spans="5:22" x14ac:dyDescent="0.25">
      <c r="E681" s="21" t="str">
        <f t="shared" si="52"/>
        <v/>
      </c>
      <c r="F681" s="21"/>
      <c r="G681" s="21"/>
      <c r="H681" s="21"/>
      <c r="I681" s="21"/>
      <c r="J681" s="21"/>
      <c r="K681" s="21"/>
      <c r="L681" s="16" t="str">
        <f t="shared" ca="1" si="48"/>
        <v/>
      </c>
      <c r="M681" s="22" t="str">
        <f t="shared" ca="1" si="49"/>
        <v/>
      </c>
      <c r="U681" s="23" t="str">
        <f t="shared" si="50"/>
        <v/>
      </c>
      <c r="V681" s="23" t="str">
        <f t="shared" si="51"/>
        <v/>
      </c>
    </row>
    <row r="682" spans="5:22" x14ac:dyDescent="0.25">
      <c r="E682" s="21" t="str">
        <f t="shared" si="52"/>
        <v/>
      </c>
      <c r="F682" s="21"/>
      <c r="G682" s="21"/>
      <c r="H682" s="21"/>
      <c r="I682" s="21"/>
      <c r="J682" s="21"/>
      <c r="K682" s="21"/>
      <c r="L682" s="16" t="str">
        <f t="shared" ca="1" si="48"/>
        <v/>
      </c>
      <c r="M682" s="22" t="str">
        <f t="shared" ca="1" si="49"/>
        <v/>
      </c>
      <c r="U682" s="23" t="str">
        <f t="shared" si="50"/>
        <v/>
      </c>
      <c r="V682" s="23" t="str">
        <f t="shared" si="51"/>
        <v/>
      </c>
    </row>
    <row r="683" spans="5:22" x14ac:dyDescent="0.25">
      <c r="E683" s="21" t="str">
        <f t="shared" si="52"/>
        <v/>
      </c>
      <c r="F683" s="21"/>
      <c r="G683" s="21"/>
      <c r="H683" s="21"/>
      <c r="I683" s="21"/>
      <c r="J683" s="21"/>
      <c r="K683" s="21"/>
      <c r="L683" s="16" t="str">
        <f t="shared" ca="1" si="48"/>
        <v/>
      </c>
      <c r="M683" s="22" t="str">
        <f t="shared" ca="1" si="49"/>
        <v/>
      </c>
      <c r="U683" s="23" t="str">
        <f t="shared" si="50"/>
        <v/>
      </c>
      <c r="V683" s="23" t="str">
        <f t="shared" si="51"/>
        <v/>
      </c>
    </row>
    <row r="684" spans="5:22" x14ac:dyDescent="0.25">
      <c r="E684" s="21" t="str">
        <f t="shared" si="52"/>
        <v/>
      </c>
      <c r="F684" s="21"/>
      <c r="G684" s="21"/>
      <c r="H684" s="21"/>
      <c r="I684" s="21"/>
      <c r="J684" s="21"/>
      <c r="K684" s="21"/>
      <c r="L684" s="16" t="str">
        <f t="shared" ca="1" si="48"/>
        <v/>
      </c>
      <c r="M684" s="22" t="str">
        <f t="shared" ca="1" si="49"/>
        <v/>
      </c>
      <c r="U684" s="23" t="str">
        <f t="shared" si="50"/>
        <v/>
      </c>
      <c r="V684" s="23" t="str">
        <f t="shared" si="51"/>
        <v/>
      </c>
    </row>
    <row r="685" spans="5:22" x14ac:dyDescent="0.25">
      <c r="E685" s="21" t="str">
        <f t="shared" si="52"/>
        <v/>
      </c>
      <c r="F685" s="21"/>
      <c r="G685" s="21"/>
      <c r="H685" s="21"/>
      <c r="I685" s="21"/>
      <c r="J685" s="21"/>
      <c r="K685" s="21"/>
      <c r="L685" s="16" t="str">
        <f t="shared" ca="1" si="48"/>
        <v/>
      </c>
      <c r="M685" s="22" t="str">
        <f t="shared" ca="1" si="49"/>
        <v/>
      </c>
      <c r="U685" s="23" t="str">
        <f t="shared" si="50"/>
        <v/>
      </c>
      <c r="V685" s="23" t="str">
        <f t="shared" si="51"/>
        <v/>
      </c>
    </row>
    <row r="686" spans="5:22" x14ac:dyDescent="0.25">
      <c r="E686" s="21" t="str">
        <f t="shared" si="52"/>
        <v/>
      </c>
      <c r="F686" s="21"/>
      <c r="G686" s="21"/>
      <c r="H686" s="21"/>
      <c r="I686" s="21"/>
      <c r="J686" s="21"/>
      <c r="K686" s="21"/>
      <c r="L686" s="16" t="str">
        <f t="shared" ca="1" si="48"/>
        <v/>
      </c>
      <c r="M686" s="22" t="str">
        <f t="shared" ca="1" si="49"/>
        <v/>
      </c>
      <c r="U686" s="23" t="str">
        <f t="shared" si="50"/>
        <v/>
      </c>
      <c r="V686" s="23" t="str">
        <f t="shared" si="51"/>
        <v/>
      </c>
    </row>
    <row r="687" spans="5:22" x14ac:dyDescent="0.25">
      <c r="E687" s="21" t="str">
        <f t="shared" si="52"/>
        <v/>
      </c>
      <c r="F687" s="21"/>
      <c r="G687" s="21"/>
      <c r="H687" s="21"/>
      <c r="I687" s="21"/>
      <c r="J687" s="21"/>
      <c r="K687" s="21"/>
      <c r="L687" s="16" t="str">
        <f t="shared" ca="1" si="48"/>
        <v/>
      </c>
      <c r="M687" s="22" t="str">
        <f t="shared" ca="1" si="49"/>
        <v/>
      </c>
      <c r="U687" s="23" t="str">
        <f t="shared" si="50"/>
        <v/>
      </c>
      <c r="V687" s="23" t="str">
        <f t="shared" si="51"/>
        <v/>
      </c>
    </row>
    <row r="688" spans="5:22" x14ac:dyDescent="0.25">
      <c r="E688" s="21" t="str">
        <f t="shared" si="52"/>
        <v/>
      </c>
      <c r="F688" s="21"/>
      <c r="G688" s="21"/>
      <c r="H688" s="21"/>
      <c r="I688" s="21"/>
      <c r="J688" s="21"/>
      <c r="K688" s="21"/>
      <c r="L688" s="16" t="str">
        <f t="shared" ca="1" si="48"/>
        <v/>
      </c>
      <c r="M688" s="22" t="str">
        <f t="shared" ca="1" si="49"/>
        <v/>
      </c>
      <c r="U688" s="23" t="str">
        <f t="shared" si="50"/>
        <v/>
      </c>
      <c r="V688" s="23" t="str">
        <f t="shared" si="51"/>
        <v/>
      </c>
    </row>
    <row r="689" spans="5:22" x14ac:dyDescent="0.25">
      <c r="E689" s="21" t="str">
        <f t="shared" si="52"/>
        <v/>
      </c>
      <c r="F689" s="21"/>
      <c r="G689" s="21"/>
      <c r="H689" s="21"/>
      <c r="I689" s="21"/>
      <c r="J689" s="21"/>
      <c r="K689" s="21"/>
      <c r="L689" s="16" t="str">
        <f t="shared" ca="1" si="48"/>
        <v/>
      </c>
      <c r="M689" s="22" t="str">
        <f t="shared" ca="1" si="49"/>
        <v/>
      </c>
      <c r="U689" s="23" t="str">
        <f t="shared" si="50"/>
        <v/>
      </c>
      <c r="V689" s="23" t="str">
        <f t="shared" si="51"/>
        <v/>
      </c>
    </row>
    <row r="690" spans="5:22" x14ac:dyDescent="0.25">
      <c r="E690" s="21" t="str">
        <f t="shared" si="52"/>
        <v/>
      </c>
      <c r="F690" s="21"/>
      <c r="G690" s="21"/>
      <c r="H690" s="21"/>
      <c r="I690" s="21"/>
      <c r="J690" s="21"/>
      <c r="K690" s="21"/>
      <c r="L690" s="16" t="str">
        <f t="shared" ca="1" si="48"/>
        <v/>
      </c>
      <c r="M690" s="22" t="str">
        <f t="shared" ca="1" si="49"/>
        <v/>
      </c>
      <c r="U690" s="23" t="str">
        <f t="shared" si="50"/>
        <v/>
      </c>
      <c r="V690" s="23" t="str">
        <f t="shared" si="51"/>
        <v/>
      </c>
    </row>
    <row r="691" spans="5:22" x14ac:dyDescent="0.25">
      <c r="E691" s="21" t="str">
        <f t="shared" si="52"/>
        <v/>
      </c>
      <c r="F691" s="21"/>
      <c r="G691" s="21"/>
      <c r="H691" s="21"/>
      <c r="I691" s="21"/>
      <c r="J691" s="21"/>
      <c r="K691" s="21"/>
      <c r="L691" s="16" t="str">
        <f t="shared" ca="1" si="48"/>
        <v/>
      </c>
      <c r="M691" s="22" t="str">
        <f t="shared" ca="1" si="49"/>
        <v/>
      </c>
      <c r="U691" s="23" t="str">
        <f t="shared" si="50"/>
        <v/>
      </c>
      <c r="V691" s="23" t="str">
        <f t="shared" si="51"/>
        <v/>
      </c>
    </row>
    <row r="692" spans="5:22" x14ac:dyDescent="0.25">
      <c r="E692" s="21" t="str">
        <f t="shared" si="52"/>
        <v/>
      </c>
      <c r="F692" s="21"/>
      <c r="G692" s="21"/>
      <c r="H692" s="21"/>
      <c r="I692" s="21"/>
      <c r="J692" s="21"/>
      <c r="K692" s="21"/>
      <c r="L692" s="16" t="str">
        <f t="shared" ca="1" si="48"/>
        <v/>
      </c>
      <c r="M692" s="22" t="str">
        <f t="shared" ca="1" si="49"/>
        <v/>
      </c>
      <c r="U692" s="23" t="str">
        <f t="shared" si="50"/>
        <v/>
      </c>
      <c r="V692" s="23" t="str">
        <f t="shared" si="51"/>
        <v/>
      </c>
    </row>
    <row r="693" spans="5:22" x14ac:dyDescent="0.25">
      <c r="E693" s="21" t="str">
        <f t="shared" si="52"/>
        <v/>
      </c>
      <c r="F693" s="21"/>
      <c r="G693" s="21"/>
      <c r="H693" s="21"/>
      <c r="I693" s="21"/>
      <c r="J693" s="21"/>
      <c r="K693" s="21"/>
      <c r="L693" s="16" t="str">
        <f t="shared" ca="1" si="48"/>
        <v/>
      </c>
      <c r="M693" s="22" t="str">
        <f t="shared" ca="1" si="49"/>
        <v/>
      </c>
      <c r="U693" s="23" t="str">
        <f t="shared" si="50"/>
        <v/>
      </c>
      <c r="V693" s="23" t="str">
        <f t="shared" si="51"/>
        <v/>
      </c>
    </row>
    <row r="694" spans="5:22" x14ac:dyDescent="0.25">
      <c r="E694" s="21" t="str">
        <f t="shared" si="52"/>
        <v/>
      </c>
      <c r="F694" s="21"/>
      <c r="G694" s="21"/>
      <c r="H694" s="21"/>
      <c r="I694" s="21"/>
      <c r="J694" s="21"/>
      <c r="K694" s="21"/>
      <c r="L694" s="16" t="str">
        <f t="shared" ca="1" si="48"/>
        <v/>
      </c>
      <c r="M694" s="22" t="str">
        <f t="shared" ca="1" si="49"/>
        <v/>
      </c>
      <c r="U694" s="23" t="str">
        <f t="shared" si="50"/>
        <v/>
      </c>
      <c r="V694" s="23" t="str">
        <f t="shared" si="51"/>
        <v/>
      </c>
    </row>
    <row r="695" spans="5:22" x14ac:dyDescent="0.25">
      <c r="E695" s="21" t="str">
        <f t="shared" si="52"/>
        <v/>
      </c>
      <c r="F695" s="21"/>
      <c r="G695" s="21"/>
      <c r="H695" s="21"/>
      <c r="I695" s="21"/>
      <c r="J695" s="21"/>
      <c r="K695" s="21"/>
      <c r="L695" s="16" t="str">
        <f t="shared" ca="1" si="48"/>
        <v/>
      </c>
      <c r="M695" s="22" t="str">
        <f t="shared" ca="1" si="49"/>
        <v/>
      </c>
      <c r="U695" s="23" t="str">
        <f t="shared" si="50"/>
        <v/>
      </c>
      <c r="V695" s="23" t="str">
        <f t="shared" si="51"/>
        <v/>
      </c>
    </row>
    <row r="696" spans="5:22" x14ac:dyDescent="0.25">
      <c r="E696" s="21" t="str">
        <f t="shared" si="52"/>
        <v/>
      </c>
      <c r="F696" s="21"/>
      <c r="G696" s="21"/>
      <c r="H696" s="21"/>
      <c r="I696" s="21"/>
      <c r="J696" s="21"/>
      <c r="K696" s="21"/>
      <c r="L696" s="16" t="str">
        <f t="shared" ca="1" si="48"/>
        <v/>
      </c>
      <c r="M696" s="22" t="str">
        <f t="shared" ca="1" si="49"/>
        <v/>
      </c>
      <c r="U696" s="23" t="str">
        <f t="shared" si="50"/>
        <v/>
      </c>
      <c r="V696" s="23" t="str">
        <f t="shared" si="51"/>
        <v/>
      </c>
    </row>
    <row r="697" spans="5:22" x14ac:dyDescent="0.25">
      <c r="E697" s="21" t="str">
        <f t="shared" si="52"/>
        <v/>
      </c>
      <c r="F697" s="21"/>
      <c r="G697" s="21"/>
      <c r="H697" s="21"/>
      <c r="I697" s="21"/>
      <c r="J697" s="21"/>
      <c r="K697" s="21"/>
      <c r="L697" s="16" t="str">
        <f t="shared" ca="1" si="48"/>
        <v/>
      </c>
      <c r="M697" s="22" t="str">
        <f t="shared" ca="1" si="49"/>
        <v/>
      </c>
      <c r="U697" s="23" t="str">
        <f t="shared" si="50"/>
        <v/>
      </c>
      <c r="V697" s="23" t="str">
        <f t="shared" si="51"/>
        <v/>
      </c>
    </row>
    <row r="698" spans="5:22" x14ac:dyDescent="0.25">
      <c r="E698" s="21" t="str">
        <f t="shared" si="52"/>
        <v/>
      </c>
      <c r="F698" s="21"/>
      <c r="G698" s="21"/>
      <c r="H698" s="21"/>
      <c r="I698" s="21"/>
      <c r="J698" s="21"/>
      <c r="K698" s="21"/>
      <c r="L698" s="16" t="str">
        <f t="shared" ca="1" si="48"/>
        <v/>
      </c>
      <c r="M698" s="22" t="str">
        <f t="shared" ca="1" si="49"/>
        <v/>
      </c>
      <c r="U698" s="23" t="str">
        <f t="shared" si="50"/>
        <v/>
      </c>
      <c r="V698" s="23" t="str">
        <f t="shared" si="51"/>
        <v/>
      </c>
    </row>
    <row r="699" spans="5:22" x14ac:dyDescent="0.25">
      <c r="E699" s="21" t="str">
        <f t="shared" si="52"/>
        <v/>
      </c>
      <c r="F699" s="21"/>
      <c r="G699" s="21"/>
      <c r="H699" s="21"/>
      <c r="I699" s="21"/>
      <c r="J699" s="21"/>
      <c r="K699" s="21"/>
      <c r="L699" s="16" t="str">
        <f t="shared" ca="1" si="48"/>
        <v/>
      </c>
      <c r="M699" s="22" t="str">
        <f t="shared" ca="1" si="49"/>
        <v/>
      </c>
      <c r="U699" s="23" t="str">
        <f t="shared" si="50"/>
        <v/>
      </c>
      <c r="V699" s="23" t="str">
        <f t="shared" si="51"/>
        <v/>
      </c>
    </row>
    <row r="700" spans="5:22" x14ac:dyDescent="0.25">
      <c r="E700" s="21" t="str">
        <f t="shared" si="52"/>
        <v/>
      </c>
      <c r="F700" s="21"/>
      <c r="G700" s="21"/>
      <c r="H700" s="21"/>
      <c r="I700" s="21"/>
      <c r="J700" s="21"/>
      <c r="K700" s="21"/>
      <c r="L700" s="16" t="str">
        <f t="shared" ca="1" si="48"/>
        <v/>
      </c>
      <c r="M700" s="22" t="str">
        <f t="shared" ca="1" si="49"/>
        <v/>
      </c>
      <c r="U700" s="23" t="str">
        <f t="shared" si="50"/>
        <v/>
      </c>
      <c r="V700" s="23" t="str">
        <f t="shared" si="51"/>
        <v/>
      </c>
    </row>
    <row r="701" spans="5:22" x14ac:dyDescent="0.25">
      <c r="E701" s="21" t="str">
        <f t="shared" si="52"/>
        <v/>
      </c>
      <c r="F701" s="21"/>
      <c r="G701" s="21"/>
      <c r="H701" s="21"/>
      <c r="I701" s="21"/>
      <c r="J701" s="21"/>
      <c r="K701" s="21"/>
      <c r="L701" s="16" t="str">
        <f t="shared" ref="L701:L764" ca="1" si="53">IF(AND(C701&lt;&gt;"",C701&lt;&gt;U701),TODAY(),IF(C701="","",L701))</f>
        <v/>
      </c>
      <c r="M701" s="22" t="str">
        <f t="shared" ref="M701:M764" ca="1" si="54">IF(AND(C701&lt;&gt;"",C701&lt;&gt;V701),NOW(),IF(C701="","",M701))</f>
        <v/>
      </c>
      <c r="U701" s="23" t="str">
        <f t="shared" si="50"/>
        <v/>
      </c>
      <c r="V701" s="23" t="str">
        <f t="shared" si="51"/>
        <v/>
      </c>
    </row>
    <row r="702" spans="5:22" x14ac:dyDescent="0.25">
      <c r="E702" s="21" t="str">
        <f t="shared" si="52"/>
        <v/>
      </c>
      <c r="F702" s="21"/>
      <c r="G702" s="21"/>
      <c r="H702" s="21"/>
      <c r="I702" s="21"/>
      <c r="J702" s="21"/>
      <c r="K702" s="21"/>
      <c r="L702" s="16" t="str">
        <f t="shared" ca="1" si="53"/>
        <v/>
      </c>
      <c r="M702" s="22" t="str">
        <f t="shared" ca="1" si="54"/>
        <v/>
      </c>
      <c r="U702" s="23" t="str">
        <f t="shared" si="50"/>
        <v/>
      </c>
      <c r="V702" s="23" t="str">
        <f t="shared" si="51"/>
        <v/>
      </c>
    </row>
    <row r="703" spans="5:22" x14ac:dyDescent="0.25">
      <c r="E703" s="21" t="str">
        <f t="shared" si="52"/>
        <v/>
      </c>
      <c r="F703" s="21"/>
      <c r="G703" s="21"/>
      <c r="H703" s="21"/>
      <c r="I703" s="21"/>
      <c r="J703" s="21"/>
      <c r="K703" s="21"/>
      <c r="L703" s="16" t="str">
        <f t="shared" ca="1" si="53"/>
        <v/>
      </c>
      <c r="M703" s="22" t="str">
        <f t="shared" ca="1" si="54"/>
        <v/>
      </c>
      <c r="U703" s="23" t="str">
        <f t="shared" si="50"/>
        <v/>
      </c>
      <c r="V703" s="23" t="str">
        <f t="shared" si="51"/>
        <v/>
      </c>
    </row>
    <row r="704" spans="5:22" x14ac:dyDescent="0.25">
      <c r="E704" s="21" t="str">
        <f t="shared" si="52"/>
        <v/>
      </c>
      <c r="F704" s="21"/>
      <c r="G704" s="21"/>
      <c r="H704" s="21"/>
      <c r="I704" s="21"/>
      <c r="J704" s="21"/>
      <c r="K704" s="21"/>
      <c r="L704" s="16" t="str">
        <f t="shared" ca="1" si="53"/>
        <v/>
      </c>
      <c r="M704" s="22" t="str">
        <f t="shared" ca="1" si="54"/>
        <v/>
      </c>
      <c r="U704" s="23" t="str">
        <f t="shared" si="50"/>
        <v/>
      </c>
      <c r="V704" s="23" t="str">
        <f t="shared" si="51"/>
        <v/>
      </c>
    </row>
    <row r="705" spans="5:22" x14ac:dyDescent="0.25">
      <c r="E705" s="21" t="str">
        <f t="shared" si="52"/>
        <v/>
      </c>
      <c r="F705" s="21"/>
      <c r="G705" s="21"/>
      <c r="H705" s="21"/>
      <c r="I705" s="21"/>
      <c r="J705" s="21"/>
      <c r="K705" s="21"/>
      <c r="L705" s="16" t="str">
        <f t="shared" ca="1" si="53"/>
        <v/>
      </c>
      <c r="M705" s="22" t="str">
        <f t="shared" ca="1" si="54"/>
        <v/>
      </c>
      <c r="U705" s="23" t="str">
        <f t="shared" si="50"/>
        <v/>
      </c>
      <c r="V705" s="23" t="str">
        <f t="shared" si="51"/>
        <v/>
      </c>
    </row>
    <row r="706" spans="5:22" x14ac:dyDescent="0.25">
      <c r="E706" s="21" t="str">
        <f t="shared" si="52"/>
        <v/>
      </c>
      <c r="F706" s="21"/>
      <c r="G706" s="21"/>
      <c r="H706" s="21"/>
      <c r="I706" s="21"/>
      <c r="J706" s="21"/>
      <c r="K706" s="21"/>
      <c r="L706" s="16" t="str">
        <f t="shared" ca="1" si="53"/>
        <v/>
      </c>
      <c r="M706" s="22" t="str">
        <f t="shared" ca="1" si="54"/>
        <v/>
      </c>
      <c r="U706" s="23" t="str">
        <f t="shared" si="50"/>
        <v/>
      </c>
      <c r="V706" s="23" t="str">
        <f t="shared" si="51"/>
        <v/>
      </c>
    </row>
    <row r="707" spans="5:22" x14ac:dyDescent="0.25">
      <c r="E707" s="21" t="str">
        <f t="shared" si="52"/>
        <v/>
      </c>
      <c r="F707" s="21"/>
      <c r="G707" s="21"/>
      <c r="H707" s="21"/>
      <c r="I707" s="21"/>
      <c r="J707" s="21"/>
      <c r="K707" s="21"/>
      <c r="L707" s="16" t="str">
        <f t="shared" ca="1" si="53"/>
        <v/>
      </c>
      <c r="M707" s="22" t="str">
        <f t="shared" ca="1" si="54"/>
        <v/>
      </c>
      <c r="U707" s="23" t="str">
        <f t="shared" si="50"/>
        <v/>
      </c>
      <c r="V707" s="23" t="str">
        <f t="shared" si="51"/>
        <v/>
      </c>
    </row>
    <row r="708" spans="5:22" x14ac:dyDescent="0.25">
      <c r="E708" s="21" t="str">
        <f t="shared" si="52"/>
        <v/>
      </c>
      <c r="F708" s="21"/>
      <c r="G708" s="21"/>
      <c r="H708" s="21"/>
      <c r="I708" s="21"/>
      <c r="J708" s="21"/>
      <c r="K708" s="21"/>
      <c r="L708" s="16" t="str">
        <f t="shared" ca="1" si="53"/>
        <v/>
      </c>
      <c r="M708" s="22" t="str">
        <f t="shared" ca="1" si="54"/>
        <v/>
      </c>
      <c r="U708" s="23" t="str">
        <f t="shared" ref="U708:U771" si="55">IF(C708="","",IF(OR(L708="",AND(ISNUMBER(U708),C708=U708)),U708,C708))</f>
        <v/>
      </c>
      <c r="V708" s="23" t="str">
        <f t="shared" ref="V708:V771" si="56">IF(C708="","",IF(OR(M708="",AND(ISNUMBER(V708),C708=V708)),V708,C708))</f>
        <v/>
      </c>
    </row>
    <row r="709" spans="5:22" x14ac:dyDescent="0.25">
      <c r="E709" s="21" t="str">
        <f t="shared" si="52"/>
        <v/>
      </c>
      <c r="F709" s="21"/>
      <c r="G709" s="21"/>
      <c r="H709" s="21"/>
      <c r="I709" s="21"/>
      <c r="J709" s="21"/>
      <c r="K709" s="21"/>
      <c r="L709" s="16" t="str">
        <f t="shared" ca="1" si="53"/>
        <v/>
      </c>
      <c r="M709" s="22" t="str">
        <f t="shared" ca="1" si="54"/>
        <v/>
      </c>
      <c r="U709" s="23" t="str">
        <f t="shared" si="55"/>
        <v/>
      </c>
      <c r="V709" s="23" t="str">
        <f t="shared" si="56"/>
        <v/>
      </c>
    </row>
    <row r="710" spans="5:22" x14ac:dyDescent="0.25">
      <c r="E710" s="21" t="str">
        <f t="shared" si="52"/>
        <v/>
      </c>
      <c r="F710" s="21"/>
      <c r="G710" s="21"/>
      <c r="H710" s="21"/>
      <c r="I710" s="21"/>
      <c r="J710" s="21"/>
      <c r="K710" s="21"/>
      <c r="L710" s="16" t="str">
        <f t="shared" ca="1" si="53"/>
        <v/>
      </c>
      <c r="M710" s="22" t="str">
        <f t="shared" ca="1" si="54"/>
        <v/>
      </c>
      <c r="U710" s="23" t="str">
        <f t="shared" si="55"/>
        <v/>
      </c>
      <c r="V710" s="23" t="str">
        <f t="shared" si="56"/>
        <v/>
      </c>
    </row>
    <row r="711" spans="5:22" x14ac:dyDescent="0.25">
      <c r="E711" s="21" t="str">
        <f t="shared" si="52"/>
        <v/>
      </c>
      <c r="F711" s="21"/>
      <c r="G711" s="21"/>
      <c r="H711" s="21"/>
      <c r="I711" s="21"/>
      <c r="J711" s="21"/>
      <c r="K711" s="21"/>
      <c r="L711" s="16" t="str">
        <f t="shared" ca="1" si="53"/>
        <v/>
      </c>
      <c r="M711" s="22" t="str">
        <f t="shared" ca="1" si="54"/>
        <v/>
      </c>
      <c r="U711" s="23" t="str">
        <f t="shared" si="55"/>
        <v/>
      </c>
      <c r="V711" s="23" t="str">
        <f t="shared" si="56"/>
        <v/>
      </c>
    </row>
    <row r="712" spans="5:22" x14ac:dyDescent="0.25">
      <c r="E712" s="21" t="str">
        <f t="shared" si="52"/>
        <v/>
      </c>
      <c r="F712" s="21"/>
      <c r="G712" s="21"/>
      <c r="H712" s="21"/>
      <c r="I712" s="21"/>
      <c r="J712" s="21"/>
      <c r="K712" s="21"/>
      <c r="L712" s="16" t="str">
        <f t="shared" ca="1" si="53"/>
        <v/>
      </c>
      <c r="M712" s="22" t="str">
        <f t="shared" ca="1" si="54"/>
        <v/>
      </c>
      <c r="U712" s="23" t="str">
        <f t="shared" si="55"/>
        <v/>
      </c>
      <c r="V712" s="23" t="str">
        <f t="shared" si="56"/>
        <v/>
      </c>
    </row>
    <row r="713" spans="5:22" x14ac:dyDescent="0.25">
      <c r="E713" s="21" t="str">
        <f t="shared" si="52"/>
        <v/>
      </c>
      <c r="F713" s="21"/>
      <c r="G713" s="21"/>
      <c r="H713" s="21"/>
      <c r="I713" s="21"/>
      <c r="J713" s="21"/>
      <c r="K713" s="21"/>
      <c r="L713" s="16" t="str">
        <f t="shared" ca="1" si="53"/>
        <v/>
      </c>
      <c r="M713" s="22" t="str">
        <f t="shared" ca="1" si="54"/>
        <v/>
      </c>
      <c r="U713" s="23" t="str">
        <f t="shared" si="55"/>
        <v/>
      </c>
      <c r="V713" s="23" t="str">
        <f t="shared" si="56"/>
        <v/>
      </c>
    </row>
    <row r="714" spans="5:22" x14ac:dyDescent="0.25">
      <c r="E714" s="21" t="str">
        <f t="shared" si="52"/>
        <v/>
      </c>
      <c r="F714" s="21"/>
      <c r="G714" s="21"/>
      <c r="H714" s="21"/>
      <c r="I714" s="21"/>
      <c r="J714" s="21"/>
      <c r="K714" s="21"/>
      <c r="L714" s="16" t="str">
        <f t="shared" ca="1" si="53"/>
        <v/>
      </c>
      <c r="M714" s="22" t="str">
        <f t="shared" ca="1" si="54"/>
        <v/>
      </c>
      <c r="U714" s="23" t="str">
        <f t="shared" si="55"/>
        <v/>
      </c>
      <c r="V714" s="23" t="str">
        <f t="shared" si="56"/>
        <v/>
      </c>
    </row>
    <row r="715" spans="5:22" x14ac:dyDescent="0.25">
      <c r="E715" s="21" t="str">
        <f t="shared" si="52"/>
        <v/>
      </c>
      <c r="F715" s="21"/>
      <c r="G715" s="21"/>
      <c r="H715" s="21"/>
      <c r="I715" s="21"/>
      <c r="J715" s="21"/>
      <c r="K715" s="21"/>
      <c r="L715" s="16" t="str">
        <f t="shared" ca="1" si="53"/>
        <v/>
      </c>
      <c r="M715" s="22" t="str">
        <f t="shared" ca="1" si="54"/>
        <v/>
      </c>
      <c r="U715" s="23" t="str">
        <f t="shared" si="55"/>
        <v/>
      </c>
      <c r="V715" s="23" t="str">
        <f t="shared" si="56"/>
        <v/>
      </c>
    </row>
    <row r="716" spans="5:22" x14ac:dyDescent="0.25">
      <c r="E716" s="21" t="str">
        <f t="shared" si="52"/>
        <v/>
      </c>
      <c r="F716" s="21"/>
      <c r="G716" s="21"/>
      <c r="H716" s="21"/>
      <c r="I716" s="21"/>
      <c r="J716" s="21"/>
      <c r="K716" s="21"/>
      <c r="L716" s="16" t="str">
        <f t="shared" ca="1" si="53"/>
        <v/>
      </c>
      <c r="M716" s="22" t="str">
        <f t="shared" ca="1" si="54"/>
        <v/>
      </c>
      <c r="U716" s="23" t="str">
        <f t="shared" si="55"/>
        <v/>
      </c>
      <c r="V716" s="23" t="str">
        <f t="shared" si="56"/>
        <v/>
      </c>
    </row>
    <row r="717" spans="5:22" x14ac:dyDescent="0.25">
      <c r="E717" s="21" t="str">
        <f t="shared" si="52"/>
        <v/>
      </c>
      <c r="F717" s="21"/>
      <c r="G717" s="21"/>
      <c r="H717" s="21"/>
      <c r="I717" s="21"/>
      <c r="J717" s="21"/>
      <c r="K717" s="21"/>
      <c r="L717" s="16" t="str">
        <f t="shared" ca="1" si="53"/>
        <v/>
      </c>
      <c r="M717" s="22" t="str">
        <f t="shared" ca="1" si="54"/>
        <v/>
      </c>
      <c r="U717" s="23" t="str">
        <f t="shared" si="55"/>
        <v/>
      </c>
      <c r="V717" s="23" t="str">
        <f t="shared" si="56"/>
        <v/>
      </c>
    </row>
    <row r="718" spans="5:22" x14ac:dyDescent="0.25">
      <c r="E718" s="21" t="str">
        <f t="shared" si="52"/>
        <v/>
      </c>
      <c r="F718" s="21"/>
      <c r="G718" s="21"/>
      <c r="H718" s="21"/>
      <c r="I718" s="21"/>
      <c r="J718" s="21"/>
      <c r="K718" s="21"/>
      <c r="L718" s="16" t="str">
        <f t="shared" ca="1" si="53"/>
        <v/>
      </c>
      <c r="M718" s="22" t="str">
        <f t="shared" ca="1" si="54"/>
        <v/>
      </c>
      <c r="U718" s="23" t="str">
        <f t="shared" si="55"/>
        <v/>
      </c>
      <c r="V718" s="23" t="str">
        <f t="shared" si="56"/>
        <v/>
      </c>
    </row>
    <row r="719" spans="5:22" x14ac:dyDescent="0.25">
      <c r="E719" s="21" t="str">
        <f t="shared" si="52"/>
        <v/>
      </c>
      <c r="F719" s="21"/>
      <c r="G719" s="21"/>
      <c r="H719" s="21"/>
      <c r="I719" s="21"/>
      <c r="J719" s="21"/>
      <c r="K719" s="21"/>
      <c r="L719" s="16" t="str">
        <f t="shared" ca="1" si="53"/>
        <v/>
      </c>
      <c r="M719" s="22" t="str">
        <f t="shared" ca="1" si="54"/>
        <v/>
      </c>
      <c r="U719" s="23" t="str">
        <f t="shared" si="55"/>
        <v/>
      </c>
      <c r="V719" s="23" t="str">
        <f t="shared" si="56"/>
        <v/>
      </c>
    </row>
    <row r="720" spans="5:22" x14ac:dyDescent="0.25">
      <c r="E720" s="21" t="str">
        <f t="shared" si="52"/>
        <v/>
      </c>
      <c r="F720" s="21"/>
      <c r="G720" s="21"/>
      <c r="H720" s="21"/>
      <c r="I720" s="21"/>
      <c r="J720" s="21"/>
      <c r="K720" s="21"/>
      <c r="L720" s="16" t="str">
        <f t="shared" ca="1" si="53"/>
        <v/>
      </c>
      <c r="M720" s="22" t="str">
        <f t="shared" ca="1" si="54"/>
        <v/>
      </c>
      <c r="U720" s="23" t="str">
        <f t="shared" si="55"/>
        <v/>
      </c>
      <c r="V720" s="23" t="str">
        <f t="shared" si="56"/>
        <v/>
      </c>
    </row>
    <row r="721" spans="5:22" x14ac:dyDescent="0.25">
      <c r="E721" s="21" t="str">
        <f t="shared" si="52"/>
        <v/>
      </c>
      <c r="F721" s="21"/>
      <c r="G721" s="21"/>
      <c r="H721" s="21"/>
      <c r="I721" s="21"/>
      <c r="J721" s="21"/>
      <c r="K721" s="21"/>
      <c r="L721" s="16" t="str">
        <f t="shared" ca="1" si="53"/>
        <v/>
      </c>
      <c r="M721" s="22" t="str">
        <f t="shared" ca="1" si="54"/>
        <v/>
      </c>
      <c r="U721" s="23" t="str">
        <f t="shared" si="55"/>
        <v/>
      </c>
      <c r="V721" s="23" t="str">
        <f t="shared" si="56"/>
        <v/>
      </c>
    </row>
    <row r="722" spans="5:22" x14ac:dyDescent="0.25">
      <c r="E722" s="21" t="str">
        <f t="shared" si="52"/>
        <v/>
      </c>
      <c r="F722" s="21"/>
      <c r="G722" s="21"/>
      <c r="H722" s="21"/>
      <c r="I722" s="21"/>
      <c r="J722" s="21"/>
      <c r="K722" s="21"/>
      <c r="L722" s="16" t="str">
        <f t="shared" ca="1" si="53"/>
        <v/>
      </c>
      <c r="M722" s="22" t="str">
        <f t="shared" ca="1" si="54"/>
        <v/>
      </c>
      <c r="U722" s="23" t="str">
        <f t="shared" si="55"/>
        <v/>
      </c>
      <c r="V722" s="23" t="str">
        <f t="shared" si="56"/>
        <v/>
      </c>
    </row>
    <row r="723" spans="5:22" x14ac:dyDescent="0.25">
      <c r="E723" s="21" t="str">
        <f t="shared" si="52"/>
        <v/>
      </c>
      <c r="F723" s="21"/>
      <c r="G723" s="21"/>
      <c r="H723" s="21"/>
      <c r="I723" s="21"/>
      <c r="J723" s="21"/>
      <c r="K723" s="21"/>
      <c r="L723" s="16" t="str">
        <f t="shared" ca="1" si="53"/>
        <v/>
      </c>
      <c r="M723" s="22" t="str">
        <f t="shared" ca="1" si="54"/>
        <v/>
      </c>
      <c r="U723" s="23" t="str">
        <f t="shared" si="55"/>
        <v/>
      </c>
      <c r="V723" s="23" t="str">
        <f t="shared" si="56"/>
        <v/>
      </c>
    </row>
    <row r="724" spans="5:22" x14ac:dyDescent="0.25">
      <c r="E724" s="21" t="str">
        <f t="shared" si="52"/>
        <v/>
      </c>
      <c r="F724" s="21"/>
      <c r="G724" s="21"/>
      <c r="H724" s="21"/>
      <c r="I724" s="21"/>
      <c r="J724" s="21"/>
      <c r="K724" s="21"/>
      <c r="L724" s="16" t="str">
        <f t="shared" ca="1" si="53"/>
        <v/>
      </c>
      <c r="M724" s="22" t="str">
        <f t="shared" ca="1" si="54"/>
        <v/>
      </c>
      <c r="U724" s="23" t="str">
        <f t="shared" si="55"/>
        <v/>
      </c>
      <c r="V724" s="23" t="str">
        <f t="shared" si="56"/>
        <v/>
      </c>
    </row>
    <row r="725" spans="5:22" x14ac:dyDescent="0.25">
      <c r="E725" s="21" t="str">
        <f t="shared" si="52"/>
        <v/>
      </c>
      <c r="F725" s="21"/>
      <c r="G725" s="21"/>
      <c r="H725" s="21"/>
      <c r="I725" s="21"/>
      <c r="J725" s="21"/>
      <c r="K725" s="21"/>
      <c r="L725" s="16" t="str">
        <f t="shared" ca="1" si="53"/>
        <v/>
      </c>
      <c r="M725" s="22" t="str">
        <f t="shared" ca="1" si="54"/>
        <v/>
      </c>
      <c r="U725" s="23" t="str">
        <f t="shared" si="55"/>
        <v/>
      </c>
      <c r="V725" s="23" t="str">
        <f t="shared" si="56"/>
        <v/>
      </c>
    </row>
    <row r="726" spans="5:22" x14ac:dyDescent="0.25">
      <c r="E726" s="21" t="str">
        <f t="shared" si="52"/>
        <v/>
      </c>
      <c r="F726" s="21"/>
      <c r="G726" s="21"/>
      <c r="H726" s="21"/>
      <c r="I726" s="21"/>
      <c r="J726" s="21"/>
      <c r="K726" s="21"/>
      <c r="L726" s="16" t="str">
        <f t="shared" ca="1" si="53"/>
        <v/>
      </c>
      <c r="M726" s="22" t="str">
        <f t="shared" ca="1" si="54"/>
        <v/>
      </c>
      <c r="U726" s="23" t="str">
        <f t="shared" si="55"/>
        <v/>
      </c>
      <c r="V726" s="23" t="str">
        <f t="shared" si="56"/>
        <v/>
      </c>
    </row>
    <row r="727" spans="5:22" x14ac:dyDescent="0.25">
      <c r="E727" s="21" t="str">
        <f t="shared" si="52"/>
        <v/>
      </c>
      <c r="F727" s="21"/>
      <c r="G727" s="21"/>
      <c r="H727" s="21"/>
      <c r="I727" s="21"/>
      <c r="J727" s="21"/>
      <c r="K727" s="21"/>
      <c r="L727" s="16" t="str">
        <f t="shared" ca="1" si="53"/>
        <v/>
      </c>
      <c r="M727" s="22" t="str">
        <f t="shared" ca="1" si="54"/>
        <v/>
      </c>
      <c r="U727" s="23" t="str">
        <f t="shared" si="55"/>
        <v/>
      </c>
      <c r="V727" s="23" t="str">
        <f t="shared" si="56"/>
        <v/>
      </c>
    </row>
    <row r="728" spans="5:22" x14ac:dyDescent="0.25">
      <c r="E728" s="21" t="str">
        <f t="shared" si="52"/>
        <v/>
      </c>
      <c r="F728" s="21"/>
      <c r="G728" s="21"/>
      <c r="H728" s="21"/>
      <c r="I728" s="21"/>
      <c r="J728" s="21"/>
      <c r="K728" s="21"/>
      <c r="L728" s="16" t="str">
        <f t="shared" ca="1" si="53"/>
        <v/>
      </c>
      <c r="M728" s="22" t="str">
        <f t="shared" ca="1" si="54"/>
        <v/>
      </c>
      <c r="U728" s="23" t="str">
        <f t="shared" si="55"/>
        <v/>
      </c>
      <c r="V728" s="23" t="str">
        <f t="shared" si="56"/>
        <v/>
      </c>
    </row>
    <row r="729" spans="5:22" x14ac:dyDescent="0.25">
      <c r="E729" s="21" t="str">
        <f t="shared" si="52"/>
        <v/>
      </c>
      <c r="F729" s="21"/>
      <c r="G729" s="21"/>
      <c r="H729" s="21"/>
      <c r="I729" s="21"/>
      <c r="J729" s="21"/>
      <c r="K729" s="21"/>
      <c r="L729" s="16" t="str">
        <f t="shared" ca="1" si="53"/>
        <v/>
      </c>
      <c r="M729" s="22" t="str">
        <f t="shared" ca="1" si="54"/>
        <v/>
      </c>
      <c r="U729" s="23" t="str">
        <f t="shared" si="55"/>
        <v/>
      </c>
      <c r="V729" s="23" t="str">
        <f t="shared" si="56"/>
        <v/>
      </c>
    </row>
    <row r="730" spans="5:22" x14ac:dyDescent="0.25">
      <c r="E730" s="21" t="str">
        <f t="shared" si="52"/>
        <v/>
      </c>
      <c r="F730" s="21"/>
      <c r="G730" s="21"/>
      <c r="H730" s="21"/>
      <c r="I730" s="21"/>
      <c r="J730" s="21"/>
      <c r="K730" s="21"/>
      <c r="L730" s="16" t="str">
        <f t="shared" ca="1" si="53"/>
        <v/>
      </c>
      <c r="M730" s="22" t="str">
        <f t="shared" ca="1" si="54"/>
        <v/>
      </c>
      <c r="U730" s="23" t="str">
        <f t="shared" si="55"/>
        <v/>
      </c>
      <c r="V730" s="23" t="str">
        <f t="shared" si="56"/>
        <v/>
      </c>
    </row>
    <row r="731" spans="5:22" x14ac:dyDescent="0.25">
      <c r="E731" s="21" t="str">
        <f t="shared" si="52"/>
        <v/>
      </c>
      <c r="F731" s="21"/>
      <c r="G731" s="21"/>
      <c r="H731" s="21"/>
      <c r="I731" s="21"/>
      <c r="J731" s="21"/>
      <c r="K731" s="21"/>
      <c r="L731" s="16" t="str">
        <f t="shared" ca="1" si="53"/>
        <v/>
      </c>
      <c r="M731" s="22" t="str">
        <f t="shared" ca="1" si="54"/>
        <v/>
      </c>
      <c r="U731" s="23" t="str">
        <f t="shared" si="55"/>
        <v/>
      </c>
      <c r="V731" s="23" t="str">
        <f t="shared" si="56"/>
        <v/>
      </c>
    </row>
    <row r="732" spans="5:22" x14ac:dyDescent="0.25">
      <c r="E732" s="21" t="str">
        <f t="shared" si="52"/>
        <v/>
      </c>
      <c r="F732" s="21"/>
      <c r="G732" s="21"/>
      <c r="H732" s="21"/>
      <c r="I732" s="21"/>
      <c r="J732" s="21"/>
      <c r="K732" s="21"/>
      <c r="L732" s="16" t="str">
        <f t="shared" ca="1" si="53"/>
        <v/>
      </c>
      <c r="M732" s="22" t="str">
        <f t="shared" ca="1" si="54"/>
        <v/>
      </c>
      <c r="U732" s="23" t="str">
        <f t="shared" si="55"/>
        <v/>
      </c>
      <c r="V732" s="23" t="str">
        <f t="shared" si="56"/>
        <v/>
      </c>
    </row>
    <row r="733" spans="5:22" x14ac:dyDescent="0.25">
      <c r="E733" s="21" t="str">
        <f t="shared" si="52"/>
        <v/>
      </c>
      <c r="F733" s="21"/>
      <c r="G733" s="21"/>
      <c r="H733" s="21"/>
      <c r="I733" s="21"/>
      <c r="J733" s="21"/>
      <c r="K733" s="21"/>
      <c r="L733" s="16" t="str">
        <f t="shared" ca="1" si="53"/>
        <v/>
      </c>
      <c r="M733" s="22" t="str">
        <f t="shared" ca="1" si="54"/>
        <v/>
      </c>
      <c r="U733" s="23" t="str">
        <f t="shared" si="55"/>
        <v/>
      </c>
      <c r="V733" s="23" t="str">
        <f t="shared" si="56"/>
        <v/>
      </c>
    </row>
    <row r="734" spans="5:22" x14ac:dyDescent="0.25">
      <c r="E734" s="21" t="str">
        <f t="shared" si="52"/>
        <v/>
      </c>
      <c r="F734" s="21"/>
      <c r="G734" s="21"/>
      <c r="H734" s="21"/>
      <c r="I734" s="21"/>
      <c r="J734" s="21"/>
      <c r="K734" s="21"/>
      <c r="L734" s="16" t="str">
        <f t="shared" ca="1" si="53"/>
        <v/>
      </c>
      <c r="M734" s="22" t="str">
        <f t="shared" ca="1" si="54"/>
        <v/>
      </c>
      <c r="U734" s="23" t="str">
        <f t="shared" si="55"/>
        <v/>
      </c>
      <c r="V734" s="23" t="str">
        <f t="shared" si="56"/>
        <v/>
      </c>
    </row>
    <row r="735" spans="5:22" x14ac:dyDescent="0.25">
      <c r="E735" s="21" t="str">
        <f t="shared" si="52"/>
        <v/>
      </c>
      <c r="F735" s="21"/>
      <c r="G735" s="21"/>
      <c r="H735" s="21"/>
      <c r="I735" s="21"/>
      <c r="J735" s="21"/>
      <c r="K735" s="21"/>
      <c r="L735" s="16" t="str">
        <f t="shared" ca="1" si="53"/>
        <v/>
      </c>
      <c r="M735" s="22" t="str">
        <f t="shared" ca="1" si="54"/>
        <v/>
      </c>
      <c r="U735" s="23" t="str">
        <f t="shared" si="55"/>
        <v/>
      </c>
      <c r="V735" s="23" t="str">
        <f t="shared" si="56"/>
        <v/>
      </c>
    </row>
    <row r="736" spans="5:22" x14ac:dyDescent="0.25">
      <c r="E736" s="21" t="str">
        <f t="shared" si="52"/>
        <v/>
      </c>
      <c r="F736" s="21"/>
      <c r="G736" s="21"/>
      <c r="H736" s="21"/>
      <c r="I736" s="21"/>
      <c r="J736" s="21"/>
      <c r="K736" s="21"/>
      <c r="L736" s="16" t="str">
        <f t="shared" ca="1" si="53"/>
        <v/>
      </c>
      <c r="M736" s="22" t="str">
        <f t="shared" ca="1" si="54"/>
        <v/>
      </c>
      <c r="U736" s="23" t="str">
        <f t="shared" si="55"/>
        <v/>
      </c>
      <c r="V736" s="23" t="str">
        <f t="shared" si="56"/>
        <v/>
      </c>
    </row>
    <row r="737" spans="5:22" x14ac:dyDescent="0.25">
      <c r="E737" s="21" t="str">
        <f t="shared" si="52"/>
        <v/>
      </c>
      <c r="F737" s="21"/>
      <c r="G737" s="21"/>
      <c r="H737" s="21"/>
      <c r="I737" s="21"/>
      <c r="J737" s="21"/>
      <c r="K737" s="21"/>
      <c r="L737" s="16" t="str">
        <f t="shared" ca="1" si="53"/>
        <v/>
      </c>
      <c r="M737" s="22" t="str">
        <f t="shared" ca="1" si="54"/>
        <v/>
      </c>
      <c r="U737" s="23" t="str">
        <f t="shared" si="55"/>
        <v/>
      </c>
      <c r="V737" s="23" t="str">
        <f t="shared" si="56"/>
        <v/>
      </c>
    </row>
    <row r="738" spans="5:22" x14ac:dyDescent="0.25">
      <c r="E738" s="21" t="str">
        <f t="shared" si="52"/>
        <v/>
      </c>
      <c r="F738" s="21"/>
      <c r="G738" s="21"/>
      <c r="H738" s="21"/>
      <c r="I738" s="21"/>
      <c r="J738" s="21"/>
      <c r="K738" s="21"/>
      <c r="L738" s="16" t="str">
        <f t="shared" ca="1" si="53"/>
        <v/>
      </c>
      <c r="M738" s="22" t="str">
        <f t="shared" ca="1" si="54"/>
        <v/>
      </c>
      <c r="U738" s="23" t="str">
        <f t="shared" si="55"/>
        <v/>
      </c>
      <c r="V738" s="23" t="str">
        <f t="shared" si="56"/>
        <v/>
      </c>
    </row>
    <row r="739" spans="5:22" x14ac:dyDescent="0.25">
      <c r="E739" s="21" t="str">
        <f t="shared" si="52"/>
        <v/>
      </c>
      <c r="F739" s="21"/>
      <c r="G739" s="21"/>
      <c r="H739" s="21"/>
      <c r="I739" s="21"/>
      <c r="J739" s="21"/>
      <c r="K739" s="21"/>
      <c r="L739" s="16" t="str">
        <f t="shared" ca="1" si="53"/>
        <v/>
      </c>
      <c r="M739" s="22" t="str">
        <f t="shared" ca="1" si="54"/>
        <v/>
      </c>
      <c r="U739" s="23" t="str">
        <f t="shared" si="55"/>
        <v/>
      </c>
      <c r="V739" s="23" t="str">
        <f t="shared" si="56"/>
        <v/>
      </c>
    </row>
    <row r="740" spans="5:22" x14ac:dyDescent="0.25">
      <c r="E740" s="21" t="str">
        <f t="shared" si="52"/>
        <v/>
      </c>
      <c r="F740" s="21"/>
      <c r="G740" s="21"/>
      <c r="H740" s="21"/>
      <c r="I740" s="21"/>
      <c r="J740" s="21"/>
      <c r="K740" s="21"/>
      <c r="L740" s="16" t="str">
        <f t="shared" ca="1" si="53"/>
        <v/>
      </c>
      <c r="M740" s="22" t="str">
        <f t="shared" ca="1" si="54"/>
        <v/>
      </c>
      <c r="U740" s="23" t="str">
        <f t="shared" si="55"/>
        <v/>
      </c>
      <c r="V740" s="23" t="str">
        <f t="shared" si="56"/>
        <v/>
      </c>
    </row>
    <row r="741" spans="5:22" x14ac:dyDescent="0.25">
      <c r="E741" s="21" t="str">
        <f t="shared" ref="E741:E804" si="57">IF(ISNUMBER(SEARCH("v crs",D741))=TRUE,"VC",IF(ISNUMBER(SEARCH("crs",D741))=TRUE,"C",IF(ISNUMBER(SEARCH("med",D741))=TRUE,"M",IF(ISNUMBER(SEARCH("vf",D741))=TRUE,"VF",IF(ISNUMBER(SEARCH("f",D741))=TRUE,"F","")))))</f>
        <v/>
      </c>
      <c r="F741" s="21"/>
      <c r="G741" s="21"/>
      <c r="H741" s="21"/>
      <c r="I741" s="21"/>
      <c r="J741" s="21"/>
      <c r="K741" s="21"/>
      <c r="L741" s="16" t="str">
        <f t="shared" ca="1" si="53"/>
        <v/>
      </c>
      <c r="M741" s="22" t="str">
        <f t="shared" ca="1" si="54"/>
        <v/>
      </c>
      <c r="U741" s="23" t="str">
        <f t="shared" si="55"/>
        <v/>
      </c>
      <c r="V741" s="23" t="str">
        <f t="shared" si="56"/>
        <v/>
      </c>
    </row>
    <row r="742" spans="5:22" x14ac:dyDescent="0.25">
      <c r="E742" s="21" t="str">
        <f t="shared" si="57"/>
        <v/>
      </c>
      <c r="F742" s="21"/>
      <c r="G742" s="21"/>
      <c r="H742" s="21"/>
      <c r="I742" s="21"/>
      <c r="J742" s="21"/>
      <c r="K742" s="21"/>
      <c r="L742" s="16" t="str">
        <f t="shared" ca="1" si="53"/>
        <v/>
      </c>
      <c r="M742" s="22" t="str">
        <f t="shared" ca="1" si="54"/>
        <v/>
      </c>
      <c r="U742" s="23" t="str">
        <f t="shared" si="55"/>
        <v/>
      </c>
      <c r="V742" s="23" t="str">
        <f t="shared" si="56"/>
        <v/>
      </c>
    </row>
    <row r="743" spans="5:22" x14ac:dyDescent="0.25">
      <c r="E743" s="21" t="str">
        <f t="shared" si="57"/>
        <v/>
      </c>
      <c r="F743" s="21"/>
      <c r="G743" s="21"/>
      <c r="H743" s="21"/>
      <c r="I743" s="21"/>
      <c r="J743" s="21"/>
      <c r="K743" s="21"/>
      <c r="L743" s="16" t="str">
        <f t="shared" ca="1" si="53"/>
        <v/>
      </c>
      <c r="M743" s="22" t="str">
        <f t="shared" ca="1" si="54"/>
        <v/>
      </c>
      <c r="U743" s="23" t="str">
        <f t="shared" si="55"/>
        <v/>
      </c>
      <c r="V743" s="23" t="str">
        <f t="shared" si="56"/>
        <v/>
      </c>
    </row>
    <row r="744" spans="5:22" x14ac:dyDescent="0.25">
      <c r="E744" s="21" t="str">
        <f t="shared" si="57"/>
        <v/>
      </c>
      <c r="F744" s="21"/>
      <c r="G744" s="21"/>
      <c r="H744" s="21"/>
      <c r="I744" s="21"/>
      <c r="J744" s="21"/>
      <c r="K744" s="21"/>
      <c r="L744" s="16" t="str">
        <f t="shared" ca="1" si="53"/>
        <v/>
      </c>
      <c r="M744" s="22" t="str">
        <f t="shared" ca="1" si="54"/>
        <v/>
      </c>
      <c r="U744" s="23" t="str">
        <f t="shared" si="55"/>
        <v/>
      </c>
      <c r="V744" s="23" t="str">
        <f t="shared" si="56"/>
        <v/>
      </c>
    </row>
    <row r="745" spans="5:22" x14ac:dyDescent="0.25">
      <c r="E745" s="21" t="str">
        <f t="shared" si="57"/>
        <v/>
      </c>
      <c r="F745" s="21"/>
      <c r="G745" s="21"/>
      <c r="H745" s="21"/>
      <c r="I745" s="21"/>
      <c r="J745" s="21"/>
      <c r="K745" s="21"/>
      <c r="L745" s="16" t="str">
        <f t="shared" ca="1" si="53"/>
        <v/>
      </c>
      <c r="M745" s="22" t="str">
        <f t="shared" ca="1" si="54"/>
        <v/>
      </c>
      <c r="U745" s="23" t="str">
        <f t="shared" si="55"/>
        <v/>
      </c>
      <c r="V745" s="23" t="str">
        <f t="shared" si="56"/>
        <v/>
      </c>
    </row>
    <row r="746" spans="5:22" x14ac:dyDescent="0.25">
      <c r="E746" s="21" t="str">
        <f t="shared" si="57"/>
        <v/>
      </c>
      <c r="F746" s="21"/>
      <c r="G746" s="21"/>
      <c r="H746" s="21"/>
      <c r="I746" s="21"/>
      <c r="J746" s="21"/>
      <c r="K746" s="21"/>
      <c r="L746" s="16" t="str">
        <f t="shared" ca="1" si="53"/>
        <v/>
      </c>
      <c r="M746" s="22" t="str">
        <f t="shared" ca="1" si="54"/>
        <v/>
      </c>
      <c r="U746" s="23" t="str">
        <f t="shared" si="55"/>
        <v/>
      </c>
      <c r="V746" s="23" t="str">
        <f t="shared" si="56"/>
        <v/>
      </c>
    </row>
    <row r="747" spans="5:22" x14ac:dyDescent="0.25">
      <c r="E747" s="21" t="str">
        <f t="shared" si="57"/>
        <v/>
      </c>
      <c r="F747" s="21"/>
      <c r="G747" s="21"/>
      <c r="H747" s="21"/>
      <c r="I747" s="21"/>
      <c r="J747" s="21"/>
      <c r="K747" s="21"/>
      <c r="L747" s="16" t="str">
        <f t="shared" ca="1" si="53"/>
        <v/>
      </c>
      <c r="M747" s="22" t="str">
        <f t="shared" ca="1" si="54"/>
        <v/>
      </c>
      <c r="U747" s="23" t="str">
        <f t="shared" si="55"/>
        <v/>
      </c>
      <c r="V747" s="23" t="str">
        <f t="shared" si="56"/>
        <v/>
      </c>
    </row>
    <row r="748" spans="5:22" x14ac:dyDescent="0.25">
      <c r="E748" s="21" t="str">
        <f t="shared" si="57"/>
        <v/>
      </c>
      <c r="F748" s="21"/>
      <c r="G748" s="21"/>
      <c r="H748" s="21"/>
      <c r="I748" s="21"/>
      <c r="J748" s="21"/>
      <c r="K748" s="21"/>
      <c r="L748" s="16" t="str">
        <f t="shared" ca="1" si="53"/>
        <v/>
      </c>
      <c r="M748" s="22" t="str">
        <f t="shared" ca="1" si="54"/>
        <v/>
      </c>
      <c r="U748" s="23" t="str">
        <f t="shared" si="55"/>
        <v/>
      </c>
      <c r="V748" s="23" t="str">
        <f t="shared" si="56"/>
        <v/>
      </c>
    </row>
    <row r="749" spans="5:22" x14ac:dyDescent="0.25">
      <c r="E749" s="21" t="str">
        <f t="shared" si="57"/>
        <v/>
      </c>
      <c r="F749" s="21"/>
      <c r="G749" s="21"/>
      <c r="H749" s="21"/>
      <c r="I749" s="21"/>
      <c r="J749" s="21"/>
      <c r="K749" s="21"/>
      <c r="L749" s="16" t="str">
        <f t="shared" ca="1" si="53"/>
        <v/>
      </c>
      <c r="M749" s="22" t="str">
        <f t="shared" ca="1" si="54"/>
        <v/>
      </c>
      <c r="U749" s="23" t="str">
        <f t="shared" si="55"/>
        <v/>
      </c>
      <c r="V749" s="23" t="str">
        <f t="shared" si="56"/>
        <v/>
      </c>
    </row>
    <row r="750" spans="5:22" x14ac:dyDescent="0.25">
      <c r="E750" s="21" t="str">
        <f t="shared" si="57"/>
        <v/>
      </c>
      <c r="F750" s="21"/>
      <c r="G750" s="21"/>
      <c r="H750" s="21"/>
      <c r="I750" s="21"/>
      <c r="J750" s="21"/>
      <c r="K750" s="21"/>
      <c r="L750" s="16" t="str">
        <f t="shared" ca="1" si="53"/>
        <v/>
      </c>
      <c r="M750" s="22" t="str">
        <f t="shared" ca="1" si="54"/>
        <v/>
      </c>
      <c r="U750" s="23" t="str">
        <f t="shared" si="55"/>
        <v/>
      </c>
      <c r="V750" s="23" t="str">
        <f t="shared" si="56"/>
        <v/>
      </c>
    </row>
    <row r="751" spans="5:22" x14ac:dyDescent="0.25">
      <c r="E751" s="21" t="str">
        <f t="shared" si="57"/>
        <v/>
      </c>
      <c r="F751" s="21"/>
      <c r="G751" s="21"/>
      <c r="H751" s="21"/>
      <c r="I751" s="21"/>
      <c r="J751" s="21"/>
      <c r="K751" s="21"/>
      <c r="L751" s="16" t="str">
        <f t="shared" ca="1" si="53"/>
        <v/>
      </c>
      <c r="M751" s="22" t="str">
        <f t="shared" ca="1" si="54"/>
        <v/>
      </c>
      <c r="U751" s="23" t="str">
        <f t="shared" si="55"/>
        <v/>
      </c>
      <c r="V751" s="23" t="str">
        <f t="shared" si="56"/>
        <v/>
      </c>
    </row>
    <row r="752" spans="5:22" x14ac:dyDescent="0.25">
      <c r="E752" s="21" t="str">
        <f t="shared" si="57"/>
        <v/>
      </c>
      <c r="F752" s="21"/>
      <c r="G752" s="21"/>
      <c r="H752" s="21"/>
      <c r="I752" s="21"/>
      <c r="J752" s="21"/>
      <c r="K752" s="21"/>
      <c r="L752" s="16" t="str">
        <f t="shared" ca="1" si="53"/>
        <v/>
      </c>
      <c r="M752" s="22" t="str">
        <f t="shared" ca="1" si="54"/>
        <v/>
      </c>
      <c r="U752" s="23" t="str">
        <f t="shared" si="55"/>
        <v/>
      </c>
      <c r="V752" s="23" t="str">
        <f t="shared" si="56"/>
        <v/>
      </c>
    </row>
    <row r="753" spans="5:22" x14ac:dyDescent="0.25">
      <c r="E753" s="21" t="str">
        <f t="shared" si="57"/>
        <v/>
      </c>
      <c r="F753" s="21"/>
      <c r="G753" s="21"/>
      <c r="H753" s="21"/>
      <c r="I753" s="21"/>
      <c r="J753" s="21"/>
      <c r="K753" s="21"/>
      <c r="L753" s="16" t="str">
        <f t="shared" ca="1" si="53"/>
        <v/>
      </c>
      <c r="M753" s="22" t="str">
        <f t="shared" ca="1" si="54"/>
        <v/>
      </c>
      <c r="U753" s="23" t="str">
        <f t="shared" si="55"/>
        <v/>
      </c>
      <c r="V753" s="23" t="str">
        <f t="shared" si="56"/>
        <v/>
      </c>
    </row>
    <row r="754" spans="5:22" x14ac:dyDescent="0.25">
      <c r="E754" s="21" t="str">
        <f t="shared" si="57"/>
        <v/>
      </c>
      <c r="F754" s="21"/>
      <c r="G754" s="21"/>
      <c r="H754" s="21"/>
      <c r="I754" s="21"/>
      <c r="J754" s="21"/>
      <c r="K754" s="21"/>
      <c r="L754" s="16" t="str">
        <f t="shared" ca="1" si="53"/>
        <v/>
      </c>
      <c r="M754" s="22" t="str">
        <f t="shared" ca="1" si="54"/>
        <v/>
      </c>
      <c r="U754" s="23" t="str">
        <f t="shared" si="55"/>
        <v/>
      </c>
      <c r="V754" s="23" t="str">
        <f t="shared" si="56"/>
        <v/>
      </c>
    </row>
    <row r="755" spans="5:22" x14ac:dyDescent="0.25">
      <c r="E755" s="21" t="str">
        <f t="shared" si="57"/>
        <v/>
      </c>
      <c r="F755" s="21"/>
      <c r="G755" s="21"/>
      <c r="H755" s="21"/>
      <c r="I755" s="21"/>
      <c r="J755" s="21"/>
      <c r="K755" s="21"/>
      <c r="L755" s="16" t="str">
        <f t="shared" ca="1" si="53"/>
        <v/>
      </c>
      <c r="M755" s="22" t="str">
        <f t="shared" ca="1" si="54"/>
        <v/>
      </c>
      <c r="U755" s="23" t="str">
        <f t="shared" si="55"/>
        <v/>
      </c>
      <c r="V755" s="23" t="str">
        <f t="shared" si="56"/>
        <v/>
      </c>
    </row>
    <row r="756" spans="5:22" x14ac:dyDescent="0.25">
      <c r="E756" s="21" t="str">
        <f t="shared" si="57"/>
        <v/>
      </c>
      <c r="F756" s="21"/>
      <c r="G756" s="21"/>
      <c r="H756" s="21"/>
      <c r="I756" s="21"/>
      <c r="J756" s="21"/>
      <c r="K756" s="21"/>
      <c r="L756" s="16" t="str">
        <f t="shared" ca="1" si="53"/>
        <v/>
      </c>
      <c r="M756" s="22" t="str">
        <f t="shared" ca="1" si="54"/>
        <v/>
      </c>
      <c r="U756" s="23" t="str">
        <f t="shared" si="55"/>
        <v/>
      </c>
      <c r="V756" s="23" t="str">
        <f t="shared" si="56"/>
        <v/>
      </c>
    </row>
    <row r="757" spans="5:22" x14ac:dyDescent="0.25">
      <c r="E757" s="21" t="str">
        <f t="shared" si="57"/>
        <v/>
      </c>
      <c r="F757" s="21"/>
      <c r="G757" s="21"/>
      <c r="H757" s="21"/>
      <c r="I757" s="21"/>
      <c r="J757" s="21"/>
      <c r="K757" s="21"/>
      <c r="L757" s="16" t="str">
        <f t="shared" ca="1" si="53"/>
        <v/>
      </c>
      <c r="M757" s="22" t="str">
        <f t="shared" ca="1" si="54"/>
        <v/>
      </c>
      <c r="U757" s="23" t="str">
        <f t="shared" si="55"/>
        <v/>
      </c>
      <c r="V757" s="23" t="str">
        <f t="shared" si="56"/>
        <v/>
      </c>
    </row>
    <row r="758" spans="5:22" x14ac:dyDescent="0.25">
      <c r="E758" s="21" t="str">
        <f t="shared" si="57"/>
        <v/>
      </c>
      <c r="F758" s="21"/>
      <c r="G758" s="21"/>
      <c r="H758" s="21"/>
      <c r="I758" s="21"/>
      <c r="J758" s="21"/>
      <c r="K758" s="21"/>
      <c r="L758" s="16" t="str">
        <f t="shared" ca="1" si="53"/>
        <v/>
      </c>
      <c r="M758" s="22" t="str">
        <f t="shared" ca="1" si="54"/>
        <v/>
      </c>
      <c r="U758" s="23" t="str">
        <f t="shared" si="55"/>
        <v/>
      </c>
      <c r="V758" s="23" t="str">
        <f t="shared" si="56"/>
        <v/>
      </c>
    </row>
    <row r="759" spans="5:22" x14ac:dyDescent="0.25">
      <c r="E759" s="21" t="str">
        <f t="shared" si="57"/>
        <v/>
      </c>
      <c r="F759" s="21"/>
      <c r="G759" s="21"/>
      <c r="H759" s="21"/>
      <c r="I759" s="21"/>
      <c r="J759" s="21"/>
      <c r="K759" s="21"/>
      <c r="L759" s="16" t="str">
        <f t="shared" ca="1" si="53"/>
        <v/>
      </c>
      <c r="M759" s="22" t="str">
        <f t="shared" ca="1" si="54"/>
        <v/>
      </c>
      <c r="U759" s="23" t="str">
        <f t="shared" si="55"/>
        <v/>
      </c>
      <c r="V759" s="23" t="str">
        <f t="shared" si="56"/>
        <v/>
      </c>
    </row>
    <row r="760" spans="5:22" x14ac:dyDescent="0.25">
      <c r="E760" s="21" t="str">
        <f t="shared" si="57"/>
        <v/>
      </c>
      <c r="F760" s="21"/>
      <c r="G760" s="21"/>
      <c r="H760" s="21"/>
      <c r="I760" s="21"/>
      <c r="J760" s="21"/>
      <c r="K760" s="21"/>
      <c r="L760" s="16" t="str">
        <f t="shared" ca="1" si="53"/>
        <v/>
      </c>
      <c r="M760" s="22" t="str">
        <f t="shared" ca="1" si="54"/>
        <v/>
      </c>
      <c r="U760" s="23" t="str">
        <f t="shared" si="55"/>
        <v/>
      </c>
      <c r="V760" s="23" t="str">
        <f t="shared" si="56"/>
        <v/>
      </c>
    </row>
    <row r="761" spans="5:22" x14ac:dyDescent="0.25">
      <c r="E761" s="21" t="str">
        <f t="shared" si="57"/>
        <v/>
      </c>
      <c r="F761" s="21"/>
      <c r="G761" s="21"/>
      <c r="H761" s="21"/>
      <c r="I761" s="21"/>
      <c r="J761" s="21"/>
      <c r="K761" s="21"/>
      <c r="L761" s="16" t="str">
        <f t="shared" ca="1" si="53"/>
        <v/>
      </c>
      <c r="M761" s="22" t="str">
        <f t="shared" ca="1" si="54"/>
        <v/>
      </c>
      <c r="U761" s="23" t="str">
        <f t="shared" si="55"/>
        <v/>
      </c>
      <c r="V761" s="23" t="str">
        <f t="shared" si="56"/>
        <v/>
      </c>
    </row>
    <row r="762" spans="5:22" x14ac:dyDescent="0.25">
      <c r="E762" s="21" t="str">
        <f t="shared" si="57"/>
        <v/>
      </c>
      <c r="F762" s="21"/>
      <c r="G762" s="21"/>
      <c r="H762" s="21"/>
      <c r="I762" s="21"/>
      <c r="J762" s="21"/>
      <c r="K762" s="21"/>
      <c r="L762" s="16" t="str">
        <f t="shared" ca="1" si="53"/>
        <v/>
      </c>
      <c r="M762" s="22" t="str">
        <f t="shared" ca="1" si="54"/>
        <v/>
      </c>
      <c r="U762" s="23" t="str">
        <f t="shared" si="55"/>
        <v/>
      </c>
      <c r="V762" s="23" t="str">
        <f t="shared" si="56"/>
        <v/>
      </c>
    </row>
    <row r="763" spans="5:22" x14ac:dyDescent="0.25">
      <c r="E763" s="21" t="str">
        <f t="shared" si="57"/>
        <v/>
      </c>
      <c r="F763" s="21"/>
      <c r="G763" s="21"/>
      <c r="H763" s="21"/>
      <c r="I763" s="21"/>
      <c r="J763" s="21"/>
      <c r="K763" s="21"/>
      <c r="L763" s="16" t="str">
        <f t="shared" ca="1" si="53"/>
        <v/>
      </c>
      <c r="M763" s="22" t="str">
        <f t="shared" ca="1" si="54"/>
        <v/>
      </c>
      <c r="U763" s="23" t="str">
        <f t="shared" si="55"/>
        <v/>
      </c>
      <c r="V763" s="23" t="str">
        <f t="shared" si="56"/>
        <v/>
      </c>
    </row>
    <row r="764" spans="5:22" x14ac:dyDescent="0.25">
      <c r="E764" s="21" t="str">
        <f t="shared" si="57"/>
        <v/>
      </c>
      <c r="F764" s="21"/>
      <c r="G764" s="21"/>
      <c r="H764" s="21"/>
      <c r="I764" s="21"/>
      <c r="J764" s="21"/>
      <c r="K764" s="21"/>
      <c r="L764" s="16" t="str">
        <f t="shared" ca="1" si="53"/>
        <v/>
      </c>
      <c r="M764" s="22" t="str">
        <f t="shared" ca="1" si="54"/>
        <v/>
      </c>
      <c r="U764" s="23" t="str">
        <f t="shared" si="55"/>
        <v/>
      </c>
      <c r="V764" s="23" t="str">
        <f t="shared" si="56"/>
        <v/>
      </c>
    </row>
    <row r="765" spans="5:22" x14ac:dyDescent="0.25">
      <c r="E765" s="21" t="str">
        <f t="shared" si="57"/>
        <v/>
      </c>
      <c r="F765" s="21"/>
      <c r="G765" s="21"/>
      <c r="H765" s="21"/>
      <c r="I765" s="21"/>
      <c r="J765" s="21"/>
      <c r="K765" s="21"/>
      <c r="L765" s="16" t="str">
        <f t="shared" ref="L765:L828" ca="1" si="58">IF(AND(C765&lt;&gt;"",C765&lt;&gt;U765),TODAY(),IF(C765="","",L765))</f>
        <v/>
      </c>
      <c r="M765" s="22" t="str">
        <f t="shared" ref="M765:M828" ca="1" si="59">IF(AND(C765&lt;&gt;"",C765&lt;&gt;V765),NOW(),IF(C765="","",M765))</f>
        <v/>
      </c>
      <c r="U765" s="23" t="str">
        <f t="shared" si="55"/>
        <v/>
      </c>
      <c r="V765" s="23" t="str">
        <f t="shared" si="56"/>
        <v/>
      </c>
    </row>
    <row r="766" spans="5:22" x14ac:dyDescent="0.25">
      <c r="E766" s="21" t="str">
        <f t="shared" si="57"/>
        <v/>
      </c>
      <c r="F766" s="21"/>
      <c r="G766" s="21"/>
      <c r="H766" s="21"/>
      <c r="I766" s="21"/>
      <c r="J766" s="21"/>
      <c r="K766" s="21"/>
      <c r="L766" s="16" t="str">
        <f t="shared" ca="1" si="58"/>
        <v/>
      </c>
      <c r="M766" s="22" t="str">
        <f t="shared" ca="1" si="59"/>
        <v/>
      </c>
      <c r="U766" s="23" t="str">
        <f t="shared" si="55"/>
        <v/>
      </c>
      <c r="V766" s="23" t="str">
        <f t="shared" si="56"/>
        <v/>
      </c>
    </row>
    <row r="767" spans="5:22" x14ac:dyDescent="0.25">
      <c r="E767" s="21" t="str">
        <f t="shared" si="57"/>
        <v/>
      </c>
      <c r="F767" s="21"/>
      <c r="G767" s="21"/>
      <c r="H767" s="21"/>
      <c r="I767" s="21"/>
      <c r="J767" s="21"/>
      <c r="K767" s="21"/>
      <c r="L767" s="16" t="str">
        <f t="shared" ca="1" si="58"/>
        <v/>
      </c>
      <c r="M767" s="22" t="str">
        <f t="shared" ca="1" si="59"/>
        <v/>
      </c>
      <c r="U767" s="23" t="str">
        <f t="shared" si="55"/>
        <v/>
      </c>
      <c r="V767" s="23" t="str">
        <f t="shared" si="56"/>
        <v/>
      </c>
    </row>
    <row r="768" spans="5:22" x14ac:dyDescent="0.25">
      <c r="E768" s="21" t="str">
        <f t="shared" si="57"/>
        <v/>
      </c>
      <c r="F768" s="21"/>
      <c r="G768" s="21"/>
      <c r="H768" s="21"/>
      <c r="I768" s="21"/>
      <c r="J768" s="21"/>
      <c r="K768" s="21"/>
      <c r="L768" s="16" t="str">
        <f t="shared" ca="1" si="58"/>
        <v/>
      </c>
      <c r="M768" s="22" t="str">
        <f t="shared" ca="1" si="59"/>
        <v/>
      </c>
      <c r="U768" s="23" t="str">
        <f t="shared" si="55"/>
        <v/>
      </c>
      <c r="V768" s="23" t="str">
        <f t="shared" si="56"/>
        <v/>
      </c>
    </row>
    <row r="769" spans="5:22" x14ac:dyDescent="0.25">
      <c r="E769" s="21" t="str">
        <f t="shared" si="57"/>
        <v/>
      </c>
      <c r="F769" s="21"/>
      <c r="G769" s="21"/>
      <c r="H769" s="21"/>
      <c r="I769" s="21"/>
      <c r="J769" s="21"/>
      <c r="K769" s="21"/>
      <c r="L769" s="16" t="str">
        <f t="shared" ca="1" si="58"/>
        <v/>
      </c>
      <c r="M769" s="22" t="str">
        <f t="shared" ca="1" si="59"/>
        <v/>
      </c>
      <c r="U769" s="23" t="str">
        <f t="shared" si="55"/>
        <v/>
      </c>
      <c r="V769" s="23" t="str">
        <f t="shared" si="56"/>
        <v/>
      </c>
    </row>
    <row r="770" spans="5:22" x14ac:dyDescent="0.25">
      <c r="E770" s="21" t="str">
        <f t="shared" si="57"/>
        <v/>
      </c>
      <c r="F770" s="21"/>
      <c r="G770" s="21"/>
      <c r="H770" s="21"/>
      <c r="I770" s="21"/>
      <c r="J770" s="21"/>
      <c r="K770" s="21"/>
      <c r="L770" s="16" t="str">
        <f t="shared" ca="1" si="58"/>
        <v/>
      </c>
      <c r="M770" s="22" t="str">
        <f t="shared" ca="1" si="59"/>
        <v/>
      </c>
      <c r="U770" s="23" t="str">
        <f t="shared" si="55"/>
        <v/>
      </c>
      <c r="V770" s="23" t="str">
        <f t="shared" si="56"/>
        <v/>
      </c>
    </row>
    <row r="771" spans="5:22" x14ac:dyDescent="0.25">
      <c r="E771" s="21" t="str">
        <f t="shared" si="57"/>
        <v/>
      </c>
      <c r="F771" s="21"/>
      <c r="G771" s="21"/>
      <c r="H771" s="21"/>
      <c r="I771" s="21"/>
      <c r="J771" s="21"/>
      <c r="K771" s="21"/>
      <c r="L771" s="16" t="str">
        <f t="shared" ca="1" si="58"/>
        <v/>
      </c>
      <c r="M771" s="22" t="str">
        <f t="shared" ca="1" si="59"/>
        <v/>
      </c>
      <c r="U771" s="23" t="str">
        <f t="shared" si="55"/>
        <v/>
      </c>
      <c r="V771" s="23" t="str">
        <f t="shared" si="56"/>
        <v/>
      </c>
    </row>
    <row r="772" spans="5:22" x14ac:dyDescent="0.25">
      <c r="E772" s="21" t="str">
        <f t="shared" si="57"/>
        <v/>
      </c>
      <c r="F772" s="21"/>
      <c r="G772" s="21"/>
      <c r="H772" s="21"/>
      <c r="I772" s="21"/>
      <c r="J772" s="21"/>
      <c r="K772" s="21"/>
      <c r="L772" s="16" t="str">
        <f t="shared" ca="1" si="58"/>
        <v/>
      </c>
      <c r="M772" s="22" t="str">
        <f t="shared" ca="1" si="59"/>
        <v/>
      </c>
      <c r="U772" s="23" t="str">
        <f t="shared" ref="U772:U835" si="60">IF(C772="","",IF(OR(L772="",AND(ISNUMBER(U772),C772=U772)),U772,C772))</f>
        <v/>
      </c>
      <c r="V772" s="23" t="str">
        <f t="shared" ref="V772:V835" si="61">IF(C772="","",IF(OR(M772="",AND(ISNUMBER(V772),C772=V772)),V772,C772))</f>
        <v/>
      </c>
    </row>
    <row r="773" spans="5:22" x14ac:dyDescent="0.25">
      <c r="E773" s="21" t="str">
        <f t="shared" si="57"/>
        <v/>
      </c>
      <c r="F773" s="21"/>
      <c r="G773" s="21"/>
      <c r="H773" s="21"/>
      <c r="I773" s="21"/>
      <c r="J773" s="21"/>
      <c r="K773" s="21"/>
      <c r="L773" s="16" t="str">
        <f t="shared" ca="1" si="58"/>
        <v/>
      </c>
      <c r="M773" s="22" t="str">
        <f t="shared" ca="1" si="59"/>
        <v/>
      </c>
      <c r="U773" s="23" t="str">
        <f t="shared" si="60"/>
        <v/>
      </c>
      <c r="V773" s="23" t="str">
        <f t="shared" si="61"/>
        <v/>
      </c>
    </row>
    <row r="774" spans="5:22" x14ac:dyDescent="0.25">
      <c r="E774" s="21" t="str">
        <f t="shared" si="57"/>
        <v/>
      </c>
      <c r="F774" s="21"/>
      <c r="G774" s="21"/>
      <c r="H774" s="21"/>
      <c r="I774" s="21"/>
      <c r="J774" s="21"/>
      <c r="K774" s="21"/>
      <c r="L774" s="16" t="str">
        <f t="shared" ca="1" si="58"/>
        <v/>
      </c>
      <c r="M774" s="22" t="str">
        <f t="shared" ca="1" si="59"/>
        <v/>
      </c>
      <c r="U774" s="23" t="str">
        <f t="shared" si="60"/>
        <v/>
      </c>
      <c r="V774" s="23" t="str">
        <f t="shared" si="61"/>
        <v/>
      </c>
    </row>
    <row r="775" spans="5:22" x14ac:dyDescent="0.25">
      <c r="E775" s="21" t="str">
        <f t="shared" si="57"/>
        <v/>
      </c>
      <c r="F775" s="21"/>
      <c r="G775" s="21"/>
      <c r="H775" s="21"/>
      <c r="I775" s="21"/>
      <c r="J775" s="21"/>
      <c r="K775" s="21"/>
      <c r="L775" s="16" t="str">
        <f t="shared" ca="1" si="58"/>
        <v/>
      </c>
      <c r="M775" s="22" t="str">
        <f t="shared" ca="1" si="59"/>
        <v/>
      </c>
      <c r="U775" s="23" t="str">
        <f t="shared" si="60"/>
        <v/>
      </c>
      <c r="V775" s="23" t="str">
        <f t="shared" si="61"/>
        <v/>
      </c>
    </row>
    <row r="776" spans="5:22" x14ac:dyDescent="0.25">
      <c r="E776" s="21" t="str">
        <f t="shared" si="57"/>
        <v/>
      </c>
      <c r="F776" s="21"/>
      <c r="G776" s="21"/>
      <c r="H776" s="21"/>
      <c r="I776" s="21"/>
      <c r="J776" s="21"/>
      <c r="K776" s="21"/>
      <c r="L776" s="16" t="str">
        <f t="shared" ca="1" si="58"/>
        <v/>
      </c>
      <c r="M776" s="22" t="str">
        <f t="shared" ca="1" si="59"/>
        <v/>
      </c>
      <c r="U776" s="23" t="str">
        <f t="shared" si="60"/>
        <v/>
      </c>
      <c r="V776" s="23" t="str">
        <f t="shared" si="61"/>
        <v/>
      </c>
    </row>
    <row r="777" spans="5:22" x14ac:dyDescent="0.25">
      <c r="E777" s="21" t="str">
        <f t="shared" si="57"/>
        <v/>
      </c>
      <c r="F777" s="21"/>
      <c r="G777" s="21"/>
      <c r="H777" s="21"/>
      <c r="I777" s="21"/>
      <c r="J777" s="21"/>
      <c r="K777" s="21"/>
      <c r="L777" s="16" t="str">
        <f t="shared" ca="1" si="58"/>
        <v/>
      </c>
      <c r="M777" s="22" t="str">
        <f t="shared" ca="1" si="59"/>
        <v/>
      </c>
      <c r="U777" s="23" t="str">
        <f t="shared" si="60"/>
        <v/>
      </c>
      <c r="V777" s="23" t="str">
        <f t="shared" si="61"/>
        <v/>
      </c>
    </row>
    <row r="778" spans="5:22" x14ac:dyDescent="0.25">
      <c r="E778" s="21" t="str">
        <f t="shared" si="57"/>
        <v/>
      </c>
      <c r="F778" s="21"/>
      <c r="G778" s="21"/>
      <c r="H778" s="21"/>
      <c r="I778" s="21"/>
      <c r="J778" s="21"/>
      <c r="K778" s="21"/>
      <c r="L778" s="16" t="str">
        <f t="shared" ca="1" si="58"/>
        <v/>
      </c>
      <c r="M778" s="22" t="str">
        <f t="shared" ca="1" si="59"/>
        <v/>
      </c>
      <c r="U778" s="23" t="str">
        <f t="shared" si="60"/>
        <v/>
      </c>
      <c r="V778" s="23" t="str">
        <f t="shared" si="61"/>
        <v/>
      </c>
    </row>
    <row r="779" spans="5:22" x14ac:dyDescent="0.25">
      <c r="E779" s="21" t="str">
        <f t="shared" si="57"/>
        <v/>
      </c>
      <c r="F779" s="21"/>
      <c r="G779" s="21"/>
      <c r="H779" s="21"/>
      <c r="I779" s="21"/>
      <c r="J779" s="21"/>
      <c r="K779" s="21"/>
      <c r="L779" s="16" t="str">
        <f t="shared" ca="1" si="58"/>
        <v/>
      </c>
      <c r="M779" s="22" t="str">
        <f t="shared" ca="1" si="59"/>
        <v/>
      </c>
      <c r="U779" s="23" t="str">
        <f t="shared" si="60"/>
        <v/>
      </c>
      <c r="V779" s="23" t="str">
        <f t="shared" si="61"/>
        <v/>
      </c>
    </row>
    <row r="780" spans="5:22" x14ac:dyDescent="0.25">
      <c r="E780" s="21" t="str">
        <f t="shared" si="57"/>
        <v/>
      </c>
      <c r="F780" s="21"/>
      <c r="G780" s="21"/>
      <c r="H780" s="21"/>
      <c r="I780" s="21"/>
      <c r="J780" s="21"/>
      <c r="K780" s="21"/>
      <c r="L780" s="16" t="str">
        <f t="shared" ca="1" si="58"/>
        <v/>
      </c>
      <c r="M780" s="22" t="str">
        <f t="shared" ca="1" si="59"/>
        <v/>
      </c>
      <c r="U780" s="23" t="str">
        <f t="shared" si="60"/>
        <v/>
      </c>
      <c r="V780" s="23" t="str">
        <f t="shared" si="61"/>
        <v/>
      </c>
    </row>
    <row r="781" spans="5:22" x14ac:dyDescent="0.25">
      <c r="E781" s="21" t="str">
        <f t="shared" si="57"/>
        <v/>
      </c>
      <c r="F781" s="21"/>
      <c r="G781" s="21"/>
      <c r="H781" s="21"/>
      <c r="I781" s="21"/>
      <c r="J781" s="21"/>
      <c r="K781" s="21"/>
      <c r="L781" s="16" t="str">
        <f t="shared" ca="1" si="58"/>
        <v/>
      </c>
      <c r="M781" s="22" t="str">
        <f t="shared" ca="1" si="59"/>
        <v/>
      </c>
      <c r="U781" s="23" t="str">
        <f t="shared" si="60"/>
        <v/>
      </c>
      <c r="V781" s="23" t="str">
        <f t="shared" si="61"/>
        <v/>
      </c>
    </row>
    <row r="782" spans="5:22" x14ac:dyDescent="0.25">
      <c r="E782" s="21" t="str">
        <f t="shared" si="57"/>
        <v/>
      </c>
      <c r="F782" s="21"/>
      <c r="G782" s="21"/>
      <c r="H782" s="21"/>
      <c r="I782" s="21"/>
      <c r="J782" s="21"/>
      <c r="K782" s="21"/>
      <c r="L782" s="16" t="str">
        <f t="shared" ca="1" si="58"/>
        <v/>
      </c>
      <c r="M782" s="22" t="str">
        <f t="shared" ca="1" si="59"/>
        <v/>
      </c>
      <c r="U782" s="23" t="str">
        <f t="shared" si="60"/>
        <v/>
      </c>
      <c r="V782" s="23" t="str">
        <f t="shared" si="61"/>
        <v/>
      </c>
    </row>
    <row r="783" spans="5:22" x14ac:dyDescent="0.25">
      <c r="E783" s="21" t="str">
        <f t="shared" si="57"/>
        <v/>
      </c>
      <c r="F783" s="21"/>
      <c r="G783" s="21"/>
      <c r="H783" s="21"/>
      <c r="I783" s="21"/>
      <c r="J783" s="21"/>
      <c r="K783" s="21"/>
      <c r="L783" s="16" t="str">
        <f t="shared" ca="1" si="58"/>
        <v/>
      </c>
      <c r="M783" s="22" t="str">
        <f t="shared" ca="1" si="59"/>
        <v/>
      </c>
      <c r="U783" s="23" t="str">
        <f t="shared" si="60"/>
        <v/>
      </c>
      <c r="V783" s="23" t="str">
        <f t="shared" si="61"/>
        <v/>
      </c>
    </row>
    <row r="784" spans="5:22" x14ac:dyDescent="0.25">
      <c r="E784" s="21" t="str">
        <f t="shared" si="57"/>
        <v/>
      </c>
      <c r="F784" s="21"/>
      <c r="G784" s="21"/>
      <c r="H784" s="21"/>
      <c r="I784" s="21"/>
      <c r="J784" s="21"/>
      <c r="K784" s="21"/>
      <c r="L784" s="16" t="str">
        <f t="shared" ca="1" si="58"/>
        <v/>
      </c>
      <c r="M784" s="22" t="str">
        <f t="shared" ca="1" si="59"/>
        <v/>
      </c>
      <c r="U784" s="23" t="str">
        <f t="shared" si="60"/>
        <v/>
      </c>
      <c r="V784" s="23" t="str">
        <f t="shared" si="61"/>
        <v/>
      </c>
    </row>
    <row r="785" spans="5:22" x14ac:dyDescent="0.25">
      <c r="E785" s="21" t="str">
        <f t="shared" si="57"/>
        <v/>
      </c>
      <c r="F785" s="21"/>
      <c r="G785" s="21"/>
      <c r="H785" s="21"/>
      <c r="I785" s="21"/>
      <c r="J785" s="21"/>
      <c r="K785" s="21"/>
      <c r="L785" s="16" t="str">
        <f t="shared" ca="1" si="58"/>
        <v/>
      </c>
      <c r="M785" s="22" t="str">
        <f t="shared" ca="1" si="59"/>
        <v/>
      </c>
      <c r="U785" s="23" t="str">
        <f t="shared" si="60"/>
        <v/>
      </c>
      <c r="V785" s="23" t="str">
        <f t="shared" si="61"/>
        <v/>
      </c>
    </row>
    <row r="786" spans="5:22" x14ac:dyDescent="0.25">
      <c r="E786" s="21" t="str">
        <f t="shared" si="57"/>
        <v/>
      </c>
      <c r="F786" s="21"/>
      <c r="G786" s="21"/>
      <c r="H786" s="21"/>
      <c r="I786" s="21"/>
      <c r="J786" s="21"/>
      <c r="K786" s="21"/>
      <c r="L786" s="16" t="str">
        <f t="shared" ca="1" si="58"/>
        <v/>
      </c>
      <c r="M786" s="22" t="str">
        <f t="shared" ca="1" si="59"/>
        <v/>
      </c>
      <c r="U786" s="23" t="str">
        <f t="shared" si="60"/>
        <v/>
      </c>
      <c r="V786" s="23" t="str">
        <f t="shared" si="61"/>
        <v/>
      </c>
    </row>
    <row r="787" spans="5:22" x14ac:dyDescent="0.25">
      <c r="E787" s="21" t="str">
        <f t="shared" si="57"/>
        <v/>
      </c>
      <c r="F787" s="21"/>
      <c r="G787" s="21"/>
      <c r="H787" s="21"/>
      <c r="I787" s="21"/>
      <c r="J787" s="21"/>
      <c r="K787" s="21"/>
      <c r="L787" s="16" t="str">
        <f t="shared" ca="1" si="58"/>
        <v/>
      </c>
      <c r="M787" s="22" t="str">
        <f t="shared" ca="1" si="59"/>
        <v/>
      </c>
      <c r="U787" s="23" t="str">
        <f t="shared" si="60"/>
        <v/>
      </c>
      <c r="V787" s="23" t="str">
        <f t="shared" si="61"/>
        <v/>
      </c>
    </row>
    <row r="788" spans="5:22" x14ac:dyDescent="0.25">
      <c r="E788" s="21" t="str">
        <f t="shared" si="57"/>
        <v/>
      </c>
      <c r="F788" s="21"/>
      <c r="G788" s="21"/>
      <c r="H788" s="21"/>
      <c r="I788" s="21"/>
      <c r="J788" s="21"/>
      <c r="K788" s="21"/>
      <c r="L788" s="16" t="str">
        <f t="shared" ca="1" si="58"/>
        <v/>
      </c>
      <c r="M788" s="22" t="str">
        <f t="shared" ca="1" si="59"/>
        <v/>
      </c>
      <c r="U788" s="23" t="str">
        <f t="shared" si="60"/>
        <v/>
      </c>
      <c r="V788" s="23" t="str">
        <f t="shared" si="61"/>
        <v/>
      </c>
    </row>
    <row r="789" spans="5:22" x14ac:dyDescent="0.25">
      <c r="E789" s="21" t="str">
        <f t="shared" si="57"/>
        <v/>
      </c>
      <c r="F789" s="21"/>
      <c r="G789" s="21"/>
      <c r="H789" s="21"/>
      <c r="I789" s="21"/>
      <c r="J789" s="21"/>
      <c r="K789" s="21"/>
      <c r="L789" s="16" t="str">
        <f t="shared" ca="1" si="58"/>
        <v/>
      </c>
      <c r="M789" s="22" t="str">
        <f t="shared" ca="1" si="59"/>
        <v/>
      </c>
      <c r="U789" s="23" t="str">
        <f t="shared" si="60"/>
        <v/>
      </c>
      <c r="V789" s="23" t="str">
        <f t="shared" si="61"/>
        <v/>
      </c>
    </row>
    <row r="790" spans="5:22" x14ac:dyDescent="0.25">
      <c r="E790" s="21" t="str">
        <f t="shared" si="57"/>
        <v/>
      </c>
      <c r="F790" s="21"/>
      <c r="G790" s="21"/>
      <c r="H790" s="21"/>
      <c r="I790" s="21"/>
      <c r="J790" s="21"/>
      <c r="K790" s="21"/>
      <c r="L790" s="16" t="str">
        <f t="shared" ca="1" si="58"/>
        <v/>
      </c>
      <c r="M790" s="22" t="str">
        <f t="shared" ca="1" si="59"/>
        <v/>
      </c>
      <c r="U790" s="23" t="str">
        <f t="shared" si="60"/>
        <v/>
      </c>
      <c r="V790" s="23" t="str">
        <f t="shared" si="61"/>
        <v/>
      </c>
    </row>
    <row r="791" spans="5:22" x14ac:dyDescent="0.25">
      <c r="E791" s="21" t="str">
        <f t="shared" si="57"/>
        <v/>
      </c>
      <c r="F791" s="21"/>
      <c r="G791" s="21"/>
      <c r="H791" s="21"/>
      <c r="I791" s="21"/>
      <c r="J791" s="21"/>
      <c r="K791" s="21"/>
      <c r="L791" s="16" t="str">
        <f t="shared" ca="1" si="58"/>
        <v/>
      </c>
      <c r="M791" s="22" t="str">
        <f t="shared" ca="1" si="59"/>
        <v/>
      </c>
      <c r="U791" s="23" t="str">
        <f t="shared" si="60"/>
        <v/>
      </c>
      <c r="V791" s="23" t="str">
        <f t="shared" si="61"/>
        <v/>
      </c>
    </row>
    <row r="792" spans="5:22" x14ac:dyDescent="0.25">
      <c r="E792" s="21" t="str">
        <f t="shared" si="57"/>
        <v/>
      </c>
      <c r="F792" s="21"/>
      <c r="G792" s="21"/>
      <c r="H792" s="21"/>
      <c r="I792" s="21"/>
      <c r="J792" s="21"/>
      <c r="K792" s="21"/>
      <c r="L792" s="16" t="str">
        <f t="shared" ca="1" si="58"/>
        <v/>
      </c>
      <c r="M792" s="22" t="str">
        <f t="shared" ca="1" si="59"/>
        <v/>
      </c>
      <c r="U792" s="23" t="str">
        <f t="shared" si="60"/>
        <v/>
      </c>
      <c r="V792" s="23" t="str">
        <f t="shared" si="61"/>
        <v/>
      </c>
    </row>
    <row r="793" spans="5:22" x14ac:dyDescent="0.25">
      <c r="E793" s="21" t="str">
        <f t="shared" si="57"/>
        <v/>
      </c>
      <c r="F793" s="21"/>
      <c r="G793" s="21"/>
      <c r="H793" s="21"/>
      <c r="I793" s="21"/>
      <c r="J793" s="21"/>
      <c r="K793" s="21"/>
      <c r="L793" s="16" t="str">
        <f t="shared" ca="1" si="58"/>
        <v/>
      </c>
      <c r="M793" s="22" t="str">
        <f t="shared" ca="1" si="59"/>
        <v/>
      </c>
      <c r="U793" s="23" t="str">
        <f t="shared" si="60"/>
        <v/>
      </c>
      <c r="V793" s="23" t="str">
        <f t="shared" si="61"/>
        <v/>
      </c>
    </row>
    <row r="794" spans="5:22" x14ac:dyDescent="0.25">
      <c r="E794" s="21" t="str">
        <f t="shared" si="57"/>
        <v/>
      </c>
      <c r="F794" s="21"/>
      <c r="G794" s="21"/>
      <c r="H794" s="21"/>
      <c r="I794" s="21"/>
      <c r="J794" s="21"/>
      <c r="K794" s="21"/>
      <c r="L794" s="16" t="str">
        <f t="shared" ca="1" si="58"/>
        <v/>
      </c>
      <c r="M794" s="22" t="str">
        <f t="shared" ca="1" si="59"/>
        <v/>
      </c>
      <c r="U794" s="23" t="str">
        <f t="shared" si="60"/>
        <v/>
      </c>
      <c r="V794" s="23" t="str">
        <f t="shared" si="61"/>
        <v/>
      </c>
    </row>
    <row r="795" spans="5:22" x14ac:dyDescent="0.25">
      <c r="E795" s="21" t="str">
        <f t="shared" si="57"/>
        <v/>
      </c>
      <c r="F795" s="21"/>
      <c r="G795" s="21"/>
      <c r="H795" s="21"/>
      <c r="I795" s="21"/>
      <c r="J795" s="21"/>
      <c r="K795" s="21"/>
      <c r="L795" s="16" t="str">
        <f t="shared" ca="1" si="58"/>
        <v/>
      </c>
      <c r="M795" s="22" t="str">
        <f t="shared" ca="1" si="59"/>
        <v/>
      </c>
      <c r="U795" s="23" t="str">
        <f t="shared" si="60"/>
        <v/>
      </c>
      <c r="V795" s="23" t="str">
        <f t="shared" si="61"/>
        <v/>
      </c>
    </row>
    <row r="796" spans="5:22" x14ac:dyDescent="0.25">
      <c r="E796" s="21" t="str">
        <f t="shared" si="57"/>
        <v/>
      </c>
      <c r="F796" s="21"/>
      <c r="G796" s="21"/>
      <c r="H796" s="21"/>
      <c r="I796" s="21"/>
      <c r="J796" s="21"/>
      <c r="K796" s="21"/>
      <c r="L796" s="16" t="str">
        <f t="shared" ca="1" si="58"/>
        <v/>
      </c>
      <c r="M796" s="22" t="str">
        <f t="shared" ca="1" si="59"/>
        <v/>
      </c>
      <c r="U796" s="23" t="str">
        <f t="shared" si="60"/>
        <v/>
      </c>
      <c r="V796" s="23" t="str">
        <f t="shared" si="61"/>
        <v/>
      </c>
    </row>
    <row r="797" spans="5:22" x14ac:dyDescent="0.25">
      <c r="E797" s="21" t="str">
        <f t="shared" si="57"/>
        <v/>
      </c>
      <c r="F797" s="21"/>
      <c r="G797" s="21"/>
      <c r="H797" s="21"/>
      <c r="I797" s="21"/>
      <c r="J797" s="21"/>
      <c r="K797" s="21"/>
      <c r="L797" s="16" t="str">
        <f t="shared" ca="1" si="58"/>
        <v/>
      </c>
      <c r="M797" s="22" t="str">
        <f t="shared" ca="1" si="59"/>
        <v/>
      </c>
      <c r="U797" s="23" t="str">
        <f t="shared" si="60"/>
        <v/>
      </c>
      <c r="V797" s="23" t="str">
        <f t="shared" si="61"/>
        <v/>
      </c>
    </row>
    <row r="798" spans="5:22" x14ac:dyDescent="0.25">
      <c r="E798" s="21" t="str">
        <f t="shared" si="57"/>
        <v/>
      </c>
      <c r="F798" s="21"/>
      <c r="G798" s="21"/>
      <c r="H798" s="21"/>
      <c r="I798" s="21"/>
      <c r="J798" s="21"/>
      <c r="K798" s="21"/>
      <c r="L798" s="16" t="str">
        <f t="shared" ca="1" si="58"/>
        <v/>
      </c>
      <c r="M798" s="22" t="str">
        <f t="shared" ca="1" si="59"/>
        <v/>
      </c>
      <c r="U798" s="23" t="str">
        <f t="shared" si="60"/>
        <v/>
      </c>
      <c r="V798" s="23" t="str">
        <f t="shared" si="61"/>
        <v/>
      </c>
    </row>
    <row r="799" spans="5:22" x14ac:dyDescent="0.25">
      <c r="E799" s="21" t="str">
        <f t="shared" si="57"/>
        <v/>
      </c>
      <c r="F799" s="21"/>
      <c r="G799" s="21"/>
      <c r="H799" s="21"/>
      <c r="I799" s="21"/>
      <c r="J799" s="21"/>
      <c r="K799" s="21"/>
      <c r="L799" s="16" t="str">
        <f t="shared" ca="1" si="58"/>
        <v/>
      </c>
      <c r="M799" s="22" t="str">
        <f t="shared" ca="1" si="59"/>
        <v/>
      </c>
      <c r="U799" s="23" t="str">
        <f t="shared" si="60"/>
        <v/>
      </c>
      <c r="V799" s="23" t="str">
        <f t="shared" si="61"/>
        <v/>
      </c>
    </row>
    <row r="800" spans="5:22" x14ac:dyDescent="0.25">
      <c r="E800" s="21" t="str">
        <f t="shared" si="57"/>
        <v/>
      </c>
      <c r="F800" s="21"/>
      <c r="G800" s="21"/>
      <c r="H800" s="21"/>
      <c r="I800" s="21"/>
      <c r="J800" s="21"/>
      <c r="K800" s="21"/>
      <c r="L800" s="16" t="str">
        <f t="shared" ca="1" si="58"/>
        <v/>
      </c>
      <c r="M800" s="22" t="str">
        <f t="shared" ca="1" si="59"/>
        <v/>
      </c>
      <c r="U800" s="23" t="str">
        <f t="shared" si="60"/>
        <v/>
      </c>
      <c r="V800" s="23" t="str">
        <f t="shared" si="61"/>
        <v/>
      </c>
    </row>
    <row r="801" spans="5:22" x14ac:dyDescent="0.25">
      <c r="E801" s="21" t="str">
        <f t="shared" si="57"/>
        <v/>
      </c>
      <c r="F801" s="21"/>
      <c r="G801" s="21"/>
      <c r="H801" s="21"/>
      <c r="I801" s="21"/>
      <c r="J801" s="21"/>
      <c r="K801" s="21"/>
      <c r="L801" s="16" t="str">
        <f t="shared" ca="1" si="58"/>
        <v/>
      </c>
      <c r="M801" s="22" t="str">
        <f t="shared" ca="1" si="59"/>
        <v/>
      </c>
      <c r="U801" s="23" t="str">
        <f t="shared" si="60"/>
        <v/>
      </c>
      <c r="V801" s="23" t="str">
        <f t="shared" si="61"/>
        <v/>
      </c>
    </row>
    <row r="802" spans="5:22" x14ac:dyDescent="0.25">
      <c r="E802" s="21" t="str">
        <f t="shared" si="57"/>
        <v/>
      </c>
      <c r="F802" s="21"/>
      <c r="G802" s="21"/>
      <c r="H802" s="21"/>
      <c r="I802" s="21"/>
      <c r="J802" s="21"/>
      <c r="K802" s="21"/>
      <c r="L802" s="16" t="str">
        <f t="shared" ca="1" si="58"/>
        <v/>
      </c>
      <c r="M802" s="22" t="str">
        <f t="shared" ca="1" si="59"/>
        <v/>
      </c>
      <c r="U802" s="23" t="str">
        <f t="shared" si="60"/>
        <v/>
      </c>
      <c r="V802" s="23" t="str">
        <f t="shared" si="61"/>
        <v/>
      </c>
    </row>
    <row r="803" spans="5:22" x14ac:dyDescent="0.25">
      <c r="E803" s="21" t="str">
        <f t="shared" si="57"/>
        <v/>
      </c>
      <c r="F803" s="21"/>
      <c r="G803" s="21"/>
      <c r="H803" s="21"/>
      <c r="I803" s="21"/>
      <c r="J803" s="21"/>
      <c r="K803" s="21"/>
      <c r="L803" s="16" t="str">
        <f t="shared" ca="1" si="58"/>
        <v/>
      </c>
      <c r="M803" s="22" t="str">
        <f t="shared" ca="1" si="59"/>
        <v/>
      </c>
      <c r="U803" s="23" t="str">
        <f t="shared" si="60"/>
        <v/>
      </c>
      <c r="V803" s="23" t="str">
        <f t="shared" si="61"/>
        <v/>
      </c>
    </row>
    <row r="804" spans="5:22" x14ac:dyDescent="0.25">
      <c r="E804" s="21" t="str">
        <f t="shared" si="57"/>
        <v/>
      </c>
      <c r="F804" s="21"/>
      <c r="G804" s="21"/>
      <c r="H804" s="21"/>
      <c r="I804" s="21"/>
      <c r="J804" s="21"/>
      <c r="K804" s="21"/>
      <c r="L804" s="16" t="str">
        <f t="shared" ca="1" si="58"/>
        <v/>
      </c>
      <c r="M804" s="22" t="str">
        <f t="shared" ca="1" si="59"/>
        <v/>
      </c>
      <c r="U804" s="23" t="str">
        <f t="shared" si="60"/>
        <v/>
      </c>
      <c r="V804" s="23" t="str">
        <f t="shared" si="61"/>
        <v/>
      </c>
    </row>
    <row r="805" spans="5:22" x14ac:dyDescent="0.25">
      <c r="E805" s="21" t="str">
        <f t="shared" ref="E805:E868" si="62">IF(ISNUMBER(SEARCH("v crs",D805))=TRUE,"VC",IF(ISNUMBER(SEARCH("crs",D805))=TRUE,"C",IF(ISNUMBER(SEARCH("med",D805))=TRUE,"M",IF(ISNUMBER(SEARCH("vf",D805))=TRUE,"VF",IF(ISNUMBER(SEARCH("f",D805))=TRUE,"F","")))))</f>
        <v/>
      </c>
      <c r="F805" s="21"/>
      <c r="G805" s="21"/>
      <c r="H805" s="21"/>
      <c r="I805" s="21"/>
      <c r="J805" s="21"/>
      <c r="K805" s="21"/>
      <c r="L805" s="16" t="str">
        <f t="shared" ca="1" si="58"/>
        <v/>
      </c>
      <c r="M805" s="22" t="str">
        <f t="shared" ca="1" si="59"/>
        <v/>
      </c>
      <c r="U805" s="23" t="str">
        <f t="shared" si="60"/>
        <v/>
      </c>
      <c r="V805" s="23" t="str">
        <f t="shared" si="61"/>
        <v/>
      </c>
    </row>
    <row r="806" spans="5:22" x14ac:dyDescent="0.25">
      <c r="E806" s="21" t="str">
        <f t="shared" si="62"/>
        <v/>
      </c>
      <c r="F806" s="21"/>
      <c r="G806" s="21"/>
      <c r="H806" s="21"/>
      <c r="I806" s="21"/>
      <c r="J806" s="21"/>
      <c r="K806" s="21"/>
      <c r="L806" s="16" t="str">
        <f t="shared" ca="1" si="58"/>
        <v/>
      </c>
      <c r="M806" s="22" t="str">
        <f t="shared" ca="1" si="59"/>
        <v/>
      </c>
      <c r="U806" s="23" t="str">
        <f t="shared" si="60"/>
        <v/>
      </c>
      <c r="V806" s="23" t="str">
        <f t="shared" si="61"/>
        <v/>
      </c>
    </row>
    <row r="807" spans="5:22" x14ac:dyDescent="0.25">
      <c r="E807" s="21" t="str">
        <f t="shared" si="62"/>
        <v/>
      </c>
      <c r="F807" s="21"/>
      <c r="G807" s="21"/>
      <c r="H807" s="21"/>
      <c r="I807" s="21"/>
      <c r="J807" s="21"/>
      <c r="K807" s="21"/>
      <c r="L807" s="16" t="str">
        <f t="shared" ca="1" si="58"/>
        <v/>
      </c>
      <c r="M807" s="22" t="str">
        <f t="shared" ca="1" si="59"/>
        <v/>
      </c>
      <c r="U807" s="23" t="str">
        <f t="shared" si="60"/>
        <v/>
      </c>
      <c r="V807" s="23" t="str">
        <f t="shared" si="61"/>
        <v/>
      </c>
    </row>
    <row r="808" spans="5:22" x14ac:dyDescent="0.25">
      <c r="E808" s="21" t="str">
        <f t="shared" si="62"/>
        <v/>
      </c>
      <c r="F808" s="21"/>
      <c r="G808" s="21"/>
      <c r="H808" s="21"/>
      <c r="I808" s="21"/>
      <c r="J808" s="21"/>
      <c r="K808" s="21"/>
      <c r="L808" s="16" t="str">
        <f t="shared" ca="1" si="58"/>
        <v/>
      </c>
      <c r="M808" s="22" t="str">
        <f t="shared" ca="1" si="59"/>
        <v/>
      </c>
      <c r="U808" s="23" t="str">
        <f t="shared" si="60"/>
        <v/>
      </c>
      <c r="V808" s="23" t="str">
        <f t="shared" si="61"/>
        <v/>
      </c>
    </row>
    <row r="809" spans="5:22" x14ac:dyDescent="0.25">
      <c r="E809" s="21" t="str">
        <f t="shared" si="62"/>
        <v/>
      </c>
      <c r="F809" s="21"/>
      <c r="G809" s="21"/>
      <c r="H809" s="21"/>
      <c r="I809" s="21"/>
      <c r="J809" s="21"/>
      <c r="K809" s="21"/>
      <c r="L809" s="16" t="str">
        <f t="shared" ca="1" si="58"/>
        <v/>
      </c>
      <c r="M809" s="22" t="str">
        <f t="shared" ca="1" si="59"/>
        <v/>
      </c>
      <c r="U809" s="23" t="str">
        <f t="shared" si="60"/>
        <v/>
      </c>
      <c r="V809" s="23" t="str">
        <f t="shared" si="61"/>
        <v/>
      </c>
    </row>
    <row r="810" spans="5:22" x14ac:dyDescent="0.25">
      <c r="E810" s="21" t="str">
        <f t="shared" si="62"/>
        <v/>
      </c>
      <c r="F810" s="21"/>
      <c r="G810" s="21"/>
      <c r="H810" s="21"/>
      <c r="I810" s="21"/>
      <c r="J810" s="21"/>
      <c r="K810" s="21"/>
      <c r="L810" s="16" t="str">
        <f t="shared" ca="1" si="58"/>
        <v/>
      </c>
      <c r="M810" s="22" t="str">
        <f t="shared" ca="1" si="59"/>
        <v/>
      </c>
      <c r="U810" s="23" t="str">
        <f t="shared" si="60"/>
        <v/>
      </c>
      <c r="V810" s="23" t="str">
        <f t="shared" si="61"/>
        <v/>
      </c>
    </row>
    <row r="811" spans="5:22" x14ac:dyDescent="0.25">
      <c r="E811" s="21" t="str">
        <f t="shared" si="62"/>
        <v/>
      </c>
      <c r="F811" s="21"/>
      <c r="G811" s="21"/>
      <c r="H811" s="21"/>
      <c r="I811" s="21"/>
      <c r="J811" s="21"/>
      <c r="K811" s="21"/>
      <c r="L811" s="16" t="str">
        <f t="shared" ca="1" si="58"/>
        <v/>
      </c>
      <c r="M811" s="22" t="str">
        <f t="shared" ca="1" si="59"/>
        <v/>
      </c>
      <c r="U811" s="23" t="str">
        <f t="shared" si="60"/>
        <v/>
      </c>
      <c r="V811" s="23" t="str">
        <f t="shared" si="61"/>
        <v/>
      </c>
    </row>
    <row r="812" spans="5:22" x14ac:dyDescent="0.25">
      <c r="E812" s="21" t="str">
        <f t="shared" si="62"/>
        <v/>
      </c>
      <c r="F812" s="21"/>
      <c r="G812" s="21"/>
      <c r="H812" s="21"/>
      <c r="I812" s="21"/>
      <c r="J812" s="21"/>
      <c r="K812" s="21"/>
      <c r="L812" s="16" t="str">
        <f t="shared" ca="1" si="58"/>
        <v/>
      </c>
      <c r="M812" s="22" t="str">
        <f t="shared" ca="1" si="59"/>
        <v/>
      </c>
      <c r="U812" s="23" t="str">
        <f t="shared" si="60"/>
        <v/>
      </c>
      <c r="V812" s="23" t="str">
        <f t="shared" si="61"/>
        <v/>
      </c>
    </row>
    <row r="813" spans="5:22" x14ac:dyDescent="0.25">
      <c r="E813" s="21" t="str">
        <f t="shared" si="62"/>
        <v/>
      </c>
      <c r="F813" s="21"/>
      <c r="G813" s="21"/>
      <c r="H813" s="21"/>
      <c r="I813" s="21"/>
      <c r="J813" s="21"/>
      <c r="K813" s="21"/>
      <c r="L813" s="16" t="str">
        <f t="shared" ca="1" si="58"/>
        <v/>
      </c>
      <c r="M813" s="22" t="str">
        <f t="shared" ca="1" si="59"/>
        <v/>
      </c>
      <c r="U813" s="23" t="str">
        <f t="shared" si="60"/>
        <v/>
      </c>
      <c r="V813" s="23" t="str">
        <f t="shared" si="61"/>
        <v/>
      </c>
    </row>
    <row r="814" spans="5:22" x14ac:dyDescent="0.25">
      <c r="E814" s="21" t="str">
        <f t="shared" si="62"/>
        <v/>
      </c>
      <c r="F814" s="21"/>
      <c r="G814" s="21"/>
      <c r="H814" s="21"/>
      <c r="I814" s="21"/>
      <c r="J814" s="21"/>
      <c r="K814" s="21"/>
      <c r="L814" s="16" t="str">
        <f t="shared" ca="1" si="58"/>
        <v/>
      </c>
      <c r="M814" s="22" t="str">
        <f t="shared" ca="1" si="59"/>
        <v/>
      </c>
      <c r="U814" s="23" t="str">
        <f t="shared" si="60"/>
        <v/>
      </c>
      <c r="V814" s="23" t="str">
        <f t="shared" si="61"/>
        <v/>
      </c>
    </row>
    <row r="815" spans="5:22" x14ac:dyDescent="0.25">
      <c r="E815" s="21" t="str">
        <f t="shared" si="62"/>
        <v/>
      </c>
      <c r="F815" s="21"/>
      <c r="G815" s="21"/>
      <c r="H815" s="21"/>
      <c r="I815" s="21"/>
      <c r="J815" s="21"/>
      <c r="K815" s="21"/>
      <c r="L815" s="16" t="str">
        <f t="shared" ca="1" si="58"/>
        <v/>
      </c>
      <c r="M815" s="22" t="str">
        <f t="shared" ca="1" si="59"/>
        <v/>
      </c>
      <c r="U815" s="23" t="str">
        <f t="shared" si="60"/>
        <v/>
      </c>
      <c r="V815" s="23" t="str">
        <f t="shared" si="61"/>
        <v/>
      </c>
    </row>
    <row r="816" spans="5:22" x14ac:dyDescent="0.25">
      <c r="E816" s="21" t="str">
        <f t="shared" si="62"/>
        <v/>
      </c>
      <c r="F816" s="21"/>
      <c r="G816" s="21"/>
      <c r="H816" s="21"/>
      <c r="I816" s="21"/>
      <c r="J816" s="21"/>
      <c r="K816" s="21"/>
      <c r="L816" s="16" t="str">
        <f t="shared" ca="1" si="58"/>
        <v/>
      </c>
      <c r="M816" s="22" t="str">
        <f t="shared" ca="1" si="59"/>
        <v/>
      </c>
      <c r="U816" s="23" t="str">
        <f t="shared" si="60"/>
        <v/>
      </c>
      <c r="V816" s="23" t="str">
        <f t="shared" si="61"/>
        <v/>
      </c>
    </row>
    <row r="817" spans="5:22" x14ac:dyDescent="0.25">
      <c r="E817" s="21" t="str">
        <f t="shared" si="62"/>
        <v/>
      </c>
      <c r="F817" s="21"/>
      <c r="G817" s="21"/>
      <c r="H817" s="21"/>
      <c r="I817" s="21"/>
      <c r="J817" s="21"/>
      <c r="K817" s="21"/>
      <c r="L817" s="16" t="str">
        <f t="shared" ca="1" si="58"/>
        <v/>
      </c>
      <c r="M817" s="22" t="str">
        <f t="shared" ca="1" si="59"/>
        <v/>
      </c>
      <c r="U817" s="23" t="str">
        <f t="shared" si="60"/>
        <v/>
      </c>
      <c r="V817" s="23" t="str">
        <f t="shared" si="61"/>
        <v/>
      </c>
    </row>
    <row r="818" spans="5:22" x14ac:dyDescent="0.25">
      <c r="E818" s="21" t="str">
        <f t="shared" si="62"/>
        <v/>
      </c>
      <c r="F818" s="21"/>
      <c r="G818" s="21"/>
      <c r="H818" s="21"/>
      <c r="I818" s="21"/>
      <c r="J818" s="21"/>
      <c r="K818" s="21"/>
      <c r="L818" s="16" t="str">
        <f t="shared" ca="1" si="58"/>
        <v/>
      </c>
      <c r="M818" s="22" t="str">
        <f t="shared" ca="1" si="59"/>
        <v/>
      </c>
      <c r="U818" s="23" t="str">
        <f t="shared" si="60"/>
        <v/>
      </c>
      <c r="V818" s="23" t="str">
        <f t="shared" si="61"/>
        <v/>
      </c>
    </row>
    <row r="819" spans="5:22" x14ac:dyDescent="0.25">
      <c r="E819" s="21" t="str">
        <f t="shared" si="62"/>
        <v/>
      </c>
      <c r="F819" s="21"/>
      <c r="G819" s="21"/>
      <c r="H819" s="21"/>
      <c r="I819" s="21"/>
      <c r="J819" s="21"/>
      <c r="K819" s="21"/>
      <c r="L819" s="16" t="str">
        <f t="shared" ca="1" si="58"/>
        <v/>
      </c>
      <c r="M819" s="22" t="str">
        <f t="shared" ca="1" si="59"/>
        <v/>
      </c>
      <c r="U819" s="23" t="str">
        <f t="shared" si="60"/>
        <v/>
      </c>
      <c r="V819" s="23" t="str">
        <f t="shared" si="61"/>
        <v/>
      </c>
    </row>
    <row r="820" spans="5:22" x14ac:dyDescent="0.25">
      <c r="E820" s="21" t="str">
        <f t="shared" si="62"/>
        <v/>
      </c>
      <c r="F820" s="21"/>
      <c r="G820" s="21"/>
      <c r="H820" s="21"/>
      <c r="I820" s="21"/>
      <c r="J820" s="21"/>
      <c r="K820" s="21"/>
      <c r="L820" s="16" t="str">
        <f t="shared" ca="1" si="58"/>
        <v/>
      </c>
      <c r="M820" s="22" t="str">
        <f t="shared" ca="1" si="59"/>
        <v/>
      </c>
      <c r="U820" s="23" t="str">
        <f t="shared" si="60"/>
        <v/>
      </c>
      <c r="V820" s="23" t="str">
        <f t="shared" si="61"/>
        <v/>
      </c>
    </row>
    <row r="821" spans="5:22" x14ac:dyDescent="0.25">
      <c r="E821" s="21" t="str">
        <f t="shared" si="62"/>
        <v/>
      </c>
      <c r="F821" s="21"/>
      <c r="G821" s="21"/>
      <c r="H821" s="21"/>
      <c r="I821" s="21"/>
      <c r="J821" s="21"/>
      <c r="K821" s="21"/>
      <c r="L821" s="16" t="str">
        <f t="shared" ca="1" si="58"/>
        <v/>
      </c>
      <c r="M821" s="22" t="str">
        <f t="shared" ca="1" si="59"/>
        <v/>
      </c>
      <c r="U821" s="23" t="str">
        <f t="shared" si="60"/>
        <v/>
      </c>
      <c r="V821" s="23" t="str">
        <f t="shared" si="61"/>
        <v/>
      </c>
    </row>
    <row r="822" spans="5:22" x14ac:dyDescent="0.25">
      <c r="E822" s="21" t="str">
        <f t="shared" si="62"/>
        <v/>
      </c>
      <c r="F822" s="21"/>
      <c r="G822" s="21"/>
      <c r="H822" s="21"/>
      <c r="I822" s="21"/>
      <c r="J822" s="21"/>
      <c r="K822" s="21"/>
      <c r="L822" s="16" t="str">
        <f t="shared" ca="1" si="58"/>
        <v/>
      </c>
      <c r="M822" s="22" t="str">
        <f t="shared" ca="1" si="59"/>
        <v/>
      </c>
      <c r="U822" s="23" t="str">
        <f t="shared" si="60"/>
        <v/>
      </c>
      <c r="V822" s="23" t="str">
        <f t="shared" si="61"/>
        <v/>
      </c>
    </row>
    <row r="823" spans="5:22" x14ac:dyDescent="0.25">
      <c r="E823" s="21" t="str">
        <f t="shared" si="62"/>
        <v/>
      </c>
      <c r="F823" s="21"/>
      <c r="G823" s="21"/>
      <c r="H823" s="21"/>
      <c r="I823" s="21"/>
      <c r="J823" s="21"/>
      <c r="K823" s="21"/>
      <c r="L823" s="16" t="str">
        <f t="shared" ca="1" si="58"/>
        <v/>
      </c>
      <c r="M823" s="22" t="str">
        <f t="shared" ca="1" si="59"/>
        <v/>
      </c>
      <c r="U823" s="23" t="str">
        <f t="shared" si="60"/>
        <v/>
      </c>
      <c r="V823" s="23" t="str">
        <f t="shared" si="61"/>
        <v/>
      </c>
    </row>
    <row r="824" spans="5:22" x14ac:dyDescent="0.25">
      <c r="E824" s="21" t="str">
        <f t="shared" si="62"/>
        <v/>
      </c>
      <c r="F824" s="21"/>
      <c r="G824" s="21"/>
      <c r="H824" s="21"/>
      <c r="I824" s="21"/>
      <c r="J824" s="21"/>
      <c r="K824" s="21"/>
      <c r="L824" s="16" t="str">
        <f t="shared" ca="1" si="58"/>
        <v/>
      </c>
      <c r="M824" s="22" t="str">
        <f t="shared" ca="1" si="59"/>
        <v/>
      </c>
      <c r="U824" s="23" t="str">
        <f t="shared" si="60"/>
        <v/>
      </c>
      <c r="V824" s="23" t="str">
        <f t="shared" si="61"/>
        <v/>
      </c>
    </row>
    <row r="825" spans="5:22" x14ac:dyDescent="0.25">
      <c r="E825" s="21" t="str">
        <f t="shared" si="62"/>
        <v/>
      </c>
      <c r="F825" s="21"/>
      <c r="G825" s="21"/>
      <c r="H825" s="21"/>
      <c r="I825" s="21"/>
      <c r="J825" s="21"/>
      <c r="K825" s="21"/>
      <c r="L825" s="16" t="str">
        <f t="shared" ca="1" si="58"/>
        <v/>
      </c>
      <c r="M825" s="22" t="str">
        <f t="shared" ca="1" si="59"/>
        <v/>
      </c>
      <c r="U825" s="23" t="str">
        <f t="shared" si="60"/>
        <v/>
      </c>
      <c r="V825" s="23" t="str">
        <f t="shared" si="61"/>
        <v/>
      </c>
    </row>
    <row r="826" spans="5:22" x14ac:dyDescent="0.25">
      <c r="E826" s="21" t="str">
        <f t="shared" si="62"/>
        <v/>
      </c>
      <c r="F826" s="21"/>
      <c r="G826" s="21"/>
      <c r="H826" s="21"/>
      <c r="I826" s="21"/>
      <c r="J826" s="21"/>
      <c r="K826" s="21"/>
      <c r="L826" s="16" t="str">
        <f t="shared" ca="1" si="58"/>
        <v/>
      </c>
      <c r="M826" s="22" t="str">
        <f t="shared" ca="1" si="59"/>
        <v/>
      </c>
      <c r="U826" s="23" t="str">
        <f t="shared" si="60"/>
        <v/>
      </c>
      <c r="V826" s="23" t="str">
        <f t="shared" si="61"/>
        <v/>
      </c>
    </row>
    <row r="827" spans="5:22" x14ac:dyDescent="0.25">
      <c r="E827" s="21" t="str">
        <f t="shared" si="62"/>
        <v/>
      </c>
      <c r="F827" s="21"/>
      <c r="G827" s="21"/>
      <c r="H827" s="21"/>
      <c r="I827" s="21"/>
      <c r="J827" s="21"/>
      <c r="K827" s="21"/>
      <c r="L827" s="16" t="str">
        <f t="shared" ca="1" si="58"/>
        <v/>
      </c>
      <c r="M827" s="22" t="str">
        <f t="shared" ca="1" si="59"/>
        <v/>
      </c>
      <c r="U827" s="23" t="str">
        <f t="shared" si="60"/>
        <v/>
      </c>
      <c r="V827" s="23" t="str">
        <f t="shared" si="61"/>
        <v/>
      </c>
    </row>
    <row r="828" spans="5:22" x14ac:dyDescent="0.25">
      <c r="E828" s="21" t="str">
        <f t="shared" si="62"/>
        <v/>
      </c>
      <c r="F828" s="21"/>
      <c r="G828" s="21"/>
      <c r="H828" s="21"/>
      <c r="I828" s="21"/>
      <c r="J828" s="21"/>
      <c r="K828" s="21"/>
      <c r="L828" s="16" t="str">
        <f t="shared" ca="1" si="58"/>
        <v/>
      </c>
      <c r="M828" s="22" t="str">
        <f t="shared" ca="1" si="59"/>
        <v/>
      </c>
      <c r="U828" s="23" t="str">
        <f t="shared" si="60"/>
        <v/>
      </c>
      <c r="V828" s="23" t="str">
        <f t="shared" si="61"/>
        <v/>
      </c>
    </row>
    <row r="829" spans="5:22" x14ac:dyDescent="0.25">
      <c r="E829" s="21" t="str">
        <f t="shared" si="62"/>
        <v/>
      </c>
      <c r="F829" s="21"/>
      <c r="G829" s="21"/>
      <c r="H829" s="21"/>
      <c r="I829" s="21"/>
      <c r="J829" s="21"/>
      <c r="K829" s="21"/>
      <c r="L829" s="16" t="str">
        <f t="shared" ref="L829:L892" ca="1" si="63">IF(AND(C829&lt;&gt;"",C829&lt;&gt;U829),TODAY(),IF(C829="","",L829))</f>
        <v/>
      </c>
      <c r="M829" s="22" t="str">
        <f t="shared" ref="M829:M892" ca="1" si="64">IF(AND(C829&lt;&gt;"",C829&lt;&gt;V829),NOW(),IF(C829="","",M829))</f>
        <v/>
      </c>
      <c r="U829" s="23" t="str">
        <f t="shared" si="60"/>
        <v/>
      </c>
      <c r="V829" s="23" t="str">
        <f t="shared" si="61"/>
        <v/>
      </c>
    </row>
    <row r="830" spans="5:22" x14ac:dyDescent="0.25">
      <c r="E830" s="21" t="str">
        <f t="shared" si="62"/>
        <v/>
      </c>
      <c r="F830" s="21"/>
      <c r="G830" s="21"/>
      <c r="H830" s="21"/>
      <c r="I830" s="21"/>
      <c r="J830" s="21"/>
      <c r="K830" s="21"/>
      <c r="L830" s="16" t="str">
        <f t="shared" ca="1" si="63"/>
        <v/>
      </c>
      <c r="M830" s="22" t="str">
        <f t="shared" ca="1" si="64"/>
        <v/>
      </c>
      <c r="U830" s="23" t="str">
        <f t="shared" si="60"/>
        <v/>
      </c>
      <c r="V830" s="23" t="str">
        <f t="shared" si="61"/>
        <v/>
      </c>
    </row>
    <row r="831" spans="5:22" x14ac:dyDescent="0.25">
      <c r="E831" s="21" t="str">
        <f t="shared" si="62"/>
        <v/>
      </c>
      <c r="F831" s="21"/>
      <c r="G831" s="21"/>
      <c r="H831" s="21"/>
      <c r="I831" s="21"/>
      <c r="J831" s="21"/>
      <c r="K831" s="21"/>
      <c r="L831" s="16" t="str">
        <f t="shared" ca="1" si="63"/>
        <v/>
      </c>
      <c r="M831" s="22" t="str">
        <f t="shared" ca="1" si="64"/>
        <v/>
      </c>
      <c r="U831" s="23" t="str">
        <f t="shared" si="60"/>
        <v/>
      </c>
      <c r="V831" s="23" t="str">
        <f t="shared" si="61"/>
        <v/>
      </c>
    </row>
    <row r="832" spans="5:22" x14ac:dyDescent="0.25">
      <c r="E832" s="21" t="str">
        <f t="shared" si="62"/>
        <v/>
      </c>
      <c r="F832" s="21"/>
      <c r="G832" s="21"/>
      <c r="H832" s="21"/>
      <c r="I832" s="21"/>
      <c r="J832" s="21"/>
      <c r="K832" s="21"/>
      <c r="L832" s="16" t="str">
        <f t="shared" ca="1" si="63"/>
        <v/>
      </c>
      <c r="M832" s="22" t="str">
        <f t="shared" ca="1" si="64"/>
        <v/>
      </c>
      <c r="U832" s="23" t="str">
        <f t="shared" si="60"/>
        <v/>
      </c>
      <c r="V832" s="23" t="str">
        <f t="shared" si="61"/>
        <v/>
      </c>
    </row>
    <row r="833" spans="5:22" x14ac:dyDescent="0.25">
      <c r="E833" s="21" t="str">
        <f t="shared" si="62"/>
        <v/>
      </c>
      <c r="F833" s="21"/>
      <c r="G833" s="21"/>
      <c r="H833" s="21"/>
      <c r="I833" s="21"/>
      <c r="J833" s="21"/>
      <c r="K833" s="21"/>
      <c r="L833" s="16" t="str">
        <f t="shared" ca="1" si="63"/>
        <v/>
      </c>
      <c r="M833" s="22" t="str">
        <f t="shared" ca="1" si="64"/>
        <v/>
      </c>
      <c r="U833" s="23" t="str">
        <f t="shared" si="60"/>
        <v/>
      </c>
      <c r="V833" s="23" t="str">
        <f t="shared" si="61"/>
        <v/>
      </c>
    </row>
    <row r="834" spans="5:22" x14ac:dyDescent="0.25">
      <c r="E834" s="21" t="str">
        <f t="shared" si="62"/>
        <v/>
      </c>
      <c r="F834" s="21"/>
      <c r="G834" s="21"/>
      <c r="H834" s="21"/>
      <c r="I834" s="21"/>
      <c r="J834" s="21"/>
      <c r="K834" s="21"/>
      <c r="L834" s="16" t="str">
        <f t="shared" ca="1" si="63"/>
        <v/>
      </c>
      <c r="M834" s="22" t="str">
        <f t="shared" ca="1" si="64"/>
        <v/>
      </c>
      <c r="U834" s="23" t="str">
        <f t="shared" si="60"/>
        <v/>
      </c>
      <c r="V834" s="23" t="str">
        <f t="shared" si="61"/>
        <v/>
      </c>
    </row>
    <row r="835" spans="5:22" x14ac:dyDescent="0.25">
      <c r="E835" s="21" t="str">
        <f t="shared" si="62"/>
        <v/>
      </c>
      <c r="F835" s="21"/>
      <c r="G835" s="21"/>
      <c r="H835" s="21"/>
      <c r="I835" s="21"/>
      <c r="J835" s="21"/>
      <c r="K835" s="21"/>
      <c r="L835" s="16" t="str">
        <f t="shared" ca="1" si="63"/>
        <v/>
      </c>
      <c r="M835" s="22" t="str">
        <f t="shared" ca="1" si="64"/>
        <v/>
      </c>
      <c r="U835" s="23" t="str">
        <f t="shared" si="60"/>
        <v/>
      </c>
      <c r="V835" s="23" t="str">
        <f t="shared" si="61"/>
        <v/>
      </c>
    </row>
    <row r="836" spans="5:22" x14ac:dyDescent="0.25">
      <c r="E836" s="21" t="str">
        <f t="shared" si="62"/>
        <v/>
      </c>
      <c r="F836" s="21"/>
      <c r="G836" s="21"/>
      <c r="H836" s="21"/>
      <c r="I836" s="21"/>
      <c r="J836" s="21"/>
      <c r="K836" s="21"/>
      <c r="L836" s="16" t="str">
        <f t="shared" ca="1" si="63"/>
        <v/>
      </c>
      <c r="M836" s="22" t="str">
        <f t="shared" ca="1" si="64"/>
        <v/>
      </c>
      <c r="U836" s="23" t="str">
        <f t="shared" ref="U836:U899" si="65">IF(C836="","",IF(OR(L836="",AND(ISNUMBER(U836),C836=U836)),U836,C836))</f>
        <v/>
      </c>
      <c r="V836" s="23" t="str">
        <f t="shared" ref="V836:V899" si="66">IF(C836="","",IF(OR(M836="",AND(ISNUMBER(V836),C836=V836)),V836,C836))</f>
        <v/>
      </c>
    </row>
    <row r="837" spans="5:22" x14ac:dyDescent="0.25">
      <c r="E837" s="21" t="str">
        <f t="shared" si="62"/>
        <v/>
      </c>
      <c r="F837" s="21"/>
      <c r="G837" s="21"/>
      <c r="H837" s="21"/>
      <c r="I837" s="21"/>
      <c r="J837" s="21"/>
      <c r="K837" s="21"/>
      <c r="L837" s="16" t="str">
        <f t="shared" ca="1" si="63"/>
        <v/>
      </c>
      <c r="M837" s="22" t="str">
        <f t="shared" ca="1" si="64"/>
        <v/>
      </c>
      <c r="U837" s="23" t="str">
        <f t="shared" si="65"/>
        <v/>
      </c>
      <c r="V837" s="23" t="str">
        <f t="shared" si="66"/>
        <v/>
      </c>
    </row>
    <row r="838" spans="5:22" x14ac:dyDescent="0.25">
      <c r="E838" s="21" t="str">
        <f t="shared" si="62"/>
        <v/>
      </c>
      <c r="F838" s="21"/>
      <c r="G838" s="21"/>
      <c r="H838" s="21"/>
      <c r="I838" s="21"/>
      <c r="J838" s="21"/>
      <c r="K838" s="21"/>
      <c r="L838" s="16" t="str">
        <f t="shared" ca="1" si="63"/>
        <v/>
      </c>
      <c r="M838" s="22" t="str">
        <f t="shared" ca="1" si="64"/>
        <v/>
      </c>
      <c r="U838" s="23" t="str">
        <f t="shared" si="65"/>
        <v/>
      </c>
      <c r="V838" s="23" t="str">
        <f t="shared" si="66"/>
        <v/>
      </c>
    </row>
    <row r="839" spans="5:22" x14ac:dyDescent="0.25">
      <c r="E839" s="21" t="str">
        <f t="shared" si="62"/>
        <v/>
      </c>
      <c r="F839" s="21"/>
      <c r="G839" s="21"/>
      <c r="H839" s="21"/>
      <c r="I839" s="21"/>
      <c r="J839" s="21"/>
      <c r="K839" s="21"/>
      <c r="L839" s="16" t="str">
        <f t="shared" ca="1" si="63"/>
        <v/>
      </c>
      <c r="M839" s="22" t="str">
        <f t="shared" ca="1" si="64"/>
        <v/>
      </c>
      <c r="U839" s="23" t="str">
        <f t="shared" si="65"/>
        <v/>
      </c>
      <c r="V839" s="23" t="str">
        <f t="shared" si="66"/>
        <v/>
      </c>
    </row>
    <row r="840" spans="5:22" x14ac:dyDescent="0.25">
      <c r="E840" s="21" t="str">
        <f t="shared" si="62"/>
        <v/>
      </c>
      <c r="F840" s="21"/>
      <c r="G840" s="21"/>
      <c r="H840" s="21"/>
      <c r="I840" s="21"/>
      <c r="J840" s="21"/>
      <c r="K840" s="21"/>
      <c r="L840" s="16" t="str">
        <f t="shared" ca="1" si="63"/>
        <v/>
      </c>
      <c r="M840" s="22" t="str">
        <f t="shared" ca="1" si="64"/>
        <v/>
      </c>
      <c r="U840" s="23" t="str">
        <f t="shared" si="65"/>
        <v/>
      </c>
      <c r="V840" s="23" t="str">
        <f t="shared" si="66"/>
        <v/>
      </c>
    </row>
    <row r="841" spans="5:22" x14ac:dyDescent="0.25">
      <c r="E841" s="21" t="str">
        <f t="shared" si="62"/>
        <v/>
      </c>
      <c r="F841" s="21"/>
      <c r="G841" s="21"/>
      <c r="H841" s="21"/>
      <c r="I841" s="21"/>
      <c r="J841" s="21"/>
      <c r="K841" s="21"/>
      <c r="L841" s="16" t="str">
        <f t="shared" ca="1" si="63"/>
        <v/>
      </c>
      <c r="M841" s="22" t="str">
        <f t="shared" ca="1" si="64"/>
        <v/>
      </c>
      <c r="U841" s="23" t="str">
        <f t="shared" si="65"/>
        <v/>
      </c>
      <c r="V841" s="23" t="str">
        <f t="shared" si="66"/>
        <v/>
      </c>
    </row>
    <row r="842" spans="5:22" x14ac:dyDescent="0.25">
      <c r="E842" s="21" t="str">
        <f t="shared" si="62"/>
        <v/>
      </c>
      <c r="F842" s="21"/>
      <c r="G842" s="21"/>
      <c r="H842" s="21"/>
      <c r="I842" s="21"/>
      <c r="J842" s="21"/>
      <c r="K842" s="21"/>
      <c r="L842" s="16" t="str">
        <f t="shared" ca="1" si="63"/>
        <v/>
      </c>
      <c r="M842" s="22" t="str">
        <f t="shared" ca="1" si="64"/>
        <v/>
      </c>
      <c r="U842" s="23" t="str">
        <f t="shared" si="65"/>
        <v/>
      </c>
      <c r="V842" s="23" t="str">
        <f t="shared" si="66"/>
        <v/>
      </c>
    </row>
    <row r="843" spans="5:22" x14ac:dyDescent="0.25">
      <c r="E843" s="21" t="str">
        <f t="shared" si="62"/>
        <v/>
      </c>
      <c r="F843" s="21"/>
      <c r="G843" s="21"/>
      <c r="H843" s="21"/>
      <c r="I843" s="21"/>
      <c r="J843" s="21"/>
      <c r="K843" s="21"/>
      <c r="L843" s="16" t="str">
        <f t="shared" ca="1" si="63"/>
        <v/>
      </c>
      <c r="M843" s="22" t="str">
        <f t="shared" ca="1" si="64"/>
        <v/>
      </c>
      <c r="U843" s="23" t="str">
        <f t="shared" si="65"/>
        <v/>
      </c>
      <c r="V843" s="23" t="str">
        <f t="shared" si="66"/>
        <v/>
      </c>
    </row>
    <row r="844" spans="5:22" x14ac:dyDescent="0.25">
      <c r="E844" s="21" t="str">
        <f t="shared" si="62"/>
        <v/>
      </c>
      <c r="F844" s="21"/>
      <c r="G844" s="21"/>
      <c r="H844" s="21"/>
      <c r="I844" s="21"/>
      <c r="J844" s="21"/>
      <c r="K844" s="21"/>
      <c r="L844" s="16" t="str">
        <f t="shared" ca="1" si="63"/>
        <v/>
      </c>
      <c r="M844" s="22" t="str">
        <f t="shared" ca="1" si="64"/>
        <v/>
      </c>
      <c r="U844" s="23" t="str">
        <f t="shared" si="65"/>
        <v/>
      </c>
      <c r="V844" s="23" t="str">
        <f t="shared" si="66"/>
        <v/>
      </c>
    </row>
    <row r="845" spans="5:22" x14ac:dyDescent="0.25">
      <c r="E845" s="21" t="str">
        <f t="shared" si="62"/>
        <v/>
      </c>
      <c r="F845" s="21"/>
      <c r="G845" s="21"/>
      <c r="H845" s="21"/>
      <c r="I845" s="21"/>
      <c r="J845" s="21"/>
      <c r="K845" s="21"/>
      <c r="L845" s="16" t="str">
        <f t="shared" ca="1" si="63"/>
        <v/>
      </c>
      <c r="M845" s="22" t="str">
        <f t="shared" ca="1" si="64"/>
        <v/>
      </c>
      <c r="U845" s="23" t="str">
        <f t="shared" si="65"/>
        <v/>
      </c>
      <c r="V845" s="23" t="str">
        <f t="shared" si="66"/>
        <v/>
      </c>
    </row>
    <row r="846" spans="5:22" x14ac:dyDescent="0.25">
      <c r="E846" s="21" t="str">
        <f t="shared" si="62"/>
        <v/>
      </c>
      <c r="F846" s="21"/>
      <c r="G846" s="21"/>
      <c r="H846" s="21"/>
      <c r="I846" s="21"/>
      <c r="J846" s="21"/>
      <c r="K846" s="21"/>
      <c r="L846" s="16" t="str">
        <f t="shared" ca="1" si="63"/>
        <v/>
      </c>
      <c r="M846" s="22" t="str">
        <f t="shared" ca="1" si="64"/>
        <v/>
      </c>
      <c r="U846" s="23" t="str">
        <f t="shared" si="65"/>
        <v/>
      </c>
      <c r="V846" s="23" t="str">
        <f t="shared" si="66"/>
        <v/>
      </c>
    </row>
    <row r="847" spans="5:22" x14ac:dyDescent="0.25">
      <c r="E847" s="21" t="str">
        <f t="shared" si="62"/>
        <v/>
      </c>
      <c r="F847" s="21"/>
      <c r="G847" s="21"/>
      <c r="H847" s="21"/>
      <c r="I847" s="21"/>
      <c r="J847" s="21"/>
      <c r="K847" s="21"/>
      <c r="L847" s="16" t="str">
        <f t="shared" ca="1" si="63"/>
        <v/>
      </c>
      <c r="M847" s="22" t="str">
        <f t="shared" ca="1" si="64"/>
        <v/>
      </c>
      <c r="U847" s="23" t="str">
        <f t="shared" si="65"/>
        <v/>
      </c>
      <c r="V847" s="23" t="str">
        <f t="shared" si="66"/>
        <v/>
      </c>
    </row>
    <row r="848" spans="5:22" x14ac:dyDescent="0.25">
      <c r="E848" s="21" t="str">
        <f t="shared" si="62"/>
        <v/>
      </c>
      <c r="F848" s="21"/>
      <c r="G848" s="21"/>
      <c r="H848" s="21"/>
      <c r="I848" s="21"/>
      <c r="J848" s="21"/>
      <c r="K848" s="21"/>
      <c r="L848" s="16" t="str">
        <f t="shared" ca="1" si="63"/>
        <v/>
      </c>
      <c r="M848" s="22" t="str">
        <f t="shared" ca="1" si="64"/>
        <v/>
      </c>
      <c r="U848" s="23" t="str">
        <f t="shared" si="65"/>
        <v/>
      </c>
      <c r="V848" s="23" t="str">
        <f t="shared" si="66"/>
        <v/>
      </c>
    </row>
    <row r="849" spans="5:22" x14ac:dyDescent="0.25">
      <c r="E849" s="21" t="str">
        <f t="shared" si="62"/>
        <v/>
      </c>
      <c r="F849" s="21"/>
      <c r="G849" s="21"/>
      <c r="H849" s="21"/>
      <c r="I849" s="21"/>
      <c r="J849" s="21"/>
      <c r="K849" s="21"/>
      <c r="L849" s="16" t="str">
        <f t="shared" ca="1" si="63"/>
        <v/>
      </c>
      <c r="M849" s="22" t="str">
        <f t="shared" ca="1" si="64"/>
        <v/>
      </c>
      <c r="U849" s="23" t="str">
        <f t="shared" si="65"/>
        <v/>
      </c>
      <c r="V849" s="23" t="str">
        <f t="shared" si="66"/>
        <v/>
      </c>
    </row>
    <row r="850" spans="5:22" x14ac:dyDescent="0.25">
      <c r="E850" s="21" t="str">
        <f t="shared" si="62"/>
        <v/>
      </c>
      <c r="F850" s="21"/>
      <c r="G850" s="21"/>
      <c r="H850" s="21"/>
      <c r="I850" s="21"/>
      <c r="J850" s="21"/>
      <c r="K850" s="21"/>
      <c r="L850" s="16" t="str">
        <f t="shared" ca="1" si="63"/>
        <v/>
      </c>
      <c r="M850" s="22" t="str">
        <f t="shared" ca="1" si="64"/>
        <v/>
      </c>
      <c r="U850" s="23" t="str">
        <f t="shared" si="65"/>
        <v/>
      </c>
      <c r="V850" s="23" t="str">
        <f t="shared" si="66"/>
        <v/>
      </c>
    </row>
    <row r="851" spans="5:22" x14ac:dyDescent="0.25">
      <c r="E851" s="21" t="str">
        <f t="shared" si="62"/>
        <v/>
      </c>
      <c r="F851" s="21"/>
      <c r="G851" s="21"/>
      <c r="H851" s="21"/>
      <c r="I851" s="21"/>
      <c r="J851" s="21"/>
      <c r="K851" s="21"/>
      <c r="L851" s="16" t="str">
        <f t="shared" ca="1" si="63"/>
        <v/>
      </c>
      <c r="M851" s="22" t="str">
        <f t="shared" ca="1" si="64"/>
        <v/>
      </c>
      <c r="U851" s="23" t="str">
        <f t="shared" si="65"/>
        <v/>
      </c>
      <c r="V851" s="23" t="str">
        <f t="shared" si="66"/>
        <v/>
      </c>
    </row>
    <row r="852" spans="5:22" x14ac:dyDescent="0.25">
      <c r="E852" s="21" t="str">
        <f t="shared" si="62"/>
        <v/>
      </c>
      <c r="F852" s="21"/>
      <c r="G852" s="21"/>
      <c r="H852" s="21"/>
      <c r="I852" s="21"/>
      <c r="J852" s="21"/>
      <c r="K852" s="21"/>
      <c r="L852" s="16" t="str">
        <f t="shared" ca="1" si="63"/>
        <v/>
      </c>
      <c r="M852" s="22" t="str">
        <f t="shared" ca="1" si="64"/>
        <v/>
      </c>
      <c r="U852" s="23" t="str">
        <f t="shared" si="65"/>
        <v/>
      </c>
      <c r="V852" s="23" t="str">
        <f t="shared" si="66"/>
        <v/>
      </c>
    </row>
    <row r="853" spans="5:22" x14ac:dyDescent="0.25">
      <c r="E853" s="21" t="str">
        <f t="shared" si="62"/>
        <v/>
      </c>
      <c r="F853" s="21"/>
      <c r="G853" s="21"/>
      <c r="H853" s="21"/>
      <c r="I853" s="21"/>
      <c r="J853" s="21"/>
      <c r="K853" s="21"/>
      <c r="L853" s="16" t="str">
        <f t="shared" ca="1" si="63"/>
        <v/>
      </c>
      <c r="M853" s="22" t="str">
        <f t="shared" ca="1" si="64"/>
        <v/>
      </c>
      <c r="U853" s="23" t="str">
        <f t="shared" si="65"/>
        <v/>
      </c>
      <c r="V853" s="23" t="str">
        <f t="shared" si="66"/>
        <v/>
      </c>
    </row>
    <row r="854" spans="5:22" x14ac:dyDescent="0.25">
      <c r="E854" s="21" t="str">
        <f t="shared" si="62"/>
        <v/>
      </c>
      <c r="F854" s="21"/>
      <c r="G854" s="21"/>
      <c r="H854" s="21"/>
      <c r="I854" s="21"/>
      <c r="J854" s="21"/>
      <c r="K854" s="21"/>
      <c r="L854" s="16" t="str">
        <f t="shared" ca="1" si="63"/>
        <v/>
      </c>
      <c r="M854" s="22" t="str">
        <f t="shared" ca="1" si="64"/>
        <v/>
      </c>
      <c r="U854" s="23" t="str">
        <f t="shared" si="65"/>
        <v/>
      </c>
      <c r="V854" s="23" t="str">
        <f t="shared" si="66"/>
        <v/>
      </c>
    </row>
    <row r="855" spans="5:22" x14ac:dyDescent="0.25">
      <c r="E855" s="21" t="str">
        <f t="shared" si="62"/>
        <v/>
      </c>
      <c r="F855" s="21"/>
      <c r="G855" s="21"/>
      <c r="H855" s="21"/>
      <c r="I855" s="21"/>
      <c r="J855" s="21"/>
      <c r="K855" s="21"/>
      <c r="L855" s="16" t="str">
        <f t="shared" ca="1" si="63"/>
        <v/>
      </c>
      <c r="M855" s="22" t="str">
        <f t="shared" ca="1" si="64"/>
        <v/>
      </c>
      <c r="U855" s="23" t="str">
        <f t="shared" si="65"/>
        <v/>
      </c>
      <c r="V855" s="23" t="str">
        <f t="shared" si="66"/>
        <v/>
      </c>
    </row>
    <row r="856" spans="5:22" x14ac:dyDescent="0.25">
      <c r="E856" s="21" t="str">
        <f t="shared" si="62"/>
        <v/>
      </c>
      <c r="F856" s="21"/>
      <c r="G856" s="21"/>
      <c r="H856" s="21"/>
      <c r="I856" s="21"/>
      <c r="J856" s="21"/>
      <c r="K856" s="21"/>
      <c r="L856" s="16" t="str">
        <f t="shared" ca="1" si="63"/>
        <v/>
      </c>
      <c r="M856" s="22" t="str">
        <f t="shared" ca="1" si="64"/>
        <v/>
      </c>
      <c r="U856" s="23" t="str">
        <f t="shared" si="65"/>
        <v/>
      </c>
      <c r="V856" s="23" t="str">
        <f t="shared" si="66"/>
        <v/>
      </c>
    </row>
    <row r="857" spans="5:22" x14ac:dyDescent="0.25">
      <c r="E857" s="21" t="str">
        <f t="shared" si="62"/>
        <v/>
      </c>
      <c r="F857" s="21"/>
      <c r="G857" s="21"/>
      <c r="H857" s="21"/>
      <c r="I857" s="21"/>
      <c r="J857" s="21"/>
      <c r="K857" s="21"/>
      <c r="L857" s="16" t="str">
        <f t="shared" ca="1" si="63"/>
        <v/>
      </c>
      <c r="M857" s="22" t="str">
        <f t="shared" ca="1" si="64"/>
        <v/>
      </c>
      <c r="U857" s="23" t="str">
        <f t="shared" si="65"/>
        <v/>
      </c>
      <c r="V857" s="23" t="str">
        <f t="shared" si="66"/>
        <v/>
      </c>
    </row>
    <row r="858" spans="5:22" x14ac:dyDescent="0.25">
      <c r="E858" s="21" t="str">
        <f t="shared" si="62"/>
        <v/>
      </c>
      <c r="F858" s="21"/>
      <c r="G858" s="21"/>
      <c r="H858" s="21"/>
      <c r="I858" s="21"/>
      <c r="J858" s="21"/>
      <c r="K858" s="21"/>
      <c r="L858" s="16" t="str">
        <f t="shared" ca="1" si="63"/>
        <v/>
      </c>
      <c r="M858" s="22" t="str">
        <f t="shared" ca="1" si="64"/>
        <v/>
      </c>
      <c r="U858" s="23" t="str">
        <f t="shared" si="65"/>
        <v/>
      </c>
      <c r="V858" s="23" t="str">
        <f t="shared" si="66"/>
        <v/>
      </c>
    </row>
    <row r="859" spans="5:22" x14ac:dyDescent="0.25">
      <c r="E859" s="21" t="str">
        <f t="shared" si="62"/>
        <v/>
      </c>
      <c r="F859" s="21"/>
      <c r="G859" s="21"/>
      <c r="H859" s="21"/>
      <c r="I859" s="21"/>
      <c r="J859" s="21"/>
      <c r="K859" s="21"/>
      <c r="L859" s="16" t="str">
        <f t="shared" ca="1" si="63"/>
        <v/>
      </c>
      <c r="M859" s="22" t="str">
        <f t="shared" ca="1" si="64"/>
        <v/>
      </c>
      <c r="U859" s="23" t="str">
        <f t="shared" si="65"/>
        <v/>
      </c>
      <c r="V859" s="23" t="str">
        <f t="shared" si="66"/>
        <v/>
      </c>
    </row>
    <row r="860" spans="5:22" x14ac:dyDescent="0.25">
      <c r="E860" s="21" t="str">
        <f t="shared" si="62"/>
        <v/>
      </c>
      <c r="F860" s="21"/>
      <c r="G860" s="21"/>
      <c r="H860" s="21"/>
      <c r="I860" s="21"/>
      <c r="J860" s="21"/>
      <c r="K860" s="21"/>
      <c r="L860" s="16" t="str">
        <f t="shared" ca="1" si="63"/>
        <v/>
      </c>
      <c r="M860" s="22" t="str">
        <f t="shared" ca="1" si="64"/>
        <v/>
      </c>
      <c r="U860" s="23" t="str">
        <f t="shared" si="65"/>
        <v/>
      </c>
      <c r="V860" s="23" t="str">
        <f t="shared" si="66"/>
        <v/>
      </c>
    </row>
    <row r="861" spans="5:22" x14ac:dyDescent="0.25">
      <c r="E861" s="21" t="str">
        <f t="shared" si="62"/>
        <v/>
      </c>
      <c r="F861" s="21"/>
      <c r="G861" s="21"/>
      <c r="H861" s="21"/>
      <c r="I861" s="21"/>
      <c r="J861" s="21"/>
      <c r="K861" s="21"/>
      <c r="L861" s="16" t="str">
        <f t="shared" ca="1" si="63"/>
        <v/>
      </c>
      <c r="M861" s="22" t="str">
        <f t="shared" ca="1" si="64"/>
        <v/>
      </c>
      <c r="U861" s="23" t="str">
        <f t="shared" si="65"/>
        <v/>
      </c>
      <c r="V861" s="23" t="str">
        <f t="shared" si="66"/>
        <v/>
      </c>
    </row>
    <row r="862" spans="5:22" x14ac:dyDescent="0.25">
      <c r="E862" s="21" t="str">
        <f t="shared" si="62"/>
        <v/>
      </c>
      <c r="F862" s="21"/>
      <c r="G862" s="21"/>
      <c r="H862" s="21"/>
      <c r="I862" s="21"/>
      <c r="J862" s="21"/>
      <c r="K862" s="21"/>
      <c r="L862" s="16" t="str">
        <f t="shared" ca="1" si="63"/>
        <v/>
      </c>
      <c r="M862" s="22" t="str">
        <f t="shared" ca="1" si="64"/>
        <v/>
      </c>
      <c r="U862" s="23" t="str">
        <f t="shared" si="65"/>
        <v/>
      </c>
      <c r="V862" s="23" t="str">
        <f t="shared" si="66"/>
        <v/>
      </c>
    </row>
    <row r="863" spans="5:22" x14ac:dyDescent="0.25">
      <c r="E863" s="21" t="str">
        <f t="shared" si="62"/>
        <v/>
      </c>
      <c r="F863" s="21"/>
      <c r="G863" s="21"/>
      <c r="H863" s="21"/>
      <c r="I863" s="21"/>
      <c r="J863" s="21"/>
      <c r="K863" s="21"/>
      <c r="L863" s="16" t="str">
        <f t="shared" ca="1" si="63"/>
        <v/>
      </c>
      <c r="M863" s="22" t="str">
        <f t="shared" ca="1" si="64"/>
        <v/>
      </c>
      <c r="U863" s="23" t="str">
        <f t="shared" si="65"/>
        <v/>
      </c>
      <c r="V863" s="23" t="str">
        <f t="shared" si="66"/>
        <v/>
      </c>
    </row>
    <row r="864" spans="5:22" x14ac:dyDescent="0.25">
      <c r="E864" s="21" t="str">
        <f t="shared" si="62"/>
        <v/>
      </c>
      <c r="F864" s="21"/>
      <c r="G864" s="21"/>
      <c r="H864" s="21"/>
      <c r="I864" s="21"/>
      <c r="J864" s="21"/>
      <c r="K864" s="21"/>
      <c r="L864" s="16" t="str">
        <f t="shared" ca="1" si="63"/>
        <v/>
      </c>
      <c r="M864" s="22" t="str">
        <f t="shared" ca="1" si="64"/>
        <v/>
      </c>
      <c r="U864" s="23" t="str">
        <f t="shared" si="65"/>
        <v/>
      </c>
      <c r="V864" s="23" t="str">
        <f t="shared" si="66"/>
        <v/>
      </c>
    </row>
    <row r="865" spans="5:22" x14ac:dyDescent="0.25">
      <c r="E865" s="21" t="str">
        <f t="shared" si="62"/>
        <v/>
      </c>
      <c r="F865" s="21"/>
      <c r="G865" s="21"/>
      <c r="H865" s="21"/>
      <c r="I865" s="21"/>
      <c r="J865" s="21"/>
      <c r="K865" s="21"/>
      <c r="L865" s="16" t="str">
        <f t="shared" ca="1" si="63"/>
        <v/>
      </c>
      <c r="M865" s="22" t="str">
        <f t="shared" ca="1" si="64"/>
        <v/>
      </c>
      <c r="U865" s="23" t="str">
        <f t="shared" si="65"/>
        <v/>
      </c>
      <c r="V865" s="23" t="str">
        <f t="shared" si="66"/>
        <v/>
      </c>
    </row>
    <row r="866" spans="5:22" x14ac:dyDescent="0.25">
      <c r="E866" s="21" t="str">
        <f t="shared" si="62"/>
        <v/>
      </c>
      <c r="F866" s="21"/>
      <c r="G866" s="21"/>
      <c r="H866" s="21"/>
      <c r="I866" s="21"/>
      <c r="J866" s="21"/>
      <c r="K866" s="21"/>
      <c r="L866" s="16" t="str">
        <f t="shared" ca="1" si="63"/>
        <v/>
      </c>
      <c r="M866" s="22" t="str">
        <f t="shared" ca="1" si="64"/>
        <v/>
      </c>
      <c r="U866" s="23" t="str">
        <f t="shared" si="65"/>
        <v/>
      </c>
      <c r="V866" s="23" t="str">
        <f t="shared" si="66"/>
        <v/>
      </c>
    </row>
    <row r="867" spans="5:22" x14ac:dyDescent="0.25">
      <c r="E867" s="21" t="str">
        <f t="shared" si="62"/>
        <v/>
      </c>
      <c r="F867" s="21"/>
      <c r="G867" s="21"/>
      <c r="H867" s="21"/>
      <c r="I867" s="21"/>
      <c r="J867" s="21"/>
      <c r="K867" s="21"/>
      <c r="L867" s="16" t="str">
        <f t="shared" ca="1" si="63"/>
        <v/>
      </c>
      <c r="M867" s="22" t="str">
        <f t="shared" ca="1" si="64"/>
        <v/>
      </c>
      <c r="U867" s="23" t="str">
        <f t="shared" si="65"/>
        <v/>
      </c>
      <c r="V867" s="23" t="str">
        <f t="shared" si="66"/>
        <v/>
      </c>
    </row>
    <row r="868" spans="5:22" x14ac:dyDescent="0.25">
      <c r="E868" s="21" t="str">
        <f t="shared" si="62"/>
        <v/>
      </c>
      <c r="F868" s="21"/>
      <c r="G868" s="21"/>
      <c r="H868" s="21"/>
      <c r="I868" s="21"/>
      <c r="J868" s="21"/>
      <c r="K868" s="21"/>
      <c r="L868" s="16" t="str">
        <f t="shared" ca="1" si="63"/>
        <v/>
      </c>
      <c r="M868" s="22" t="str">
        <f t="shared" ca="1" si="64"/>
        <v/>
      </c>
      <c r="U868" s="23" t="str">
        <f t="shared" si="65"/>
        <v/>
      </c>
      <c r="V868" s="23" t="str">
        <f t="shared" si="66"/>
        <v/>
      </c>
    </row>
    <row r="869" spans="5:22" x14ac:dyDescent="0.25">
      <c r="E869" s="21" t="str">
        <f t="shared" ref="E869:E932" si="67">IF(ISNUMBER(SEARCH("v crs",D869))=TRUE,"VC",IF(ISNUMBER(SEARCH("crs",D869))=TRUE,"C",IF(ISNUMBER(SEARCH("med",D869))=TRUE,"M",IF(ISNUMBER(SEARCH("vf",D869))=TRUE,"VF",IF(ISNUMBER(SEARCH("f",D869))=TRUE,"F","")))))</f>
        <v/>
      </c>
      <c r="F869" s="21"/>
      <c r="G869" s="21"/>
      <c r="H869" s="21"/>
      <c r="I869" s="21"/>
      <c r="J869" s="21"/>
      <c r="K869" s="21"/>
      <c r="L869" s="16" t="str">
        <f t="shared" ca="1" si="63"/>
        <v/>
      </c>
      <c r="M869" s="22" t="str">
        <f t="shared" ca="1" si="64"/>
        <v/>
      </c>
      <c r="U869" s="23" t="str">
        <f t="shared" si="65"/>
        <v/>
      </c>
      <c r="V869" s="23" t="str">
        <f t="shared" si="66"/>
        <v/>
      </c>
    </row>
    <row r="870" spans="5:22" x14ac:dyDescent="0.25">
      <c r="E870" s="21" t="str">
        <f t="shared" si="67"/>
        <v/>
      </c>
      <c r="F870" s="21"/>
      <c r="G870" s="21"/>
      <c r="H870" s="21"/>
      <c r="I870" s="21"/>
      <c r="J870" s="21"/>
      <c r="K870" s="21"/>
      <c r="L870" s="16" t="str">
        <f t="shared" ca="1" si="63"/>
        <v/>
      </c>
      <c r="M870" s="22" t="str">
        <f t="shared" ca="1" si="64"/>
        <v/>
      </c>
      <c r="U870" s="23" t="str">
        <f t="shared" si="65"/>
        <v/>
      </c>
      <c r="V870" s="23" t="str">
        <f t="shared" si="66"/>
        <v/>
      </c>
    </row>
    <row r="871" spans="5:22" x14ac:dyDescent="0.25">
      <c r="E871" s="21" t="str">
        <f t="shared" si="67"/>
        <v/>
      </c>
      <c r="F871" s="21"/>
      <c r="G871" s="21"/>
      <c r="H871" s="21"/>
      <c r="I871" s="21"/>
      <c r="J871" s="21"/>
      <c r="K871" s="21"/>
      <c r="L871" s="16" t="str">
        <f t="shared" ca="1" si="63"/>
        <v/>
      </c>
      <c r="M871" s="22" t="str">
        <f t="shared" ca="1" si="64"/>
        <v/>
      </c>
      <c r="U871" s="23" t="str">
        <f t="shared" si="65"/>
        <v/>
      </c>
      <c r="V871" s="23" t="str">
        <f t="shared" si="66"/>
        <v/>
      </c>
    </row>
    <row r="872" spans="5:22" x14ac:dyDescent="0.25">
      <c r="E872" s="21" t="str">
        <f t="shared" si="67"/>
        <v/>
      </c>
      <c r="F872" s="21"/>
      <c r="G872" s="21"/>
      <c r="H872" s="21"/>
      <c r="I872" s="21"/>
      <c r="J872" s="21"/>
      <c r="K872" s="21"/>
      <c r="L872" s="16" t="str">
        <f t="shared" ca="1" si="63"/>
        <v/>
      </c>
      <c r="M872" s="22" t="str">
        <f t="shared" ca="1" si="64"/>
        <v/>
      </c>
      <c r="U872" s="23" t="str">
        <f t="shared" si="65"/>
        <v/>
      </c>
      <c r="V872" s="23" t="str">
        <f t="shared" si="66"/>
        <v/>
      </c>
    </row>
    <row r="873" spans="5:22" x14ac:dyDescent="0.25">
      <c r="E873" s="21" t="str">
        <f t="shared" si="67"/>
        <v/>
      </c>
      <c r="F873" s="21"/>
      <c r="G873" s="21"/>
      <c r="H873" s="21"/>
      <c r="I873" s="21"/>
      <c r="J873" s="21"/>
      <c r="K873" s="21"/>
      <c r="L873" s="16" t="str">
        <f t="shared" ca="1" si="63"/>
        <v/>
      </c>
      <c r="M873" s="22" t="str">
        <f t="shared" ca="1" si="64"/>
        <v/>
      </c>
      <c r="U873" s="23" t="str">
        <f t="shared" si="65"/>
        <v/>
      </c>
      <c r="V873" s="23" t="str">
        <f t="shared" si="66"/>
        <v/>
      </c>
    </row>
    <row r="874" spans="5:22" x14ac:dyDescent="0.25">
      <c r="E874" s="21" t="str">
        <f t="shared" si="67"/>
        <v/>
      </c>
      <c r="F874" s="21"/>
      <c r="G874" s="21"/>
      <c r="H874" s="21"/>
      <c r="I874" s="21"/>
      <c r="J874" s="21"/>
      <c r="K874" s="21"/>
      <c r="L874" s="16" t="str">
        <f t="shared" ca="1" si="63"/>
        <v/>
      </c>
      <c r="M874" s="22" t="str">
        <f t="shared" ca="1" si="64"/>
        <v/>
      </c>
      <c r="U874" s="23" t="str">
        <f t="shared" si="65"/>
        <v/>
      </c>
      <c r="V874" s="23" t="str">
        <f t="shared" si="66"/>
        <v/>
      </c>
    </row>
    <row r="875" spans="5:22" x14ac:dyDescent="0.25">
      <c r="E875" s="21" t="str">
        <f t="shared" si="67"/>
        <v/>
      </c>
      <c r="F875" s="21"/>
      <c r="G875" s="21"/>
      <c r="H875" s="21"/>
      <c r="I875" s="21"/>
      <c r="J875" s="21"/>
      <c r="K875" s="21"/>
      <c r="L875" s="16" t="str">
        <f t="shared" ca="1" si="63"/>
        <v/>
      </c>
      <c r="M875" s="22" t="str">
        <f t="shared" ca="1" si="64"/>
        <v/>
      </c>
      <c r="U875" s="23" t="str">
        <f t="shared" si="65"/>
        <v/>
      </c>
      <c r="V875" s="23" t="str">
        <f t="shared" si="66"/>
        <v/>
      </c>
    </row>
    <row r="876" spans="5:22" x14ac:dyDescent="0.25">
      <c r="E876" s="21" t="str">
        <f t="shared" si="67"/>
        <v/>
      </c>
      <c r="F876" s="21"/>
      <c r="G876" s="21"/>
      <c r="H876" s="21"/>
      <c r="I876" s="21"/>
      <c r="J876" s="21"/>
      <c r="K876" s="21"/>
      <c r="L876" s="16" t="str">
        <f t="shared" ca="1" si="63"/>
        <v/>
      </c>
      <c r="M876" s="22" t="str">
        <f t="shared" ca="1" si="64"/>
        <v/>
      </c>
      <c r="U876" s="23" t="str">
        <f t="shared" si="65"/>
        <v/>
      </c>
      <c r="V876" s="23" t="str">
        <f t="shared" si="66"/>
        <v/>
      </c>
    </row>
    <row r="877" spans="5:22" x14ac:dyDescent="0.25">
      <c r="E877" s="21" t="str">
        <f t="shared" si="67"/>
        <v/>
      </c>
      <c r="F877" s="21"/>
      <c r="G877" s="21"/>
      <c r="H877" s="21"/>
      <c r="I877" s="21"/>
      <c r="J877" s="21"/>
      <c r="K877" s="21"/>
      <c r="L877" s="16" t="str">
        <f t="shared" ca="1" si="63"/>
        <v/>
      </c>
      <c r="M877" s="22" t="str">
        <f t="shared" ca="1" si="64"/>
        <v/>
      </c>
      <c r="U877" s="23" t="str">
        <f t="shared" si="65"/>
        <v/>
      </c>
      <c r="V877" s="23" t="str">
        <f t="shared" si="66"/>
        <v/>
      </c>
    </row>
    <row r="878" spans="5:22" x14ac:dyDescent="0.25">
      <c r="E878" s="21" t="str">
        <f t="shared" si="67"/>
        <v/>
      </c>
      <c r="F878" s="21"/>
      <c r="G878" s="21"/>
      <c r="H878" s="21"/>
      <c r="I878" s="21"/>
      <c r="J878" s="21"/>
      <c r="K878" s="21"/>
      <c r="L878" s="16" t="str">
        <f t="shared" ca="1" si="63"/>
        <v/>
      </c>
      <c r="M878" s="22" t="str">
        <f t="shared" ca="1" si="64"/>
        <v/>
      </c>
      <c r="U878" s="23" t="str">
        <f t="shared" si="65"/>
        <v/>
      </c>
      <c r="V878" s="23" t="str">
        <f t="shared" si="66"/>
        <v/>
      </c>
    </row>
    <row r="879" spans="5:22" x14ac:dyDescent="0.25">
      <c r="E879" s="21" t="str">
        <f t="shared" si="67"/>
        <v/>
      </c>
      <c r="F879" s="21"/>
      <c r="G879" s="21"/>
      <c r="H879" s="21"/>
      <c r="I879" s="21"/>
      <c r="J879" s="21"/>
      <c r="K879" s="21"/>
      <c r="L879" s="16" t="str">
        <f t="shared" ca="1" si="63"/>
        <v/>
      </c>
      <c r="M879" s="22" t="str">
        <f t="shared" ca="1" si="64"/>
        <v/>
      </c>
      <c r="U879" s="23" t="str">
        <f t="shared" si="65"/>
        <v/>
      </c>
      <c r="V879" s="23" t="str">
        <f t="shared" si="66"/>
        <v/>
      </c>
    </row>
    <row r="880" spans="5:22" x14ac:dyDescent="0.25">
      <c r="E880" s="21" t="str">
        <f t="shared" si="67"/>
        <v/>
      </c>
      <c r="F880" s="21"/>
      <c r="G880" s="21"/>
      <c r="H880" s="21"/>
      <c r="I880" s="21"/>
      <c r="J880" s="21"/>
      <c r="K880" s="21"/>
      <c r="L880" s="16" t="str">
        <f t="shared" ca="1" si="63"/>
        <v/>
      </c>
      <c r="M880" s="22" t="str">
        <f t="shared" ca="1" si="64"/>
        <v/>
      </c>
      <c r="U880" s="23" t="str">
        <f t="shared" si="65"/>
        <v/>
      </c>
      <c r="V880" s="23" t="str">
        <f t="shared" si="66"/>
        <v/>
      </c>
    </row>
    <row r="881" spans="5:22" x14ac:dyDescent="0.25">
      <c r="E881" s="21" t="str">
        <f t="shared" si="67"/>
        <v/>
      </c>
      <c r="F881" s="21"/>
      <c r="G881" s="21"/>
      <c r="H881" s="21"/>
      <c r="I881" s="21"/>
      <c r="J881" s="21"/>
      <c r="K881" s="21"/>
      <c r="L881" s="16" t="str">
        <f t="shared" ca="1" si="63"/>
        <v/>
      </c>
      <c r="M881" s="22" t="str">
        <f t="shared" ca="1" si="64"/>
        <v/>
      </c>
      <c r="U881" s="23" t="str">
        <f t="shared" si="65"/>
        <v/>
      </c>
      <c r="V881" s="23" t="str">
        <f t="shared" si="66"/>
        <v/>
      </c>
    </row>
    <row r="882" spans="5:22" x14ac:dyDescent="0.25">
      <c r="E882" s="21" t="str">
        <f t="shared" si="67"/>
        <v/>
      </c>
      <c r="F882" s="21"/>
      <c r="G882" s="21"/>
      <c r="H882" s="21"/>
      <c r="I882" s="21"/>
      <c r="J882" s="21"/>
      <c r="K882" s="21"/>
      <c r="L882" s="16" t="str">
        <f t="shared" ca="1" si="63"/>
        <v/>
      </c>
      <c r="M882" s="22" t="str">
        <f t="shared" ca="1" si="64"/>
        <v/>
      </c>
      <c r="U882" s="23" t="str">
        <f t="shared" si="65"/>
        <v/>
      </c>
      <c r="V882" s="23" t="str">
        <f t="shared" si="66"/>
        <v/>
      </c>
    </row>
    <row r="883" spans="5:22" x14ac:dyDescent="0.25">
      <c r="E883" s="21" t="str">
        <f t="shared" si="67"/>
        <v/>
      </c>
      <c r="F883" s="21"/>
      <c r="G883" s="21"/>
      <c r="H883" s="21"/>
      <c r="I883" s="21"/>
      <c r="J883" s="21"/>
      <c r="K883" s="21"/>
      <c r="L883" s="16" t="str">
        <f t="shared" ca="1" si="63"/>
        <v/>
      </c>
      <c r="M883" s="22" t="str">
        <f t="shared" ca="1" si="64"/>
        <v/>
      </c>
      <c r="U883" s="23" t="str">
        <f t="shared" si="65"/>
        <v/>
      </c>
      <c r="V883" s="23" t="str">
        <f t="shared" si="66"/>
        <v/>
      </c>
    </row>
    <row r="884" spans="5:22" x14ac:dyDescent="0.25">
      <c r="E884" s="21" t="str">
        <f t="shared" si="67"/>
        <v/>
      </c>
      <c r="F884" s="21"/>
      <c r="G884" s="21"/>
      <c r="H884" s="21"/>
      <c r="I884" s="21"/>
      <c r="J884" s="21"/>
      <c r="K884" s="21"/>
      <c r="L884" s="16" t="str">
        <f t="shared" ca="1" si="63"/>
        <v/>
      </c>
      <c r="M884" s="22" t="str">
        <f t="shared" ca="1" si="64"/>
        <v/>
      </c>
      <c r="U884" s="23" t="str">
        <f t="shared" si="65"/>
        <v/>
      </c>
      <c r="V884" s="23" t="str">
        <f t="shared" si="66"/>
        <v/>
      </c>
    </row>
    <row r="885" spans="5:22" x14ac:dyDescent="0.25">
      <c r="E885" s="21" t="str">
        <f t="shared" si="67"/>
        <v/>
      </c>
      <c r="F885" s="21"/>
      <c r="G885" s="21"/>
      <c r="H885" s="21"/>
      <c r="I885" s="21"/>
      <c r="J885" s="21"/>
      <c r="K885" s="21"/>
      <c r="L885" s="16" t="str">
        <f t="shared" ca="1" si="63"/>
        <v/>
      </c>
      <c r="M885" s="22" t="str">
        <f t="shared" ca="1" si="64"/>
        <v/>
      </c>
      <c r="U885" s="23" t="str">
        <f t="shared" si="65"/>
        <v/>
      </c>
      <c r="V885" s="23" t="str">
        <f t="shared" si="66"/>
        <v/>
      </c>
    </row>
    <row r="886" spans="5:22" x14ac:dyDescent="0.25">
      <c r="E886" s="21" t="str">
        <f t="shared" si="67"/>
        <v/>
      </c>
      <c r="F886" s="21"/>
      <c r="G886" s="21"/>
      <c r="H886" s="21"/>
      <c r="I886" s="21"/>
      <c r="J886" s="21"/>
      <c r="K886" s="21"/>
      <c r="L886" s="16" t="str">
        <f t="shared" ca="1" si="63"/>
        <v/>
      </c>
      <c r="M886" s="22" t="str">
        <f t="shared" ca="1" si="64"/>
        <v/>
      </c>
      <c r="U886" s="23" t="str">
        <f t="shared" si="65"/>
        <v/>
      </c>
      <c r="V886" s="23" t="str">
        <f t="shared" si="66"/>
        <v/>
      </c>
    </row>
    <row r="887" spans="5:22" x14ac:dyDescent="0.25">
      <c r="E887" s="21" t="str">
        <f t="shared" si="67"/>
        <v/>
      </c>
      <c r="F887" s="21"/>
      <c r="G887" s="21"/>
      <c r="H887" s="21"/>
      <c r="I887" s="21"/>
      <c r="J887" s="21"/>
      <c r="K887" s="21"/>
      <c r="L887" s="16" t="str">
        <f t="shared" ca="1" si="63"/>
        <v/>
      </c>
      <c r="M887" s="22" t="str">
        <f t="shared" ca="1" si="64"/>
        <v/>
      </c>
      <c r="U887" s="23" t="str">
        <f t="shared" si="65"/>
        <v/>
      </c>
      <c r="V887" s="23" t="str">
        <f t="shared" si="66"/>
        <v/>
      </c>
    </row>
    <row r="888" spans="5:22" x14ac:dyDescent="0.25">
      <c r="E888" s="21" t="str">
        <f t="shared" si="67"/>
        <v/>
      </c>
      <c r="F888" s="21"/>
      <c r="G888" s="21"/>
      <c r="H888" s="21"/>
      <c r="I888" s="21"/>
      <c r="J888" s="21"/>
      <c r="K888" s="21"/>
      <c r="L888" s="16" t="str">
        <f t="shared" ca="1" si="63"/>
        <v/>
      </c>
      <c r="M888" s="22" t="str">
        <f t="shared" ca="1" si="64"/>
        <v/>
      </c>
      <c r="U888" s="23" t="str">
        <f t="shared" si="65"/>
        <v/>
      </c>
      <c r="V888" s="23" t="str">
        <f t="shared" si="66"/>
        <v/>
      </c>
    </row>
    <row r="889" spans="5:22" x14ac:dyDescent="0.25">
      <c r="E889" s="21" t="str">
        <f t="shared" si="67"/>
        <v/>
      </c>
      <c r="F889" s="21"/>
      <c r="G889" s="21"/>
      <c r="H889" s="21"/>
      <c r="I889" s="21"/>
      <c r="J889" s="21"/>
      <c r="K889" s="21"/>
      <c r="L889" s="16" t="str">
        <f t="shared" ca="1" si="63"/>
        <v/>
      </c>
      <c r="M889" s="22" t="str">
        <f t="shared" ca="1" si="64"/>
        <v/>
      </c>
      <c r="U889" s="23" t="str">
        <f t="shared" si="65"/>
        <v/>
      </c>
      <c r="V889" s="23" t="str">
        <f t="shared" si="66"/>
        <v/>
      </c>
    </row>
    <row r="890" spans="5:22" x14ac:dyDescent="0.25">
      <c r="E890" s="21" t="str">
        <f t="shared" si="67"/>
        <v/>
      </c>
      <c r="F890" s="21"/>
      <c r="G890" s="21"/>
      <c r="H890" s="21"/>
      <c r="I890" s="21"/>
      <c r="J890" s="21"/>
      <c r="K890" s="21"/>
      <c r="L890" s="16" t="str">
        <f t="shared" ca="1" si="63"/>
        <v/>
      </c>
      <c r="M890" s="22" t="str">
        <f t="shared" ca="1" si="64"/>
        <v/>
      </c>
      <c r="U890" s="23" t="str">
        <f t="shared" si="65"/>
        <v/>
      </c>
      <c r="V890" s="23" t="str">
        <f t="shared" si="66"/>
        <v/>
      </c>
    </row>
    <row r="891" spans="5:22" x14ac:dyDescent="0.25">
      <c r="E891" s="21" t="str">
        <f t="shared" si="67"/>
        <v/>
      </c>
      <c r="F891" s="21"/>
      <c r="G891" s="21"/>
      <c r="H891" s="21"/>
      <c r="I891" s="21"/>
      <c r="J891" s="21"/>
      <c r="K891" s="21"/>
      <c r="L891" s="16" t="str">
        <f t="shared" ca="1" si="63"/>
        <v/>
      </c>
      <c r="M891" s="22" t="str">
        <f t="shared" ca="1" si="64"/>
        <v/>
      </c>
      <c r="U891" s="23" t="str">
        <f t="shared" si="65"/>
        <v/>
      </c>
      <c r="V891" s="23" t="str">
        <f t="shared" si="66"/>
        <v/>
      </c>
    </row>
    <row r="892" spans="5:22" x14ac:dyDescent="0.25">
      <c r="E892" s="21" t="str">
        <f t="shared" si="67"/>
        <v/>
      </c>
      <c r="F892" s="21"/>
      <c r="G892" s="21"/>
      <c r="H892" s="21"/>
      <c r="I892" s="21"/>
      <c r="J892" s="21"/>
      <c r="K892" s="21"/>
      <c r="L892" s="16" t="str">
        <f t="shared" ca="1" si="63"/>
        <v/>
      </c>
      <c r="M892" s="22" t="str">
        <f t="shared" ca="1" si="64"/>
        <v/>
      </c>
      <c r="U892" s="23" t="str">
        <f t="shared" si="65"/>
        <v/>
      </c>
      <c r="V892" s="23" t="str">
        <f t="shared" si="66"/>
        <v/>
      </c>
    </row>
    <row r="893" spans="5:22" x14ac:dyDescent="0.25">
      <c r="E893" s="21" t="str">
        <f t="shared" si="67"/>
        <v/>
      </c>
      <c r="F893" s="21"/>
      <c r="G893" s="21"/>
      <c r="H893" s="21"/>
      <c r="I893" s="21"/>
      <c r="J893" s="21"/>
      <c r="K893" s="21"/>
      <c r="L893" s="16" t="str">
        <f t="shared" ref="L893:L956" ca="1" si="68">IF(AND(C893&lt;&gt;"",C893&lt;&gt;U893),TODAY(),IF(C893="","",L893))</f>
        <v/>
      </c>
      <c r="M893" s="22" t="str">
        <f t="shared" ref="M893:M956" ca="1" si="69">IF(AND(C893&lt;&gt;"",C893&lt;&gt;V893),NOW(),IF(C893="","",M893))</f>
        <v/>
      </c>
      <c r="U893" s="23" t="str">
        <f t="shared" si="65"/>
        <v/>
      </c>
      <c r="V893" s="23" t="str">
        <f t="shared" si="66"/>
        <v/>
      </c>
    </row>
    <row r="894" spans="5:22" x14ac:dyDescent="0.25">
      <c r="E894" s="21" t="str">
        <f t="shared" si="67"/>
        <v/>
      </c>
      <c r="F894" s="21"/>
      <c r="G894" s="21"/>
      <c r="H894" s="21"/>
      <c r="I894" s="21"/>
      <c r="J894" s="21"/>
      <c r="K894" s="21"/>
      <c r="L894" s="16" t="str">
        <f t="shared" ca="1" si="68"/>
        <v/>
      </c>
      <c r="M894" s="22" t="str">
        <f t="shared" ca="1" si="69"/>
        <v/>
      </c>
      <c r="U894" s="23" t="str">
        <f t="shared" si="65"/>
        <v/>
      </c>
      <c r="V894" s="23" t="str">
        <f t="shared" si="66"/>
        <v/>
      </c>
    </row>
    <row r="895" spans="5:22" x14ac:dyDescent="0.25">
      <c r="E895" s="21" t="str">
        <f t="shared" si="67"/>
        <v/>
      </c>
      <c r="F895" s="21"/>
      <c r="G895" s="21"/>
      <c r="H895" s="21"/>
      <c r="I895" s="21"/>
      <c r="J895" s="21"/>
      <c r="K895" s="21"/>
      <c r="L895" s="16" t="str">
        <f t="shared" ca="1" si="68"/>
        <v/>
      </c>
      <c r="M895" s="22" t="str">
        <f t="shared" ca="1" si="69"/>
        <v/>
      </c>
      <c r="U895" s="23" t="str">
        <f t="shared" si="65"/>
        <v/>
      </c>
      <c r="V895" s="23" t="str">
        <f t="shared" si="66"/>
        <v/>
      </c>
    </row>
    <row r="896" spans="5:22" x14ac:dyDescent="0.25">
      <c r="E896" s="21" t="str">
        <f t="shared" si="67"/>
        <v/>
      </c>
      <c r="F896" s="21"/>
      <c r="G896" s="21"/>
      <c r="H896" s="21"/>
      <c r="I896" s="21"/>
      <c r="J896" s="21"/>
      <c r="K896" s="21"/>
      <c r="L896" s="16" t="str">
        <f t="shared" ca="1" si="68"/>
        <v/>
      </c>
      <c r="M896" s="22" t="str">
        <f t="shared" ca="1" si="69"/>
        <v/>
      </c>
      <c r="U896" s="23" t="str">
        <f t="shared" si="65"/>
        <v/>
      </c>
      <c r="V896" s="23" t="str">
        <f t="shared" si="66"/>
        <v/>
      </c>
    </row>
    <row r="897" spans="5:22" x14ac:dyDescent="0.25">
      <c r="E897" s="21" t="str">
        <f t="shared" si="67"/>
        <v/>
      </c>
      <c r="F897" s="21"/>
      <c r="G897" s="21"/>
      <c r="H897" s="21"/>
      <c r="I897" s="21"/>
      <c r="J897" s="21"/>
      <c r="K897" s="21"/>
      <c r="L897" s="16" t="str">
        <f t="shared" ca="1" si="68"/>
        <v/>
      </c>
      <c r="M897" s="22" t="str">
        <f t="shared" ca="1" si="69"/>
        <v/>
      </c>
      <c r="U897" s="23" t="str">
        <f t="shared" si="65"/>
        <v/>
      </c>
      <c r="V897" s="23" t="str">
        <f t="shared" si="66"/>
        <v/>
      </c>
    </row>
    <row r="898" spans="5:22" x14ac:dyDescent="0.25">
      <c r="E898" s="21" t="str">
        <f t="shared" si="67"/>
        <v/>
      </c>
      <c r="F898" s="21"/>
      <c r="G898" s="21"/>
      <c r="H898" s="21"/>
      <c r="I898" s="21"/>
      <c r="J898" s="21"/>
      <c r="K898" s="21"/>
      <c r="L898" s="16" t="str">
        <f t="shared" ca="1" si="68"/>
        <v/>
      </c>
      <c r="M898" s="22" t="str">
        <f t="shared" ca="1" si="69"/>
        <v/>
      </c>
      <c r="U898" s="23" t="str">
        <f t="shared" si="65"/>
        <v/>
      </c>
      <c r="V898" s="23" t="str">
        <f t="shared" si="66"/>
        <v/>
      </c>
    </row>
    <row r="899" spans="5:22" x14ac:dyDescent="0.25">
      <c r="E899" s="21" t="str">
        <f t="shared" si="67"/>
        <v/>
      </c>
      <c r="F899" s="21"/>
      <c r="G899" s="21"/>
      <c r="H899" s="21"/>
      <c r="I899" s="21"/>
      <c r="J899" s="21"/>
      <c r="K899" s="21"/>
      <c r="L899" s="16" t="str">
        <f t="shared" ca="1" si="68"/>
        <v/>
      </c>
      <c r="M899" s="22" t="str">
        <f t="shared" ca="1" si="69"/>
        <v/>
      </c>
      <c r="U899" s="23" t="str">
        <f t="shared" si="65"/>
        <v/>
      </c>
      <c r="V899" s="23" t="str">
        <f t="shared" si="66"/>
        <v/>
      </c>
    </row>
    <row r="900" spans="5:22" x14ac:dyDescent="0.25">
      <c r="E900" s="21" t="str">
        <f t="shared" si="67"/>
        <v/>
      </c>
      <c r="F900" s="21"/>
      <c r="G900" s="21"/>
      <c r="H900" s="21"/>
      <c r="I900" s="21"/>
      <c r="J900" s="21"/>
      <c r="K900" s="21"/>
      <c r="L900" s="16" t="str">
        <f t="shared" ca="1" si="68"/>
        <v/>
      </c>
      <c r="M900" s="22" t="str">
        <f t="shared" ca="1" si="69"/>
        <v/>
      </c>
      <c r="U900" s="23" t="str">
        <f t="shared" ref="U900:U963" si="70">IF(C900="","",IF(OR(L900="",AND(ISNUMBER(U900),C900=U900)),U900,C900))</f>
        <v/>
      </c>
      <c r="V900" s="23" t="str">
        <f t="shared" ref="V900:V963" si="71">IF(C900="","",IF(OR(M900="",AND(ISNUMBER(V900),C900=V900)),V900,C900))</f>
        <v/>
      </c>
    </row>
    <row r="901" spans="5:22" x14ac:dyDescent="0.25">
      <c r="E901" s="21" t="str">
        <f t="shared" si="67"/>
        <v/>
      </c>
      <c r="F901" s="21"/>
      <c r="G901" s="21"/>
      <c r="H901" s="21"/>
      <c r="I901" s="21"/>
      <c r="J901" s="21"/>
      <c r="K901" s="21"/>
      <c r="L901" s="16" t="str">
        <f t="shared" ca="1" si="68"/>
        <v/>
      </c>
      <c r="M901" s="22" t="str">
        <f t="shared" ca="1" si="69"/>
        <v/>
      </c>
      <c r="U901" s="23" t="str">
        <f t="shared" si="70"/>
        <v/>
      </c>
      <c r="V901" s="23" t="str">
        <f t="shared" si="71"/>
        <v/>
      </c>
    </row>
    <row r="902" spans="5:22" x14ac:dyDescent="0.25">
      <c r="E902" s="21" t="str">
        <f t="shared" si="67"/>
        <v/>
      </c>
      <c r="F902" s="21"/>
      <c r="G902" s="21"/>
      <c r="H902" s="21"/>
      <c r="I902" s="21"/>
      <c r="J902" s="21"/>
      <c r="K902" s="21"/>
      <c r="L902" s="16" t="str">
        <f t="shared" ca="1" si="68"/>
        <v/>
      </c>
      <c r="M902" s="22" t="str">
        <f t="shared" ca="1" si="69"/>
        <v/>
      </c>
      <c r="U902" s="23" t="str">
        <f t="shared" si="70"/>
        <v/>
      </c>
      <c r="V902" s="23" t="str">
        <f t="shared" si="71"/>
        <v/>
      </c>
    </row>
    <row r="903" spans="5:22" x14ac:dyDescent="0.25">
      <c r="E903" s="21" t="str">
        <f t="shared" si="67"/>
        <v/>
      </c>
      <c r="F903" s="21"/>
      <c r="G903" s="21"/>
      <c r="H903" s="21"/>
      <c r="I903" s="21"/>
      <c r="J903" s="21"/>
      <c r="K903" s="21"/>
      <c r="L903" s="16" t="str">
        <f t="shared" ca="1" si="68"/>
        <v/>
      </c>
      <c r="M903" s="22" t="str">
        <f t="shared" ca="1" si="69"/>
        <v/>
      </c>
      <c r="U903" s="23" t="str">
        <f t="shared" si="70"/>
        <v/>
      </c>
      <c r="V903" s="23" t="str">
        <f t="shared" si="71"/>
        <v/>
      </c>
    </row>
    <row r="904" spans="5:22" x14ac:dyDescent="0.25">
      <c r="E904" s="21" t="str">
        <f t="shared" si="67"/>
        <v/>
      </c>
      <c r="F904" s="21"/>
      <c r="G904" s="21"/>
      <c r="H904" s="21"/>
      <c r="I904" s="21"/>
      <c r="J904" s="21"/>
      <c r="K904" s="21"/>
      <c r="L904" s="16" t="str">
        <f t="shared" ca="1" si="68"/>
        <v/>
      </c>
      <c r="M904" s="22" t="str">
        <f t="shared" ca="1" si="69"/>
        <v/>
      </c>
      <c r="U904" s="23" t="str">
        <f t="shared" si="70"/>
        <v/>
      </c>
      <c r="V904" s="23" t="str">
        <f t="shared" si="71"/>
        <v/>
      </c>
    </row>
    <row r="905" spans="5:22" x14ac:dyDescent="0.25">
      <c r="E905" s="21" t="str">
        <f t="shared" si="67"/>
        <v/>
      </c>
      <c r="F905" s="21"/>
      <c r="G905" s="21"/>
      <c r="H905" s="21"/>
      <c r="I905" s="21"/>
      <c r="J905" s="21"/>
      <c r="K905" s="21"/>
      <c r="L905" s="16" t="str">
        <f t="shared" ca="1" si="68"/>
        <v/>
      </c>
      <c r="M905" s="22" t="str">
        <f t="shared" ca="1" si="69"/>
        <v/>
      </c>
      <c r="U905" s="23" t="str">
        <f t="shared" si="70"/>
        <v/>
      </c>
      <c r="V905" s="23" t="str">
        <f t="shared" si="71"/>
        <v/>
      </c>
    </row>
    <row r="906" spans="5:22" x14ac:dyDescent="0.25">
      <c r="E906" s="21" t="str">
        <f t="shared" si="67"/>
        <v/>
      </c>
      <c r="F906" s="21"/>
      <c r="G906" s="21"/>
      <c r="H906" s="21"/>
      <c r="I906" s="21"/>
      <c r="J906" s="21"/>
      <c r="K906" s="21"/>
      <c r="L906" s="16" t="str">
        <f t="shared" ca="1" si="68"/>
        <v/>
      </c>
      <c r="M906" s="22" t="str">
        <f t="shared" ca="1" si="69"/>
        <v/>
      </c>
      <c r="U906" s="23" t="str">
        <f t="shared" si="70"/>
        <v/>
      </c>
      <c r="V906" s="23" t="str">
        <f t="shared" si="71"/>
        <v/>
      </c>
    </row>
    <row r="907" spans="5:22" x14ac:dyDescent="0.25">
      <c r="E907" s="21" t="str">
        <f t="shared" si="67"/>
        <v/>
      </c>
      <c r="F907" s="21"/>
      <c r="G907" s="21"/>
      <c r="H907" s="21"/>
      <c r="I907" s="21"/>
      <c r="J907" s="21"/>
      <c r="K907" s="21"/>
      <c r="L907" s="16" t="str">
        <f t="shared" ca="1" si="68"/>
        <v/>
      </c>
      <c r="M907" s="22" t="str">
        <f t="shared" ca="1" si="69"/>
        <v/>
      </c>
      <c r="U907" s="23" t="str">
        <f t="shared" si="70"/>
        <v/>
      </c>
      <c r="V907" s="23" t="str">
        <f t="shared" si="71"/>
        <v/>
      </c>
    </row>
    <row r="908" spans="5:22" x14ac:dyDescent="0.25">
      <c r="E908" s="21" t="str">
        <f t="shared" si="67"/>
        <v/>
      </c>
      <c r="F908" s="21"/>
      <c r="G908" s="21"/>
      <c r="H908" s="21"/>
      <c r="I908" s="21"/>
      <c r="J908" s="21"/>
      <c r="K908" s="21"/>
      <c r="L908" s="16" t="str">
        <f t="shared" ca="1" si="68"/>
        <v/>
      </c>
      <c r="M908" s="22" t="str">
        <f t="shared" ca="1" si="69"/>
        <v/>
      </c>
      <c r="U908" s="23" t="str">
        <f t="shared" si="70"/>
        <v/>
      </c>
      <c r="V908" s="23" t="str">
        <f t="shared" si="71"/>
        <v/>
      </c>
    </row>
    <row r="909" spans="5:22" x14ac:dyDescent="0.25">
      <c r="E909" s="21" t="str">
        <f t="shared" si="67"/>
        <v/>
      </c>
      <c r="F909" s="21"/>
      <c r="G909" s="21"/>
      <c r="H909" s="21"/>
      <c r="I909" s="21"/>
      <c r="J909" s="21"/>
      <c r="K909" s="21"/>
      <c r="L909" s="16" t="str">
        <f t="shared" ca="1" si="68"/>
        <v/>
      </c>
      <c r="M909" s="22" t="str">
        <f t="shared" ca="1" si="69"/>
        <v/>
      </c>
      <c r="U909" s="23" t="str">
        <f t="shared" si="70"/>
        <v/>
      </c>
      <c r="V909" s="23" t="str">
        <f t="shared" si="71"/>
        <v/>
      </c>
    </row>
    <row r="910" spans="5:22" x14ac:dyDescent="0.25">
      <c r="E910" s="21" t="str">
        <f t="shared" si="67"/>
        <v/>
      </c>
      <c r="F910" s="21"/>
      <c r="G910" s="21"/>
      <c r="H910" s="21"/>
      <c r="I910" s="21"/>
      <c r="J910" s="21"/>
      <c r="K910" s="21"/>
      <c r="L910" s="16" t="str">
        <f t="shared" ca="1" si="68"/>
        <v/>
      </c>
      <c r="M910" s="22" t="str">
        <f t="shared" ca="1" si="69"/>
        <v/>
      </c>
      <c r="U910" s="23" t="str">
        <f t="shared" si="70"/>
        <v/>
      </c>
      <c r="V910" s="23" t="str">
        <f t="shared" si="71"/>
        <v/>
      </c>
    </row>
    <row r="911" spans="5:22" x14ac:dyDescent="0.25">
      <c r="E911" s="21" t="str">
        <f t="shared" si="67"/>
        <v/>
      </c>
      <c r="F911" s="21"/>
      <c r="G911" s="21"/>
      <c r="H911" s="21"/>
      <c r="I911" s="21"/>
      <c r="J911" s="21"/>
      <c r="K911" s="21"/>
      <c r="L911" s="16" t="str">
        <f t="shared" ca="1" si="68"/>
        <v/>
      </c>
      <c r="M911" s="22" t="str">
        <f t="shared" ca="1" si="69"/>
        <v/>
      </c>
      <c r="U911" s="23" t="str">
        <f t="shared" si="70"/>
        <v/>
      </c>
      <c r="V911" s="23" t="str">
        <f t="shared" si="71"/>
        <v/>
      </c>
    </row>
    <row r="912" spans="5:22" x14ac:dyDescent="0.25">
      <c r="E912" s="21" t="str">
        <f t="shared" si="67"/>
        <v/>
      </c>
      <c r="F912" s="21"/>
      <c r="G912" s="21"/>
      <c r="H912" s="21"/>
      <c r="I912" s="21"/>
      <c r="J912" s="21"/>
      <c r="K912" s="21"/>
      <c r="L912" s="16" t="str">
        <f t="shared" ca="1" si="68"/>
        <v/>
      </c>
      <c r="M912" s="22" t="str">
        <f t="shared" ca="1" si="69"/>
        <v/>
      </c>
      <c r="U912" s="23" t="str">
        <f t="shared" si="70"/>
        <v/>
      </c>
      <c r="V912" s="23" t="str">
        <f t="shared" si="71"/>
        <v/>
      </c>
    </row>
    <row r="913" spans="5:22" x14ac:dyDescent="0.25">
      <c r="E913" s="21" t="str">
        <f t="shared" si="67"/>
        <v/>
      </c>
      <c r="F913" s="21"/>
      <c r="G913" s="21"/>
      <c r="H913" s="21"/>
      <c r="I913" s="21"/>
      <c r="J913" s="21"/>
      <c r="K913" s="21"/>
      <c r="L913" s="16" t="str">
        <f t="shared" ca="1" si="68"/>
        <v/>
      </c>
      <c r="M913" s="22" t="str">
        <f t="shared" ca="1" si="69"/>
        <v/>
      </c>
      <c r="U913" s="23" t="str">
        <f t="shared" si="70"/>
        <v/>
      </c>
      <c r="V913" s="23" t="str">
        <f t="shared" si="71"/>
        <v/>
      </c>
    </row>
    <row r="914" spans="5:22" x14ac:dyDescent="0.25">
      <c r="E914" s="21" t="str">
        <f t="shared" si="67"/>
        <v/>
      </c>
      <c r="F914" s="21"/>
      <c r="G914" s="21"/>
      <c r="H914" s="21"/>
      <c r="I914" s="21"/>
      <c r="J914" s="21"/>
      <c r="K914" s="21"/>
      <c r="L914" s="16" t="str">
        <f t="shared" ca="1" si="68"/>
        <v/>
      </c>
      <c r="M914" s="22" t="str">
        <f t="shared" ca="1" si="69"/>
        <v/>
      </c>
      <c r="U914" s="23" t="str">
        <f t="shared" si="70"/>
        <v/>
      </c>
      <c r="V914" s="23" t="str">
        <f t="shared" si="71"/>
        <v/>
      </c>
    </row>
    <row r="915" spans="5:22" x14ac:dyDescent="0.25">
      <c r="E915" s="21" t="str">
        <f t="shared" si="67"/>
        <v/>
      </c>
      <c r="F915" s="21"/>
      <c r="G915" s="21"/>
      <c r="H915" s="21"/>
      <c r="I915" s="21"/>
      <c r="J915" s="21"/>
      <c r="K915" s="21"/>
      <c r="L915" s="16" t="str">
        <f t="shared" ca="1" si="68"/>
        <v/>
      </c>
      <c r="M915" s="22" t="str">
        <f t="shared" ca="1" si="69"/>
        <v/>
      </c>
      <c r="U915" s="23" t="str">
        <f t="shared" si="70"/>
        <v/>
      </c>
      <c r="V915" s="23" t="str">
        <f t="shared" si="71"/>
        <v/>
      </c>
    </row>
    <row r="916" spans="5:22" x14ac:dyDescent="0.25">
      <c r="E916" s="21" t="str">
        <f t="shared" si="67"/>
        <v/>
      </c>
      <c r="F916" s="21"/>
      <c r="G916" s="21"/>
      <c r="H916" s="21"/>
      <c r="I916" s="21"/>
      <c r="J916" s="21"/>
      <c r="K916" s="21"/>
      <c r="L916" s="16" t="str">
        <f t="shared" ca="1" si="68"/>
        <v/>
      </c>
      <c r="M916" s="22" t="str">
        <f t="shared" ca="1" si="69"/>
        <v/>
      </c>
      <c r="U916" s="23" t="str">
        <f t="shared" si="70"/>
        <v/>
      </c>
      <c r="V916" s="23" t="str">
        <f t="shared" si="71"/>
        <v/>
      </c>
    </row>
    <row r="917" spans="5:22" x14ac:dyDescent="0.25">
      <c r="E917" s="21" t="str">
        <f t="shared" si="67"/>
        <v/>
      </c>
      <c r="F917" s="21"/>
      <c r="G917" s="21"/>
      <c r="H917" s="21"/>
      <c r="I917" s="21"/>
      <c r="J917" s="21"/>
      <c r="K917" s="21"/>
      <c r="L917" s="16" t="str">
        <f t="shared" ca="1" si="68"/>
        <v/>
      </c>
      <c r="M917" s="22" t="str">
        <f t="shared" ca="1" si="69"/>
        <v/>
      </c>
      <c r="U917" s="23" t="str">
        <f t="shared" si="70"/>
        <v/>
      </c>
      <c r="V917" s="23" t="str">
        <f t="shared" si="71"/>
        <v/>
      </c>
    </row>
    <row r="918" spans="5:22" x14ac:dyDescent="0.25">
      <c r="E918" s="21" t="str">
        <f t="shared" si="67"/>
        <v/>
      </c>
      <c r="F918" s="21"/>
      <c r="G918" s="21"/>
      <c r="H918" s="21"/>
      <c r="I918" s="21"/>
      <c r="J918" s="21"/>
      <c r="K918" s="21"/>
      <c r="L918" s="16" t="str">
        <f t="shared" ca="1" si="68"/>
        <v/>
      </c>
      <c r="M918" s="22" t="str">
        <f t="shared" ca="1" si="69"/>
        <v/>
      </c>
      <c r="U918" s="23" t="str">
        <f t="shared" si="70"/>
        <v/>
      </c>
      <c r="V918" s="23" t="str">
        <f t="shared" si="71"/>
        <v/>
      </c>
    </row>
    <row r="919" spans="5:22" x14ac:dyDescent="0.25">
      <c r="E919" s="21" t="str">
        <f t="shared" si="67"/>
        <v/>
      </c>
      <c r="F919" s="21"/>
      <c r="G919" s="21"/>
      <c r="H919" s="21"/>
      <c r="I919" s="21"/>
      <c r="J919" s="21"/>
      <c r="K919" s="21"/>
      <c r="L919" s="16" t="str">
        <f t="shared" ca="1" si="68"/>
        <v/>
      </c>
      <c r="M919" s="22" t="str">
        <f t="shared" ca="1" si="69"/>
        <v/>
      </c>
      <c r="U919" s="23" t="str">
        <f t="shared" si="70"/>
        <v/>
      </c>
      <c r="V919" s="23" t="str">
        <f t="shared" si="71"/>
        <v/>
      </c>
    </row>
    <row r="920" spans="5:22" x14ac:dyDescent="0.25">
      <c r="E920" s="21" t="str">
        <f t="shared" si="67"/>
        <v/>
      </c>
      <c r="F920" s="21"/>
      <c r="G920" s="21"/>
      <c r="H920" s="21"/>
      <c r="I920" s="21"/>
      <c r="J920" s="21"/>
      <c r="K920" s="21"/>
      <c r="L920" s="16" t="str">
        <f t="shared" ca="1" si="68"/>
        <v/>
      </c>
      <c r="M920" s="22" t="str">
        <f t="shared" ca="1" si="69"/>
        <v/>
      </c>
      <c r="U920" s="23" t="str">
        <f t="shared" si="70"/>
        <v/>
      </c>
      <c r="V920" s="23" t="str">
        <f t="shared" si="71"/>
        <v/>
      </c>
    </row>
    <row r="921" spans="5:22" x14ac:dyDescent="0.25">
      <c r="E921" s="21" t="str">
        <f t="shared" si="67"/>
        <v/>
      </c>
      <c r="F921" s="21"/>
      <c r="G921" s="21"/>
      <c r="H921" s="21"/>
      <c r="I921" s="21"/>
      <c r="J921" s="21"/>
      <c r="K921" s="21"/>
      <c r="L921" s="16" t="str">
        <f t="shared" ca="1" si="68"/>
        <v/>
      </c>
      <c r="M921" s="22" t="str">
        <f t="shared" ca="1" si="69"/>
        <v/>
      </c>
      <c r="U921" s="23" t="str">
        <f t="shared" si="70"/>
        <v/>
      </c>
      <c r="V921" s="23" t="str">
        <f t="shared" si="71"/>
        <v/>
      </c>
    </row>
    <row r="922" spans="5:22" x14ac:dyDescent="0.25">
      <c r="E922" s="21" t="str">
        <f t="shared" si="67"/>
        <v/>
      </c>
      <c r="F922" s="21"/>
      <c r="G922" s="21"/>
      <c r="H922" s="21"/>
      <c r="I922" s="21"/>
      <c r="J922" s="21"/>
      <c r="K922" s="21"/>
      <c r="L922" s="16" t="str">
        <f t="shared" ca="1" si="68"/>
        <v/>
      </c>
      <c r="M922" s="22" t="str">
        <f t="shared" ca="1" si="69"/>
        <v/>
      </c>
      <c r="U922" s="23" t="str">
        <f t="shared" si="70"/>
        <v/>
      </c>
      <c r="V922" s="23" t="str">
        <f t="shared" si="71"/>
        <v/>
      </c>
    </row>
    <row r="923" spans="5:22" x14ac:dyDescent="0.25">
      <c r="E923" s="21" t="str">
        <f t="shared" si="67"/>
        <v/>
      </c>
      <c r="F923" s="21"/>
      <c r="G923" s="21"/>
      <c r="H923" s="21"/>
      <c r="I923" s="21"/>
      <c r="J923" s="21"/>
      <c r="K923" s="21"/>
      <c r="L923" s="16" t="str">
        <f t="shared" ca="1" si="68"/>
        <v/>
      </c>
      <c r="M923" s="22" t="str">
        <f t="shared" ca="1" si="69"/>
        <v/>
      </c>
      <c r="U923" s="23" t="str">
        <f t="shared" si="70"/>
        <v/>
      </c>
      <c r="V923" s="23" t="str">
        <f t="shared" si="71"/>
        <v/>
      </c>
    </row>
    <row r="924" spans="5:22" x14ac:dyDescent="0.25">
      <c r="E924" s="21" t="str">
        <f t="shared" si="67"/>
        <v/>
      </c>
      <c r="F924" s="21"/>
      <c r="G924" s="21"/>
      <c r="H924" s="21"/>
      <c r="I924" s="21"/>
      <c r="J924" s="21"/>
      <c r="K924" s="21"/>
      <c r="L924" s="16" t="str">
        <f t="shared" ca="1" si="68"/>
        <v/>
      </c>
      <c r="M924" s="22" t="str">
        <f t="shared" ca="1" si="69"/>
        <v/>
      </c>
      <c r="U924" s="23" t="str">
        <f t="shared" si="70"/>
        <v/>
      </c>
      <c r="V924" s="23" t="str">
        <f t="shared" si="71"/>
        <v/>
      </c>
    </row>
    <row r="925" spans="5:22" x14ac:dyDescent="0.25">
      <c r="E925" s="21" t="str">
        <f t="shared" si="67"/>
        <v/>
      </c>
      <c r="F925" s="21"/>
      <c r="G925" s="21"/>
      <c r="H925" s="21"/>
      <c r="I925" s="21"/>
      <c r="J925" s="21"/>
      <c r="K925" s="21"/>
      <c r="L925" s="16" t="str">
        <f t="shared" ca="1" si="68"/>
        <v/>
      </c>
      <c r="M925" s="22" t="str">
        <f t="shared" ca="1" si="69"/>
        <v/>
      </c>
      <c r="U925" s="23" t="str">
        <f t="shared" si="70"/>
        <v/>
      </c>
      <c r="V925" s="23" t="str">
        <f t="shared" si="71"/>
        <v/>
      </c>
    </row>
    <row r="926" spans="5:22" x14ac:dyDescent="0.25">
      <c r="E926" s="21" t="str">
        <f t="shared" si="67"/>
        <v/>
      </c>
      <c r="F926" s="21"/>
      <c r="G926" s="21"/>
      <c r="H926" s="21"/>
      <c r="I926" s="21"/>
      <c r="J926" s="21"/>
      <c r="K926" s="21"/>
      <c r="L926" s="16" t="str">
        <f t="shared" ca="1" si="68"/>
        <v/>
      </c>
      <c r="M926" s="22" t="str">
        <f t="shared" ca="1" si="69"/>
        <v/>
      </c>
      <c r="U926" s="23" t="str">
        <f t="shared" si="70"/>
        <v/>
      </c>
      <c r="V926" s="23" t="str">
        <f t="shared" si="71"/>
        <v/>
      </c>
    </row>
    <row r="927" spans="5:22" x14ac:dyDescent="0.25">
      <c r="E927" s="21" t="str">
        <f t="shared" si="67"/>
        <v/>
      </c>
      <c r="F927" s="21"/>
      <c r="G927" s="21"/>
      <c r="H927" s="21"/>
      <c r="I927" s="21"/>
      <c r="J927" s="21"/>
      <c r="K927" s="21"/>
      <c r="L927" s="16" t="str">
        <f t="shared" ca="1" si="68"/>
        <v/>
      </c>
      <c r="M927" s="22" t="str">
        <f t="shared" ca="1" si="69"/>
        <v/>
      </c>
      <c r="U927" s="23" t="str">
        <f t="shared" si="70"/>
        <v/>
      </c>
      <c r="V927" s="23" t="str">
        <f t="shared" si="71"/>
        <v/>
      </c>
    </row>
    <row r="928" spans="5:22" x14ac:dyDescent="0.25">
      <c r="E928" s="21" t="str">
        <f t="shared" si="67"/>
        <v/>
      </c>
      <c r="F928" s="21"/>
      <c r="G928" s="21"/>
      <c r="H928" s="21"/>
      <c r="I928" s="21"/>
      <c r="J928" s="21"/>
      <c r="K928" s="21"/>
      <c r="L928" s="16" t="str">
        <f t="shared" ca="1" si="68"/>
        <v/>
      </c>
      <c r="M928" s="22" t="str">
        <f t="shared" ca="1" si="69"/>
        <v/>
      </c>
      <c r="U928" s="23" t="str">
        <f t="shared" si="70"/>
        <v/>
      </c>
      <c r="V928" s="23" t="str">
        <f t="shared" si="71"/>
        <v/>
      </c>
    </row>
    <row r="929" spans="5:22" x14ac:dyDescent="0.25">
      <c r="E929" s="21" t="str">
        <f t="shared" si="67"/>
        <v/>
      </c>
      <c r="F929" s="21"/>
      <c r="G929" s="21"/>
      <c r="H929" s="21"/>
      <c r="I929" s="21"/>
      <c r="J929" s="21"/>
      <c r="K929" s="21"/>
      <c r="L929" s="16" t="str">
        <f t="shared" ca="1" si="68"/>
        <v/>
      </c>
      <c r="M929" s="22" t="str">
        <f t="shared" ca="1" si="69"/>
        <v/>
      </c>
      <c r="U929" s="23" t="str">
        <f t="shared" si="70"/>
        <v/>
      </c>
      <c r="V929" s="23" t="str">
        <f t="shared" si="71"/>
        <v/>
      </c>
    </row>
    <row r="930" spans="5:22" x14ac:dyDescent="0.25">
      <c r="E930" s="21" t="str">
        <f t="shared" si="67"/>
        <v/>
      </c>
      <c r="F930" s="21"/>
      <c r="G930" s="21"/>
      <c r="H930" s="21"/>
      <c r="I930" s="21"/>
      <c r="J930" s="21"/>
      <c r="K930" s="21"/>
      <c r="L930" s="16" t="str">
        <f t="shared" ca="1" si="68"/>
        <v/>
      </c>
      <c r="M930" s="22" t="str">
        <f t="shared" ca="1" si="69"/>
        <v/>
      </c>
      <c r="U930" s="23" t="str">
        <f t="shared" si="70"/>
        <v/>
      </c>
      <c r="V930" s="23" t="str">
        <f t="shared" si="71"/>
        <v/>
      </c>
    </row>
    <row r="931" spans="5:22" x14ac:dyDescent="0.25">
      <c r="E931" s="21" t="str">
        <f t="shared" si="67"/>
        <v/>
      </c>
      <c r="F931" s="21"/>
      <c r="G931" s="21"/>
      <c r="H931" s="21"/>
      <c r="I931" s="21"/>
      <c r="J931" s="21"/>
      <c r="K931" s="21"/>
      <c r="L931" s="16" t="str">
        <f t="shared" ca="1" si="68"/>
        <v/>
      </c>
      <c r="M931" s="22" t="str">
        <f t="shared" ca="1" si="69"/>
        <v/>
      </c>
      <c r="U931" s="23" t="str">
        <f t="shared" si="70"/>
        <v/>
      </c>
      <c r="V931" s="23" t="str">
        <f t="shared" si="71"/>
        <v/>
      </c>
    </row>
    <row r="932" spans="5:22" x14ac:dyDescent="0.25">
      <c r="E932" s="21" t="str">
        <f t="shared" si="67"/>
        <v/>
      </c>
      <c r="F932" s="21"/>
      <c r="G932" s="21"/>
      <c r="H932" s="21"/>
      <c r="I932" s="21"/>
      <c r="J932" s="21"/>
      <c r="K932" s="21"/>
      <c r="L932" s="16" t="str">
        <f t="shared" ca="1" si="68"/>
        <v/>
      </c>
      <c r="M932" s="22" t="str">
        <f t="shared" ca="1" si="69"/>
        <v/>
      </c>
      <c r="U932" s="23" t="str">
        <f t="shared" si="70"/>
        <v/>
      </c>
      <c r="V932" s="23" t="str">
        <f t="shared" si="71"/>
        <v/>
      </c>
    </row>
    <row r="933" spans="5:22" x14ac:dyDescent="0.25">
      <c r="E933" s="21" t="str">
        <f t="shared" ref="E933:E996" si="72">IF(ISNUMBER(SEARCH("v crs",D933))=TRUE,"VC",IF(ISNUMBER(SEARCH("crs",D933))=TRUE,"C",IF(ISNUMBER(SEARCH("med",D933))=TRUE,"M",IF(ISNUMBER(SEARCH("vf",D933))=TRUE,"VF",IF(ISNUMBER(SEARCH("f",D933))=TRUE,"F","")))))</f>
        <v/>
      </c>
      <c r="F933" s="21"/>
      <c r="G933" s="21"/>
      <c r="H933" s="21"/>
      <c r="I933" s="21"/>
      <c r="J933" s="21"/>
      <c r="K933" s="21"/>
      <c r="L933" s="16" t="str">
        <f t="shared" ca="1" si="68"/>
        <v/>
      </c>
      <c r="M933" s="22" t="str">
        <f t="shared" ca="1" si="69"/>
        <v/>
      </c>
      <c r="U933" s="23" t="str">
        <f t="shared" si="70"/>
        <v/>
      </c>
      <c r="V933" s="23" t="str">
        <f t="shared" si="71"/>
        <v/>
      </c>
    </row>
    <row r="934" spans="5:22" x14ac:dyDescent="0.25">
      <c r="E934" s="21" t="str">
        <f t="shared" si="72"/>
        <v/>
      </c>
      <c r="F934" s="21"/>
      <c r="G934" s="21"/>
      <c r="H934" s="21"/>
      <c r="I934" s="21"/>
      <c r="J934" s="21"/>
      <c r="K934" s="21"/>
      <c r="L934" s="16" t="str">
        <f t="shared" ca="1" si="68"/>
        <v/>
      </c>
      <c r="M934" s="22" t="str">
        <f t="shared" ca="1" si="69"/>
        <v/>
      </c>
      <c r="U934" s="23" t="str">
        <f t="shared" si="70"/>
        <v/>
      </c>
      <c r="V934" s="23" t="str">
        <f t="shared" si="71"/>
        <v/>
      </c>
    </row>
    <row r="935" spans="5:22" x14ac:dyDescent="0.25">
      <c r="E935" s="21" t="str">
        <f t="shared" si="72"/>
        <v/>
      </c>
      <c r="F935" s="21"/>
      <c r="G935" s="21"/>
      <c r="H935" s="21"/>
      <c r="I935" s="21"/>
      <c r="J935" s="21"/>
      <c r="K935" s="21"/>
      <c r="L935" s="16" t="str">
        <f t="shared" ca="1" si="68"/>
        <v/>
      </c>
      <c r="M935" s="22" t="str">
        <f t="shared" ca="1" si="69"/>
        <v/>
      </c>
      <c r="U935" s="23" t="str">
        <f t="shared" si="70"/>
        <v/>
      </c>
      <c r="V935" s="23" t="str">
        <f t="shared" si="71"/>
        <v/>
      </c>
    </row>
    <row r="936" spans="5:22" x14ac:dyDescent="0.25">
      <c r="E936" s="21" t="str">
        <f t="shared" si="72"/>
        <v/>
      </c>
      <c r="F936" s="21"/>
      <c r="G936" s="21"/>
      <c r="H936" s="21"/>
      <c r="I936" s="21"/>
      <c r="J936" s="21"/>
      <c r="K936" s="21"/>
      <c r="L936" s="16" t="str">
        <f t="shared" ca="1" si="68"/>
        <v/>
      </c>
      <c r="M936" s="22" t="str">
        <f t="shared" ca="1" si="69"/>
        <v/>
      </c>
      <c r="U936" s="23" t="str">
        <f t="shared" si="70"/>
        <v/>
      </c>
      <c r="V936" s="23" t="str">
        <f t="shared" si="71"/>
        <v/>
      </c>
    </row>
    <row r="937" spans="5:22" x14ac:dyDescent="0.25">
      <c r="E937" s="21" t="str">
        <f t="shared" si="72"/>
        <v/>
      </c>
      <c r="F937" s="21"/>
      <c r="G937" s="21"/>
      <c r="H937" s="21"/>
      <c r="I937" s="21"/>
      <c r="J937" s="21"/>
      <c r="K937" s="21"/>
      <c r="L937" s="16" t="str">
        <f t="shared" ca="1" si="68"/>
        <v/>
      </c>
      <c r="M937" s="22" t="str">
        <f t="shared" ca="1" si="69"/>
        <v/>
      </c>
      <c r="U937" s="23" t="str">
        <f t="shared" si="70"/>
        <v/>
      </c>
      <c r="V937" s="23" t="str">
        <f t="shared" si="71"/>
        <v/>
      </c>
    </row>
    <row r="938" spans="5:22" x14ac:dyDescent="0.25">
      <c r="E938" s="21" t="str">
        <f t="shared" si="72"/>
        <v/>
      </c>
      <c r="F938" s="21"/>
      <c r="G938" s="21"/>
      <c r="H938" s="21"/>
      <c r="I938" s="21"/>
      <c r="J938" s="21"/>
      <c r="K938" s="21"/>
      <c r="L938" s="16" t="str">
        <f t="shared" ca="1" si="68"/>
        <v/>
      </c>
      <c r="M938" s="22" t="str">
        <f t="shared" ca="1" si="69"/>
        <v/>
      </c>
      <c r="U938" s="23" t="str">
        <f t="shared" si="70"/>
        <v/>
      </c>
      <c r="V938" s="23" t="str">
        <f t="shared" si="71"/>
        <v/>
      </c>
    </row>
    <row r="939" spans="5:22" x14ac:dyDescent="0.25">
      <c r="E939" s="21" t="str">
        <f t="shared" si="72"/>
        <v/>
      </c>
      <c r="F939" s="21"/>
      <c r="G939" s="21"/>
      <c r="H939" s="21"/>
      <c r="I939" s="21"/>
      <c r="J939" s="21"/>
      <c r="K939" s="21"/>
      <c r="L939" s="16" t="str">
        <f t="shared" ca="1" si="68"/>
        <v/>
      </c>
      <c r="M939" s="22" t="str">
        <f t="shared" ca="1" si="69"/>
        <v/>
      </c>
      <c r="U939" s="23" t="str">
        <f t="shared" si="70"/>
        <v/>
      </c>
      <c r="V939" s="23" t="str">
        <f t="shared" si="71"/>
        <v/>
      </c>
    </row>
    <row r="940" spans="5:22" x14ac:dyDescent="0.25">
      <c r="E940" s="21" t="str">
        <f t="shared" si="72"/>
        <v/>
      </c>
      <c r="F940" s="21"/>
      <c r="G940" s="21"/>
      <c r="H940" s="21"/>
      <c r="I940" s="21"/>
      <c r="J940" s="21"/>
      <c r="K940" s="21"/>
      <c r="L940" s="16" t="str">
        <f t="shared" ca="1" si="68"/>
        <v/>
      </c>
      <c r="M940" s="22" t="str">
        <f t="shared" ca="1" si="69"/>
        <v/>
      </c>
      <c r="U940" s="23" t="str">
        <f t="shared" si="70"/>
        <v/>
      </c>
      <c r="V940" s="23" t="str">
        <f t="shared" si="71"/>
        <v/>
      </c>
    </row>
    <row r="941" spans="5:22" x14ac:dyDescent="0.25">
      <c r="E941" s="21" t="str">
        <f t="shared" si="72"/>
        <v/>
      </c>
      <c r="F941" s="21"/>
      <c r="G941" s="21"/>
      <c r="H941" s="21"/>
      <c r="I941" s="21"/>
      <c r="J941" s="21"/>
      <c r="K941" s="21"/>
      <c r="L941" s="16" t="str">
        <f t="shared" ca="1" si="68"/>
        <v/>
      </c>
      <c r="M941" s="22" t="str">
        <f t="shared" ca="1" si="69"/>
        <v/>
      </c>
      <c r="U941" s="23" t="str">
        <f t="shared" si="70"/>
        <v/>
      </c>
      <c r="V941" s="23" t="str">
        <f t="shared" si="71"/>
        <v/>
      </c>
    </row>
    <row r="942" spans="5:22" x14ac:dyDescent="0.25">
      <c r="E942" s="21" t="str">
        <f t="shared" si="72"/>
        <v/>
      </c>
      <c r="F942" s="21"/>
      <c r="G942" s="21"/>
      <c r="H942" s="21"/>
      <c r="I942" s="21"/>
      <c r="J942" s="21"/>
      <c r="K942" s="21"/>
      <c r="L942" s="16" t="str">
        <f t="shared" ca="1" si="68"/>
        <v/>
      </c>
      <c r="M942" s="22" t="str">
        <f t="shared" ca="1" si="69"/>
        <v/>
      </c>
      <c r="U942" s="23" t="str">
        <f t="shared" si="70"/>
        <v/>
      </c>
      <c r="V942" s="23" t="str">
        <f t="shared" si="71"/>
        <v/>
      </c>
    </row>
    <row r="943" spans="5:22" x14ac:dyDescent="0.25">
      <c r="E943" s="21" t="str">
        <f t="shared" si="72"/>
        <v/>
      </c>
      <c r="F943" s="21"/>
      <c r="G943" s="21"/>
      <c r="H943" s="21"/>
      <c r="I943" s="21"/>
      <c r="J943" s="21"/>
      <c r="K943" s="21"/>
      <c r="L943" s="16" t="str">
        <f t="shared" ca="1" si="68"/>
        <v/>
      </c>
      <c r="M943" s="22" t="str">
        <f t="shared" ca="1" si="69"/>
        <v/>
      </c>
      <c r="U943" s="23" t="str">
        <f t="shared" si="70"/>
        <v/>
      </c>
      <c r="V943" s="23" t="str">
        <f t="shared" si="71"/>
        <v/>
      </c>
    </row>
    <row r="944" spans="5:22" x14ac:dyDescent="0.25">
      <c r="E944" s="21" t="str">
        <f t="shared" si="72"/>
        <v/>
      </c>
      <c r="F944" s="21"/>
      <c r="G944" s="21"/>
      <c r="H944" s="21"/>
      <c r="I944" s="21"/>
      <c r="J944" s="21"/>
      <c r="K944" s="21"/>
      <c r="L944" s="16" t="str">
        <f t="shared" ca="1" si="68"/>
        <v/>
      </c>
      <c r="M944" s="22" t="str">
        <f t="shared" ca="1" si="69"/>
        <v/>
      </c>
      <c r="U944" s="23" t="str">
        <f t="shared" si="70"/>
        <v/>
      </c>
      <c r="V944" s="23" t="str">
        <f t="shared" si="71"/>
        <v/>
      </c>
    </row>
    <row r="945" spans="5:22" x14ac:dyDescent="0.25">
      <c r="E945" s="21" t="str">
        <f t="shared" si="72"/>
        <v/>
      </c>
      <c r="F945" s="21"/>
      <c r="G945" s="21"/>
      <c r="H945" s="21"/>
      <c r="I945" s="21"/>
      <c r="J945" s="21"/>
      <c r="K945" s="21"/>
      <c r="L945" s="16" t="str">
        <f t="shared" ca="1" si="68"/>
        <v/>
      </c>
      <c r="M945" s="22" t="str">
        <f t="shared" ca="1" si="69"/>
        <v/>
      </c>
      <c r="U945" s="23" t="str">
        <f t="shared" si="70"/>
        <v/>
      </c>
      <c r="V945" s="23" t="str">
        <f t="shared" si="71"/>
        <v/>
      </c>
    </row>
    <row r="946" spans="5:22" x14ac:dyDescent="0.25">
      <c r="E946" s="21" t="str">
        <f t="shared" si="72"/>
        <v/>
      </c>
      <c r="F946" s="21"/>
      <c r="G946" s="21"/>
      <c r="H946" s="21"/>
      <c r="I946" s="21"/>
      <c r="J946" s="21"/>
      <c r="K946" s="21"/>
      <c r="L946" s="16" t="str">
        <f t="shared" ca="1" si="68"/>
        <v/>
      </c>
      <c r="M946" s="22" t="str">
        <f t="shared" ca="1" si="69"/>
        <v/>
      </c>
      <c r="U946" s="23" t="str">
        <f t="shared" si="70"/>
        <v/>
      </c>
      <c r="V946" s="23" t="str">
        <f t="shared" si="71"/>
        <v/>
      </c>
    </row>
    <row r="947" spans="5:22" x14ac:dyDescent="0.25">
      <c r="E947" s="21" t="str">
        <f t="shared" si="72"/>
        <v/>
      </c>
      <c r="F947" s="21"/>
      <c r="G947" s="21"/>
      <c r="H947" s="21"/>
      <c r="I947" s="21"/>
      <c r="J947" s="21"/>
      <c r="K947" s="21"/>
      <c r="L947" s="16" t="str">
        <f t="shared" ca="1" si="68"/>
        <v/>
      </c>
      <c r="M947" s="22" t="str">
        <f t="shared" ca="1" si="69"/>
        <v/>
      </c>
      <c r="U947" s="23" t="str">
        <f t="shared" si="70"/>
        <v/>
      </c>
      <c r="V947" s="23" t="str">
        <f t="shared" si="71"/>
        <v/>
      </c>
    </row>
    <row r="948" spans="5:22" x14ac:dyDescent="0.25">
      <c r="E948" s="21" t="str">
        <f t="shared" si="72"/>
        <v/>
      </c>
      <c r="F948" s="21"/>
      <c r="G948" s="21"/>
      <c r="H948" s="21"/>
      <c r="I948" s="21"/>
      <c r="J948" s="21"/>
      <c r="K948" s="21"/>
      <c r="L948" s="16" t="str">
        <f t="shared" ca="1" si="68"/>
        <v/>
      </c>
      <c r="M948" s="22" t="str">
        <f t="shared" ca="1" si="69"/>
        <v/>
      </c>
      <c r="U948" s="23" t="str">
        <f t="shared" si="70"/>
        <v/>
      </c>
      <c r="V948" s="23" t="str">
        <f t="shared" si="71"/>
        <v/>
      </c>
    </row>
    <row r="949" spans="5:22" x14ac:dyDescent="0.25">
      <c r="E949" s="21" t="str">
        <f t="shared" si="72"/>
        <v/>
      </c>
      <c r="F949" s="21"/>
      <c r="G949" s="21"/>
      <c r="H949" s="21"/>
      <c r="I949" s="21"/>
      <c r="J949" s="21"/>
      <c r="K949" s="21"/>
      <c r="L949" s="16" t="str">
        <f t="shared" ca="1" si="68"/>
        <v/>
      </c>
      <c r="M949" s="22" t="str">
        <f t="shared" ca="1" si="69"/>
        <v/>
      </c>
      <c r="U949" s="23" t="str">
        <f t="shared" si="70"/>
        <v/>
      </c>
      <c r="V949" s="23" t="str">
        <f t="shared" si="71"/>
        <v/>
      </c>
    </row>
    <row r="950" spans="5:22" x14ac:dyDescent="0.25">
      <c r="E950" s="21" t="str">
        <f t="shared" si="72"/>
        <v/>
      </c>
      <c r="F950" s="21"/>
      <c r="G950" s="21"/>
      <c r="H950" s="21"/>
      <c r="I950" s="21"/>
      <c r="J950" s="21"/>
      <c r="K950" s="21"/>
      <c r="L950" s="16" t="str">
        <f t="shared" ca="1" si="68"/>
        <v/>
      </c>
      <c r="M950" s="22" t="str">
        <f t="shared" ca="1" si="69"/>
        <v/>
      </c>
      <c r="U950" s="23" t="str">
        <f t="shared" si="70"/>
        <v/>
      </c>
      <c r="V950" s="23" t="str">
        <f t="shared" si="71"/>
        <v/>
      </c>
    </row>
    <row r="951" spans="5:22" x14ac:dyDescent="0.25">
      <c r="E951" s="21" t="str">
        <f t="shared" si="72"/>
        <v/>
      </c>
      <c r="F951" s="21"/>
      <c r="G951" s="21"/>
      <c r="H951" s="21"/>
      <c r="I951" s="21"/>
      <c r="J951" s="21"/>
      <c r="K951" s="21"/>
      <c r="L951" s="16" t="str">
        <f t="shared" ca="1" si="68"/>
        <v/>
      </c>
      <c r="M951" s="22" t="str">
        <f t="shared" ca="1" si="69"/>
        <v/>
      </c>
      <c r="U951" s="23" t="str">
        <f t="shared" si="70"/>
        <v/>
      </c>
      <c r="V951" s="23" t="str">
        <f t="shared" si="71"/>
        <v/>
      </c>
    </row>
    <row r="952" spans="5:22" x14ac:dyDescent="0.25">
      <c r="E952" s="21" t="str">
        <f t="shared" si="72"/>
        <v/>
      </c>
      <c r="F952" s="21"/>
      <c r="G952" s="21"/>
      <c r="H952" s="21"/>
      <c r="I952" s="21"/>
      <c r="J952" s="21"/>
      <c r="K952" s="21"/>
      <c r="L952" s="16" t="str">
        <f t="shared" ca="1" si="68"/>
        <v/>
      </c>
      <c r="M952" s="22" t="str">
        <f t="shared" ca="1" si="69"/>
        <v/>
      </c>
      <c r="U952" s="23" t="str">
        <f t="shared" si="70"/>
        <v/>
      </c>
      <c r="V952" s="23" t="str">
        <f t="shared" si="71"/>
        <v/>
      </c>
    </row>
    <row r="953" spans="5:22" x14ac:dyDescent="0.25">
      <c r="E953" s="21" t="str">
        <f t="shared" si="72"/>
        <v/>
      </c>
      <c r="F953" s="21"/>
      <c r="G953" s="21"/>
      <c r="H953" s="21"/>
      <c r="I953" s="21"/>
      <c r="J953" s="21"/>
      <c r="K953" s="21"/>
      <c r="L953" s="16" t="str">
        <f t="shared" ca="1" si="68"/>
        <v/>
      </c>
      <c r="M953" s="22" t="str">
        <f t="shared" ca="1" si="69"/>
        <v/>
      </c>
      <c r="U953" s="23" t="str">
        <f t="shared" si="70"/>
        <v/>
      </c>
      <c r="V953" s="23" t="str">
        <f t="shared" si="71"/>
        <v/>
      </c>
    </row>
    <row r="954" spans="5:22" x14ac:dyDescent="0.25">
      <c r="E954" s="21" t="str">
        <f t="shared" si="72"/>
        <v/>
      </c>
      <c r="F954" s="21"/>
      <c r="G954" s="21"/>
      <c r="H954" s="21"/>
      <c r="I954" s="21"/>
      <c r="J954" s="21"/>
      <c r="K954" s="21"/>
      <c r="L954" s="16" t="str">
        <f t="shared" ca="1" si="68"/>
        <v/>
      </c>
      <c r="M954" s="22" t="str">
        <f t="shared" ca="1" si="69"/>
        <v/>
      </c>
      <c r="U954" s="23" t="str">
        <f t="shared" si="70"/>
        <v/>
      </c>
      <c r="V954" s="23" t="str">
        <f t="shared" si="71"/>
        <v/>
      </c>
    </row>
    <row r="955" spans="5:22" x14ac:dyDescent="0.25">
      <c r="E955" s="21" t="str">
        <f t="shared" si="72"/>
        <v/>
      </c>
      <c r="F955" s="21"/>
      <c r="G955" s="21"/>
      <c r="H955" s="21"/>
      <c r="I955" s="21"/>
      <c r="J955" s="21"/>
      <c r="K955" s="21"/>
      <c r="L955" s="16" t="str">
        <f t="shared" ca="1" si="68"/>
        <v/>
      </c>
      <c r="M955" s="22" t="str">
        <f t="shared" ca="1" si="69"/>
        <v/>
      </c>
      <c r="U955" s="23" t="str">
        <f t="shared" si="70"/>
        <v/>
      </c>
      <c r="V955" s="23" t="str">
        <f t="shared" si="71"/>
        <v/>
      </c>
    </row>
    <row r="956" spans="5:22" x14ac:dyDescent="0.25">
      <c r="E956" s="21" t="str">
        <f t="shared" si="72"/>
        <v/>
      </c>
      <c r="F956" s="21"/>
      <c r="G956" s="21"/>
      <c r="H956" s="21"/>
      <c r="I956" s="21"/>
      <c r="J956" s="21"/>
      <c r="K956" s="21"/>
      <c r="L956" s="16" t="str">
        <f t="shared" ca="1" si="68"/>
        <v/>
      </c>
      <c r="M956" s="22" t="str">
        <f t="shared" ca="1" si="69"/>
        <v/>
      </c>
      <c r="U956" s="23" t="str">
        <f t="shared" si="70"/>
        <v/>
      </c>
      <c r="V956" s="23" t="str">
        <f t="shared" si="71"/>
        <v/>
      </c>
    </row>
    <row r="957" spans="5:22" x14ac:dyDescent="0.25">
      <c r="E957" s="21" t="str">
        <f t="shared" si="72"/>
        <v/>
      </c>
      <c r="F957" s="21"/>
      <c r="G957" s="21"/>
      <c r="H957" s="21"/>
      <c r="I957" s="21"/>
      <c r="J957" s="21"/>
      <c r="K957" s="21"/>
      <c r="L957" s="16" t="str">
        <f t="shared" ref="L957:L1020" ca="1" si="73">IF(AND(C957&lt;&gt;"",C957&lt;&gt;U957),TODAY(),IF(C957="","",L957))</f>
        <v/>
      </c>
      <c r="M957" s="22" t="str">
        <f t="shared" ref="M957:M1020" ca="1" si="74">IF(AND(C957&lt;&gt;"",C957&lt;&gt;V957),NOW(),IF(C957="","",M957))</f>
        <v/>
      </c>
      <c r="U957" s="23" t="str">
        <f t="shared" si="70"/>
        <v/>
      </c>
      <c r="V957" s="23" t="str">
        <f t="shared" si="71"/>
        <v/>
      </c>
    </row>
    <row r="958" spans="5:22" x14ac:dyDescent="0.25">
      <c r="E958" s="21" t="str">
        <f t="shared" si="72"/>
        <v/>
      </c>
      <c r="F958" s="21"/>
      <c r="G958" s="21"/>
      <c r="H958" s="21"/>
      <c r="I958" s="21"/>
      <c r="J958" s="21"/>
      <c r="K958" s="21"/>
      <c r="L958" s="16" t="str">
        <f t="shared" ca="1" si="73"/>
        <v/>
      </c>
      <c r="M958" s="22" t="str">
        <f t="shared" ca="1" si="74"/>
        <v/>
      </c>
      <c r="U958" s="23" t="str">
        <f t="shared" si="70"/>
        <v/>
      </c>
      <c r="V958" s="23" t="str">
        <f t="shared" si="71"/>
        <v/>
      </c>
    </row>
    <row r="959" spans="5:22" x14ac:dyDescent="0.25">
      <c r="E959" s="21" t="str">
        <f t="shared" si="72"/>
        <v/>
      </c>
      <c r="F959" s="21"/>
      <c r="G959" s="21"/>
      <c r="H959" s="21"/>
      <c r="I959" s="21"/>
      <c r="J959" s="21"/>
      <c r="K959" s="21"/>
      <c r="L959" s="16" t="str">
        <f t="shared" ca="1" si="73"/>
        <v/>
      </c>
      <c r="M959" s="22" t="str">
        <f t="shared" ca="1" si="74"/>
        <v/>
      </c>
      <c r="U959" s="23" t="str">
        <f t="shared" si="70"/>
        <v/>
      </c>
      <c r="V959" s="23" t="str">
        <f t="shared" si="71"/>
        <v/>
      </c>
    </row>
    <row r="960" spans="5:22" x14ac:dyDescent="0.25">
      <c r="E960" s="21" t="str">
        <f t="shared" si="72"/>
        <v/>
      </c>
      <c r="F960" s="21"/>
      <c r="G960" s="21"/>
      <c r="H960" s="21"/>
      <c r="I960" s="21"/>
      <c r="J960" s="21"/>
      <c r="K960" s="21"/>
      <c r="L960" s="16" t="str">
        <f t="shared" ca="1" si="73"/>
        <v/>
      </c>
      <c r="M960" s="22" t="str">
        <f t="shared" ca="1" si="74"/>
        <v/>
      </c>
      <c r="U960" s="23" t="str">
        <f t="shared" si="70"/>
        <v/>
      </c>
      <c r="V960" s="23" t="str">
        <f t="shared" si="71"/>
        <v/>
      </c>
    </row>
    <row r="961" spans="5:22" x14ac:dyDescent="0.25">
      <c r="E961" s="21" t="str">
        <f t="shared" si="72"/>
        <v/>
      </c>
      <c r="F961" s="21"/>
      <c r="G961" s="21"/>
      <c r="H961" s="21"/>
      <c r="I961" s="21"/>
      <c r="J961" s="21"/>
      <c r="K961" s="21"/>
      <c r="L961" s="16" t="str">
        <f t="shared" ca="1" si="73"/>
        <v/>
      </c>
      <c r="M961" s="22" t="str">
        <f t="shared" ca="1" si="74"/>
        <v/>
      </c>
      <c r="U961" s="23" t="str">
        <f t="shared" si="70"/>
        <v/>
      </c>
      <c r="V961" s="23" t="str">
        <f t="shared" si="71"/>
        <v/>
      </c>
    </row>
    <row r="962" spans="5:22" x14ac:dyDescent="0.25">
      <c r="E962" s="21" t="str">
        <f t="shared" si="72"/>
        <v/>
      </c>
      <c r="F962" s="21"/>
      <c r="G962" s="21"/>
      <c r="H962" s="21"/>
      <c r="I962" s="21"/>
      <c r="J962" s="21"/>
      <c r="K962" s="21"/>
      <c r="L962" s="16" t="str">
        <f t="shared" ca="1" si="73"/>
        <v/>
      </c>
      <c r="M962" s="22" t="str">
        <f t="shared" ca="1" si="74"/>
        <v/>
      </c>
      <c r="U962" s="23" t="str">
        <f t="shared" si="70"/>
        <v/>
      </c>
      <c r="V962" s="23" t="str">
        <f t="shared" si="71"/>
        <v/>
      </c>
    </row>
    <row r="963" spans="5:22" x14ac:dyDescent="0.25">
      <c r="E963" s="21" t="str">
        <f t="shared" si="72"/>
        <v/>
      </c>
      <c r="F963" s="21"/>
      <c r="G963" s="21"/>
      <c r="H963" s="21"/>
      <c r="I963" s="21"/>
      <c r="J963" s="21"/>
      <c r="K963" s="21"/>
      <c r="L963" s="16" t="str">
        <f t="shared" ca="1" si="73"/>
        <v/>
      </c>
      <c r="M963" s="22" t="str">
        <f t="shared" ca="1" si="74"/>
        <v/>
      </c>
      <c r="U963" s="23" t="str">
        <f t="shared" si="70"/>
        <v/>
      </c>
      <c r="V963" s="23" t="str">
        <f t="shared" si="71"/>
        <v/>
      </c>
    </row>
    <row r="964" spans="5:22" x14ac:dyDescent="0.25">
      <c r="E964" s="21" t="str">
        <f t="shared" si="72"/>
        <v/>
      </c>
      <c r="F964" s="21"/>
      <c r="G964" s="21"/>
      <c r="H964" s="21"/>
      <c r="I964" s="21"/>
      <c r="J964" s="21"/>
      <c r="K964" s="21"/>
      <c r="L964" s="16" t="str">
        <f t="shared" ca="1" si="73"/>
        <v/>
      </c>
      <c r="M964" s="22" t="str">
        <f t="shared" ca="1" si="74"/>
        <v/>
      </c>
      <c r="U964" s="23" t="str">
        <f t="shared" ref="U964:U1027" si="75">IF(C964="","",IF(OR(L964="",AND(ISNUMBER(U964),C964=U964)),U964,C964))</f>
        <v/>
      </c>
      <c r="V964" s="23" t="str">
        <f t="shared" ref="V964:V1027" si="76">IF(C964="","",IF(OR(M964="",AND(ISNUMBER(V964),C964=V964)),V964,C964))</f>
        <v/>
      </c>
    </row>
    <row r="965" spans="5:22" x14ac:dyDescent="0.25">
      <c r="E965" s="21" t="str">
        <f t="shared" si="72"/>
        <v/>
      </c>
      <c r="F965" s="21"/>
      <c r="G965" s="21"/>
      <c r="H965" s="21"/>
      <c r="I965" s="21"/>
      <c r="J965" s="21"/>
      <c r="K965" s="21"/>
      <c r="L965" s="16" t="str">
        <f t="shared" ca="1" si="73"/>
        <v/>
      </c>
      <c r="M965" s="22" t="str">
        <f t="shared" ca="1" si="74"/>
        <v/>
      </c>
      <c r="U965" s="23" t="str">
        <f t="shared" si="75"/>
        <v/>
      </c>
      <c r="V965" s="23" t="str">
        <f t="shared" si="76"/>
        <v/>
      </c>
    </row>
    <row r="966" spans="5:22" x14ac:dyDescent="0.25">
      <c r="E966" s="21" t="str">
        <f t="shared" si="72"/>
        <v/>
      </c>
      <c r="F966" s="21"/>
      <c r="G966" s="21"/>
      <c r="H966" s="21"/>
      <c r="I966" s="21"/>
      <c r="J966" s="21"/>
      <c r="K966" s="21"/>
      <c r="L966" s="16" t="str">
        <f t="shared" ca="1" si="73"/>
        <v/>
      </c>
      <c r="M966" s="22" t="str">
        <f t="shared" ca="1" si="74"/>
        <v/>
      </c>
      <c r="U966" s="23" t="str">
        <f t="shared" si="75"/>
        <v/>
      </c>
      <c r="V966" s="23" t="str">
        <f t="shared" si="76"/>
        <v/>
      </c>
    </row>
    <row r="967" spans="5:22" x14ac:dyDescent="0.25">
      <c r="E967" s="21" t="str">
        <f t="shared" si="72"/>
        <v/>
      </c>
      <c r="F967" s="21"/>
      <c r="G967" s="21"/>
      <c r="H967" s="21"/>
      <c r="I967" s="21"/>
      <c r="J967" s="21"/>
      <c r="K967" s="21"/>
      <c r="L967" s="16" t="str">
        <f t="shared" ca="1" si="73"/>
        <v/>
      </c>
      <c r="M967" s="22" t="str">
        <f t="shared" ca="1" si="74"/>
        <v/>
      </c>
      <c r="U967" s="23" t="str">
        <f t="shared" si="75"/>
        <v/>
      </c>
      <c r="V967" s="23" t="str">
        <f t="shared" si="76"/>
        <v/>
      </c>
    </row>
    <row r="968" spans="5:22" x14ac:dyDescent="0.25">
      <c r="E968" s="21" t="str">
        <f t="shared" si="72"/>
        <v/>
      </c>
      <c r="F968" s="21"/>
      <c r="G968" s="21"/>
      <c r="H968" s="21"/>
      <c r="I968" s="21"/>
      <c r="J968" s="21"/>
      <c r="K968" s="21"/>
      <c r="L968" s="16" t="str">
        <f t="shared" ca="1" si="73"/>
        <v/>
      </c>
      <c r="M968" s="22" t="str">
        <f t="shared" ca="1" si="74"/>
        <v/>
      </c>
      <c r="U968" s="23" t="str">
        <f t="shared" si="75"/>
        <v/>
      </c>
      <c r="V968" s="23" t="str">
        <f t="shared" si="76"/>
        <v/>
      </c>
    </row>
    <row r="969" spans="5:22" x14ac:dyDescent="0.25">
      <c r="E969" s="21" t="str">
        <f t="shared" si="72"/>
        <v/>
      </c>
      <c r="F969" s="21"/>
      <c r="G969" s="21"/>
      <c r="H969" s="21"/>
      <c r="I969" s="21"/>
      <c r="J969" s="21"/>
      <c r="K969" s="21"/>
      <c r="L969" s="16" t="str">
        <f t="shared" ca="1" si="73"/>
        <v/>
      </c>
      <c r="M969" s="22" t="str">
        <f t="shared" ca="1" si="74"/>
        <v/>
      </c>
      <c r="U969" s="23" t="str">
        <f t="shared" si="75"/>
        <v/>
      </c>
      <c r="V969" s="23" t="str">
        <f t="shared" si="76"/>
        <v/>
      </c>
    </row>
    <row r="970" spans="5:22" x14ac:dyDescent="0.25">
      <c r="E970" s="21" t="str">
        <f t="shared" si="72"/>
        <v/>
      </c>
      <c r="F970" s="21"/>
      <c r="G970" s="21"/>
      <c r="H970" s="21"/>
      <c r="I970" s="21"/>
      <c r="J970" s="21"/>
      <c r="K970" s="21"/>
      <c r="L970" s="16" t="str">
        <f t="shared" ca="1" si="73"/>
        <v/>
      </c>
      <c r="M970" s="22" t="str">
        <f t="shared" ca="1" si="74"/>
        <v/>
      </c>
      <c r="U970" s="23" t="str">
        <f t="shared" si="75"/>
        <v/>
      </c>
      <c r="V970" s="23" t="str">
        <f t="shared" si="76"/>
        <v/>
      </c>
    </row>
    <row r="971" spans="5:22" x14ac:dyDescent="0.25">
      <c r="E971" s="21" t="str">
        <f t="shared" si="72"/>
        <v/>
      </c>
      <c r="F971" s="21"/>
      <c r="G971" s="21"/>
      <c r="H971" s="21"/>
      <c r="I971" s="21"/>
      <c r="J971" s="21"/>
      <c r="K971" s="21"/>
      <c r="L971" s="16" t="str">
        <f t="shared" ca="1" si="73"/>
        <v/>
      </c>
      <c r="M971" s="22" t="str">
        <f t="shared" ca="1" si="74"/>
        <v/>
      </c>
      <c r="U971" s="23" t="str">
        <f t="shared" si="75"/>
        <v/>
      </c>
      <c r="V971" s="23" t="str">
        <f t="shared" si="76"/>
        <v/>
      </c>
    </row>
    <row r="972" spans="5:22" x14ac:dyDescent="0.25">
      <c r="E972" s="21" t="str">
        <f t="shared" si="72"/>
        <v/>
      </c>
      <c r="F972" s="21"/>
      <c r="G972" s="21"/>
      <c r="H972" s="21"/>
      <c r="I972" s="21"/>
      <c r="J972" s="21"/>
      <c r="K972" s="21"/>
      <c r="L972" s="16" t="str">
        <f t="shared" ca="1" si="73"/>
        <v/>
      </c>
      <c r="M972" s="22" t="str">
        <f t="shared" ca="1" si="74"/>
        <v/>
      </c>
      <c r="U972" s="23" t="str">
        <f t="shared" si="75"/>
        <v/>
      </c>
      <c r="V972" s="23" t="str">
        <f t="shared" si="76"/>
        <v/>
      </c>
    </row>
    <row r="973" spans="5:22" x14ac:dyDescent="0.25">
      <c r="E973" s="21" t="str">
        <f t="shared" si="72"/>
        <v/>
      </c>
      <c r="F973" s="21"/>
      <c r="G973" s="21"/>
      <c r="H973" s="21"/>
      <c r="I973" s="21"/>
      <c r="J973" s="21"/>
      <c r="K973" s="21"/>
      <c r="L973" s="16" t="str">
        <f t="shared" ca="1" si="73"/>
        <v/>
      </c>
      <c r="M973" s="22" t="str">
        <f t="shared" ca="1" si="74"/>
        <v/>
      </c>
      <c r="U973" s="23" t="str">
        <f t="shared" si="75"/>
        <v/>
      </c>
      <c r="V973" s="23" t="str">
        <f t="shared" si="76"/>
        <v/>
      </c>
    </row>
    <row r="974" spans="5:22" x14ac:dyDescent="0.25">
      <c r="E974" s="21" t="str">
        <f t="shared" si="72"/>
        <v/>
      </c>
      <c r="F974" s="21"/>
      <c r="G974" s="21"/>
      <c r="H974" s="21"/>
      <c r="I974" s="21"/>
      <c r="J974" s="21"/>
      <c r="K974" s="21"/>
      <c r="L974" s="16" t="str">
        <f t="shared" ca="1" si="73"/>
        <v/>
      </c>
      <c r="M974" s="22" t="str">
        <f t="shared" ca="1" si="74"/>
        <v/>
      </c>
      <c r="U974" s="23" t="str">
        <f t="shared" si="75"/>
        <v/>
      </c>
      <c r="V974" s="23" t="str">
        <f t="shared" si="76"/>
        <v/>
      </c>
    </row>
    <row r="975" spans="5:22" x14ac:dyDescent="0.25">
      <c r="E975" s="21" t="str">
        <f t="shared" si="72"/>
        <v/>
      </c>
      <c r="F975" s="21"/>
      <c r="G975" s="21"/>
      <c r="H975" s="21"/>
      <c r="I975" s="21"/>
      <c r="J975" s="21"/>
      <c r="K975" s="21"/>
      <c r="L975" s="16" t="str">
        <f t="shared" ca="1" si="73"/>
        <v/>
      </c>
      <c r="M975" s="22" t="str">
        <f t="shared" ca="1" si="74"/>
        <v/>
      </c>
      <c r="U975" s="23" t="str">
        <f t="shared" si="75"/>
        <v/>
      </c>
      <c r="V975" s="23" t="str">
        <f t="shared" si="76"/>
        <v/>
      </c>
    </row>
    <row r="976" spans="5:22" x14ac:dyDescent="0.25">
      <c r="E976" s="21" t="str">
        <f t="shared" si="72"/>
        <v/>
      </c>
      <c r="F976" s="21"/>
      <c r="G976" s="21"/>
      <c r="H976" s="21"/>
      <c r="I976" s="21"/>
      <c r="J976" s="21"/>
      <c r="K976" s="21"/>
      <c r="L976" s="16" t="str">
        <f t="shared" ca="1" si="73"/>
        <v/>
      </c>
      <c r="M976" s="22" t="str">
        <f t="shared" ca="1" si="74"/>
        <v/>
      </c>
      <c r="U976" s="23" t="str">
        <f t="shared" si="75"/>
        <v/>
      </c>
      <c r="V976" s="23" t="str">
        <f t="shared" si="76"/>
        <v/>
      </c>
    </row>
    <row r="977" spans="5:22" x14ac:dyDescent="0.25">
      <c r="E977" s="21" t="str">
        <f t="shared" si="72"/>
        <v/>
      </c>
      <c r="F977" s="21"/>
      <c r="G977" s="21"/>
      <c r="H977" s="21"/>
      <c r="I977" s="21"/>
      <c r="J977" s="21"/>
      <c r="K977" s="21"/>
      <c r="L977" s="16" t="str">
        <f t="shared" ca="1" si="73"/>
        <v/>
      </c>
      <c r="M977" s="22" t="str">
        <f t="shared" ca="1" si="74"/>
        <v/>
      </c>
      <c r="U977" s="23" t="str">
        <f t="shared" si="75"/>
        <v/>
      </c>
      <c r="V977" s="23" t="str">
        <f t="shared" si="76"/>
        <v/>
      </c>
    </row>
    <row r="978" spans="5:22" x14ac:dyDescent="0.25">
      <c r="E978" s="21" t="str">
        <f t="shared" si="72"/>
        <v/>
      </c>
      <c r="F978" s="21"/>
      <c r="G978" s="21"/>
      <c r="H978" s="21"/>
      <c r="I978" s="21"/>
      <c r="J978" s="21"/>
      <c r="K978" s="21"/>
      <c r="L978" s="16" t="str">
        <f t="shared" ca="1" si="73"/>
        <v/>
      </c>
      <c r="M978" s="22" t="str">
        <f t="shared" ca="1" si="74"/>
        <v/>
      </c>
      <c r="U978" s="23" t="str">
        <f t="shared" si="75"/>
        <v/>
      </c>
      <c r="V978" s="23" t="str">
        <f t="shared" si="76"/>
        <v/>
      </c>
    </row>
    <row r="979" spans="5:22" x14ac:dyDescent="0.25">
      <c r="E979" s="21" t="str">
        <f t="shared" si="72"/>
        <v/>
      </c>
      <c r="F979" s="21"/>
      <c r="G979" s="21"/>
      <c r="H979" s="21"/>
      <c r="I979" s="21"/>
      <c r="J979" s="21"/>
      <c r="K979" s="21"/>
      <c r="L979" s="16" t="str">
        <f t="shared" ca="1" si="73"/>
        <v/>
      </c>
      <c r="M979" s="22" t="str">
        <f t="shared" ca="1" si="74"/>
        <v/>
      </c>
      <c r="U979" s="23" t="str">
        <f t="shared" si="75"/>
        <v/>
      </c>
      <c r="V979" s="23" t="str">
        <f t="shared" si="76"/>
        <v/>
      </c>
    </row>
    <row r="980" spans="5:22" x14ac:dyDescent="0.25">
      <c r="E980" s="21" t="str">
        <f t="shared" si="72"/>
        <v/>
      </c>
      <c r="F980" s="21"/>
      <c r="G980" s="21"/>
      <c r="H980" s="21"/>
      <c r="I980" s="21"/>
      <c r="J980" s="21"/>
      <c r="K980" s="21"/>
      <c r="L980" s="16" t="str">
        <f t="shared" ca="1" si="73"/>
        <v/>
      </c>
      <c r="M980" s="22" t="str">
        <f t="shared" ca="1" si="74"/>
        <v/>
      </c>
      <c r="U980" s="23" t="str">
        <f t="shared" si="75"/>
        <v/>
      </c>
      <c r="V980" s="23" t="str">
        <f t="shared" si="76"/>
        <v/>
      </c>
    </row>
    <row r="981" spans="5:22" x14ac:dyDescent="0.25">
      <c r="E981" s="21" t="str">
        <f t="shared" si="72"/>
        <v/>
      </c>
      <c r="F981" s="21"/>
      <c r="G981" s="21"/>
      <c r="H981" s="21"/>
      <c r="I981" s="21"/>
      <c r="J981" s="21"/>
      <c r="K981" s="21"/>
      <c r="L981" s="16" t="str">
        <f t="shared" ca="1" si="73"/>
        <v/>
      </c>
      <c r="M981" s="22" t="str">
        <f t="shared" ca="1" si="74"/>
        <v/>
      </c>
      <c r="U981" s="23" t="str">
        <f t="shared" si="75"/>
        <v/>
      </c>
      <c r="V981" s="23" t="str">
        <f t="shared" si="76"/>
        <v/>
      </c>
    </row>
    <row r="982" spans="5:22" x14ac:dyDescent="0.25">
      <c r="E982" s="21" t="str">
        <f t="shared" si="72"/>
        <v/>
      </c>
      <c r="F982" s="21"/>
      <c r="G982" s="21"/>
      <c r="H982" s="21"/>
      <c r="I982" s="21"/>
      <c r="J982" s="21"/>
      <c r="K982" s="21"/>
      <c r="L982" s="16" t="str">
        <f t="shared" ca="1" si="73"/>
        <v/>
      </c>
      <c r="M982" s="22" t="str">
        <f t="shared" ca="1" si="74"/>
        <v/>
      </c>
      <c r="U982" s="23" t="str">
        <f t="shared" si="75"/>
        <v/>
      </c>
      <c r="V982" s="23" t="str">
        <f t="shared" si="76"/>
        <v/>
      </c>
    </row>
    <row r="983" spans="5:22" x14ac:dyDescent="0.25">
      <c r="E983" s="21" t="str">
        <f t="shared" si="72"/>
        <v/>
      </c>
      <c r="F983" s="21"/>
      <c r="G983" s="21"/>
      <c r="H983" s="21"/>
      <c r="I983" s="21"/>
      <c r="J983" s="21"/>
      <c r="K983" s="21"/>
      <c r="L983" s="16" t="str">
        <f t="shared" ca="1" si="73"/>
        <v/>
      </c>
      <c r="M983" s="22" t="str">
        <f t="shared" ca="1" si="74"/>
        <v/>
      </c>
      <c r="U983" s="23" t="str">
        <f t="shared" si="75"/>
        <v/>
      </c>
      <c r="V983" s="23" t="str">
        <f t="shared" si="76"/>
        <v/>
      </c>
    </row>
    <row r="984" spans="5:22" x14ac:dyDescent="0.25">
      <c r="E984" s="21" t="str">
        <f t="shared" si="72"/>
        <v/>
      </c>
      <c r="F984" s="21"/>
      <c r="G984" s="21"/>
      <c r="H984" s="21"/>
      <c r="I984" s="21"/>
      <c r="J984" s="21"/>
      <c r="K984" s="21"/>
      <c r="L984" s="16" t="str">
        <f t="shared" ca="1" si="73"/>
        <v/>
      </c>
      <c r="M984" s="22" t="str">
        <f t="shared" ca="1" si="74"/>
        <v/>
      </c>
      <c r="U984" s="23" t="str">
        <f t="shared" si="75"/>
        <v/>
      </c>
      <c r="V984" s="23" t="str">
        <f t="shared" si="76"/>
        <v/>
      </c>
    </row>
    <row r="985" spans="5:22" x14ac:dyDescent="0.25">
      <c r="E985" s="21" t="str">
        <f t="shared" si="72"/>
        <v/>
      </c>
      <c r="F985" s="21"/>
      <c r="G985" s="21"/>
      <c r="H985" s="21"/>
      <c r="I985" s="21"/>
      <c r="J985" s="21"/>
      <c r="K985" s="21"/>
      <c r="L985" s="16" t="str">
        <f t="shared" ca="1" si="73"/>
        <v/>
      </c>
      <c r="M985" s="22" t="str">
        <f t="shared" ca="1" si="74"/>
        <v/>
      </c>
      <c r="U985" s="23" t="str">
        <f t="shared" si="75"/>
        <v/>
      </c>
      <c r="V985" s="23" t="str">
        <f t="shared" si="76"/>
        <v/>
      </c>
    </row>
    <row r="986" spans="5:22" x14ac:dyDescent="0.25">
      <c r="E986" s="21" t="str">
        <f t="shared" si="72"/>
        <v/>
      </c>
      <c r="F986" s="21"/>
      <c r="G986" s="21"/>
      <c r="H986" s="21"/>
      <c r="I986" s="21"/>
      <c r="J986" s="21"/>
      <c r="K986" s="21"/>
      <c r="L986" s="16" t="str">
        <f t="shared" ca="1" si="73"/>
        <v/>
      </c>
      <c r="M986" s="22" t="str">
        <f t="shared" ca="1" si="74"/>
        <v/>
      </c>
      <c r="U986" s="23" t="str">
        <f t="shared" si="75"/>
        <v/>
      </c>
      <c r="V986" s="23" t="str">
        <f t="shared" si="76"/>
        <v/>
      </c>
    </row>
    <row r="987" spans="5:22" x14ac:dyDescent="0.25">
      <c r="E987" s="21" t="str">
        <f t="shared" si="72"/>
        <v/>
      </c>
      <c r="F987" s="21"/>
      <c r="G987" s="21"/>
      <c r="H987" s="21"/>
      <c r="I987" s="21"/>
      <c r="J987" s="21"/>
      <c r="K987" s="21"/>
      <c r="L987" s="16" t="str">
        <f t="shared" ca="1" si="73"/>
        <v/>
      </c>
      <c r="M987" s="22" t="str">
        <f t="shared" ca="1" si="74"/>
        <v/>
      </c>
      <c r="U987" s="23" t="str">
        <f t="shared" si="75"/>
        <v/>
      </c>
      <c r="V987" s="23" t="str">
        <f t="shared" si="76"/>
        <v/>
      </c>
    </row>
    <row r="988" spans="5:22" x14ac:dyDescent="0.25">
      <c r="E988" s="21" t="str">
        <f t="shared" si="72"/>
        <v/>
      </c>
      <c r="F988" s="21"/>
      <c r="G988" s="21"/>
      <c r="H988" s="21"/>
      <c r="I988" s="21"/>
      <c r="J988" s="21"/>
      <c r="K988" s="21"/>
      <c r="L988" s="16" t="str">
        <f t="shared" ca="1" si="73"/>
        <v/>
      </c>
      <c r="M988" s="22" t="str">
        <f t="shared" ca="1" si="74"/>
        <v/>
      </c>
      <c r="U988" s="23" t="str">
        <f t="shared" si="75"/>
        <v/>
      </c>
      <c r="V988" s="23" t="str">
        <f t="shared" si="76"/>
        <v/>
      </c>
    </row>
    <row r="989" spans="5:22" x14ac:dyDescent="0.25">
      <c r="E989" s="21" t="str">
        <f t="shared" si="72"/>
        <v/>
      </c>
      <c r="F989" s="21"/>
      <c r="G989" s="21"/>
      <c r="H989" s="21"/>
      <c r="I989" s="21"/>
      <c r="J989" s="21"/>
      <c r="K989" s="21"/>
      <c r="L989" s="16" t="str">
        <f t="shared" ca="1" si="73"/>
        <v/>
      </c>
      <c r="M989" s="22" t="str">
        <f t="shared" ca="1" si="74"/>
        <v/>
      </c>
      <c r="U989" s="23" t="str">
        <f t="shared" si="75"/>
        <v/>
      </c>
      <c r="V989" s="23" t="str">
        <f t="shared" si="76"/>
        <v/>
      </c>
    </row>
    <row r="990" spans="5:22" x14ac:dyDescent="0.25">
      <c r="E990" s="21" t="str">
        <f t="shared" si="72"/>
        <v/>
      </c>
      <c r="F990" s="21"/>
      <c r="G990" s="21"/>
      <c r="H990" s="21"/>
      <c r="I990" s="21"/>
      <c r="J990" s="21"/>
      <c r="K990" s="21"/>
      <c r="L990" s="16" t="str">
        <f t="shared" ca="1" si="73"/>
        <v/>
      </c>
      <c r="M990" s="22" t="str">
        <f t="shared" ca="1" si="74"/>
        <v/>
      </c>
      <c r="U990" s="23" t="str">
        <f t="shared" si="75"/>
        <v/>
      </c>
      <c r="V990" s="23" t="str">
        <f t="shared" si="76"/>
        <v/>
      </c>
    </row>
    <row r="991" spans="5:22" x14ac:dyDescent="0.25">
      <c r="E991" s="21" t="str">
        <f t="shared" si="72"/>
        <v/>
      </c>
      <c r="F991" s="21"/>
      <c r="G991" s="21"/>
      <c r="H991" s="21"/>
      <c r="I991" s="21"/>
      <c r="J991" s="21"/>
      <c r="K991" s="21"/>
      <c r="L991" s="16" t="str">
        <f t="shared" ca="1" si="73"/>
        <v/>
      </c>
      <c r="M991" s="22" t="str">
        <f t="shared" ca="1" si="74"/>
        <v/>
      </c>
      <c r="U991" s="23" t="str">
        <f t="shared" si="75"/>
        <v/>
      </c>
      <c r="V991" s="23" t="str">
        <f t="shared" si="76"/>
        <v/>
      </c>
    </row>
    <row r="992" spans="5:22" x14ac:dyDescent="0.25">
      <c r="E992" s="21" t="str">
        <f t="shared" si="72"/>
        <v/>
      </c>
      <c r="F992" s="21"/>
      <c r="G992" s="21"/>
      <c r="H992" s="21"/>
      <c r="I992" s="21"/>
      <c r="J992" s="21"/>
      <c r="K992" s="21"/>
      <c r="L992" s="16" t="str">
        <f t="shared" ca="1" si="73"/>
        <v/>
      </c>
      <c r="M992" s="22" t="str">
        <f t="shared" ca="1" si="74"/>
        <v/>
      </c>
      <c r="U992" s="23" t="str">
        <f t="shared" si="75"/>
        <v/>
      </c>
      <c r="V992" s="23" t="str">
        <f t="shared" si="76"/>
        <v/>
      </c>
    </row>
    <row r="993" spans="5:22" x14ac:dyDescent="0.25">
      <c r="E993" s="21" t="str">
        <f t="shared" si="72"/>
        <v/>
      </c>
      <c r="F993" s="21"/>
      <c r="G993" s="21"/>
      <c r="H993" s="21"/>
      <c r="I993" s="21"/>
      <c r="J993" s="21"/>
      <c r="K993" s="21"/>
      <c r="L993" s="16" t="str">
        <f t="shared" ca="1" si="73"/>
        <v/>
      </c>
      <c r="M993" s="22" t="str">
        <f t="shared" ca="1" si="74"/>
        <v/>
      </c>
      <c r="U993" s="23" t="str">
        <f t="shared" si="75"/>
        <v/>
      </c>
      <c r="V993" s="23" t="str">
        <f t="shared" si="76"/>
        <v/>
      </c>
    </row>
    <row r="994" spans="5:22" x14ac:dyDescent="0.25">
      <c r="E994" s="21" t="str">
        <f t="shared" si="72"/>
        <v/>
      </c>
      <c r="F994" s="21"/>
      <c r="G994" s="21"/>
      <c r="H994" s="21"/>
      <c r="I994" s="21"/>
      <c r="J994" s="21"/>
      <c r="K994" s="21"/>
      <c r="L994" s="16" t="str">
        <f t="shared" ca="1" si="73"/>
        <v/>
      </c>
      <c r="M994" s="22" t="str">
        <f t="shared" ca="1" si="74"/>
        <v/>
      </c>
      <c r="U994" s="23" t="str">
        <f t="shared" si="75"/>
        <v/>
      </c>
      <c r="V994" s="23" t="str">
        <f t="shared" si="76"/>
        <v/>
      </c>
    </row>
    <row r="995" spans="5:22" x14ac:dyDescent="0.25">
      <c r="E995" s="21" t="str">
        <f t="shared" si="72"/>
        <v/>
      </c>
      <c r="F995" s="21"/>
      <c r="G995" s="21"/>
      <c r="H995" s="21"/>
      <c r="I995" s="21"/>
      <c r="J995" s="21"/>
      <c r="K995" s="21"/>
      <c r="L995" s="16" t="str">
        <f t="shared" ca="1" si="73"/>
        <v/>
      </c>
      <c r="M995" s="22" t="str">
        <f t="shared" ca="1" si="74"/>
        <v/>
      </c>
      <c r="U995" s="23" t="str">
        <f t="shared" si="75"/>
        <v/>
      </c>
      <c r="V995" s="23" t="str">
        <f t="shared" si="76"/>
        <v/>
      </c>
    </row>
    <row r="996" spans="5:22" x14ac:dyDescent="0.25">
      <c r="E996" s="21" t="str">
        <f t="shared" si="72"/>
        <v/>
      </c>
      <c r="F996" s="21"/>
      <c r="G996" s="21"/>
      <c r="H996" s="21"/>
      <c r="I996" s="21"/>
      <c r="J996" s="21"/>
      <c r="K996" s="21"/>
      <c r="L996" s="16" t="str">
        <f t="shared" ca="1" si="73"/>
        <v/>
      </c>
      <c r="M996" s="22" t="str">
        <f t="shared" ca="1" si="74"/>
        <v/>
      </c>
      <c r="U996" s="23" t="str">
        <f t="shared" si="75"/>
        <v/>
      </c>
      <c r="V996" s="23" t="str">
        <f t="shared" si="76"/>
        <v/>
      </c>
    </row>
    <row r="997" spans="5:22" x14ac:dyDescent="0.25">
      <c r="E997" s="21" t="str">
        <f t="shared" ref="E997:E1060" si="77">IF(ISNUMBER(SEARCH("v crs",D997))=TRUE,"VC",IF(ISNUMBER(SEARCH("crs",D997))=TRUE,"C",IF(ISNUMBER(SEARCH("med",D997))=TRUE,"M",IF(ISNUMBER(SEARCH("vf",D997))=TRUE,"VF",IF(ISNUMBER(SEARCH("f",D997))=TRUE,"F","")))))</f>
        <v/>
      </c>
      <c r="F997" s="21"/>
      <c r="G997" s="21"/>
      <c r="H997" s="21"/>
      <c r="I997" s="21"/>
      <c r="J997" s="21"/>
      <c r="K997" s="21"/>
      <c r="L997" s="16" t="str">
        <f t="shared" ca="1" si="73"/>
        <v/>
      </c>
      <c r="M997" s="22" t="str">
        <f t="shared" ca="1" si="74"/>
        <v/>
      </c>
      <c r="U997" s="23" t="str">
        <f t="shared" si="75"/>
        <v/>
      </c>
      <c r="V997" s="23" t="str">
        <f t="shared" si="76"/>
        <v/>
      </c>
    </row>
    <row r="998" spans="5:22" x14ac:dyDescent="0.25">
      <c r="E998" s="21" t="str">
        <f t="shared" si="77"/>
        <v/>
      </c>
      <c r="F998" s="21"/>
      <c r="G998" s="21"/>
      <c r="H998" s="21"/>
      <c r="I998" s="21"/>
      <c r="J998" s="21"/>
      <c r="K998" s="21"/>
      <c r="L998" s="16" t="str">
        <f t="shared" ca="1" si="73"/>
        <v/>
      </c>
      <c r="M998" s="22" t="str">
        <f t="shared" ca="1" si="74"/>
        <v/>
      </c>
      <c r="U998" s="23" t="str">
        <f t="shared" si="75"/>
        <v/>
      </c>
      <c r="V998" s="23" t="str">
        <f t="shared" si="76"/>
        <v/>
      </c>
    </row>
    <row r="999" spans="5:22" x14ac:dyDescent="0.25">
      <c r="E999" s="21" t="str">
        <f t="shared" si="77"/>
        <v/>
      </c>
      <c r="F999" s="21"/>
      <c r="G999" s="21"/>
      <c r="H999" s="21"/>
      <c r="I999" s="21"/>
      <c r="J999" s="21"/>
      <c r="K999" s="21"/>
      <c r="L999" s="16" t="str">
        <f t="shared" ca="1" si="73"/>
        <v/>
      </c>
      <c r="M999" s="22" t="str">
        <f t="shared" ca="1" si="74"/>
        <v/>
      </c>
      <c r="U999" s="23" t="str">
        <f t="shared" si="75"/>
        <v/>
      </c>
      <c r="V999" s="23" t="str">
        <f t="shared" si="76"/>
        <v/>
      </c>
    </row>
    <row r="1000" spans="5:22" x14ac:dyDescent="0.25">
      <c r="E1000" s="21" t="str">
        <f t="shared" si="77"/>
        <v/>
      </c>
      <c r="F1000" s="21"/>
      <c r="G1000" s="21"/>
      <c r="H1000" s="21"/>
      <c r="I1000" s="21"/>
      <c r="J1000" s="21"/>
      <c r="K1000" s="21"/>
      <c r="L1000" s="16" t="str">
        <f t="shared" ca="1" si="73"/>
        <v/>
      </c>
      <c r="M1000" s="22" t="str">
        <f t="shared" ca="1" si="74"/>
        <v/>
      </c>
      <c r="U1000" s="23" t="str">
        <f t="shared" si="75"/>
        <v/>
      </c>
      <c r="V1000" s="23" t="str">
        <f t="shared" si="76"/>
        <v/>
      </c>
    </row>
    <row r="1001" spans="5:22" x14ac:dyDescent="0.25">
      <c r="E1001" s="21" t="str">
        <f t="shared" si="77"/>
        <v/>
      </c>
      <c r="F1001" s="21"/>
      <c r="G1001" s="21"/>
      <c r="H1001" s="21"/>
      <c r="I1001" s="21"/>
      <c r="J1001" s="21"/>
      <c r="K1001" s="21"/>
      <c r="L1001" s="16" t="str">
        <f t="shared" ca="1" si="73"/>
        <v/>
      </c>
      <c r="M1001" s="22" t="str">
        <f t="shared" ca="1" si="74"/>
        <v/>
      </c>
      <c r="U1001" s="23" t="str">
        <f t="shared" si="75"/>
        <v/>
      </c>
      <c r="V1001" s="23" t="str">
        <f t="shared" si="76"/>
        <v/>
      </c>
    </row>
    <row r="1002" spans="5:22" x14ac:dyDescent="0.25">
      <c r="E1002" s="21" t="str">
        <f t="shared" si="77"/>
        <v/>
      </c>
      <c r="F1002" s="21"/>
      <c r="G1002" s="21"/>
      <c r="H1002" s="21"/>
      <c r="I1002" s="21"/>
      <c r="J1002" s="21"/>
      <c r="K1002" s="21"/>
      <c r="L1002" s="16" t="str">
        <f t="shared" ca="1" si="73"/>
        <v/>
      </c>
      <c r="M1002" s="22" t="str">
        <f t="shared" ca="1" si="74"/>
        <v/>
      </c>
      <c r="U1002" s="23" t="str">
        <f t="shared" si="75"/>
        <v/>
      </c>
      <c r="V1002" s="23" t="str">
        <f t="shared" si="76"/>
        <v/>
      </c>
    </row>
    <row r="1003" spans="5:22" x14ac:dyDescent="0.25">
      <c r="E1003" s="21" t="str">
        <f t="shared" si="77"/>
        <v/>
      </c>
      <c r="F1003" s="21"/>
      <c r="G1003" s="21"/>
      <c r="H1003" s="21"/>
      <c r="I1003" s="21"/>
      <c r="J1003" s="21"/>
      <c r="K1003" s="21"/>
      <c r="L1003" s="16" t="str">
        <f t="shared" ca="1" si="73"/>
        <v/>
      </c>
      <c r="M1003" s="22" t="str">
        <f t="shared" ca="1" si="74"/>
        <v/>
      </c>
      <c r="U1003" s="23" t="str">
        <f t="shared" si="75"/>
        <v/>
      </c>
      <c r="V1003" s="23" t="str">
        <f t="shared" si="76"/>
        <v/>
      </c>
    </row>
    <row r="1004" spans="5:22" x14ac:dyDescent="0.25">
      <c r="E1004" s="21" t="str">
        <f t="shared" si="77"/>
        <v/>
      </c>
      <c r="F1004" s="21"/>
      <c r="G1004" s="21"/>
      <c r="H1004" s="21"/>
      <c r="I1004" s="21"/>
      <c r="J1004" s="21"/>
      <c r="K1004" s="21"/>
      <c r="L1004" s="16" t="str">
        <f t="shared" ca="1" si="73"/>
        <v/>
      </c>
      <c r="M1004" s="22" t="str">
        <f t="shared" ca="1" si="74"/>
        <v/>
      </c>
      <c r="U1004" s="23" t="str">
        <f t="shared" si="75"/>
        <v/>
      </c>
      <c r="V1004" s="23" t="str">
        <f t="shared" si="76"/>
        <v/>
      </c>
    </row>
    <row r="1005" spans="5:22" x14ac:dyDescent="0.25">
      <c r="E1005" s="21" t="str">
        <f t="shared" si="77"/>
        <v/>
      </c>
      <c r="F1005" s="21"/>
      <c r="G1005" s="21"/>
      <c r="H1005" s="21"/>
      <c r="I1005" s="21"/>
      <c r="J1005" s="21"/>
      <c r="K1005" s="21"/>
      <c r="L1005" s="16" t="str">
        <f t="shared" ca="1" si="73"/>
        <v/>
      </c>
      <c r="M1005" s="22" t="str">
        <f t="shared" ca="1" si="74"/>
        <v/>
      </c>
      <c r="U1005" s="23" t="str">
        <f t="shared" si="75"/>
        <v/>
      </c>
      <c r="V1005" s="23" t="str">
        <f t="shared" si="76"/>
        <v/>
      </c>
    </row>
    <row r="1006" spans="5:22" x14ac:dyDescent="0.25">
      <c r="E1006" s="21" t="str">
        <f t="shared" si="77"/>
        <v/>
      </c>
      <c r="F1006" s="21"/>
      <c r="G1006" s="21"/>
      <c r="H1006" s="21"/>
      <c r="I1006" s="21"/>
      <c r="J1006" s="21"/>
      <c r="K1006" s="21"/>
      <c r="L1006" s="16" t="str">
        <f t="shared" ca="1" si="73"/>
        <v/>
      </c>
      <c r="M1006" s="22" t="str">
        <f t="shared" ca="1" si="74"/>
        <v/>
      </c>
      <c r="U1006" s="23" t="str">
        <f t="shared" si="75"/>
        <v/>
      </c>
      <c r="V1006" s="23" t="str">
        <f t="shared" si="76"/>
        <v/>
      </c>
    </row>
    <row r="1007" spans="5:22" x14ac:dyDescent="0.25">
      <c r="E1007" s="21" t="str">
        <f t="shared" si="77"/>
        <v/>
      </c>
      <c r="F1007" s="21"/>
      <c r="G1007" s="21"/>
      <c r="H1007" s="21"/>
      <c r="I1007" s="21"/>
      <c r="J1007" s="21"/>
      <c r="K1007" s="21"/>
      <c r="L1007" s="16" t="str">
        <f t="shared" ca="1" si="73"/>
        <v/>
      </c>
      <c r="M1007" s="22" t="str">
        <f t="shared" ca="1" si="74"/>
        <v/>
      </c>
      <c r="U1007" s="23" t="str">
        <f t="shared" si="75"/>
        <v/>
      </c>
      <c r="V1007" s="23" t="str">
        <f t="shared" si="76"/>
        <v/>
      </c>
    </row>
    <row r="1008" spans="5:22" x14ac:dyDescent="0.25">
      <c r="E1008" s="21" t="str">
        <f t="shared" si="77"/>
        <v/>
      </c>
      <c r="F1008" s="21"/>
      <c r="G1008" s="21"/>
      <c r="H1008" s="21"/>
      <c r="I1008" s="21"/>
      <c r="J1008" s="21"/>
      <c r="K1008" s="21"/>
      <c r="L1008" s="16" t="str">
        <f t="shared" ca="1" si="73"/>
        <v/>
      </c>
      <c r="M1008" s="22" t="str">
        <f t="shared" ca="1" si="74"/>
        <v/>
      </c>
      <c r="U1008" s="23" t="str">
        <f t="shared" si="75"/>
        <v/>
      </c>
      <c r="V1008" s="23" t="str">
        <f t="shared" si="76"/>
        <v/>
      </c>
    </row>
    <row r="1009" spans="5:22" x14ac:dyDescent="0.25">
      <c r="E1009" s="21" t="str">
        <f t="shared" si="77"/>
        <v/>
      </c>
      <c r="F1009" s="21"/>
      <c r="G1009" s="21"/>
      <c r="H1009" s="21"/>
      <c r="I1009" s="21"/>
      <c r="J1009" s="21"/>
      <c r="K1009" s="21"/>
      <c r="L1009" s="16" t="str">
        <f t="shared" ca="1" si="73"/>
        <v/>
      </c>
      <c r="M1009" s="22" t="str">
        <f t="shared" ca="1" si="74"/>
        <v/>
      </c>
      <c r="U1009" s="23" t="str">
        <f t="shared" si="75"/>
        <v/>
      </c>
      <c r="V1009" s="23" t="str">
        <f t="shared" si="76"/>
        <v/>
      </c>
    </row>
    <row r="1010" spans="5:22" x14ac:dyDescent="0.25">
      <c r="E1010" s="21" t="str">
        <f t="shared" si="77"/>
        <v/>
      </c>
      <c r="F1010" s="21"/>
      <c r="G1010" s="21"/>
      <c r="H1010" s="21"/>
      <c r="I1010" s="21"/>
      <c r="J1010" s="21"/>
      <c r="K1010" s="21"/>
      <c r="L1010" s="16" t="str">
        <f t="shared" ca="1" si="73"/>
        <v/>
      </c>
      <c r="M1010" s="22" t="str">
        <f t="shared" ca="1" si="74"/>
        <v/>
      </c>
      <c r="U1010" s="23" t="str">
        <f t="shared" si="75"/>
        <v/>
      </c>
      <c r="V1010" s="23" t="str">
        <f t="shared" si="76"/>
        <v/>
      </c>
    </row>
    <row r="1011" spans="5:22" x14ac:dyDescent="0.25">
      <c r="E1011" s="21" t="str">
        <f t="shared" si="77"/>
        <v/>
      </c>
      <c r="F1011" s="21"/>
      <c r="G1011" s="21"/>
      <c r="H1011" s="21"/>
      <c r="I1011" s="21"/>
      <c r="J1011" s="21"/>
      <c r="K1011" s="21"/>
      <c r="L1011" s="16" t="str">
        <f t="shared" ca="1" si="73"/>
        <v/>
      </c>
      <c r="M1011" s="22" t="str">
        <f t="shared" ca="1" si="74"/>
        <v/>
      </c>
      <c r="U1011" s="23" t="str">
        <f t="shared" si="75"/>
        <v/>
      </c>
      <c r="V1011" s="23" t="str">
        <f t="shared" si="76"/>
        <v/>
      </c>
    </row>
    <row r="1012" spans="5:22" x14ac:dyDescent="0.25">
      <c r="E1012" s="21" t="str">
        <f t="shared" si="77"/>
        <v/>
      </c>
      <c r="F1012" s="21"/>
      <c r="G1012" s="21"/>
      <c r="H1012" s="21"/>
      <c r="I1012" s="21"/>
      <c r="J1012" s="21"/>
      <c r="K1012" s="21"/>
      <c r="L1012" s="16" t="str">
        <f t="shared" ca="1" si="73"/>
        <v/>
      </c>
      <c r="M1012" s="22" t="str">
        <f t="shared" ca="1" si="74"/>
        <v/>
      </c>
      <c r="U1012" s="23" t="str">
        <f t="shared" si="75"/>
        <v/>
      </c>
      <c r="V1012" s="23" t="str">
        <f t="shared" si="76"/>
        <v/>
      </c>
    </row>
    <row r="1013" spans="5:22" x14ac:dyDescent="0.25">
      <c r="E1013" s="21" t="str">
        <f t="shared" si="77"/>
        <v/>
      </c>
      <c r="F1013" s="21"/>
      <c r="G1013" s="21"/>
      <c r="H1013" s="21"/>
      <c r="I1013" s="21"/>
      <c r="J1013" s="21"/>
      <c r="K1013" s="21"/>
      <c r="L1013" s="16" t="str">
        <f t="shared" ca="1" si="73"/>
        <v/>
      </c>
      <c r="M1013" s="22" t="str">
        <f t="shared" ca="1" si="74"/>
        <v/>
      </c>
      <c r="U1013" s="23" t="str">
        <f t="shared" si="75"/>
        <v/>
      </c>
      <c r="V1013" s="23" t="str">
        <f t="shared" si="76"/>
        <v/>
      </c>
    </row>
    <row r="1014" spans="5:22" x14ac:dyDescent="0.25">
      <c r="E1014" s="21" t="str">
        <f t="shared" si="77"/>
        <v/>
      </c>
      <c r="F1014" s="21"/>
      <c r="G1014" s="21"/>
      <c r="H1014" s="21"/>
      <c r="I1014" s="21"/>
      <c r="J1014" s="21"/>
      <c r="K1014" s="21"/>
      <c r="L1014" s="16" t="str">
        <f t="shared" ca="1" si="73"/>
        <v/>
      </c>
      <c r="M1014" s="22" t="str">
        <f t="shared" ca="1" si="74"/>
        <v/>
      </c>
      <c r="U1014" s="23" t="str">
        <f t="shared" si="75"/>
        <v/>
      </c>
      <c r="V1014" s="23" t="str">
        <f t="shared" si="76"/>
        <v/>
      </c>
    </row>
    <row r="1015" spans="5:22" x14ac:dyDescent="0.25">
      <c r="E1015" s="21" t="str">
        <f t="shared" si="77"/>
        <v/>
      </c>
      <c r="F1015" s="21"/>
      <c r="G1015" s="21"/>
      <c r="H1015" s="21"/>
      <c r="I1015" s="21"/>
      <c r="J1015" s="21"/>
      <c r="K1015" s="21"/>
      <c r="L1015" s="16" t="str">
        <f t="shared" ca="1" si="73"/>
        <v/>
      </c>
      <c r="M1015" s="22" t="str">
        <f t="shared" ca="1" si="74"/>
        <v/>
      </c>
      <c r="U1015" s="23" t="str">
        <f t="shared" si="75"/>
        <v/>
      </c>
      <c r="V1015" s="23" t="str">
        <f t="shared" si="76"/>
        <v/>
      </c>
    </row>
    <row r="1016" spans="5:22" x14ac:dyDescent="0.25">
      <c r="E1016" s="21" t="str">
        <f t="shared" si="77"/>
        <v/>
      </c>
      <c r="F1016" s="21"/>
      <c r="G1016" s="21"/>
      <c r="H1016" s="21"/>
      <c r="I1016" s="21"/>
      <c r="J1016" s="21"/>
      <c r="K1016" s="21"/>
      <c r="L1016" s="16" t="str">
        <f t="shared" ca="1" si="73"/>
        <v/>
      </c>
      <c r="M1016" s="22" t="str">
        <f t="shared" ca="1" si="74"/>
        <v/>
      </c>
      <c r="U1016" s="23" t="str">
        <f t="shared" si="75"/>
        <v/>
      </c>
      <c r="V1016" s="23" t="str">
        <f t="shared" si="76"/>
        <v/>
      </c>
    </row>
    <row r="1017" spans="5:22" x14ac:dyDescent="0.25">
      <c r="E1017" s="21" t="str">
        <f t="shared" si="77"/>
        <v/>
      </c>
      <c r="F1017" s="21"/>
      <c r="G1017" s="21"/>
      <c r="H1017" s="21"/>
      <c r="I1017" s="21"/>
      <c r="J1017" s="21"/>
      <c r="K1017" s="21"/>
      <c r="L1017" s="16" t="str">
        <f t="shared" ca="1" si="73"/>
        <v/>
      </c>
      <c r="M1017" s="22" t="str">
        <f t="shared" ca="1" si="74"/>
        <v/>
      </c>
      <c r="U1017" s="23" t="str">
        <f t="shared" si="75"/>
        <v/>
      </c>
      <c r="V1017" s="23" t="str">
        <f t="shared" si="76"/>
        <v/>
      </c>
    </row>
    <row r="1018" spans="5:22" x14ac:dyDescent="0.25">
      <c r="E1018" s="21" t="str">
        <f t="shared" si="77"/>
        <v/>
      </c>
      <c r="F1018" s="21"/>
      <c r="G1018" s="21"/>
      <c r="H1018" s="21"/>
      <c r="I1018" s="21"/>
      <c r="J1018" s="21"/>
      <c r="K1018" s="21"/>
      <c r="L1018" s="16" t="str">
        <f t="shared" ca="1" si="73"/>
        <v/>
      </c>
      <c r="M1018" s="22" t="str">
        <f t="shared" ca="1" si="74"/>
        <v/>
      </c>
      <c r="U1018" s="23" t="str">
        <f t="shared" si="75"/>
        <v/>
      </c>
      <c r="V1018" s="23" t="str">
        <f t="shared" si="76"/>
        <v/>
      </c>
    </row>
    <row r="1019" spans="5:22" x14ac:dyDescent="0.25">
      <c r="E1019" s="21" t="str">
        <f t="shared" si="77"/>
        <v/>
      </c>
      <c r="F1019" s="21"/>
      <c r="G1019" s="21"/>
      <c r="H1019" s="21"/>
      <c r="I1019" s="21"/>
      <c r="J1019" s="21"/>
      <c r="K1019" s="21"/>
      <c r="L1019" s="16" t="str">
        <f t="shared" ca="1" si="73"/>
        <v/>
      </c>
      <c r="M1019" s="22" t="str">
        <f t="shared" ca="1" si="74"/>
        <v/>
      </c>
      <c r="U1019" s="23" t="str">
        <f t="shared" si="75"/>
        <v/>
      </c>
      <c r="V1019" s="23" t="str">
        <f t="shared" si="76"/>
        <v/>
      </c>
    </row>
    <row r="1020" spans="5:22" x14ac:dyDescent="0.25">
      <c r="E1020" s="21" t="str">
        <f t="shared" si="77"/>
        <v/>
      </c>
      <c r="F1020" s="21"/>
      <c r="G1020" s="21"/>
      <c r="H1020" s="21"/>
      <c r="I1020" s="21"/>
      <c r="J1020" s="21"/>
      <c r="K1020" s="21"/>
      <c r="L1020" s="16" t="str">
        <f t="shared" ca="1" si="73"/>
        <v/>
      </c>
      <c r="M1020" s="22" t="str">
        <f t="shared" ca="1" si="74"/>
        <v/>
      </c>
      <c r="U1020" s="23" t="str">
        <f t="shared" si="75"/>
        <v/>
      </c>
      <c r="V1020" s="23" t="str">
        <f t="shared" si="76"/>
        <v/>
      </c>
    </row>
    <row r="1021" spans="5:22" x14ac:dyDescent="0.25">
      <c r="E1021" s="21" t="str">
        <f t="shared" si="77"/>
        <v/>
      </c>
      <c r="F1021" s="21"/>
      <c r="G1021" s="21"/>
      <c r="H1021" s="21"/>
      <c r="I1021" s="21"/>
      <c r="J1021" s="21"/>
      <c r="K1021" s="21"/>
      <c r="L1021" s="16" t="str">
        <f t="shared" ref="L1021:L1084" ca="1" si="78">IF(AND(C1021&lt;&gt;"",C1021&lt;&gt;U1021),TODAY(),IF(C1021="","",L1021))</f>
        <v/>
      </c>
      <c r="M1021" s="22" t="str">
        <f t="shared" ref="M1021:M1084" ca="1" si="79">IF(AND(C1021&lt;&gt;"",C1021&lt;&gt;V1021),NOW(),IF(C1021="","",M1021))</f>
        <v/>
      </c>
      <c r="U1021" s="23" t="str">
        <f t="shared" si="75"/>
        <v/>
      </c>
      <c r="V1021" s="23" t="str">
        <f t="shared" si="76"/>
        <v/>
      </c>
    </row>
    <row r="1022" spans="5:22" x14ac:dyDescent="0.25">
      <c r="E1022" s="21" t="str">
        <f t="shared" si="77"/>
        <v/>
      </c>
      <c r="F1022" s="21"/>
      <c r="G1022" s="21"/>
      <c r="H1022" s="21"/>
      <c r="I1022" s="21"/>
      <c r="J1022" s="21"/>
      <c r="K1022" s="21"/>
      <c r="L1022" s="16" t="str">
        <f t="shared" ca="1" si="78"/>
        <v/>
      </c>
      <c r="M1022" s="22" t="str">
        <f t="shared" ca="1" si="79"/>
        <v/>
      </c>
      <c r="U1022" s="23" t="str">
        <f t="shared" si="75"/>
        <v/>
      </c>
      <c r="V1022" s="23" t="str">
        <f t="shared" si="76"/>
        <v/>
      </c>
    </row>
    <row r="1023" spans="5:22" x14ac:dyDescent="0.25">
      <c r="E1023" s="21" t="str">
        <f t="shared" si="77"/>
        <v/>
      </c>
      <c r="F1023" s="21"/>
      <c r="G1023" s="21"/>
      <c r="H1023" s="21"/>
      <c r="I1023" s="21"/>
      <c r="J1023" s="21"/>
      <c r="K1023" s="21"/>
      <c r="L1023" s="16" t="str">
        <f t="shared" ca="1" si="78"/>
        <v/>
      </c>
      <c r="M1023" s="22" t="str">
        <f t="shared" ca="1" si="79"/>
        <v/>
      </c>
      <c r="U1023" s="23" t="str">
        <f t="shared" si="75"/>
        <v/>
      </c>
      <c r="V1023" s="23" t="str">
        <f t="shared" si="76"/>
        <v/>
      </c>
    </row>
    <row r="1024" spans="5:22" x14ac:dyDescent="0.25">
      <c r="E1024" s="21" t="str">
        <f t="shared" si="77"/>
        <v/>
      </c>
      <c r="F1024" s="21"/>
      <c r="G1024" s="21"/>
      <c r="H1024" s="21"/>
      <c r="I1024" s="21"/>
      <c r="J1024" s="21"/>
      <c r="K1024" s="21"/>
      <c r="L1024" s="16" t="str">
        <f t="shared" ca="1" si="78"/>
        <v/>
      </c>
      <c r="M1024" s="22" t="str">
        <f t="shared" ca="1" si="79"/>
        <v/>
      </c>
      <c r="U1024" s="23" t="str">
        <f t="shared" si="75"/>
        <v/>
      </c>
      <c r="V1024" s="23" t="str">
        <f t="shared" si="76"/>
        <v/>
      </c>
    </row>
    <row r="1025" spans="5:22" x14ac:dyDescent="0.25">
      <c r="E1025" s="21" t="str">
        <f t="shared" si="77"/>
        <v/>
      </c>
      <c r="F1025" s="21"/>
      <c r="G1025" s="21"/>
      <c r="H1025" s="21"/>
      <c r="I1025" s="21"/>
      <c r="J1025" s="21"/>
      <c r="K1025" s="21"/>
      <c r="L1025" s="16" t="str">
        <f t="shared" ca="1" si="78"/>
        <v/>
      </c>
      <c r="M1025" s="22" t="str">
        <f t="shared" ca="1" si="79"/>
        <v/>
      </c>
      <c r="U1025" s="23" t="str">
        <f t="shared" si="75"/>
        <v/>
      </c>
      <c r="V1025" s="23" t="str">
        <f t="shared" si="76"/>
        <v/>
      </c>
    </row>
    <row r="1026" spans="5:22" x14ac:dyDescent="0.25">
      <c r="E1026" s="21" t="str">
        <f t="shared" si="77"/>
        <v/>
      </c>
      <c r="F1026" s="21"/>
      <c r="G1026" s="21"/>
      <c r="H1026" s="21"/>
      <c r="I1026" s="21"/>
      <c r="J1026" s="21"/>
      <c r="K1026" s="21"/>
      <c r="L1026" s="16" t="str">
        <f t="shared" ca="1" si="78"/>
        <v/>
      </c>
      <c r="M1026" s="22" t="str">
        <f t="shared" ca="1" si="79"/>
        <v/>
      </c>
      <c r="U1026" s="23" t="str">
        <f t="shared" si="75"/>
        <v/>
      </c>
      <c r="V1026" s="23" t="str">
        <f t="shared" si="76"/>
        <v/>
      </c>
    </row>
    <row r="1027" spans="5:22" x14ac:dyDescent="0.25">
      <c r="E1027" s="21" t="str">
        <f t="shared" si="77"/>
        <v/>
      </c>
      <c r="F1027" s="21"/>
      <c r="G1027" s="21"/>
      <c r="H1027" s="21"/>
      <c r="I1027" s="21"/>
      <c r="J1027" s="21"/>
      <c r="K1027" s="21"/>
      <c r="L1027" s="16" t="str">
        <f t="shared" ca="1" si="78"/>
        <v/>
      </c>
      <c r="M1027" s="22" t="str">
        <f t="shared" ca="1" si="79"/>
        <v/>
      </c>
      <c r="U1027" s="23" t="str">
        <f t="shared" si="75"/>
        <v/>
      </c>
      <c r="V1027" s="23" t="str">
        <f t="shared" si="76"/>
        <v/>
      </c>
    </row>
    <row r="1028" spans="5:22" x14ac:dyDescent="0.25">
      <c r="E1028" s="21" t="str">
        <f t="shared" si="77"/>
        <v/>
      </c>
      <c r="F1028" s="21"/>
      <c r="G1028" s="21"/>
      <c r="H1028" s="21"/>
      <c r="I1028" s="21"/>
      <c r="J1028" s="21"/>
      <c r="K1028" s="21"/>
      <c r="L1028" s="16" t="str">
        <f t="shared" ca="1" si="78"/>
        <v/>
      </c>
      <c r="M1028" s="22" t="str">
        <f t="shared" ca="1" si="79"/>
        <v/>
      </c>
      <c r="U1028" s="23" t="str">
        <f t="shared" ref="U1028:U1091" si="80">IF(C1028="","",IF(OR(L1028="",AND(ISNUMBER(U1028),C1028=U1028)),U1028,C1028))</f>
        <v/>
      </c>
      <c r="V1028" s="23" t="str">
        <f t="shared" ref="V1028:V1091" si="81">IF(C1028="","",IF(OR(M1028="",AND(ISNUMBER(V1028),C1028=V1028)),V1028,C1028))</f>
        <v/>
      </c>
    </row>
    <row r="1029" spans="5:22" x14ac:dyDescent="0.25">
      <c r="E1029" s="21" t="str">
        <f t="shared" si="77"/>
        <v/>
      </c>
      <c r="F1029" s="21"/>
      <c r="G1029" s="21"/>
      <c r="H1029" s="21"/>
      <c r="I1029" s="21"/>
      <c r="J1029" s="21"/>
      <c r="K1029" s="21"/>
      <c r="L1029" s="16" t="str">
        <f t="shared" ca="1" si="78"/>
        <v/>
      </c>
      <c r="M1029" s="22" t="str">
        <f t="shared" ca="1" si="79"/>
        <v/>
      </c>
      <c r="U1029" s="23" t="str">
        <f t="shared" si="80"/>
        <v/>
      </c>
      <c r="V1029" s="23" t="str">
        <f t="shared" si="81"/>
        <v/>
      </c>
    </row>
    <row r="1030" spans="5:22" x14ac:dyDescent="0.25">
      <c r="E1030" s="21" t="str">
        <f t="shared" si="77"/>
        <v/>
      </c>
      <c r="F1030" s="21"/>
      <c r="G1030" s="21"/>
      <c r="H1030" s="21"/>
      <c r="I1030" s="21"/>
      <c r="J1030" s="21"/>
      <c r="K1030" s="21"/>
      <c r="L1030" s="16" t="str">
        <f t="shared" ca="1" si="78"/>
        <v/>
      </c>
      <c r="M1030" s="22" t="str">
        <f t="shared" ca="1" si="79"/>
        <v/>
      </c>
      <c r="U1030" s="23" t="str">
        <f t="shared" si="80"/>
        <v/>
      </c>
      <c r="V1030" s="23" t="str">
        <f t="shared" si="81"/>
        <v/>
      </c>
    </row>
    <row r="1031" spans="5:22" x14ac:dyDescent="0.25">
      <c r="E1031" s="21" t="str">
        <f t="shared" si="77"/>
        <v/>
      </c>
      <c r="F1031" s="21"/>
      <c r="G1031" s="21"/>
      <c r="H1031" s="21"/>
      <c r="I1031" s="21"/>
      <c r="J1031" s="21"/>
      <c r="K1031" s="21"/>
      <c r="L1031" s="16" t="str">
        <f t="shared" ca="1" si="78"/>
        <v/>
      </c>
      <c r="M1031" s="22" t="str">
        <f t="shared" ca="1" si="79"/>
        <v/>
      </c>
      <c r="U1031" s="23" t="str">
        <f t="shared" si="80"/>
        <v/>
      </c>
      <c r="V1031" s="23" t="str">
        <f t="shared" si="81"/>
        <v/>
      </c>
    </row>
    <row r="1032" spans="5:22" x14ac:dyDescent="0.25">
      <c r="E1032" s="21" t="str">
        <f t="shared" si="77"/>
        <v/>
      </c>
      <c r="F1032" s="21"/>
      <c r="G1032" s="21"/>
      <c r="H1032" s="21"/>
      <c r="I1032" s="21"/>
      <c r="J1032" s="21"/>
      <c r="K1032" s="21"/>
      <c r="L1032" s="16" t="str">
        <f t="shared" ca="1" si="78"/>
        <v/>
      </c>
      <c r="M1032" s="22" t="str">
        <f t="shared" ca="1" si="79"/>
        <v/>
      </c>
      <c r="U1032" s="23" t="str">
        <f t="shared" si="80"/>
        <v/>
      </c>
      <c r="V1032" s="23" t="str">
        <f t="shared" si="81"/>
        <v/>
      </c>
    </row>
    <row r="1033" spans="5:22" x14ac:dyDescent="0.25">
      <c r="E1033" s="21" t="str">
        <f t="shared" si="77"/>
        <v/>
      </c>
      <c r="F1033" s="21"/>
      <c r="G1033" s="21"/>
      <c r="H1033" s="21"/>
      <c r="I1033" s="21"/>
      <c r="J1033" s="21"/>
      <c r="K1033" s="21"/>
      <c r="L1033" s="16" t="str">
        <f t="shared" ca="1" si="78"/>
        <v/>
      </c>
      <c r="M1033" s="22" t="str">
        <f t="shared" ca="1" si="79"/>
        <v/>
      </c>
      <c r="U1033" s="23" t="str">
        <f t="shared" si="80"/>
        <v/>
      </c>
      <c r="V1033" s="23" t="str">
        <f t="shared" si="81"/>
        <v/>
      </c>
    </row>
    <row r="1034" spans="5:22" x14ac:dyDescent="0.25">
      <c r="E1034" s="21" t="str">
        <f t="shared" si="77"/>
        <v/>
      </c>
      <c r="F1034" s="21"/>
      <c r="G1034" s="21"/>
      <c r="H1034" s="21"/>
      <c r="I1034" s="21"/>
      <c r="J1034" s="21"/>
      <c r="K1034" s="21"/>
      <c r="L1034" s="16" t="str">
        <f t="shared" ca="1" si="78"/>
        <v/>
      </c>
      <c r="M1034" s="22" t="str">
        <f t="shared" ca="1" si="79"/>
        <v/>
      </c>
      <c r="U1034" s="23" t="str">
        <f t="shared" si="80"/>
        <v/>
      </c>
      <c r="V1034" s="23" t="str">
        <f t="shared" si="81"/>
        <v/>
      </c>
    </row>
    <row r="1035" spans="5:22" x14ac:dyDescent="0.25">
      <c r="E1035" s="21" t="str">
        <f t="shared" si="77"/>
        <v/>
      </c>
      <c r="F1035" s="21"/>
      <c r="G1035" s="21"/>
      <c r="H1035" s="21"/>
      <c r="I1035" s="21"/>
      <c r="J1035" s="21"/>
      <c r="K1035" s="21"/>
      <c r="L1035" s="16" t="str">
        <f t="shared" ca="1" si="78"/>
        <v/>
      </c>
      <c r="M1035" s="22" t="str">
        <f t="shared" ca="1" si="79"/>
        <v/>
      </c>
      <c r="U1035" s="23" t="str">
        <f t="shared" si="80"/>
        <v/>
      </c>
      <c r="V1035" s="23" t="str">
        <f t="shared" si="81"/>
        <v/>
      </c>
    </row>
    <row r="1036" spans="5:22" x14ac:dyDescent="0.25">
      <c r="E1036" s="21" t="str">
        <f t="shared" si="77"/>
        <v/>
      </c>
      <c r="F1036" s="21"/>
      <c r="G1036" s="21"/>
      <c r="H1036" s="21"/>
      <c r="I1036" s="21"/>
      <c r="J1036" s="21"/>
      <c r="K1036" s="21"/>
      <c r="L1036" s="16" t="str">
        <f t="shared" ca="1" si="78"/>
        <v/>
      </c>
      <c r="M1036" s="22" t="str">
        <f t="shared" ca="1" si="79"/>
        <v/>
      </c>
      <c r="U1036" s="23" t="str">
        <f t="shared" si="80"/>
        <v/>
      </c>
      <c r="V1036" s="23" t="str">
        <f t="shared" si="81"/>
        <v/>
      </c>
    </row>
    <row r="1037" spans="5:22" x14ac:dyDescent="0.25">
      <c r="E1037" s="21" t="str">
        <f t="shared" si="77"/>
        <v/>
      </c>
      <c r="F1037" s="21"/>
      <c r="G1037" s="21"/>
      <c r="H1037" s="21"/>
      <c r="I1037" s="21"/>
      <c r="J1037" s="21"/>
      <c r="K1037" s="21"/>
      <c r="L1037" s="16" t="str">
        <f t="shared" ca="1" si="78"/>
        <v/>
      </c>
      <c r="M1037" s="22" t="str">
        <f t="shared" ca="1" si="79"/>
        <v/>
      </c>
      <c r="U1037" s="23" t="str">
        <f t="shared" si="80"/>
        <v/>
      </c>
      <c r="V1037" s="23" t="str">
        <f t="shared" si="81"/>
        <v/>
      </c>
    </row>
    <row r="1038" spans="5:22" x14ac:dyDescent="0.25">
      <c r="E1038" s="21" t="str">
        <f t="shared" si="77"/>
        <v/>
      </c>
      <c r="F1038" s="21"/>
      <c r="G1038" s="21"/>
      <c r="H1038" s="21"/>
      <c r="I1038" s="21"/>
      <c r="J1038" s="21"/>
      <c r="K1038" s="21"/>
      <c r="L1038" s="16" t="str">
        <f t="shared" ca="1" si="78"/>
        <v/>
      </c>
      <c r="M1038" s="22" t="str">
        <f t="shared" ca="1" si="79"/>
        <v/>
      </c>
      <c r="U1038" s="23" t="str">
        <f t="shared" si="80"/>
        <v/>
      </c>
      <c r="V1038" s="23" t="str">
        <f t="shared" si="81"/>
        <v/>
      </c>
    </row>
    <row r="1039" spans="5:22" x14ac:dyDescent="0.25">
      <c r="E1039" s="21" t="str">
        <f t="shared" si="77"/>
        <v/>
      </c>
      <c r="F1039" s="21"/>
      <c r="G1039" s="21"/>
      <c r="H1039" s="21"/>
      <c r="I1039" s="21"/>
      <c r="J1039" s="21"/>
      <c r="K1039" s="21"/>
      <c r="L1039" s="16" t="str">
        <f t="shared" ca="1" si="78"/>
        <v/>
      </c>
      <c r="M1039" s="22" t="str">
        <f t="shared" ca="1" si="79"/>
        <v/>
      </c>
      <c r="U1039" s="23" t="str">
        <f t="shared" si="80"/>
        <v/>
      </c>
      <c r="V1039" s="23" t="str">
        <f t="shared" si="81"/>
        <v/>
      </c>
    </row>
    <row r="1040" spans="5:22" x14ac:dyDescent="0.25">
      <c r="E1040" s="21" t="str">
        <f t="shared" si="77"/>
        <v/>
      </c>
      <c r="F1040" s="21"/>
      <c r="G1040" s="21"/>
      <c r="H1040" s="21"/>
      <c r="I1040" s="21"/>
      <c r="J1040" s="21"/>
      <c r="K1040" s="21"/>
      <c r="L1040" s="16" t="str">
        <f t="shared" ca="1" si="78"/>
        <v/>
      </c>
      <c r="M1040" s="22" t="str">
        <f t="shared" ca="1" si="79"/>
        <v/>
      </c>
      <c r="U1040" s="23" t="str">
        <f t="shared" si="80"/>
        <v/>
      </c>
      <c r="V1040" s="23" t="str">
        <f t="shared" si="81"/>
        <v/>
      </c>
    </row>
    <row r="1041" spans="5:22" x14ac:dyDescent="0.25">
      <c r="E1041" s="21" t="str">
        <f t="shared" si="77"/>
        <v/>
      </c>
      <c r="F1041" s="21"/>
      <c r="G1041" s="21"/>
      <c r="H1041" s="21"/>
      <c r="I1041" s="21"/>
      <c r="J1041" s="21"/>
      <c r="K1041" s="21"/>
      <c r="L1041" s="16" t="str">
        <f t="shared" ca="1" si="78"/>
        <v/>
      </c>
      <c r="M1041" s="22" t="str">
        <f t="shared" ca="1" si="79"/>
        <v/>
      </c>
      <c r="U1041" s="23" t="str">
        <f t="shared" si="80"/>
        <v/>
      </c>
      <c r="V1041" s="23" t="str">
        <f t="shared" si="81"/>
        <v/>
      </c>
    </row>
    <row r="1042" spans="5:22" x14ac:dyDescent="0.25">
      <c r="E1042" s="21" t="str">
        <f t="shared" si="77"/>
        <v/>
      </c>
      <c r="F1042" s="21"/>
      <c r="G1042" s="21"/>
      <c r="H1042" s="21"/>
      <c r="I1042" s="21"/>
      <c r="J1042" s="21"/>
      <c r="K1042" s="21"/>
      <c r="L1042" s="16" t="str">
        <f t="shared" ca="1" si="78"/>
        <v/>
      </c>
      <c r="M1042" s="22" t="str">
        <f t="shared" ca="1" si="79"/>
        <v/>
      </c>
      <c r="U1042" s="23" t="str">
        <f t="shared" si="80"/>
        <v/>
      </c>
      <c r="V1042" s="23" t="str">
        <f t="shared" si="81"/>
        <v/>
      </c>
    </row>
    <row r="1043" spans="5:22" x14ac:dyDescent="0.25">
      <c r="E1043" s="21" t="str">
        <f t="shared" si="77"/>
        <v/>
      </c>
      <c r="F1043" s="21"/>
      <c r="G1043" s="21"/>
      <c r="H1043" s="21"/>
      <c r="I1043" s="21"/>
      <c r="J1043" s="21"/>
      <c r="K1043" s="21"/>
      <c r="L1043" s="16" t="str">
        <f t="shared" ca="1" si="78"/>
        <v/>
      </c>
      <c r="M1043" s="22" t="str">
        <f t="shared" ca="1" si="79"/>
        <v/>
      </c>
      <c r="U1043" s="23" t="str">
        <f t="shared" si="80"/>
        <v/>
      </c>
      <c r="V1043" s="23" t="str">
        <f t="shared" si="81"/>
        <v/>
      </c>
    </row>
    <row r="1044" spans="5:22" x14ac:dyDescent="0.25">
      <c r="E1044" s="21" t="str">
        <f t="shared" si="77"/>
        <v/>
      </c>
      <c r="F1044" s="21"/>
      <c r="G1044" s="21"/>
      <c r="H1044" s="21"/>
      <c r="I1044" s="21"/>
      <c r="J1044" s="21"/>
      <c r="K1044" s="21"/>
      <c r="L1044" s="16" t="str">
        <f t="shared" ca="1" si="78"/>
        <v/>
      </c>
      <c r="M1044" s="22" t="str">
        <f t="shared" ca="1" si="79"/>
        <v/>
      </c>
      <c r="U1044" s="23" t="str">
        <f t="shared" si="80"/>
        <v/>
      </c>
      <c r="V1044" s="23" t="str">
        <f t="shared" si="81"/>
        <v/>
      </c>
    </row>
    <row r="1045" spans="5:22" x14ac:dyDescent="0.25">
      <c r="E1045" s="21" t="str">
        <f t="shared" si="77"/>
        <v/>
      </c>
      <c r="F1045" s="21"/>
      <c r="G1045" s="21"/>
      <c r="H1045" s="21"/>
      <c r="I1045" s="21"/>
      <c r="J1045" s="21"/>
      <c r="K1045" s="21"/>
      <c r="L1045" s="16" t="str">
        <f t="shared" ca="1" si="78"/>
        <v/>
      </c>
      <c r="M1045" s="22" t="str">
        <f t="shared" ca="1" si="79"/>
        <v/>
      </c>
      <c r="U1045" s="23" t="str">
        <f t="shared" si="80"/>
        <v/>
      </c>
      <c r="V1045" s="23" t="str">
        <f t="shared" si="81"/>
        <v/>
      </c>
    </row>
    <row r="1046" spans="5:22" x14ac:dyDescent="0.25">
      <c r="E1046" s="21" t="str">
        <f t="shared" si="77"/>
        <v/>
      </c>
      <c r="F1046" s="21"/>
      <c r="G1046" s="21"/>
      <c r="H1046" s="21"/>
      <c r="I1046" s="21"/>
      <c r="J1046" s="21"/>
      <c r="K1046" s="21"/>
      <c r="L1046" s="16" t="str">
        <f t="shared" ca="1" si="78"/>
        <v/>
      </c>
      <c r="M1046" s="22" t="str">
        <f t="shared" ca="1" si="79"/>
        <v/>
      </c>
      <c r="U1046" s="23" t="str">
        <f t="shared" si="80"/>
        <v/>
      </c>
      <c r="V1046" s="23" t="str">
        <f t="shared" si="81"/>
        <v/>
      </c>
    </row>
    <row r="1047" spans="5:22" x14ac:dyDescent="0.25">
      <c r="E1047" s="21" t="str">
        <f t="shared" si="77"/>
        <v/>
      </c>
      <c r="F1047" s="21"/>
      <c r="G1047" s="21"/>
      <c r="H1047" s="21"/>
      <c r="I1047" s="21"/>
      <c r="J1047" s="21"/>
      <c r="K1047" s="21"/>
      <c r="L1047" s="16" t="str">
        <f t="shared" ca="1" si="78"/>
        <v/>
      </c>
      <c r="M1047" s="22" t="str">
        <f t="shared" ca="1" si="79"/>
        <v/>
      </c>
      <c r="U1047" s="23" t="str">
        <f t="shared" si="80"/>
        <v/>
      </c>
      <c r="V1047" s="23" t="str">
        <f t="shared" si="81"/>
        <v/>
      </c>
    </row>
    <row r="1048" spans="5:22" x14ac:dyDescent="0.25">
      <c r="E1048" s="21" t="str">
        <f t="shared" si="77"/>
        <v/>
      </c>
      <c r="F1048" s="21"/>
      <c r="G1048" s="21"/>
      <c r="H1048" s="21"/>
      <c r="I1048" s="21"/>
      <c r="J1048" s="21"/>
      <c r="K1048" s="21"/>
      <c r="L1048" s="16" t="str">
        <f t="shared" ca="1" si="78"/>
        <v/>
      </c>
      <c r="M1048" s="22" t="str">
        <f t="shared" ca="1" si="79"/>
        <v/>
      </c>
      <c r="U1048" s="23" t="str">
        <f t="shared" si="80"/>
        <v/>
      </c>
      <c r="V1048" s="23" t="str">
        <f t="shared" si="81"/>
        <v/>
      </c>
    </row>
    <row r="1049" spans="5:22" x14ac:dyDescent="0.25">
      <c r="E1049" s="21" t="str">
        <f t="shared" si="77"/>
        <v/>
      </c>
      <c r="F1049" s="21"/>
      <c r="G1049" s="21"/>
      <c r="H1049" s="21"/>
      <c r="I1049" s="21"/>
      <c r="J1049" s="21"/>
      <c r="K1049" s="21"/>
      <c r="L1049" s="16" t="str">
        <f t="shared" ca="1" si="78"/>
        <v/>
      </c>
      <c r="M1049" s="22" t="str">
        <f t="shared" ca="1" si="79"/>
        <v/>
      </c>
      <c r="U1049" s="23" t="str">
        <f t="shared" si="80"/>
        <v/>
      </c>
      <c r="V1049" s="23" t="str">
        <f t="shared" si="81"/>
        <v/>
      </c>
    </row>
    <row r="1050" spans="5:22" x14ac:dyDescent="0.25">
      <c r="E1050" s="21" t="str">
        <f t="shared" si="77"/>
        <v/>
      </c>
      <c r="F1050" s="21"/>
      <c r="G1050" s="21"/>
      <c r="H1050" s="21"/>
      <c r="I1050" s="21"/>
      <c r="J1050" s="21"/>
      <c r="K1050" s="21"/>
      <c r="L1050" s="16" t="str">
        <f t="shared" ca="1" si="78"/>
        <v/>
      </c>
      <c r="M1050" s="22" t="str">
        <f t="shared" ca="1" si="79"/>
        <v/>
      </c>
      <c r="U1050" s="23" t="str">
        <f t="shared" si="80"/>
        <v/>
      </c>
      <c r="V1050" s="23" t="str">
        <f t="shared" si="81"/>
        <v/>
      </c>
    </row>
    <row r="1051" spans="5:22" x14ac:dyDescent="0.25">
      <c r="E1051" s="21" t="str">
        <f t="shared" si="77"/>
        <v/>
      </c>
      <c r="F1051" s="21"/>
      <c r="G1051" s="21"/>
      <c r="H1051" s="21"/>
      <c r="I1051" s="21"/>
      <c r="J1051" s="21"/>
      <c r="K1051" s="21"/>
      <c r="L1051" s="16" t="str">
        <f t="shared" ca="1" si="78"/>
        <v/>
      </c>
      <c r="M1051" s="22" t="str">
        <f t="shared" ca="1" si="79"/>
        <v/>
      </c>
      <c r="U1051" s="23" t="str">
        <f t="shared" si="80"/>
        <v/>
      </c>
      <c r="V1051" s="23" t="str">
        <f t="shared" si="81"/>
        <v/>
      </c>
    </row>
    <row r="1052" spans="5:22" x14ac:dyDescent="0.25">
      <c r="E1052" s="21" t="str">
        <f t="shared" si="77"/>
        <v/>
      </c>
      <c r="F1052" s="21"/>
      <c r="G1052" s="21"/>
      <c r="H1052" s="21"/>
      <c r="I1052" s="21"/>
      <c r="J1052" s="21"/>
      <c r="K1052" s="21"/>
      <c r="L1052" s="16" t="str">
        <f t="shared" ca="1" si="78"/>
        <v/>
      </c>
      <c r="M1052" s="22" t="str">
        <f t="shared" ca="1" si="79"/>
        <v/>
      </c>
      <c r="U1052" s="23" t="str">
        <f t="shared" si="80"/>
        <v/>
      </c>
      <c r="V1052" s="23" t="str">
        <f t="shared" si="81"/>
        <v/>
      </c>
    </row>
    <row r="1053" spans="5:22" x14ac:dyDescent="0.25">
      <c r="E1053" s="21" t="str">
        <f t="shared" si="77"/>
        <v/>
      </c>
      <c r="F1053" s="21"/>
      <c r="G1053" s="21"/>
      <c r="H1053" s="21"/>
      <c r="I1053" s="21"/>
      <c r="J1053" s="21"/>
      <c r="K1053" s="21"/>
      <c r="L1053" s="16" t="str">
        <f t="shared" ca="1" si="78"/>
        <v/>
      </c>
      <c r="M1053" s="22" t="str">
        <f t="shared" ca="1" si="79"/>
        <v/>
      </c>
      <c r="U1053" s="23" t="str">
        <f t="shared" si="80"/>
        <v/>
      </c>
      <c r="V1053" s="23" t="str">
        <f t="shared" si="81"/>
        <v/>
      </c>
    </row>
    <row r="1054" spans="5:22" x14ac:dyDescent="0.25">
      <c r="E1054" s="21" t="str">
        <f t="shared" si="77"/>
        <v/>
      </c>
      <c r="F1054" s="21"/>
      <c r="G1054" s="21"/>
      <c r="H1054" s="21"/>
      <c r="I1054" s="21"/>
      <c r="J1054" s="21"/>
      <c r="K1054" s="21"/>
      <c r="L1054" s="16" t="str">
        <f t="shared" ca="1" si="78"/>
        <v/>
      </c>
      <c r="M1054" s="22" t="str">
        <f t="shared" ca="1" si="79"/>
        <v/>
      </c>
      <c r="U1054" s="23" t="str">
        <f t="shared" si="80"/>
        <v/>
      </c>
      <c r="V1054" s="23" t="str">
        <f t="shared" si="81"/>
        <v/>
      </c>
    </row>
    <row r="1055" spans="5:22" x14ac:dyDescent="0.25">
      <c r="E1055" s="21" t="str">
        <f t="shared" si="77"/>
        <v/>
      </c>
      <c r="F1055" s="21"/>
      <c r="G1055" s="21"/>
      <c r="H1055" s="21"/>
      <c r="I1055" s="21"/>
      <c r="J1055" s="21"/>
      <c r="K1055" s="21"/>
      <c r="L1055" s="16" t="str">
        <f t="shared" ca="1" si="78"/>
        <v/>
      </c>
      <c r="M1055" s="22" t="str">
        <f t="shared" ca="1" si="79"/>
        <v/>
      </c>
      <c r="U1055" s="23" t="str">
        <f t="shared" si="80"/>
        <v/>
      </c>
      <c r="V1055" s="23" t="str">
        <f t="shared" si="81"/>
        <v/>
      </c>
    </row>
    <row r="1056" spans="5:22" x14ac:dyDescent="0.25">
      <c r="E1056" s="21" t="str">
        <f t="shared" si="77"/>
        <v/>
      </c>
      <c r="F1056" s="21"/>
      <c r="G1056" s="21"/>
      <c r="H1056" s="21"/>
      <c r="I1056" s="21"/>
      <c r="J1056" s="21"/>
      <c r="K1056" s="21"/>
      <c r="L1056" s="16" t="str">
        <f t="shared" ca="1" si="78"/>
        <v/>
      </c>
      <c r="M1056" s="22" t="str">
        <f t="shared" ca="1" si="79"/>
        <v/>
      </c>
      <c r="U1056" s="23" t="str">
        <f t="shared" si="80"/>
        <v/>
      </c>
      <c r="V1056" s="23" t="str">
        <f t="shared" si="81"/>
        <v/>
      </c>
    </row>
    <row r="1057" spans="5:22" x14ac:dyDescent="0.25">
      <c r="E1057" s="21" t="str">
        <f t="shared" si="77"/>
        <v/>
      </c>
      <c r="F1057" s="21"/>
      <c r="G1057" s="21"/>
      <c r="H1057" s="21"/>
      <c r="I1057" s="21"/>
      <c r="J1057" s="21"/>
      <c r="K1057" s="21"/>
      <c r="L1057" s="16" t="str">
        <f t="shared" ca="1" si="78"/>
        <v/>
      </c>
      <c r="M1057" s="22" t="str">
        <f t="shared" ca="1" si="79"/>
        <v/>
      </c>
      <c r="U1057" s="23" t="str">
        <f t="shared" si="80"/>
        <v/>
      </c>
      <c r="V1057" s="23" t="str">
        <f t="shared" si="81"/>
        <v/>
      </c>
    </row>
    <row r="1058" spans="5:22" x14ac:dyDescent="0.25">
      <c r="E1058" s="21" t="str">
        <f t="shared" si="77"/>
        <v/>
      </c>
      <c r="F1058" s="21"/>
      <c r="G1058" s="21"/>
      <c r="H1058" s="21"/>
      <c r="I1058" s="21"/>
      <c r="J1058" s="21"/>
      <c r="K1058" s="21"/>
      <c r="L1058" s="16" t="str">
        <f t="shared" ca="1" si="78"/>
        <v/>
      </c>
      <c r="M1058" s="22" t="str">
        <f t="shared" ca="1" si="79"/>
        <v/>
      </c>
      <c r="U1058" s="23" t="str">
        <f t="shared" si="80"/>
        <v/>
      </c>
      <c r="V1058" s="23" t="str">
        <f t="shared" si="81"/>
        <v/>
      </c>
    </row>
    <row r="1059" spans="5:22" x14ac:dyDescent="0.25">
      <c r="E1059" s="21" t="str">
        <f t="shared" si="77"/>
        <v/>
      </c>
      <c r="F1059" s="21"/>
      <c r="G1059" s="21"/>
      <c r="H1059" s="21"/>
      <c r="I1059" s="21"/>
      <c r="J1059" s="21"/>
      <c r="K1059" s="21"/>
      <c r="L1059" s="16" t="str">
        <f t="shared" ca="1" si="78"/>
        <v/>
      </c>
      <c r="M1059" s="22" t="str">
        <f t="shared" ca="1" si="79"/>
        <v/>
      </c>
      <c r="U1059" s="23" t="str">
        <f t="shared" si="80"/>
        <v/>
      </c>
      <c r="V1059" s="23" t="str">
        <f t="shared" si="81"/>
        <v/>
      </c>
    </row>
    <row r="1060" spans="5:22" x14ac:dyDescent="0.25">
      <c r="E1060" s="21" t="str">
        <f t="shared" si="77"/>
        <v/>
      </c>
      <c r="F1060" s="21"/>
      <c r="G1060" s="21"/>
      <c r="H1060" s="21"/>
      <c r="I1060" s="21"/>
      <c r="J1060" s="21"/>
      <c r="K1060" s="21"/>
      <c r="L1060" s="16" t="str">
        <f t="shared" ca="1" si="78"/>
        <v/>
      </c>
      <c r="M1060" s="22" t="str">
        <f t="shared" ca="1" si="79"/>
        <v/>
      </c>
      <c r="U1060" s="23" t="str">
        <f t="shared" si="80"/>
        <v/>
      </c>
      <c r="V1060" s="23" t="str">
        <f t="shared" si="81"/>
        <v/>
      </c>
    </row>
    <row r="1061" spans="5:22" x14ac:dyDescent="0.25">
      <c r="E1061" s="21" t="str">
        <f t="shared" ref="E1061:E1124" si="82">IF(ISNUMBER(SEARCH("v crs",D1061))=TRUE,"VC",IF(ISNUMBER(SEARCH("crs",D1061))=TRUE,"C",IF(ISNUMBER(SEARCH("med",D1061))=TRUE,"M",IF(ISNUMBER(SEARCH("vf",D1061))=TRUE,"VF",IF(ISNUMBER(SEARCH("f",D1061))=TRUE,"F","")))))</f>
        <v/>
      </c>
      <c r="F1061" s="21"/>
      <c r="G1061" s="21"/>
      <c r="H1061" s="21"/>
      <c r="I1061" s="21"/>
      <c r="J1061" s="21"/>
      <c r="K1061" s="21"/>
      <c r="L1061" s="16" t="str">
        <f t="shared" ca="1" si="78"/>
        <v/>
      </c>
      <c r="M1061" s="22" t="str">
        <f t="shared" ca="1" si="79"/>
        <v/>
      </c>
      <c r="U1061" s="23" t="str">
        <f t="shared" si="80"/>
        <v/>
      </c>
      <c r="V1061" s="23" t="str">
        <f t="shared" si="81"/>
        <v/>
      </c>
    </row>
    <row r="1062" spans="5:22" x14ac:dyDescent="0.25">
      <c r="E1062" s="21" t="str">
        <f t="shared" si="82"/>
        <v/>
      </c>
      <c r="F1062" s="21"/>
      <c r="G1062" s="21"/>
      <c r="H1062" s="21"/>
      <c r="I1062" s="21"/>
      <c r="J1062" s="21"/>
      <c r="K1062" s="21"/>
      <c r="L1062" s="16" t="str">
        <f t="shared" ca="1" si="78"/>
        <v/>
      </c>
      <c r="M1062" s="22" t="str">
        <f t="shared" ca="1" si="79"/>
        <v/>
      </c>
      <c r="U1062" s="23" t="str">
        <f t="shared" si="80"/>
        <v/>
      </c>
      <c r="V1062" s="23" t="str">
        <f t="shared" si="81"/>
        <v/>
      </c>
    </row>
    <row r="1063" spans="5:22" x14ac:dyDescent="0.25">
      <c r="E1063" s="21" t="str">
        <f t="shared" si="82"/>
        <v/>
      </c>
      <c r="F1063" s="21"/>
      <c r="G1063" s="21"/>
      <c r="H1063" s="21"/>
      <c r="I1063" s="21"/>
      <c r="J1063" s="21"/>
      <c r="K1063" s="21"/>
      <c r="L1063" s="16" t="str">
        <f t="shared" ca="1" si="78"/>
        <v/>
      </c>
      <c r="M1063" s="22" t="str">
        <f t="shared" ca="1" si="79"/>
        <v/>
      </c>
      <c r="U1063" s="23" t="str">
        <f t="shared" si="80"/>
        <v/>
      </c>
      <c r="V1063" s="23" t="str">
        <f t="shared" si="81"/>
        <v/>
      </c>
    </row>
    <row r="1064" spans="5:22" x14ac:dyDescent="0.25">
      <c r="E1064" s="21" t="str">
        <f t="shared" si="82"/>
        <v/>
      </c>
      <c r="F1064" s="21"/>
      <c r="G1064" s="21"/>
      <c r="H1064" s="21"/>
      <c r="I1064" s="21"/>
      <c r="J1064" s="21"/>
      <c r="K1064" s="21"/>
      <c r="L1064" s="16" t="str">
        <f t="shared" ca="1" si="78"/>
        <v/>
      </c>
      <c r="M1064" s="22" t="str">
        <f t="shared" ca="1" si="79"/>
        <v/>
      </c>
      <c r="U1064" s="23" t="str">
        <f t="shared" si="80"/>
        <v/>
      </c>
      <c r="V1064" s="23" t="str">
        <f t="shared" si="81"/>
        <v/>
      </c>
    </row>
    <row r="1065" spans="5:22" x14ac:dyDescent="0.25">
      <c r="E1065" s="21" t="str">
        <f t="shared" si="82"/>
        <v/>
      </c>
      <c r="F1065" s="21"/>
      <c r="G1065" s="21"/>
      <c r="H1065" s="21"/>
      <c r="I1065" s="21"/>
      <c r="J1065" s="21"/>
      <c r="K1065" s="21"/>
      <c r="L1065" s="16" t="str">
        <f t="shared" ca="1" si="78"/>
        <v/>
      </c>
      <c r="M1065" s="22" t="str">
        <f t="shared" ca="1" si="79"/>
        <v/>
      </c>
      <c r="U1065" s="23" t="str">
        <f t="shared" si="80"/>
        <v/>
      </c>
      <c r="V1065" s="23" t="str">
        <f t="shared" si="81"/>
        <v/>
      </c>
    </row>
    <row r="1066" spans="5:22" x14ac:dyDescent="0.25">
      <c r="E1066" s="21" t="str">
        <f t="shared" si="82"/>
        <v/>
      </c>
      <c r="F1066" s="21"/>
      <c r="G1066" s="21"/>
      <c r="H1066" s="21"/>
      <c r="I1066" s="21"/>
      <c r="J1066" s="21"/>
      <c r="K1066" s="21"/>
      <c r="L1066" s="16" t="str">
        <f t="shared" ca="1" si="78"/>
        <v/>
      </c>
      <c r="M1066" s="22" t="str">
        <f t="shared" ca="1" si="79"/>
        <v/>
      </c>
      <c r="U1066" s="23" t="str">
        <f t="shared" si="80"/>
        <v/>
      </c>
      <c r="V1066" s="23" t="str">
        <f t="shared" si="81"/>
        <v/>
      </c>
    </row>
    <row r="1067" spans="5:22" x14ac:dyDescent="0.25">
      <c r="E1067" s="21" t="str">
        <f t="shared" si="82"/>
        <v/>
      </c>
      <c r="F1067" s="21"/>
      <c r="G1067" s="21"/>
      <c r="H1067" s="21"/>
      <c r="I1067" s="21"/>
      <c r="J1067" s="21"/>
      <c r="K1067" s="21"/>
      <c r="L1067" s="16" t="str">
        <f t="shared" ca="1" si="78"/>
        <v/>
      </c>
      <c r="M1067" s="22" t="str">
        <f t="shared" ca="1" si="79"/>
        <v/>
      </c>
      <c r="U1067" s="23" t="str">
        <f t="shared" si="80"/>
        <v/>
      </c>
      <c r="V1067" s="23" t="str">
        <f t="shared" si="81"/>
        <v/>
      </c>
    </row>
    <row r="1068" spans="5:22" x14ac:dyDescent="0.25">
      <c r="E1068" s="21" t="str">
        <f t="shared" si="82"/>
        <v/>
      </c>
      <c r="F1068" s="21"/>
      <c r="G1068" s="21"/>
      <c r="H1068" s="21"/>
      <c r="I1068" s="21"/>
      <c r="J1068" s="21"/>
      <c r="K1068" s="21"/>
      <c r="L1068" s="16" t="str">
        <f t="shared" ca="1" si="78"/>
        <v/>
      </c>
      <c r="M1068" s="22" t="str">
        <f t="shared" ca="1" si="79"/>
        <v/>
      </c>
      <c r="U1068" s="23" t="str">
        <f t="shared" si="80"/>
        <v/>
      </c>
      <c r="V1068" s="23" t="str">
        <f t="shared" si="81"/>
        <v/>
      </c>
    </row>
    <row r="1069" spans="5:22" x14ac:dyDescent="0.25">
      <c r="E1069" s="21" t="str">
        <f t="shared" si="82"/>
        <v/>
      </c>
      <c r="F1069" s="21"/>
      <c r="G1069" s="21"/>
      <c r="H1069" s="21"/>
      <c r="I1069" s="21"/>
      <c r="J1069" s="21"/>
      <c r="K1069" s="21"/>
      <c r="L1069" s="16" t="str">
        <f t="shared" ca="1" si="78"/>
        <v/>
      </c>
      <c r="M1069" s="22" t="str">
        <f t="shared" ca="1" si="79"/>
        <v/>
      </c>
      <c r="U1069" s="23" t="str">
        <f t="shared" si="80"/>
        <v/>
      </c>
      <c r="V1069" s="23" t="str">
        <f t="shared" si="81"/>
        <v/>
      </c>
    </row>
    <row r="1070" spans="5:22" x14ac:dyDescent="0.25">
      <c r="E1070" s="21" t="str">
        <f t="shared" si="82"/>
        <v/>
      </c>
      <c r="F1070" s="21"/>
      <c r="G1070" s="21"/>
      <c r="H1070" s="21"/>
      <c r="I1070" s="21"/>
      <c r="J1070" s="21"/>
      <c r="K1070" s="21"/>
      <c r="L1070" s="16" t="str">
        <f t="shared" ca="1" si="78"/>
        <v/>
      </c>
      <c r="M1070" s="22" t="str">
        <f t="shared" ca="1" si="79"/>
        <v/>
      </c>
      <c r="U1070" s="23" t="str">
        <f t="shared" si="80"/>
        <v/>
      </c>
      <c r="V1070" s="23" t="str">
        <f t="shared" si="81"/>
        <v/>
      </c>
    </row>
    <row r="1071" spans="5:22" x14ac:dyDescent="0.25">
      <c r="E1071" s="21" t="str">
        <f t="shared" si="82"/>
        <v/>
      </c>
      <c r="F1071" s="21"/>
      <c r="G1071" s="21"/>
      <c r="H1071" s="21"/>
      <c r="I1071" s="21"/>
      <c r="J1071" s="21"/>
      <c r="K1071" s="21"/>
      <c r="L1071" s="16" t="str">
        <f t="shared" ca="1" si="78"/>
        <v/>
      </c>
      <c r="M1071" s="22" t="str">
        <f t="shared" ca="1" si="79"/>
        <v/>
      </c>
      <c r="U1071" s="23" t="str">
        <f t="shared" si="80"/>
        <v/>
      </c>
      <c r="V1071" s="23" t="str">
        <f t="shared" si="81"/>
        <v/>
      </c>
    </row>
    <row r="1072" spans="5:22" x14ac:dyDescent="0.25">
      <c r="E1072" s="21" t="str">
        <f t="shared" si="82"/>
        <v/>
      </c>
      <c r="F1072" s="21"/>
      <c r="G1072" s="21"/>
      <c r="H1072" s="21"/>
      <c r="I1072" s="21"/>
      <c r="J1072" s="21"/>
      <c r="K1072" s="21"/>
      <c r="L1072" s="16" t="str">
        <f t="shared" ca="1" si="78"/>
        <v/>
      </c>
      <c r="M1072" s="22" t="str">
        <f t="shared" ca="1" si="79"/>
        <v/>
      </c>
      <c r="U1072" s="23" t="str">
        <f t="shared" si="80"/>
        <v/>
      </c>
      <c r="V1072" s="23" t="str">
        <f t="shared" si="81"/>
        <v/>
      </c>
    </row>
    <row r="1073" spans="5:22" x14ac:dyDescent="0.25">
      <c r="E1073" s="21" t="str">
        <f t="shared" si="82"/>
        <v/>
      </c>
      <c r="F1073" s="21"/>
      <c r="G1073" s="21"/>
      <c r="H1073" s="21"/>
      <c r="I1073" s="21"/>
      <c r="J1073" s="21"/>
      <c r="K1073" s="21"/>
      <c r="L1073" s="16" t="str">
        <f t="shared" ca="1" si="78"/>
        <v/>
      </c>
      <c r="M1073" s="22" t="str">
        <f t="shared" ca="1" si="79"/>
        <v/>
      </c>
      <c r="U1073" s="23" t="str">
        <f t="shared" si="80"/>
        <v/>
      </c>
      <c r="V1073" s="23" t="str">
        <f t="shared" si="81"/>
        <v/>
      </c>
    </row>
    <row r="1074" spans="5:22" x14ac:dyDescent="0.25">
      <c r="E1074" s="21" t="str">
        <f t="shared" si="82"/>
        <v/>
      </c>
      <c r="F1074" s="21"/>
      <c r="G1074" s="21"/>
      <c r="H1074" s="21"/>
      <c r="I1074" s="21"/>
      <c r="J1074" s="21"/>
      <c r="K1074" s="21"/>
      <c r="L1074" s="16" t="str">
        <f t="shared" ca="1" si="78"/>
        <v/>
      </c>
      <c r="M1074" s="22" t="str">
        <f t="shared" ca="1" si="79"/>
        <v/>
      </c>
      <c r="U1074" s="23" t="str">
        <f t="shared" si="80"/>
        <v/>
      </c>
      <c r="V1074" s="23" t="str">
        <f t="shared" si="81"/>
        <v/>
      </c>
    </row>
    <row r="1075" spans="5:22" x14ac:dyDescent="0.25">
      <c r="E1075" s="21" t="str">
        <f t="shared" si="82"/>
        <v/>
      </c>
      <c r="F1075" s="21"/>
      <c r="G1075" s="21"/>
      <c r="H1075" s="21"/>
      <c r="I1075" s="21"/>
      <c r="J1075" s="21"/>
      <c r="K1075" s="21"/>
      <c r="L1075" s="16" t="str">
        <f t="shared" ca="1" si="78"/>
        <v/>
      </c>
      <c r="M1075" s="22" t="str">
        <f t="shared" ca="1" si="79"/>
        <v/>
      </c>
      <c r="U1075" s="23" t="str">
        <f t="shared" si="80"/>
        <v/>
      </c>
      <c r="V1075" s="23" t="str">
        <f t="shared" si="81"/>
        <v/>
      </c>
    </row>
    <row r="1076" spans="5:22" x14ac:dyDescent="0.25">
      <c r="E1076" s="21" t="str">
        <f t="shared" si="82"/>
        <v/>
      </c>
      <c r="F1076" s="21"/>
      <c r="G1076" s="21"/>
      <c r="H1076" s="21"/>
      <c r="I1076" s="21"/>
      <c r="J1076" s="21"/>
      <c r="K1076" s="21"/>
      <c r="L1076" s="16" t="str">
        <f t="shared" ca="1" si="78"/>
        <v/>
      </c>
      <c r="M1076" s="22" t="str">
        <f t="shared" ca="1" si="79"/>
        <v/>
      </c>
      <c r="U1076" s="23" t="str">
        <f t="shared" si="80"/>
        <v/>
      </c>
      <c r="V1076" s="23" t="str">
        <f t="shared" si="81"/>
        <v/>
      </c>
    </row>
    <row r="1077" spans="5:22" x14ac:dyDescent="0.25">
      <c r="E1077" s="21" t="str">
        <f t="shared" si="82"/>
        <v/>
      </c>
      <c r="F1077" s="21"/>
      <c r="G1077" s="21"/>
      <c r="H1077" s="21"/>
      <c r="I1077" s="21"/>
      <c r="J1077" s="21"/>
      <c r="K1077" s="21"/>
      <c r="L1077" s="16" t="str">
        <f t="shared" ca="1" si="78"/>
        <v/>
      </c>
      <c r="M1077" s="22" t="str">
        <f t="shared" ca="1" si="79"/>
        <v/>
      </c>
      <c r="U1077" s="23" t="str">
        <f t="shared" si="80"/>
        <v/>
      </c>
      <c r="V1077" s="23" t="str">
        <f t="shared" si="81"/>
        <v/>
      </c>
    </row>
    <row r="1078" spans="5:22" x14ac:dyDescent="0.25">
      <c r="E1078" s="21" t="str">
        <f t="shared" si="82"/>
        <v/>
      </c>
      <c r="F1078" s="21"/>
      <c r="G1078" s="21"/>
      <c r="H1078" s="21"/>
      <c r="I1078" s="21"/>
      <c r="J1078" s="21"/>
      <c r="K1078" s="21"/>
      <c r="L1078" s="16" t="str">
        <f t="shared" ca="1" si="78"/>
        <v/>
      </c>
      <c r="M1078" s="22" t="str">
        <f t="shared" ca="1" si="79"/>
        <v/>
      </c>
      <c r="U1078" s="23" t="str">
        <f t="shared" si="80"/>
        <v/>
      </c>
      <c r="V1078" s="23" t="str">
        <f t="shared" si="81"/>
        <v/>
      </c>
    </row>
    <row r="1079" spans="5:22" x14ac:dyDescent="0.25">
      <c r="E1079" s="21" t="str">
        <f t="shared" si="82"/>
        <v/>
      </c>
      <c r="F1079" s="21"/>
      <c r="G1079" s="21"/>
      <c r="H1079" s="21"/>
      <c r="I1079" s="21"/>
      <c r="J1079" s="21"/>
      <c r="K1079" s="21"/>
      <c r="L1079" s="16" t="str">
        <f t="shared" ca="1" si="78"/>
        <v/>
      </c>
      <c r="M1079" s="22" t="str">
        <f t="shared" ca="1" si="79"/>
        <v/>
      </c>
      <c r="U1079" s="23" t="str">
        <f t="shared" si="80"/>
        <v/>
      </c>
      <c r="V1079" s="23" t="str">
        <f t="shared" si="81"/>
        <v/>
      </c>
    </row>
    <row r="1080" spans="5:22" x14ac:dyDescent="0.25">
      <c r="E1080" s="21" t="str">
        <f t="shared" si="82"/>
        <v/>
      </c>
      <c r="F1080" s="21"/>
      <c r="G1080" s="21"/>
      <c r="H1080" s="21"/>
      <c r="I1080" s="21"/>
      <c r="J1080" s="21"/>
      <c r="K1080" s="21"/>
      <c r="L1080" s="16" t="str">
        <f t="shared" ca="1" si="78"/>
        <v/>
      </c>
      <c r="M1080" s="22" t="str">
        <f t="shared" ca="1" si="79"/>
        <v/>
      </c>
      <c r="U1080" s="23" t="str">
        <f t="shared" si="80"/>
        <v/>
      </c>
      <c r="V1080" s="23" t="str">
        <f t="shared" si="81"/>
        <v/>
      </c>
    </row>
    <row r="1081" spans="5:22" x14ac:dyDescent="0.25">
      <c r="E1081" s="21" t="str">
        <f t="shared" si="82"/>
        <v/>
      </c>
      <c r="F1081" s="21"/>
      <c r="G1081" s="21"/>
      <c r="H1081" s="21"/>
      <c r="I1081" s="21"/>
      <c r="J1081" s="21"/>
      <c r="K1081" s="21"/>
      <c r="L1081" s="16" t="str">
        <f t="shared" ca="1" si="78"/>
        <v/>
      </c>
      <c r="M1081" s="22" t="str">
        <f t="shared" ca="1" si="79"/>
        <v/>
      </c>
      <c r="U1081" s="23" t="str">
        <f t="shared" si="80"/>
        <v/>
      </c>
      <c r="V1081" s="23" t="str">
        <f t="shared" si="81"/>
        <v/>
      </c>
    </row>
    <row r="1082" spans="5:22" x14ac:dyDescent="0.25">
      <c r="E1082" s="21" t="str">
        <f t="shared" si="82"/>
        <v/>
      </c>
      <c r="F1082" s="21"/>
      <c r="G1082" s="21"/>
      <c r="H1082" s="21"/>
      <c r="I1082" s="21"/>
      <c r="J1082" s="21"/>
      <c r="K1082" s="21"/>
      <c r="L1082" s="16" t="str">
        <f t="shared" ca="1" si="78"/>
        <v/>
      </c>
      <c r="M1082" s="22" t="str">
        <f t="shared" ca="1" si="79"/>
        <v/>
      </c>
      <c r="U1082" s="23" t="str">
        <f t="shared" si="80"/>
        <v/>
      </c>
      <c r="V1082" s="23" t="str">
        <f t="shared" si="81"/>
        <v/>
      </c>
    </row>
    <row r="1083" spans="5:22" x14ac:dyDescent="0.25">
      <c r="E1083" s="21" t="str">
        <f t="shared" si="82"/>
        <v/>
      </c>
      <c r="F1083" s="21"/>
      <c r="G1083" s="21"/>
      <c r="H1083" s="21"/>
      <c r="I1083" s="21"/>
      <c r="J1083" s="21"/>
      <c r="K1083" s="21"/>
      <c r="L1083" s="16" t="str">
        <f t="shared" ca="1" si="78"/>
        <v/>
      </c>
      <c r="M1083" s="22" t="str">
        <f t="shared" ca="1" si="79"/>
        <v/>
      </c>
      <c r="U1083" s="23" t="str">
        <f t="shared" si="80"/>
        <v/>
      </c>
      <c r="V1083" s="23" t="str">
        <f t="shared" si="81"/>
        <v/>
      </c>
    </row>
    <row r="1084" spans="5:22" x14ac:dyDescent="0.25">
      <c r="E1084" s="21" t="str">
        <f t="shared" si="82"/>
        <v/>
      </c>
      <c r="F1084" s="21"/>
      <c r="G1084" s="21"/>
      <c r="H1084" s="21"/>
      <c r="I1084" s="21"/>
      <c r="J1084" s="21"/>
      <c r="K1084" s="21"/>
      <c r="L1084" s="16" t="str">
        <f t="shared" ca="1" si="78"/>
        <v/>
      </c>
      <c r="M1084" s="22" t="str">
        <f t="shared" ca="1" si="79"/>
        <v/>
      </c>
      <c r="U1084" s="23" t="str">
        <f t="shared" si="80"/>
        <v/>
      </c>
      <c r="V1084" s="23" t="str">
        <f t="shared" si="81"/>
        <v/>
      </c>
    </row>
    <row r="1085" spans="5:22" x14ac:dyDescent="0.25">
      <c r="E1085" s="21" t="str">
        <f t="shared" si="82"/>
        <v/>
      </c>
      <c r="F1085" s="21"/>
      <c r="G1085" s="21"/>
      <c r="H1085" s="21"/>
      <c r="I1085" s="21"/>
      <c r="J1085" s="21"/>
      <c r="K1085" s="21"/>
      <c r="L1085" s="16" t="str">
        <f t="shared" ref="L1085:L1148" ca="1" si="83">IF(AND(C1085&lt;&gt;"",C1085&lt;&gt;U1085),TODAY(),IF(C1085="","",L1085))</f>
        <v/>
      </c>
      <c r="M1085" s="22" t="str">
        <f t="shared" ref="M1085:M1148" ca="1" si="84">IF(AND(C1085&lt;&gt;"",C1085&lt;&gt;V1085),NOW(),IF(C1085="","",M1085))</f>
        <v/>
      </c>
      <c r="U1085" s="23" t="str">
        <f t="shared" si="80"/>
        <v/>
      </c>
      <c r="V1085" s="23" t="str">
        <f t="shared" si="81"/>
        <v/>
      </c>
    </row>
    <row r="1086" spans="5:22" x14ac:dyDescent="0.25">
      <c r="E1086" s="21" t="str">
        <f t="shared" si="82"/>
        <v/>
      </c>
      <c r="F1086" s="21"/>
      <c r="G1086" s="21"/>
      <c r="H1086" s="21"/>
      <c r="I1086" s="21"/>
      <c r="J1086" s="21"/>
      <c r="K1086" s="21"/>
      <c r="L1086" s="16" t="str">
        <f t="shared" ca="1" si="83"/>
        <v/>
      </c>
      <c r="M1086" s="22" t="str">
        <f t="shared" ca="1" si="84"/>
        <v/>
      </c>
      <c r="U1086" s="23" t="str">
        <f t="shared" si="80"/>
        <v/>
      </c>
      <c r="V1086" s="23" t="str">
        <f t="shared" si="81"/>
        <v/>
      </c>
    </row>
    <row r="1087" spans="5:22" x14ac:dyDescent="0.25">
      <c r="E1087" s="21" t="str">
        <f t="shared" si="82"/>
        <v/>
      </c>
      <c r="F1087" s="21"/>
      <c r="G1087" s="21"/>
      <c r="H1087" s="21"/>
      <c r="I1087" s="21"/>
      <c r="J1087" s="21"/>
      <c r="K1087" s="21"/>
      <c r="L1087" s="16" t="str">
        <f t="shared" ca="1" si="83"/>
        <v/>
      </c>
      <c r="M1087" s="22" t="str">
        <f t="shared" ca="1" si="84"/>
        <v/>
      </c>
      <c r="U1087" s="23" t="str">
        <f t="shared" si="80"/>
        <v/>
      </c>
      <c r="V1087" s="23" t="str">
        <f t="shared" si="81"/>
        <v/>
      </c>
    </row>
    <row r="1088" spans="5:22" x14ac:dyDescent="0.25">
      <c r="E1088" s="21" t="str">
        <f t="shared" si="82"/>
        <v/>
      </c>
      <c r="F1088" s="21"/>
      <c r="G1088" s="21"/>
      <c r="H1088" s="21"/>
      <c r="I1088" s="21"/>
      <c r="J1088" s="21"/>
      <c r="K1088" s="21"/>
      <c r="L1088" s="16" t="str">
        <f t="shared" ca="1" si="83"/>
        <v/>
      </c>
      <c r="M1088" s="22" t="str">
        <f t="shared" ca="1" si="84"/>
        <v/>
      </c>
      <c r="U1088" s="23" t="str">
        <f t="shared" si="80"/>
        <v/>
      </c>
      <c r="V1088" s="23" t="str">
        <f t="shared" si="81"/>
        <v/>
      </c>
    </row>
    <row r="1089" spans="5:22" x14ac:dyDescent="0.25">
      <c r="E1089" s="21" t="str">
        <f t="shared" si="82"/>
        <v/>
      </c>
      <c r="F1089" s="21"/>
      <c r="G1089" s="21"/>
      <c r="H1089" s="21"/>
      <c r="I1089" s="21"/>
      <c r="J1089" s="21"/>
      <c r="K1089" s="21"/>
      <c r="L1089" s="16" t="str">
        <f t="shared" ca="1" si="83"/>
        <v/>
      </c>
      <c r="M1089" s="22" t="str">
        <f t="shared" ca="1" si="84"/>
        <v/>
      </c>
      <c r="U1089" s="23" t="str">
        <f t="shared" si="80"/>
        <v/>
      </c>
      <c r="V1089" s="23" t="str">
        <f t="shared" si="81"/>
        <v/>
      </c>
    </row>
    <row r="1090" spans="5:22" x14ac:dyDescent="0.25">
      <c r="E1090" s="21" t="str">
        <f t="shared" si="82"/>
        <v/>
      </c>
      <c r="F1090" s="21"/>
      <c r="G1090" s="21"/>
      <c r="H1090" s="21"/>
      <c r="I1090" s="21"/>
      <c r="J1090" s="21"/>
      <c r="K1090" s="21"/>
      <c r="L1090" s="16" t="str">
        <f t="shared" ca="1" si="83"/>
        <v/>
      </c>
      <c r="M1090" s="22" t="str">
        <f t="shared" ca="1" si="84"/>
        <v/>
      </c>
      <c r="U1090" s="23" t="str">
        <f t="shared" si="80"/>
        <v/>
      </c>
      <c r="V1090" s="23" t="str">
        <f t="shared" si="81"/>
        <v/>
      </c>
    </row>
    <row r="1091" spans="5:22" x14ac:dyDescent="0.25">
      <c r="E1091" s="21" t="str">
        <f t="shared" si="82"/>
        <v/>
      </c>
      <c r="F1091" s="21"/>
      <c r="G1091" s="21"/>
      <c r="H1091" s="21"/>
      <c r="I1091" s="21"/>
      <c r="J1091" s="21"/>
      <c r="K1091" s="21"/>
      <c r="L1091" s="16" t="str">
        <f t="shared" ca="1" si="83"/>
        <v/>
      </c>
      <c r="M1091" s="22" t="str">
        <f t="shared" ca="1" si="84"/>
        <v/>
      </c>
      <c r="U1091" s="23" t="str">
        <f t="shared" si="80"/>
        <v/>
      </c>
      <c r="V1091" s="23" t="str">
        <f t="shared" si="81"/>
        <v/>
      </c>
    </row>
    <row r="1092" spans="5:22" x14ac:dyDescent="0.25">
      <c r="E1092" s="21" t="str">
        <f t="shared" si="82"/>
        <v/>
      </c>
      <c r="F1092" s="21"/>
      <c r="G1092" s="21"/>
      <c r="H1092" s="21"/>
      <c r="I1092" s="21"/>
      <c r="J1092" s="21"/>
      <c r="K1092" s="21"/>
      <c r="L1092" s="16" t="str">
        <f t="shared" ca="1" si="83"/>
        <v/>
      </c>
      <c r="M1092" s="22" t="str">
        <f t="shared" ca="1" si="84"/>
        <v/>
      </c>
      <c r="U1092" s="23" t="str">
        <f t="shared" ref="U1092:U1155" si="85">IF(C1092="","",IF(OR(L1092="",AND(ISNUMBER(U1092),C1092=U1092)),U1092,C1092))</f>
        <v/>
      </c>
      <c r="V1092" s="23" t="str">
        <f t="shared" ref="V1092:V1155" si="86">IF(C1092="","",IF(OR(M1092="",AND(ISNUMBER(V1092),C1092=V1092)),V1092,C1092))</f>
        <v/>
      </c>
    </row>
    <row r="1093" spans="5:22" x14ac:dyDescent="0.25">
      <c r="E1093" s="21" t="str">
        <f t="shared" si="82"/>
        <v/>
      </c>
      <c r="F1093" s="21"/>
      <c r="G1093" s="21"/>
      <c r="H1093" s="21"/>
      <c r="I1093" s="21"/>
      <c r="J1093" s="21"/>
      <c r="K1093" s="21"/>
      <c r="L1093" s="16" t="str">
        <f t="shared" ca="1" si="83"/>
        <v/>
      </c>
      <c r="M1093" s="22" t="str">
        <f t="shared" ca="1" si="84"/>
        <v/>
      </c>
      <c r="U1093" s="23" t="str">
        <f t="shared" si="85"/>
        <v/>
      </c>
      <c r="V1093" s="23" t="str">
        <f t="shared" si="86"/>
        <v/>
      </c>
    </row>
    <row r="1094" spans="5:22" x14ac:dyDescent="0.25">
      <c r="E1094" s="21" t="str">
        <f t="shared" si="82"/>
        <v/>
      </c>
      <c r="F1094" s="21"/>
      <c r="G1094" s="21"/>
      <c r="H1094" s="21"/>
      <c r="I1094" s="21"/>
      <c r="J1094" s="21"/>
      <c r="K1094" s="21"/>
      <c r="L1094" s="16" t="str">
        <f t="shared" ca="1" si="83"/>
        <v/>
      </c>
      <c r="M1094" s="22" t="str">
        <f t="shared" ca="1" si="84"/>
        <v/>
      </c>
      <c r="U1094" s="23" t="str">
        <f t="shared" si="85"/>
        <v/>
      </c>
      <c r="V1094" s="23" t="str">
        <f t="shared" si="86"/>
        <v/>
      </c>
    </row>
    <row r="1095" spans="5:22" x14ac:dyDescent="0.25">
      <c r="E1095" s="21" t="str">
        <f t="shared" si="82"/>
        <v/>
      </c>
      <c r="F1095" s="21"/>
      <c r="G1095" s="21"/>
      <c r="H1095" s="21"/>
      <c r="I1095" s="21"/>
      <c r="J1095" s="21"/>
      <c r="K1095" s="21"/>
      <c r="L1095" s="16" t="str">
        <f t="shared" ca="1" si="83"/>
        <v/>
      </c>
      <c r="M1095" s="22" t="str">
        <f t="shared" ca="1" si="84"/>
        <v/>
      </c>
      <c r="U1095" s="23" t="str">
        <f t="shared" si="85"/>
        <v/>
      </c>
      <c r="V1095" s="23" t="str">
        <f t="shared" si="86"/>
        <v/>
      </c>
    </row>
    <row r="1096" spans="5:22" x14ac:dyDescent="0.25">
      <c r="E1096" s="21" t="str">
        <f t="shared" si="82"/>
        <v/>
      </c>
      <c r="F1096" s="21"/>
      <c r="G1096" s="21"/>
      <c r="H1096" s="21"/>
      <c r="I1096" s="21"/>
      <c r="J1096" s="21"/>
      <c r="K1096" s="21"/>
      <c r="L1096" s="16" t="str">
        <f t="shared" ca="1" si="83"/>
        <v/>
      </c>
      <c r="M1096" s="22" t="str">
        <f t="shared" ca="1" si="84"/>
        <v/>
      </c>
      <c r="U1096" s="23" t="str">
        <f t="shared" si="85"/>
        <v/>
      </c>
      <c r="V1096" s="23" t="str">
        <f t="shared" si="86"/>
        <v/>
      </c>
    </row>
    <row r="1097" spans="5:22" x14ac:dyDescent="0.25">
      <c r="E1097" s="21" t="str">
        <f t="shared" si="82"/>
        <v/>
      </c>
      <c r="F1097" s="21"/>
      <c r="G1097" s="21"/>
      <c r="H1097" s="21"/>
      <c r="I1097" s="21"/>
      <c r="J1097" s="21"/>
      <c r="K1097" s="21"/>
      <c r="L1097" s="16" t="str">
        <f t="shared" ca="1" si="83"/>
        <v/>
      </c>
      <c r="M1097" s="22" t="str">
        <f t="shared" ca="1" si="84"/>
        <v/>
      </c>
      <c r="U1097" s="23" t="str">
        <f t="shared" si="85"/>
        <v/>
      </c>
      <c r="V1097" s="23" t="str">
        <f t="shared" si="86"/>
        <v/>
      </c>
    </row>
    <row r="1098" spans="5:22" x14ac:dyDescent="0.25">
      <c r="E1098" s="21" t="str">
        <f t="shared" si="82"/>
        <v/>
      </c>
      <c r="F1098" s="21"/>
      <c r="G1098" s="21"/>
      <c r="H1098" s="21"/>
      <c r="I1098" s="21"/>
      <c r="J1098" s="21"/>
      <c r="K1098" s="21"/>
      <c r="L1098" s="16" t="str">
        <f t="shared" ca="1" si="83"/>
        <v/>
      </c>
      <c r="M1098" s="22" t="str">
        <f t="shared" ca="1" si="84"/>
        <v/>
      </c>
      <c r="U1098" s="23" t="str">
        <f t="shared" si="85"/>
        <v/>
      </c>
      <c r="V1098" s="23" t="str">
        <f t="shared" si="86"/>
        <v/>
      </c>
    </row>
    <row r="1099" spans="5:22" x14ac:dyDescent="0.25">
      <c r="E1099" s="21" t="str">
        <f t="shared" si="82"/>
        <v/>
      </c>
      <c r="F1099" s="21"/>
      <c r="G1099" s="21"/>
      <c r="H1099" s="21"/>
      <c r="I1099" s="21"/>
      <c r="J1099" s="21"/>
      <c r="K1099" s="21"/>
      <c r="L1099" s="16" t="str">
        <f t="shared" ca="1" si="83"/>
        <v/>
      </c>
      <c r="M1099" s="22" t="str">
        <f t="shared" ca="1" si="84"/>
        <v/>
      </c>
      <c r="U1099" s="23" t="str">
        <f t="shared" si="85"/>
        <v/>
      </c>
      <c r="V1099" s="23" t="str">
        <f t="shared" si="86"/>
        <v/>
      </c>
    </row>
    <row r="1100" spans="5:22" x14ac:dyDescent="0.25">
      <c r="E1100" s="21" t="str">
        <f t="shared" si="82"/>
        <v/>
      </c>
      <c r="F1100" s="21"/>
      <c r="G1100" s="21"/>
      <c r="H1100" s="21"/>
      <c r="I1100" s="21"/>
      <c r="J1100" s="21"/>
      <c r="K1100" s="21"/>
      <c r="L1100" s="16" t="str">
        <f t="shared" ca="1" si="83"/>
        <v/>
      </c>
      <c r="M1100" s="22" t="str">
        <f t="shared" ca="1" si="84"/>
        <v/>
      </c>
      <c r="U1100" s="23" t="str">
        <f t="shared" si="85"/>
        <v/>
      </c>
      <c r="V1100" s="23" t="str">
        <f t="shared" si="86"/>
        <v/>
      </c>
    </row>
    <row r="1101" spans="5:22" x14ac:dyDescent="0.25">
      <c r="E1101" s="21" t="str">
        <f t="shared" si="82"/>
        <v/>
      </c>
      <c r="F1101" s="21"/>
      <c r="G1101" s="21"/>
      <c r="H1101" s="21"/>
      <c r="I1101" s="21"/>
      <c r="J1101" s="21"/>
      <c r="K1101" s="21"/>
      <c r="L1101" s="16" t="str">
        <f t="shared" ca="1" si="83"/>
        <v/>
      </c>
      <c r="M1101" s="22" t="str">
        <f t="shared" ca="1" si="84"/>
        <v/>
      </c>
      <c r="U1101" s="23" t="str">
        <f t="shared" si="85"/>
        <v/>
      </c>
      <c r="V1101" s="23" t="str">
        <f t="shared" si="86"/>
        <v/>
      </c>
    </row>
    <row r="1102" spans="5:22" x14ac:dyDescent="0.25">
      <c r="E1102" s="21" t="str">
        <f t="shared" si="82"/>
        <v/>
      </c>
      <c r="F1102" s="21"/>
      <c r="G1102" s="21"/>
      <c r="H1102" s="21"/>
      <c r="I1102" s="21"/>
      <c r="J1102" s="21"/>
      <c r="K1102" s="21"/>
      <c r="L1102" s="16" t="str">
        <f t="shared" ca="1" si="83"/>
        <v/>
      </c>
      <c r="M1102" s="22" t="str">
        <f t="shared" ca="1" si="84"/>
        <v/>
      </c>
      <c r="U1102" s="23" t="str">
        <f t="shared" si="85"/>
        <v/>
      </c>
      <c r="V1102" s="23" t="str">
        <f t="shared" si="86"/>
        <v/>
      </c>
    </row>
    <row r="1103" spans="5:22" x14ac:dyDescent="0.25">
      <c r="E1103" s="21" t="str">
        <f t="shared" si="82"/>
        <v/>
      </c>
      <c r="F1103" s="21"/>
      <c r="G1103" s="21"/>
      <c r="H1103" s="21"/>
      <c r="I1103" s="21"/>
      <c r="J1103" s="21"/>
      <c r="K1103" s="21"/>
      <c r="L1103" s="16" t="str">
        <f t="shared" ca="1" si="83"/>
        <v/>
      </c>
      <c r="M1103" s="22" t="str">
        <f t="shared" ca="1" si="84"/>
        <v/>
      </c>
      <c r="U1103" s="23" t="str">
        <f t="shared" si="85"/>
        <v/>
      </c>
      <c r="V1103" s="23" t="str">
        <f t="shared" si="86"/>
        <v/>
      </c>
    </row>
    <row r="1104" spans="5:22" x14ac:dyDescent="0.25">
      <c r="E1104" s="21" t="str">
        <f t="shared" si="82"/>
        <v/>
      </c>
      <c r="F1104" s="21"/>
      <c r="G1104" s="21"/>
      <c r="H1104" s="21"/>
      <c r="I1104" s="21"/>
      <c r="J1104" s="21"/>
      <c r="K1104" s="21"/>
      <c r="L1104" s="16" t="str">
        <f t="shared" ca="1" si="83"/>
        <v/>
      </c>
      <c r="M1104" s="22" t="str">
        <f t="shared" ca="1" si="84"/>
        <v/>
      </c>
      <c r="U1104" s="23" t="str">
        <f t="shared" si="85"/>
        <v/>
      </c>
      <c r="V1104" s="23" t="str">
        <f t="shared" si="86"/>
        <v/>
      </c>
    </row>
    <row r="1105" spans="5:22" x14ac:dyDescent="0.25">
      <c r="E1105" s="21" t="str">
        <f t="shared" si="82"/>
        <v/>
      </c>
      <c r="F1105" s="21"/>
      <c r="G1105" s="21"/>
      <c r="H1105" s="21"/>
      <c r="I1105" s="21"/>
      <c r="J1105" s="21"/>
      <c r="K1105" s="21"/>
      <c r="L1105" s="16" t="str">
        <f t="shared" ca="1" si="83"/>
        <v/>
      </c>
      <c r="M1105" s="22" t="str">
        <f t="shared" ca="1" si="84"/>
        <v/>
      </c>
      <c r="U1105" s="23" t="str">
        <f t="shared" si="85"/>
        <v/>
      </c>
      <c r="V1105" s="23" t="str">
        <f t="shared" si="86"/>
        <v/>
      </c>
    </row>
    <row r="1106" spans="5:22" x14ac:dyDescent="0.25">
      <c r="E1106" s="21" t="str">
        <f t="shared" si="82"/>
        <v/>
      </c>
      <c r="F1106" s="21"/>
      <c r="G1106" s="21"/>
      <c r="H1106" s="21"/>
      <c r="I1106" s="21"/>
      <c r="J1106" s="21"/>
      <c r="K1106" s="21"/>
      <c r="L1106" s="16" t="str">
        <f t="shared" ca="1" si="83"/>
        <v/>
      </c>
      <c r="M1106" s="22" t="str">
        <f t="shared" ca="1" si="84"/>
        <v/>
      </c>
      <c r="U1106" s="23" t="str">
        <f t="shared" si="85"/>
        <v/>
      </c>
      <c r="V1106" s="23" t="str">
        <f t="shared" si="86"/>
        <v/>
      </c>
    </row>
    <row r="1107" spans="5:22" x14ac:dyDescent="0.25">
      <c r="E1107" s="21" t="str">
        <f t="shared" si="82"/>
        <v/>
      </c>
      <c r="F1107" s="21"/>
      <c r="G1107" s="21"/>
      <c r="H1107" s="21"/>
      <c r="I1107" s="21"/>
      <c r="J1107" s="21"/>
      <c r="K1107" s="21"/>
      <c r="L1107" s="16" t="str">
        <f t="shared" ca="1" si="83"/>
        <v/>
      </c>
      <c r="M1107" s="22" t="str">
        <f t="shared" ca="1" si="84"/>
        <v/>
      </c>
      <c r="U1107" s="23" t="str">
        <f t="shared" si="85"/>
        <v/>
      </c>
      <c r="V1107" s="23" t="str">
        <f t="shared" si="86"/>
        <v/>
      </c>
    </row>
    <row r="1108" spans="5:22" x14ac:dyDescent="0.25">
      <c r="E1108" s="21" t="str">
        <f t="shared" si="82"/>
        <v/>
      </c>
      <c r="F1108" s="21"/>
      <c r="G1108" s="21"/>
      <c r="H1108" s="21"/>
      <c r="I1108" s="21"/>
      <c r="J1108" s="21"/>
      <c r="K1108" s="21"/>
      <c r="L1108" s="16" t="str">
        <f t="shared" ca="1" si="83"/>
        <v/>
      </c>
      <c r="M1108" s="22" t="str">
        <f t="shared" ca="1" si="84"/>
        <v/>
      </c>
      <c r="U1108" s="23" t="str">
        <f t="shared" si="85"/>
        <v/>
      </c>
      <c r="V1108" s="23" t="str">
        <f t="shared" si="86"/>
        <v/>
      </c>
    </row>
    <row r="1109" spans="5:22" x14ac:dyDescent="0.25">
      <c r="E1109" s="21" t="str">
        <f t="shared" si="82"/>
        <v/>
      </c>
      <c r="F1109" s="21"/>
      <c r="G1109" s="21"/>
      <c r="H1109" s="21"/>
      <c r="I1109" s="21"/>
      <c r="J1109" s="21"/>
      <c r="K1109" s="21"/>
      <c r="L1109" s="16" t="str">
        <f t="shared" ca="1" si="83"/>
        <v/>
      </c>
      <c r="M1109" s="22" t="str">
        <f t="shared" ca="1" si="84"/>
        <v/>
      </c>
      <c r="U1109" s="23" t="str">
        <f t="shared" si="85"/>
        <v/>
      </c>
      <c r="V1109" s="23" t="str">
        <f t="shared" si="86"/>
        <v/>
      </c>
    </row>
    <row r="1110" spans="5:22" x14ac:dyDescent="0.25">
      <c r="E1110" s="21" t="str">
        <f t="shared" si="82"/>
        <v/>
      </c>
      <c r="F1110" s="21"/>
      <c r="G1110" s="21"/>
      <c r="H1110" s="21"/>
      <c r="I1110" s="21"/>
      <c r="J1110" s="21"/>
      <c r="K1110" s="21"/>
      <c r="L1110" s="16" t="str">
        <f t="shared" ca="1" si="83"/>
        <v/>
      </c>
      <c r="M1110" s="22" t="str">
        <f t="shared" ca="1" si="84"/>
        <v/>
      </c>
      <c r="U1110" s="23" t="str">
        <f t="shared" si="85"/>
        <v/>
      </c>
      <c r="V1110" s="23" t="str">
        <f t="shared" si="86"/>
        <v/>
      </c>
    </row>
    <row r="1111" spans="5:22" x14ac:dyDescent="0.25">
      <c r="E1111" s="21" t="str">
        <f t="shared" si="82"/>
        <v/>
      </c>
      <c r="F1111" s="21"/>
      <c r="G1111" s="21"/>
      <c r="H1111" s="21"/>
      <c r="I1111" s="21"/>
      <c r="J1111" s="21"/>
      <c r="K1111" s="21"/>
      <c r="L1111" s="16" t="str">
        <f t="shared" ca="1" si="83"/>
        <v/>
      </c>
      <c r="M1111" s="22" t="str">
        <f t="shared" ca="1" si="84"/>
        <v/>
      </c>
      <c r="U1111" s="23" t="str">
        <f t="shared" si="85"/>
        <v/>
      </c>
      <c r="V1111" s="23" t="str">
        <f t="shared" si="86"/>
        <v/>
      </c>
    </row>
    <row r="1112" spans="5:22" x14ac:dyDescent="0.25">
      <c r="E1112" s="21" t="str">
        <f t="shared" si="82"/>
        <v/>
      </c>
      <c r="F1112" s="21"/>
      <c r="G1112" s="21"/>
      <c r="H1112" s="21"/>
      <c r="I1112" s="21"/>
      <c r="J1112" s="21"/>
      <c r="K1112" s="21"/>
      <c r="L1112" s="16" t="str">
        <f t="shared" ca="1" si="83"/>
        <v/>
      </c>
      <c r="M1112" s="22" t="str">
        <f t="shared" ca="1" si="84"/>
        <v/>
      </c>
      <c r="U1112" s="23" t="str">
        <f t="shared" si="85"/>
        <v/>
      </c>
      <c r="V1112" s="23" t="str">
        <f t="shared" si="86"/>
        <v/>
      </c>
    </row>
    <row r="1113" spans="5:22" x14ac:dyDescent="0.25">
      <c r="E1113" s="21" t="str">
        <f t="shared" si="82"/>
        <v/>
      </c>
      <c r="F1113" s="21"/>
      <c r="G1113" s="21"/>
      <c r="H1113" s="21"/>
      <c r="I1113" s="21"/>
      <c r="J1113" s="21"/>
      <c r="K1113" s="21"/>
      <c r="L1113" s="16" t="str">
        <f t="shared" ca="1" si="83"/>
        <v/>
      </c>
      <c r="M1113" s="22" t="str">
        <f t="shared" ca="1" si="84"/>
        <v/>
      </c>
      <c r="U1113" s="23" t="str">
        <f t="shared" si="85"/>
        <v/>
      </c>
      <c r="V1113" s="23" t="str">
        <f t="shared" si="86"/>
        <v/>
      </c>
    </row>
    <row r="1114" spans="5:22" x14ac:dyDescent="0.25">
      <c r="E1114" s="21" t="str">
        <f t="shared" si="82"/>
        <v/>
      </c>
      <c r="F1114" s="21"/>
      <c r="G1114" s="21"/>
      <c r="H1114" s="21"/>
      <c r="I1114" s="21"/>
      <c r="J1114" s="21"/>
      <c r="K1114" s="21"/>
      <c r="L1114" s="16" t="str">
        <f t="shared" ca="1" si="83"/>
        <v/>
      </c>
      <c r="M1114" s="22" t="str">
        <f t="shared" ca="1" si="84"/>
        <v/>
      </c>
      <c r="U1114" s="23" t="str">
        <f t="shared" si="85"/>
        <v/>
      </c>
      <c r="V1114" s="23" t="str">
        <f t="shared" si="86"/>
        <v/>
      </c>
    </row>
    <row r="1115" spans="5:22" x14ac:dyDescent="0.25">
      <c r="E1115" s="21" t="str">
        <f t="shared" si="82"/>
        <v/>
      </c>
      <c r="F1115" s="21"/>
      <c r="G1115" s="21"/>
      <c r="H1115" s="21"/>
      <c r="I1115" s="21"/>
      <c r="J1115" s="21"/>
      <c r="K1115" s="21"/>
      <c r="L1115" s="16" t="str">
        <f t="shared" ca="1" si="83"/>
        <v/>
      </c>
      <c r="M1115" s="22" t="str">
        <f t="shared" ca="1" si="84"/>
        <v/>
      </c>
      <c r="U1115" s="23" t="str">
        <f t="shared" si="85"/>
        <v/>
      </c>
      <c r="V1115" s="23" t="str">
        <f t="shared" si="86"/>
        <v/>
      </c>
    </row>
    <row r="1116" spans="5:22" x14ac:dyDescent="0.25">
      <c r="E1116" s="21" t="str">
        <f t="shared" si="82"/>
        <v/>
      </c>
      <c r="F1116" s="21"/>
      <c r="G1116" s="21"/>
      <c r="H1116" s="21"/>
      <c r="I1116" s="21"/>
      <c r="J1116" s="21"/>
      <c r="K1116" s="21"/>
      <c r="L1116" s="16" t="str">
        <f t="shared" ca="1" si="83"/>
        <v/>
      </c>
      <c r="M1116" s="22" t="str">
        <f t="shared" ca="1" si="84"/>
        <v/>
      </c>
      <c r="U1116" s="23" t="str">
        <f t="shared" si="85"/>
        <v/>
      </c>
      <c r="V1116" s="23" t="str">
        <f t="shared" si="86"/>
        <v/>
      </c>
    </row>
    <row r="1117" spans="5:22" x14ac:dyDescent="0.25">
      <c r="E1117" s="21" t="str">
        <f t="shared" si="82"/>
        <v/>
      </c>
      <c r="F1117" s="21"/>
      <c r="G1117" s="21"/>
      <c r="H1117" s="21"/>
      <c r="I1117" s="21"/>
      <c r="J1117" s="21"/>
      <c r="K1117" s="21"/>
      <c r="L1117" s="16" t="str">
        <f t="shared" ca="1" si="83"/>
        <v/>
      </c>
      <c r="M1117" s="22" t="str">
        <f t="shared" ca="1" si="84"/>
        <v/>
      </c>
      <c r="U1117" s="23" t="str">
        <f t="shared" si="85"/>
        <v/>
      </c>
      <c r="V1117" s="23" t="str">
        <f t="shared" si="86"/>
        <v/>
      </c>
    </row>
    <row r="1118" spans="5:22" x14ac:dyDescent="0.25">
      <c r="E1118" s="21" t="str">
        <f t="shared" si="82"/>
        <v/>
      </c>
      <c r="F1118" s="21"/>
      <c r="G1118" s="21"/>
      <c r="H1118" s="21"/>
      <c r="I1118" s="21"/>
      <c r="J1118" s="21"/>
      <c r="K1118" s="21"/>
      <c r="L1118" s="16" t="str">
        <f t="shared" ca="1" si="83"/>
        <v/>
      </c>
      <c r="M1118" s="22" t="str">
        <f t="shared" ca="1" si="84"/>
        <v/>
      </c>
      <c r="U1118" s="23" t="str">
        <f t="shared" si="85"/>
        <v/>
      </c>
      <c r="V1118" s="23" t="str">
        <f t="shared" si="86"/>
        <v/>
      </c>
    </row>
    <row r="1119" spans="5:22" x14ac:dyDescent="0.25">
      <c r="E1119" s="21" t="str">
        <f t="shared" si="82"/>
        <v/>
      </c>
      <c r="F1119" s="21"/>
      <c r="G1119" s="21"/>
      <c r="H1119" s="21"/>
      <c r="I1119" s="21"/>
      <c r="J1119" s="21"/>
      <c r="K1119" s="21"/>
      <c r="L1119" s="16" t="str">
        <f t="shared" ca="1" si="83"/>
        <v/>
      </c>
      <c r="M1119" s="22" t="str">
        <f t="shared" ca="1" si="84"/>
        <v/>
      </c>
      <c r="U1119" s="23" t="str">
        <f t="shared" si="85"/>
        <v/>
      </c>
      <c r="V1119" s="23" t="str">
        <f t="shared" si="86"/>
        <v/>
      </c>
    </row>
    <row r="1120" spans="5:22" x14ac:dyDescent="0.25">
      <c r="E1120" s="21" t="str">
        <f t="shared" si="82"/>
        <v/>
      </c>
      <c r="F1120" s="21"/>
      <c r="G1120" s="21"/>
      <c r="H1120" s="21"/>
      <c r="I1120" s="21"/>
      <c r="J1120" s="21"/>
      <c r="K1120" s="21"/>
      <c r="L1120" s="16" t="str">
        <f t="shared" ca="1" si="83"/>
        <v/>
      </c>
      <c r="M1120" s="22" t="str">
        <f t="shared" ca="1" si="84"/>
        <v/>
      </c>
      <c r="U1120" s="23" t="str">
        <f t="shared" si="85"/>
        <v/>
      </c>
      <c r="V1120" s="23" t="str">
        <f t="shared" si="86"/>
        <v/>
      </c>
    </row>
    <row r="1121" spans="5:22" x14ac:dyDescent="0.25">
      <c r="E1121" s="21" t="str">
        <f t="shared" si="82"/>
        <v/>
      </c>
      <c r="F1121" s="21"/>
      <c r="G1121" s="21"/>
      <c r="H1121" s="21"/>
      <c r="I1121" s="21"/>
      <c r="J1121" s="21"/>
      <c r="K1121" s="21"/>
      <c r="L1121" s="16" t="str">
        <f t="shared" ca="1" si="83"/>
        <v/>
      </c>
      <c r="M1121" s="22" t="str">
        <f t="shared" ca="1" si="84"/>
        <v/>
      </c>
      <c r="U1121" s="23" t="str">
        <f t="shared" si="85"/>
        <v/>
      </c>
      <c r="V1121" s="23" t="str">
        <f t="shared" si="86"/>
        <v/>
      </c>
    </row>
    <row r="1122" spans="5:22" x14ac:dyDescent="0.25">
      <c r="E1122" s="21" t="str">
        <f t="shared" si="82"/>
        <v/>
      </c>
      <c r="F1122" s="21"/>
      <c r="G1122" s="21"/>
      <c r="H1122" s="21"/>
      <c r="I1122" s="21"/>
      <c r="J1122" s="21"/>
      <c r="K1122" s="21"/>
      <c r="L1122" s="16" t="str">
        <f t="shared" ca="1" si="83"/>
        <v/>
      </c>
      <c r="M1122" s="22" t="str">
        <f t="shared" ca="1" si="84"/>
        <v/>
      </c>
      <c r="U1122" s="23" t="str">
        <f t="shared" si="85"/>
        <v/>
      </c>
      <c r="V1122" s="23" t="str">
        <f t="shared" si="86"/>
        <v/>
      </c>
    </row>
    <row r="1123" spans="5:22" x14ac:dyDescent="0.25">
      <c r="E1123" s="21" t="str">
        <f t="shared" si="82"/>
        <v/>
      </c>
      <c r="F1123" s="21"/>
      <c r="G1123" s="21"/>
      <c r="H1123" s="21"/>
      <c r="I1123" s="21"/>
      <c r="J1123" s="21"/>
      <c r="K1123" s="21"/>
      <c r="L1123" s="16" t="str">
        <f t="shared" ca="1" si="83"/>
        <v/>
      </c>
      <c r="M1123" s="22" t="str">
        <f t="shared" ca="1" si="84"/>
        <v/>
      </c>
      <c r="U1123" s="23" t="str">
        <f t="shared" si="85"/>
        <v/>
      </c>
      <c r="V1123" s="23" t="str">
        <f t="shared" si="86"/>
        <v/>
      </c>
    </row>
    <row r="1124" spans="5:22" x14ac:dyDescent="0.25">
      <c r="E1124" s="21" t="str">
        <f t="shared" si="82"/>
        <v/>
      </c>
      <c r="F1124" s="21"/>
      <c r="G1124" s="21"/>
      <c r="H1124" s="21"/>
      <c r="I1124" s="21"/>
      <c r="J1124" s="21"/>
      <c r="K1124" s="21"/>
      <c r="L1124" s="16" t="str">
        <f t="shared" ca="1" si="83"/>
        <v/>
      </c>
      <c r="M1124" s="22" t="str">
        <f t="shared" ca="1" si="84"/>
        <v/>
      </c>
      <c r="U1124" s="23" t="str">
        <f t="shared" si="85"/>
        <v/>
      </c>
      <c r="V1124" s="23" t="str">
        <f t="shared" si="86"/>
        <v/>
      </c>
    </row>
    <row r="1125" spans="5:22" x14ac:dyDescent="0.25">
      <c r="E1125" s="21" t="str">
        <f t="shared" ref="E1125:E1188" si="87">IF(ISNUMBER(SEARCH("v crs",D1125))=TRUE,"VC",IF(ISNUMBER(SEARCH("crs",D1125))=TRUE,"C",IF(ISNUMBER(SEARCH("med",D1125))=TRUE,"M",IF(ISNUMBER(SEARCH("vf",D1125))=TRUE,"VF",IF(ISNUMBER(SEARCH("f",D1125))=TRUE,"F","")))))</f>
        <v/>
      </c>
      <c r="F1125" s="21"/>
      <c r="G1125" s="21"/>
      <c r="H1125" s="21"/>
      <c r="I1125" s="21"/>
      <c r="J1125" s="21"/>
      <c r="K1125" s="21"/>
      <c r="L1125" s="16" t="str">
        <f t="shared" ca="1" si="83"/>
        <v/>
      </c>
      <c r="M1125" s="22" t="str">
        <f t="shared" ca="1" si="84"/>
        <v/>
      </c>
      <c r="U1125" s="23" t="str">
        <f t="shared" si="85"/>
        <v/>
      </c>
      <c r="V1125" s="23" t="str">
        <f t="shared" si="86"/>
        <v/>
      </c>
    </row>
    <row r="1126" spans="5:22" x14ac:dyDescent="0.25">
      <c r="E1126" s="21" t="str">
        <f t="shared" si="87"/>
        <v/>
      </c>
      <c r="F1126" s="21"/>
      <c r="G1126" s="21"/>
      <c r="H1126" s="21"/>
      <c r="I1126" s="21"/>
      <c r="J1126" s="21"/>
      <c r="K1126" s="21"/>
      <c r="L1126" s="16" t="str">
        <f t="shared" ca="1" si="83"/>
        <v/>
      </c>
      <c r="M1126" s="22" t="str">
        <f t="shared" ca="1" si="84"/>
        <v/>
      </c>
      <c r="U1126" s="23" t="str">
        <f t="shared" si="85"/>
        <v/>
      </c>
      <c r="V1126" s="23" t="str">
        <f t="shared" si="86"/>
        <v/>
      </c>
    </row>
    <row r="1127" spans="5:22" x14ac:dyDescent="0.25">
      <c r="E1127" s="21" t="str">
        <f t="shared" si="87"/>
        <v/>
      </c>
      <c r="F1127" s="21"/>
      <c r="G1127" s="21"/>
      <c r="H1127" s="21"/>
      <c r="I1127" s="21"/>
      <c r="J1127" s="21"/>
      <c r="K1127" s="21"/>
      <c r="L1127" s="16" t="str">
        <f t="shared" ca="1" si="83"/>
        <v/>
      </c>
      <c r="M1127" s="22" t="str">
        <f t="shared" ca="1" si="84"/>
        <v/>
      </c>
      <c r="U1127" s="23" t="str">
        <f t="shared" si="85"/>
        <v/>
      </c>
      <c r="V1127" s="23" t="str">
        <f t="shared" si="86"/>
        <v/>
      </c>
    </row>
    <row r="1128" spans="5:22" x14ac:dyDescent="0.25">
      <c r="E1128" s="21" t="str">
        <f t="shared" si="87"/>
        <v/>
      </c>
      <c r="F1128" s="21"/>
      <c r="G1128" s="21"/>
      <c r="H1128" s="21"/>
      <c r="I1128" s="21"/>
      <c r="J1128" s="21"/>
      <c r="K1128" s="21"/>
      <c r="L1128" s="16" t="str">
        <f t="shared" ca="1" si="83"/>
        <v/>
      </c>
      <c r="M1128" s="22" t="str">
        <f t="shared" ca="1" si="84"/>
        <v/>
      </c>
      <c r="U1128" s="23" t="str">
        <f t="shared" si="85"/>
        <v/>
      </c>
      <c r="V1128" s="23" t="str">
        <f t="shared" si="86"/>
        <v/>
      </c>
    </row>
    <row r="1129" spans="5:22" x14ac:dyDescent="0.25">
      <c r="E1129" s="21" t="str">
        <f t="shared" si="87"/>
        <v/>
      </c>
      <c r="F1129" s="21"/>
      <c r="G1129" s="21"/>
      <c r="H1129" s="21"/>
      <c r="I1129" s="21"/>
      <c r="J1129" s="21"/>
      <c r="K1129" s="21"/>
      <c r="L1129" s="16" t="str">
        <f t="shared" ca="1" si="83"/>
        <v/>
      </c>
      <c r="M1129" s="22" t="str">
        <f t="shared" ca="1" si="84"/>
        <v/>
      </c>
      <c r="U1129" s="23" t="str">
        <f t="shared" si="85"/>
        <v/>
      </c>
      <c r="V1129" s="23" t="str">
        <f t="shared" si="86"/>
        <v/>
      </c>
    </row>
    <row r="1130" spans="5:22" x14ac:dyDescent="0.25">
      <c r="E1130" s="21" t="str">
        <f t="shared" si="87"/>
        <v/>
      </c>
      <c r="F1130" s="21"/>
      <c r="G1130" s="21"/>
      <c r="H1130" s="21"/>
      <c r="I1130" s="21"/>
      <c r="J1130" s="21"/>
      <c r="K1130" s="21"/>
      <c r="L1130" s="16" t="str">
        <f t="shared" ca="1" si="83"/>
        <v/>
      </c>
      <c r="M1130" s="22" t="str">
        <f t="shared" ca="1" si="84"/>
        <v/>
      </c>
      <c r="U1130" s="23" t="str">
        <f t="shared" si="85"/>
        <v/>
      </c>
      <c r="V1130" s="23" t="str">
        <f t="shared" si="86"/>
        <v/>
      </c>
    </row>
    <row r="1131" spans="5:22" x14ac:dyDescent="0.25">
      <c r="E1131" s="21" t="str">
        <f t="shared" si="87"/>
        <v/>
      </c>
      <c r="F1131" s="21"/>
      <c r="G1131" s="21"/>
      <c r="H1131" s="21"/>
      <c r="I1131" s="21"/>
      <c r="J1131" s="21"/>
      <c r="K1131" s="21"/>
      <c r="L1131" s="16" t="str">
        <f t="shared" ca="1" si="83"/>
        <v/>
      </c>
      <c r="M1131" s="22" t="str">
        <f t="shared" ca="1" si="84"/>
        <v/>
      </c>
      <c r="U1131" s="23" t="str">
        <f t="shared" si="85"/>
        <v/>
      </c>
      <c r="V1131" s="23" t="str">
        <f t="shared" si="86"/>
        <v/>
      </c>
    </row>
    <row r="1132" spans="5:22" x14ac:dyDescent="0.25">
      <c r="E1132" s="21" t="str">
        <f t="shared" si="87"/>
        <v/>
      </c>
      <c r="F1132" s="21"/>
      <c r="G1132" s="21"/>
      <c r="H1132" s="21"/>
      <c r="I1132" s="21"/>
      <c r="J1132" s="21"/>
      <c r="K1132" s="21"/>
      <c r="L1132" s="16" t="str">
        <f t="shared" ca="1" si="83"/>
        <v/>
      </c>
      <c r="M1132" s="22" t="str">
        <f t="shared" ca="1" si="84"/>
        <v/>
      </c>
      <c r="U1132" s="23" t="str">
        <f t="shared" si="85"/>
        <v/>
      </c>
      <c r="V1132" s="23" t="str">
        <f t="shared" si="86"/>
        <v/>
      </c>
    </row>
    <row r="1133" spans="5:22" x14ac:dyDescent="0.25">
      <c r="E1133" s="21" t="str">
        <f t="shared" si="87"/>
        <v/>
      </c>
      <c r="F1133" s="21"/>
      <c r="G1133" s="21"/>
      <c r="H1133" s="21"/>
      <c r="I1133" s="21"/>
      <c r="J1133" s="21"/>
      <c r="K1133" s="21"/>
      <c r="L1133" s="16" t="str">
        <f t="shared" ca="1" si="83"/>
        <v/>
      </c>
      <c r="M1133" s="22" t="str">
        <f t="shared" ca="1" si="84"/>
        <v/>
      </c>
      <c r="U1133" s="23" t="str">
        <f t="shared" si="85"/>
        <v/>
      </c>
      <c r="V1133" s="23" t="str">
        <f t="shared" si="86"/>
        <v/>
      </c>
    </row>
    <row r="1134" spans="5:22" x14ac:dyDescent="0.25">
      <c r="E1134" s="21" t="str">
        <f t="shared" si="87"/>
        <v/>
      </c>
      <c r="F1134" s="21"/>
      <c r="G1134" s="21"/>
      <c r="H1134" s="21"/>
      <c r="I1134" s="21"/>
      <c r="J1134" s="21"/>
      <c r="K1134" s="21"/>
      <c r="L1134" s="16" t="str">
        <f t="shared" ca="1" si="83"/>
        <v/>
      </c>
      <c r="M1134" s="22" t="str">
        <f t="shared" ca="1" si="84"/>
        <v/>
      </c>
      <c r="U1134" s="23" t="str">
        <f t="shared" si="85"/>
        <v/>
      </c>
      <c r="V1134" s="23" t="str">
        <f t="shared" si="86"/>
        <v/>
      </c>
    </row>
    <row r="1135" spans="5:22" x14ac:dyDescent="0.25">
      <c r="E1135" s="21" t="str">
        <f t="shared" si="87"/>
        <v/>
      </c>
      <c r="F1135" s="21"/>
      <c r="G1135" s="21"/>
      <c r="H1135" s="21"/>
      <c r="I1135" s="21"/>
      <c r="J1135" s="21"/>
      <c r="K1135" s="21"/>
      <c r="L1135" s="16" t="str">
        <f t="shared" ca="1" si="83"/>
        <v/>
      </c>
      <c r="M1135" s="22" t="str">
        <f t="shared" ca="1" si="84"/>
        <v/>
      </c>
      <c r="U1135" s="23" t="str">
        <f t="shared" si="85"/>
        <v/>
      </c>
      <c r="V1135" s="23" t="str">
        <f t="shared" si="86"/>
        <v/>
      </c>
    </row>
    <row r="1136" spans="5:22" x14ac:dyDescent="0.25">
      <c r="E1136" s="21" t="str">
        <f t="shared" si="87"/>
        <v/>
      </c>
      <c r="F1136" s="21"/>
      <c r="G1136" s="21"/>
      <c r="H1136" s="21"/>
      <c r="I1136" s="21"/>
      <c r="J1136" s="21"/>
      <c r="K1136" s="21"/>
      <c r="L1136" s="16" t="str">
        <f t="shared" ca="1" si="83"/>
        <v/>
      </c>
      <c r="M1136" s="22" t="str">
        <f t="shared" ca="1" si="84"/>
        <v/>
      </c>
      <c r="U1136" s="23" t="str">
        <f t="shared" si="85"/>
        <v/>
      </c>
      <c r="V1136" s="23" t="str">
        <f t="shared" si="86"/>
        <v/>
      </c>
    </row>
    <row r="1137" spans="5:22" x14ac:dyDescent="0.25">
      <c r="E1137" s="21" t="str">
        <f t="shared" si="87"/>
        <v/>
      </c>
      <c r="F1137" s="21"/>
      <c r="G1137" s="21"/>
      <c r="H1137" s="21"/>
      <c r="I1137" s="21"/>
      <c r="J1137" s="21"/>
      <c r="K1137" s="21"/>
      <c r="L1137" s="16" t="str">
        <f t="shared" ca="1" si="83"/>
        <v/>
      </c>
      <c r="M1137" s="22" t="str">
        <f t="shared" ca="1" si="84"/>
        <v/>
      </c>
      <c r="U1137" s="23" t="str">
        <f t="shared" si="85"/>
        <v/>
      </c>
      <c r="V1137" s="23" t="str">
        <f t="shared" si="86"/>
        <v/>
      </c>
    </row>
    <row r="1138" spans="5:22" x14ac:dyDescent="0.25">
      <c r="E1138" s="21" t="str">
        <f t="shared" si="87"/>
        <v/>
      </c>
      <c r="F1138" s="21"/>
      <c r="G1138" s="21"/>
      <c r="H1138" s="21"/>
      <c r="I1138" s="21"/>
      <c r="J1138" s="21"/>
      <c r="K1138" s="21"/>
      <c r="L1138" s="16" t="str">
        <f t="shared" ca="1" si="83"/>
        <v/>
      </c>
      <c r="M1138" s="22" t="str">
        <f t="shared" ca="1" si="84"/>
        <v/>
      </c>
      <c r="U1138" s="23" t="str">
        <f t="shared" si="85"/>
        <v/>
      </c>
      <c r="V1138" s="23" t="str">
        <f t="shared" si="86"/>
        <v/>
      </c>
    </row>
    <row r="1139" spans="5:22" x14ac:dyDescent="0.25">
      <c r="E1139" s="21" t="str">
        <f t="shared" si="87"/>
        <v/>
      </c>
      <c r="F1139" s="21"/>
      <c r="G1139" s="21"/>
      <c r="H1139" s="21"/>
      <c r="I1139" s="21"/>
      <c r="J1139" s="21"/>
      <c r="K1139" s="21"/>
      <c r="L1139" s="16" t="str">
        <f t="shared" ca="1" si="83"/>
        <v/>
      </c>
      <c r="M1139" s="22" t="str">
        <f t="shared" ca="1" si="84"/>
        <v/>
      </c>
      <c r="U1139" s="23" t="str">
        <f t="shared" si="85"/>
        <v/>
      </c>
      <c r="V1139" s="23" t="str">
        <f t="shared" si="86"/>
        <v/>
      </c>
    </row>
    <row r="1140" spans="5:22" x14ac:dyDescent="0.25">
      <c r="E1140" s="21" t="str">
        <f t="shared" si="87"/>
        <v/>
      </c>
      <c r="F1140" s="21"/>
      <c r="G1140" s="21"/>
      <c r="H1140" s="21"/>
      <c r="I1140" s="21"/>
      <c r="J1140" s="21"/>
      <c r="K1140" s="21"/>
      <c r="L1140" s="16" t="str">
        <f t="shared" ca="1" si="83"/>
        <v/>
      </c>
      <c r="M1140" s="22" t="str">
        <f t="shared" ca="1" si="84"/>
        <v/>
      </c>
      <c r="U1140" s="23" t="str">
        <f t="shared" si="85"/>
        <v/>
      </c>
      <c r="V1140" s="23" t="str">
        <f t="shared" si="86"/>
        <v/>
      </c>
    </row>
    <row r="1141" spans="5:22" x14ac:dyDescent="0.25">
      <c r="E1141" s="21" t="str">
        <f t="shared" si="87"/>
        <v/>
      </c>
      <c r="F1141" s="21"/>
      <c r="G1141" s="21"/>
      <c r="H1141" s="21"/>
      <c r="I1141" s="21"/>
      <c r="J1141" s="21"/>
      <c r="K1141" s="21"/>
      <c r="L1141" s="16" t="str">
        <f t="shared" ca="1" si="83"/>
        <v/>
      </c>
      <c r="M1141" s="22" t="str">
        <f t="shared" ca="1" si="84"/>
        <v/>
      </c>
      <c r="U1141" s="23" t="str">
        <f t="shared" si="85"/>
        <v/>
      </c>
      <c r="V1141" s="23" t="str">
        <f t="shared" si="86"/>
        <v/>
      </c>
    </row>
    <row r="1142" spans="5:22" x14ac:dyDescent="0.25">
      <c r="E1142" s="21" t="str">
        <f t="shared" si="87"/>
        <v/>
      </c>
      <c r="F1142" s="21"/>
      <c r="G1142" s="21"/>
      <c r="H1142" s="21"/>
      <c r="I1142" s="21"/>
      <c r="J1142" s="21"/>
      <c r="K1142" s="21"/>
      <c r="L1142" s="16" t="str">
        <f t="shared" ca="1" si="83"/>
        <v/>
      </c>
      <c r="M1142" s="22" t="str">
        <f t="shared" ca="1" si="84"/>
        <v/>
      </c>
      <c r="U1142" s="23" t="str">
        <f t="shared" si="85"/>
        <v/>
      </c>
      <c r="V1142" s="23" t="str">
        <f t="shared" si="86"/>
        <v/>
      </c>
    </row>
    <row r="1143" spans="5:22" x14ac:dyDescent="0.25">
      <c r="E1143" s="21" t="str">
        <f t="shared" si="87"/>
        <v/>
      </c>
      <c r="F1143" s="21"/>
      <c r="G1143" s="21"/>
      <c r="H1143" s="21"/>
      <c r="I1143" s="21"/>
      <c r="J1143" s="21"/>
      <c r="K1143" s="21"/>
      <c r="L1143" s="16" t="str">
        <f t="shared" ca="1" si="83"/>
        <v/>
      </c>
      <c r="M1143" s="22" t="str">
        <f t="shared" ca="1" si="84"/>
        <v/>
      </c>
      <c r="U1143" s="23" t="str">
        <f t="shared" si="85"/>
        <v/>
      </c>
      <c r="V1143" s="23" t="str">
        <f t="shared" si="86"/>
        <v/>
      </c>
    </row>
    <row r="1144" spans="5:22" x14ac:dyDescent="0.25">
      <c r="E1144" s="21" t="str">
        <f t="shared" si="87"/>
        <v/>
      </c>
      <c r="F1144" s="21"/>
      <c r="G1144" s="21"/>
      <c r="H1144" s="21"/>
      <c r="I1144" s="21"/>
      <c r="J1144" s="21"/>
      <c r="K1144" s="21"/>
      <c r="L1144" s="16" t="str">
        <f t="shared" ca="1" si="83"/>
        <v/>
      </c>
      <c r="M1144" s="22" t="str">
        <f t="shared" ca="1" si="84"/>
        <v/>
      </c>
      <c r="U1144" s="23" t="str">
        <f t="shared" si="85"/>
        <v/>
      </c>
      <c r="V1144" s="23" t="str">
        <f t="shared" si="86"/>
        <v/>
      </c>
    </row>
    <row r="1145" spans="5:22" x14ac:dyDescent="0.25">
      <c r="E1145" s="21" t="str">
        <f t="shared" si="87"/>
        <v/>
      </c>
      <c r="F1145" s="21"/>
      <c r="G1145" s="21"/>
      <c r="H1145" s="21"/>
      <c r="I1145" s="21"/>
      <c r="J1145" s="21"/>
      <c r="K1145" s="21"/>
      <c r="L1145" s="16" t="str">
        <f t="shared" ca="1" si="83"/>
        <v/>
      </c>
      <c r="M1145" s="22" t="str">
        <f t="shared" ca="1" si="84"/>
        <v/>
      </c>
      <c r="U1145" s="23" t="str">
        <f t="shared" si="85"/>
        <v/>
      </c>
      <c r="V1145" s="23" t="str">
        <f t="shared" si="86"/>
        <v/>
      </c>
    </row>
    <row r="1146" spans="5:22" x14ac:dyDescent="0.25">
      <c r="E1146" s="21" t="str">
        <f t="shared" si="87"/>
        <v/>
      </c>
      <c r="F1146" s="21"/>
      <c r="G1146" s="21"/>
      <c r="H1146" s="21"/>
      <c r="I1146" s="21"/>
      <c r="J1146" s="21"/>
      <c r="K1146" s="21"/>
      <c r="L1146" s="16" t="str">
        <f t="shared" ca="1" si="83"/>
        <v/>
      </c>
      <c r="M1146" s="22" t="str">
        <f t="shared" ca="1" si="84"/>
        <v/>
      </c>
      <c r="U1146" s="23" t="str">
        <f t="shared" si="85"/>
        <v/>
      </c>
      <c r="V1146" s="23" t="str">
        <f t="shared" si="86"/>
        <v/>
      </c>
    </row>
    <row r="1147" spans="5:22" x14ac:dyDescent="0.25">
      <c r="E1147" s="21" t="str">
        <f t="shared" si="87"/>
        <v/>
      </c>
      <c r="F1147" s="21"/>
      <c r="G1147" s="21"/>
      <c r="H1147" s="21"/>
      <c r="I1147" s="21"/>
      <c r="J1147" s="21"/>
      <c r="K1147" s="21"/>
      <c r="L1147" s="16" t="str">
        <f t="shared" ca="1" si="83"/>
        <v/>
      </c>
      <c r="M1147" s="22" t="str">
        <f t="shared" ca="1" si="84"/>
        <v/>
      </c>
      <c r="U1147" s="23" t="str">
        <f t="shared" si="85"/>
        <v/>
      </c>
      <c r="V1147" s="23" t="str">
        <f t="shared" si="86"/>
        <v/>
      </c>
    </row>
    <row r="1148" spans="5:22" x14ac:dyDescent="0.25">
      <c r="E1148" s="21" t="str">
        <f t="shared" si="87"/>
        <v/>
      </c>
      <c r="F1148" s="21"/>
      <c r="G1148" s="21"/>
      <c r="H1148" s="21"/>
      <c r="I1148" s="21"/>
      <c r="J1148" s="21"/>
      <c r="K1148" s="21"/>
      <c r="L1148" s="16" t="str">
        <f t="shared" ca="1" si="83"/>
        <v/>
      </c>
      <c r="M1148" s="22" t="str">
        <f t="shared" ca="1" si="84"/>
        <v/>
      </c>
      <c r="U1148" s="23" t="str">
        <f t="shared" si="85"/>
        <v/>
      </c>
      <c r="V1148" s="23" t="str">
        <f t="shared" si="86"/>
        <v/>
      </c>
    </row>
    <row r="1149" spans="5:22" x14ac:dyDescent="0.25">
      <c r="E1149" s="21" t="str">
        <f t="shared" si="87"/>
        <v/>
      </c>
      <c r="F1149" s="21"/>
      <c r="G1149" s="21"/>
      <c r="H1149" s="21"/>
      <c r="I1149" s="21"/>
      <c r="J1149" s="21"/>
      <c r="K1149" s="21"/>
      <c r="L1149" s="16" t="str">
        <f t="shared" ref="L1149:L1212" ca="1" si="88">IF(AND(C1149&lt;&gt;"",C1149&lt;&gt;U1149),TODAY(),IF(C1149="","",L1149))</f>
        <v/>
      </c>
      <c r="M1149" s="22" t="str">
        <f t="shared" ref="M1149:M1212" ca="1" si="89">IF(AND(C1149&lt;&gt;"",C1149&lt;&gt;V1149),NOW(),IF(C1149="","",M1149))</f>
        <v/>
      </c>
      <c r="U1149" s="23" t="str">
        <f t="shared" si="85"/>
        <v/>
      </c>
      <c r="V1149" s="23" t="str">
        <f t="shared" si="86"/>
        <v/>
      </c>
    </row>
    <row r="1150" spans="5:22" x14ac:dyDescent="0.25">
      <c r="E1150" s="21" t="str">
        <f t="shared" si="87"/>
        <v/>
      </c>
      <c r="F1150" s="21"/>
      <c r="G1150" s="21"/>
      <c r="H1150" s="21"/>
      <c r="I1150" s="21"/>
      <c r="J1150" s="21"/>
      <c r="K1150" s="21"/>
      <c r="L1150" s="16" t="str">
        <f t="shared" ca="1" si="88"/>
        <v/>
      </c>
      <c r="M1150" s="22" t="str">
        <f t="shared" ca="1" si="89"/>
        <v/>
      </c>
      <c r="U1150" s="23" t="str">
        <f t="shared" si="85"/>
        <v/>
      </c>
      <c r="V1150" s="23" t="str">
        <f t="shared" si="86"/>
        <v/>
      </c>
    </row>
    <row r="1151" spans="5:22" x14ac:dyDescent="0.25">
      <c r="E1151" s="21" t="str">
        <f t="shared" si="87"/>
        <v/>
      </c>
      <c r="F1151" s="21"/>
      <c r="G1151" s="21"/>
      <c r="H1151" s="21"/>
      <c r="I1151" s="21"/>
      <c r="J1151" s="21"/>
      <c r="K1151" s="21"/>
      <c r="L1151" s="16" t="str">
        <f t="shared" ca="1" si="88"/>
        <v/>
      </c>
      <c r="M1151" s="22" t="str">
        <f t="shared" ca="1" si="89"/>
        <v/>
      </c>
      <c r="U1151" s="23" t="str">
        <f t="shared" si="85"/>
        <v/>
      </c>
      <c r="V1151" s="23" t="str">
        <f t="shared" si="86"/>
        <v/>
      </c>
    </row>
    <row r="1152" spans="5:22" x14ac:dyDescent="0.25">
      <c r="E1152" s="21" t="str">
        <f t="shared" si="87"/>
        <v/>
      </c>
      <c r="F1152" s="21"/>
      <c r="G1152" s="21"/>
      <c r="H1152" s="21"/>
      <c r="I1152" s="21"/>
      <c r="J1152" s="21"/>
      <c r="K1152" s="21"/>
      <c r="L1152" s="16" t="str">
        <f t="shared" ca="1" si="88"/>
        <v/>
      </c>
      <c r="M1152" s="22" t="str">
        <f t="shared" ca="1" si="89"/>
        <v/>
      </c>
      <c r="U1152" s="23" t="str">
        <f t="shared" si="85"/>
        <v/>
      </c>
      <c r="V1152" s="23" t="str">
        <f t="shared" si="86"/>
        <v/>
      </c>
    </row>
    <row r="1153" spans="5:22" x14ac:dyDescent="0.25">
      <c r="E1153" s="21" t="str">
        <f t="shared" si="87"/>
        <v/>
      </c>
      <c r="F1153" s="21"/>
      <c r="G1153" s="21"/>
      <c r="H1153" s="21"/>
      <c r="I1153" s="21"/>
      <c r="J1153" s="21"/>
      <c r="K1153" s="21"/>
      <c r="L1153" s="16" t="str">
        <f t="shared" ca="1" si="88"/>
        <v/>
      </c>
      <c r="M1153" s="22" t="str">
        <f t="shared" ca="1" si="89"/>
        <v/>
      </c>
      <c r="U1153" s="23" t="str">
        <f t="shared" si="85"/>
        <v/>
      </c>
      <c r="V1153" s="23" t="str">
        <f t="shared" si="86"/>
        <v/>
      </c>
    </row>
    <row r="1154" spans="5:22" x14ac:dyDescent="0.25">
      <c r="E1154" s="21" t="str">
        <f t="shared" si="87"/>
        <v/>
      </c>
      <c r="F1154" s="21"/>
      <c r="G1154" s="21"/>
      <c r="H1154" s="21"/>
      <c r="I1154" s="21"/>
      <c r="J1154" s="21"/>
      <c r="K1154" s="21"/>
      <c r="L1154" s="16" t="str">
        <f t="shared" ca="1" si="88"/>
        <v/>
      </c>
      <c r="M1154" s="22" t="str">
        <f t="shared" ca="1" si="89"/>
        <v/>
      </c>
      <c r="U1154" s="23" t="str">
        <f t="shared" si="85"/>
        <v/>
      </c>
      <c r="V1154" s="23" t="str">
        <f t="shared" si="86"/>
        <v/>
      </c>
    </row>
    <row r="1155" spans="5:22" x14ac:dyDescent="0.25">
      <c r="E1155" s="21" t="str">
        <f t="shared" si="87"/>
        <v/>
      </c>
      <c r="F1155" s="21"/>
      <c r="G1155" s="21"/>
      <c r="H1155" s="21"/>
      <c r="I1155" s="21"/>
      <c r="J1155" s="21"/>
      <c r="K1155" s="21"/>
      <c r="L1155" s="16" t="str">
        <f t="shared" ca="1" si="88"/>
        <v/>
      </c>
      <c r="M1155" s="22" t="str">
        <f t="shared" ca="1" si="89"/>
        <v/>
      </c>
      <c r="U1155" s="23" t="str">
        <f t="shared" si="85"/>
        <v/>
      </c>
      <c r="V1155" s="23" t="str">
        <f t="shared" si="86"/>
        <v/>
      </c>
    </row>
    <row r="1156" spans="5:22" x14ac:dyDescent="0.25">
      <c r="E1156" s="21" t="str">
        <f t="shared" si="87"/>
        <v/>
      </c>
      <c r="F1156" s="21"/>
      <c r="G1156" s="21"/>
      <c r="H1156" s="21"/>
      <c r="I1156" s="21"/>
      <c r="J1156" s="21"/>
      <c r="K1156" s="21"/>
      <c r="L1156" s="16" t="str">
        <f t="shared" ca="1" si="88"/>
        <v/>
      </c>
      <c r="M1156" s="22" t="str">
        <f t="shared" ca="1" si="89"/>
        <v/>
      </c>
      <c r="U1156" s="23" t="str">
        <f t="shared" ref="U1156:U1219" si="90">IF(C1156="","",IF(OR(L1156="",AND(ISNUMBER(U1156),C1156=U1156)),U1156,C1156))</f>
        <v/>
      </c>
      <c r="V1156" s="23" t="str">
        <f t="shared" ref="V1156:V1219" si="91">IF(C1156="","",IF(OR(M1156="",AND(ISNUMBER(V1156),C1156=V1156)),V1156,C1156))</f>
        <v/>
      </c>
    </row>
    <row r="1157" spans="5:22" x14ac:dyDescent="0.25">
      <c r="E1157" s="21" t="str">
        <f t="shared" si="87"/>
        <v/>
      </c>
      <c r="F1157" s="21"/>
      <c r="G1157" s="21"/>
      <c r="H1157" s="21"/>
      <c r="I1157" s="21"/>
      <c r="J1157" s="21"/>
      <c r="K1157" s="21"/>
      <c r="L1157" s="16" t="str">
        <f t="shared" ca="1" si="88"/>
        <v/>
      </c>
      <c r="M1157" s="22" t="str">
        <f t="shared" ca="1" si="89"/>
        <v/>
      </c>
      <c r="U1157" s="23" t="str">
        <f t="shared" si="90"/>
        <v/>
      </c>
      <c r="V1157" s="23" t="str">
        <f t="shared" si="91"/>
        <v/>
      </c>
    </row>
    <row r="1158" spans="5:22" x14ac:dyDescent="0.25">
      <c r="E1158" s="21" t="str">
        <f t="shared" si="87"/>
        <v/>
      </c>
      <c r="F1158" s="21"/>
      <c r="G1158" s="21"/>
      <c r="H1158" s="21"/>
      <c r="I1158" s="21"/>
      <c r="J1158" s="21"/>
      <c r="K1158" s="21"/>
      <c r="L1158" s="16" t="str">
        <f t="shared" ca="1" si="88"/>
        <v/>
      </c>
      <c r="M1158" s="22" t="str">
        <f t="shared" ca="1" si="89"/>
        <v/>
      </c>
      <c r="U1158" s="23" t="str">
        <f t="shared" si="90"/>
        <v/>
      </c>
      <c r="V1158" s="23" t="str">
        <f t="shared" si="91"/>
        <v/>
      </c>
    </row>
    <row r="1159" spans="5:22" x14ac:dyDescent="0.25">
      <c r="E1159" s="21" t="str">
        <f t="shared" si="87"/>
        <v/>
      </c>
      <c r="F1159" s="21"/>
      <c r="G1159" s="21"/>
      <c r="H1159" s="21"/>
      <c r="I1159" s="21"/>
      <c r="J1159" s="21"/>
      <c r="K1159" s="21"/>
      <c r="L1159" s="16" t="str">
        <f t="shared" ca="1" si="88"/>
        <v/>
      </c>
      <c r="M1159" s="22" t="str">
        <f t="shared" ca="1" si="89"/>
        <v/>
      </c>
      <c r="U1159" s="23" t="str">
        <f t="shared" si="90"/>
        <v/>
      </c>
      <c r="V1159" s="23" t="str">
        <f t="shared" si="91"/>
        <v/>
      </c>
    </row>
    <row r="1160" spans="5:22" x14ac:dyDescent="0.25">
      <c r="E1160" s="21" t="str">
        <f t="shared" si="87"/>
        <v/>
      </c>
      <c r="F1160" s="21"/>
      <c r="G1160" s="21"/>
      <c r="H1160" s="21"/>
      <c r="I1160" s="21"/>
      <c r="J1160" s="21"/>
      <c r="K1160" s="21"/>
      <c r="L1160" s="16" t="str">
        <f t="shared" ca="1" si="88"/>
        <v/>
      </c>
      <c r="M1160" s="22" t="str">
        <f t="shared" ca="1" si="89"/>
        <v/>
      </c>
      <c r="U1160" s="23" t="str">
        <f t="shared" si="90"/>
        <v/>
      </c>
      <c r="V1160" s="23" t="str">
        <f t="shared" si="91"/>
        <v/>
      </c>
    </row>
    <row r="1161" spans="5:22" x14ac:dyDescent="0.25">
      <c r="E1161" s="21" t="str">
        <f t="shared" si="87"/>
        <v/>
      </c>
      <c r="F1161" s="21"/>
      <c r="G1161" s="21"/>
      <c r="H1161" s="21"/>
      <c r="I1161" s="21"/>
      <c r="J1161" s="21"/>
      <c r="K1161" s="21"/>
      <c r="L1161" s="16" t="str">
        <f t="shared" ca="1" si="88"/>
        <v/>
      </c>
      <c r="M1161" s="22" t="str">
        <f t="shared" ca="1" si="89"/>
        <v/>
      </c>
      <c r="U1161" s="23" t="str">
        <f t="shared" si="90"/>
        <v/>
      </c>
      <c r="V1161" s="23" t="str">
        <f t="shared" si="91"/>
        <v/>
      </c>
    </row>
    <row r="1162" spans="5:22" x14ac:dyDescent="0.25">
      <c r="E1162" s="21" t="str">
        <f t="shared" si="87"/>
        <v/>
      </c>
      <c r="F1162" s="21"/>
      <c r="G1162" s="21"/>
      <c r="H1162" s="21"/>
      <c r="I1162" s="21"/>
      <c r="J1162" s="21"/>
      <c r="K1162" s="21"/>
      <c r="L1162" s="16" t="str">
        <f t="shared" ca="1" si="88"/>
        <v/>
      </c>
      <c r="M1162" s="22" t="str">
        <f t="shared" ca="1" si="89"/>
        <v/>
      </c>
      <c r="U1162" s="23" t="str">
        <f t="shared" si="90"/>
        <v/>
      </c>
      <c r="V1162" s="23" t="str">
        <f t="shared" si="91"/>
        <v/>
      </c>
    </row>
    <row r="1163" spans="5:22" x14ac:dyDescent="0.25">
      <c r="E1163" s="21" t="str">
        <f t="shared" si="87"/>
        <v/>
      </c>
      <c r="F1163" s="21"/>
      <c r="G1163" s="21"/>
      <c r="H1163" s="21"/>
      <c r="I1163" s="21"/>
      <c r="J1163" s="21"/>
      <c r="K1163" s="21"/>
      <c r="L1163" s="16" t="str">
        <f t="shared" ca="1" si="88"/>
        <v/>
      </c>
      <c r="M1163" s="22" t="str">
        <f t="shared" ca="1" si="89"/>
        <v/>
      </c>
      <c r="U1163" s="23" t="str">
        <f t="shared" si="90"/>
        <v/>
      </c>
      <c r="V1163" s="23" t="str">
        <f t="shared" si="91"/>
        <v/>
      </c>
    </row>
    <row r="1164" spans="5:22" x14ac:dyDescent="0.25">
      <c r="E1164" s="21" t="str">
        <f t="shared" si="87"/>
        <v/>
      </c>
      <c r="F1164" s="21"/>
      <c r="G1164" s="21"/>
      <c r="H1164" s="21"/>
      <c r="I1164" s="21"/>
      <c r="J1164" s="21"/>
      <c r="K1164" s="21"/>
      <c r="L1164" s="16" t="str">
        <f t="shared" ca="1" si="88"/>
        <v/>
      </c>
      <c r="M1164" s="22" t="str">
        <f t="shared" ca="1" si="89"/>
        <v/>
      </c>
      <c r="U1164" s="23" t="str">
        <f t="shared" si="90"/>
        <v/>
      </c>
      <c r="V1164" s="23" t="str">
        <f t="shared" si="91"/>
        <v/>
      </c>
    </row>
    <row r="1165" spans="5:22" x14ac:dyDescent="0.25">
      <c r="E1165" s="21" t="str">
        <f t="shared" si="87"/>
        <v/>
      </c>
      <c r="F1165" s="21"/>
      <c r="G1165" s="21"/>
      <c r="H1165" s="21"/>
      <c r="I1165" s="21"/>
      <c r="J1165" s="21"/>
      <c r="K1165" s="21"/>
      <c r="L1165" s="16" t="str">
        <f t="shared" ca="1" si="88"/>
        <v/>
      </c>
      <c r="M1165" s="22" t="str">
        <f t="shared" ca="1" si="89"/>
        <v/>
      </c>
      <c r="U1165" s="23" t="str">
        <f t="shared" si="90"/>
        <v/>
      </c>
      <c r="V1165" s="23" t="str">
        <f t="shared" si="91"/>
        <v/>
      </c>
    </row>
    <row r="1166" spans="5:22" x14ac:dyDescent="0.25">
      <c r="E1166" s="21" t="str">
        <f t="shared" si="87"/>
        <v/>
      </c>
      <c r="F1166" s="21"/>
      <c r="G1166" s="21"/>
      <c r="H1166" s="21"/>
      <c r="I1166" s="21"/>
      <c r="J1166" s="21"/>
      <c r="K1166" s="21"/>
      <c r="L1166" s="16" t="str">
        <f t="shared" ca="1" si="88"/>
        <v/>
      </c>
      <c r="M1166" s="22" t="str">
        <f t="shared" ca="1" si="89"/>
        <v/>
      </c>
      <c r="U1166" s="23" t="str">
        <f t="shared" si="90"/>
        <v/>
      </c>
      <c r="V1166" s="23" t="str">
        <f t="shared" si="91"/>
        <v/>
      </c>
    </row>
    <row r="1167" spans="5:22" x14ac:dyDescent="0.25">
      <c r="E1167" s="21" t="str">
        <f t="shared" si="87"/>
        <v/>
      </c>
      <c r="F1167" s="21"/>
      <c r="G1167" s="21"/>
      <c r="H1167" s="21"/>
      <c r="I1167" s="21"/>
      <c r="J1167" s="21"/>
      <c r="K1167" s="21"/>
      <c r="L1167" s="16" t="str">
        <f t="shared" ca="1" si="88"/>
        <v/>
      </c>
      <c r="M1167" s="22" t="str">
        <f t="shared" ca="1" si="89"/>
        <v/>
      </c>
      <c r="U1167" s="23" t="str">
        <f t="shared" si="90"/>
        <v/>
      </c>
      <c r="V1167" s="23" t="str">
        <f t="shared" si="91"/>
        <v/>
      </c>
    </row>
    <row r="1168" spans="5:22" x14ac:dyDescent="0.25">
      <c r="E1168" s="21" t="str">
        <f t="shared" si="87"/>
        <v/>
      </c>
      <c r="F1168" s="21"/>
      <c r="G1168" s="21"/>
      <c r="H1168" s="21"/>
      <c r="I1168" s="21"/>
      <c r="J1168" s="21"/>
      <c r="K1168" s="21"/>
      <c r="L1168" s="16" t="str">
        <f t="shared" ca="1" si="88"/>
        <v/>
      </c>
      <c r="M1168" s="22" t="str">
        <f t="shared" ca="1" si="89"/>
        <v/>
      </c>
      <c r="U1168" s="23" t="str">
        <f t="shared" si="90"/>
        <v/>
      </c>
      <c r="V1168" s="23" t="str">
        <f t="shared" si="91"/>
        <v/>
      </c>
    </row>
    <row r="1169" spans="5:22" x14ac:dyDescent="0.25">
      <c r="E1169" s="21" t="str">
        <f t="shared" si="87"/>
        <v/>
      </c>
      <c r="F1169" s="21"/>
      <c r="G1169" s="21"/>
      <c r="H1169" s="21"/>
      <c r="I1169" s="21"/>
      <c r="J1169" s="21"/>
      <c r="K1169" s="21"/>
      <c r="L1169" s="16" t="str">
        <f t="shared" ca="1" si="88"/>
        <v/>
      </c>
      <c r="M1169" s="22" t="str">
        <f t="shared" ca="1" si="89"/>
        <v/>
      </c>
      <c r="U1169" s="23" t="str">
        <f t="shared" si="90"/>
        <v/>
      </c>
      <c r="V1169" s="23" t="str">
        <f t="shared" si="91"/>
        <v/>
      </c>
    </row>
    <row r="1170" spans="5:22" x14ac:dyDescent="0.25">
      <c r="E1170" s="21" t="str">
        <f t="shared" si="87"/>
        <v/>
      </c>
      <c r="F1170" s="21"/>
      <c r="G1170" s="21"/>
      <c r="H1170" s="21"/>
      <c r="I1170" s="21"/>
      <c r="J1170" s="21"/>
      <c r="K1170" s="21"/>
      <c r="L1170" s="16" t="str">
        <f t="shared" ca="1" si="88"/>
        <v/>
      </c>
      <c r="M1170" s="22" t="str">
        <f t="shared" ca="1" si="89"/>
        <v/>
      </c>
      <c r="U1170" s="23" t="str">
        <f t="shared" si="90"/>
        <v/>
      </c>
      <c r="V1170" s="23" t="str">
        <f t="shared" si="91"/>
        <v/>
      </c>
    </row>
    <row r="1171" spans="5:22" x14ac:dyDescent="0.25">
      <c r="E1171" s="21" t="str">
        <f t="shared" si="87"/>
        <v/>
      </c>
      <c r="F1171" s="21"/>
      <c r="G1171" s="21"/>
      <c r="H1171" s="21"/>
      <c r="I1171" s="21"/>
      <c r="J1171" s="21"/>
      <c r="K1171" s="21"/>
      <c r="L1171" s="16" t="str">
        <f t="shared" ca="1" si="88"/>
        <v/>
      </c>
      <c r="M1171" s="22" t="str">
        <f t="shared" ca="1" si="89"/>
        <v/>
      </c>
      <c r="U1171" s="23" t="str">
        <f t="shared" si="90"/>
        <v/>
      </c>
      <c r="V1171" s="23" t="str">
        <f t="shared" si="91"/>
        <v/>
      </c>
    </row>
    <row r="1172" spans="5:22" x14ac:dyDescent="0.25">
      <c r="E1172" s="21" t="str">
        <f t="shared" si="87"/>
        <v/>
      </c>
      <c r="F1172" s="21"/>
      <c r="G1172" s="21"/>
      <c r="H1172" s="21"/>
      <c r="I1172" s="21"/>
      <c r="J1172" s="21"/>
      <c r="K1172" s="21"/>
      <c r="L1172" s="16" t="str">
        <f t="shared" ca="1" si="88"/>
        <v/>
      </c>
      <c r="M1172" s="22" t="str">
        <f t="shared" ca="1" si="89"/>
        <v/>
      </c>
      <c r="U1172" s="23" t="str">
        <f t="shared" si="90"/>
        <v/>
      </c>
      <c r="V1172" s="23" t="str">
        <f t="shared" si="91"/>
        <v/>
      </c>
    </row>
    <row r="1173" spans="5:22" x14ac:dyDescent="0.25">
      <c r="E1173" s="21" t="str">
        <f t="shared" si="87"/>
        <v/>
      </c>
      <c r="F1173" s="21"/>
      <c r="G1173" s="21"/>
      <c r="H1173" s="21"/>
      <c r="I1173" s="21"/>
      <c r="J1173" s="21"/>
      <c r="K1173" s="21"/>
      <c r="L1173" s="16" t="str">
        <f t="shared" ca="1" si="88"/>
        <v/>
      </c>
      <c r="M1173" s="22" t="str">
        <f t="shared" ca="1" si="89"/>
        <v/>
      </c>
      <c r="U1173" s="23" t="str">
        <f t="shared" si="90"/>
        <v/>
      </c>
      <c r="V1173" s="23" t="str">
        <f t="shared" si="91"/>
        <v/>
      </c>
    </row>
    <row r="1174" spans="5:22" x14ac:dyDescent="0.25">
      <c r="E1174" s="21" t="str">
        <f t="shared" si="87"/>
        <v/>
      </c>
      <c r="F1174" s="21"/>
      <c r="G1174" s="21"/>
      <c r="H1174" s="21"/>
      <c r="I1174" s="21"/>
      <c r="J1174" s="21"/>
      <c r="K1174" s="21"/>
      <c r="L1174" s="16" t="str">
        <f t="shared" ca="1" si="88"/>
        <v/>
      </c>
      <c r="M1174" s="22" t="str">
        <f t="shared" ca="1" si="89"/>
        <v/>
      </c>
      <c r="U1174" s="23" t="str">
        <f t="shared" si="90"/>
        <v/>
      </c>
      <c r="V1174" s="23" t="str">
        <f t="shared" si="91"/>
        <v/>
      </c>
    </row>
    <row r="1175" spans="5:22" x14ac:dyDescent="0.25">
      <c r="E1175" s="21" t="str">
        <f t="shared" si="87"/>
        <v/>
      </c>
      <c r="F1175" s="21"/>
      <c r="G1175" s="21"/>
      <c r="H1175" s="21"/>
      <c r="I1175" s="21"/>
      <c r="J1175" s="21"/>
      <c r="K1175" s="21"/>
      <c r="L1175" s="16" t="str">
        <f t="shared" ca="1" si="88"/>
        <v/>
      </c>
      <c r="M1175" s="22" t="str">
        <f t="shared" ca="1" si="89"/>
        <v/>
      </c>
      <c r="U1175" s="23" t="str">
        <f t="shared" si="90"/>
        <v/>
      </c>
      <c r="V1175" s="23" t="str">
        <f t="shared" si="91"/>
        <v/>
      </c>
    </row>
    <row r="1176" spans="5:22" x14ac:dyDescent="0.25">
      <c r="E1176" s="21" t="str">
        <f t="shared" si="87"/>
        <v/>
      </c>
      <c r="F1176" s="21"/>
      <c r="G1176" s="21"/>
      <c r="H1176" s="21"/>
      <c r="I1176" s="21"/>
      <c r="J1176" s="21"/>
      <c r="K1176" s="21"/>
      <c r="L1176" s="16" t="str">
        <f t="shared" ca="1" si="88"/>
        <v/>
      </c>
      <c r="M1176" s="22" t="str">
        <f t="shared" ca="1" si="89"/>
        <v/>
      </c>
      <c r="U1176" s="23" t="str">
        <f t="shared" si="90"/>
        <v/>
      </c>
      <c r="V1176" s="23" t="str">
        <f t="shared" si="91"/>
        <v/>
      </c>
    </row>
    <row r="1177" spans="5:22" x14ac:dyDescent="0.25">
      <c r="E1177" s="21" t="str">
        <f t="shared" si="87"/>
        <v/>
      </c>
      <c r="F1177" s="21"/>
      <c r="G1177" s="21"/>
      <c r="H1177" s="21"/>
      <c r="I1177" s="21"/>
      <c r="J1177" s="21"/>
      <c r="K1177" s="21"/>
      <c r="L1177" s="16" t="str">
        <f t="shared" ca="1" si="88"/>
        <v/>
      </c>
      <c r="M1177" s="22" t="str">
        <f t="shared" ca="1" si="89"/>
        <v/>
      </c>
      <c r="U1177" s="23" t="str">
        <f t="shared" si="90"/>
        <v/>
      </c>
      <c r="V1177" s="23" t="str">
        <f t="shared" si="91"/>
        <v/>
      </c>
    </row>
    <row r="1178" spans="5:22" x14ac:dyDescent="0.25">
      <c r="E1178" s="21" t="str">
        <f t="shared" si="87"/>
        <v/>
      </c>
      <c r="F1178" s="21"/>
      <c r="G1178" s="21"/>
      <c r="H1178" s="21"/>
      <c r="I1178" s="21"/>
      <c r="J1178" s="21"/>
      <c r="K1178" s="21"/>
      <c r="L1178" s="16" t="str">
        <f t="shared" ca="1" si="88"/>
        <v/>
      </c>
      <c r="M1178" s="22" t="str">
        <f t="shared" ca="1" si="89"/>
        <v/>
      </c>
      <c r="U1178" s="23" t="str">
        <f t="shared" si="90"/>
        <v/>
      </c>
      <c r="V1178" s="23" t="str">
        <f t="shared" si="91"/>
        <v/>
      </c>
    </row>
    <row r="1179" spans="5:22" x14ac:dyDescent="0.25">
      <c r="E1179" s="21" t="str">
        <f t="shared" si="87"/>
        <v/>
      </c>
      <c r="F1179" s="21"/>
      <c r="G1179" s="21"/>
      <c r="H1179" s="21"/>
      <c r="I1179" s="21"/>
      <c r="J1179" s="21"/>
      <c r="K1179" s="21"/>
      <c r="L1179" s="16" t="str">
        <f t="shared" ca="1" si="88"/>
        <v/>
      </c>
      <c r="M1179" s="22" t="str">
        <f t="shared" ca="1" si="89"/>
        <v/>
      </c>
      <c r="U1179" s="23" t="str">
        <f t="shared" si="90"/>
        <v/>
      </c>
      <c r="V1179" s="23" t="str">
        <f t="shared" si="91"/>
        <v/>
      </c>
    </row>
    <row r="1180" spans="5:22" x14ac:dyDescent="0.25">
      <c r="E1180" s="21" t="str">
        <f t="shared" si="87"/>
        <v/>
      </c>
      <c r="F1180" s="21"/>
      <c r="G1180" s="21"/>
      <c r="H1180" s="21"/>
      <c r="I1180" s="21"/>
      <c r="J1180" s="21"/>
      <c r="K1180" s="21"/>
      <c r="L1180" s="16" t="str">
        <f t="shared" ca="1" si="88"/>
        <v/>
      </c>
      <c r="M1180" s="22" t="str">
        <f t="shared" ca="1" si="89"/>
        <v/>
      </c>
      <c r="U1180" s="23" t="str">
        <f t="shared" si="90"/>
        <v/>
      </c>
      <c r="V1180" s="23" t="str">
        <f t="shared" si="91"/>
        <v/>
      </c>
    </row>
    <row r="1181" spans="5:22" x14ac:dyDescent="0.25">
      <c r="E1181" s="21" t="str">
        <f t="shared" si="87"/>
        <v/>
      </c>
      <c r="F1181" s="21"/>
      <c r="G1181" s="21"/>
      <c r="H1181" s="21"/>
      <c r="I1181" s="21"/>
      <c r="J1181" s="21"/>
      <c r="K1181" s="21"/>
      <c r="L1181" s="16" t="str">
        <f t="shared" ca="1" si="88"/>
        <v/>
      </c>
      <c r="M1181" s="22" t="str">
        <f t="shared" ca="1" si="89"/>
        <v/>
      </c>
      <c r="U1181" s="23" t="str">
        <f t="shared" si="90"/>
        <v/>
      </c>
      <c r="V1181" s="23" t="str">
        <f t="shared" si="91"/>
        <v/>
      </c>
    </row>
    <row r="1182" spans="5:22" x14ac:dyDescent="0.25">
      <c r="E1182" s="21" t="str">
        <f t="shared" si="87"/>
        <v/>
      </c>
      <c r="F1182" s="21"/>
      <c r="G1182" s="21"/>
      <c r="H1182" s="21"/>
      <c r="I1182" s="21"/>
      <c r="J1182" s="21"/>
      <c r="K1182" s="21"/>
      <c r="L1182" s="16" t="str">
        <f t="shared" ca="1" si="88"/>
        <v/>
      </c>
      <c r="M1182" s="22" t="str">
        <f t="shared" ca="1" si="89"/>
        <v/>
      </c>
      <c r="U1182" s="23" t="str">
        <f t="shared" si="90"/>
        <v/>
      </c>
      <c r="V1182" s="23" t="str">
        <f t="shared" si="91"/>
        <v/>
      </c>
    </row>
    <row r="1183" spans="5:22" x14ac:dyDescent="0.25">
      <c r="E1183" s="21" t="str">
        <f t="shared" si="87"/>
        <v/>
      </c>
      <c r="F1183" s="21"/>
      <c r="G1183" s="21"/>
      <c r="H1183" s="21"/>
      <c r="I1183" s="21"/>
      <c r="J1183" s="21"/>
      <c r="K1183" s="21"/>
      <c r="L1183" s="16" t="str">
        <f t="shared" ca="1" si="88"/>
        <v/>
      </c>
      <c r="M1183" s="22" t="str">
        <f t="shared" ca="1" si="89"/>
        <v/>
      </c>
      <c r="U1183" s="23" t="str">
        <f t="shared" si="90"/>
        <v/>
      </c>
      <c r="V1183" s="23" t="str">
        <f t="shared" si="91"/>
        <v/>
      </c>
    </row>
    <row r="1184" spans="5:22" x14ac:dyDescent="0.25">
      <c r="E1184" s="21" t="str">
        <f t="shared" si="87"/>
        <v/>
      </c>
      <c r="F1184" s="21"/>
      <c r="G1184" s="21"/>
      <c r="H1184" s="21"/>
      <c r="I1184" s="21"/>
      <c r="J1184" s="21"/>
      <c r="K1184" s="21"/>
      <c r="L1184" s="16" t="str">
        <f t="shared" ca="1" si="88"/>
        <v/>
      </c>
      <c r="M1184" s="22" t="str">
        <f t="shared" ca="1" si="89"/>
        <v/>
      </c>
      <c r="U1184" s="23" t="str">
        <f t="shared" si="90"/>
        <v/>
      </c>
      <c r="V1184" s="23" t="str">
        <f t="shared" si="91"/>
        <v/>
      </c>
    </row>
    <row r="1185" spans="5:22" x14ac:dyDescent="0.25">
      <c r="E1185" s="21" t="str">
        <f t="shared" si="87"/>
        <v/>
      </c>
      <c r="F1185" s="21"/>
      <c r="G1185" s="21"/>
      <c r="H1185" s="21"/>
      <c r="I1185" s="21"/>
      <c r="J1185" s="21"/>
      <c r="K1185" s="21"/>
      <c r="L1185" s="16" t="str">
        <f t="shared" ca="1" si="88"/>
        <v/>
      </c>
      <c r="M1185" s="22" t="str">
        <f t="shared" ca="1" si="89"/>
        <v/>
      </c>
      <c r="U1185" s="23" t="str">
        <f t="shared" si="90"/>
        <v/>
      </c>
      <c r="V1185" s="23" t="str">
        <f t="shared" si="91"/>
        <v/>
      </c>
    </row>
    <row r="1186" spans="5:22" x14ac:dyDescent="0.25">
      <c r="E1186" s="21" t="str">
        <f t="shared" si="87"/>
        <v/>
      </c>
      <c r="F1186" s="21"/>
      <c r="G1186" s="21"/>
      <c r="H1186" s="21"/>
      <c r="I1186" s="21"/>
      <c r="J1186" s="21"/>
      <c r="K1186" s="21"/>
      <c r="L1186" s="16" t="str">
        <f t="shared" ca="1" si="88"/>
        <v/>
      </c>
      <c r="M1186" s="22" t="str">
        <f t="shared" ca="1" si="89"/>
        <v/>
      </c>
      <c r="U1186" s="23" t="str">
        <f t="shared" si="90"/>
        <v/>
      </c>
      <c r="V1186" s="23" t="str">
        <f t="shared" si="91"/>
        <v/>
      </c>
    </row>
    <row r="1187" spans="5:22" x14ac:dyDescent="0.25">
      <c r="E1187" s="21" t="str">
        <f t="shared" si="87"/>
        <v/>
      </c>
      <c r="F1187" s="21"/>
      <c r="G1187" s="21"/>
      <c r="H1187" s="21"/>
      <c r="I1187" s="21"/>
      <c r="J1187" s="21"/>
      <c r="K1187" s="21"/>
      <c r="L1187" s="16" t="str">
        <f t="shared" ca="1" si="88"/>
        <v/>
      </c>
      <c r="M1187" s="22" t="str">
        <f t="shared" ca="1" si="89"/>
        <v/>
      </c>
      <c r="U1187" s="23" t="str">
        <f t="shared" si="90"/>
        <v/>
      </c>
      <c r="V1187" s="23" t="str">
        <f t="shared" si="91"/>
        <v/>
      </c>
    </row>
    <row r="1188" spans="5:22" x14ac:dyDescent="0.25">
      <c r="E1188" s="21" t="str">
        <f t="shared" si="87"/>
        <v/>
      </c>
      <c r="F1188" s="21"/>
      <c r="G1188" s="21"/>
      <c r="H1188" s="21"/>
      <c r="I1188" s="21"/>
      <c r="J1188" s="21"/>
      <c r="K1188" s="21"/>
      <c r="L1188" s="16" t="str">
        <f t="shared" ca="1" si="88"/>
        <v/>
      </c>
      <c r="M1188" s="22" t="str">
        <f t="shared" ca="1" si="89"/>
        <v/>
      </c>
      <c r="U1188" s="23" t="str">
        <f t="shared" si="90"/>
        <v/>
      </c>
      <c r="V1188" s="23" t="str">
        <f t="shared" si="91"/>
        <v/>
      </c>
    </row>
    <row r="1189" spans="5:22" x14ac:dyDescent="0.25">
      <c r="E1189" s="21" t="str">
        <f t="shared" ref="E1189:E1252" si="92">IF(ISNUMBER(SEARCH("v crs",D1189))=TRUE,"VC",IF(ISNUMBER(SEARCH("crs",D1189))=TRUE,"C",IF(ISNUMBER(SEARCH("med",D1189))=TRUE,"M",IF(ISNUMBER(SEARCH("vf",D1189))=TRUE,"VF",IF(ISNUMBER(SEARCH("f",D1189))=TRUE,"F","")))))</f>
        <v/>
      </c>
      <c r="F1189" s="21"/>
      <c r="G1189" s="21"/>
      <c r="H1189" s="21"/>
      <c r="I1189" s="21"/>
      <c r="J1189" s="21"/>
      <c r="K1189" s="21"/>
      <c r="L1189" s="16" t="str">
        <f t="shared" ca="1" si="88"/>
        <v/>
      </c>
      <c r="M1189" s="22" t="str">
        <f t="shared" ca="1" si="89"/>
        <v/>
      </c>
      <c r="U1189" s="23" t="str">
        <f t="shared" si="90"/>
        <v/>
      </c>
      <c r="V1189" s="23" t="str">
        <f t="shared" si="91"/>
        <v/>
      </c>
    </row>
    <row r="1190" spans="5:22" x14ac:dyDescent="0.25">
      <c r="E1190" s="21" t="str">
        <f t="shared" si="92"/>
        <v/>
      </c>
      <c r="F1190" s="21"/>
      <c r="G1190" s="21"/>
      <c r="H1190" s="21"/>
      <c r="I1190" s="21"/>
      <c r="J1190" s="21"/>
      <c r="K1190" s="21"/>
      <c r="L1190" s="16" t="str">
        <f t="shared" ca="1" si="88"/>
        <v/>
      </c>
      <c r="M1190" s="22" t="str">
        <f t="shared" ca="1" si="89"/>
        <v/>
      </c>
      <c r="U1190" s="23" t="str">
        <f t="shared" si="90"/>
        <v/>
      </c>
      <c r="V1190" s="23" t="str">
        <f t="shared" si="91"/>
        <v/>
      </c>
    </row>
    <row r="1191" spans="5:22" x14ac:dyDescent="0.25">
      <c r="E1191" s="21" t="str">
        <f t="shared" si="92"/>
        <v/>
      </c>
      <c r="F1191" s="21"/>
      <c r="G1191" s="21"/>
      <c r="H1191" s="21"/>
      <c r="I1191" s="21"/>
      <c r="J1191" s="21"/>
      <c r="K1191" s="21"/>
      <c r="L1191" s="16" t="str">
        <f t="shared" ca="1" si="88"/>
        <v/>
      </c>
      <c r="M1191" s="22" t="str">
        <f t="shared" ca="1" si="89"/>
        <v/>
      </c>
      <c r="U1191" s="23" t="str">
        <f t="shared" si="90"/>
        <v/>
      </c>
      <c r="V1191" s="23" t="str">
        <f t="shared" si="91"/>
        <v/>
      </c>
    </row>
    <row r="1192" spans="5:22" x14ac:dyDescent="0.25">
      <c r="E1192" s="21" t="str">
        <f t="shared" si="92"/>
        <v/>
      </c>
      <c r="F1192" s="21"/>
      <c r="G1192" s="21"/>
      <c r="H1192" s="21"/>
      <c r="I1192" s="21"/>
      <c r="J1192" s="21"/>
      <c r="K1192" s="21"/>
      <c r="L1192" s="16" t="str">
        <f t="shared" ca="1" si="88"/>
        <v/>
      </c>
      <c r="M1192" s="22" t="str">
        <f t="shared" ca="1" si="89"/>
        <v/>
      </c>
      <c r="U1192" s="23" t="str">
        <f t="shared" si="90"/>
        <v/>
      </c>
      <c r="V1192" s="23" t="str">
        <f t="shared" si="91"/>
        <v/>
      </c>
    </row>
    <row r="1193" spans="5:22" x14ac:dyDescent="0.25">
      <c r="E1193" s="21" t="str">
        <f t="shared" si="92"/>
        <v/>
      </c>
      <c r="F1193" s="21"/>
      <c r="G1193" s="21"/>
      <c r="H1193" s="21"/>
      <c r="I1193" s="21"/>
      <c r="J1193" s="21"/>
      <c r="K1193" s="21"/>
      <c r="L1193" s="16" t="str">
        <f t="shared" ca="1" si="88"/>
        <v/>
      </c>
      <c r="M1193" s="22" t="str">
        <f t="shared" ca="1" si="89"/>
        <v/>
      </c>
      <c r="U1193" s="23" t="str">
        <f t="shared" si="90"/>
        <v/>
      </c>
      <c r="V1193" s="23" t="str">
        <f t="shared" si="91"/>
        <v/>
      </c>
    </row>
    <row r="1194" spans="5:22" x14ac:dyDescent="0.25">
      <c r="E1194" s="21" t="str">
        <f t="shared" si="92"/>
        <v/>
      </c>
      <c r="F1194" s="21"/>
      <c r="G1194" s="21"/>
      <c r="H1194" s="21"/>
      <c r="I1194" s="21"/>
      <c r="J1194" s="21"/>
      <c r="K1194" s="21"/>
      <c r="L1194" s="16" t="str">
        <f t="shared" ca="1" si="88"/>
        <v/>
      </c>
      <c r="M1194" s="22" t="str">
        <f t="shared" ca="1" si="89"/>
        <v/>
      </c>
      <c r="U1194" s="23" t="str">
        <f t="shared" si="90"/>
        <v/>
      </c>
      <c r="V1194" s="23" t="str">
        <f t="shared" si="91"/>
        <v/>
      </c>
    </row>
    <row r="1195" spans="5:22" x14ac:dyDescent="0.25">
      <c r="E1195" s="21" t="str">
        <f t="shared" si="92"/>
        <v/>
      </c>
      <c r="F1195" s="21"/>
      <c r="G1195" s="21"/>
      <c r="H1195" s="21"/>
      <c r="I1195" s="21"/>
      <c r="J1195" s="21"/>
      <c r="K1195" s="21"/>
      <c r="L1195" s="16" t="str">
        <f t="shared" ca="1" si="88"/>
        <v/>
      </c>
      <c r="M1195" s="22" t="str">
        <f t="shared" ca="1" si="89"/>
        <v/>
      </c>
      <c r="U1195" s="23" t="str">
        <f t="shared" si="90"/>
        <v/>
      </c>
      <c r="V1195" s="23" t="str">
        <f t="shared" si="91"/>
        <v/>
      </c>
    </row>
    <row r="1196" spans="5:22" x14ac:dyDescent="0.25">
      <c r="E1196" s="21" t="str">
        <f t="shared" si="92"/>
        <v/>
      </c>
      <c r="F1196" s="21"/>
      <c r="G1196" s="21"/>
      <c r="H1196" s="21"/>
      <c r="I1196" s="21"/>
      <c r="J1196" s="21"/>
      <c r="K1196" s="21"/>
      <c r="L1196" s="16" t="str">
        <f t="shared" ca="1" si="88"/>
        <v/>
      </c>
      <c r="M1196" s="22" t="str">
        <f t="shared" ca="1" si="89"/>
        <v/>
      </c>
      <c r="U1196" s="23" t="str">
        <f t="shared" si="90"/>
        <v/>
      </c>
      <c r="V1196" s="23" t="str">
        <f t="shared" si="91"/>
        <v/>
      </c>
    </row>
    <row r="1197" spans="5:22" x14ac:dyDescent="0.25">
      <c r="E1197" s="21" t="str">
        <f t="shared" si="92"/>
        <v/>
      </c>
      <c r="F1197" s="21"/>
      <c r="G1197" s="21"/>
      <c r="H1197" s="21"/>
      <c r="I1197" s="21"/>
      <c r="J1197" s="21"/>
      <c r="K1197" s="21"/>
      <c r="L1197" s="16" t="str">
        <f t="shared" ca="1" si="88"/>
        <v/>
      </c>
      <c r="M1197" s="22" t="str">
        <f t="shared" ca="1" si="89"/>
        <v/>
      </c>
      <c r="U1197" s="23" t="str">
        <f t="shared" si="90"/>
        <v/>
      </c>
      <c r="V1197" s="23" t="str">
        <f t="shared" si="91"/>
        <v/>
      </c>
    </row>
    <row r="1198" spans="5:22" x14ac:dyDescent="0.25">
      <c r="E1198" s="21" t="str">
        <f t="shared" si="92"/>
        <v/>
      </c>
      <c r="F1198" s="21"/>
      <c r="G1198" s="21"/>
      <c r="H1198" s="21"/>
      <c r="I1198" s="21"/>
      <c r="J1198" s="21"/>
      <c r="K1198" s="21"/>
      <c r="L1198" s="16" t="str">
        <f t="shared" ca="1" si="88"/>
        <v/>
      </c>
      <c r="M1198" s="22" t="str">
        <f t="shared" ca="1" si="89"/>
        <v/>
      </c>
      <c r="U1198" s="23" t="str">
        <f t="shared" si="90"/>
        <v/>
      </c>
      <c r="V1198" s="23" t="str">
        <f t="shared" si="91"/>
        <v/>
      </c>
    </row>
    <row r="1199" spans="5:22" x14ac:dyDescent="0.25">
      <c r="E1199" s="21" t="str">
        <f t="shared" si="92"/>
        <v/>
      </c>
      <c r="F1199" s="21"/>
      <c r="G1199" s="21"/>
      <c r="H1199" s="21"/>
      <c r="I1199" s="21"/>
      <c r="J1199" s="21"/>
      <c r="K1199" s="21"/>
      <c r="L1199" s="16" t="str">
        <f t="shared" ca="1" si="88"/>
        <v/>
      </c>
      <c r="M1199" s="22" t="str">
        <f t="shared" ca="1" si="89"/>
        <v/>
      </c>
      <c r="U1199" s="23" t="str">
        <f t="shared" si="90"/>
        <v/>
      </c>
      <c r="V1199" s="23" t="str">
        <f t="shared" si="91"/>
        <v/>
      </c>
    </row>
    <row r="1200" spans="5:22" x14ac:dyDescent="0.25">
      <c r="E1200" s="21" t="str">
        <f t="shared" si="92"/>
        <v/>
      </c>
      <c r="F1200" s="21"/>
      <c r="G1200" s="21"/>
      <c r="H1200" s="21"/>
      <c r="I1200" s="21"/>
      <c r="J1200" s="21"/>
      <c r="K1200" s="21"/>
      <c r="L1200" s="16" t="str">
        <f t="shared" ca="1" si="88"/>
        <v/>
      </c>
      <c r="M1200" s="22" t="str">
        <f t="shared" ca="1" si="89"/>
        <v/>
      </c>
      <c r="U1200" s="23" t="str">
        <f t="shared" si="90"/>
        <v/>
      </c>
      <c r="V1200" s="23" t="str">
        <f t="shared" si="91"/>
        <v/>
      </c>
    </row>
    <row r="1201" spans="5:22" x14ac:dyDescent="0.25">
      <c r="E1201" s="21" t="str">
        <f t="shared" si="92"/>
        <v/>
      </c>
      <c r="F1201" s="21"/>
      <c r="G1201" s="21"/>
      <c r="H1201" s="21"/>
      <c r="I1201" s="21"/>
      <c r="J1201" s="21"/>
      <c r="K1201" s="21"/>
      <c r="L1201" s="16" t="str">
        <f t="shared" ca="1" si="88"/>
        <v/>
      </c>
      <c r="M1201" s="22" t="str">
        <f t="shared" ca="1" si="89"/>
        <v/>
      </c>
      <c r="U1201" s="23" t="str">
        <f t="shared" si="90"/>
        <v/>
      </c>
      <c r="V1201" s="23" t="str">
        <f t="shared" si="91"/>
        <v/>
      </c>
    </row>
    <row r="1202" spans="5:22" x14ac:dyDescent="0.25">
      <c r="E1202" s="21" t="str">
        <f t="shared" si="92"/>
        <v/>
      </c>
      <c r="F1202" s="21"/>
      <c r="G1202" s="21"/>
      <c r="H1202" s="21"/>
      <c r="I1202" s="21"/>
      <c r="J1202" s="21"/>
      <c r="K1202" s="21"/>
      <c r="L1202" s="16" t="str">
        <f t="shared" ca="1" si="88"/>
        <v/>
      </c>
      <c r="M1202" s="22" t="str">
        <f t="shared" ca="1" si="89"/>
        <v/>
      </c>
      <c r="U1202" s="23" t="str">
        <f t="shared" si="90"/>
        <v/>
      </c>
      <c r="V1202" s="23" t="str">
        <f t="shared" si="91"/>
        <v/>
      </c>
    </row>
    <row r="1203" spans="5:22" x14ac:dyDescent="0.25">
      <c r="E1203" s="21" t="str">
        <f t="shared" si="92"/>
        <v/>
      </c>
      <c r="F1203" s="21"/>
      <c r="G1203" s="21"/>
      <c r="H1203" s="21"/>
      <c r="I1203" s="21"/>
      <c r="J1203" s="21"/>
      <c r="K1203" s="21"/>
      <c r="L1203" s="16" t="str">
        <f t="shared" ca="1" si="88"/>
        <v/>
      </c>
      <c r="M1203" s="22" t="str">
        <f t="shared" ca="1" si="89"/>
        <v/>
      </c>
      <c r="U1203" s="23" t="str">
        <f t="shared" si="90"/>
        <v/>
      </c>
      <c r="V1203" s="23" t="str">
        <f t="shared" si="91"/>
        <v/>
      </c>
    </row>
    <row r="1204" spans="5:22" x14ac:dyDescent="0.25">
      <c r="E1204" s="21" t="str">
        <f t="shared" si="92"/>
        <v/>
      </c>
      <c r="F1204" s="21"/>
      <c r="G1204" s="21"/>
      <c r="H1204" s="21"/>
      <c r="I1204" s="21"/>
      <c r="J1204" s="21"/>
      <c r="K1204" s="21"/>
      <c r="L1204" s="16" t="str">
        <f t="shared" ca="1" si="88"/>
        <v/>
      </c>
      <c r="M1204" s="22" t="str">
        <f t="shared" ca="1" si="89"/>
        <v/>
      </c>
      <c r="U1204" s="23" t="str">
        <f t="shared" si="90"/>
        <v/>
      </c>
      <c r="V1204" s="23" t="str">
        <f t="shared" si="91"/>
        <v/>
      </c>
    </row>
    <row r="1205" spans="5:22" x14ac:dyDescent="0.25">
      <c r="E1205" s="21" t="str">
        <f t="shared" si="92"/>
        <v/>
      </c>
      <c r="F1205" s="21"/>
      <c r="G1205" s="21"/>
      <c r="H1205" s="21"/>
      <c r="I1205" s="21"/>
      <c r="J1205" s="21"/>
      <c r="K1205" s="21"/>
      <c r="L1205" s="16" t="str">
        <f t="shared" ca="1" si="88"/>
        <v/>
      </c>
      <c r="M1205" s="22" t="str">
        <f t="shared" ca="1" si="89"/>
        <v/>
      </c>
      <c r="U1205" s="23" t="str">
        <f t="shared" si="90"/>
        <v/>
      </c>
      <c r="V1205" s="23" t="str">
        <f t="shared" si="91"/>
        <v/>
      </c>
    </row>
    <row r="1206" spans="5:22" x14ac:dyDescent="0.25">
      <c r="E1206" s="21" t="str">
        <f t="shared" si="92"/>
        <v/>
      </c>
      <c r="F1206" s="21"/>
      <c r="G1206" s="21"/>
      <c r="H1206" s="21"/>
      <c r="I1206" s="21"/>
      <c r="J1206" s="21"/>
      <c r="K1206" s="21"/>
      <c r="L1206" s="16" t="str">
        <f t="shared" ca="1" si="88"/>
        <v/>
      </c>
      <c r="M1206" s="22" t="str">
        <f t="shared" ca="1" si="89"/>
        <v/>
      </c>
      <c r="U1206" s="23" t="str">
        <f t="shared" si="90"/>
        <v/>
      </c>
      <c r="V1206" s="23" t="str">
        <f t="shared" si="91"/>
        <v/>
      </c>
    </row>
    <row r="1207" spans="5:22" x14ac:dyDescent="0.25">
      <c r="E1207" s="21" t="str">
        <f t="shared" si="92"/>
        <v/>
      </c>
      <c r="F1207" s="21"/>
      <c r="G1207" s="21"/>
      <c r="H1207" s="21"/>
      <c r="I1207" s="21"/>
      <c r="J1207" s="21"/>
      <c r="K1207" s="21"/>
      <c r="L1207" s="16" t="str">
        <f t="shared" ca="1" si="88"/>
        <v/>
      </c>
      <c r="M1207" s="22" t="str">
        <f t="shared" ca="1" si="89"/>
        <v/>
      </c>
      <c r="U1207" s="23" t="str">
        <f t="shared" si="90"/>
        <v/>
      </c>
      <c r="V1207" s="23" t="str">
        <f t="shared" si="91"/>
        <v/>
      </c>
    </row>
    <row r="1208" spans="5:22" x14ac:dyDescent="0.25">
      <c r="E1208" s="21" t="str">
        <f t="shared" si="92"/>
        <v/>
      </c>
      <c r="F1208" s="21"/>
      <c r="G1208" s="21"/>
      <c r="H1208" s="21"/>
      <c r="I1208" s="21"/>
      <c r="J1208" s="21"/>
      <c r="K1208" s="21"/>
      <c r="L1208" s="16" t="str">
        <f t="shared" ca="1" si="88"/>
        <v/>
      </c>
      <c r="M1208" s="22" t="str">
        <f t="shared" ca="1" si="89"/>
        <v/>
      </c>
      <c r="U1208" s="23" t="str">
        <f t="shared" si="90"/>
        <v/>
      </c>
      <c r="V1208" s="23" t="str">
        <f t="shared" si="91"/>
        <v/>
      </c>
    </row>
    <row r="1209" spans="5:22" x14ac:dyDescent="0.25">
      <c r="E1209" s="21" t="str">
        <f t="shared" si="92"/>
        <v/>
      </c>
      <c r="F1209" s="21"/>
      <c r="G1209" s="21"/>
      <c r="H1209" s="21"/>
      <c r="I1209" s="21"/>
      <c r="J1209" s="21"/>
      <c r="K1209" s="21"/>
      <c r="L1209" s="16" t="str">
        <f t="shared" ca="1" si="88"/>
        <v/>
      </c>
      <c r="M1209" s="22" t="str">
        <f t="shared" ca="1" si="89"/>
        <v/>
      </c>
      <c r="U1209" s="23" t="str">
        <f t="shared" si="90"/>
        <v/>
      </c>
      <c r="V1209" s="23" t="str">
        <f t="shared" si="91"/>
        <v/>
      </c>
    </row>
    <row r="1210" spans="5:22" x14ac:dyDescent="0.25">
      <c r="E1210" s="21" t="str">
        <f t="shared" si="92"/>
        <v/>
      </c>
      <c r="F1210" s="21"/>
      <c r="G1210" s="21"/>
      <c r="H1210" s="21"/>
      <c r="I1210" s="21"/>
      <c r="J1210" s="21"/>
      <c r="K1210" s="21"/>
      <c r="L1210" s="16" t="str">
        <f t="shared" ca="1" si="88"/>
        <v/>
      </c>
      <c r="M1210" s="22" t="str">
        <f t="shared" ca="1" si="89"/>
        <v/>
      </c>
      <c r="U1210" s="23" t="str">
        <f t="shared" si="90"/>
        <v/>
      </c>
      <c r="V1210" s="23" t="str">
        <f t="shared" si="91"/>
        <v/>
      </c>
    </row>
    <row r="1211" spans="5:22" x14ac:dyDescent="0.25">
      <c r="E1211" s="21" t="str">
        <f t="shared" si="92"/>
        <v/>
      </c>
      <c r="F1211" s="21"/>
      <c r="G1211" s="21"/>
      <c r="H1211" s="21"/>
      <c r="I1211" s="21"/>
      <c r="J1211" s="21"/>
      <c r="K1211" s="21"/>
      <c r="L1211" s="16" t="str">
        <f t="shared" ca="1" si="88"/>
        <v/>
      </c>
      <c r="M1211" s="22" t="str">
        <f t="shared" ca="1" si="89"/>
        <v/>
      </c>
      <c r="U1211" s="23" t="str">
        <f t="shared" si="90"/>
        <v/>
      </c>
      <c r="V1211" s="23" t="str">
        <f t="shared" si="91"/>
        <v/>
      </c>
    </row>
    <row r="1212" spans="5:22" x14ac:dyDescent="0.25">
      <c r="E1212" s="21" t="str">
        <f t="shared" si="92"/>
        <v/>
      </c>
      <c r="F1212" s="21"/>
      <c r="G1212" s="21"/>
      <c r="H1212" s="21"/>
      <c r="I1212" s="21"/>
      <c r="J1212" s="21"/>
      <c r="K1212" s="21"/>
      <c r="L1212" s="16" t="str">
        <f t="shared" ca="1" si="88"/>
        <v/>
      </c>
      <c r="M1212" s="22" t="str">
        <f t="shared" ca="1" si="89"/>
        <v/>
      </c>
      <c r="U1212" s="23" t="str">
        <f t="shared" si="90"/>
        <v/>
      </c>
      <c r="V1212" s="23" t="str">
        <f t="shared" si="91"/>
        <v/>
      </c>
    </row>
    <row r="1213" spans="5:22" x14ac:dyDescent="0.25">
      <c r="E1213" s="21" t="str">
        <f t="shared" si="92"/>
        <v/>
      </c>
      <c r="F1213" s="21"/>
      <c r="G1213" s="21"/>
      <c r="H1213" s="21"/>
      <c r="I1213" s="21"/>
      <c r="J1213" s="21"/>
      <c r="K1213" s="21"/>
      <c r="L1213" s="16" t="str">
        <f t="shared" ref="L1213:L1276" ca="1" si="93">IF(AND(C1213&lt;&gt;"",C1213&lt;&gt;U1213),TODAY(),IF(C1213="","",L1213))</f>
        <v/>
      </c>
      <c r="M1213" s="22" t="str">
        <f t="shared" ref="M1213:M1276" ca="1" si="94">IF(AND(C1213&lt;&gt;"",C1213&lt;&gt;V1213),NOW(),IF(C1213="","",M1213))</f>
        <v/>
      </c>
      <c r="U1213" s="23" t="str">
        <f t="shared" si="90"/>
        <v/>
      </c>
      <c r="V1213" s="23" t="str">
        <f t="shared" si="91"/>
        <v/>
      </c>
    </row>
    <row r="1214" spans="5:22" x14ac:dyDescent="0.25">
      <c r="E1214" s="21" t="str">
        <f t="shared" si="92"/>
        <v/>
      </c>
      <c r="F1214" s="21"/>
      <c r="G1214" s="21"/>
      <c r="H1214" s="21"/>
      <c r="I1214" s="21"/>
      <c r="J1214" s="21"/>
      <c r="K1214" s="21"/>
      <c r="L1214" s="16" t="str">
        <f t="shared" ca="1" si="93"/>
        <v/>
      </c>
      <c r="M1214" s="22" t="str">
        <f t="shared" ca="1" si="94"/>
        <v/>
      </c>
      <c r="U1214" s="23" t="str">
        <f t="shared" si="90"/>
        <v/>
      </c>
      <c r="V1214" s="23" t="str">
        <f t="shared" si="91"/>
        <v/>
      </c>
    </row>
    <row r="1215" spans="5:22" x14ac:dyDescent="0.25">
      <c r="E1215" s="21" t="str">
        <f t="shared" si="92"/>
        <v/>
      </c>
      <c r="F1215" s="21"/>
      <c r="G1215" s="21"/>
      <c r="H1215" s="21"/>
      <c r="I1215" s="21"/>
      <c r="J1215" s="21"/>
      <c r="K1215" s="21"/>
      <c r="L1215" s="16" t="str">
        <f t="shared" ca="1" si="93"/>
        <v/>
      </c>
      <c r="M1215" s="22" t="str">
        <f t="shared" ca="1" si="94"/>
        <v/>
      </c>
      <c r="U1215" s="23" t="str">
        <f t="shared" si="90"/>
        <v/>
      </c>
      <c r="V1215" s="23" t="str">
        <f t="shared" si="91"/>
        <v/>
      </c>
    </row>
    <row r="1216" spans="5:22" x14ac:dyDescent="0.25">
      <c r="E1216" s="21" t="str">
        <f t="shared" si="92"/>
        <v/>
      </c>
      <c r="F1216" s="21"/>
      <c r="G1216" s="21"/>
      <c r="H1216" s="21"/>
      <c r="I1216" s="21"/>
      <c r="J1216" s="21"/>
      <c r="K1216" s="21"/>
      <c r="L1216" s="16" t="str">
        <f t="shared" ca="1" si="93"/>
        <v/>
      </c>
      <c r="M1216" s="22" t="str">
        <f t="shared" ca="1" si="94"/>
        <v/>
      </c>
      <c r="U1216" s="23" t="str">
        <f t="shared" si="90"/>
        <v/>
      </c>
      <c r="V1216" s="23" t="str">
        <f t="shared" si="91"/>
        <v/>
      </c>
    </row>
    <row r="1217" spans="5:22" x14ac:dyDescent="0.25">
      <c r="E1217" s="21" t="str">
        <f t="shared" si="92"/>
        <v/>
      </c>
      <c r="F1217" s="21"/>
      <c r="G1217" s="21"/>
      <c r="H1217" s="21"/>
      <c r="I1217" s="21"/>
      <c r="J1217" s="21"/>
      <c r="K1217" s="21"/>
      <c r="L1217" s="16" t="str">
        <f t="shared" ca="1" si="93"/>
        <v/>
      </c>
      <c r="M1217" s="22" t="str">
        <f t="shared" ca="1" si="94"/>
        <v/>
      </c>
      <c r="U1217" s="23" t="str">
        <f t="shared" si="90"/>
        <v/>
      </c>
      <c r="V1217" s="23" t="str">
        <f t="shared" si="91"/>
        <v/>
      </c>
    </row>
    <row r="1218" spans="5:22" x14ac:dyDescent="0.25">
      <c r="E1218" s="21" t="str">
        <f t="shared" si="92"/>
        <v/>
      </c>
      <c r="F1218" s="21"/>
      <c r="G1218" s="21"/>
      <c r="H1218" s="21"/>
      <c r="I1218" s="21"/>
      <c r="J1218" s="21"/>
      <c r="K1218" s="21"/>
      <c r="L1218" s="16" t="str">
        <f t="shared" ca="1" si="93"/>
        <v/>
      </c>
      <c r="M1218" s="22" t="str">
        <f t="shared" ca="1" si="94"/>
        <v/>
      </c>
      <c r="U1218" s="23" t="str">
        <f t="shared" si="90"/>
        <v/>
      </c>
      <c r="V1218" s="23" t="str">
        <f t="shared" si="91"/>
        <v/>
      </c>
    </row>
    <row r="1219" spans="5:22" x14ac:dyDescent="0.25">
      <c r="E1219" s="21" t="str">
        <f t="shared" si="92"/>
        <v/>
      </c>
      <c r="F1219" s="21"/>
      <c r="G1219" s="21"/>
      <c r="H1219" s="21"/>
      <c r="I1219" s="21"/>
      <c r="J1219" s="21"/>
      <c r="K1219" s="21"/>
      <c r="L1219" s="16" t="str">
        <f t="shared" ca="1" si="93"/>
        <v/>
      </c>
      <c r="M1219" s="22" t="str">
        <f t="shared" ca="1" si="94"/>
        <v/>
      </c>
      <c r="U1219" s="23" t="str">
        <f t="shared" si="90"/>
        <v/>
      </c>
      <c r="V1219" s="23" t="str">
        <f t="shared" si="91"/>
        <v/>
      </c>
    </row>
    <row r="1220" spans="5:22" x14ac:dyDescent="0.25">
      <c r="E1220" s="21" t="str">
        <f t="shared" si="92"/>
        <v/>
      </c>
      <c r="F1220" s="21"/>
      <c r="G1220" s="21"/>
      <c r="H1220" s="21"/>
      <c r="I1220" s="21"/>
      <c r="J1220" s="21"/>
      <c r="K1220" s="21"/>
      <c r="L1220" s="16" t="str">
        <f t="shared" ca="1" si="93"/>
        <v/>
      </c>
      <c r="M1220" s="22" t="str">
        <f t="shared" ca="1" si="94"/>
        <v/>
      </c>
      <c r="U1220" s="23" t="str">
        <f t="shared" ref="U1220:U1283" si="95">IF(C1220="","",IF(OR(L1220="",AND(ISNUMBER(U1220),C1220=U1220)),U1220,C1220))</f>
        <v/>
      </c>
      <c r="V1220" s="23" t="str">
        <f t="shared" ref="V1220:V1283" si="96">IF(C1220="","",IF(OR(M1220="",AND(ISNUMBER(V1220),C1220=V1220)),V1220,C1220))</f>
        <v/>
      </c>
    </row>
    <row r="1221" spans="5:22" x14ac:dyDescent="0.25">
      <c r="E1221" s="21" t="str">
        <f t="shared" si="92"/>
        <v/>
      </c>
      <c r="F1221" s="21"/>
      <c r="G1221" s="21"/>
      <c r="H1221" s="21"/>
      <c r="I1221" s="21"/>
      <c r="J1221" s="21"/>
      <c r="K1221" s="21"/>
      <c r="L1221" s="16" t="str">
        <f t="shared" ca="1" si="93"/>
        <v/>
      </c>
      <c r="M1221" s="22" t="str">
        <f t="shared" ca="1" si="94"/>
        <v/>
      </c>
      <c r="U1221" s="23" t="str">
        <f t="shared" si="95"/>
        <v/>
      </c>
      <c r="V1221" s="23" t="str">
        <f t="shared" si="96"/>
        <v/>
      </c>
    </row>
    <row r="1222" spans="5:22" x14ac:dyDescent="0.25">
      <c r="E1222" s="21" t="str">
        <f t="shared" si="92"/>
        <v/>
      </c>
      <c r="F1222" s="21"/>
      <c r="G1222" s="21"/>
      <c r="H1222" s="21"/>
      <c r="I1222" s="21"/>
      <c r="J1222" s="21"/>
      <c r="K1222" s="21"/>
      <c r="L1222" s="16" t="str">
        <f t="shared" ca="1" si="93"/>
        <v/>
      </c>
      <c r="M1222" s="22" t="str">
        <f t="shared" ca="1" si="94"/>
        <v/>
      </c>
      <c r="U1222" s="23" t="str">
        <f t="shared" si="95"/>
        <v/>
      </c>
      <c r="V1222" s="23" t="str">
        <f t="shared" si="96"/>
        <v/>
      </c>
    </row>
    <row r="1223" spans="5:22" x14ac:dyDescent="0.25">
      <c r="E1223" s="21" t="str">
        <f t="shared" si="92"/>
        <v/>
      </c>
      <c r="F1223" s="21"/>
      <c r="G1223" s="21"/>
      <c r="H1223" s="21"/>
      <c r="I1223" s="21"/>
      <c r="J1223" s="21"/>
      <c r="K1223" s="21"/>
      <c r="L1223" s="16" t="str">
        <f t="shared" ca="1" si="93"/>
        <v/>
      </c>
      <c r="M1223" s="22" t="str">
        <f t="shared" ca="1" si="94"/>
        <v/>
      </c>
      <c r="U1223" s="23" t="str">
        <f t="shared" si="95"/>
        <v/>
      </c>
      <c r="V1223" s="23" t="str">
        <f t="shared" si="96"/>
        <v/>
      </c>
    </row>
    <row r="1224" spans="5:22" x14ac:dyDescent="0.25">
      <c r="E1224" s="21" t="str">
        <f t="shared" si="92"/>
        <v/>
      </c>
      <c r="F1224" s="21"/>
      <c r="G1224" s="21"/>
      <c r="H1224" s="21"/>
      <c r="I1224" s="21"/>
      <c r="J1224" s="21"/>
      <c r="K1224" s="21"/>
      <c r="L1224" s="16" t="str">
        <f t="shared" ca="1" si="93"/>
        <v/>
      </c>
      <c r="M1224" s="22" t="str">
        <f t="shared" ca="1" si="94"/>
        <v/>
      </c>
      <c r="U1224" s="23" t="str">
        <f t="shared" si="95"/>
        <v/>
      </c>
      <c r="V1224" s="23" t="str">
        <f t="shared" si="96"/>
        <v/>
      </c>
    </row>
    <row r="1225" spans="5:22" x14ac:dyDescent="0.25">
      <c r="E1225" s="21" t="str">
        <f t="shared" si="92"/>
        <v/>
      </c>
      <c r="F1225" s="21"/>
      <c r="G1225" s="21"/>
      <c r="H1225" s="21"/>
      <c r="I1225" s="21"/>
      <c r="J1225" s="21"/>
      <c r="K1225" s="21"/>
      <c r="L1225" s="16" t="str">
        <f t="shared" ca="1" si="93"/>
        <v/>
      </c>
      <c r="M1225" s="22" t="str">
        <f t="shared" ca="1" si="94"/>
        <v/>
      </c>
      <c r="U1225" s="23" t="str">
        <f t="shared" si="95"/>
        <v/>
      </c>
      <c r="V1225" s="23" t="str">
        <f t="shared" si="96"/>
        <v/>
      </c>
    </row>
    <row r="1226" spans="5:22" x14ac:dyDescent="0.25">
      <c r="E1226" s="21" t="str">
        <f t="shared" si="92"/>
        <v/>
      </c>
      <c r="F1226" s="21"/>
      <c r="G1226" s="21"/>
      <c r="H1226" s="21"/>
      <c r="I1226" s="21"/>
      <c r="J1226" s="21"/>
      <c r="K1226" s="21"/>
      <c r="L1226" s="16" t="str">
        <f t="shared" ca="1" si="93"/>
        <v/>
      </c>
      <c r="M1226" s="22" t="str">
        <f t="shared" ca="1" si="94"/>
        <v/>
      </c>
      <c r="U1226" s="23" t="str">
        <f t="shared" si="95"/>
        <v/>
      </c>
      <c r="V1226" s="23" t="str">
        <f t="shared" si="96"/>
        <v/>
      </c>
    </row>
    <row r="1227" spans="5:22" x14ac:dyDescent="0.25">
      <c r="E1227" s="21" t="str">
        <f t="shared" si="92"/>
        <v/>
      </c>
      <c r="F1227" s="21"/>
      <c r="G1227" s="21"/>
      <c r="H1227" s="21"/>
      <c r="I1227" s="21"/>
      <c r="J1227" s="21"/>
      <c r="K1227" s="21"/>
      <c r="L1227" s="16" t="str">
        <f t="shared" ca="1" si="93"/>
        <v/>
      </c>
      <c r="M1227" s="22" t="str">
        <f t="shared" ca="1" si="94"/>
        <v/>
      </c>
      <c r="U1227" s="23" t="str">
        <f t="shared" si="95"/>
        <v/>
      </c>
      <c r="V1227" s="23" t="str">
        <f t="shared" si="96"/>
        <v/>
      </c>
    </row>
    <row r="1228" spans="5:22" x14ac:dyDescent="0.25">
      <c r="E1228" s="21" t="str">
        <f t="shared" si="92"/>
        <v/>
      </c>
      <c r="F1228" s="21"/>
      <c r="G1228" s="21"/>
      <c r="H1228" s="21"/>
      <c r="I1228" s="21"/>
      <c r="J1228" s="21"/>
      <c r="K1228" s="21"/>
      <c r="L1228" s="16" t="str">
        <f t="shared" ca="1" si="93"/>
        <v/>
      </c>
      <c r="M1228" s="22" t="str">
        <f t="shared" ca="1" si="94"/>
        <v/>
      </c>
      <c r="U1228" s="23" t="str">
        <f t="shared" si="95"/>
        <v/>
      </c>
      <c r="V1228" s="23" t="str">
        <f t="shared" si="96"/>
        <v/>
      </c>
    </row>
    <row r="1229" spans="5:22" x14ac:dyDescent="0.25">
      <c r="E1229" s="21" t="str">
        <f t="shared" si="92"/>
        <v/>
      </c>
      <c r="F1229" s="21"/>
      <c r="G1229" s="21"/>
      <c r="H1229" s="21"/>
      <c r="I1229" s="21"/>
      <c r="J1229" s="21"/>
      <c r="K1229" s="21"/>
      <c r="L1229" s="16" t="str">
        <f t="shared" ca="1" si="93"/>
        <v/>
      </c>
      <c r="M1229" s="22" t="str">
        <f t="shared" ca="1" si="94"/>
        <v/>
      </c>
      <c r="U1229" s="23" t="str">
        <f t="shared" si="95"/>
        <v/>
      </c>
      <c r="V1229" s="23" t="str">
        <f t="shared" si="96"/>
        <v/>
      </c>
    </row>
    <row r="1230" spans="5:22" x14ac:dyDescent="0.25">
      <c r="E1230" s="21" t="str">
        <f t="shared" si="92"/>
        <v/>
      </c>
      <c r="F1230" s="21"/>
      <c r="G1230" s="21"/>
      <c r="H1230" s="21"/>
      <c r="I1230" s="21"/>
      <c r="J1230" s="21"/>
      <c r="K1230" s="21"/>
      <c r="L1230" s="16" t="str">
        <f t="shared" ca="1" si="93"/>
        <v/>
      </c>
      <c r="M1230" s="22" t="str">
        <f t="shared" ca="1" si="94"/>
        <v/>
      </c>
      <c r="U1230" s="23" t="str">
        <f t="shared" si="95"/>
        <v/>
      </c>
      <c r="V1230" s="23" t="str">
        <f t="shared" si="96"/>
        <v/>
      </c>
    </row>
    <row r="1231" spans="5:22" x14ac:dyDescent="0.25">
      <c r="E1231" s="21" t="str">
        <f t="shared" si="92"/>
        <v/>
      </c>
      <c r="F1231" s="21"/>
      <c r="G1231" s="21"/>
      <c r="H1231" s="21"/>
      <c r="I1231" s="21"/>
      <c r="J1231" s="21"/>
      <c r="K1231" s="21"/>
      <c r="L1231" s="16" t="str">
        <f t="shared" ca="1" si="93"/>
        <v/>
      </c>
      <c r="M1231" s="22" t="str">
        <f t="shared" ca="1" si="94"/>
        <v/>
      </c>
      <c r="U1231" s="23" t="str">
        <f t="shared" si="95"/>
        <v/>
      </c>
      <c r="V1231" s="23" t="str">
        <f t="shared" si="96"/>
        <v/>
      </c>
    </row>
    <row r="1232" spans="5:22" x14ac:dyDescent="0.25">
      <c r="E1232" s="21" t="str">
        <f t="shared" si="92"/>
        <v/>
      </c>
      <c r="F1232" s="21"/>
      <c r="G1232" s="21"/>
      <c r="H1232" s="21"/>
      <c r="I1232" s="21"/>
      <c r="J1232" s="21"/>
      <c r="K1232" s="21"/>
      <c r="L1232" s="16" t="str">
        <f t="shared" ca="1" si="93"/>
        <v/>
      </c>
      <c r="M1232" s="22" t="str">
        <f t="shared" ca="1" si="94"/>
        <v/>
      </c>
      <c r="U1232" s="23" t="str">
        <f t="shared" si="95"/>
        <v/>
      </c>
      <c r="V1232" s="23" t="str">
        <f t="shared" si="96"/>
        <v/>
      </c>
    </row>
    <row r="1233" spans="5:22" x14ac:dyDescent="0.25">
      <c r="E1233" s="21" t="str">
        <f t="shared" si="92"/>
        <v/>
      </c>
      <c r="F1233" s="21"/>
      <c r="G1233" s="21"/>
      <c r="H1233" s="21"/>
      <c r="I1233" s="21"/>
      <c r="J1233" s="21"/>
      <c r="K1233" s="21"/>
      <c r="L1233" s="16" t="str">
        <f t="shared" ca="1" si="93"/>
        <v/>
      </c>
      <c r="M1233" s="22" t="str">
        <f t="shared" ca="1" si="94"/>
        <v/>
      </c>
      <c r="U1233" s="23" t="str">
        <f t="shared" si="95"/>
        <v/>
      </c>
      <c r="V1233" s="23" t="str">
        <f t="shared" si="96"/>
        <v/>
      </c>
    </row>
    <row r="1234" spans="5:22" x14ac:dyDescent="0.25">
      <c r="E1234" s="21" t="str">
        <f t="shared" si="92"/>
        <v/>
      </c>
      <c r="F1234" s="21"/>
      <c r="G1234" s="21"/>
      <c r="H1234" s="21"/>
      <c r="I1234" s="21"/>
      <c r="J1234" s="21"/>
      <c r="K1234" s="21"/>
      <c r="L1234" s="16" t="str">
        <f t="shared" ca="1" si="93"/>
        <v/>
      </c>
      <c r="M1234" s="22" t="str">
        <f t="shared" ca="1" si="94"/>
        <v/>
      </c>
      <c r="U1234" s="23" t="str">
        <f t="shared" si="95"/>
        <v/>
      </c>
      <c r="V1234" s="23" t="str">
        <f t="shared" si="96"/>
        <v/>
      </c>
    </row>
    <row r="1235" spans="5:22" x14ac:dyDescent="0.25">
      <c r="E1235" s="21" t="str">
        <f t="shared" si="92"/>
        <v/>
      </c>
      <c r="F1235" s="21"/>
      <c r="G1235" s="21"/>
      <c r="H1235" s="21"/>
      <c r="I1235" s="21"/>
      <c r="J1235" s="21"/>
      <c r="K1235" s="21"/>
      <c r="L1235" s="16" t="str">
        <f t="shared" ca="1" si="93"/>
        <v/>
      </c>
      <c r="M1235" s="22" t="str">
        <f t="shared" ca="1" si="94"/>
        <v/>
      </c>
      <c r="U1235" s="23" t="str">
        <f t="shared" si="95"/>
        <v/>
      </c>
      <c r="V1235" s="23" t="str">
        <f t="shared" si="96"/>
        <v/>
      </c>
    </row>
    <row r="1236" spans="5:22" x14ac:dyDescent="0.25">
      <c r="E1236" s="21" t="str">
        <f t="shared" si="92"/>
        <v/>
      </c>
      <c r="F1236" s="21"/>
      <c r="G1236" s="21"/>
      <c r="H1236" s="21"/>
      <c r="I1236" s="21"/>
      <c r="J1236" s="21"/>
      <c r="K1236" s="21"/>
      <c r="L1236" s="16" t="str">
        <f t="shared" ca="1" si="93"/>
        <v/>
      </c>
      <c r="M1236" s="22" t="str">
        <f t="shared" ca="1" si="94"/>
        <v/>
      </c>
      <c r="U1236" s="23" t="str">
        <f t="shared" si="95"/>
        <v/>
      </c>
      <c r="V1236" s="23" t="str">
        <f t="shared" si="96"/>
        <v/>
      </c>
    </row>
    <row r="1237" spans="5:22" x14ac:dyDescent="0.25">
      <c r="E1237" s="21" t="str">
        <f t="shared" si="92"/>
        <v/>
      </c>
      <c r="F1237" s="21"/>
      <c r="G1237" s="21"/>
      <c r="H1237" s="21"/>
      <c r="I1237" s="21"/>
      <c r="J1237" s="21"/>
      <c r="K1237" s="21"/>
      <c r="L1237" s="16" t="str">
        <f t="shared" ca="1" si="93"/>
        <v/>
      </c>
      <c r="M1237" s="22" t="str">
        <f t="shared" ca="1" si="94"/>
        <v/>
      </c>
      <c r="U1237" s="23" t="str">
        <f t="shared" si="95"/>
        <v/>
      </c>
      <c r="V1237" s="23" t="str">
        <f t="shared" si="96"/>
        <v/>
      </c>
    </row>
    <row r="1238" spans="5:22" x14ac:dyDescent="0.25">
      <c r="E1238" s="21" t="str">
        <f t="shared" si="92"/>
        <v/>
      </c>
      <c r="F1238" s="21"/>
      <c r="G1238" s="21"/>
      <c r="H1238" s="21"/>
      <c r="I1238" s="21"/>
      <c r="J1238" s="21"/>
      <c r="K1238" s="21"/>
      <c r="L1238" s="16" t="str">
        <f t="shared" ca="1" si="93"/>
        <v/>
      </c>
      <c r="M1238" s="22" t="str">
        <f t="shared" ca="1" si="94"/>
        <v/>
      </c>
      <c r="U1238" s="23" t="str">
        <f t="shared" si="95"/>
        <v/>
      </c>
      <c r="V1238" s="23" t="str">
        <f t="shared" si="96"/>
        <v/>
      </c>
    </row>
    <row r="1239" spans="5:22" x14ac:dyDescent="0.25">
      <c r="E1239" s="21" t="str">
        <f t="shared" si="92"/>
        <v/>
      </c>
      <c r="F1239" s="21"/>
      <c r="G1239" s="21"/>
      <c r="H1239" s="21"/>
      <c r="I1239" s="21"/>
      <c r="J1239" s="21"/>
      <c r="K1239" s="21"/>
      <c r="L1239" s="16" t="str">
        <f t="shared" ca="1" si="93"/>
        <v/>
      </c>
      <c r="M1239" s="22" t="str">
        <f t="shared" ca="1" si="94"/>
        <v/>
      </c>
      <c r="U1239" s="23" t="str">
        <f t="shared" si="95"/>
        <v/>
      </c>
      <c r="V1239" s="23" t="str">
        <f t="shared" si="96"/>
        <v/>
      </c>
    </row>
    <row r="1240" spans="5:22" x14ac:dyDescent="0.25">
      <c r="E1240" s="21" t="str">
        <f t="shared" si="92"/>
        <v/>
      </c>
      <c r="F1240" s="21"/>
      <c r="G1240" s="21"/>
      <c r="H1240" s="21"/>
      <c r="I1240" s="21"/>
      <c r="J1240" s="21"/>
      <c r="K1240" s="21"/>
      <c r="L1240" s="16" t="str">
        <f t="shared" ca="1" si="93"/>
        <v/>
      </c>
      <c r="M1240" s="22" t="str">
        <f t="shared" ca="1" si="94"/>
        <v/>
      </c>
      <c r="U1240" s="23" t="str">
        <f t="shared" si="95"/>
        <v/>
      </c>
      <c r="V1240" s="23" t="str">
        <f t="shared" si="96"/>
        <v/>
      </c>
    </row>
    <row r="1241" spans="5:22" x14ac:dyDescent="0.25">
      <c r="E1241" s="21" t="str">
        <f t="shared" si="92"/>
        <v/>
      </c>
      <c r="F1241" s="21"/>
      <c r="G1241" s="21"/>
      <c r="H1241" s="21"/>
      <c r="I1241" s="21"/>
      <c r="J1241" s="21"/>
      <c r="K1241" s="21"/>
      <c r="L1241" s="16" t="str">
        <f t="shared" ca="1" si="93"/>
        <v/>
      </c>
      <c r="M1241" s="22" t="str">
        <f t="shared" ca="1" si="94"/>
        <v/>
      </c>
      <c r="U1241" s="23" t="str">
        <f t="shared" si="95"/>
        <v/>
      </c>
      <c r="V1241" s="23" t="str">
        <f t="shared" si="96"/>
        <v/>
      </c>
    </row>
    <row r="1242" spans="5:22" x14ac:dyDescent="0.25">
      <c r="E1242" s="21" t="str">
        <f t="shared" si="92"/>
        <v/>
      </c>
      <c r="F1242" s="21"/>
      <c r="G1242" s="21"/>
      <c r="H1242" s="21"/>
      <c r="I1242" s="21"/>
      <c r="J1242" s="21"/>
      <c r="K1242" s="21"/>
      <c r="L1242" s="16" t="str">
        <f t="shared" ca="1" si="93"/>
        <v/>
      </c>
      <c r="M1242" s="22" t="str">
        <f t="shared" ca="1" si="94"/>
        <v/>
      </c>
      <c r="U1242" s="23" t="str">
        <f t="shared" si="95"/>
        <v/>
      </c>
      <c r="V1242" s="23" t="str">
        <f t="shared" si="96"/>
        <v/>
      </c>
    </row>
    <row r="1243" spans="5:22" x14ac:dyDescent="0.25">
      <c r="E1243" s="21" t="str">
        <f t="shared" si="92"/>
        <v/>
      </c>
      <c r="F1243" s="21"/>
      <c r="G1243" s="21"/>
      <c r="H1243" s="21"/>
      <c r="I1243" s="21"/>
      <c r="J1243" s="21"/>
      <c r="K1243" s="21"/>
      <c r="L1243" s="16" t="str">
        <f t="shared" ca="1" si="93"/>
        <v/>
      </c>
      <c r="M1243" s="22" t="str">
        <f t="shared" ca="1" si="94"/>
        <v/>
      </c>
      <c r="U1243" s="23" t="str">
        <f t="shared" si="95"/>
        <v/>
      </c>
      <c r="V1243" s="23" t="str">
        <f t="shared" si="96"/>
        <v/>
      </c>
    </row>
    <row r="1244" spans="5:22" x14ac:dyDescent="0.25">
      <c r="E1244" s="21" t="str">
        <f t="shared" si="92"/>
        <v/>
      </c>
      <c r="F1244" s="21"/>
      <c r="G1244" s="21"/>
      <c r="H1244" s="21"/>
      <c r="I1244" s="21"/>
      <c r="J1244" s="21"/>
      <c r="K1244" s="21"/>
      <c r="L1244" s="16" t="str">
        <f t="shared" ca="1" si="93"/>
        <v/>
      </c>
      <c r="M1244" s="22" t="str">
        <f t="shared" ca="1" si="94"/>
        <v/>
      </c>
      <c r="U1244" s="23" t="str">
        <f t="shared" si="95"/>
        <v/>
      </c>
      <c r="V1244" s="23" t="str">
        <f t="shared" si="96"/>
        <v/>
      </c>
    </row>
    <row r="1245" spans="5:22" x14ac:dyDescent="0.25">
      <c r="E1245" s="21" t="str">
        <f t="shared" si="92"/>
        <v/>
      </c>
      <c r="F1245" s="21"/>
      <c r="G1245" s="21"/>
      <c r="H1245" s="21"/>
      <c r="I1245" s="21"/>
      <c r="J1245" s="21"/>
      <c r="K1245" s="21"/>
      <c r="L1245" s="16" t="str">
        <f t="shared" ca="1" si="93"/>
        <v/>
      </c>
      <c r="M1245" s="22" t="str">
        <f t="shared" ca="1" si="94"/>
        <v/>
      </c>
      <c r="U1245" s="23" t="str">
        <f t="shared" si="95"/>
        <v/>
      </c>
      <c r="V1245" s="23" t="str">
        <f t="shared" si="96"/>
        <v/>
      </c>
    </row>
    <row r="1246" spans="5:22" x14ac:dyDescent="0.25">
      <c r="E1246" s="21" t="str">
        <f t="shared" si="92"/>
        <v/>
      </c>
      <c r="F1246" s="21"/>
      <c r="G1246" s="21"/>
      <c r="H1246" s="21"/>
      <c r="I1246" s="21"/>
      <c r="J1246" s="21"/>
      <c r="K1246" s="21"/>
      <c r="L1246" s="16" t="str">
        <f t="shared" ca="1" si="93"/>
        <v/>
      </c>
      <c r="M1246" s="22" t="str">
        <f t="shared" ca="1" si="94"/>
        <v/>
      </c>
      <c r="U1246" s="23" t="str">
        <f t="shared" si="95"/>
        <v/>
      </c>
      <c r="V1246" s="23" t="str">
        <f t="shared" si="96"/>
        <v/>
      </c>
    </row>
    <row r="1247" spans="5:22" x14ac:dyDescent="0.25">
      <c r="E1247" s="21" t="str">
        <f t="shared" si="92"/>
        <v/>
      </c>
      <c r="F1247" s="21"/>
      <c r="G1247" s="21"/>
      <c r="H1247" s="21"/>
      <c r="I1247" s="21"/>
      <c r="J1247" s="21"/>
      <c r="K1247" s="21"/>
      <c r="L1247" s="16" t="str">
        <f t="shared" ca="1" si="93"/>
        <v/>
      </c>
      <c r="M1247" s="22" t="str">
        <f t="shared" ca="1" si="94"/>
        <v/>
      </c>
      <c r="U1247" s="23" t="str">
        <f t="shared" si="95"/>
        <v/>
      </c>
      <c r="V1247" s="23" t="str">
        <f t="shared" si="96"/>
        <v/>
      </c>
    </row>
    <row r="1248" spans="5:22" x14ac:dyDescent="0.25">
      <c r="E1248" s="21" t="str">
        <f t="shared" si="92"/>
        <v/>
      </c>
      <c r="F1248" s="21"/>
      <c r="G1248" s="21"/>
      <c r="H1248" s="21"/>
      <c r="I1248" s="21"/>
      <c r="J1248" s="21"/>
      <c r="K1248" s="21"/>
      <c r="L1248" s="16" t="str">
        <f t="shared" ca="1" si="93"/>
        <v/>
      </c>
      <c r="M1248" s="22" t="str">
        <f t="shared" ca="1" si="94"/>
        <v/>
      </c>
      <c r="U1248" s="23" t="str">
        <f t="shared" si="95"/>
        <v/>
      </c>
      <c r="V1248" s="23" t="str">
        <f t="shared" si="96"/>
        <v/>
      </c>
    </row>
    <row r="1249" spans="5:22" x14ac:dyDescent="0.25">
      <c r="E1249" s="21" t="str">
        <f t="shared" si="92"/>
        <v/>
      </c>
      <c r="F1249" s="21"/>
      <c r="G1249" s="21"/>
      <c r="H1249" s="21"/>
      <c r="I1249" s="21"/>
      <c r="J1249" s="21"/>
      <c r="K1249" s="21"/>
      <c r="L1249" s="16" t="str">
        <f t="shared" ca="1" si="93"/>
        <v/>
      </c>
      <c r="M1249" s="22" t="str">
        <f t="shared" ca="1" si="94"/>
        <v/>
      </c>
      <c r="U1249" s="23" t="str">
        <f t="shared" si="95"/>
        <v/>
      </c>
      <c r="V1249" s="23" t="str">
        <f t="shared" si="96"/>
        <v/>
      </c>
    </row>
    <row r="1250" spans="5:22" x14ac:dyDescent="0.25">
      <c r="E1250" s="21" t="str">
        <f t="shared" si="92"/>
        <v/>
      </c>
      <c r="F1250" s="21"/>
      <c r="G1250" s="21"/>
      <c r="H1250" s="21"/>
      <c r="I1250" s="21"/>
      <c r="J1250" s="21"/>
      <c r="K1250" s="21"/>
      <c r="L1250" s="16" t="str">
        <f t="shared" ca="1" si="93"/>
        <v/>
      </c>
      <c r="M1250" s="22" t="str">
        <f t="shared" ca="1" si="94"/>
        <v/>
      </c>
      <c r="U1250" s="23" t="str">
        <f t="shared" si="95"/>
        <v/>
      </c>
      <c r="V1250" s="23" t="str">
        <f t="shared" si="96"/>
        <v/>
      </c>
    </row>
    <row r="1251" spans="5:22" x14ac:dyDescent="0.25">
      <c r="E1251" s="21" t="str">
        <f t="shared" si="92"/>
        <v/>
      </c>
      <c r="F1251" s="21"/>
      <c r="G1251" s="21"/>
      <c r="H1251" s="21"/>
      <c r="I1251" s="21"/>
      <c r="J1251" s="21"/>
      <c r="K1251" s="21"/>
      <c r="L1251" s="16" t="str">
        <f t="shared" ca="1" si="93"/>
        <v/>
      </c>
      <c r="M1251" s="22" t="str">
        <f t="shared" ca="1" si="94"/>
        <v/>
      </c>
      <c r="U1251" s="23" t="str">
        <f t="shared" si="95"/>
        <v/>
      </c>
      <c r="V1251" s="23" t="str">
        <f t="shared" si="96"/>
        <v/>
      </c>
    </row>
    <row r="1252" spans="5:22" x14ac:dyDescent="0.25">
      <c r="E1252" s="21" t="str">
        <f t="shared" si="92"/>
        <v/>
      </c>
      <c r="F1252" s="21"/>
      <c r="G1252" s="21"/>
      <c r="H1252" s="21"/>
      <c r="I1252" s="21"/>
      <c r="J1252" s="21"/>
      <c r="K1252" s="21"/>
      <c r="L1252" s="16" t="str">
        <f t="shared" ca="1" si="93"/>
        <v/>
      </c>
      <c r="M1252" s="22" t="str">
        <f t="shared" ca="1" si="94"/>
        <v/>
      </c>
      <c r="U1252" s="23" t="str">
        <f t="shared" si="95"/>
        <v/>
      </c>
      <c r="V1252" s="23" t="str">
        <f t="shared" si="96"/>
        <v/>
      </c>
    </row>
    <row r="1253" spans="5:22" x14ac:dyDescent="0.25">
      <c r="E1253" s="21" t="str">
        <f t="shared" ref="E1253:E1316" si="97">IF(ISNUMBER(SEARCH("v crs",D1253))=TRUE,"VC",IF(ISNUMBER(SEARCH("crs",D1253))=TRUE,"C",IF(ISNUMBER(SEARCH("med",D1253))=TRUE,"M",IF(ISNUMBER(SEARCH("vf",D1253))=TRUE,"VF",IF(ISNUMBER(SEARCH("f",D1253))=TRUE,"F","")))))</f>
        <v/>
      </c>
      <c r="F1253" s="21"/>
      <c r="G1253" s="21"/>
      <c r="H1253" s="21"/>
      <c r="I1253" s="21"/>
      <c r="J1253" s="21"/>
      <c r="K1253" s="21"/>
      <c r="L1253" s="16" t="str">
        <f t="shared" ca="1" si="93"/>
        <v/>
      </c>
      <c r="M1253" s="22" t="str">
        <f t="shared" ca="1" si="94"/>
        <v/>
      </c>
      <c r="U1253" s="23" t="str">
        <f t="shared" si="95"/>
        <v/>
      </c>
      <c r="V1253" s="23" t="str">
        <f t="shared" si="96"/>
        <v/>
      </c>
    </row>
    <row r="1254" spans="5:22" x14ac:dyDescent="0.25">
      <c r="E1254" s="21" t="str">
        <f t="shared" si="97"/>
        <v/>
      </c>
      <c r="F1254" s="21"/>
      <c r="G1254" s="21"/>
      <c r="H1254" s="21"/>
      <c r="I1254" s="21"/>
      <c r="J1254" s="21"/>
      <c r="K1254" s="21"/>
      <c r="L1254" s="16" t="str">
        <f t="shared" ca="1" si="93"/>
        <v/>
      </c>
      <c r="M1254" s="22" t="str">
        <f t="shared" ca="1" si="94"/>
        <v/>
      </c>
      <c r="U1254" s="23" t="str">
        <f t="shared" si="95"/>
        <v/>
      </c>
      <c r="V1254" s="23" t="str">
        <f t="shared" si="96"/>
        <v/>
      </c>
    </row>
    <row r="1255" spans="5:22" x14ac:dyDescent="0.25">
      <c r="E1255" s="21" t="str">
        <f t="shared" si="97"/>
        <v/>
      </c>
      <c r="F1255" s="21"/>
      <c r="G1255" s="21"/>
      <c r="H1255" s="21"/>
      <c r="I1255" s="21"/>
      <c r="J1255" s="21"/>
      <c r="K1255" s="21"/>
      <c r="L1255" s="16" t="str">
        <f t="shared" ca="1" si="93"/>
        <v/>
      </c>
      <c r="M1255" s="22" t="str">
        <f t="shared" ca="1" si="94"/>
        <v/>
      </c>
      <c r="U1255" s="23" t="str">
        <f t="shared" si="95"/>
        <v/>
      </c>
      <c r="V1255" s="23" t="str">
        <f t="shared" si="96"/>
        <v/>
      </c>
    </row>
    <row r="1256" spans="5:22" x14ac:dyDescent="0.25">
      <c r="E1256" s="21" t="str">
        <f t="shared" si="97"/>
        <v/>
      </c>
      <c r="F1256" s="21"/>
      <c r="G1256" s="21"/>
      <c r="H1256" s="21"/>
      <c r="I1256" s="21"/>
      <c r="J1256" s="21"/>
      <c r="K1256" s="21"/>
      <c r="L1256" s="16" t="str">
        <f t="shared" ca="1" si="93"/>
        <v/>
      </c>
      <c r="M1256" s="22" t="str">
        <f t="shared" ca="1" si="94"/>
        <v/>
      </c>
      <c r="U1256" s="23" t="str">
        <f t="shared" si="95"/>
        <v/>
      </c>
      <c r="V1256" s="23" t="str">
        <f t="shared" si="96"/>
        <v/>
      </c>
    </row>
    <row r="1257" spans="5:22" x14ac:dyDescent="0.25">
      <c r="E1257" s="21" t="str">
        <f t="shared" si="97"/>
        <v/>
      </c>
      <c r="F1257" s="21"/>
      <c r="G1257" s="21"/>
      <c r="H1257" s="21"/>
      <c r="I1257" s="21"/>
      <c r="J1257" s="21"/>
      <c r="K1257" s="21"/>
      <c r="L1257" s="16" t="str">
        <f t="shared" ca="1" si="93"/>
        <v/>
      </c>
      <c r="M1257" s="22" t="str">
        <f t="shared" ca="1" si="94"/>
        <v/>
      </c>
      <c r="U1257" s="23" t="str">
        <f t="shared" si="95"/>
        <v/>
      </c>
      <c r="V1257" s="23" t="str">
        <f t="shared" si="96"/>
        <v/>
      </c>
    </row>
    <row r="1258" spans="5:22" x14ac:dyDescent="0.25">
      <c r="E1258" s="21" t="str">
        <f t="shared" si="97"/>
        <v/>
      </c>
      <c r="F1258" s="21"/>
      <c r="G1258" s="21"/>
      <c r="H1258" s="21"/>
      <c r="I1258" s="21"/>
      <c r="J1258" s="21"/>
      <c r="K1258" s="21"/>
      <c r="L1258" s="16" t="str">
        <f t="shared" ca="1" si="93"/>
        <v/>
      </c>
      <c r="M1258" s="22" t="str">
        <f t="shared" ca="1" si="94"/>
        <v/>
      </c>
      <c r="U1258" s="23" t="str">
        <f t="shared" si="95"/>
        <v/>
      </c>
      <c r="V1258" s="23" t="str">
        <f t="shared" si="96"/>
        <v/>
      </c>
    </row>
    <row r="1259" spans="5:22" x14ac:dyDescent="0.25">
      <c r="E1259" s="21" t="str">
        <f t="shared" si="97"/>
        <v/>
      </c>
      <c r="F1259" s="21"/>
      <c r="G1259" s="21"/>
      <c r="H1259" s="21"/>
      <c r="I1259" s="21"/>
      <c r="J1259" s="21"/>
      <c r="K1259" s="21"/>
      <c r="L1259" s="16" t="str">
        <f t="shared" ca="1" si="93"/>
        <v/>
      </c>
      <c r="M1259" s="22" t="str">
        <f t="shared" ca="1" si="94"/>
        <v/>
      </c>
      <c r="U1259" s="23" t="str">
        <f t="shared" si="95"/>
        <v/>
      </c>
      <c r="V1259" s="23" t="str">
        <f t="shared" si="96"/>
        <v/>
      </c>
    </row>
    <row r="1260" spans="5:22" x14ac:dyDescent="0.25">
      <c r="E1260" s="21" t="str">
        <f t="shared" si="97"/>
        <v/>
      </c>
      <c r="F1260" s="21"/>
      <c r="G1260" s="21"/>
      <c r="H1260" s="21"/>
      <c r="I1260" s="21"/>
      <c r="J1260" s="21"/>
      <c r="K1260" s="21"/>
      <c r="L1260" s="16" t="str">
        <f t="shared" ca="1" si="93"/>
        <v/>
      </c>
      <c r="M1260" s="22" t="str">
        <f t="shared" ca="1" si="94"/>
        <v/>
      </c>
      <c r="U1260" s="23" t="str">
        <f t="shared" si="95"/>
        <v/>
      </c>
      <c r="V1260" s="23" t="str">
        <f t="shared" si="96"/>
        <v/>
      </c>
    </row>
    <row r="1261" spans="5:22" x14ac:dyDescent="0.25">
      <c r="E1261" s="21" t="str">
        <f t="shared" si="97"/>
        <v/>
      </c>
      <c r="F1261" s="21"/>
      <c r="G1261" s="21"/>
      <c r="H1261" s="21"/>
      <c r="I1261" s="21"/>
      <c r="J1261" s="21"/>
      <c r="K1261" s="21"/>
      <c r="L1261" s="16" t="str">
        <f t="shared" ca="1" si="93"/>
        <v/>
      </c>
      <c r="M1261" s="22" t="str">
        <f t="shared" ca="1" si="94"/>
        <v/>
      </c>
      <c r="U1261" s="23" t="str">
        <f t="shared" si="95"/>
        <v/>
      </c>
      <c r="V1261" s="23" t="str">
        <f t="shared" si="96"/>
        <v/>
      </c>
    </row>
    <row r="1262" spans="5:22" x14ac:dyDescent="0.25">
      <c r="E1262" s="21" t="str">
        <f t="shared" si="97"/>
        <v/>
      </c>
      <c r="F1262" s="21"/>
      <c r="G1262" s="21"/>
      <c r="H1262" s="21"/>
      <c r="I1262" s="21"/>
      <c r="J1262" s="21"/>
      <c r="K1262" s="21"/>
      <c r="L1262" s="16" t="str">
        <f t="shared" ca="1" si="93"/>
        <v/>
      </c>
      <c r="M1262" s="22" t="str">
        <f t="shared" ca="1" si="94"/>
        <v/>
      </c>
      <c r="U1262" s="23" t="str">
        <f t="shared" si="95"/>
        <v/>
      </c>
      <c r="V1262" s="23" t="str">
        <f t="shared" si="96"/>
        <v/>
      </c>
    </row>
    <row r="1263" spans="5:22" x14ac:dyDescent="0.25">
      <c r="E1263" s="21" t="str">
        <f t="shared" si="97"/>
        <v/>
      </c>
      <c r="F1263" s="21"/>
      <c r="G1263" s="21"/>
      <c r="H1263" s="21"/>
      <c r="I1263" s="21"/>
      <c r="J1263" s="21"/>
      <c r="K1263" s="21"/>
      <c r="L1263" s="16" t="str">
        <f t="shared" ca="1" si="93"/>
        <v/>
      </c>
      <c r="M1263" s="22" t="str">
        <f t="shared" ca="1" si="94"/>
        <v/>
      </c>
      <c r="U1263" s="23" t="str">
        <f t="shared" si="95"/>
        <v/>
      </c>
      <c r="V1263" s="23" t="str">
        <f t="shared" si="96"/>
        <v/>
      </c>
    </row>
    <row r="1264" spans="5:22" x14ac:dyDescent="0.25">
      <c r="E1264" s="21" t="str">
        <f t="shared" si="97"/>
        <v/>
      </c>
      <c r="F1264" s="21"/>
      <c r="G1264" s="21"/>
      <c r="H1264" s="21"/>
      <c r="I1264" s="21"/>
      <c r="J1264" s="21"/>
      <c r="K1264" s="21"/>
      <c r="L1264" s="16" t="str">
        <f t="shared" ca="1" si="93"/>
        <v/>
      </c>
      <c r="M1264" s="22" t="str">
        <f t="shared" ca="1" si="94"/>
        <v/>
      </c>
      <c r="U1264" s="23" t="str">
        <f t="shared" si="95"/>
        <v/>
      </c>
      <c r="V1264" s="23" t="str">
        <f t="shared" si="96"/>
        <v/>
      </c>
    </row>
    <row r="1265" spans="5:22" x14ac:dyDescent="0.25">
      <c r="E1265" s="21" t="str">
        <f t="shared" si="97"/>
        <v/>
      </c>
      <c r="F1265" s="21"/>
      <c r="G1265" s="21"/>
      <c r="H1265" s="21"/>
      <c r="I1265" s="21"/>
      <c r="J1265" s="21"/>
      <c r="K1265" s="21"/>
      <c r="L1265" s="16" t="str">
        <f t="shared" ca="1" si="93"/>
        <v/>
      </c>
      <c r="M1265" s="22" t="str">
        <f t="shared" ca="1" si="94"/>
        <v/>
      </c>
      <c r="U1265" s="23" t="str">
        <f t="shared" si="95"/>
        <v/>
      </c>
      <c r="V1265" s="23" t="str">
        <f t="shared" si="96"/>
        <v/>
      </c>
    </row>
    <row r="1266" spans="5:22" x14ac:dyDescent="0.25">
      <c r="E1266" s="21" t="str">
        <f t="shared" si="97"/>
        <v/>
      </c>
      <c r="F1266" s="21"/>
      <c r="G1266" s="21"/>
      <c r="H1266" s="21"/>
      <c r="I1266" s="21"/>
      <c r="J1266" s="21"/>
      <c r="K1266" s="21"/>
      <c r="L1266" s="16" t="str">
        <f t="shared" ca="1" si="93"/>
        <v/>
      </c>
      <c r="M1266" s="22" t="str">
        <f t="shared" ca="1" si="94"/>
        <v/>
      </c>
      <c r="U1266" s="23" t="str">
        <f t="shared" si="95"/>
        <v/>
      </c>
      <c r="V1266" s="23" t="str">
        <f t="shared" si="96"/>
        <v/>
      </c>
    </row>
    <row r="1267" spans="5:22" x14ac:dyDescent="0.25">
      <c r="E1267" s="21" t="str">
        <f t="shared" si="97"/>
        <v/>
      </c>
      <c r="F1267" s="21"/>
      <c r="G1267" s="21"/>
      <c r="H1267" s="21"/>
      <c r="I1267" s="21"/>
      <c r="J1267" s="21"/>
      <c r="K1267" s="21"/>
      <c r="L1267" s="16" t="str">
        <f t="shared" ca="1" si="93"/>
        <v/>
      </c>
      <c r="M1267" s="22" t="str">
        <f t="shared" ca="1" si="94"/>
        <v/>
      </c>
      <c r="U1267" s="23" t="str">
        <f t="shared" si="95"/>
        <v/>
      </c>
      <c r="V1267" s="23" t="str">
        <f t="shared" si="96"/>
        <v/>
      </c>
    </row>
    <row r="1268" spans="5:22" x14ac:dyDescent="0.25">
      <c r="E1268" s="21" t="str">
        <f t="shared" si="97"/>
        <v/>
      </c>
      <c r="F1268" s="21"/>
      <c r="G1268" s="21"/>
      <c r="H1268" s="21"/>
      <c r="I1268" s="21"/>
      <c r="J1268" s="21"/>
      <c r="K1268" s="21"/>
      <c r="L1268" s="16" t="str">
        <f t="shared" ca="1" si="93"/>
        <v/>
      </c>
      <c r="M1268" s="22" t="str">
        <f t="shared" ca="1" si="94"/>
        <v/>
      </c>
      <c r="U1268" s="23" t="str">
        <f t="shared" si="95"/>
        <v/>
      </c>
      <c r="V1268" s="23" t="str">
        <f t="shared" si="96"/>
        <v/>
      </c>
    </row>
    <row r="1269" spans="5:22" x14ac:dyDescent="0.25">
      <c r="E1269" s="21" t="str">
        <f t="shared" si="97"/>
        <v/>
      </c>
      <c r="F1269" s="21"/>
      <c r="G1269" s="21"/>
      <c r="H1269" s="21"/>
      <c r="I1269" s="21"/>
      <c r="J1269" s="21"/>
      <c r="K1269" s="21"/>
      <c r="L1269" s="16" t="str">
        <f t="shared" ca="1" si="93"/>
        <v/>
      </c>
      <c r="M1269" s="22" t="str">
        <f t="shared" ca="1" si="94"/>
        <v/>
      </c>
      <c r="U1269" s="23" t="str">
        <f t="shared" si="95"/>
        <v/>
      </c>
      <c r="V1269" s="23" t="str">
        <f t="shared" si="96"/>
        <v/>
      </c>
    </row>
    <row r="1270" spans="5:22" x14ac:dyDescent="0.25">
      <c r="E1270" s="21" t="str">
        <f t="shared" si="97"/>
        <v/>
      </c>
      <c r="F1270" s="21"/>
      <c r="G1270" s="21"/>
      <c r="H1270" s="21"/>
      <c r="I1270" s="21"/>
      <c r="J1270" s="21"/>
      <c r="K1270" s="21"/>
      <c r="L1270" s="16" t="str">
        <f t="shared" ca="1" si="93"/>
        <v/>
      </c>
      <c r="M1270" s="22" t="str">
        <f t="shared" ca="1" si="94"/>
        <v/>
      </c>
      <c r="U1270" s="23" t="str">
        <f t="shared" si="95"/>
        <v/>
      </c>
      <c r="V1270" s="23" t="str">
        <f t="shared" si="96"/>
        <v/>
      </c>
    </row>
    <row r="1271" spans="5:22" x14ac:dyDescent="0.25">
      <c r="E1271" s="21" t="str">
        <f t="shared" si="97"/>
        <v/>
      </c>
      <c r="F1271" s="21"/>
      <c r="G1271" s="21"/>
      <c r="H1271" s="21"/>
      <c r="I1271" s="21"/>
      <c r="J1271" s="21"/>
      <c r="K1271" s="21"/>
      <c r="L1271" s="16" t="str">
        <f t="shared" ca="1" si="93"/>
        <v/>
      </c>
      <c r="M1271" s="22" t="str">
        <f t="shared" ca="1" si="94"/>
        <v/>
      </c>
      <c r="U1271" s="23" t="str">
        <f t="shared" si="95"/>
        <v/>
      </c>
      <c r="V1271" s="23" t="str">
        <f t="shared" si="96"/>
        <v/>
      </c>
    </row>
    <row r="1272" spans="5:22" x14ac:dyDescent="0.25">
      <c r="E1272" s="21" t="str">
        <f t="shared" si="97"/>
        <v/>
      </c>
      <c r="F1272" s="21"/>
      <c r="G1272" s="21"/>
      <c r="H1272" s="21"/>
      <c r="I1272" s="21"/>
      <c r="J1272" s="21"/>
      <c r="K1272" s="21"/>
      <c r="L1272" s="16" t="str">
        <f t="shared" ca="1" si="93"/>
        <v/>
      </c>
      <c r="M1272" s="22" t="str">
        <f t="shared" ca="1" si="94"/>
        <v/>
      </c>
      <c r="U1272" s="23" t="str">
        <f t="shared" si="95"/>
        <v/>
      </c>
      <c r="V1272" s="23" t="str">
        <f t="shared" si="96"/>
        <v/>
      </c>
    </row>
    <row r="1273" spans="5:22" x14ac:dyDescent="0.25">
      <c r="E1273" s="21" t="str">
        <f t="shared" si="97"/>
        <v/>
      </c>
      <c r="F1273" s="21"/>
      <c r="G1273" s="21"/>
      <c r="H1273" s="21"/>
      <c r="I1273" s="21"/>
      <c r="J1273" s="21"/>
      <c r="K1273" s="21"/>
      <c r="L1273" s="16" t="str">
        <f t="shared" ca="1" si="93"/>
        <v/>
      </c>
      <c r="M1273" s="22" t="str">
        <f t="shared" ca="1" si="94"/>
        <v/>
      </c>
      <c r="U1273" s="23" t="str">
        <f t="shared" si="95"/>
        <v/>
      </c>
      <c r="V1273" s="23" t="str">
        <f t="shared" si="96"/>
        <v/>
      </c>
    </row>
    <row r="1274" spans="5:22" x14ac:dyDescent="0.25">
      <c r="E1274" s="21" t="str">
        <f t="shared" si="97"/>
        <v/>
      </c>
      <c r="F1274" s="21"/>
      <c r="G1274" s="21"/>
      <c r="H1274" s="21"/>
      <c r="I1274" s="21"/>
      <c r="J1274" s="21"/>
      <c r="K1274" s="21"/>
      <c r="L1274" s="16" t="str">
        <f t="shared" ca="1" si="93"/>
        <v/>
      </c>
      <c r="M1274" s="22" t="str">
        <f t="shared" ca="1" si="94"/>
        <v/>
      </c>
      <c r="U1274" s="23" t="str">
        <f t="shared" si="95"/>
        <v/>
      </c>
      <c r="V1274" s="23" t="str">
        <f t="shared" si="96"/>
        <v/>
      </c>
    </row>
    <row r="1275" spans="5:22" x14ac:dyDescent="0.25">
      <c r="E1275" s="21" t="str">
        <f t="shared" si="97"/>
        <v/>
      </c>
      <c r="F1275" s="21"/>
      <c r="G1275" s="21"/>
      <c r="H1275" s="21"/>
      <c r="I1275" s="21"/>
      <c r="J1275" s="21"/>
      <c r="K1275" s="21"/>
      <c r="L1275" s="16" t="str">
        <f t="shared" ca="1" si="93"/>
        <v/>
      </c>
      <c r="M1275" s="22" t="str">
        <f t="shared" ca="1" si="94"/>
        <v/>
      </c>
      <c r="U1275" s="23" t="str">
        <f t="shared" si="95"/>
        <v/>
      </c>
      <c r="V1275" s="23" t="str">
        <f t="shared" si="96"/>
        <v/>
      </c>
    </row>
    <row r="1276" spans="5:22" x14ac:dyDescent="0.25">
      <c r="E1276" s="21" t="str">
        <f t="shared" si="97"/>
        <v/>
      </c>
      <c r="F1276" s="21"/>
      <c r="G1276" s="21"/>
      <c r="H1276" s="21"/>
      <c r="I1276" s="21"/>
      <c r="J1276" s="21"/>
      <c r="K1276" s="21"/>
      <c r="L1276" s="16" t="str">
        <f t="shared" ca="1" si="93"/>
        <v/>
      </c>
      <c r="M1276" s="22" t="str">
        <f t="shared" ca="1" si="94"/>
        <v/>
      </c>
      <c r="U1276" s="23" t="str">
        <f t="shared" si="95"/>
        <v/>
      </c>
      <c r="V1276" s="23" t="str">
        <f t="shared" si="96"/>
        <v/>
      </c>
    </row>
    <row r="1277" spans="5:22" x14ac:dyDescent="0.25">
      <c r="E1277" s="21" t="str">
        <f t="shared" si="97"/>
        <v/>
      </c>
      <c r="F1277" s="21"/>
      <c r="G1277" s="21"/>
      <c r="H1277" s="21"/>
      <c r="I1277" s="21"/>
      <c r="J1277" s="21"/>
      <c r="K1277" s="21"/>
      <c r="L1277" s="16" t="str">
        <f t="shared" ref="L1277:L1340" ca="1" si="98">IF(AND(C1277&lt;&gt;"",C1277&lt;&gt;U1277),TODAY(),IF(C1277="","",L1277))</f>
        <v/>
      </c>
      <c r="M1277" s="22" t="str">
        <f t="shared" ref="M1277:M1340" ca="1" si="99">IF(AND(C1277&lt;&gt;"",C1277&lt;&gt;V1277),NOW(),IF(C1277="","",M1277))</f>
        <v/>
      </c>
      <c r="U1277" s="23" t="str">
        <f t="shared" si="95"/>
        <v/>
      </c>
      <c r="V1277" s="23" t="str">
        <f t="shared" si="96"/>
        <v/>
      </c>
    </row>
    <row r="1278" spans="5:22" x14ac:dyDescent="0.25">
      <c r="E1278" s="21" t="str">
        <f t="shared" si="97"/>
        <v/>
      </c>
      <c r="F1278" s="21"/>
      <c r="G1278" s="21"/>
      <c r="H1278" s="21"/>
      <c r="I1278" s="21"/>
      <c r="J1278" s="21"/>
      <c r="K1278" s="21"/>
      <c r="L1278" s="16" t="str">
        <f t="shared" ca="1" si="98"/>
        <v/>
      </c>
      <c r="M1278" s="22" t="str">
        <f t="shared" ca="1" si="99"/>
        <v/>
      </c>
      <c r="U1278" s="23" t="str">
        <f t="shared" si="95"/>
        <v/>
      </c>
      <c r="V1278" s="23" t="str">
        <f t="shared" si="96"/>
        <v/>
      </c>
    </row>
    <row r="1279" spans="5:22" x14ac:dyDescent="0.25">
      <c r="E1279" s="21" t="str">
        <f t="shared" si="97"/>
        <v/>
      </c>
      <c r="F1279" s="21"/>
      <c r="G1279" s="21"/>
      <c r="H1279" s="21"/>
      <c r="I1279" s="21"/>
      <c r="J1279" s="21"/>
      <c r="K1279" s="21"/>
      <c r="L1279" s="16" t="str">
        <f t="shared" ca="1" si="98"/>
        <v/>
      </c>
      <c r="M1279" s="22" t="str">
        <f t="shared" ca="1" si="99"/>
        <v/>
      </c>
      <c r="U1279" s="23" t="str">
        <f t="shared" si="95"/>
        <v/>
      </c>
      <c r="V1279" s="23" t="str">
        <f t="shared" si="96"/>
        <v/>
      </c>
    </row>
    <row r="1280" spans="5:22" x14ac:dyDescent="0.25">
      <c r="E1280" s="21" t="str">
        <f t="shared" si="97"/>
        <v/>
      </c>
      <c r="F1280" s="21"/>
      <c r="G1280" s="21"/>
      <c r="H1280" s="21"/>
      <c r="I1280" s="21"/>
      <c r="J1280" s="21"/>
      <c r="K1280" s="21"/>
      <c r="L1280" s="16" t="str">
        <f t="shared" ca="1" si="98"/>
        <v/>
      </c>
      <c r="M1280" s="22" t="str">
        <f t="shared" ca="1" si="99"/>
        <v/>
      </c>
      <c r="U1280" s="23" t="str">
        <f t="shared" si="95"/>
        <v/>
      </c>
      <c r="V1280" s="23" t="str">
        <f t="shared" si="96"/>
        <v/>
      </c>
    </row>
    <row r="1281" spans="5:22" x14ac:dyDescent="0.25">
      <c r="E1281" s="21" t="str">
        <f t="shared" si="97"/>
        <v/>
      </c>
      <c r="F1281" s="21"/>
      <c r="G1281" s="21"/>
      <c r="H1281" s="21"/>
      <c r="I1281" s="21"/>
      <c r="J1281" s="21"/>
      <c r="K1281" s="21"/>
      <c r="L1281" s="16" t="str">
        <f t="shared" ca="1" si="98"/>
        <v/>
      </c>
      <c r="M1281" s="22" t="str">
        <f t="shared" ca="1" si="99"/>
        <v/>
      </c>
      <c r="U1281" s="23" t="str">
        <f t="shared" si="95"/>
        <v/>
      </c>
      <c r="V1281" s="23" t="str">
        <f t="shared" si="96"/>
        <v/>
      </c>
    </row>
    <row r="1282" spans="5:22" x14ac:dyDescent="0.25">
      <c r="E1282" s="21" t="str">
        <f t="shared" si="97"/>
        <v/>
      </c>
      <c r="F1282" s="21"/>
      <c r="G1282" s="21"/>
      <c r="H1282" s="21"/>
      <c r="I1282" s="21"/>
      <c r="J1282" s="21"/>
      <c r="K1282" s="21"/>
      <c r="L1282" s="16" t="str">
        <f t="shared" ca="1" si="98"/>
        <v/>
      </c>
      <c r="M1282" s="22" t="str">
        <f t="shared" ca="1" si="99"/>
        <v/>
      </c>
      <c r="U1282" s="23" t="str">
        <f t="shared" si="95"/>
        <v/>
      </c>
      <c r="V1282" s="23" t="str">
        <f t="shared" si="96"/>
        <v/>
      </c>
    </row>
    <row r="1283" spans="5:22" x14ac:dyDescent="0.25">
      <c r="E1283" s="21" t="str">
        <f t="shared" si="97"/>
        <v/>
      </c>
      <c r="F1283" s="21"/>
      <c r="G1283" s="21"/>
      <c r="H1283" s="21"/>
      <c r="I1283" s="21"/>
      <c r="J1283" s="21"/>
      <c r="K1283" s="21"/>
      <c r="L1283" s="16" t="str">
        <f t="shared" ca="1" si="98"/>
        <v/>
      </c>
      <c r="M1283" s="22" t="str">
        <f t="shared" ca="1" si="99"/>
        <v/>
      </c>
      <c r="U1283" s="23" t="str">
        <f t="shared" si="95"/>
        <v/>
      </c>
      <c r="V1283" s="23" t="str">
        <f t="shared" si="96"/>
        <v/>
      </c>
    </row>
    <row r="1284" spans="5:22" x14ac:dyDescent="0.25">
      <c r="E1284" s="21" t="str">
        <f t="shared" si="97"/>
        <v/>
      </c>
      <c r="F1284" s="21"/>
      <c r="G1284" s="21"/>
      <c r="H1284" s="21"/>
      <c r="I1284" s="21"/>
      <c r="J1284" s="21"/>
      <c r="K1284" s="21"/>
      <c r="L1284" s="16" t="str">
        <f t="shared" ca="1" si="98"/>
        <v/>
      </c>
      <c r="M1284" s="22" t="str">
        <f t="shared" ca="1" si="99"/>
        <v/>
      </c>
      <c r="U1284" s="23" t="str">
        <f t="shared" ref="U1284:U1347" si="100">IF(C1284="","",IF(OR(L1284="",AND(ISNUMBER(U1284),C1284=U1284)),U1284,C1284))</f>
        <v/>
      </c>
      <c r="V1284" s="23" t="str">
        <f t="shared" ref="V1284:V1347" si="101">IF(C1284="","",IF(OR(M1284="",AND(ISNUMBER(V1284),C1284=V1284)),V1284,C1284))</f>
        <v/>
      </c>
    </row>
    <row r="1285" spans="5:22" x14ac:dyDescent="0.25">
      <c r="E1285" s="21" t="str">
        <f t="shared" si="97"/>
        <v/>
      </c>
      <c r="F1285" s="21"/>
      <c r="G1285" s="21"/>
      <c r="H1285" s="21"/>
      <c r="I1285" s="21"/>
      <c r="J1285" s="21"/>
      <c r="K1285" s="21"/>
      <c r="L1285" s="16" t="str">
        <f t="shared" ca="1" si="98"/>
        <v/>
      </c>
      <c r="M1285" s="22" t="str">
        <f t="shared" ca="1" si="99"/>
        <v/>
      </c>
      <c r="U1285" s="23" t="str">
        <f t="shared" si="100"/>
        <v/>
      </c>
      <c r="V1285" s="23" t="str">
        <f t="shared" si="101"/>
        <v/>
      </c>
    </row>
    <row r="1286" spans="5:22" x14ac:dyDescent="0.25">
      <c r="E1286" s="21" t="str">
        <f t="shared" si="97"/>
        <v/>
      </c>
      <c r="F1286" s="21"/>
      <c r="G1286" s="21"/>
      <c r="H1286" s="21"/>
      <c r="I1286" s="21"/>
      <c r="J1286" s="21"/>
      <c r="K1286" s="21"/>
      <c r="L1286" s="16" t="str">
        <f t="shared" ca="1" si="98"/>
        <v/>
      </c>
      <c r="M1286" s="22" t="str">
        <f t="shared" ca="1" si="99"/>
        <v/>
      </c>
      <c r="U1286" s="23" t="str">
        <f t="shared" si="100"/>
        <v/>
      </c>
      <c r="V1286" s="23" t="str">
        <f t="shared" si="101"/>
        <v/>
      </c>
    </row>
    <row r="1287" spans="5:22" x14ac:dyDescent="0.25">
      <c r="E1287" s="21" t="str">
        <f t="shared" si="97"/>
        <v/>
      </c>
      <c r="F1287" s="21"/>
      <c r="G1287" s="21"/>
      <c r="H1287" s="21"/>
      <c r="I1287" s="21"/>
      <c r="J1287" s="21"/>
      <c r="K1287" s="21"/>
      <c r="L1287" s="16" t="str">
        <f t="shared" ca="1" si="98"/>
        <v/>
      </c>
      <c r="M1287" s="22" t="str">
        <f t="shared" ca="1" si="99"/>
        <v/>
      </c>
      <c r="U1287" s="23" t="str">
        <f t="shared" si="100"/>
        <v/>
      </c>
      <c r="V1287" s="23" t="str">
        <f t="shared" si="101"/>
        <v/>
      </c>
    </row>
    <row r="1288" spans="5:22" x14ac:dyDescent="0.25">
      <c r="E1288" s="21" t="str">
        <f t="shared" si="97"/>
        <v/>
      </c>
      <c r="F1288" s="21"/>
      <c r="G1288" s="21"/>
      <c r="H1288" s="21"/>
      <c r="I1288" s="21"/>
      <c r="J1288" s="21"/>
      <c r="K1288" s="21"/>
      <c r="L1288" s="16" t="str">
        <f t="shared" ca="1" si="98"/>
        <v/>
      </c>
      <c r="M1288" s="22" t="str">
        <f t="shared" ca="1" si="99"/>
        <v/>
      </c>
      <c r="U1288" s="23" t="str">
        <f t="shared" si="100"/>
        <v/>
      </c>
      <c r="V1288" s="23" t="str">
        <f t="shared" si="101"/>
        <v/>
      </c>
    </row>
    <row r="1289" spans="5:22" x14ac:dyDescent="0.25">
      <c r="E1289" s="21" t="str">
        <f t="shared" si="97"/>
        <v/>
      </c>
      <c r="F1289" s="21"/>
      <c r="G1289" s="21"/>
      <c r="H1289" s="21"/>
      <c r="I1289" s="21"/>
      <c r="J1289" s="21"/>
      <c r="K1289" s="21"/>
      <c r="L1289" s="16" t="str">
        <f t="shared" ca="1" si="98"/>
        <v/>
      </c>
      <c r="M1289" s="22" t="str">
        <f t="shared" ca="1" si="99"/>
        <v/>
      </c>
      <c r="U1289" s="23" t="str">
        <f t="shared" si="100"/>
        <v/>
      </c>
      <c r="V1289" s="23" t="str">
        <f t="shared" si="101"/>
        <v/>
      </c>
    </row>
    <row r="1290" spans="5:22" x14ac:dyDescent="0.25">
      <c r="E1290" s="21" t="str">
        <f t="shared" si="97"/>
        <v/>
      </c>
      <c r="F1290" s="21"/>
      <c r="G1290" s="21"/>
      <c r="H1290" s="21"/>
      <c r="I1290" s="21"/>
      <c r="J1290" s="21"/>
      <c r="K1290" s="21"/>
      <c r="L1290" s="16" t="str">
        <f t="shared" ca="1" si="98"/>
        <v/>
      </c>
      <c r="M1290" s="22" t="str">
        <f t="shared" ca="1" si="99"/>
        <v/>
      </c>
      <c r="U1290" s="23" t="str">
        <f t="shared" si="100"/>
        <v/>
      </c>
      <c r="V1290" s="23" t="str">
        <f t="shared" si="101"/>
        <v/>
      </c>
    </row>
    <row r="1291" spans="5:22" x14ac:dyDescent="0.25">
      <c r="E1291" s="21" t="str">
        <f t="shared" si="97"/>
        <v/>
      </c>
      <c r="F1291" s="21"/>
      <c r="G1291" s="21"/>
      <c r="H1291" s="21"/>
      <c r="I1291" s="21"/>
      <c r="J1291" s="21"/>
      <c r="K1291" s="21"/>
      <c r="L1291" s="16" t="str">
        <f t="shared" ca="1" si="98"/>
        <v/>
      </c>
      <c r="M1291" s="22" t="str">
        <f t="shared" ca="1" si="99"/>
        <v/>
      </c>
      <c r="U1291" s="23" t="str">
        <f t="shared" si="100"/>
        <v/>
      </c>
      <c r="V1291" s="23" t="str">
        <f t="shared" si="101"/>
        <v/>
      </c>
    </row>
    <row r="1292" spans="5:22" x14ac:dyDescent="0.25">
      <c r="E1292" s="21" t="str">
        <f t="shared" si="97"/>
        <v/>
      </c>
      <c r="F1292" s="21"/>
      <c r="G1292" s="21"/>
      <c r="H1292" s="21"/>
      <c r="I1292" s="21"/>
      <c r="J1292" s="21"/>
      <c r="K1292" s="21"/>
      <c r="L1292" s="16" t="str">
        <f t="shared" ca="1" si="98"/>
        <v/>
      </c>
      <c r="M1292" s="22" t="str">
        <f t="shared" ca="1" si="99"/>
        <v/>
      </c>
      <c r="U1292" s="23" t="str">
        <f t="shared" si="100"/>
        <v/>
      </c>
      <c r="V1292" s="23" t="str">
        <f t="shared" si="101"/>
        <v/>
      </c>
    </row>
    <row r="1293" spans="5:22" x14ac:dyDescent="0.25">
      <c r="E1293" s="21" t="str">
        <f t="shared" si="97"/>
        <v/>
      </c>
      <c r="F1293" s="21"/>
      <c r="G1293" s="21"/>
      <c r="H1293" s="21"/>
      <c r="I1293" s="21"/>
      <c r="J1293" s="21"/>
      <c r="K1293" s="21"/>
      <c r="L1293" s="16" t="str">
        <f t="shared" ca="1" si="98"/>
        <v/>
      </c>
      <c r="M1293" s="22" t="str">
        <f t="shared" ca="1" si="99"/>
        <v/>
      </c>
      <c r="U1293" s="23" t="str">
        <f t="shared" si="100"/>
        <v/>
      </c>
      <c r="V1293" s="23" t="str">
        <f t="shared" si="101"/>
        <v/>
      </c>
    </row>
    <row r="1294" spans="5:22" x14ac:dyDescent="0.25">
      <c r="E1294" s="21" t="str">
        <f t="shared" si="97"/>
        <v/>
      </c>
      <c r="F1294" s="21"/>
      <c r="G1294" s="21"/>
      <c r="H1294" s="21"/>
      <c r="I1294" s="21"/>
      <c r="J1294" s="21"/>
      <c r="K1294" s="21"/>
      <c r="L1294" s="16" t="str">
        <f t="shared" ca="1" si="98"/>
        <v/>
      </c>
      <c r="M1294" s="22" t="str">
        <f t="shared" ca="1" si="99"/>
        <v/>
      </c>
      <c r="U1294" s="23" t="str">
        <f t="shared" si="100"/>
        <v/>
      </c>
      <c r="V1294" s="23" t="str">
        <f t="shared" si="101"/>
        <v/>
      </c>
    </row>
    <row r="1295" spans="5:22" x14ac:dyDescent="0.25">
      <c r="E1295" s="21" t="str">
        <f t="shared" si="97"/>
        <v/>
      </c>
      <c r="F1295" s="21"/>
      <c r="G1295" s="21"/>
      <c r="H1295" s="21"/>
      <c r="I1295" s="21"/>
      <c r="J1295" s="21"/>
      <c r="K1295" s="21"/>
      <c r="L1295" s="16" t="str">
        <f t="shared" ca="1" si="98"/>
        <v/>
      </c>
      <c r="M1295" s="22" t="str">
        <f t="shared" ca="1" si="99"/>
        <v/>
      </c>
      <c r="U1295" s="23" t="str">
        <f t="shared" si="100"/>
        <v/>
      </c>
      <c r="V1295" s="23" t="str">
        <f t="shared" si="101"/>
        <v/>
      </c>
    </row>
    <row r="1296" spans="5:22" x14ac:dyDescent="0.25">
      <c r="E1296" s="21" t="str">
        <f t="shared" si="97"/>
        <v/>
      </c>
      <c r="F1296" s="21"/>
      <c r="G1296" s="21"/>
      <c r="H1296" s="21"/>
      <c r="I1296" s="21"/>
      <c r="J1296" s="21"/>
      <c r="K1296" s="21"/>
      <c r="L1296" s="16" t="str">
        <f t="shared" ca="1" si="98"/>
        <v/>
      </c>
      <c r="M1296" s="22" t="str">
        <f t="shared" ca="1" si="99"/>
        <v/>
      </c>
      <c r="U1296" s="23" t="str">
        <f t="shared" si="100"/>
        <v/>
      </c>
      <c r="V1296" s="23" t="str">
        <f t="shared" si="101"/>
        <v/>
      </c>
    </row>
    <row r="1297" spans="5:22" x14ac:dyDescent="0.25">
      <c r="E1297" s="21" t="str">
        <f t="shared" si="97"/>
        <v/>
      </c>
      <c r="F1297" s="21"/>
      <c r="G1297" s="21"/>
      <c r="H1297" s="21"/>
      <c r="I1297" s="21"/>
      <c r="J1297" s="21"/>
      <c r="K1297" s="21"/>
      <c r="L1297" s="16" t="str">
        <f t="shared" ca="1" si="98"/>
        <v/>
      </c>
      <c r="M1297" s="22" t="str">
        <f t="shared" ca="1" si="99"/>
        <v/>
      </c>
      <c r="U1297" s="23" t="str">
        <f t="shared" si="100"/>
        <v/>
      </c>
      <c r="V1297" s="23" t="str">
        <f t="shared" si="101"/>
        <v/>
      </c>
    </row>
    <row r="1298" spans="5:22" x14ac:dyDescent="0.25">
      <c r="E1298" s="21" t="str">
        <f t="shared" si="97"/>
        <v/>
      </c>
      <c r="F1298" s="21"/>
      <c r="G1298" s="21"/>
      <c r="H1298" s="21"/>
      <c r="I1298" s="21"/>
      <c r="J1298" s="21"/>
      <c r="K1298" s="21"/>
      <c r="L1298" s="16" t="str">
        <f t="shared" ca="1" si="98"/>
        <v/>
      </c>
      <c r="M1298" s="22" t="str">
        <f t="shared" ca="1" si="99"/>
        <v/>
      </c>
      <c r="U1298" s="23" t="str">
        <f t="shared" si="100"/>
        <v/>
      </c>
      <c r="V1298" s="23" t="str">
        <f t="shared" si="101"/>
        <v/>
      </c>
    </row>
    <row r="1299" spans="5:22" x14ac:dyDescent="0.25">
      <c r="E1299" s="21" t="str">
        <f t="shared" si="97"/>
        <v/>
      </c>
      <c r="F1299" s="21"/>
      <c r="G1299" s="21"/>
      <c r="H1299" s="21"/>
      <c r="I1299" s="21"/>
      <c r="J1299" s="21"/>
      <c r="K1299" s="21"/>
      <c r="L1299" s="16" t="str">
        <f t="shared" ca="1" si="98"/>
        <v/>
      </c>
      <c r="M1299" s="22" t="str">
        <f t="shared" ca="1" si="99"/>
        <v/>
      </c>
      <c r="U1299" s="23" t="str">
        <f t="shared" si="100"/>
        <v/>
      </c>
      <c r="V1299" s="23" t="str">
        <f t="shared" si="101"/>
        <v/>
      </c>
    </row>
    <row r="1300" spans="5:22" x14ac:dyDescent="0.25">
      <c r="E1300" s="21" t="str">
        <f t="shared" si="97"/>
        <v/>
      </c>
      <c r="F1300" s="21"/>
      <c r="G1300" s="21"/>
      <c r="H1300" s="21"/>
      <c r="I1300" s="21"/>
      <c r="J1300" s="21"/>
      <c r="K1300" s="21"/>
      <c r="L1300" s="16" t="str">
        <f t="shared" ca="1" si="98"/>
        <v/>
      </c>
      <c r="M1300" s="22" t="str">
        <f t="shared" ca="1" si="99"/>
        <v/>
      </c>
      <c r="U1300" s="23" t="str">
        <f t="shared" si="100"/>
        <v/>
      </c>
      <c r="V1300" s="23" t="str">
        <f t="shared" si="101"/>
        <v/>
      </c>
    </row>
    <row r="1301" spans="5:22" x14ac:dyDescent="0.25">
      <c r="E1301" s="21" t="str">
        <f t="shared" si="97"/>
        <v/>
      </c>
      <c r="F1301" s="21"/>
      <c r="G1301" s="21"/>
      <c r="H1301" s="21"/>
      <c r="I1301" s="21"/>
      <c r="J1301" s="21"/>
      <c r="K1301" s="21"/>
      <c r="L1301" s="16" t="str">
        <f t="shared" ca="1" si="98"/>
        <v/>
      </c>
      <c r="M1301" s="22" t="str">
        <f t="shared" ca="1" si="99"/>
        <v/>
      </c>
      <c r="U1301" s="23" t="str">
        <f t="shared" si="100"/>
        <v/>
      </c>
      <c r="V1301" s="23" t="str">
        <f t="shared" si="101"/>
        <v/>
      </c>
    </row>
    <row r="1302" spans="5:22" x14ac:dyDescent="0.25">
      <c r="E1302" s="21" t="str">
        <f t="shared" si="97"/>
        <v/>
      </c>
      <c r="F1302" s="21"/>
      <c r="G1302" s="21"/>
      <c r="H1302" s="21"/>
      <c r="I1302" s="21"/>
      <c r="J1302" s="21"/>
      <c r="K1302" s="21"/>
      <c r="L1302" s="16" t="str">
        <f t="shared" ca="1" si="98"/>
        <v/>
      </c>
      <c r="M1302" s="22" t="str">
        <f t="shared" ca="1" si="99"/>
        <v/>
      </c>
      <c r="U1302" s="23" t="str">
        <f t="shared" si="100"/>
        <v/>
      </c>
      <c r="V1302" s="23" t="str">
        <f t="shared" si="101"/>
        <v/>
      </c>
    </row>
    <row r="1303" spans="5:22" x14ac:dyDescent="0.25">
      <c r="E1303" s="21" t="str">
        <f t="shared" si="97"/>
        <v/>
      </c>
      <c r="F1303" s="21"/>
      <c r="G1303" s="21"/>
      <c r="H1303" s="21"/>
      <c r="I1303" s="21"/>
      <c r="J1303" s="21"/>
      <c r="K1303" s="21"/>
      <c r="L1303" s="16" t="str">
        <f t="shared" ca="1" si="98"/>
        <v/>
      </c>
      <c r="M1303" s="22" t="str">
        <f t="shared" ca="1" si="99"/>
        <v/>
      </c>
      <c r="U1303" s="23" t="str">
        <f t="shared" si="100"/>
        <v/>
      </c>
      <c r="V1303" s="23" t="str">
        <f t="shared" si="101"/>
        <v/>
      </c>
    </row>
    <row r="1304" spans="5:22" x14ac:dyDescent="0.25">
      <c r="E1304" s="21" t="str">
        <f t="shared" si="97"/>
        <v/>
      </c>
      <c r="F1304" s="21"/>
      <c r="G1304" s="21"/>
      <c r="H1304" s="21"/>
      <c r="I1304" s="21"/>
      <c r="J1304" s="21"/>
      <c r="K1304" s="21"/>
      <c r="L1304" s="16" t="str">
        <f t="shared" ca="1" si="98"/>
        <v/>
      </c>
      <c r="M1304" s="22" t="str">
        <f t="shared" ca="1" si="99"/>
        <v/>
      </c>
      <c r="U1304" s="23" t="str">
        <f t="shared" si="100"/>
        <v/>
      </c>
      <c r="V1304" s="23" t="str">
        <f t="shared" si="101"/>
        <v/>
      </c>
    </row>
    <row r="1305" spans="5:22" x14ac:dyDescent="0.25">
      <c r="E1305" s="21" t="str">
        <f t="shared" si="97"/>
        <v/>
      </c>
      <c r="F1305" s="21"/>
      <c r="G1305" s="21"/>
      <c r="H1305" s="21"/>
      <c r="I1305" s="21"/>
      <c r="J1305" s="21"/>
      <c r="K1305" s="21"/>
      <c r="L1305" s="16" t="str">
        <f t="shared" ca="1" si="98"/>
        <v/>
      </c>
      <c r="M1305" s="22" t="str">
        <f t="shared" ca="1" si="99"/>
        <v/>
      </c>
      <c r="U1305" s="23" t="str">
        <f t="shared" si="100"/>
        <v/>
      </c>
      <c r="V1305" s="23" t="str">
        <f t="shared" si="101"/>
        <v/>
      </c>
    </row>
    <row r="1306" spans="5:22" x14ac:dyDescent="0.25">
      <c r="E1306" s="21" t="str">
        <f t="shared" si="97"/>
        <v/>
      </c>
      <c r="F1306" s="21"/>
      <c r="G1306" s="21"/>
      <c r="H1306" s="21"/>
      <c r="I1306" s="21"/>
      <c r="J1306" s="21"/>
      <c r="K1306" s="21"/>
      <c r="L1306" s="16" t="str">
        <f t="shared" ca="1" si="98"/>
        <v/>
      </c>
      <c r="M1306" s="22" t="str">
        <f t="shared" ca="1" si="99"/>
        <v/>
      </c>
      <c r="U1306" s="23" t="str">
        <f t="shared" si="100"/>
        <v/>
      </c>
      <c r="V1306" s="23" t="str">
        <f t="shared" si="101"/>
        <v/>
      </c>
    </row>
    <row r="1307" spans="5:22" x14ac:dyDescent="0.25">
      <c r="E1307" s="21" t="str">
        <f t="shared" si="97"/>
        <v/>
      </c>
      <c r="F1307" s="21"/>
      <c r="G1307" s="21"/>
      <c r="H1307" s="21"/>
      <c r="I1307" s="21"/>
      <c r="J1307" s="21"/>
      <c r="K1307" s="21"/>
      <c r="L1307" s="16" t="str">
        <f t="shared" ca="1" si="98"/>
        <v/>
      </c>
      <c r="M1307" s="22" t="str">
        <f t="shared" ca="1" si="99"/>
        <v/>
      </c>
      <c r="U1307" s="23" t="str">
        <f t="shared" si="100"/>
        <v/>
      </c>
      <c r="V1307" s="23" t="str">
        <f t="shared" si="101"/>
        <v/>
      </c>
    </row>
    <row r="1308" spans="5:22" x14ac:dyDescent="0.25">
      <c r="E1308" s="21" t="str">
        <f t="shared" si="97"/>
        <v/>
      </c>
      <c r="F1308" s="21"/>
      <c r="G1308" s="21"/>
      <c r="H1308" s="21"/>
      <c r="I1308" s="21"/>
      <c r="J1308" s="21"/>
      <c r="K1308" s="21"/>
      <c r="L1308" s="16" t="str">
        <f t="shared" ca="1" si="98"/>
        <v/>
      </c>
      <c r="M1308" s="22" t="str">
        <f t="shared" ca="1" si="99"/>
        <v/>
      </c>
      <c r="U1308" s="23" t="str">
        <f t="shared" si="100"/>
        <v/>
      </c>
      <c r="V1308" s="23" t="str">
        <f t="shared" si="101"/>
        <v/>
      </c>
    </row>
    <row r="1309" spans="5:22" x14ac:dyDescent="0.25">
      <c r="E1309" s="21" t="str">
        <f t="shared" si="97"/>
        <v/>
      </c>
      <c r="F1309" s="21"/>
      <c r="G1309" s="21"/>
      <c r="H1309" s="21"/>
      <c r="I1309" s="21"/>
      <c r="J1309" s="21"/>
      <c r="K1309" s="21"/>
      <c r="L1309" s="16" t="str">
        <f t="shared" ca="1" si="98"/>
        <v/>
      </c>
      <c r="M1309" s="22" t="str">
        <f t="shared" ca="1" si="99"/>
        <v/>
      </c>
      <c r="U1309" s="23" t="str">
        <f t="shared" si="100"/>
        <v/>
      </c>
      <c r="V1309" s="23" t="str">
        <f t="shared" si="101"/>
        <v/>
      </c>
    </row>
    <row r="1310" spans="5:22" x14ac:dyDescent="0.25">
      <c r="E1310" s="21" t="str">
        <f t="shared" si="97"/>
        <v/>
      </c>
      <c r="F1310" s="21"/>
      <c r="G1310" s="21"/>
      <c r="H1310" s="21"/>
      <c r="I1310" s="21"/>
      <c r="J1310" s="21"/>
      <c r="K1310" s="21"/>
      <c r="L1310" s="16" t="str">
        <f t="shared" ca="1" si="98"/>
        <v/>
      </c>
      <c r="M1310" s="22" t="str">
        <f t="shared" ca="1" si="99"/>
        <v/>
      </c>
      <c r="U1310" s="23" t="str">
        <f t="shared" si="100"/>
        <v/>
      </c>
      <c r="V1310" s="23" t="str">
        <f t="shared" si="101"/>
        <v/>
      </c>
    </row>
    <row r="1311" spans="5:22" x14ac:dyDescent="0.25">
      <c r="E1311" s="21" t="str">
        <f t="shared" si="97"/>
        <v/>
      </c>
      <c r="F1311" s="21"/>
      <c r="G1311" s="21"/>
      <c r="H1311" s="21"/>
      <c r="I1311" s="21"/>
      <c r="J1311" s="21"/>
      <c r="K1311" s="21"/>
      <c r="L1311" s="16" t="str">
        <f t="shared" ca="1" si="98"/>
        <v/>
      </c>
      <c r="M1311" s="22" t="str">
        <f t="shared" ca="1" si="99"/>
        <v/>
      </c>
      <c r="U1311" s="23" t="str">
        <f t="shared" si="100"/>
        <v/>
      </c>
      <c r="V1311" s="23" t="str">
        <f t="shared" si="101"/>
        <v/>
      </c>
    </row>
    <row r="1312" spans="5:22" x14ac:dyDescent="0.25">
      <c r="E1312" s="21" t="str">
        <f t="shared" si="97"/>
        <v/>
      </c>
      <c r="F1312" s="21"/>
      <c r="G1312" s="21"/>
      <c r="H1312" s="21"/>
      <c r="I1312" s="21"/>
      <c r="J1312" s="21"/>
      <c r="K1312" s="21"/>
      <c r="L1312" s="16" t="str">
        <f t="shared" ca="1" si="98"/>
        <v/>
      </c>
      <c r="M1312" s="22" t="str">
        <f t="shared" ca="1" si="99"/>
        <v/>
      </c>
      <c r="U1312" s="23" t="str">
        <f t="shared" si="100"/>
        <v/>
      </c>
      <c r="V1312" s="23" t="str">
        <f t="shared" si="101"/>
        <v/>
      </c>
    </row>
    <row r="1313" spans="5:22" x14ac:dyDescent="0.25">
      <c r="E1313" s="21" t="str">
        <f t="shared" si="97"/>
        <v/>
      </c>
      <c r="F1313" s="21"/>
      <c r="G1313" s="21"/>
      <c r="H1313" s="21"/>
      <c r="I1313" s="21"/>
      <c r="J1313" s="21"/>
      <c r="K1313" s="21"/>
      <c r="L1313" s="16" t="str">
        <f t="shared" ca="1" si="98"/>
        <v/>
      </c>
      <c r="M1313" s="22" t="str">
        <f t="shared" ca="1" si="99"/>
        <v/>
      </c>
      <c r="U1313" s="23" t="str">
        <f t="shared" si="100"/>
        <v/>
      </c>
      <c r="V1313" s="23" t="str">
        <f t="shared" si="101"/>
        <v/>
      </c>
    </row>
    <row r="1314" spans="5:22" x14ac:dyDescent="0.25">
      <c r="E1314" s="21" t="str">
        <f t="shared" si="97"/>
        <v/>
      </c>
      <c r="F1314" s="21"/>
      <c r="G1314" s="21"/>
      <c r="H1314" s="21"/>
      <c r="I1314" s="21"/>
      <c r="J1314" s="21"/>
      <c r="K1314" s="21"/>
      <c r="L1314" s="16" t="str">
        <f t="shared" ca="1" si="98"/>
        <v/>
      </c>
      <c r="M1314" s="22" t="str">
        <f t="shared" ca="1" si="99"/>
        <v/>
      </c>
      <c r="U1314" s="23" t="str">
        <f t="shared" si="100"/>
        <v/>
      </c>
      <c r="V1314" s="23" t="str">
        <f t="shared" si="101"/>
        <v/>
      </c>
    </row>
    <row r="1315" spans="5:22" x14ac:dyDescent="0.25">
      <c r="E1315" s="21" t="str">
        <f t="shared" si="97"/>
        <v/>
      </c>
      <c r="F1315" s="21"/>
      <c r="G1315" s="21"/>
      <c r="H1315" s="21"/>
      <c r="I1315" s="21"/>
      <c r="J1315" s="21"/>
      <c r="K1315" s="21"/>
      <c r="L1315" s="16" t="str">
        <f t="shared" ca="1" si="98"/>
        <v/>
      </c>
      <c r="M1315" s="22" t="str">
        <f t="shared" ca="1" si="99"/>
        <v/>
      </c>
      <c r="U1315" s="23" t="str">
        <f t="shared" si="100"/>
        <v/>
      </c>
      <c r="V1315" s="23" t="str">
        <f t="shared" si="101"/>
        <v/>
      </c>
    </row>
    <row r="1316" spans="5:22" x14ac:dyDescent="0.25">
      <c r="E1316" s="21" t="str">
        <f t="shared" si="97"/>
        <v/>
      </c>
      <c r="F1316" s="21"/>
      <c r="G1316" s="21"/>
      <c r="H1316" s="21"/>
      <c r="I1316" s="21"/>
      <c r="J1316" s="21"/>
      <c r="K1316" s="21"/>
      <c r="L1316" s="16" t="str">
        <f t="shared" ca="1" si="98"/>
        <v/>
      </c>
      <c r="M1316" s="22" t="str">
        <f t="shared" ca="1" si="99"/>
        <v/>
      </c>
      <c r="U1316" s="23" t="str">
        <f t="shared" si="100"/>
        <v/>
      </c>
      <c r="V1316" s="23" t="str">
        <f t="shared" si="101"/>
        <v/>
      </c>
    </row>
    <row r="1317" spans="5:22" x14ac:dyDescent="0.25">
      <c r="E1317" s="21" t="str">
        <f t="shared" ref="E1317:E1380" si="102">IF(ISNUMBER(SEARCH("v crs",D1317))=TRUE,"VC",IF(ISNUMBER(SEARCH("crs",D1317))=TRUE,"C",IF(ISNUMBER(SEARCH("med",D1317))=TRUE,"M",IF(ISNUMBER(SEARCH("vf",D1317))=TRUE,"VF",IF(ISNUMBER(SEARCH("f",D1317))=TRUE,"F","")))))</f>
        <v/>
      </c>
      <c r="F1317" s="21"/>
      <c r="G1317" s="21"/>
      <c r="H1317" s="21"/>
      <c r="I1317" s="21"/>
      <c r="J1317" s="21"/>
      <c r="K1317" s="21"/>
      <c r="L1317" s="16" t="str">
        <f t="shared" ca="1" si="98"/>
        <v/>
      </c>
      <c r="M1317" s="22" t="str">
        <f t="shared" ca="1" si="99"/>
        <v/>
      </c>
      <c r="U1317" s="23" t="str">
        <f t="shared" si="100"/>
        <v/>
      </c>
      <c r="V1317" s="23" t="str">
        <f t="shared" si="101"/>
        <v/>
      </c>
    </row>
    <row r="1318" spans="5:22" x14ac:dyDescent="0.25">
      <c r="E1318" s="21" t="str">
        <f t="shared" si="102"/>
        <v/>
      </c>
      <c r="F1318" s="21"/>
      <c r="G1318" s="21"/>
      <c r="H1318" s="21"/>
      <c r="I1318" s="21"/>
      <c r="J1318" s="21"/>
      <c r="K1318" s="21"/>
      <c r="L1318" s="16" t="str">
        <f t="shared" ca="1" si="98"/>
        <v/>
      </c>
      <c r="M1318" s="22" t="str">
        <f t="shared" ca="1" si="99"/>
        <v/>
      </c>
      <c r="U1318" s="23" t="str">
        <f t="shared" si="100"/>
        <v/>
      </c>
      <c r="V1318" s="23" t="str">
        <f t="shared" si="101"/>
        <v/>
      </c>
    </row>
    <row r="1319" spans="5:22" x14ac:dyDescent="0.25">
      <c r="E1319" s="21" t="str">
        <f t="shared" si="102"/>
        <v/>
      </c>
      <c r="F1319" s="21"/>
      <c r="G1319" s="21"/>
      <c r="H1319" s="21"/>
      <c r="I1319" s="21"/>
      <c r="J1319" s="21"/>
      <c r="K1319" s="21"/>
      <c r="L1319" s="16" t="str">
        <f t="shared" ca="1" si="98"/>
        <v/>
      </c>
      <c r="M1319" s="22" t="str">
        <f t="shared" ca="1" si="99"/>
        <v/>
      </c>
      <c r="U1319" s="23" t="str">
        <f t="shared" si="100"/>
        <v/>
      </c>
      <c r="V1319" s="23" t="str">
        <f t="shared" si="101"/>
        <v/>
      </c>
    </row>
    <row r="1320" spans="5:22" x14ac:dyDescent="0.25">
      <c r="E1320" s="21" t="str">
        <f t="shared" si="102"/>
        <v/>
      </c>
      <c r="F1320" s="21"/>
      <c r="G1320" s="21"/>
      <c r="H1320" s="21"/>
      <c r="I1320" s="21"/>
      <c r="J1320" s="21"/>
      <c r="K1320" s="21"/>
      <c r="L1320" s="16" t="str">
        <f t="shared" ca="1" si="98"/>
        <v/>
      </c>
      <c r="M1320" s="22" t="str">
        <f t="shared" ca="1" si="99"/>
        <v/>
      </c>
      <c r="U1320" s="23" t="str">
        <f t="shared" si="100"/>
        <v/>
      </c>
      <c r="V1320" s="23" t="str">
        <f t="shared" si="101"/>
        <v/>
      </c>
    </row>
    <row r="1321" spans="5:22" x14ac:dyDescent="0.25">
      <c r="E1321" s="21" t="str">
        <f t="shared" si="102"/>
        <v/>
      </c>
      <c r="F1321" s="21"/>
      <c r="G1321" s="21"/>
      <c r="H1321" s="21"/>
      <c r="I1321" s="21"/>
      <c r="J1321" s="21"/>
      <c r="K1321" s="21"/>
      <c r="L1321" s="16" t="str">
        <f t="shared" ca="1" si="98"/>
        <v/>
      </c>
      <c r="M1321" s="22" t="str">
        <f t="shared" ca="1" si="99"/>
        <v/>
      </c>
      <c r="U1321" s="23" t="str">
        <f t="shared" si="100"/>
        <v/>
      </c>
      <c r="V1321" s="23" t="str">
        <f t="shared" si="101"/>
        <v/>
      </c>
    </row>
    <row r="1322" spans="5:22" x14ac:dyDescent="0.25">
      <c r="E1322" s="21" t="str">
        <f t="shared" si="102"/>
        <v/>
      </c>
      <c r="F1322" s="21"/>
      <c r="G1322" s="21"/>
      <c r="H1322" s="21"/>
      <c r="I1322" s="21"/>
      <c r="J1322" s="21"/>
      <c r="K1322" s="21"/>
      <c r="L1322" s="16" t="str">
        <f t="shared" ca="1" si="98"/>
        <v/>
      </c>
      <c r="M1322" s="22" t="str">
        <f t="shared" ca="1" si="99"/>
        <v/>
      </c>
      <c r="U1322" s="23" t="str">
        <f t="shared" si="100"/>
        <v/>
      </c>
      <c r="V1322" s="23" t="str">
        <f t="shared" si="101"/>
        <v/>
      </c>
    </row>
    <row r="1323" spans="5:22" x14ac:dyDescent="0.25">
      <c r="E1323" s="21" t="str">
        <f t="shared" si="102"/>
        <v/>
      </c>
      <c r="F1323" s="21"/>
      <c r="G1323" s="21"/>
      <c r="H1323" s="21"/>
      <c r="I1323" s="21"/>
      <c r="J1323" s="21"/>
      <c r="K1323" s="21"/>
      <c r="L1323" s="16" t="str">
        <f t="shared" ca="1" si="98"/>
        <v/>
      </c>
      <c r="M1323" s="22" t="str">
        <f t="shared" ca="1" si="99"/>
        <v/>
      </c>
      <c r="U1323" s="23" t="str">
        <f t="shared" si="100"/>
        <v/>
      </c>
      <c r="V1323" s="23" t="str">
        <f t="shared" si="101"/>
        <v/>
      </c>
    </row>
    <row r="1324" spans="5:22" x14ac:dyDescent="0.25">
      <c r="E1324" s="21" t="str">
        <f t="shared" si="102"/>
        <v/>
      </c>
      <c r="F1324" s="21"/>
      <c r="G1324" s="21"/>
      <c r="H1324" s="21"/>
      <c r="I1324" s="21"/>
      <c r="J1324" s="21"/>
      <c r="K1324" s="21"/>
      <c r="L1324" s="16" t="str">
        <f t="shared" ca="1" si="98"/>
        <v/>
      </c>
      <c r="M1324" s="22" t="str">
        <f t="shared" ca="1" si="99"/>
        <v/>
      </c>
      <c r="U1324" s="23" t="str">
        <f t="shared" si="100"/>
        <v/>
      </c>
      <c r="V1324" s="23" t="str">
        <f t="shared" si="101"/>
        <v/>
      </c>
    </row>
    <row r="1325" spans="5:22" x14ac:dyDescent="0.25">
      <c r="E1325" s="21" t="str">
        <f t="shared" si="102"/>
        <v/>
      </c>
      <c r="F1325" s="21"/>
      <c r="G1325" s="21"/>
      <c r="H1325" s="21"/>
      <c r="I1325" s="21"/>
      <c r="J1325" s="21"/>
      <c r="K1325" s="21"/>
      <c r="L1325" s="16" t="str">
        <f t="shared" ca="1" si="98"/>
        <v/>
      </c>
      <c r="M1325" s="22" t="str">
        <f t="shared" ca="1" si="99"/>
        <v/>
      </c>
      <c r="U1325" s="23" t="str">
        <f t="shared" si="100"/>
        <v/>
      </c>
      <c r="V1325" s="23" t="str">
        <f t="shared" si="101"/>
        <v/>
      </c>
    </row>
    <row r="1326" spans="5:22" x14ac:dyDescent="0.25">
      <c r="E1326" s="21" t="str">
        <f t="shared" si="102"/>
        <v/>
      </c>
      <c r="F1326" s="21"/>
      <c r="G1326" s="21"/>
      <c r="H1326" s="21"/>
      <c r="I1326" s="21"/>
      <c r="J1326" s="21"/>
      <c r="K1326" s="21"/>
      <c r="L1326" s="16" t="str">
        <f t="shared" ca="1" si="98"/>
        <v/>
      </c>
      <c r="M1326" s="22" t="str">
        <f t="shared" ca="1" si="99"/>
        <v/>
      </c>
      <c r="U1326" s="23" t="str">
        <f t="shared" si="100"/>
        <v/>
      </c>
      <c r="V1326" s="23" t="str">
        <f t="shared" si="101"/>
        <v/>
      </c>
    </row>
    <row r="1327" spans="5:22" x14ac:dyDescent="0.25">
      <c r="E1327" s="21" t="str">
        <f t="shared" si="102"/>
        <v/>
      </c>
      <c r="F1327" s="21"/>
      <c r="G1327" s="21"/>
      <c r="H1327" s="21"/>
      <c r="I1327" s="21"/>
      <c r="J1327" s="21"/>
      <c r="K1327" s="21"/>
      <c r="L1327" s="16" t="str">
        <f t="shared" ca="1" si="98"/>
        <v/>
      </c>
      <c r="M1327" s="22" t="str">
        <f t="shared" ca="1" si="99"/>
        <v/>
      </c>
      <c r="U1327" s="23" t="str">
        <f t="shared" si="100"/>
        <v/>
      </c>
      <c r="V1327" s="23" t="str">
        <f t="shared" si="101"/>
        <v/>
      </c>
    </row>
    <row r="1328" spans="5:22" x14ac:dyDescent="0.25">
      <c r="E1328" s="21" t="str">
        <f t="shared" si="102"/>
        <v/>
      </c>
      <c r="F1328" s="21"/>
      <c r="G1328" s="21"/>
      <c r="H1328" s="21"/>
      <c r="I1328" s="21"/>
      <c r="J1328" s="21"/>
      <c r="K1328" s="21"/>
      <c r="L1328" s="16" t="str">
        <f t="shared" ca="1" si="98"/>
        <v/>
      </c>
      <c r="M1328" s="22" t="str">
        <f t="shared" ca="1" si="99"/>
        <v/>
      </c>
      <c r="U1328" s="23" t="str">
        <f t="shared" si="100"/>
        <v/>
      </c>
      <c r="V1328" s="23" t="str">
        <f t="shared" si="101"/>
        <v/>
      </c>
    </row>
    <row r="1329" spans="5:22" x14ac:dyDescent="0.25">
      <c r="E1329" s="21" t="str">
        <f t="shared" si="102"/>
        <v/>
      </c>
      <c r="F1329" s="21"/>
      <c r="G1329" s="21"/>
      <c r="H1329" s="21"/>
      <c r="I1329" s="21"/>
      <c r="J1329" s="21"/>
      <c r="K1329" s="21"/>
      <c r="L1329" s="16" t="str">
        <f t="shared" ca="1" si="98"/>
        <v/>
      </c>
      <c r="M1329" s="22" t="str">
        <f t="shared" ca="1" si="99"/>
        <v/>
      </c>
      <c r="U1329" s="23" t="str">
        <f t="shared" si="100"/>
        <v/>
      </c>
      <c r="V1329" s="23" t="str">
        <f t="shared" si="101"/>
        <v/>
      </c>
    </row>
    <row r="1330" spans="5:22" x14ac:dyDescent="0.25">
      <c r="E1330" s="21" t="str">
        <f t="shared" si="102"/>
        <v/>
      </c>
      <c r="F1330" s="21"/>
      <c r="G1330" s="21"/>
      <c r="H1330" s="21"/>
      <c r="I1330" s="21"/>
      <c r="J1330" s="21"/>
      <c r="K1330" s="21"/>
      <c r="L1330" s="16" t="str">
        <f t="shared" ca="1" si="98"/>
        <v/>
      </c>
      <c r="M1330" s="22" t="str">
        <f t="shared" ca="1" si="99"/>
        <v/>
      </c>
      <c r="U1330" s="23" t="str">
        <f t="shared" si="100"/>
        <v/>
      </c>
      <c r="V1330" s="23" t="str">
        <f t="shared" si="101"/>
        <v/>
      </c>
    </row>
    <row r="1331" spans="5:22" x14ac:dyDescent="0.25">
      <c r="E1331" s="21" t="str">
        <f t="shared" si="102"/>
        <v/>
      </c>
      <c r="F1331" s="21"/>
      <c r="G1331" s="21"/>
      <c r="H1331" s="21"/>
      <c r="I1331" s="21"/>
      <c r="J1331" s="21"/>
      <c r="K1331" s="21"/>
      <c r="L1331" s="16" t="str">
        <f t="shared" ca="1" si="98"/>
        <v/>
      </c>
      <c r="M1331" s="22" t="str">
        <f t="shared" ca="1" si="99"/>
        <v/>
      </c>
      <c r="U1331" s="23" t="str">
        <f t="shared" si="100"/>
        <v/>
      </c>
      <c r="V1331" s="23" t="str">
        <f t="shared" si="101"/>
        <v/>
      </c>
    </row>
    <row r="1332" spans="5:22" x14ac:dyDescent="0.25">
      <c r="E1332" s="21" t="str">
        <f t="shared" si="102"/>
        <v/>
      </c>
      <c r="F1332" s="21"/>
      <c r="G1332" s="21"/>
      <c r="H1332" s="21"/>
      <c r="I1332" s="21"/>
      <c r="J1332" s="21"/>
      <c r="K1332" s="21"/>
      <c r="L1332" s="16" t="str">
        <f t="shared" ca="1" si="98"/>
        <v/>
      </c>
      <c r="M1332" s="22" t="str">
        <f t="shared" ca="1" si="99"/>
        <v/>
      </c>
      <c r="U1332" s="23" t="str">
        <f t="shared" si="100"/>
        <v/>
      </c>
      <c r="V1332" s="23" t="str">
        <f t="shared" si="101"/>
        <v/>
      </c>
    </row>
    <row r="1333" spans="5:22" x14ac:dyDescent="0.25">
      <c r="E1333" s="21" t="str">
        <f t="shared" si="102"/>
        <v/>
      </c>
      <c r="F1333" s="21"/>
      <c r="G1333" s="21"/>
      <c r="H1333" s="21"/>
      <c r="I1333" s="21"/>
      <c r="J1333" s="21"/>
      <c r="K1333" s="21"/>
      <c r="L1333" s="16" t="str">
        <f t="shared" ca="1" si="98"/>
        <v/>
      </c>
      <c r="M1333" s="22" t="str">
        <f t="shared" ca="1" si="99"/>
        <v/>
      </c>
      <c r="U1333" s="23" t="str">
        <f t="shared" si="100"/>
        <v/>
      </c>
      <c r="V1333" s="23" t="str">
        <f t="shared" si="101"/>
        <v/>
      </c>
    </row>
    <row r="1334" spans="5:22" x14ac:dyDescent="0.25">
      <c r="E1334" s="21" t="str">
        <f t="shared" si="102"/>
        <v/>
      </c>
      <c r="F1334" s="21"/>
      <c r="G1334" s="21"/>
      <c r="H1334" s="21"/>
      <c r="I1334" s="21"/>
      <c r="J1334" s="21"/>
      <c r="K1334" s="21"/>
      <c r="L1334" s="16" t="str">
        <f t="shared" ca="1" si="98"/>
        <v/>
      </c>
      <c r="M1334" s="22" t="str">
        <f t="shared" ca="1" si="99"/>
        <v/>
      </c>
      <c r="U1334" s="23" t="str">
        <f t="shared" si="100"/>
        <v/>
      </c>
      <c r="V1334" s="23" t="str">
        <f t="shared" si="101"/>
        <v/>
      </c>
    </row>
    <row r="1335" spans="5:22" x14ac:dyDescent="0.25">
      <c r="E1335" s="21" t="str">
        <f t="shared" si="102"/>
        <v/>
      </c>
      <c r="F1335" s="21"/>
      <c r="G1335" s="21"/>
      <c r="H1335" s="21"/>
      <c r="I1335" s="21"/>
      <c r="J1335" s="21"/>
      <c r="K1335" s="21"/>
      <c r="L1335" s="16" t="str">
        <f t="shared" ca="1" si="98"/>
        <v/>
      </c>
      <c r="M1335" s="22" t="str">
        <f t="shared" ca="1" si="99"/>
        <v/>
      </c>
      <c r="U1335" s="23" t="str">
        <f t="shared" si="100"/>
        <v/>
      </c>
      <c r="V1335" s="23" t="str">
        <f t="shared" si="101"/>
        <v/>
      </c>
    </row>
    <row r="1336" spans="5:22" x14ac:dyDescent="0.25">
      <c r="E1336" s="21" t="str">
        <f t="shared" si="102"/>
        <v/>
      </c>
      <c r="F1336" s="21"/>
      <c r="G1336" s="21"/>
      <c r="H1336" s="21"/>
      <c r="I1336" s="21"/>
      <c r="J1336" s="21"/>
      <c r="K1336" s="21"/>
      <c r="L1336" s="16" t="str">
        <f t="shared" ca="1" si="98"/>
        <v/>
      </c>
      <c r="M1336" s="22" t="str">
        <f t="shared" ca="1" si="99"/>
        <v/>
      </c>
      <c r="U1336" s="23" t="str">
        <f t="shared" si="100"/>
        <v/>
      </c>
      <c r="V1336" s="23" t="str">
        <f t="shared" si="101"/>
        <v/>
      </c>
    </row>
    <row r="1337" spans="5:22" x14ac:dyDescent="0.25">
      <c r="E1337" s="21" t="str">
        <f t="shared" si="102"/>
        <v/>
      </c>
      <c r="F1337" s="21"/>
      <c r="G1337" s="21"/>
      <c r="H1337" s="21"/>
      <c r="I1337" s="21"/>
      <c r="J1337" s="21"/>
      <c r="K1337" s="21"/>
      <c r="L1337" s="16" t="str">
        <f t="shared" ca="1" si="98"/>
        <v/>
      </c>
      <c r="M1337" s="22" t="str">
        <f t="shared" ca="1" si="99"/>
        <v/>
      </c>
      <c r="U1337" s="23" t="str">
        <f t="shared" si="100"/>
        <v/>
      </c>
      <c r="V1337" s="23" t="str">
        <f t="shared" si="101"/>
        <v/>
      </c>
    </row>
    <row r="1338" spans="5:22" x14ac:dyDescent="0.25">
      <c r="E1338" s="21" t="str">
        <f t="shared" si="102"/>
        <v/>
      </c>
      <c r="F1338" s="21"/>
      <c r="G1338" s="21"/>
      <c r="H1338" s="21"/>
      <c r="I1338" s="21"/>
      <c r="J1338" s="21"/>
      <c r="K1338" s="21"/>
      <c r="L1338" s="16" t="str">
        <f t="shared" ca="1" si="98"/>
        <v/>
      </c>
      <c r="M1338" s="22" t="str">
        <f t="shared" ca="1" si="99"/>
        <v/>
      </c>
      <c r="U1338" s="23" t="str">
        <f t="shared" si="100"/>
        <v/>
      </c>
      <c r="V1338" s="23" t="str">
        <f t="shared" si="101"/>
        <v/>
      </c>
    </row>
    <row r="1339" spans="5:22" x14ac:dyDescent="0.25">
      <c r="E1339" s="21" t="str">
        <f t="shared" si="102"/>
        <v/>
      </c>
      <c r="F1339" s="21"/>
      <c r="G1339" s="21"/>
      <c r="H1339" s="21"/>
      <c r="I1339" s="21"/>
      <c r="J1339" s="21"/>
      <c r="K1339" s="21"/>
      <c r="L1339" s="16" t="str">
        <f t="shared" ca="1" si="98"/>
        <v/>
      </c>
      <c r="M1339" s="22" t="str">
        <f t="shared" ca="1" si="99"/>
        <v/>
      </c>
      <c r="U1339" s="23" t="str">
        <f t="shared" si="100"/>
        <v/>
      </c>
      <c r="V1339" s="23" t="str">
        <f t="shared" si="101"/>
        <v/>
      </c>
    </row>
    <row r="1340" spans="5:22" x14ac:dyDescent="0.25">
      <c r="E1340" s="21" t="str">
        <f t="shared" si="102"/>
        <v/>
      </c>
      <c r="F1340" s="21"/>
      <c r="G1340" s="21"/>
      <c r="H1340" s="21"/>
      <c r="I1340" s="21"/>
      <c r="J1340" s="21"/>
      <c r="K1340" s="21"/>
      <c r="L1340" s="16" t="str">
        <f t="shared" ca="1" si="98"/>
        <v/>
      </c>
      <c r="M1340" s="22" t="str">
        <f t="shared" ca="1" si="99"/>
        <v/>
      </c>
      <c r="U1340" s="23" t="str">
        <f t="shared" si="100"/>
        <v/>
      </c>
      <c r="V1340" s="23" t="str">
        <f t="shared" si="101"/>
        <v/>
      </c>
    </row>
    <row r="1341" spans="5:22" x14ac:dyDescent="0.25">
      <c r="E1341" s="21" t="str">
        <f t="shared" si="102"/>
        <v/>
      </c>
      <c r="F1341" s="21"/>
      <c r="G1341" s="21"/>
      <c r="H1341" s="21"/>
      <c r="I1341" s="21"/>
      <c r="J1341" s="21"/>
      <c r="K1341" s="21"/>
      <c r="L1341" s="16" t="str">
        <f t="shared" ref="L1341:L1404" ca="1" si="103">IF(AND(C1341&lt;&gt;"",C1341&lt;&gt;U1341),TODAY(),IF(C1341="","",L1341))</f>
        <v/>
      </c>
      <c r="M1341" s="22" t="str">
        <f t="shared" ref="M1341:M1404" ca="1" si="104">IF(AND(C1341&lt;&gt;"",C1341&lt;&gt;V1341),NOW(),IF(C1341="","",M1341))</f>
        <v/>
      </c>
      <c r="U1341" s="23" t="str">
        <f t="shared" si="100"/>
        <v/>
      </c>
      <c r="V1341" s="23" t="str">
        <f t="shared" si="101"/>
        <v/>
      </c>
    </row>
    <row r="1342" spans="5:22" x14ac:dyDescent="0.25">
      <c r="E1342" s="21" t="str">
        <f t="shared" si="102"/>
        <v/>
      </c>
      <c r="F1342" s="21"/>
      <c r="G1342" s="21"/>
      <c r="H1342" s="21"/>
      <c r="I1342" s="21"/>
      <c r="J1342" s="21"/>
      <c r="K1342" s="21"/>
      <c r="L1342" s="16" t="str">
        <f t="shared" ca="1" si="103"/>
        <v/>
      </c>
      <c r="M1342" s="22" t="str">
        <f t="shared" ca="1" si="104"/>
        <v/>
      </c>
      <c r="U1342" s="23" t="str">
        <f t="shared" si="100"/>
        <v/>
      </c>
      <c r="V1342" s="23" t="str">
        <f t="shared" si="101"/>
        <v/>
      </c>
    </row>
    <row r="1343" spans="5:22" x14ac:dyDescent="0.25">
      <c r="E1343" s="21" t="str">
        <f t="shared" si="102"/>
        <v/>
      </c>
      <c r="F1343" s="21"/>
      <c r="G1343" s="21"/>
      <c r="H1343" s="21"/>
      <c r="I1343" s="21"/>
      <c r="J1343" s="21"/>
      <c r="K1343" s="21"/>
      <c r="L1343" s="16" t="str">
        <f t="shared" ca="1" si="103"/>
        <v/>
      </c>
      <c r="M1343" s="22" t="str">
        <f t="shared" ca="1" si="104"/>
        <v/>
      </c>
      <c r="U1343" s="23" t="str">
        <f t="shared" si="100"/>
        <v/>
      </c>
      <c r="V1343" s="23" t="str">
        <f t="shared" si="101"/>
        <v/>
      </c>
    </row>
    <row r="1344" spans="5:22" x14ac:dyDescent="0.25">
      <c r="E1344" s="21" t="str">
        <f t="shared" si="102"/>
        <v/>
      </c>
      <c r="F1344" s="21"/>
      <c r="G1344" s="21"/>
      <c r="H1344" s="21"/>
      <c r="I1344" s="21"/>
      <c r="J1344" s="21"/>
      <c r="K1344" s="21"/>
      <c r="L1344" s="16" t="str">
        <f t="shared" ca="1" si="103"/>
        <v/>
      </c>
      <c r="M1344" s="22" t="str">
        <f t="shared" ca="1" si="104"/>
        <v/>
      </c>
      <c r="U1344" s="23" t="str">
        <f t="shared" si="100"/>
        <v/>
      </c>
      <c r="V1344" s="23" t="str">
        <f t="shared" si="101"/>
        <v/>
      </c>
    </row>
    <row r="1345" spans="5:22" x14ac:dyDescent="0.25">
      <c r="E1345" s="21" t="str">
        <f t="shared" si="102"/>
        <v/>
      </c>
      <c r="F1345" s="21"/>
      <c r="G1345" s="21"/>
      <c r="H1345" s="21"/>
      <c r="I1345" s="21"/>
      <c r="J1345" s="21"/>
      <c r="K1345" s="21"/>
      <c r="L1345" s="16" t="str">
        <f t="shared" ca="1" si="103"/>
        <v/>
      </c>
      <c r="M1345" s="22" t="str">
        <f t="shared" ca="1" si="104"/>
        <v/>
      </c>
      <c r="U1345" s="23" t="str">
        <f t="shared" si="100"/>
        <v/>
      </c>
      <c r="V1345" s="23" t="str">
        <f t="shared" si="101"/>
        <v/>
      </c>
    </row>
    <row r="1346" spans="5:22" x14ac:dyDescent="0.25">
      <c r="E1346" s="21" t="str">
        <f t="shared" si="102"/>
        <v/>
      </c>
      <c r="F1346" s="21"/>
      <c r="G1346" s="21"/>
      <c r="H1346" s="21"/>
      <c r="I1346" s="21"/>
      <c r="J1346" s="21"/>
      <c r="K1346" s="21"/>
      <c r="L1346" s="16" t="str">
        <f t="shared" ca="1" si="103"/>
        <v/>
      </c>
      <c r="M1346" s="22" t="str">
        <f t="shared" ca="1" si="104"/>
        <v/>
      </c>
      <c r="U1346" s="23" t="str">
        <f t="shared" si="100"/>
        <v/>
      </c>
      <c r="V1346" s="23" t="str">
        <f t="shared" si="101"/>
        <v/>
      </c>
    </row>
    <row r="1347" spans="5:22" x14ac:dyDescent="0.25">
      <c r="E1347" s="21" t="str">
        <f t="shared" si="102"/>
        <v/>
      </c>
      <c r="F1347" s="21"/>
      <c r="G1347" s="21"/>
      <c r="H1347" s="21"/>
      <c r="I1347" s="21"/>
      <c r="J1347" s="21"/>
      <c r="K1347" s="21"/>
      <c r="L1347" s="16" t="str">
        <f t="shared" ca="1" si="103"/>
        <v/>
      </c>
      <c r="M1347" s="22" t="str">
        <f t="shared" ca="1" si="104"/>
        <v/>
      </c>
      <c r="U1347" s="23" t="str">
        <f t="shared" si="100"/>
        <v/>
      </c>
      <c r="V1347" s="23" t="str">
        <f t="shared" si="101"/>
        <v/>
      </c>
    </row>
    <row r="1348" spans="5:22" x14ac:dyDescent="0.25">
      <c r="E1348" s="21" t="str">
        <f t="shared" si="102"/>
        <v/>
      </c>
      <c r="F1348" s="21"/>
      <c r="G1348" s="21"/>
      <c r="H1348" s="21"/>
      <c r="I1348" s="21"/>
      <c r="J1348" s="21"/>
      <c r="K1348" s="21"/>
      <c r="L1348" s="16" t="str">
        <f t="shared" ca="1" si="103"/>
        <v/>
      </c>
      <c r="M1348" s="22" t="str">
        <f t="shared" ca="1" si="104"/>
        <v/>
      </c>
      <c r="U1348" s="23" t="str">
        <f t="shared" ref="U1348:U1411" si="105">IF(C1348="","",IF(OR(L1348="",AND(ISNUMBER(U1348),C1348=U1348)),U1348,C1348))</f>
        <v/>
      </c>
      <c r="V1348" s="23" t="str">
        <f t="shared" ref="V1348:V1411" si="106">IF(C1348="","",IF(OR(M1348="",AND(ISNUMBER(V1348),C1348=V1348)),V1348,C1348))</f>
        <v/>
      </c>
    </row>
    <row r="1349" spans="5:22" x14ac:dyDescent="0.25">
      <c r="E1349" s="21" t="str">
        <f t="shared" si="102"/>
        <v/>
      </c>
      <c r="F1349" s="21"/>
      <c r="G1349" s="21"/>
      <c r="H1349" s="21"/>
      <c r="I1349" s="21"/>
      <c r="J1349" s="21"/>
      <c r="K1349" s="21"/>
      <c r="L1349" s="16" t="str">
        <f t="shared" ca="1" si="103"/>
        <v/>
      </c>
      <c r="M1349" s="22" t="str">
        <f t="shared" ca="1" si="104"/>
        <v/>
      </c>
      <c r="U1349" s="23" t="str">
        <f t="shared" si="105"/>
        <v/>
      </c>
      <c r="V1349" s="23" t="str">
        <f t="shared" si="106"/>
        <v/>
      </c>
    </row>
    <row r="1350" spans="5:22" x14ac:dyDescent="0.25">
      <c r="E1350" s="21" t="str">
        <f t="shared" si="102"/>
        <v/>
      </c>
      <c r="F1350" s="21"/>
      <c r="G1350" s="21"/>
      <c r="H1350" s="21"/>
      <c r="I1350" s="21"/>
      <c r="J1350" s="21"/>
      <c r="K1350" s="21"/>
      <c r="L1350" s="16" t="str">
        <f t="shared" ca="1" si="103"/>
        <v/>
      </c>
      <c r="M1350" s="22" t="str">
        <f t="shared" ca="1" si="104"/>
        <v/>
      </c>
      <c r="U1350" s="23" t="str">
        <f t="shared" si="105"/>
        <v/>
      </c>
      <c r="V1350" s="23" t="str">
        <f t="shared" si="106"/>
        <v/>
      </c>
    </row>
    <row r="1351" spans="5:22" x14ac:dyDescent="0.25">
      <c r="E1351" s="21" t="str">
        <f t="shared" si="102"/>
        <v/>
      </c>
      <c r="F1351" s="21"/>
      <c r="G1351" s="21"/>
      <c r="H1351" s="21"/>
      <c r="I1351" s="21"/>
      <c r="J1351" s="21"/>
      <c r="K1351" s="21"/>
      <c r="L1351" s="16" t="str">
        <f t="shared" ca="1" si="103"/>
        <v/>
      </c>
      <c r="M1351" s="22" t="str">
        <f t="shared" ca="1" si="104"/>
        <v/>
      </c>
      <c r="U1351" s="23" t="str">
        <f t="shared" si="105"/>
        <v/>
      </c>
      <c r="V1351" s="23" t="str">
        <f t="shared" si="106"/>
        <v/>
      </c>
    </row>
    <row r="1352" spans="5:22" x14ac:dyDescent="0.25">
      <c r="E1352" s="21" t="str">
        <f t="shared" si="102"/>
        <v/>
      </c>
      <c r="F1352" s="21"/>
      <c r="G1352" s="21"/>
      <c r="H1352" s="21"/>
      <c r="I1352" s="21"/>
      <c r="J1352" s="21"/>
      <c r="K1352" s="21"/>
      <c r="L1352" s="16" t="str">
        <f t="shared" ca="1" si="103"/>
        <v/>
      </c>
      <c r="M1352" s="22" t="str">
        <f t="shared" ca="1" si="104"/>
        <v/>
      </c>
      <c r="U1352" s="23" t="str">
        <f t="shared" si="105"/>
        <v/>
      </c>
      <c r="V1352" s="23" t="str">
        <f t="shared" si="106"/>
        <v/>
      </c>
    </row>
    <row r="1353" spans="5:22" x14ac:dyDescent="0.25">
      <c r="E1353" s="21" t="str">
        <f t="shared" si="102"/>
        <v/>
      </c>
      <c r="F1353" s="21"/>
      <c r="G1353" s="21"/>
      <c r="H1353" s="21"/>
      <c r="I1353" s="21"/>
      <c r="J1353" s="21"/>
      <c r="K1353" s="21"/>
      <c r="L1353" s="16" t="str">
        <f t="shared" ca="1" si="103"/>
        <v/>
      </c>
      <c r="M1353" s="22" t="str">
        <f t="shared" ca="1" si="104"/>
        <v/>
      </c>
      <c r="U1353" s="23" t="str">
        <f t="shared" si="105"/>
        <v/>
      </c>
      <c r="V1353" s="23" t="str">
        <f t="shared" si="106"/>
        <v/>
      </c>
    </row>
    <row r="1354" spans="5:22" x14ac:dyDescent="0.25">
      <c r="E1354" s="21" t="str">
        <f t="shared" si="102"/>
        <v/>
      </c>
      <c r="F1354" s="21"/>
      <c r="G1354" s="21"/>
      <c r="H1354" s="21"/>
      <c r="I1354" s="21"/>
      <c r="J1354" s="21"/>
      <c r="K1354" s="21"/>
      <c r="L1354" s="16" t="str">
        <f t="shared" ca="1" si="103"/>
        <v/>
      </c>
      <c r="M1354" s="22" t="str">
        <f t="shared" ca="1" si="104"/>
        <v/>
      </c>
      <c r="U1354" s="23" t="str">
        <f t="shared" si="105"/>
        <v/>
      </c>
      <c r="V1354" s="23" t="str">
        <f t="shared" si="106"/>
        <v/>
      </c>
    </row>
    <row r="1355" spans="5:22" x14ac:dyDescent="0.25">
      <c r="E1355" s="21" t="str">
        <f t="shared" si="102"/>
        <v/>
      </c>
      <c r="F1355" s="21"/>
      <c r="G1355" s="21"/>
      <c r="H1355" s="21"/>
      <c r="I1355" s="21"/>
      <c r="J1355" s="21"/>
      <c r="K1355" s="21"/>
      <c r="L1355" s="16" t="str">
        <f t="shared" ca="1" si="103"/>
        <v/>
      </c>
      <c r="M1355" s="22" t="str">
        <f t="shared" ca="1" si="104"/>
        <v/>
      </c>
      <c r="U1355" s="23" t="str">
        <f t="shared" si="105"/>
        <v/>
      </c>
      <c r="V1355" s="23" t="str">
        <f t="shared" si="106"/>
        <v/>
      </c>
    </row>
    <row r="1356" spans="5:22" x14ac:dyDescent="0.25">
      <c r="E1356" s="21" t="str">
        <f t="shared" si="102"/>
        <v/>
      </c>
      <c r="F1356" s="21"/>
      <c r="G1356" s="21"/>
      <c r="H1356" s="21"/>
      <c r="I1356" s="21"/>
      <c r="J1356" s="21"/>
      <c r="K1356" s="21"/>
      <c r="L1356" s="16" t="str">
        <f t="shared" ca="1" si="103"/>
        <v/>
      </c>
      <c r="M1356" s="22" t="str">
        <f t="shared" ca="1" si="104"/>
        <v/>
      </c>
      <c r="U1356" s="23" t="str">
        <f t="shared" si="105"/>
        <v/>
      </c>
      <c r="V1356" s="23" t="str">
        <f t="shared" si="106"/>
        <v/>
      </c>
    </row>
    <row r="1357" spans="5:22" x14ac:dyDescent="0.25">
      <c r="E1357" s="21" t="str">
        <f t="shared" si="102"/>
        <v/>
      </c>
      <c r="F1357" s="21"/>
      <c r="G1357" s="21"/>
      <c r="H1357" s="21"/>
      <c r="I1357" s="21"/>
      <c r="J1357" s="21"/>
      <c r="K1357" s="21"/>
      <c r="L1357" s="16" t="str">
        <f t="shared" ca="1" si="103"/>
        <v/>
      </c>
      <c r="M1357" s="22" t="str">
        <f t="shared" ca="1" si="104"/>
        <v/>
      </c>
      <c r="U1357" s="23" t="str">
        <f t="shared" si="105"/>
        <v/>
      </c>
      <c r="V1357" s="23" t="str">
        <f t="shared" si="106"/>
        <v/>
      </c>
    </row>
    <row r="1358" spans="5:22" x14ac:dyDescent="0.25">
      <c r="E1358" s="21" t="str">
        <f t="shared" si="102"/>
        <v/>
      </c>
      <c r="F1358" s="21"/>
      <c r="G1358" s="21"/>
      <c r="H1358" s="21"/>
      <c r="I1358" s="21"/>
      <c r="J1358" s="21"/>
      <c r="K1358" s="21"/>
      <c r="L1358" s="16" t="str">
        <f t="shared" ca="1" si="103"/>
        <v/>
      </c>
      <c r="M1358" s="22" t="str">
        <f t="shared" ca="1" si="104"/>
        <v/>
      </c>
      <c r="U1358" s="23" t="str">
        <f t="shared" si="105"/>
        <v/>
      </c>
      <c r="V1358" s="23" t="str">
        <f t="shared" si="106"/>
        <v/>
      </c>
    </row>
    <row r="1359" spans="5:22" x14ac:dyDescent="0.25">
      <c r="E1359" s="21" t="str">
        <f t="shared" si="102"/>
        <v/>
      </c>
      <c r="F1359" s="21"/>
      <c r="G1359" s="21"/>
      <c r="H1359" s="21"/>
      <c r="I1359" s="21"/>
      <c r="J1359" s="21"/>
      <c r="K1359" s="21"/>
      <c r="L1359" s="16" t="str">
        <f t="shared" ca="1" si="103"/>
        <v/>
      </c>
      <c r="M1359" s="22" t="str">
        <f t="shared" ca="1" si="104"/>
        <v/>
      </c>
      <c r="U1359" s="23" t="str">
        <f t="shared" si="105"/>
        <v/>
      </c>
      <c r="V1359" s="23" t="str">
        <f t="shared" si="106"/>
        <v/>
      </c>
    </row>
    <row r="1360" spans="5:22" x14ac:dyDescent="0.25">
      <c r="E1360" s="21" t="str">
        <f t="shared" si="102"/>
        <v/>
      </c>
      <c r="F1360" s="21"/>
      <c r="G1360" s="21"/>
      <c r="H1360" s="21"/>
      <c r="I1360" s="21"/>
      <c r="J1360" s="21"/>
      <c r="K1360" s="21"/>
      <c r="L1360" s="16" t="str">
        <f t="shared" ca="1" si="103"/>
        <v/>
      </c>
      <c r="M1360" s="22" t="str">
        <f t="shared" ca="1" si="104"/>
        <v/>
      </c>
      <c r="U1360" s="23" t="str">
        <f t="shared" si="105"/>
        <v/>
      </c>
      <c r="V1360" s="23" t="str">
        <f t="shared" si="106"/>
        <v/>
      </c>
    </row>
    <row r="1361" spans="5:22" x14ac:dyDescent="0.25">
      <c r="E1361" s="21" t="str">
        <f t="shared" si="102"/>
        <v/>
      </c>
      <c r="F1361" s="21"/>
      <c r="G1361" s="21"/>
      <c r="H1361" s="21"/>
      <c r="I1361" s="21"/>
      <c r="J1361" s="21"/>
      <c r="K1361" s="21"/>
      <c r="L1361" s="16" t="str">
        <f t="shared" ca="1" si="103"/>
        <v/>
      </c>
      <c r="M1361" s="22" t="str">
        <f t="shared" ca="1" si="104"/>
        <v/>
      </c>
      <c r="U1361" s="23" t="str">
        <f t="shared" si="105"/>
        <v/>
      </c>
      <c r="V1361" s="23" t="str">
        <f t="shared" si="106"/>
        <v/>
      </c>
    </row>
    <row r="1362" spans="5:22" x14ac:dyDescent="0.25">
      <c r="E1362" s="21" t="str">
        <f t="shared" si="102"/>
        <v/>
      </c>
      <c r="F1362" s="21"/>
      <c r="G1362" s="21"/>
      <c r="H1362" s="21"/>
      <c r="I1362" s="21"/>
      <c r="J1362" s="21"/>
      <c r="K1362" s="21"/>
      <c r="L1362" s="16" t="str">
        <f t="shared" ca="1" si="103"/>
        <v/>
      </c>
      <c r="M1362" s="22" t="str">
        <f t="shared" ca="1" si="104"/>
        <v/>
      </c>
      <c r="U1362" s="23" t="str">
        <f t="shared" si="105"/>
        <v/>
      </c>
      <c r="V1362" s="23" t="str">
        <f t="shared" si="106"/>
        <v/>
      </c>
    </row>
    <row r="1363" spans="5:22" x14ac:dyDescent="0.25">
      <c r="E1363" s="21" t="str">
        <f t="shared" si="102"/>
        <v/>
      </c>
      <c r="F1363" s="21"/>
      <c r="G1363" s="21"/>
      <c r="H1363" s="21"/>
      <c r="I1363" s="21"/>
      <c r="J1363" s="21"/>
      <c r="K1363" s="21"/>
      <c r="L1363" s="16" t="str">
        <f t="shared" ca="1" si="103"/>
        <v/>
      </c>
      <c r="M1363" s="22" t="str">
        <f t="shared" ca="1" si="104"/>
        <v/>
      </c>
      <c r="U1363" s="23" t="str">
        <f t="shared" si="105"/>
        <v/>
      </c>
      <c r="V1363" s="23" t="str">
        <f t="shared" si="106"/>
        <v/>
      </c>
    </row>
    <row r="1364" spans="5:22" x14ac:dyDescent="0.25">
      <c r="E1364" s="21" t="str">
        <f t="shared" si="102"/>
        <v/>
      </c>
      <c r="F1364" s="21"/>
      <c r="G1364" s="21"/>
      <c r="H1364" s="21"/>
      <c r="I1364" s="21"/>
      <c r="J1364" s="21"/>
      <c r="K1364" s="21"/>
      <c r="L1364" s="16" t="str">
        <f t="shared" ca="1" si="103"/>
        <v/>
      </c>
      <c r="M1364" s="22" t="str">
        <f t="shared" ca="1" si="104"/>
        <v/>
      </c>
      <c r="U1364" s="23" t="str">
        <f t="shared" si="105"/>
        <v/>
      </c>
      <c r="V1364" s="23" t="str">
        <f t="shared" si="106"/>
        <v/>
      </c>
    </row>
    <row r="1365" spans="5:22" x14ac:dyDescent="0.25">
      <c r="E1365" s="21" t="str">
        <f t="shared" si="102"/>
        <v/>
      </c>
      <c r="F1365" s="21"/>
      <c r="G1365" s="21"/>
      <c r="H1365" s="21"/>
      <c r="I1365" s="21"/>
      <c r="J1365" s="21"/>
      <c r="K1365" s="21"/>
      <c r="L1365" s="16" t="str">
        <f t="shared" ca="1" si="103"/>
        <v/>
      </c>
      <c r="M1365" s="22" t="str">
        <f t="shared" ca="1" si="104"/>
        <v/>
      </c>
      <c r="U1365" s="23" t="str">
        <f t="shared" si="105"/>
        <v/>
      </c>
      <c r="V1365" s="23" t="str">
        <f t="shared" si="106"/>
        <v/>
      </c>
    </row>
    <row r="1366" spans="5:22" x14ac:dyDescent="0.25">
      <c r="E1366" s="21" t="str">
        <f t="shared" si="102"/>
        <v/>
      </c>
      <c r="F1366" s="21"/>
      <c r="G1366" s="21"/>
      <c r="H1366" s="21"/>
      <c r="I1366" s="21"/>
      <c r="J1366" s="21"/>
      <c r="K1366" s="21"/>
      <c r="L1366" s="16" t="str">
        <f t="shared" ca="1" si="103"/>
        <v/>
      </c>
      <c r="M1366" s="22" t="str">
        <f t="shared" ca="1" si="104"/>
        <v/>
      </c>
      <c r="U1366" s="23" t="str">
        <f t="shared" si="105"/>
        <v/>
      </c>
      <c r="V1366" s="23" t="str">
        <f t="shared" si="106"/>
        <v/>
      </c>
    </row>
    <row r="1367" spans="5:22" x14ac:dyDescent="0.25">
      <c r="E1367" s="21" t="str">
        <f t="shared" si="102"/>
        <v/>
      </c>
      <c r="F1367" s="21"/>
      <c r="G1367" s="21"/>
      <c r="H1367" s="21"/>
      <c r="I1367" s="21"/>
      <c r="J1367" s="21"/>
      <c r="K1367" s="21"/>
      <c r="L1367" s="16" t="str">
        <f t="shared" ca="1" si="103"/>
        <v/>
      </c>
      <c r="M1367" s="22" t="str">
        <f t="shared" ca="1" si="104"/>
        <v/>
      </c>
      <c r="U1367" s="23" t="str">
        <f t="shared" si="105"/>
        <v/>
      </c>
      <c r="V1367" s="23" t="str">
        <f t="shared" si="106"/>
        <v/>
      </c>
    </row>
    <row r="1368" spans="5:22" x14ac:dyDescent="0.25">
      <c r="E1368" s="21" t="str">
        <f t="shared" si="102"/>
        <v/>
      </c>
      <c r="F1368" s="21"/>
      <c r="G1368" s="21"/>
      <c r="H1368" s="21"/>
      <c r="I1368" s="21"/>
      <c r="J1368" s="21"/>
      <c r="K1368" s="21"/>
      <c r="L1368" s="16" t="str">
        <f t="shared" ca="1" si="103"/>
        <v/>
      </c>
      <c r="M1368" s="22" t="str">
        <f t="shared" ca="1" si="104"/>
        <v/>
      </c>
      <c r="U1368" s="23" t="str">
        <f t="shared" si="105"/>
        <v/>
      </c>
      <c r="V1368" s="23" t="str">
        <f t="shared" si="106"/>
        <v/>
      </c>
    </row>
    <row r="1369" spans="5:22" x14ac:dyDescent="0.25">
      <c r="E1369" s="21" t="str">
        <f t="shared" si="102"/>
        <v/>
      </c>
      <c r="F1369" s="21"/>
      <c r="G1369" s="21"/>
      <c r="H1369" s="21"/>
      <c r="I1369" s="21"/>
      <c r="J1369" s="21"/>
      <c r="K1369" s="21"/>
      <c r="L1369" s="16" t="str">
        <f t="shared" ca="1" si="103"/>
        <v/>
      </c>
      <c r="M1369" s="22" t="str">
        <f t="shared" ca="1" si="104"/>
        <v/>
      </c>
      <c r="U1369" s="23" t="str">
        <f t="shared" si="105"/>
        <v/>
      </c>
      <c r="V1369" s="23" t="str">
        <f t="shared" si="106"/>
        <v/>
      </c>
    </row>
    <row r="1370" spans="5:22" x14ac:dyDescent="0.25">
      <c r="E1370" s="21" t="str">
        <f t="shared" si="102"/>
        <v/>
      </c>
      <c r="F1370" s="21"/>
      <c r="G1370" s="21"/>
      <c r="H1370" s="21"/>
      <c r="I1370" s="21"/>
      <c r="J1370" s="21"/>
      <c r="K1370" s="21"/>
      <c r="L1370" s="16" t="str">
        <f t="shared" ca="1" si="103"/>
        <v/>
      </c>
      <c r="M1370" s="22" t="str">
        <f t="shared" ca="1" si="104"/>
        <v/>
      </c>
      <c r="U1370" s="23" t="str">
        <f t="shared" si="105"/>
        <v/>
      </c>
      <c r="V1370" s="23" t="str">
        <f t="shared" si="106"/>
        <v/>
      </c>
    </row>
    <row r="1371" spans="5:22" x14ac:dyDescent="0.25">
      <c r="E1371" s="21" t="str">
        <f t="shared" si="102"/>
        <v/>
      </c>
      <c r="F1371" s="21"/>
      <c r="G1371" s="21"/>
      <c r="H1371" s="21"/>
      <c r="I1371" s="21"/>
      <c r="J1371" s="21"/>
      <c r="K1371" s="21"/>
      <c r="L1371" s="16" t="str">
        <f t="shared" ca="1" si="103"/>
        <v/>
      </c>
      <c r="M1371" s="22" t="str">
        <f t="shared" ca="1" si="104"/>
        <v/>
      </c>
      <c r="U1371" s="23" t="str">
        <f t="shared" si="105"/>
        <v/>
      </c>
      <c r="V1371" s="23" t="str">
        <f t="shared" si="106"/>
        <v/>
      </c>
    </row>
    <row r="1372" spans="5:22" x14ac:dyDescent="0.25">
      <c r="E1372" s="21" t="str">
        <f t="shared" si="102"/>
        <v/>
      </c>
      <c r="F1372" s="21"/>
      <c r="G1372" s="21"/>
      <c r="H1372" s="21"/>
      <c r="I1372" s="21"/>
      <c r="J1372" s="21"/>
      <c r="K1372" s="21"/>
      <c r="L1372" s="16" t="str">
        <f t="shared" ca="1" si="103"/>
        <v/>
      </c>
      <c r="M1372" s="22" t="str">
        <f t="shared" ca="1" si="104"/>
        <v/>
      </c>
      <c r="U1372" s="23" t="str">
        <f t="shared" si="105"/>
        <v/>
      </c>
      <c r="V1372" s="23" t="str">
        <f t="shared" si="106"/>
        <v/>
      </c>
    </row>
    <row r="1373" spans="5:22" x14ac:dyDescent="0.25">
      <c r="E1373" s="21" t="str">
        <f t="shared" si="102"/>
        <v/>
      </c>
      <c r="F1373" s="21"/>
      <c r="G1373" s="21"/>
      <c r="H1373" s="21"/>
      <c r="I1373" s="21"/>
      <c r="J1373" s="21"/>
      <c r="K1373" s="21"/>
      <c r="L1373" s="16" t="str">
        <f t="shared" ca="1" si="103"/>
        <v/>
      </c>
      <c r="M1373" s="22" t="str">
        <f t="shared" ca="1" si="104"/>
        <v/>
      </c>
      <c r="U1373" s="23" t="str">
        <f t="shared" si="105"/>
        <v/>
      </c>
      <c r="V1373" s="23" t="str">
        <f t="shared" si="106"/>
        <v/>
      </c>
    </row>
    <row r="1374" spans="5:22" x14ac:dyDescent="0.25">
      <c r="E1374" s="21" t="str">
        <f t="shared" si="102"/>
        <v/>
      </c>
      <c r="F1374" s="21"/>
      <c r="G1374" s="21"/>
      <c r="H1374" s="21"/>
      <c r="I1374" s="21"/>
      <c r="J1374" s="21"/>
      <c r="K1374" s="21"/>
      <c r="L1374" s="16" t="str">
        <f t="shared" ca="1" si="103"/>
        <v/>
      </c>
      <c r="M1374" s="22" t="str">
        <f t="shared" ca="1" si="104"/>
        <v/>
      </c>
      <c r="U1374" s="23" t="str">
        <f t="shared" si="105"/>
        <v/>
      </c>
      <c r="V1374" s="23" t="str">
        <f t="shared" si="106"/>
        <v/>
      </c>
    </row>
    <row r="1375" spans="5:22" x14ac:dyDescent="0.25">
      <c r="E1375" s="21" t="str">
        <f t="shared" si="102"/>
        <v/>
      </c>
      <c r="F1375" s="21"/>
      <c r="G1375" s="21"/>
      <c r="H1375" s="21"/>
      <c r="I1375" s="21"/>
      <c r="J1375" s="21"/>
      <c r="K1375" s="21"/>
      <c r="L1375" s="16" t="str">
        <f t="shared" ca="1" si="103"/>
        <v/>
      </c>
      <c r="M1375" s="22" t="str">
        <f t="shared" ca="1" si="104"/>
        <v/>
      </c>
      <c r="U1375" s="23" t="str">
        <f t="shared" si="105"/>
        <v/>
      </c>
      <c r="V1375" s="23" t="str">
        <f t="shared" si="106"/>
        <v/>
      </c>
    </row>
    <row r="1376" spans="5:22" x14ac:dyDescent="0.25">
      <c r="E1376" s="21" t="str">
        <f t="shared" si="102"/>
        <v/>
      </c>
      <c r="F1376" s="21"/>
      <c r="G1376" s="21"/>
      <c r="H1376" s="21"/>
      <c r="I1376" s="21"/>
      <c r="J1376" s="21"/>
      <c r="K1376" s="21"/>
      <c r="L1376" s="16" t="str">
        <f t="shared" ca="1" si="103"/>
        <v/>
      </c>
      <c r="M1376" s="22" t="str">
        <f t="shared" ca="1" si="104"/>
        <v/>
      </c>
      <c r="U1376" s="23" t="str">
        <f t="shared" si="105"/>
        <v/>
      </c>
      <c r="V1376" s="23" t="str">
        <f t="shared" si="106"/>
        <v/>
      </c>
    </row>
    <row r="1377" spans="5:22" x14ac:dyDescent="0.25">
      <c r="E1377" s="21" t="str">
        <f t="shared" si="102"/>
        <v/>
      </c>
      <c r="F1377" s="21"/>
      <c r="G1377" s="21"/>
      <c r="H1377" s="21"/>
      <c r="I1377" s="21"/>
      <c r="J1377" s="21"/>
      <c r="K1377" s="21"/>
      <c r="L1377" s="16" t="str">
        <f t="shared" ca="1" si="103"/>
        <v/>
      </c>
      <c r="M1377" s="22" t="str">
        <f t="shared" ca="1" si="104"/>
        <v/>
      </c>
      <c r="U1377" s="23" t="str">
        <f t="shared" si="105"/>
        <v/>
      </c>
      <c r="V1377" s="23" t="str">
        <f t="shared" si="106"/>
        <v/>
      </c>
    </row>
    <row r="1378" spans="5:22" x14ac:dyDescent="0.25">
      <c r="E1378" s="21" t="str">
        <f t="shared" si="102"/>
        <v/>
      </c>
      <c r="F1378" s="21"/>
      <c r="G1378" s="21"/>
      <c r="H1378" s="21"/>
      <c r="I1378" s="21"/>
      <c r="J1378" s="21"/>
      <c r="K1378" s="21"/>
      <c r="L1378" s="16" t="str">
        <f t="shared" ca="1" si="103"/>
        <v/>
      </c>
      <c r="M1378" s="22" t="str">
        <f t="shared" ca="1" si="104"/>
        <v/>
      </c>
      <c r="U1378" s="23" t="str">
        <f t="shared" si="105"/>
        <v/>
      </c>
      <c r="V1378" s="23" t="str">
        <f t="shared" si="106"/>
        <v/>
      </c>
    </row>
    <row r="1379" spans="5:22" x14ac:dyDescent="0.25">
      <c r="E1379" s="21" t="str">
        <f t="shared" si="102"/>
        <v/>
      </c>
      <c r="F1379" s="21"/>
      <c r="G1379" s="21"/>
      <c r="H1379" s="21"/>
      <c r="I1379" s="21"/>
      <c r="J1379" s="21"/>
      <c r="K1379" s="21"/>
      <c r="L1379" s="16" t="str">
        <f t="shared" ca="1" si="103"/>
        <v/>
      </c>
      <c r="M1379" s="22" t="str">
        <f t="shared" ca="1" si="104"/>
        <v/>
      </c>
      <c r="U1379" s="23" t="str">
        <f t="shared" si="105"/>
        <v/>
      </c>
      <c r="V1379" s="23" t="str">
        <f t="shared" si="106"/>
        <v/>
      </c>
    </row>
    <row r="1380" spans="5:22" x14ac:dyDescent="0.25">
      <c r="E1380" s="21" t="str">
        <f t="shared" si="102"/>
        <v/>
      </c>
      <c r="F1380" s="21"/>
      <c r="G1380" s="21"/>
      <c r="H1380" s="21"/>
      <c r="I1380" s="21"/>
      <c r="J1380" s="21"/>
      <c r="K1380" s="21"/>
      <c r="L1380" s="16" t="str">
        <f t="shared" ca="1" si="103"/>
        <v/>
      </c>
      <c r="M1380" s="22" t="str">
        <f t="shared" ca="1" si="104"/>
        <v/>
      </c>
      <c r="U1380" s="23" t="str">
        <f t="shared" si="105"/>
        <v/>
      </c>
      <c r="V1380" s="23" t="str">
        <f t="shared" si="106"/>
        <v/>
      </c>
    </row>
    <row r="1381" spans="5:22" x14ac:dyDescent="0.25">
      <c r="E1381" s="21" t="str">
        <f t="shared" ref="E1381:E1444" si="107">IF(ISNUMBER(SEARCH("v crs",D1381))=TRUE,"VC",IF(ISNUMBER(SEARCH("crs",D1381))=TRUE,"C",IF(ISNUMBER(SEARCH("med",D1381))=TRUE,"M",IF(ISNUMBER(SEARCH("vf",D1381))=TRUE,"VF",IF(ISNUMBER(SEARCH("f",D1381))=TRUE,"F","")))))</f>
        <v/>
      </c>
      <c r="F1381" s="21"/>
      <c r="G1381" s="21"/>
      <c r="H1381" s="21"/>
      <c r="I1381" s="21"/>
      <c r="J1381" s="21"/>
      <c r="K1381" s="21"/>
      <c r="L1381" s="16" t="str">
        <f t="shared" ca="1" si="103"/>
        <v/>
      </c>
      <c r="M1381" s="22" t="str">
        <f t="shared" ca="1" si="104"/>
        <v/>
      </c>
      <c r="U1381" s="23" t="str">
        <f t="shared" si="105"/>
        <v/>
      </c>
      <c r="V1381" s="23" t="str">
        <f t="shared" si="106"/>
        <v/>
      </c>
    </row>
    <row r="1382" spans="5:22" x14ac:dyDescent="0.25">
      <c r="E1382" s="21" t="str">
        <f t="shared" si="107"/>
        <v/>
      </c>
      <c r="F1382" s="21"/>
      <c r="G1382" s="21"/>
      <c r="H1382" s="21"/>
      <c r="I1382" s="21"/>
      <c r="J1382" s="21"/>
      <c r="K1382" s="21"/>
      <c r="L1382" s="16" t="str">
        <f t="shared" ca="1" si="103"/>
        <v/>
      </c>
      <c r="M1382" s="22" t="str">
        <f t="shared" ca="1" si="104"/>
        <v/>
      </c>
      <c r="U1382" s="23" t="str">
        <f t="shared" si="105"/>
        <v/>
      </c>
      <c r="V1382" s="23" t="str">
        <f t="shared" si="106"/>
        <v/>
      </c>
    </row>
    <row r="1383" spans="5:22" x14ac:dyDescent="0.25">
      <c r="E1383" s="21" t="str">
        <f t="shared" si="107"/>
        <v/>
      </c>
      <c r="F1383" s="21"/>
      <c r="G1383" s="21"/>
      <c r="H1383" s="21"/>
      <c r="I1383" s="21"/>
      <c r="J1383" s="21"/>
      <c r="K1383" s="21"/>
      <c r="L1383" s="16" t="str">
        <f t="shared" ca="1" si="103"/>
        <v/>
      </c>
      <c r="M1383" s="22" t="str">
        <f t="shared" ca="1" si="104"/>
        <v/>
      </c>
      <c r="U1383" s="23" t="str">
        <f t="shared" si="105"/>
        <v/>
      </c>
      <c r="V1383" s="23" t="str">
        <f t="shared" si="106"/>
        <v/>
      </c>
    </row>
    <row r="1384" spans="5:22" x14ac:dyDescent="0.25">
      <c r="E1384" s="21" t="str">
        <f t="shared" si="107"/>
        <v/>
      </c>
      <c r="F1384" s="21"/>
      <c r="G1384" s="21"/>
      <c r="H1384" s="21"/>
      <c r="I1384" s="21"/>
      <c r="J1384" s="21"/>
      <c r="K1384" s="21"/>
      <c r="L1384" s="16" t="str">
        <f t="shared" ca="1" si="103"/>
        <v/>
      </c>
      <c r="M1384" s="22" t="str">
        <f t="shared" ca="1" si="104"/>
        <v/>
      </c>
      <c r="U1384" s="23" t="str">
        <f t="shared" si="105"/>
        <v/>
      </c>
      <c r="V1384" s="23" t="str">
        <f t="shared" si="106"/>
        <v/>
      </c>
    </row>
    <row r="1385" spans="5:22" x14ac:dyDescent="0.25">
      <c r="E1385" s="21" t="str">
        <f t="shared" si="107"/>
        <v/>
      </c>
      <c r="F1385" s="21"/>
      <c r="G1385" s="21"/>
      <c r="H1385" s="21"/>
      <c r="I1385" s="21"/>
      <c r="J1385" s="21"/>
      <c r="K1385" s="21"/>
      <c r="L1385" s="16" t="str">
        <f t="shared" ca="1" si="103"/>
        <v/>
      </c>
      <c r="M1385" s="22" t="str">
        <f t="shared" ca="1" si="104"/>
        <v/>
      </c>
      <c r="U1385" s="23" t="str">
        <f t="shared" si="105"/>
        <v/>
      </c>
      <c r="V1385" s="23" t="str">
        <f t="shared" si="106"/>
        <v/>
      </c>
    </row>
    <row r="1386" spans="5:22" x14ac:dyDescent="0.25">
      <c r="E1386" s="21" t="str">
        <f t="shared" si="107"/>
        <v/>
      </c>
      <c r="F1386" s="21"/>
      <c r="G1386" s="21"/>
      <c r="H1386" s="21"/>
      <c r="I1386" s="21"/>
      <c r="J1386" s="21"/>
      <c r="K1386" s="21"/>
      <c r="L1386" s="16" t="str">
        <f t="shared" ca="1" si="103"/>
        <v/>
      </c>
      <c r="M1386" s="22" t="str">
        <f t="shared" ca="1" si="104"/>
        <v/>
      </c>
      <c r="U1386" s="23" t="str">
        <f t="shared" si="105"/>
        <v/>
      </c>
      <c r="V1386" s="23" t="str">
        <f t="shared" si="106"/>
        <v/>
      </c>
    </row>
    <row r="1387" spans="5:22" x14ac:dyDescent="0.25">
      <c r="E1387" s="21" t="str">
        <f t="shared" si="107"/>
        <v/>
      </c>
      <c r="F1387" s="21"/>
      <c r="G1387" s="21"/>
      <c r="H1387" s="21"/>
      <c r="I1387" s="21"/>
      <c r="J1387" s="21"/>
      <c r="K1387" s="21"/>
      <c r="L1387" s="16" t="str">
        <f t="shared" ca="1" si="103"/>
        <v/>
      </c>
      <c r="M1387" s="22" t="str">
        <f t="shared" ca="1" si="104"/>
        <v/>
      </c>
      <c r="U1387" s="23" t="str">
        <f t="shared" si="105"/>
        <v/>
      </c>
      <c r="V1387" s="23" t="str">
        <f t="shared" si="106"/>
        <v/>
      </c>
    </row>
    <row r="1388" spans="5:22" x14ac:dyDescent="0.25">
      <c r="E1388" s="21" t="str">
        <f t="shared" si="107"/>
        <v/>
      </c>
      <c r="F1388" s="21"/>
      <c r="G1388" s="21"/>
      <c r="H1388" s="21"/>
      <c r="I1388" s="21"/>
      <c r="J1388" s="21"/>
      <c r="K1388" s="21"/>
      <c r="L1388" s="16" t="str">
        <f t="shared" ca="1" si="103"/>
        <v/>
      </c>
      <c r="M1388" s="22" t="str">
        <f t="shared" ca="1" si="104"/>
        <v/>
      </c>
      <c r="U1388" s="23" t="str">
        <f t="shared" si="105"/>
        <v/>
      </c>
      <c r="V1388" s="23" t="str">
        <f t="shared" si="106"/>
        <v/>
      </c>
    </row>
    <row r="1389" spans="5:22" x14ac:dyDescent="0.25">
      <c r="E1389" s="21" t="str">
        <f t="shared" si="107"/>
        <v/>
      </c>
      <c r="F1389" s="21"/>
      <c r="G1389" s="21"/>
      <c r="H1389" s="21"/>
      <c r="I1389" s="21"/>
      <c r="J1389" s="21"/>
      <c r="K1389" s="21"/>
      <c r="L1389" s="16" t="str">
        <f t="shared" ca="1" si="103"/>
        <v/>
      </c>
      <c r="M1389" s="22" t="str">
        <f t="shared" ca="1" si="104"/>
        <v/>
      </c>
      <c r="U1389" s="23" t="str">
        <f t="shared" si="105"/>
        <v/>
      </c>
      <c r="V1389" s="23" t="str">
        <f t="shared" si="106"/>
        <v/>
      </c>
    </row>
    <row r="1390" spans="5:22" x14ac:dyDescent="0.25">
      <c r="E1390" s="21" t="str">
        <f t="shared" si="107"/>
        <v/>
      </c>
      <c r="F1390" s="21"/>
      <c r="G1390" s="21"/>
      <c r="H1390" s="21"/>
      <c r="I1390" s="21"/>
      <c r="J1390" s="21"/>
      <c r="K1390" s="21"/>
      <c r="L1390" s="16" t="str">
        <f t="shared" ca="1" si="103"/>
        <v/>
      </c>
      <c r="M1390" s="22" t="str">
        <f t="shared" ca="1" si="104"/>
        <v/>
      </c>
      <c r="U1390" s="23" t="str">
        <f t="shared" si="105"/>
        <v/>
      </c>
      <c r="V1390" s="23" t="str">
        <f t="shared" si="106"/>
        <v/>
      </c>
    </row>
    <row r="1391" spans="5:22" x14ac:dyDescent="0.25">
      <c r="E1391" s="21" t="str">
        <f t="shared" si="107"/>
        <v/>
      </c>
      <c r="F1391" s="21"/>
      <c r="G1391" s="21"/>
      <c r="H1391" s="21"/>
      <c r="I1391" s="21"/>
      <c r="J1391" s="21"/>
      <c r="K1391" s="21"/>
      <c r="L1391" s="16" t="str">
        <f t="shared" ca="1" si="103"/>
        <v/>
      </c>
      <c r="M1391" s="22" t="str">
        <f t="shared" ca="1" si="104"/>
        <v/>
      </c>
      <c r="U1391" s="23" t="str">
        <f t="shared" si="105"/>
        <v/>
      </c>
      <c r="V1391" s="23" t="str">
        <f t="shared" si="106"/>
        <v/>
      </c>
    </row>
    <row r="1392" spans="5:22" x14ac:dyDescent="0.25">
      <c r="E1392" s="21" t="str">
        <f t="shared" si="107"/>
        <v/>
      </c>
      <c r="F1392" s="21"/>
      <c r="G1392" s="21"/>
      <c r="H1392" s="21"/>
      <c r="I1392" s="21"/>
      <c r="J1392" s="21"/>
      <c r="K1392" s="21"/>
      <c r="L1392" s="16" t="str">
        <f t="shared" ca="1" si="103"/>
        <v/>
      </c>
      <c r="M1392" s="22" t="str">
        <f t="shared" ca="1" si="104"/>
        <v/>
      </c>
      <c r="U1392" s="23" t="str">
        <f t="shared" si="105"/>
        <v/>
      </c>
      <c r="V1392" s="23" t="str">
        <f t="shared" si="106"/>
        <v/>
      </c>
    </row>
    <row r="1393" spans="5:22" x14ac:dyDescent="0.25">
      <c r="E1393" s="21" t="str">
        <f t="shared" si="107"/>
        <v/>
      </c>
      <c r="F1393" s="21"/>
      <c r="G1393" s="21"/>
      <c r="H1393" s="21"/>
      <c r="I1393" s="21"/>
      <c r="J1393" s="21"/>
      <c r="K1393" s="21"/>
      <c r="L1393" s="16" t="str">
        <f t="shared" ca="1" si="103"/>
        <v/>
      </c>
      <c r="M1393" s="22" t="str">
        <f t="shared" ca="1" si="104"/>
        <v/>
      </c>
      <c r="U1393" s="23" t="str">
        <f t="shared" si="105"/>
        <v/>
      </c>
      <c r="V1393" s="23" t="str">
        <f t="shared" si="106"/>
        <v/>
      </c>
    </row>
    <row r="1394" spans="5:22" x14ac:dyDescent="0.25">
      <c r="E1394" s="21" t="str">
        <f t="shared" si="107"/>
        <v/>
      </c>
      <c r="F1394" s="21"/>
      <c r="G1394" s="21"/>
      <c r="H1394" s="21"/>
      <c r="I1394" s="21"/>
      <c r="J1394" s="21"/>
      <c r="K1394" s="21"/>
      <c r="L1394" s="16" t="str">
        <f t="shared" ca="1" si="103"/>
        <v/>
      </c>
      <c r="M1394" s="22" t="str">
        <f t="shared" ca="1" si="104"/>
        <v/>
      </c>
      <c r="U1394" s="23" t="str">
        <f t="shared" si="105"/>
        <v/>
      </c>
      <c r="V1394" s="23" t="str">
        <f t="shared" si="106"/>
        <v/>
      </c>
    </row>
    <row r="1395" spans="5:22" x14ac:dyDescent="0.25">
      <c r="E1395" s="21" t="str">
        <f t="shared" si="107"/>
        <v/>
      </c>
      <c r="F1395" s="21"/>
      <c r="G1395" s="21"/>
      <c r="H1395" s="21"/>
      <c r="I1395" s="21"/>
      <c r="J1395" s="21"/>
      <c r="K1395" s="21"/>
      <c r="L1395" s="16" t="str">
        <f t="shared" ca="1" si="103"/>
        <v/>
      </c>
      <c r="M1395" s="22" t="str">
        <f t="shared" ca="1" si="104"/>
        <v/>
      </c>
      <c r="U1395" s="23" t="str">
        <f t="shared" si="105"/>
        <v/>
      </c>
      <c r="V1395" s="23" t="str">
        <f t="shared" si="106"/>
        <v/>
      </c>
    </row>
    <row r="1396" spans="5:22" x14ac:dyDescent="0.25">
      <c r="E1396" s="21" t="str">
        <f t="shared" si="107"/>
        <v/>
      </c>
      <c r="F1396" s="21"/>
      <c r="G1396" s="21"/>
      <c r="H1396" s="21"/>
      <c r="I1396" s="21"/>
      <c r="J1396" s="21"/>
      <c r="K1396" s="21"/>
      <c r="L1396" s="16" t="str">
        <f t="shared" ca="1" si="103"/>
        <v/>
      </c>
      <c r="M1396" s="22" t="str">
        <f t="shared" ca="1" si="104"/>
        <v/>
      </c>
      <c r="U1396" s="23" t="str">
        <f t="shared" si="105"/>
        <v/>
      </c>
      <c r="V1396" s="23" t="str">
        <f t="shared" si="106"/>
        <v/>
      </c>
    </row>
    <row r="1397" spans="5:22" x14ac:dyDescent="0.25">
      <c r="E1397" s="21" t="str">
        <f t="shared" si="107"/>
        <v/>
      </c>
      <c r="F1397" s="21"/>
      <c r="G1397" s="21"/>
      <c r="H1397" s="21"/>
      <c r="I1397" s="21"/>
      <c r="J1397" s="21"/>
      <c r="K1397" s="21"/>
      <c r="L1397" s="16" t="str">
        <f t="shared" ca="1" si="103"/>
        <v/>
      </c>
      <c r="M1397" s="22" t="str">
        <f t="shared" ca="1" si="104"/>
        <v/>
      </c>
      <c r="U1397" s="23" t="str">
        <f t="shared" si="105"/>
        <v/>
      </c>
      <c r="V1397" s="23" t="str">
        <f t="shared" si="106"/>
        <v/>
      </c>
    </row>
    <row r="1398" spans="5:22" x14ac:dyDescent="0.25">
      <c r="E1398" s="21" t="str">
        <f t="shared" si="107"/>
        <v/>
      </c>
      <c r="F1398" s="21"/>
      <c r="G1398" s="21"/>
      <c r="H1398" s="21"/>
      <c r="I1398" s="21"/>
      <c r="J1398" s="21"/>
      <c r="K1398" s="21"/>
      <c r="L1398" s="16" t="str">
        <f t="shared" ca="1" si="103"/>
        <v/>
      </c>
      <c r="M1398" s="22" t="str">
        <f t="shared" ca="1" si="104"/>
        <v/>
      </c>
      <c r="U1398" s="23" t="str">
        <f t="shared" si="105"/>
        <v/>
      </c>
      <c r="V1398" s="23" t="str">
        <f t="shared" si="106"/>
        <v/>
      </c>
    </row>
    <row r="1399" spans="5:22" x14ac:dyDescent="0.25">
      <c r="E1399" s="21" t="str">
        <f t="shared" si="107"/>
        <v/>
      </c>
      <c r="F1399" s="21"/>
      <c r="G1399" s="21"/>
      <c r="H1399" s="21"/>
      <c r="I1399" s="21"/>
      <c r="J1399" s="21"/>
      <c r="K1399" s="21"/>
      <c r="L1399" s="16" t="str">
        <f t="shared" ca="1" si="103"/>
        <v/>
      </c>
      <c r="M1399" s="22" t="str">
        <f t="shared" ca="1" si="104"/>
        <v/>
      </c>
      <c r="U1399" s="23" t="str">
        <f t="shared" si="105"/>
        <v/>
      </c>
      <c r="V1399" s="23" t="str">
        <f t="shared" si="106"/>
        <v/>
      </c>
    </row>
    <row r="1400" spans="5:22" x14ac:dyDescent="0.25">
      <c r="E1400" s="21" t="str">
        <f t="shared" si="107"/>
        <v/>
      </c>
      <c r="F1400" s="21"/>
      <c r="G1400" s="21"/>
      <c r="H1400" s="21"/>
      <c r="I1400" s="21"/>
      <c r="J1400" s="21"/>
      <c r="K1400" s="21"/>
      <c r="L1400" s="16" t="str">
        <f t="shared" ca="1" si="103"/>
        <v/>
      </c>
      <c r="M1400" s="22" t="str">
        <f t="shared" ca="1" si="104"/>
        <v/>
      </c>
      <c r="U1400" s="23" t="str">
        <f t="shared" si="105"/>
        <v/>
      </c>
      <c r="V1400" s="23" t="str">
        <f t="shared" si="106"/>
        <v/>
      </c>
    </row>
    <row r="1401" spans="5:22" x14ac:dyDescent="0.25">
      <c r="E1401" s="21" t="str">
        <f t="shared" si="107"/>
        <v/>
      </c>
      <c r="F1401" s="21"/>
      <c r="G1401" s="21"/>
      <c r="H1401" s="21"/>
      <c r="I1401" s="21"/>
      <c r="J1401" s="21"/>
      <c r="K1401" s="21"/>
      <c r="L1401" s="16" t="str">
        <f t="shared" ca="1" si="103"/>
        <v/>
      </c>
      <c r="M1401" s="22" t="str">
        <f t="shared" ca="1" si="104"/>
        <v/>
      </c>
      <c r="U1401" s="23" t="str">
        <f t="shared" si="105"/>
        <v/>
      </c>
      <c r="V1401" s="23" t="str">
        <f t="shared" si="106"/>
        <v/>
      </c>
    </row>
    <row r="1402" spans="5:22" x14ac:dyDescent="0.25">
      <c r="E1402" s="21" t="str">
        <f t="shared" si="107"/>
        <v/>
      </c>
      <c r="F1402" s="21"/>
      <c r="G1402" s="21"/>
      <c r="H1402" s="21"/>
      <c r="I1402" s="21"/>
      <c r="J1402" s="21"/>
      <c r="K1402" s="21"/>
      <c r="L1402" s="16" t="str">
        <f t="shared" ca="1" si="103"/>
        <v/>
      </c>
      <c r="M1402" s="22" t="str">
        <f t="shared" ca="1" si="104"/>
        <v/>
      </c>
      <c r="U1402" s="23" t="str">
        <f t="shared" si="105"/>
        <v/>
      </c>
      <c r="V1402" s="23" t="str">
        <f t="shared" si="106"/>
        <v/>
      </c>
    </row>
    <row r="1403" spans="5:22" x14ac:dyDescent="0.25">
      <c r="E1403" s="21" t="str">
        <f t="shared" si="107"/>
        <v/>
      </c>
      <c r="F1403" s="21"/>
      <c r="G1403" s="21"/>
      <c r="H1403" s="21"/>
      <c r="I1403" s="21"/>
      <c r="J1403" s="21"/>
      <c r="K1403" s="21"/>
      <c r="L1403" s="16" t="str">
        <f t="shared" ca="1" si="103"/>
        <v/>
      </c>
      <c r="M1403" s="22" t="str">
        <f t="shared" ca="1" si="104"/>
        <v/>
      </c>
      <c r="U1403" s="23" t="str">
        <f t="shared" si="105"/>
        <v/>
      </c>
      <c r="V1403" s="23" t="str">
        <f t="shared" si="106"/>
        <v/>
      </c>
    </row>
    <row r="1404" spans="5:22" x14ac:dyDescent="0.25">
      <c r="E1404" s="21" t="str">
        <f t="shared" si="107"/>
        <v/>
      </c>
      <c r="F1404" s="21"/>
      <c r="G1404" s="21"/>
      <c r="H1404" s="21"/>
      <c r="I1404" s="21"/>
      <c r="J1404" s="21"/>
      <c r="K1404" s="21"/>
      <c r="L1404" s="16" t="str">
        <f t="shared" ca="1" si="103"/>
        <v/>
      </c>
      <c r="M1404" s="22" t="str">
        <f t="shared" ca="1" si="104"/>
        <v/>
      </c>
      <c r="U1404" s="23" t="str">
        <f t="shared" si="105"/>
        <v/>
      </c>
      <c r="V1404" s="23" t="str">
        <f t="shared" si="106"/>
        <v/>
      </c>
    </row>
    <row r="1405" spans="5:22" x14ac:dyDescent="0.25">
      <c r="E1405" s="21" t="str">
        <f t="shared" si="107"/>
        <v/>
      </c>
      <c r="F1405" s="21"/>
      <c r="G1405" s="21"/>
      <c r="H1405" s="21"/>
      <c r="I1405" s="21"/>
      <c r="J1405" s="21"/>
      <c r="K1405" s="21"/>
      <c r="L1405" s="16" t="str">
        <f t="shared" ref="L1405:L1468" ca="1" si="108">IF(AND(C1405&lt;&gt;"",C1405&lt;&gt;U1405),TODAY(),IF(C1405="","",L1405))</f>
        <v/>
      </c>
      <c r="M1405" s="22" t="str">
        <f t="shared" ref="M1405:M1468" ca="1" si="109">IF(AND(C1405&lt;&gt;"",C1405&lt;&gt;V1405),NOW(),IF(C1405="","",M1405))</f>
        <v/>
      </c>
      <c r="U1405" s="23" t="str">
        <f t="shared" si="105"/>
        <v/>
      </c>
      <c r="V1405" s="23" t="str">
        <f t="shared" si="106"/>
        <v/>
      </c>
    </row>
    <row r="1406" spans="5:22" x14ac:dyDescent="0.25">
      <c r="E1406" s="21" t="str">
        <f t="shared" si="107"/>
        <v/>
      </c>
      <c r="F1406" s="21"/>
      <c r="G1406" s="21"/>
      <c r="H1406" s="21"/>
      <c r="I1406" s="21"/>
      <c r="J1406" s="21"/>
      <c r="K1406" s="21"/>
      <c r="L1406" s="16" t="str">
        <f t="shared" ca="1" si="108"/>
        <v/>
      </c>
      <c r="M1406" s="22" t="str">
        <f t="shared" ca="1" si="109"/>
        <v/>
      </c>
      <c r="U1406" s="23" t="str">
        <f t="shared" si="105"/>
        <v/>
      </c>
      <c r="V1406" s="23" t="str">
        <f t="shared" si="106"/>
        <v/>
      </c>
    </row>
    <row r="1407" spans="5:22" x14ac:dyDescent="0.25">
      <c r="E1407" s="21" t="str">
        <f t="shared" si="107"/>
        <v/>
      </c>
      <c r="F1407" s="21"/>
      <c r="G1407" s="21"/>
      <c r="H1407" s="21"/>
      <c r="I1407" s="21"/>
      <c r="J1407" s="21"/>
      <c r="K1407" s="21"/>
      <c r="L1407" s="16" t="str">
        <f t="shared" ca="1" si="108"/>
        <v/>
      </c>
      <c r="M1407" s="22" t="str">
        <f t="shared" ca="1" si="109"/>
        <v/>
      </c>
      <c r="U1407" s="23" t="str">
        <f t="shared" si="105"/>
        <v/>
      </c>
      <c r="V1407" s="23" t="str">
        <f t="shared" si="106"/>
        <v/>
      </c>
    </row>
    <row r="1408" spans="5:22" x14ac:dyDescent="0.25">
      <c r="E1408" s="21" t="str">
        <f t="shared" si="107"/>
        <v/>
      </c>
      <c r="F1408" s="21"/>
      <c r="G1408" s="21"/>
      <c r="H1408" s="21"/>
      <c r="I1408" s="21"/>
      <c r="J1408" s="21"/>
      <c r="K1408" s="21"/>
      <c r="L1408" s="16" t="str">
        <f t="shared" ca="1" si="108"/>
        <v/>
      </c>
      <c r="M1408" s="22" t="str">
        <f t="shared" ca="1" si="109"/>
        <v/>
      </c>
      <c r="U1408" s="23" t="str">
        <f t="shared" si="105"/>
        <v/>
      </c>
      <c r="V1408" s="23" t="str">
        <f t="shared" si="106"/>
        <v/>
      </c>
    </row>
    <row r="1409" spans="5:22" x14ac:dyDescent="0.25">
      <c r="E1409" s="21" t="str">
        <f t="shared" si="107"/>
        <v/>
      </c>
      <c r="F1409" s="21"/>
      <c r="G1409" s="21"/>
      <c r="H1409" s="21"/>
      <c r="I1409" s="21"/>
      <c r="J1409" s="21"/>
      <c r="K1409" s="21"/>
      <c r="L1409" s="16" t="str">
        <f t="shared" ca="1" si="108"/>
        <v/>
      </c>
      <c r="M1409" s="22" t="str">
        <f t="shared" ca="1" si="109"/>
        <v/>
      </c>
      <c r="U1409" s="23" t="str">
        <f t="shared" si="105"/>
        <v/>
      </c>
      <c r="V1409" s="23" t="str">
        <f t="shared" si="106"/>
        <v/>
      </c>
    </row>
    <row r="1410" spans="5:22" x14ac:dyDescent="0.25">
      <c r="E1410" s="21" t="str">
        <f t="shared" si="107"/>
        <v/>
      </c>
      <c r="F1410" s="21"/>
      <c r="G1410" s="21"/>
      <c r="H1410" s="21"/>
      <c r="I1410" s="21"/>
      <c r="J1410" s="21"/>
      <c r="K1410" s="21"/>
      <c r="L1410" s="16" t="str">
        <f t="shared" ca="1" si="108"/>
        <v/>
      </c>
      <c r="M1410" s="22" t="str">
        <f t="shared" ca="1" si="109"/>
        <v/>
      </c>
      <c r="U1410" s="23" t="str">
        <f t="shared" si="105"/>
        <v/>
      </c>
      <c r="V1410" s="23" t="str">
        <f t="shared" si="106"/>
        <v/>
      </c>
    </row>
    <row r="1411" spans="5:22" x14ac:dyDescent="0.25">
      <c r="E1411" s="21" t="str">
        <f t="shared" si="107"/>
        <v/>
      </c>
      <c r="F1411" s="21"/>
      <c r="G1411" s="21"/>
      <c r="H1411" s="21"/>
      <c r="I1411" s="21"/>
      <c r="J1411" s="21"/>
      <c r="K1411" s="21"/>
      <c r="L1411" s="16" t="str">
        <f t="shared" ca="1" si="108"/>
        <v/>
      </c>
      <c r="M1411" s="22" t="str">
        <f t="shared" ca="1" si="109"/>
        <v/>
      </c>
      <c r="U1411" s="23" t="str">
        <f t="shared" si="105"/>
        <v/>
      </c>
      <c r="V1411" s="23" t="str">
        <f t="shared" si="106"/>
        <v/>
      </c>
    </row>
    <row r="1412" spans="5:22" x14ac:dyDescent="0.25">
      <c r="E1412" s="21" t="str">
        <f t="shared" si="107"/>
        <v/>
      </c>
      <c r="F1412" s="21"/>
      <c r="G1412" s="21"/>
      <c r="H1412" s="21"/>
      <c r="I1412" s="21"/>
      <c r="J1412" s="21"/>
      <c r="K1412" s="21"/>
      <c r="L1412" s="16" t="str">
        <f t="shared" ca="1" si="108"/>
        <v/>
      </c>
      <c r="M1412" s="22" t="str">
        <f t="shared" ca="1" si="109"/>
        <v/>
      </c>
      <c r="U1412" s="23" t="str">
        <f t="shared" ref="U1412:U1475" si="110">IF(C1412="","",IF(OR(L1412="",AND(ISNUMBER(U1412),C1412=U1412)),U1412,C1412))</f>
        <v/>
      </c>
      <c r="V1412" s="23" t="str">
        <f t="shared" ref="V1412:V1475" si="111">IF(C1412="","",IF(OR(M1412="",AND(ISNUMBER(V1412),C1412=V1412)),V1412,C1412))</f>
        <v/>
      </c>
    </row>
    <row r="1413" spans="5:22" x14ac:dyDescent="0.25">
      <c r="E1413" s="21" t="str">
        <f t="shared" si="107"/>
        <v/>
      </c>
      <c r="F1413" s="21"/>
      <c r="G1413" s="21"/>
      <c r="H1413" s="21"/>
      <c r="I1413" s="21"/>
      <c r="J1413" s="21"/>
      <c r="K1413" s="21"/>
      <c r="L1413" s="16" t="str">
        <f t="shared" ca="1" si="108"/>
        <v/>
      </c>
      <c r="M1413" s="22" t="str">
        <f t="shared" ca="1" si="109"/>
        <v/>
      </c>
      <c r="U1413" s="23" t="str">
        <f t="shared" si="110"/>
        <v/>
      </c>
      <c r="V1413" s="23" t="str">
        <f t="shared" si="111"/>
        <v/>
      </c>
    </row>
    <row r="1414" spans="5:22" x14ac:dyDescent="0.25">
      <c r="E1414" s="21" t="str">
        <f t="shared" si="107"/>
        <v/>
      </c>
      <c r="F1414" s="21"/>
      <c r="G1414" s="21"/>
      <c r="H1414" s="21"/>
      <c r="I1414" s="21"/>
      <c r="J1414" s="21"/>
      <c r="K1414" s="21"/>
      <c r="L1414" s="16" t="str">
        <f t="shared" ca="1" si="108"/>
        <v/>
      </c>
      <c r="M1414" s="22" t="str">
        <f t="shared" ca="1" si="109"/>
        <v/>
      </c>
      <c r="U1414" s="23" t="str">
        <f t="shared" si="110"/>
        <v/>
      </c>
      <c r="V1414" s="23" t="str">
        <f t="shared" si="111"/>
        <v/>
      </c>
    </row>
    <row r="1415" spans="5:22" x14ac:dyDescent="0.25">
      <c r="E1415" s="21" t="str">
        <f t="shared" si="107"/>
        <v/>
      </c>
      <c r="F1415" s="21"/>
      <c r="G1415" s="21"/>
      <c r="H1415" s="21"/>
      <c r="I1415" s="21"/>
      <c r="J1415" s="21"/>
      <c r="K1415" s="21"/>
      <c r="L1415" s="16" t="str">
        <f t="shared" ca="1" si="108"/>
        <v/>
      </c>
      <c r="M1415" s="22" t="str">
        <f t="shared" ca="1" si="109"/>
        <v/>
      </c>
      <c r="U1415" s="23" t="str">
        <f t="shared" si="110"/>
        <v/>
      </c>
      <c r="V1415" s="23" t="str">
        <f t="shared" si="111"/>
        <v/>
      </c>
    </row>
    <row r="1416" spans="5:22" x14ac:dyDescent="0.25">
      <c r="E1416" s="21" t="str">
        <f t="shared" si="107"/>
        <v/>
      </c>
      <c r="F1416" s="21"/>
      <c r="G1416" s="21"/>
      <c r="H1416" s="21"/>
      <c r="I1416" s="21"/>
      <c r="J1416" s="21"/>
      <c r="K1416" s="21"/>
      <c r="L1416" s="16" t="str">
        <f t="shared" ca="1" si="108"/>
        <v/>
      </c>
      <c r="M1416" s="22" t="str">
        <f t="shared" ca="1" si="109"/>
        <v/>
      </c>
      <c r="U1416" s="23" t="str">
        <f t="shared" si="110"/>
        <v/>
      </c>
      <c r="V1416" s="23" t="str">
        <f t="shared" si="111"/>
        <v/>
      </c>
    </row>
    <row r="1417" spans="5:22" x14ac:dyDescent="0.25">
      <c r="E1417" s="21" t="str">
        <f t="shared" si="107"/>
        <v/>
      </c>
      <c r="F1417" s="21"/>
      <c r="G1417" s="21"/>
      <c r="H1417" s="21"/>
      <c r="I1417" s="21"/>
      <c r="J1417" s="21"/>
      <c r="K1417" s="21"/>
      <c r="L1417" s="16" t="str">
        <f t="shared" ca="1" si="108"/>
        <v/>
      </c>
      <c r="M1417" s="22" t="str">
        <f t="shared" ca="1" si="109"/>
        <v/>
      </c>
      <c r="U1417" s="23" t="str">
        <f t="shared" si="110"/>
        <v/>
      </c>
      <c r="V1417" s="23" t="str">
        <f t="shared" si="111"/>
        <v/>
      </c>
    </row>
    <row r="1418" spans="5:22" x14ac:dyDescent="0.25">
      <c r="E1418" s="21" t="str">
        <f t="shared" si="107"/>
        <v/>
      </c>
      <c r="F1418" s="21"/>
      <c r="G1418" s="21"/>
      <c r="H1418" s="21"/>
      <c r="I1418" s="21"/>
      <c r="J1418" s="21"/>
      <c r="K1418" s="21"/>
      <c r="L1418" s="16" t="str">
        <f t="shared" ca="1" si="108"/>
        <v/>
      </c>
      <c r="M1418" s="22" t="str">
        <f t="shared" ca="1" si="109"/>
        <v/>
      </c>
      <c r="U1418" s="23" t="str">
        <f t="shared" si="110"/>
        <v/>
      </c>
      <c r="V1418" s="23" t="str">
        <f t="shared" si="111"/>
        <v/>
      </c>
    </row>
    <row r="1419" spans="5:22" x14ac:dyDescent="0.25">
      <c r="E1419" s="21" t="str">
        <f t="shared" si="107"/>
        <v/>
      </c>
      <c r="F1419" s="21"/>
      <c r="G1419" s="21"/>
      <c r="H1419" s="21"/>
      <c r="I1419" s="21"/>
      <c r="J1419" s="21"/>
      <c r="K1419" s="21"/>
      <c r="L1419" s="16" t="str">
        <f t="shared" ca="1" si="108"/>
        <v/>
      </c>
      <c r="M1419" s="22" t="str">
        <f t="shared" ca="1" si="109"/>
        <v/>
      </c>
      <c r="U1419" s="23" t="str">
        <f t="shared" si="110"/>
        <v/>
      </c>
      <c r="V1419" s="23" t="str">
        <f t="shared" si="111"/>
        <v/>
      </c>
    </row>
    <row r="1420" spans="5:22" x14ac:dyDescent="0.25">
      <c r="E1420" s="21" t="str">
        <f t="shared" si="107"/>
        <v/>
      </c>
      <c r="F1420" s="21"/>
      <c r="G1420" s="21"/>
      <c r="H1420" s="21"/>
      <c r="I1420" s="21"/>
      <c r="J1420" s="21"/>
      <c r="K1420" s="21"/>
      <c r="L1420" s="16" t="str">
        <f t="shared" ca="1" si="108"/>
        <v/>
      </c>
      <c r="M1420" s="22" t="str">
        <f t="shared" ca="1" si="109"/>
        <v/>
      </c>
      <c r="U1420" s="23" t="str">
        <f t="shared" si="110"/>
        <v/>
      </c>
      <c r="V1420" s="23" t="str">
        <f t="shared" si="111"/>
        <v/>
      </c>
    </row>
    <row r="1421" spans="5:22" x14ac:dyDescent="0.25">
      <c r="E1421" s="21" t="str">
        <f t="shared" si="107"/>
        <v/>
      </c>
      <c r="F1421" s="21"/>
      <c r="G1421" s="21"/>
      <c r="H1421" s="21"/>
      <c r="I1421" s="21"/>
      <c r="J1421" s="21"/>
      <c r="K1421" s="21"/>
      <c r="L1421" s="16" t="str">
        <f t="shared" ca="1" si="108"/>
        <v/>
      </c>
      <c r="M1421" s="22" t="str">
        <f t="shared" ca="1" si="109"/>
        <v/>
      </c>
      <c r="U1421" s="23" t="str">
        <f t="shared" si="110"/>
        <v/>
      </c>
      <c r="V1421" s="23" t="str">
        <f t="shared" si="111"/>
        <v/>
      </c>
    </row>
    <row r="1422" spans="5:22" x14ac:dyDescent="0.25">
      <c r="E1422" s="21" t="str">
        <f t="shared" si="107"/>
        <v/>
      </c>
      <c r="F1422" s="21"/>
      <c r="G1422" s="21"/>
      <c r="H1422" s="21"/>
      <c r="I1422" s="21"/>
      <c r="J1422" s="21"/>
      <c r="K1422" s="21"/>
      <c r="L1422" s="16" t="str">
        <f t="shared" ca="1" si="108"/>
        <v/>
      </c>
      <c r="M1422" s="22" t="str">
        <f t="shared" ca="1" si="109"/>
        <v/>
      </c>
      <c r="U1422" s="23" t="str">
        <f t="shared" si="110"/>
        <v/>
      </c>
      <c r="V1422" s="23" t="str">
        <f t="shared" si="111"/>
        <v/>
      </c>
    </row>
    <row r="1423" spans="5:22" x14ac:dyDescent="0.25">
      <c r="E1423" s="21" t="str">
        <f t="shared" si="107"/>
        <v/>
      </c>
      <c r="F1423" s="21"/>
      <c r="G1423" s="21"/>
      <c r="H1423" s="21"/>
      <c r="I1423" s="21"/>
      <c r="J1423" s="21"/>
      <c r="K1423" s="21"/>
      <c r="L1423" s="16" t="str">
        <f t="shared" ca="1" si="108"/>
        <v/>
      </c>
      <c r="M1423" s="22" t="str">
        <f t="shared" ca="1" si="109"/>
        <v/>
      </c>
      <c r="U1423" s="23" t="str">
        <f t="shared" si="110"/>
        <v/>
      </c>
      <c r="V1423" s="23" t="str">
        <f t="shared" si="111"/>
        <v/>
      </c>
    </row>
    <row r="1424" spans="5:22" x14ac:dyDescent="0.25">
      <c r="E1424" s="21" t="str">
        <f t="shared" si="107"/>
        <v/>
      </c>
      <c r="F1424" s="21"/>
      <c r="G1424" s="21"/>
      <c r="H1424" s="21"/>
      <c r="I1424" s="21"/>
      <c r="J1424" s="21"/>
      <c r="K1424" s="21"/>
      <c r="L1424" s="16" t="str">
        <f t="shared" ca="1" si="108"/>
        <v/>
      </c>
      <c r="M1424" s="22" t="str">
        <f t="shared" ca="1" si="109"/>
        <v/>
      </c>
      <c r="U1424" s="23" t="str">
        <f t="shared" si="110"/>
        <v/>
      </c>
      <c r="V1424" s="23" t="str">
        <f t="shared" si="111"/>
        <v/>
      </c>
    </row>
    <row r="1425" spans="5:22" x14ac:dyDescent="0.25">
      <c r="E1425" s="21" t="str">
        <f t="shared" si="107"/>
        <v/>
      </c>
      <c r="F1425" s="21"/>
      <c r="G1425" s="21"/>
      <c r="H1425" s="21"/>
      <c r="I1425" s="21"/>
      <c r="J1425" s="21"/>
      <c r="K1425" s="21"/>
      <c r="L1425" s="16" t="str">
        <f t="shared" ca="1" si="108"/>
        <v/>
      </c>
      <c r="M1425" s="22" t="str">
        <f t="shared" ca="1" si="109"/>
        <v/>
      </c>
      <c r="U1425" s="23" t="str">
        <f t="shared" si="110"/>
        <v/>
      </c>
      <c r="V1425" s="23" t="str">
        <f t="shared" si="111"/>
        <v/>
      </c>
    </row>
    <row r="1426" spans="5:22" x14ac:dyDescent="0.25">
      <c r="E1426" s="21" t="str">
        <f t="shared" si="107"/>
        <v/>
      </c>
      <c r="F1426" s="21"/>
      <c r="G1426" s="21"/>
      <c r="H1426" s="21"/>
      <c r="I1426" s="21"/>
      <c r="J1426" s="21"/>
      <c r="K1426" s="21"/>
      <c r="L1426" s="16" t="str">
        <f t="shared" ca="1" si="108"/>
        <v/>
      </c>
      <c r="M1426" s="22" t="str">
        <f t="shared" ca="1" si="109"/>
        <v/>
      </c>
      <c r="U1426" s="23" t="str">
        <f t="shared" si="110"/>
        <v/>
      </c>
      <c r="V1426" s="23" t="str">
        <f t="shared" si="111"/>
        <v/>
      </c>
    </row>
    <row r="1427" spans="5:22" x14ac:dyDescent="0.25">
      <c r="E1427" s="21" t="str">
        <f t="shared" si="107"/>
        <v/>
      </c>
      <c r="F1427" s="21"/>
      <c r="G1427" s="21"/>
      <c r="H1427" s="21"/>
      <c r="I1427" s="21"/>
      <c r="J1427" s="21"/>
      <c r="K1427" s="21"/>
      <c r="L1427" s="16" t="str">
        <f t="shared" ca="1" si="108"/>
        <v/>
      </c>
      <c r="M1427" s="22" t="str">
        <f t="shared" ca="1" si="109"/>
        <v/>
      </c>
      <c r="U1427" s="23" t="str">
        <f t="shared" si="110"/>
        <v/>
      </c>
      <c r="V1427" s="23" t="str">
        <f t="shared" si="111"/>
        <v/>
      </c>
    </row>
    <row r="1428" spans="5:22" x14ac:dyDescent="0.25">
      <c r="E1428" s="21" t="str">
        <f t="shared" si="107"/>
        <v/>
      </c>
      <c r="F1428" s="21"/>
      <c r="G1428" s="21"/>
      <c r="H1428" s="21"/>
      <c r="I1428" s="21"/>
      <c r="J1428" s="21"/>
      <c r="K1428" s="21"/>
      <c r="L1428" s="16" t="str">
        <f t="shared" ca="1" si="108"/>
        <v/>
      </c>
      <c r="M1428" s="22" t="str">
        <f t="shared" ca="1" si="109"/>
        <v/>
      </c>
      <c r="U1428" s="23" t="str">
        <f t="shared" si="110"/>
        <v/>
      </c>
      <c r="V1428" s="23" t="str">
        <f t="shared" si="111"/>
        <v/>
      </c>
    </row>
    <row r="1429" spans="5:22" x14ac:dyDescent="0.25">
      <c r="E1429" s="21" t="str">
        <f t="shared" si="107"/>
        <v/>
      </c>
      <c r="F1429" s="21"/>
      <c r="G1429" s="21"/>
      <c r="H1429" s="21"/>
      <c r="I1429" s="21"/>
      <c r="J1429" s="21"/>
      <c r="K1429" s="21"/>
      <c r="L1429" s="16" t="str">
        <f t="shared" ca="1" si="108"/>
        <v/>
      </c>
      <c r="M1429" s="22" t="str">
        <f t="shared" ca="1" si="109"/>
        <v/>
      </c>
      <c r="U1429" s="23" t="str">
        <f t="shared" si="110"/>
        <v/>
      </c>
      <c r="V1429" s="23" t="str">
        <f t="shared" si="111"/>
        <v/>
      </c>
    </row>
    <row r="1430" spans="5:22" x14ac:dyDescent="0.25">
      <c r="E1430" s="21" t="str">
        <f t="shared" si="107"/>
        <v/>
      </c>
      <c r="F1430" s="21"/>
      <c r="G1430" s="21"/>
      <c r="H1430" s="21"/>
      <c r="I1430" s="21"/>
      <c r="J1430" s="21"/>
      <c r="K1430" s="21"/>
      <c r="L1430" s="16" t="str">
        <f t="shared" ca="1" si="108"/>
        <v/>
      </c>
      <c r="M1430" s="22" t="str">
        <f t="shared" ca="1" si="109"/>
        <v/>
      </c>
      <c r="U1430" s="23" t="str">
        <f t="shared" si="110"/>
        <v/>
      </c>
      <c r="V1430" s="23" t="str">
        <f t="shared" si="111"/>
        <v/>
      </c>
    </row>
    <row r="1431" spans="5:22" x14ac:dyDescent="0.25">
      <c r="E1431" s="21" t="str">
        <f t="shared" si="107"/>
        <v/>
      </c>
      <c r="F1431" s="21"/>
      <c r="G1431" s="21"/>
      <c r="H1431" s="21"/>
      <c r="I1431" s="21"/>
      <c r="J1431" s="21"/>
      <c r="K1431" s="21"/>
      <c r="L1431" s="16" t="str">
        <f t="shared" ca="1" si="108"/>
        <v/>
      </c>
      <c r="M1431" s="22" t="str">
        <f t="shared" ca="1" si="109"/>
        <v/>
      </c>
      <c r="U1431" s="23" t="str">
        <f t="shared" si="110"/>
        <v/>
      </c>
      <c r="V1431" s="23" t="str">
        <f t="shared" si="111"/>
        <v/>
      </c>
    </row>
    <row r="1432" spans="5:22" x14ac:dyDescent="0.25">
      <c r="E1432" s="21" t="str">
        <f t="shared" si="107"/>
        <v/>
      </c>
      <c r="F1432" s="21"/>
      <c r="G1432" s="21"/>
      <c r="H1432" s="21"/>
      <c r="I1432" s="21"/>
      <c r="J1432" s="21"/>
      <c r="K1432" s="21"/>
      <c r="L1432" s="16" t="str">
        <f t="shared" ca="1" si="108"/>
        <v/>
      </c>
      <c r="M1432" s="22" t="str">
        <f t="shared" ca="1" si="109"/>
        <v/>
      </c>
      <c r="U1432" s="23" t="str">
        <f t="shared" si="110"/>
        <v/>
      </c>
      <c r="V1432" s="23" t="str">
        <f t="shared" si="111"/>
        <v/>
      </c>
    </row>
    <row r="1433" spans="5:22" x14ac:dyDescent="0.25">
      <c r="E1433" s="21" t="str">
        <f t="shared" si="107"/>
        <v/>
      </c>
      <c r="F1433" s="21"/>
      <c r="G1433" s="21"/>
      <c r="H1433" s="21"/>
      <c r="I1433" s="21"/>
      <c r="J1433" s="21"/>
      <c r="K1433" s="21"/>
      <c r="L1433" s="16" t="str">
        <f t="shared" ca="1" si="108"/>
        <v/>
      </c>
      <c r="M1433" s="22" t="str">
        <f t="shared" ca="1" si="109"/>
        <v/>
      </c>
      <c r="U1433" s="23" t="str">
        <f t="shared" si="110"/>
        <v/>
      </c>
      <c r="V1433" s="23" t="str">
        <f t="shared" si="111"/>
        <v/>
      </c>
    </row>
    <row r="1434" spans="5:22" x14ac:dyDescent="0.25">
      <c r="E1434" s="21" t="str">
        <f t="shared" si="107"/>
        <v/>
      </c>
      <c r="F1434" s="21"/>
      <c r="G1434" s="21"/>
      <c r="H1434" s="21"/>
      <c r="I1434" s="21"/>
      <c r="J1434" s="21"/>
      <c r="K1434" s="21"/>
      <c r="L1434" s="16" t="str">
        <f t="shared" ca="1" si="108"/>
        <v/>
      </c>
      <c r="M1434" s="22" t="str">
        <f t="shared" ca="1" si="109"/>
        <v/>
      </c>
      <c r="U1434" s="23" t="str">
        <f t="shared" si="110"/>
        <v/>
      </c>
      <c r="V1434" s="23" t="str">
        <f t="shared" si="111"/>
        <v/>
      </c>
    </row>
    <row r="1435" spans="5:22" x14ac:dyDescent="0.25">
      <c r="E1435" s="21" t="str">
        <f t="shared" si="107"/>
        <v/>
      </c>
      <c r="F1435" s="21"/>
      <c r="G1435" s="21"/>
      <c r="H1435" s="21"/>
      <c r="I1435" s="21"/>
      <c r="J1435" s="21"/>
      <c r="K1435" s="21"/>
      <c r="L1435" s="16" t="str">
        <f t="shared" ca="1" si="108"/>
        <v/>
      </c>
      <c r="M1435" s="22" t="str">
        <f t="shared" ca="1" si="109"/>
        <v/>
      </c>
      <c r="U1435" s="23" t="str">
        <f t="shared" si="110"/>
        <v/>
      </c>
      <c r="V1435" s="23" t="str">
        <f t="shared" si="111"/>
        <v/>
      </c>
    </row>
    <row r="1436" spans="5:22" x14ac:dyDescent="0.25">
      <c r="E1436" s="21" t="str">
        <f t="shared" si="107"/>
        <v/>
      </c>
      <c r="F1436" s="21"/>
      <c r="G1436" s="21"/>
      <c r="H1436" s="21"/>
      <c r="I1436" s="21"/>
      <c r="J1436" s="21"/>
      <c r="K1436" s="21"/>
      <c r="L1436" s="16" t="str">
        <f t="shared" ca="1" si="108"/>
        <v/>
      </c>
      <c r="M1436" s="22" t="str">
        <f t="shared" ca="1" si="109"/>
        <v/>
      </c>
      <c r="U1436" s="23" t="str">
        <f t="shared" si="110"/>
        <v/>
      </c>
      <c r="V1436" s="23" t="str">
        <f t="shared" si="111"/>
        <v/>
      </c>
    </row>
    <row r="1437" spans="5:22" x14ac:dyDescent="0.25">
      <c r="E1437" s="21" t="str">
        <f t="shared" si="107"/>
        <v/>
      </c>
      <c r="F1437" s="21"/>
      <c r="G1437" s="21"/>
      <c r="H1437" s="21"/>
      <c r="I1437" s="21"/>
      <c r="J1437" s="21"/>
      <c r="K1437" s="21"/>
      <c r="L1437" s="16" t="str">
        <f t="shared" ca="1" si="108"/>
        <v/>
      </c>
      <c r="M1437" s="22" t="str">
        <f t="shared" ca="1" si="109"/>
        <v/>
      </c>
      <c r="U1437" s="23" t="str">
        <f t="shared" si="110"/>
        <v/>
      </c>
      <c r="V1437" s="23" t="str">
        <f t="shared" si="111"/>
        <v/>
      </c>
    </row>
    <row r="1438" spans="5:22" x14ac:dyDescent="0.25">
      <c r="E1438" s="21" t="str">
        <f t="shared" si="107"/>
        <v/>
      </c>
      <c r="F1438" s="21"/>
      <c r="G1438" s="21"/>
      <c r="H1438" s="21"/>
      <c r="I1438" s="21"/>
      <c r="J1438" s="21"/>
      <c r="K1438" s="21"/>
      <c r="L1438" s="16" t="str">
        <f t="shared" ca="1" si="108"/>
        <v/>
      </c>
      <c r="M1438" s="22" t="str">
        <f t="shared" ca="1" si="109"/>
        <v/>
      </c>
      <c r="U1438" s="23" t="str">
        <f t="shared" si="110"/>
        <v/>
      </c>
      <c r="V1438" s="23" t="str">
        <f t="shared" si="111"/>
        <v/>
      </c>
    </row>
    <row r="1439" spans="5:22" x14ac:dyDescent="0.25">
      <c r="E1439" s="21" t="str">
        <f t="shared" si="107"/>
        <v/>
      </c>
      <c r="F1439" s="21"/>
      <c r="G1439" s="21"/>
      <c r="H1439" s="21"/>
      <c r="I1439" s="21"/>
      <c r="J1439" s="21"/>
      <c r="K1439" s="21"/>
      <c r="L1439" s="16" t="str">
        <f t="shared" ca="1" si="108"/>
        <v/>
      </c>
      <c r="M1439" s="22" t="str">
        <f t="shared" ca="1" si="109"/>
        <v/>
      </c>
      <c r="U1439" s="23" t="str">
        <f t="shared" si="110"/>
        <v/>
      </c>
      <c r="V1439" s="23" t="str">
        <f t="shared" si="111"/>
        <v/>
      </c>
    </row>
    <row r="1440" spans="5:22" x14ac:dyDescent="0.25">
      <c r="E1440" s="21" t="str">
        <f t="shared" si="107"/>
        <v/>
      </c>
      <c r="F1440" s="21"/>
      <c r="G1440" s="21"/>
      <c r="H1440" s="21"/>
      <c r="I1440" s="21"/>
      <c r="J1440" s="21"/>
      <c r="K1440" s="21"/>
      <c r="L1440" s="16" t="str">
        <f t="shared" ca="1" si="108"/>
        <v/>
      </c>
      <c r="M1440" s="22" t="str">
        <f t="shared" ca="1" si="109"/>
        <v/>
      </c>
      <c r="U1440" s="23" t="str">
        <f t="shared" si="110"/>
        <v/>
      </c>
      <c r="V1440" s="23" t="str">
        <f t="shared" si="111"/>
        <v/>
      </c>
    </row>
    <row r="1441" spans="5:22" x14ac:dyDescent="0.25">
      <c r="E1441" s="21" t="str">
        <f t="shared" si="107"/>
        <v/>
      </c>
      <c r="F1441" s="21"/>
      <c r="G1441" s="21"/>
      <c r="H1441" s="21"/>
      <c r="I1441" s="21"/>
      <c r="J1441" s="21"/>
      <c r="K1441" s="21"/>
      <c r="L1441" s="16" t="str">
        <f t="shared" ca="1" si="108"/>
        <v/>
      </c>
      <c r="M1441" s="22" t="str">
        <f t="shared" ca="1" si="109"/>
        <v/>
      </c>
      <c r="U1441" s="23" t="str">
        <f t="shared" si="110"/>
        <v/>
      </c>
      <c r="V1441" s="23" t="str">
        <f t="shared" si="111"/>
        <v/>
      </c>
    </row>
    <row r="1442" spans="5:22" x14ac:dyDescent="0.25">
      <c r="E1442" s="21" t="str">
        <f t="shared" si="107"/>
        <v/>
      </c>
      <c r="F1442" s="21"/>
      <c r="G1442" s="21"/>
      <c r="H1442" s="21"/>
      <c r="I1442" s="21"/>
      <c r="J1442" s="21"/>
      <c r="K1442" s="21"/>
      <c r="L1442" s="16" t="str">
        <f t="shared" ca="1" si="108"/>
        <v/>
      </c>
      <c r="M1442" s="22" t="str">
        <f t="shared" ca="1" si="109"/>
        <v/>
      </c>
      <c r="U1442" s="23" t="str">
        <f t="shared" si="110"/>
        <v/>
      </c>
      <c r="V1442" s="23" t="str">
        <f t="shared" si="111"/>
        <v/>
      </c>
    </row>
    <row r="1443" spans="5:22" x14ac:dyDescent="0.25">
      <c r="E1443" s="21" t="str">
        <f t="shared" si="107"/>
        <v/>
      </c>
      <c r="F1443" s="21"/>
      <c r="G1443" s="21"/>
      <c r="H1443" s="21"/>
      <c r="I1443" s="21"/>
      <c r="J1443" s="21"/>
      <c r="K1443" s="21"/>
      <c r="L1443" s="16" t="str">
        <f t="shared" ca="1" si="108"/>
        <v/>
      </c>
      <c r="M1443" s="22" t="str">
        <f t="shared" ca="1" si="109"/>
        <v/>
      </c>
      <c r="U1443" s="23" t="str">
        <f t="shared" si="110"/>
        <v/>
      </c>
      <c r="V1443" s="23" t="str">
        <f t="shared" si="111"/>
        <v/>
      </c>
    </row>
    <row r="1444" spans="5:22" x14ac:dyDescent="0.25">
      <c r="E1444" s="21" t="str">
        <f t="shared" si="107"/>
        <v/>
      </c>
      <c r="F1444" s="21"/>
      <c r="G1444" s="21"/>
      <c r="H1444" s="21"/>
      <c r="I1444" s="21"/>
      <c r="J1444" s="21"/>
      <c r="K1444" s="21"/>
      <c r="L1444" s="16" t="str">
        <f t="shared" ca="1" si="108"/>
        <v/>
      </c>
      <c r="M1444" s="22" t="str">
        <f t="shared" ca="1" si="109"/>
        <v/>
      </c>
      <c r="U1444" s="23" t="str">
        <f t="shared" si="110"/>
        <v/>
      </c>
      <c r="V1444" s="23" t="str">
        <f t="shared" si="111"/>
        <v/>
      </c>
    </row>
    <row r="1445" spans="5:22" x14ac:dyDescent="0.25">
      <c r="E1445" s="21" t="str">
        <f t="shared" ref="E1445:E1500" si="112">IF(ISNUMBER(SEARCH("v crs",D1445))=TRUE,"VC",IF(ISNUMBER(SEARCH("crs",D1445))=TRUE,"C",IF(ISNUMBER(SEARCH("med",D1445))=TRUE,"M",IF(ISNUMBER(SEARCH("vf",D1445))=TRUE,"VF",IF(ISNUMBER(SEARCH("f",D1445))=TRUE,"F","")))))</f>
        <v/>
      </c>
      <c r="F1445" s="21"/>
      <c r="G1445" s="21"/>
      <c r="H1445" s="21"/>
      <c r="I1445" s="21"/>
      <c r="J1445" s="21"/>
      <c r="K1445" s="21"/>
      <c r="L1445" s="16" t="str">
        <f t="shared" ca="1" si="108"/>
        <v/>
      </c>
      <c r="M1445" s="22" t="str">
        <f t="shared" ca="1" si="109"/>
        <v/>
      </c>
      <c r="U1445" s="23" t="str">
        <f t="shared" si="110"/>
        <v/>
      </c>
      <c r="V1445" s="23" t="str">
        <f t="shared" si="111"/>
        <v/>
      </c>
    </row>
    <row r="1446" spans="5:22" x14ac:dyDescent="0.25">
      <c r="E1446" s="21" t="str">
        <f t="shared" si="112"/>
        <v/>
      </c>
      <c r="F1446" s="21"/>
      <c r="G1446" s="21"/>
      <c r="H1446" s="21"/>
      <c r="I1446" s="21"/>
      <c r="J1446" s="21"/>
      <c r="K1446" s="21"/>
      <c r="L1446" s="16" t="str">
        <f t="shared" ca="1" si="108"/>
        <v/>
      </c>
      <c r="M1446" s="22" t="str">
        <f t="shared" ca="1" si="109"/>
        <v/>
      </c>
      <c r="U1446" s="23" t="str">
        <f t="shared" si="110"/>
        <v/>
      </c>
      <c r="V1446" s="23" t="str">
        <f t="shared" si="111"/>
        <v/>
      </c>
    </row>
    <row r="1447" spans="5:22" x14ac:dyDescent="0.25">
      <c r="E1447" s="21" t="str">
        <f t="shared" si="112"/>
        <v/>
      </c>
      <c r="F1447" s="21"/>
      <c r="G1447" s="21"/>
      <c r="H1447" s="21"/>
      <c r="I1447" s="21"/>
      <c r="J1447" s="21"/>
      <c r="K1447" s="21"/>
      <c r="L1447" s="16" t="str">
        <f t="shared" ca="1" si="108"/>
        <v/>
      </c>
      <c r="M1447" s="22" t="str">
        <f t="shared" ca="1" si="109"/>
        <v/>
      </c>
      <c r="U1447" s="23" t="str">
        <f t="shared" si="110"/>
        <v/>
      </c>
      <c r="V1447" s="23" t="str">
        <f t="shared" si="111"/>
        <v/>
      </c>
    </row>
    <row r="1448" spans="5:22" x14ac:dyDescent="0.25">
      <c r="E1448" s="21" t="str">
        <f t="shared" si="112"/>
        <v/>
      </c>
      <c r="F1448" s="21"/>
      <c r="G1448" s="21"/>
      <c r="H1448" s="21"/>
      <c r="I1448" s="21"/>
      <c r="J1448" s="21"/>
      <c r="K1448" s="21"/>
      <c r="L1448" s="16" t="str">
        <f t="shared" ca="1" si="108"/>
        <v/>
      </c>
      <c r="M1448" s="22" t="str">
        <f t="shared" ca="1" si="109"/>
        <v/>
      </c>
      <c r="U1448" s="23" t="str">
        <f t="shared" si="110"/>
        <v/>
      </c>
      <c r="V1448" s="23" t="str">
        <f t="shared" si="111"/>
        <v/>
      </c>
    </row>
    <row r="1449" spans="5:22" x14ac:dyDescent="0.25">
      <c r="E1449" s="21" t="str">
        <f t="shared" si="112"/>
        <v/>
      </c>
      <c r="F1449" s="21"/>
      <c r="G1449" s="21"/>
      <c r="H1449" s="21"/>
      <c r="I1449" s="21"/>
      <c r="J1449" s="21"/>
      <c r="K1449" s="21"/>
      <c r="L1449" s="16" t="str">
        <f t="shared" ca="1" si="108"/>
        <v/>
      </c>
      <c r="M1449" s="22" t="str">
        <f t="shared" ca="1" si="109"/>
        <v/>
      </c>
      <c r="U1449" s="23" t="str">
        <f t="shared" si="110"/>
        <v/>
      </c>
      <c r="V1449" s="23" t="str">
        <f t="shared" si="111"/>
        <v/>
      </c>
    </row>
    <row r="1450" spans="5:22" x14ac:dyDescent="0.25">
      <c r="E1450" s="21" t="str">
        <f t="shared" si="112"/>
        <v/>
      </c>
      <c r="F1450" s="21"/>
      <c r="G1450" s="21"/>
      <c r="H1450" s="21"/>
      <c r="I1450" s="21"/>
      <c r="J1450" s="21"/>
      <c r="K1450" s="21"/>
      <c r="L1450" s="16" t="str">
        <f t="shared" ca="1" si="108"/>
        <v/>
      </c>
      <c r="M1450" s="22" t="str">
        <f t="shared" ca="1" si="109"/>
        <v/>
      </c>
      <c r="U1450" s="23" t="str">
        <f t="shared" si="110"/>
        <v/>
      </c>
      <c r="V1450" s="23" t="str">
        <f t="shared" si="111"/>
        <v/>
      </c>
    </row>
    <row r="1451" spans="5:22" x14ac:dyDescent="0.25">
      <c r="E1451" s="21" t="str">
        <f t="shared" si="112"/>
        <v/>
      </c>
      <c r="F1451" s="21"/>
      <c r="G1451" s="21"/>
      <c r="H1451" s="21"/>
      <c r="I1451" s="21"/>
      <c r="J1451" s="21"/>
      <c r="K1451" s="21"/>
      <c r="L1451" s="16" t="str">
        <f t="shared" ca="1" si="108"/>
        <v/>
      </c>
      <c r="M1451" s="22" t="str">
        <f t="shared" ca="1" si="109"/>
        <v/>
      </c>
      <c r="U1451" s="23" t="str">
        <f t="shared" si="110"/>
        <v/>
      </c>
      <c r="V1451" s="23" t="str">
        <f t="shared" si="111"/>
        <v/>
      </c>
    </row>
    <row r="1452" spans="5:22" x14ac:dyDescent="0.25">
      <c r="E1452" s="21" t="str">
        <f t="shared" si="112"/>
        <v/>
      </c>
      <c r="F1452" s="21"/>
      <c r="G1452" s="21"/>
      <c r="H1452" s="21"/>
      <c r="I1452" s="21"/>
      <c r="J1452" s="21"/>
      <c r="K1452" s="21"/>
      <c r="L1452" s="16" t="str">
        <f t="shared" ca="1" si="108"/>
        <v/>
      </c>
      <c r="M1452" s="22" t="str">
        <f t="shared" ca="1" si="109"/>
        <v/>
      </c>
      <c r="U1452" s="23" t="str">
        <f t="shared" si="110"/>
        <v/>
      </c>
      <c r="V1452" s="23" t="str">
        <f t="shared" si="111"/>
        <v/>
      </c>
    </row>
    <row r="1453" spans="5:22" x14ac:dyDescent="0.25">
      <c r="E1453" s="21" t="str">
        <f t="shared" si="112"/>
        <v/>
      </c>
      <c r="F1453" s="21"/>
      <c r="G1453" s="21"/>
      <c r="H1453" s="21"/>
      <c r="I1453" s="21"/>
      <c r="J1453" s="21"/>
      <c r="K1453" s="21"/>
      <c r="L1453" s="16" t="str">
        <f t="shared" ca="1" si="108"/>
        <v/>
      </c>
      <c r="M1453" s="22" t="str">
        <f t="shared" ca="1" si="109"/>
        <v/>
      </c>
      <c r="U1453" s="23" t="str">
        <f t="shared" si="110"/>
        <v/>
      </c>
      <c r="V1453" s="23" t="str">
        <f t="shared" si="111"/>
        <v/>
      </c>
    </row>
    <row r="1454" spans="5:22" x14ac:dyDescent="0.25">
      <c r="E1454" s="21" t="str">
        <f t="shared" si="112"/>
        <v/>
      </c>
      <c r="F1454" s="21"/>
      <c r="G1454" s="21"/>
      <c r="H1454" s="21"/>
      <c r="I1454" s="21"/>
      <c r="J1454" s="21"/>
      <c r="K1454" s="21"/>
      <c r="L1454" s="16" t="str">
        <f t="shared" ca="1" si="108"/>
        <v/>
      </c>
      <c r="M1454" s="22" t="str">
        <f t="shared" ca="1" si="109"/>
        <v/>
      </c>
      <c r="U1454" s="23" t="str">
        <f t="shared" si="110"/>
        <v/>
      </c>
      <c r="V1454" s="23" t="str">
        <f t="shared" si="111"/>
        <v/>
      </c>
    </row>
    <row r="1455" spans="5:22" x14ac:dyDescent="0.25">
      <c r="E1455" s="21" t="str">
        <f t="shared" si="112"/>
        <v/>
      </c>
      <c r="F1455" s="21"/>
      <c r="G1455" s="21"/>
      <c r="H1455" s="21"/>
      <c r="I1455" s="21"/>
      <c r="J1455" s="21"/>
      <c r="K1455" s="21"/>
      <c r="L1455" s="16" t="str">
        <f t="shared" ca="1" si="108"/>
        <v/>
      </c>
      <c r="M1455" s="22" t="str">
        <f t="shared" ca="1" si="109"/>
        <v/>
      </c>
      <c r="U1455" s="23" t="str">
        <f t="shared" si="110"/>
        <v/>
      </c>
      <c r="V1455" s="23" t="str">
        <f t="shared" si="111"/>
        <v/>
      </c>
    </row>
    <row r="1456" spans="5:22" x14ac:dyDescent="0.25">
      <c r="E1456" s="21" t="str">
        <f t="shared" si="112"/>
        <v/>
      </c>
      <c r="F1456" s="21"/>
      <c r="G1456" s="21"/>
      <c r="H1456" s="21"/>
      <c r="I1456" s="21"/>
      <c r="J1456" s="21"/>
      <c r="K1456" s="21"/>
      <c r="L1456" s="16" t="str">
        <f t="shared" ca="1" si="108"/>
        <v/>
      </c>
      <c r="M1456" s="22" t="str">
        <f t="shared" ca="1" si="109"/>
        <v/>
      </c>
      <c r="U1456" s="23" t="str">
        <f t="shared" si="110"/>
        <v/>
      </c>
      <c r="V1456" s="23" t="str">
        <f t="shared" si="111"/>
        <v/>
      </c>
    </row>
    <row r="1457" spans="5:22" x14ac:dyDescent="0.25">
      <c r="E1457" s="21" t="str">
        <f t="shared" si="112"/>
        <v/>
      </c>
      <c r="F1457" s="21"/>
      <c r="G1457" s="21"/>
      <c r="H1457" s="21"/>
      <c r="I1457" s="21"/>
      <c r="J1457" s="21"/>
      <c r="K1457" s="21"/>
      <c r="L1457" s="16" t="str">
        <f t="shared" ca="1" si="108"/>
        <v/>
      </c>
      <c r="M1457" s="22" t="str">
        <f t="shared" ca="1" si="109"/>
        <v/>
      </c>
      <c r="U1457" s="23" t="str">
        <f t="shared" si="110"/>
        <v/>
      </c>
      <c r="V1457" s="23" t="str">
        <f t="shared" si="111"/>
        <v/>
      </c>
    </row>
    <row r="1458" spans="5:22" x14ac:dyDescent="0.25">
      <c r="E1458" s="21" t="str">
        <f t="shared" si="112"/>
        <v/>
      </c>
      <c r="F1458" s="21"/>
      <c r="G1458" s="21"/>
      <c r="H1458" s="21"/>
      <c r="I1458" s="21"/>
      <c r="J1458" s="21"/>
      <c r="K1458" s="21"/>
      <c r="L1458" s="16" t="str">
        <f t="shared" ca="1" si="108"/>
        <v/>
      </c>
      <c r="M1458" s="22" t="str">
        <f t="shared" ca="1" si="109"/>
        <v/>
      </c>
      <c r="U1458" s="23" t="str">
        <f t="shared" si="110"/>
        <v/>
      </c>
      <c r="V1458" s="23" t="str">
        <f t="shared" si="111"/>
        <v/>
      </c>
    </row>
    <row r="1459" spans="5:22" x14ac:dyDescent="0.25">
      <c r="E1459" s="21" t="str">
        <f t="shared" si="112"/>
        <v/>
      </c>
      <c r="F1459" s="21"/>
      <c r="G1459" s="21"/>
      <c r="H1459" s="21"/>
      <c r="I1459" s="21"/>
      <c r="J1459" s="21"/>
      <c r="K1459" s="21"/>
      <c r="L1459" s="16" t="str">
        <f t="shared" ca="1" si="108"/>
        <v/>
      </c>
      <c r="M1459" s="22" t="str">
        <f t="shared" ca="1" si="109"/>
        <v/>
      </c>
      <c r="U1459" s="23" t="str">
        <f t="shared" si="110"/>
        <v/>
      </c>
      <c r="V1459" s="23" t="str">
        <f t="shared" si="111"/>
        <v/>
      </c>
    </row>
    <row r="1460" spans="5:22" x14ac:dyDescent="0.25">
      <c r="E1460" s="21" t="str">
        <f t="shared" si="112"/>
        <v/>
      </c>
      <c r="F1460" s="21"/>
      <c r="G1460" s="21"/>
      <c r="H1460" s="21"/>
      <c r="I1460" s="21"/>
      <c r="J1460" s="21"/>
      <c r="K1460" s="21"/>
      <c r="L1460" s="16" t="str">
        <f t="shared" ca="1" si="108"/>
        <v/>
      </c>
      <c r="M1460" s="22" t="str">
        <f t="shared" ca="1" si="109"/>
        <v/>
      </c>
      <c r="U1460" s="23" t="str">
        <f t="shared" si="110"/>
        <v/>
      </c>
      <c r="V1460" s="23" t="str">
        <f t="shared" si="111"/>
        <v/>
      </c>
    </row>
    <row r="1461" spans="5:22" x14ac:dyDescent="0.25">
      <c r="E1461" s="21" t="str">
        <f t="shared" si="112"/>
        <v/>
      </c>
      <c r="F1461" s="21"/>
      <c r="G1461" s="21"/>
      <c r="H1461" s="21"/>
      <c r="I1461" s="21"/>
      <c r="J1461" s="21"/>
      <c r="K1461" s="21"/>
      <c r="L1461" s="16" t="str">
        <f t="shared" ca="1" si="108"/>
        <v/>
      </c>
      <c r="M1461" s="22" t="str">
        <f t="shared" ca="1" si="109"/>
        <v/>
      </c>
      <c r="U1461" s="23" t="str">
        <f t="shared" si="110"/>
        <v/>
      </c>
      <c r="V1461" s="23" t="str">
        <f t="shared" si="111"/>
        <v/>
      </c>
    </row>
    <row r="1462" spans="5:22" x14ac:dyDescent="0.25">
      <c r="E1462" s="21" t="str">
        <f t="shared" si="112"/>
        <v/>
      </c>
      <c r="F1462" s="21"/>
      <c r="G1462" s="21"/>
      <c r="H1462" s="21"/>
      <c r="I1462" s="21"/>
      <c r="J1462" s="21"/>
      <c r="K1462" s="21"/>
      <c r="L1462" s="16" t="str">
        <f t="shared" ca="1" si="108"/>
        <v/>
      </c>
      <c r="M1462" s="22" t="str">
        <f t="shared" ca="1" si="109"/>
        <v/>
      </c>
      <c r="U1462" s="23" t="str">
        <f t="shared" si="110"/>
        <v/>
      </c>
      <c r="V1462" s="23" t="str">
        <f t="shared" si="111"/>
        <v/>
      </c>
    </row>
    <row r="1463" spans="5:22" x14ac:dyDescent="0.25">
      <c r="E1463" s="21" t="str">
        <f t="shared" si="112"/>
        <v/>
      </c>
      <c r="F1463" s="21"/>
      <c r="G1463" s="21"/>
      <c r="H1463" s="21"/>
      <c r="I1463" s="21"/>
      <c r="J1463" s="21"/>
      <c r="K1463" s="21"/>
      <c r="L1463" s="16" t="str">
        <f t="shared" ca="1" si="108"/>
        <v/>
      </c>
      <c r="M1463" s="22" t="str">
        <f t="shared" ca="1" si="109"/>
        <v/>
      </c>
      <c r="U1463" s="23" t="str">
        <f t="shared" si="110"/>
        <v/>
      </c>
      <c r="V1463" s="23" t="str">
        <f t="shared" si="111"/>
        <v/>
      </c>
    </row>
    <row r="1464" spans="5:22" x14ac:dyDescent="0.25">
      <c r="E1464" s="21" t="str">
        <f t="shared" si="112"/>
        <v/>
      </c>
      <c r="F1464" s="21"/>
      <c r="G1464" s="21"/>
      <c r="H1464" s="21"/>
      <c r="I1464" s="21"/>
      <c r="J1464" s="21"/>
      <c r="K1464" s="21"/>
      <c r="L1464" s="16" t="str">
        <f t="shared" ca="1" si="108"/>
        <v/>
      </c>
      <c r="M1464" s="22" t="str">
        <f t="shared" ca="1" si="109"/>
        <v/>
      </c>
      <c r="U1464" s="23" t="str">
        <f t="shared" si="110"/>
        <v/>
      </c>
      <c r="V1464" s="23" t="str">
        <f t="shared" si="111"/>
        <v/>
      </c>
    </row>
    <row r="1465" spans="5:22" x14ac:dyDescent="0.25">
      <c r="E1465" s="21" t="str">
        <f t="shared" si="112"/>
        <v/>
      </c>
      <c r="F1465" s="21"/>
      <c r="G1465" s="21"/>
      <c r="H1465" s="21"/>
      <c r="I1465" s="21"/>
      <c r="J1465" s="21"/>
      <c r="K1465" s="21"/>
      <c r="L1465" s="16" t="str">
        <f t="shared" ca="1" si="108"/>
        <v/>
      </c>
      <c r="M1465" s="22" t="str">
        <f t="shared" ca="1" si="109"/>
        <v/>
      </c>
      <c r="U1465" s="23" t="str">
        <f t="shared" si="110"/>
        <v/>
      </c>
      <c r="V1465" s="23" t="str">
        <f t="shared" si="111"/>
        <v/>
      </c>
    </row>
    <row r="1466" spans="5:22" x14ac:dyDescent="0.25">
      <c r="E1466" s="21" t="str">
        <f t="shared" si="112"/>
        <v/>
      </c>
      <c r="F1466" s="21"/>
      <c r="G1466" s="21"/>
      <c r="H1466" s="21"/>
      <c r="I1466" s="21"/>
      <c r="J1466" s="21"/>
      <c r="K1466" s="21"/>
      <c r="L1466" s="16" t="str">
        <f t="shared" ca="1" si="108"/>
        <v/>
      </c>
      <c r="M1466" s="22" t="str">
        <f t="shared" ca="1" si="109"/>
        <v/>
      </c>
      <c r="U1466" s="23" t="str">
        <f t="shared" si="110"/>
        <v/>
      </c>
      <c r="V1466" s="23" t="str">
        <f t="shared" si="111"/>
        <v/>
      </c>
    </row>
    <row r="1467" spans="5:22" x14ac:dyDescent="0.25">
      <c r="E1467" s="21" t="str">
        <f t="shared" si="112"/>
        <v/>
      </c>
      <c r="F1467" s="21"/>
      <c r="G1467" s="21"/>
      <c r="H1467" s="21"/>
      <c r="I1467" s="21"/>
      <c r="J1467" s="21"/>
      <c r="K1467" s="21"/>
      <c r="L1467" s="16" t="str">
        <f t="shared" ca="1" si="108"/>
        <v/>
      </c>
      <c r="M1467" s="22" t="str">
        <f t="shared" ca="1" si="109"/>
        <v/>
      </c>
      <c r="U1467" s="23" t="str">
        <f t="shared" si="110"/>
        <v/>
      </c>
      <c r="V1467" s="23" t="str">
        <f t="shared" si="111"/>
        <v/>
      </c>
    </row>
    <row r="1468" spans="5:22" x14ac:dyDescent="0.25">
      <c r="E1468" s="21" t="str">
        <f t="shared" si="112"/>
        <v/>
      </c>
      <c r="F1468" s="21"/>
      <c r="G1468" s="21"/>
      <c r="H1468" s="21"/>
      <c r="I1468" s="21"/>
      <c r="J1468" s="21"/>
      <c r="K1468" s="21"/>
      <c r="L1468" s="16" t="str">
        <f t="shared" ca="1" si="108"/>
        <v/>
      </c>
      <c r="M1468" s="22" t="str">
        <f t="shared" ca="1" si="109"/>
        <v/>
      </c>
      <c r="U1468" s="23" t="str">
        <f t="shared" si="110"/>
        <v/>
      </c>
      <c r="V1468" s="23" t="str">
        <f t="shared" si="111"/>
        <v/>
      </c>
    </row>
    <row r="1469" spans="5:22" x14ac:dyDescent="0.25">
      <c r="E1469" s="21" t="str">
        <f t="shared" si="112"/>
        <v/>
      </c>
      <c r="F1469" s="21"/>
      <c r="G1469" s="21"/>
      <c r="H1469" s="21"/>
      <c r="I1469" s="21"/>
      <c r="J1469" s="21"/>
      <c r="K1469" s="21"/>
      <c r="L1469" s="16" t="str">
        <f t="shared" ref="L1469:L1500" ca="1" si="113">IF(AND(C1469&lt;&gt;"",C1469&lt;&gt;U1469),TODAY(),IF(C1469="","",L1469))</f>
        <v/>
      </c>
      <c r="M1469" s="22" t="str">
        <f t="shared" ref="M1469:M1500" ca="1" si="114">IF(AND(C1469&lt;&gt;"",C1469&lt;&gt;V1469),NOW(),IF(C1469="","",M1469))</f>
        <v/>
      </c>
      <c r="U1469" s="23" t="str">
        <f t="shared" si="110"/>
        <v/>
      </c>
      <c r="V1469" s="23" t="str">
        <f t="shared" si="111"/>
        <v/>
      </c>
    </row>
    <row r="1470" spans="5:22" x14ac:dyDescent="0.25">
      <c r="E1470" s="21" t="str">
        <f t="shared" si="112"/>
        <v/>
      </c>
      <c r="F1470" s="21"/>
      <c r="G1470" s="21"/>
      <c r="H1470" s="21"/>
      <c r="I1470" s="21"/>
      <c r="J1470" s="21"/>
      <c r="K1470" s="21"/>
      <c r="L1470" s="16" t="str">
        <f t="shared" ca="1" si="113"/>
        <v/>
      </c>
      <c r="M1470" s="22" t="str">
        <f t="shared" ca="1" si="114"/>
        <v/>
      </c>
      <c r="U1470" s="23" t="str">
        <f t="shared" si="110"/>
        <v/>
      </c>
      <c r="V1470" s="23" t="str">
        <f t="shared" si="111"/>
        <v/>
      </c>
    </row>
    <row r="1471" spans="5:22" x14ac:dyDescent="0.25">
      <c r="E1471" s="21" t="str">
        <f t="shared" si="112"/>
        <v/>
      </c>
      <c r="F1471" s="21"/>
      <c r="G1471" s="21"/>
      <c r="H1471" s="21"/>
      <c r="I1471" s="21"/>
      <c r="J1471" s="21"/>
      <c r="K1471" s="21"/>
      <c r="L1471" s="16" t="str">
        <f t="shared" ca="1" si="113"/>
        <v/>
      </c>
      <c r="M1471" s="22" t="str">
        <f t="shared" ca="1" si="114"/>
        <v/>
      </c>
      <c r="U1471" s="23" t="str">
        <f t="shared" si="110"/>
        <v/>
      </c>
      <c r="V1471" s="23" t="str">
        <f t="shared" si="111"/>
        <v/>
      </c>
    </row>
    <row r="1472" spans="5:22" x14ac:dyDescent="0.25">
      <c r="E1472" s="21" t="str">
        <f t="shared" si="112"/>
        <v/>
      </c>
      <c r="F1472" s="21"/>
      <c r="G1472" s="21"/>
      <c r="H1472" s="21"/>
      <c r="I1472" s="21"/>
      <c r="J1472" s="21"/>
      <c r="K1472" s="21"/>
      <c r="L1472" s="16" t="str">
        <f t="shared" ca="1" si="113"/>
        <v/>
      </c>
      <c r="M1472" s="22" t="str">
        <f t="shared" ca="1" si="114"/>
        <v/>
      </c>
      <c r="U1472" s="23" t="str">
        <f t="shared" si="110"/>
        <v/>
      </c>
      <c r="V1472" s="23" t="str">
        <f t="shared" si="111"/>
        <v/>
      </c>
    </row>
    <row r="1473" spans="5:22" x14ac:dyDescent="0.25">
      <c r="E1473" s="21" t="str">
        <f t="shared" si="112"/>
        <v/>
      </c>
      <c r="F1473" s="21"/>
      <c r="G1473" s="21"/>
      <c r="H1473" s="21"/>
      <c r="I1473" s="21"/>
      <c r="J1473" s="21"/>
      <c r="K1473" s="21"/>
      <c r="L1473" s="16" t="str">
        <f t="shared" ca="1" si="113"/>
        <v/>
      </c>
      <c r="M1473" s="22" t="str">
        <f t="shared" ca="1" si="114"/>
        <v/>
      </c>
      <c r="U1473" s="23" t="str">
        <f t="shared" si="110"/>
        <v/>
      </c>
      <c r="V1473" s="23" t="str">
        <f t="shared" si="111"/>
        <v/>
      </c>
    </row>
    <row r="1474" spans="5:22" x14ac:dyDescent="0.25">
      <c r="E1474" s="21" t="str">
        <f t="shared" si="112"/>
        <v/>
      </c>
      <c r="F1474" s="21"/>
      <c r="G1474" s="21"/>
      <c r="H1474" s="21"/>
      <c r="I1474" s="21"/>
      <c r="J1474" s="21"/>
      <c r="K1474" s="21"/>
      <c r="L1474" s="16" t="str">
        <f t="shared" ca="1" si="113"/>
        <v/>
      </c>
      <c r="M1474" s="22" t="str">
        <f t="shared" ca="1" si="114"/>
        <v/>
      </c>
      <c r="U1474" s="23" t="str">
        <f t="shared" si="110"/>
        <v/>
      </c>
      <c r="V1474" s="23" t="str">
        <f t="shared" si="111"/>
        <v/>
      </c>
    </row>
    <row r="1475" spans="5:22" x14ac:dyDescent="0.25">
      <c r="E1475" s="21" t="str">
        <f t="shared" si="112"/>
        <v/>
      </c>
      <c r="F1475" s="21"/>
      <c r="G1475" s="21"/>
      <c r="H1475" s="21"/>
      <c r="I1475" s="21"/>
      <c r="J1475" s="21"/>
      <c r="K1475" s="21"/>
      <c r="L1475" s="16" t="str">
        <f t="shared" ca="1" si="113"/>
        <v/>
      </c>
      <c r="M1475" s="22" t="str">
        <f t="shared" ca="1" si="114"/>
        <v/>
      </c>
      <c r="U1475" s="23" t="str">
        <f t="shared" si="110"/>
        <v/>
      </c>
      <c r="V1475" s="23" t="str">
        <f t="shared" si="111"/>
        <v/>
      </c>
    </row>
    <row r="1476" spans="5:22" x14ac:dyDescent="0.25">
      <c r="E1476" s="21" t="str">
        <f t="shared" si="112"/>
        <v/>
      </c>
      <c r="F1476" s="21"/>
      <c r="G1476" s="21"/>
      <c r="H1476" s="21"/>
      <c r="I1476" s="21"/>
      <c r="J1476" s="21"/>
      <c r="K1476" s="21"/>
      <c r="L1476" s="16" t="str">
        <f t="shared" ca="1" si="113"/>
        <v/>
      </c>
      <c r="M1476" s="22" t="str">
        <f t="shared" ca="1" si="114"/>
        <v/>
      </c>
      <c r="U1476" s="23" t="str">
        <f t="shared" ref="U1476:U1500" si="115">IF(C1476="","",IF(OR(L1476="",AND(ISNUMBER(U1476),C1476=U1476)),U1476,C1476))</f>
        <v/>
      </c>
      <c r="V1476" s="23" t="str">
        <f t="shared" ref="V1476:V1500" si="116">IF(C1476="","",IF(OR(M1476="",AND(ISNUMBER(V1476),C1476=V1476)),V1476,C1476))</f>
        <v/>
      </c>
    </row>
    <row r="1477" spans="5:22" x14ac:dyDescent="0.25">
      <c r="E1477" s="21" t="str">
        <f t="shared" si="112"/>
        <v/>
      </c>
      <c r="F1477" s="21"/>
      <c r="G1477" s="21"/>
      <c r="H1477" s="21"/>
      <c r="I1477" s="21"/>
      <c r="J1477" s="21"/>
      <c r="K1477" s="21"/>
      <c r="L1477" s="16" t="str">
        <f t="shared" ca="1" si="113"/>
        <v/>
      </c>
      <c r="M1477" s="22" t="str">
        <f t="shared" ca="1" si="114"/>
        <v/>
      </c>
      <c r="U1477" s="23" t="str">
        <f t="shared" si="115"/>
        <v/>
      </c>
      <c r="V1477" s="23" t="str">
        <f t="shared" si="116"/>
        <v/>
      </c>
    </row>
    <row r="1478" spans="5:22" x14ac:dyDescent="0.25">
      <c r="E1478" s="21" t="str">
        <f t="shared" si="112"/>
        <v/>
      </c>
      <c r="F1478" s="21"/>
      <c r="G1478" s="21"/>
      <c r="H1478" s="21"/>
      <c r="I1478" s="21"/>
      <c r="J1478" s="21"/>
      <c r="K1478" s="21"/>
      <c r="L1478" s="16" t="str">
        <f t="shared" ca="1" si="113"/>
        <v/>
      </c>
      <c r="M1478" s="22" t="str">
        <f t="shared" ca="1" si="114"/>
        <v/>
      </c>
      <c r="U1478" s="23" t="str">
        <f t="shared" si="115"/>
        <v/>
      </c>
      <c r="V1478" s="23" t="str">
        <f t="shared" si="116"/>
        <v/>
      </c>
    </row>
    <row r="1479" spans="5:22" x14ac:dyDescent="0.25">
      <c r="E1479" s="21" t="str">
        <f t="shared" si="112"/>
        <v/>
      </c>
      <c r="F1479" s="21"/>
      <c r="G1479" s="21"/>
      <c r="H1479" s="21"/>
      <c r="I1479" s="21"/>
      <c r="J1479" s="21"/>
      <c r="K1479" s="21"/>
      <c r="L1479" s="16" t="str">
        <f t="shared" ca="1" si="113"/>
        <v/>
      </c>
      <c r="M1479" s="22" t="str">
        <f t="shared" ca="1" si="114"/>
        <v/>
      </c>
      <c r="U1479" s="23" t="str">
        <f t="shared" si="115"/>
        <v/>
      </c>
      <c r="V1479" s="23" t="str">
        <f t="shared" si="116"/>
        <v/>
      </c>
    </row>
    <row r="1480" spans="5:22" x14ac:dyDescent="0.25">
      <c r="E1480" s="21" t="str">
        <f t="shared" si="112"/>
        <v/>
      </c>
      <c r="F1480" s="21"/>
      <c r="G1480" s="21"/>
      <c r="H1480" s="21"/>
      <c r="I1480" s="21"/>
      <c r="J1480" s="21"/>
      <c r="K1480" s="21"/>
      <c r="L1480" s="16" t="str">
        <f t="shared" ca="1" si="113"/>
        <v/>
      </c>
      <c r="M1480" s="22" t="str">
        <f t="shared" ca="1" si="114"/>
        <v/>
      </c>
      <c r="U1480" s="23" t="str">
        <f t="shared" si="115"/>
        <v/>
      </c>
      <c r="V1480" s="23" t="str">
        <f t="shared" si="116"/>
        <v/>
      </c>
    </row>
    <row r="1481" spans="5:22" x14ac:dyDescent="0.25">
      <c r="E1481" s="21" t="str">
        <f t="shared" si="112"/>
        <v/>
      </c>
      <c r="F1481" s="21"/>
      <c r="G1481" s="21"/>
      <c r="H1481" s="21"/>
      <c r="I1481" s="21"/>
      <c r="J1481" s="21"/>
      <c r="K1481" s="21"/>
      <c r="L1481" s="16" t="str">
        <f t="shared" ca="1" si="113"/>
        <v/>
      </c>
      <c r="M1481" s="22" t="str">
        <f t="shared" ca="1" si="114"/>
        <v/>
      </c>
      <c r="U1481" s="23" t="str">
        <f t="shared" si="115"/>
        <v/>
      </c>
      <c r="V1481" s="23" t="str">
        <f t="shared" si="116"/>
        <v/>
      </c>
    </row>
    <row r="1482" spans="5:22" x14ac:dyDescent="0.25">
      <c r="E1482" s="21" t="str">
        <f t="shared" si="112"/>
        <v/>
      </c>
      <c r="F1482" s="21"/>
      <c r="G1482" s="21"/>
      <c r="H1482" s="21"/>
      <c r="I1482" s="21"/>
      <c r="J1482" s="21"/>
      <c r="K1482" s="21"/>
      <c r="L1482" s="16" t="str">
        <f t="shared" ca="1" si="113"/>
        <v/>
      </c>
      <c r="M1482" s="22" t="str">
        <f t="shared" ca="1" si="114"/>
        <v/>
      </c>
      <c r="U1482" s="23" t="str">
        <f t="shared" si="115"/>
        <v/>
      </c>
      <c r="V1482" s="23" t="str">
        <f t="shared" si="116"/>
        <v/>
      </c>
    </row>
    <row r="1483" spans="5:22" x14ac:dyDescent="0.25">
      <c r="E1483" s="21" t="str">
        <f t="shared" si="112"/>
        <v/>
      </c>
      <c r="F1483" s="21"/>
      <c r="G1483" s="21"/>
      <c r="H1483" s="21"/>
      <c r="I1483" s="21"/>
      <c r="J1483" s="21"/>
      <c r="K1483" s="21"/>
      <c r="L1483" s="16" t="str">
        <f t="shared" ca="1" si="113"/>
        <v/>
      </c>
      <c r="M1483" s="22" t="str">
        <f t="shared" ca="1" si="114"/>
        <v/>
      </c>
      <c r="U1483" s="23" t="str">
        <f t="shared" si="115"/>
        <v/>
      </c>
      <c r="V1483" s="23" t="str">
        <f t="shared" si="116"/>
        <v/>
      </c>
    </row>
    <row r="1484" spans="5:22" x14ac:dyDescent="0.25">
      <c r="E1484" s="21" t="str">
        <f t="shared" si="112"/>
        <v/>
      </c>
      <c r="F1484" s="21"/>
      <c r="G1484" s="21"/>
      <c r="H1484" s="21"/>
      <c r="I1484" s="21"/>
      <c r="J1484" s="21"/>
      <c r="K1484" s="21"/>
      <c r="L1484" s="16" t="str">
        <f t="shared" ca="1" si="113"/>
        <v/>
      </c>
      <c r="M1484" s="22" t="str">
        <f t="shared" ca="1" si="114"/>
        <v/>
      </c>
      <c r="U1484" s="23" t="str">
        <f t="shared" si="115"/>
        <v/>
      </c>
      <c r="V1484" s="23" t="str">
        <f t="shared" si="116"/>
        <v/>
      </c>
    </row>
    <row r="1485" spans="5:22" x14ac:dyDescent="0.25">
      <c r="E1485" s="21" t="str">
        <f t="shared" si="112"/>
        <v/>
      </c>
      <c r="F1485" s="21"/>
      <c r="G1485" s="21"/>
      <c r="H1485" s="21"/>
      <c r="I1485" s="21"/>
      <c r="J1485" s="21"/>
      <c r="K1485" s="21"/>
      <c r="L1485" s="16" t="str">
        <f t="shared" ca="1" si="113"/>
        <v/>
      </c>
      <c r="M1485" s="22" t="str">
        <f t="shared" ca="1" si="114"/>
        <v/>
      </c>
      <c r="U1485" s="23" t="str">
        <f t="shared" si="115"/>
        <v/>
      </c>
      <c r="V1485" s="23" t="str">
        <f t="shared" si="116"/>
        <v/>
      </c>
    </row>
    <row r="1486" spans="5:22" x14ac:dyDescent="0.25">
      <c r="E1486" s="21" t="str">
        <f t="shared" si="112"/>
        <v/>
      </c>
      <c r="F1486" s="21"/>
      <c r="G1486" s="21"/>
      <c r="H1486" s="21"/>
      <c r="I1486" s="21"/>
      <c r="J1486" s="21"/>
      <c r="K1486" s="21"/>
      <c r="L1486" s="16" t="str">
        <f t="shared" ca="1" si="113"/>
        <v/>
      </c>
      <c r="M1486" s="22" t="str">
        <f t="shared" ca="1" si="114"/>
        <v/>
      </c>
      <c r="U1486" s="23" t="str">
        <f t="shared" si="115"/>
        <v/>
      </c>
      <c r="V1486" s="23" t="str">
        <f t="shared" si="116"/>
        <v/>
      </c>
    </row>
    <row r="1487" spans="5:22" x14ac:dyDescent="0.25">
      <c r="E1487" s="21" t="str">
        <f t="shared" si="112"/>
        <v/>
      </c>
      <c r="F1487" s="21"/>
      <c r="G1487" s="21"/>
      <c r="H1487" s="21"/>
      <c r="I1487" s="21"/>
      <c r="J1487" s="21"/>
      <c r="K1487" s="21"/>
      <c r="L1487" s="16" t="str">
        <f t="shared" ca="1" si="113"/>
        <v/>
      </c>
      <c r="M1487" s="22" t="str">
        <f t="shared" ca="1" si="114"/>
        <v/>
      </c>
      <c r="U1487" s="23" t="str">
        <f t="shared" si="115"/>
        <v/>
      </c>
      <c r="V1487" s="23" t="str">
        <f t="shared" si="116"/>
        <v/>
      </c>
    </row>
    <row r="1488" spans="5:22" x14ac:dyDescent="0.25">
      <c r="E1488" s="21" t="str">
        <f t="shared" si="112"/>
        <v/>
      </c>
      <c r="F1488" s="21"/>
      <c r="G1488" s="21"/>
      <c r="H1488" s="21"/>
      <c r="I1488" s="21"/>
      <c r="J1488" s="21"/>
      <c r="K1488" s="21"/>
      <c r="L1488" s="16" t="str">
        <f t="shared" ca="1" si="113"/>
        <v/>
      </c>
      <c r="M1488" s="22" t="str">
        <f t="shared" ca="1" si="114"/>
        <v/>
      </c>
      <c r="U1488" s="23" t="str">
        <f t="shared" si="115"/>
        <v/>
      </c>
      <c r="V1488" s="23" t="str">
        <f t="shared" si="116"/>
        <v/>
      </c>
    </row>
    <row r="1489" spans="5:22" x14ac:dyDescent="0.25">
      <c r="E1489" s="21" t="str">
        <f t="shared" si="112"/>
        <v/>
      </c>
      <c r="F1489" s="21"/>
      <c r="G1489" s="21"/>
      <c r="H1489" s="21"/>
      <c r="I1489" s="21"/>
      <c r="J1489" s="21"/>
      <c r="K1489" s="21"/>
      <c r="L1489" s="16" t="str">
        <f t="shared" ca="1" si="113"/>
        <v/>
      </c>
      <c r="M1489" s="22" t="str">
        <f t="shared" ca="1" si="114"/>
        <v/>
      </c>
      <c r="U1489" s="23" t="str">
        <f t="shared" si="115"/>
        <v/>
      </c>
      <c r="V1489" s="23" t="str">
        <f t="shared" si="116"/>
        <v/>
      </c>
    </row>
    <row r="1490" spans="5:22" x14ac:dyDescent="0.25">
      <c r="E1490" s="21" t="str">
        <f t="shared" si="112"/>
        <v/>
      </c>
      <c r="F1490" s="21"/>
      <c r="G1490" s="21"/>
      <c r="H1490" s="21"/>
      <c r="I1490" s="21"/>
      <c r="J1490" s="21"/>
      <c r="K1490" s="21"/>
      <c r="L1490" s="16" t="str">
        <f t="shared" ca="1" si="113"/>
        <v/>
      </c>
      <c r="M1490" s="22" t="str">
        <f t="shared" ca="1" si="114"/>
        <v/>
      </c>
      <c r="U1490" s="23" t="str">
        <f t="shared" si="115"/>
        <v/>
      </c>
      <c r="V1490" s="23" t="str">
        <f t="shared" si="116"/>
        <v/>
      </c>
    </row>
    <row r="1491" spans="5:22" x14ac:dyDescent="0.25">
      <c r="E1491" s="21" t="str">
        <f t="shared" si="112"/>
        <v/>
      </c>
      <c r="F1491" s="21"/>
      <c r="G1491" s="21"/>
      <c r="H1491" s="21"/>
      <c r="I1491" s="21"/>
      <c r="J1491" s="21"/>
      <c r="K1491" s="21"/>
      <c r="L1491" s="16" t="str">
        <f t="shared" ca="1" si="113"/>
        <v/>
      </c>
      <c r="M1491" s="22" t="str">
        <f t="shared" ca="1" si="114"/>
        <v/>
      </c>
      <c r="U1491" s="23" t="str">
        <f t="shared" si="115"/>
        <v/>
      </c>
      <c r="V1491" s="23" t="str">
        <f t="shared" si="116"/>
        <v/>
      </c>
    </row>
    <row r="1492" spans="5:22" x14ac:dyDescent="0.25">
      <c r="E1492" s="21" t="str">
        <f t="shared" si="112"/>
        <v/>
      </c>
      <c r="F1492" s="21"/>
      <c r="G1492" s="21"/>
      <c r="H1492" s="21"/>
      <c r="I1492" s="21"/>
      <c r="J1492" s="21"/>
      <c r="K1492" s="21"/>
      <c r="L1492" s="16" t="str">
        <f t="shared" ca="1" si="113"/>
        <v/>
      </c>
      <c r="M1492" s="22" t="str">
        <f t="shared" ca="1" si="114"/>
        <v/>
      </c>
      <c r="U1492" s="23" t="str">
        <f t="shared" si="115"/>
        <v/>
      </c>
      <c r="V1492" s="23" t="str">
        <f t="shared" si="116"/>
        <v/>
      </c>
    </row>
    <row r="1493" spans="5:22" x14ac:dyDescent="0.25">
      <c r="E1493" s="21" t="str">
        <f t="shared" si="112"/>
        <v/>
      </c>
      <c r="F1493" s="21"/>
      <c r="G1493" s="21"/>
      <c r="H1493" s="21"/>
      <c r="I1493" s="21"/>
      <c r="J1493" s="21"/>
      <c r="K1493" s="21"/>
      <c r="L1493" s="16" t="str">
        <f t="shared" ca="1" si="113"/>
        <v/>
      </c>
      <c r="M1493" s="22" t="str">
        <f t="shared" ca="1" si="114"/>
        <v/>
      </c>
      <c r="U1493" s="23" t="str">
        <f t="shared" si="115"/>
        <v/>
      </c>
      <c r="V1493" s="23" t="str">
        <f t="shared" si="116"/>
        <v/>
      </c>
    </row>
    <row r="1494" spans="5:22" x14ac:dyDescent="0.25">
      <c r="E1494" s="21" t="str">
        <f t="shared" si="112"/>
        <v/>
      </c>
      <c r="F1494" s="21"/>
      <c r="G1494" s="21"/>
      <c r="H1494" s="21"/>
      <c r="I1494" s="21"/>
      <c r="J1494" s="21"/>
      <c r="K1494" s="21"/>
      <c r="L1494" s="16" t="str">
        <f t="shared" ca="1" si="113"/>
        <v/>
      </c>
      <c r="M1494" s="22" t="str">
        <f t="shared" ca="1" si="114"/>
        <v/>
      </c>
      <c r="U1494" s="23" t="str">
        <f t="shared" si="115"/>
        <v/>
      </c>
      <c r="V1494" s="23" t="str">
        <f t="shared" si="116"/>
        <v/>
      </c>
    </row>
    <row r="1495" spans="5:22" x14ac:dyDescent="0.25">
      <c r="E1495" s="21" t="str">
        <f t="shared" si="112"/>
        <v/>
      </c>
      <c r="F1495" s="21"/>
      <c r="G1495" s="21"/>
      <c r="H1495" s="21"/>
      <c r="I1495" s="21"/>
      <c r="J1495" s="21"/>
      <c r="K1495" s="21"/>
      <c r="L1495" s="16" t="str">
        <f t="shared" ca="1" si="113"/>
        <v/>
      </c>
      <c r="M1495" s="22" t="str">
        <f t="shared" ca="1" si="114"/>
        <v/>
      </c>
      <c r="U1495" s="23" t="str">
        <f t="shared" si="115"/>
        <v/>
      </c>
      <c r="V1495" s="23" t="str">
        <f t="shared" si="116"/>
        <v/>
      </c>
    </row>
    <row r="1496" spans="5:22" x14ac:dyDescent="0.25">
      <c r="E1496" s="21" t="str">
        <f t="shared" si="112"/>
        <v/>
      </c>
      <c r="F1496" s="21"/>
      <c r="G1496" s="21"/>
      <c r="H1496" s="21"/>
      <c r="I1496" s="21"/>
      <c r="J1496" s="21"/>
      <c r="K1496" s="21"/>
      <c r="L1496" s="16" t="str">
        <f t="shared" ca="1" si="113"/>
        <v/>
      </c>
      <c r="M1496" s="22" t="str">
        <f t="shared" ca="1" si="114"/>
        <v/>
      </c>
      <c r="U1496" s="23" t="str">
        <f t="shared" si="115"/>
        <v/>
      </c>
      <c r="V1496" s="23" t="str">
        <f t="shared" si="116"/>
        <v/>
      </c>
    </row>
    <row r="1497" spans="5:22" x14ac:dyDescent="0.25">
      <c r="E1497" s="21" t="str">
        <f t="shared" si="112"/>
        <v/>
      </c>
      <c r="F1497" s="21"/>
      <c r="G1497" s="21"/>
      <c r="H1497" s="21"/>
      <c r="I1497" s="21"/>
      <c r="J1497" s="21"/>
      <c r="K1497" s="21"/>
      <c r="L1497" s="16" t="str">
        <f t="shared" ca="1" si="113"/>
        <v/>
      </c>
      <c r="M1497" s="22" t="str">
        <f t="shared" ca="1" si="114"/>
        <v/>
      </c>
      <c r="U1497" s="23" t="str">
        <f t="shared" si="115"/>
        <v/>
      </c>
      <c r="V1497" s="23" t="str">
        <f t="shared" si="116"/>
        <v/>
      </c>
    </row>
    <row r="1498" spans="5:22" x14ac:dyDescent="0.25">
      <c r="E1498" s="21" t="str">
        <f t="shared" si="112"/>
        <v/>
      </c>
      <c r="F1498" s="21"/>
      <c r="G1498" s="21"/>
      <c r="H1498" s="21"/>
      <c r="I1498" s="21"/>
      <c r="J1498" s="21"/>
      <c r="K1498" s="21"/>
      <c r="L1498" s="16" t="str">
        <f t="shared" ca="1" si="113"/>
        <v/>
      </c>
      <c r="M1498" s="22" t="str">
        <f t="shared" ca="1" si="114"/>
        <v/>
      </c>
      <c r="U1498" s="23" t="str">
        <f t="shared" si="115"/>
        <v/>
      </c>
      <c r="V1498" s="23" t="str">
        <f t="shared" si="116"/>
        <v/>
      </c>
    </row>
    <row r="1499" spans="5:22" x14ac:dyDescent="0.25">
      <c r="E1499" s="21" t="str">
        <f t="shared" si="112"/>
        <v/>
      </c>
      <c r="F1499" s="21"/>
      <c r="G1499" s="21"/>
      <c r="H1499" s="21"/>
      <c r="I1499" s="21"/>
      <c r="J1499" s="21"/>
      <c r="K1499" s="21"/>
      <c r="L1499" s="16" t="str">
        <f t="shared" ca="1" si="113"/>
        <v/>
      </c>
      <c r="M1499" s="22" t="str">
        <f t="shared" ca="1" si="114"/>
        <v/>
      </c>
      <c r="U1499" s="23" t="str">
        <f t="shared" si="115"/>
        <v/>
      </c>
      <c r="V1499" s="23" t="str">
        <f t="shared" si="116"/>
        <v/>
      </c>
    </row>
    <row r="1500" spans="5:22" x14ac:dyDescent="0.25">
      <c r="E1500" s="21" t="str">
        <f t="shared" si="112"/>
        <v/>
      </c>
      <c r="F1500" s="21"/>
      <c r="G1500" s="21"/>
      <c r="H1500" s="21"/>
      <c r="I1500" s="21"/>
      <c r="J1500" s="21"/>
      <c r="K1500" s="21"/>
      <c r="L1500" s="16" t="str">
        <f t="shared" ca="1" si="113"/>
        <v/>
      </c>
      <c r="M1500" s="22" t="str">
        <f t="shared" ca="1" si="114"/>
        <v/>
      </c>
      <c r="U1500" s="23" t="str">
        <f t="shared" si="115"/>
        <v/>
      </c>
      <c r="V1500" s="23" t="str">
        <f t="shared" si="116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S999"/>
  <sheetViews>
    <sheetView workbookViewId="0">
      <selection activeCell="A2" sqref="A2"/>
    </sheetView>
  </sheetViews>
  <sheetFormatPr defaultColWidth="8.85546875" defaultRowHeight="15" x14ac:dyDescent="0.25"/>
  <cols>
    <col min="1" max="1" width="130.28515625" style="17" customWidth="1"/>
    <col min="2" max="2" width="91.7109375" style="3" bestFit="1" customWidth="1"/>
    <col min="3" max="3" width="73.42578125" style="3" bestFit="1" customWidth="1"/>
    <col min="4" max="4" width="17" style="3" customWidth="1"/>
    <col min="5" max="5" width="12.140625" style="3" bestFit="1" customWidth="1"/>
    <col min="6" max="19" width="9.140625" style="3"/>
  </cols>
  <sheetData>
    <row r="1" spans="1:16" ht="15.75" x14ac:dyDescent="0.25">
      <c r="A1" s="18" t="s">
        <v>103</v>
      </c>
      <c r="B1" s="18" t="s">
        <v>104</v>
      </c>
      <c r="C1" s="18" t="s">
        <v>105</v>
      </c>
      <c r="D1" s="18"/>
      <c r="E1" s="18"/>
    </row>
    <row r="2" spans="1:16" x14ac:dyDescent="0.25">
      <c r="A2" s="17" t="str">
        <f>IF('Input Sheet'!C4="","",CONCATENATE("Sample ", 'Input Sheet'!B4, "m: ", N2, H2, "% ", "Siltstone, ", P2, 'Input Sheet'!C4, "% ", J2, " Sandstone, ", L2, K2, " FLUOR in SST. ", "TG ", 'Input Sheet'!I4, "U"))</f>
        <v>Sample 1545m: Tr siderite in 70% Siltstone, 30% very fine Sandstone, NO FLUOR in SST. TG 4U</v>
      </c>
      <c r="B2" s="3" t="str">
        <f>IF('Input Sheet'!C4="","",CONCATENATE("Sample ", 'Input Sheet'!B4, "m: ", O2, I2, "% ", "Siltstone, ", Q2, 'Input Sheet'!C4, "% ", K2, " Sandstone "))</f>
        <v xml:space="preserve">Sample 1545m: veryfine% Siltstone, 30%  Sandstone </v>
      </c>
      <c r="C2" s="3" t="str">
        <f>IF('Input Sheet'!C4="","",CONCATENATE("Sample ", 'Input Sheet'!B4, "m: ", N2,, L2, K2, " FLUOR in SST. ", "TG ", 'Input Sheet'!I4, "U"))</f>
        <v>Sample 1545m: Tr siderite in NO FLUOR in SST. TG 4U</v>
      </c>
      <c r="H2" s="6">
        <f>IF('Input Sheet'!C4="","",100-'Input Sheet'!C4)</f>
        <v>70</v>
      </c>
      <c r="I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</v>
      </c>
      <c r="J2" s="6" t="str">
        <f t="shared" ref="J2:J65" si="0">SUBSTITUTE(I2, "veryfine", "very fine")</f>
        <v>very fine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" s="6" t="str">
        <f>IF('Input Sheet'!F4=0, "NO",CONCATENATE('Input Sheet'!F4, IF('Input Sheet'!F4&gt;0,"% ","")))</f>
        <v>NO</v>
      </c>
      <c r="M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2" s="6" t="str">
        <f>CONCATENATE(M2, IF('Input Sheet'!J4="",""," siderite in "))</f>
        <v xml:space="preserve">Tr siderite in </v>
      </c>
      <c r="O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" s="6" t="str">
        <f>CONCATENATE(O2, IF('Input Sheet'!K4="",""," siderite in "))</f>
        <v/>
      </c>
    </row>
    <row r="3" spans="1:16" x14ac:dyDescent="0.25">
      <c r="A3" s="17" t="str">
        <f>IF('Input Sheet'!C5="","",CONCATENATE("Sample ", 'Input Sheet'!B5, "m: ", N3, H3, "% ", "Siltstone, ", P3, 'Input Sheet'!C5, "% ", J3, " Sandstone, ", L3, K3, " FLUOR in SST. ", "TG ", 'Input Sheet'!I5, "U"))</f>
        <v>Sample 1550m: Tr siderite in 80% Siltstone, 20% very fine to fine Sandstone, NO FLUOR in SST. TG 6U</v>
      </c>
      <c r="B3" s="3" t="str">
        <f>IF('Input Sheet'!C5="","",CONCATENATE("Sample ", 'Input Sheet'!B5, "m: ", O3, I3, "% ", "Siltstone, ", Q3, 'Input Sheet'!C5, "% ", K3, " Sandstone "))</f>
        <v xml:space="preserve">Sample 1550m: veryfine to fine% Siltstone, 20%  Sandstone </v>
      </c>
      <c r="C3" s="3" t="str">
        <f>IF('Input Sheet'!C5="","",CONCATENATE("Sample ", 'Input Sheet'!B5, "m: ", N3,, L3, K3, " FLUOR in SST. ", "TG ", 'Input Sheet'!I5, "U"))</f>
        <v>Sample 1550m: Tr siderite in NO FLUOR in SST. TG 6U</v>
      </c>
      <c r="E3" s="7"/>
      <c r="F3" s="8"/>
      <c r="H3" s="6">
        <f>IF('Input Sheet'!C5="","",100-'Input Sheet'!C5)</f>
        <v>80</v>
      </c>
      <c r="I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3" s="6" t="str">
        <f t="shared" si="0"/>
        <v>very fine to fine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" s="6" t="str">
        <f>IF('Input Sheet'!F5=0, "NO",CONCATENATE('Input Sheet'!F5, IF('Input Sheet'!F5&gt;0,"% ","")))</f>
        <v>NO</v>
      </c>
      <c r="M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3" s="6" t="str">
        <f>CONCATENATE(M3, IF('Input Sheet'!J5="",""," siderite in "))</f>
        <v xml:space="preserve">Tr siderite in </v>
      </c>
      <c r="O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" s="6" t="str">
        <f>CONCATENATE(O3, IF('Input Sheet'!K5="",""," siderite in "))</f>
        <v/>
      </c>
    </row>
    <row r="4" spans="1:16" x14ac:dyDescent="0.25">
      <c r="A4" s="17" t="str">
        <f>IF('Input Sheet'!C6="","",CONCATENATE("Sample ", 'Input Sheet'!B6, "m: ", N4, H4, "% ", "Siltstone, ", P4, 'Input Sheet'!C6, "% ", J4, " Sandstone, ", L4, K4, " FLUOR in SST. ", "TG ", 'Input Sheet'!I6, "U"))</f>
        <v>Sample 1555m: Tr siderite in 80% Siltstone, 20% very fine to fine Sandstone, NO FLUOR in SST. TG 5U</v>
      </c>
      <c r="B4" s="3" t="str">
        <f>IF('Input Sheet'!C6="","",CONCATENATE("Sample ", 'Input Sheet'!B6, "m: ", O4, I4, "% ", "Siltstone, ", Q4, 'Input Sheet'!C6, "% ", K4, " Sandstone "))</f>
        <v xml:space="preserve">Sample 1555m: veryfine to fine% Siltstone, 20%  Sandstone </v>
      </c>
      <c r="C4" s="3" t="str">
        <f>IF('Input Sheet'!C6="","",CONCATENATE("Sample ", 'Input Sheet'!B6, "m: ", N4,, L4, K4, " FLUOR in SST. ", "TG ", 'Input Sheet'!I6, "U"))</f>
        <v>Sample 1555m: Tr siderite in NO FLUOR in SST. TG 5U</v>
      </c>
      <c r="E4" s="9" t="s">
        <v>16</v>
      </c>
      <c r="F4" s="10" t="s">
        <v>17</v>
      </c>
      <c r="H4" s="6">
        <f>IF('Input Sheet'!C6="","",100-'Input Sheet'!C6)</f>
        <v>80</v>
      </c>
      <c r="I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4" s="6" t="str">
        <f t="shared" si="0"/>
        <v>very fine to fine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" s="6" t="str">
        <f>IF('Input Sheet'!F6=0, "NO",CONCATENATE('Input Sheet'!F6, IF('Input Sheet'!F6&gt;0,"% ","")))</f>
        <v>NO</v>
      </c>
      <c r="M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4" s="6" t="str">
        <f>CONCATENATE(M4, IF('Input Sheet'!J6="",""," siderite in "))</f>
        <v xml:space="preserve">Tr siderite in </v>
      </c>
      <c r="O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" s="6" t="str">
        <f>CONCATENATE(O4, IF('Input Sheet'!K6="",""," siderite in "))</f>
        <v/>
      </c>
    </row>
    <row r="5" spans="1:16" x14ac:dyDescent="0.25">
      <c r="A5" s="17" t="str">
        <f>IF('Input Sheet'!C7="","",CONCATENATE("Sample ", 'Input Sheet'!B7, "m: ", N5, H5, "% ", "Siltstone, ", P5, 'Input Sheet'!C7, "% ", J5, " Sandstone, ", L5, K5, " FLUOR in SST. ", "TG ", 'Input Sheet'!I7, "U"))</f>
        <v>Sample 1560m: Tr siderite in 70% Siltstone, 30% very fine to fine Sandstone, NO FLUOR in SST. TG 6U</v>
      </c>
      <c r="B5" s="3" t="str">
        <f>IF('Input Sheet'!C7="","",CONCATENATE("Sample ", 'Input Sheet'!B7, "m: ", O5, I5, "% ", "Siltstone, ", Q5, 'Input Sheet'!C7, "% ", K5, " Sandstone "))</f>
        <v xml:space="preserve">Sample 1560m: veryfine to fine% Siltstone, 30%  Sandstone </v>
      </c>
      <c r="C5" s="3" t="str">
        <f>IF('Input Sheet'!C7="","",CONCATENATE("Sample ", 'Input Sheet'!B7, "m: ", N5,, L5, K5, " FLUOR in SST. ", "TG ", 'Input Sheet'!I7, "U"))</f>
        <v>Sample 1560m: Tr siderite in NO FLUOR in SST. TG 6U</v>
      </c>
      <c r="E5" s="9" t="s">
        <v>20</v>
      </c>
      <c r="F5" s="10" t="s">
        <v>21</v>
      </c>
      <c r="H5" s="6">
        <f>IF('Input Sheet'!C7="","",100-'Input Sheet'!C7)</f>
        <v>70</v>
      </c>
      <c r="I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5" s="6" t="str">
        <f t="shared" si="0"/>
        <v>very fine to fine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" s="6" t="str">
        <f>IF('Input Sheet'!F7=0, "NO",CONCATENATE('Input Sheet'!F7, IF('Input Sheet'!F7&gt;0,"% ","")))</f>
        <v>NO</v>
      </c>
      <c r="M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5" s="6" t="str">
        <f>CONCATENATE(M5, IF('Input Sheet'!J7="",""," siderite in "))</f>
        <v xml:space="preserve">Tr siderite in </v>
      </c>
      <c r="O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" s="6" t="str">
        <f>CONCATENATE(O5, IF('Input Sheet'!K7="",""," siderite in "))</f>
        <v/>
      </c>
    </row>
    <row r="6" spans="1:16" x14ac:dyDescent="0.25">
      <c r="A6" s="17" t="str">
        <f>IF('Input Sheet'!C8="","",CONCATENATE("Sample ", 'Input Sheet'!B8, "m: ", N6, H6, "% ", "Siltstone, ", P6, 'Input Sheet'!C8, "% ", J6, " Sandstone, ", L6, K6, " FLUOR in SST. ", "TG ", 'Input Sheet'!I8, "U"))</f>
        <v>Sample 1565m: Tr siderite in 80% Siltstone, 20% very fine to fine Sandstone, NO FLUOR in SST. TG 7U</v>
      </c>
      <c r="B6" s="3" t="str">
        <f>IF('Input Sheet'!C8="","",CONCATENATE("Sample ", 'Input Sheet'!B8, "m: ", O6, I6, "% ", "Siltstone, ", Q6, 'Input Sheet'!C8, "% ", K6, " Sandstone "))</f>
        <v xml:space="preserve">Sample 1565m: veryfine to fine% Siltstone, 20%  Sandstone </v>
      </c>
      <c r="C6" s="3" t="str">
        <f>IF('Input Sheet'!C8="","",CONCATENATE("Sample ", 'Input Sheet'!B8, "m: ", N6,, L6, K6, " FLUOR in SST. ", "TG ", 'Input Sheet'!I8, "U"))</f>
        <v>Sample 1565m: Tr siderite in NO FLUOR in SST. TG 7U</v>
      </c>
      <c r="E6" s="9" t="s">
        <v>22</v>
      </c>
      <c r="F6" s="10" t="s">
        <v>23</v>
      </c>
      <c r="H6" s="6">
        <f>IF('Input Sheet'!C8="","",100-'Input Sheet'!C8)</f>
        <v>80</v>
      </c>
      <c r="I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" s="6" t="str">
        <f t="shared" si="0"/>
        <v>very fine to fine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" s="6" t="str">
        <f>IF('Input Sheet'!F8=0, "NO",CONCATENATE('Input Sheet'!F8, IF('Input Sheet'!F8&gt;0,"% ","")))</f>
        <v>NO</v>
      </c>
      <c r="M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6" s="6" t="str">
        <f>CONCATENATE(M6, IF('Input Sheet'!J8="",""," siderite in "))</f>
        <v xml:space="preserve">Tr siderite in </v>
      </c>
      <c r="O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" s="6" t="str">
        <f>CONCATENATE(O6, IF('Input Sheet'!K8="",""," siderite in "))</f>
        <v/>
      </c>
    </row>
    <row r="7" spans="1:16" x14ac:dyDescent="0.25">
      <c r="A7" s="17" t="str">
        <f>IF('Input Sheet'!C9="","",CONCATENATE("Sample ", 'Input Sheet'!B9, "m: ", N7, H7, "% ", "Siltstone, ", P7, 'Input Sheet'!C9, "% ", J7, " Sandstone, ", L7, K7, " FLUOR in SST. ", "TG ", 'Input Sheet'!I9, "U"))</f>
        <v>Sample 1570m: Tr siderite in 70% Siltstone, 30% very fine to fine Sandstone, NO FLUOR in SST. TG 6U</v>
      </c>
      <c r="B7" s="3" t="str">
        <f>IF('Input Sheet'!C9="","",CONCATENATE("Sample ", 'Input Sheet'!B9, "m: ", O7, I7, "% ", "Siltstone, ", Q7, 'Input Sheet'!C9, "% ", K7, " Sandstone "))</f>
        <v xml:space="preserve">Sample 1570m: veryfine to fine% Siltstone, 30%  Sandstone </v>
      </c>
      <c r="C7" s="3" t="str">
        <f>IF('Input Sheet'!C9="","",CONCATENATE("Sample ", 'Input Sheet'!B9, "m: ", N7,, L7, K7, " FLUOR in SST. ", "TG ", 'Input Sheet'!I9, "U"))</f>
        <v>Sample 1570m: Tr siderite in NO FLUOR in SST. TG 6U</v>
      </c>
      <c r="E7" s="9" t="s">
        <v>26</v>
      </c>
      <c r="F7" s="10" t="s">
        <v>27</v>
      </c>
      <c r="H7" s="6">
        <f>IF('Input Sheet'!C9="","",100-'Input Sheet'!C9)</f>
        <v>70</v>
      </c>
      <c r="I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7" s="6" t="str">
        <f t="shared" si="0"/>
        <v>very fine to fine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" s="6" t="str">
        <f>IF('Input Sheet'!F9=0, "NO",CONCATENATE('Input Sheet'!F9, IF('Input Sheet'!F9&gt;0,"% ","")))</f>
        <v>NO</v>
      </c>
      <c r="M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7" s="6" t="str">
        <f>CONCATENATE(M7, IF('Input Sheet'!J9="",""," siderite in "))</f>
        <v xml:space="preserve">Tr siderite in </v>
      </c>
      <c r="O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" s="6" t="str">
        <f>CONCATENATE(O7, IF('Input Sheet'!K9="",""," siderite in "))</f>
        <v/>
      </c>
    </row>
    <row r="8" spans="1:16" x14ac:dyDescent="0.25">
      <c r="A8" s="17" t="str">
        <f>IF('Input Sheet'!C10="","",CONCATENATE("Sample ", 'Input Sheet'!B10, "m: ", N8, H8, "% ", "Siltstone, ", P8, 'Input Sheet'!C10, "% ", J8, " Sandstone, ", L8, K8, " FLUOR in SST. ", "TG ", 'Input Sheet'!I10, "U"))</f>
        <v>Sample 1575m: Tr siderite in 75% Siltstone, 25% very fine to fine Sandstone, NO FLUOR in SST. TG 7U</v>
      </c>
      <c r="B8" s="3" t="str">
        <f>IF('Input Sheet'!C10="","",CONCATENATE("Sample ", 'Input Sheet'!B10, "m: ", O8, I8, "% ", "Siltstone, ", Q8, 'Input Sheet'!C10, "% ", K8, " Sandstone "))</f>
        <v xml:space="preserve">Sample 1575m: veryfine to fine% Siltstone, 25%  Sandstone </v>
      </c>
      <c r="C8" s="3" t="str">
        <f>IF('Input Sheet'!C10="","",CONCATENATE("Sample ", 'Input Sheet'!B10, "m: ", N8,, L8, K8, " FLUOR in SST. ", "TG ", 'Input Sheet'!I10, "U"))</f>
        <v>Sample 1575m: Tr siderite in NO FLUOR in SST. TG 7U</v>
      </c>
      <c r="E8" s="9" t="s">
        <v>28</v>
      </c>
      <c r="F8" s="10" t="s">
        <v>29</v>
      </c>
      <c r="H8" s="6">
        <f>IF('Input Sheet'!C10="","",100-'Input Sheet'!C10)</f>
        <v>75</v>
      </c>
      <c r="I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8" s="6" t="str">
        <f t="shared" si="0"/>
        <v>very fine to fine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" s="6" t="str">
        <f>IF('Input Sheet'!F10=0, "NO",CONCATENATE('Input Sheet'!F10, IF('Input Sheet'!F10&gt;0,"% ","")))</f>
        <v>NO</v>
      </c>
      <c r="M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8" s="6" t="str">
        <f>CONCATENATE(M8, IF('Input Sheet'!J10="",""," siderite in "))</f>
        <v xml:space="preserve">Tr siderite in </v>
      </c>
      <c r="O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" s="6" t="str">
        <f>CONCATENATE(O8, IF('Input Sheet'!K10="",""," siderite in "))</f>
        <v/>
      </c>
    </row>
    <row r="9" spans="1:16" x14ac:dyDescent="0.25">
      <c r="A9" s="17" t="str">
        <f>IF('Input Sheet'!C11="","",CONCATENATE("Sample ", 'Input Sheet'!B11, "m: ", N9, H9, "% ", "Siltstone, ", P9, 'Input Sheet'!C11, "% ", J9, " Sandstone, ", L9, K9, " FLUOR in SST. ", "TG ", 'Input Sheet'!I11, "U"))</f>
        <v>Sample 1580m: Tr siderite in 80% Siltstone, 20% very fine to fine Sandstone, NO FLUOR in SST. TG 7U</v>
      </c>
      <c r="B9" s="3" t="str">
        <f>IF('Input Sheet'!C11="","",CONCATENATE("Sample ", 'Input Sheet'!B11, "m: ", O9, I9, "% ", "Siltstone, ", Q9, 'Input Sheet'!C11, "% ", K9, " Sandstone "))</f>
        <v xml:space="preserve">Sample 1580m: veryfine to fine% Siltstone, 20%  Sandstone </v>
      </c>
      <c r="C9" s="3" t="str">
        <f>IF('Input Sheet'!C11="","",CONCATENATE("Sample ", 'Input Sheet'!B11, "m: ", N9,, L9, K9, " FLUOR in SST. ", "TG ", 'Input Sheet'!I11, "U"))</f>
        <v>Sample 1580m: Tr siderite in NO FLUOR in SST. TG 7U</v>
      </c>
      <c r="E9" s="9" t="s">
        <v>31</v>
      </c>
      <c r="F9" s="10" t="s">
        <v>32</v>
      </c>
      <c r="H9" s="6">
        <f>IF('Input Sheet'!C11="","",100-'Input Sheet'!C11)</f>
        <v>80</v>
      </c>
      <c r="I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9" s="6" t="str">
        <f t="shared" si="0"/>
        <v>very fine to fine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" s="6" t="str">
        <f>IF('Input Sheet'!F11=0, "NO",CONCATENATE('Input Sheet'!F11, IF('Input Sheet'!F11&gt;0,"% ","")))</f>
        <v>NO</v>
      </c>
      <c r="M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9" s="6" t="str">
        <f>CONCATENATE(M9, IF('Input Sheet'!J11="",""," siderite in "))</f>
        <v xml:space="preserve">Tr siderite in </v>
      </c>
      <c r="O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" s="6" t="str">
        <f>CONCATENATE(O9, IF('Input Sheet'!K11="",""," siderite in "))</f>
        <v/>
      </c>
    </row>
    <row r="10" spans="1:16" x14ac:dyDescent="0.25">
      <c r="A10" s="17" t="str">
        <f>IF('Input Sheet'!C12="","",CONCATENATE("Sample ", 'Input Sheet'!B12, "m: ", N10, H10, "% ", "Siltstone, ", P10, 'Input Sheet'!C12, "% ", J10, " Sandstone, ", L10, K10, " FLUOR in SST. ", "TG ", 'Input Sheet'!I12, "U"))</f>
        <v>Sample 1585m: Tr siderite in 80% Siltstone, 20% very fine to fine Sandstone, NO FLUOR in SST. TG 8U</v>
      </c>
      <c r="B10" s="3" t="str">
        <f>IF('Input Sheet'!C12="","",CONCATENATE("Sample ", 'Input Sheet'!B12, "m: ", O10, I10, "% ", "Siltstone, ", Q10, 'Input Sheet'!C12, "% ", K10, " Sandstone "))</f>
        <v xml:space="preserve">Sample 1585m: veryfine to fine% Siltstone, 20%  Sandstone </v>
      </c>
      <c r="C10" s="3" t="str">
        <f>IF('Input Sheet'!C12="","",CONCATENATE("Sample ", 'Input Sheet'!B12, "m: ", N10,, L10, K10, " FLUOR in SST. ", "TG ", 'Input Sheet'!I12, "U"))</f>
        <v>Sample 1585m: Tr siderite in NO FLUOR in SST. TG 8U</v>
      </c>
      <c r="E10" s="9" t="s">
        <v>15</v>
      </c>
      <c r="F10" s="10" t="s">
        <v>34</v>
      </c>
      <c r="H10" s="6">
        <f>IF('Input Sheet'!C12="","",100-'Input Sheet'!C12)</f>
        <v>80</v>
      </c>
      <c r="I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" s="6" t="str">
        <f t="shared" si="0"/>
        <v>very fine to fine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0" s="6" t="str">
        <f>IF('Input Sheet'!F12=0, "NO",CONCATENATE('Input Sheet'!F12, IF('Input Sheet'!F12&gt;0,"% ","")))</f>
        <v>NO</v>
      </c>
      <c r="M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0" s="6" t="str">
        <f>CONCATENATE(M10, IF('Input Sheet'!J12="",""," siderite in "))</f>
        <v xml:space="preserve">Tr siderite in </v>
      </c>
      <c r="O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" s="6" t="str">
        <f>CONCATENATE(O10, IF('Input Sheet'!K12="",""," siderite in "))</f>
        <v/>
      </c>
    </row>
    <row r="11" spans="1:16" x14ac:dyDescent="0.25">
      <c r="A11" s="17" t="str">
        <f>IF('Input Sheet'!C13="","",CONCATENATE("Sample ", 'Input Sheet'!B13, "m: ", N11, H11, "% ", "Siltstone, ", P11, 'Input Sheet'!C13, "% ", J11, " Sandstone, ", L11, K11, " FLUOR in SST. ", "TG ", 'Input Sheet'!I13, "U"))</f>
        <v>Sample 1590m: Tr siderite in 80% Siltstone, 20% very fine to fine Sandstone, NO FLUOR in SST. TG 7U</v>
      </c>
      <c r="B11" s="3" t="str">
        <f>IF('Input Sheet'!C13="","",CONCATENATE("Sample ", 'Input Sheet'!B13, "m: ", O11, I11, "% ", "Siltstone, ", Q11, 'Input Sheet'!C13, "% ", K11, " Sandstone "))</f>
        <v xml:space="preserve">Sample 1590m: veryfine to fine% Siltstone, 20%  Sandstone </v>
      </c>
      <c r="C11" s="3" t="str">
        <f>IF('Input Sheet'!C13="","",CONCATENATE("Sample ", 'Input Sheet'!B13, "m: ", N11,, L11, K11, " FLUOR in SST. ", "TG ", 'Input Sheet'!I13, "U"))</f>
        <v>Sample 1590m: Tr siderite in NO FLUOR in SST. TG 7U</v>
      </c>
      <c r="E11" s="9" t="s">
        <v>35</v>
      </c>
      <c r="F11" s="10" t="s">
        <v>36</v>
      </c>
      <c r="H11" s="6">
        <f>IF('Input Sheet'!C13="","",100-'Input Sheet'!C13)</f>
        <v>80</v>
      </c>
      <c r="I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" s="6" t="str">
        <f t="shared" si="0"/>
        <v>very fine to fine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1" s="6" t="str">
        <f>IF('Input Sheet'!F13=0, "NO",CONCATENATE('Input Sheet'!F13, IF('Input Sheet'!F13&gt;0,"% ","")))</f>
        <v>NO</v>
      </c>
      <c r="M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1" s="6" t="str">
        <f>CONCATENATE(M11, IF('Input Sheet'!J13="",""," siderite in "))</f>
        <v xml:space="preserve">Tr siderite in </v>
      </c>
      <c r="O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" s="6" t="str">
        <f>CONCATENATE(O11, IF('Input Sheet'!K13="",""," siderite in "))</f>
        <v/>
      </c>
    </row>
    <row r="12" spans="1:16" x14ac:dyDescent="0.25">
      <c r="A12" s="17" t="str">
        <f>IF('Input Sheet'!C14="","",CONCATENATE("Sample ", 'Input Sheet'!B14, "m: ", N12, H12, "% ", "Siltstone, ", P12, 'Input Sheet'!C14, "% ", J12, " Sandstone, ", L12, K12, " FLUOR in SST. ", "TG ", 'Input Sheet'!I14, "U"))</f>
        <v>Sample 1595m: Tr siderite in 60% Siltstone, 40% very fine to fine Sandstone, NO FLUOR in SST. TG 5U</v>
      </c>
      <c r="B12" s="3" t="str">
        <f>IF('Input Sheet'!C14="","",CONCATENATE("Sample ", 'Input Sheet'!B14, "m: ", O12, I12, "% ", "Siltstone, ", Q12, 'Input Sheet'!C14, "% ", K12, " Sandstone "))</f>
        <v xml:space="preserve">Sample 1595m: veryfine to fine% Siltstone, 40%  Sandstone </v>
      </c>
      <c r="C12" s="3" t="str">
        <f>IF('Input Sheet'!C14="","",CONCATENATE("Sample ", 'Input Sheet'!B14, "m: ", N12,, L12, K12, " FLUOR in SST. ", "TG ", 'Input Sheet'!I14, "U"))</f>
        <v>Sample 1595m: Tr siderite in NO FLUOR in SST. TG 5U</v>
      </c>
      <c r="E12" s="9" t="s">
        <v>25</v>
      </c>
      <c r="F12" s="10" t="s">
        <v>37</v>
      </c>
      <c r="H12" s="6">
        <f>IF('Input Sheet'!C14="","",100-'Input Sheet'!C14)</f>
        <v>60</v>
      </c>
      <c r="I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2" s="6" t="str">
        <f t="shared" si="0"/>
        <v>very fine to fine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2" s="6" t="str">
        <f>IF('Input Sheet'!F14=0, "NO",CONCATENATE('Input Sheet'!F14, IF('Input Sheet'!F14&gt;0,"% ","")))</f>
        <v>NO</v>
      </c>
      <c r="M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2" s="6" t="str">
        <f>CONCATENATE(M12, IF('Input Sheet'!J14="",""," siderite in "))</f>
        <v xml:space="preserve">Tr siderite in </v>
      </c>
      <c r="O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" s="6" t="str">
        <f>CONCATENATE(O12, IF('Input Sheet'!K14="",""," siderite in "))</f>
        <v/>
      </c>
    </row>
    <row r="13" spans="1:16" x14ac:dyDescent="0.25">
      <c r="A13" s="17" t="str">
        <f>IF('Input Sheet'!C15="","",CONCATENATE("Sample ", 'Input Sheet'!B15, "m: ", N13, H13, "% ", "Siltstone, ", P13, 'Input Sheet'!C15, "% ", J13, " Sandstone, ", L13, K13, " FLUOR in SST. ", "TG ", 'Input Sheet'!I15, "U"))</f>
        <v>Sample 1600m: 70% Siltstone, 30% very fine to fine Sandstone, NO FLUOR in SST. TG 5U</v>
      </c>
      <c r="B13" s="3" t="str">
        <f>IF('Input Sheet'!C15="","",CONCATENATE("Sample ", 'Input Sheet'!B15, "m: ", O13, I13, "% ", "Siltstone, ", Q13, 'Input Sheet'!C15, "% ", K13, " Sandstone "))</f>
        <v xml:space="preserve">Sample 1600m: veryfine to fine% Siltstone, 30%  Sandstone </v>
      </c>
      <c r="C13" s="3" t="str">
        <f>IF('Input Sheet'!C15="","",CONCATENATE("Sample ", 'Input Sheet'!B15, "m: ", N13,, L13, K13, " FLUOR in SST. ", "TG ", 'Input Sheet'!I15, "U"))</f>
        <v>Sample 1600m: NO FLUOR in SST. TG 5U</v>
      </c>
      <c r="E13" s="9" t="s">
        <v>39</v>
      </c>
      <c r="F13" s="10" t="s">
        <v>40</v>
      </c>
      <c r="H13" s="6">
        <f>IF('Input Sheet'!C15="","",100-'Input Sheet'!C15)</f>
        <v>70</v>
      </c>
      <c r="I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3" s="6" t="str">
        <f t="shared" si="0"/>
        <v>very fine to fine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3" s="6" t="str">
        <f>IF('Input Sheet'!F15=0, "NO",CONCATENATE('Input Sheet'!F15, IF('Input Sheet'!F15&gt;0,"% ","")))</f>
        <v>NO</v>
      </c>
      <c r="M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" s="6" t="str">
        <f>CONCATENATE(M13, IF('Input Sheet'!J15="",""," siderite in "))</f>
        <v/>
      </c>
      <c r="O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" s="6" t="str">
        <f>CONCATENATE(O13, IF('Input Sheet'!K15="",""," siderite in "))</f>
        <v/>
      </c>
    </row>
    <row r="14" spans="1:16" x14ac:dyDescent="0.25">
      <c r="A14" s="17" t="str">
        <f>IF('Input Sheet'!C16="","",CONCATENATE("Sample ", 'Input Sheet'!B16, "m: ", N14, H14, "% ", "Siltstone, ", P14, 'Input Sheet'!C16, "% ", J14, " Sandstone, ", L14, K14, " FLUOR in SST. ", "TG ", 'Input Sheet'!I16, "U"))</f>
        <v>Sample 1605m: 70% Siltstone, 30% very fine to fine Sandstone, NO FLUOR in SST. TG 5U</v>
      </c>
      <c r="B14" s="3" t="str">
        <f>IF('Input Sheet'!C16="","",CONCATENATE("Sample ", 'Input Sheet'!B16, "m: ", O14, I14, "% ", "Siltstone, ", Q14, 'Input Sheet'!C16, "% ", K14, " Sandstone "))</f>
        <v xml:space="preserve">Sample 1605m: veryfine to fine% Siltstone, 30%  Sandstone </v>
      </c>
      <c r="C14" s="3" t="str">
        <f>IF('Input Sheet'!C16="","",CONCATENATE("Sample ", 'Input Sheet'!B16, "m: ", N14,, L14, K14, " FLUOR in SST. ", "TG ", 'Input Sheet'!I16, "U"))</f>
        <v>Sample 1605m: NO FLUOR in SST. TG 5U</v>
      </c>
      <c r="E14" s="9" t="s">
        <v>44</v>
      </c>
      <c r="F14" s="10" t="s">
        <v>45</v>
      </c>
      <c r="H14" s="6">
        <f>IF('Input Sheet'!C16="","",100-'Input Sheet'!C16)</f>
        <v>70</v>
      </c>
      <c r="I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4" s="6" t="str">
        <f t="shared" si="0"/>
        <v>very fine to fine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4" s="6" t="str">
        <f>IF('Input Sheet'!F16=0, "NO",CONCATENATE('Input Sheet'!F16, IF('Input Sheet'!F16&gt;0,"% ","")))</f>
        <v>NO</v>
      </c>
      <c r="M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" s="6" t="str">
        <f>CONCATENATE(M14, IF('Input Sheet'!J16="",""," siderite in "))</f>
        <v/>
      </c>
      <c r="O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" s="6" t="str">
        <f>CONCATENATE(O14, IF('Input Sheet'!K16="",""," siderite in "))</f>
        <v/>
      </c>
    </row>
    <row r="15" spans="1:16" x14ac:dyDescent="0.25">
      <c r="A15" s="17" t="str">
        <f>IF('Input Sheet'!C17="","",CONCATENATE("Sample ", 'Input Sheet'!B17, "m: ", N15, H15, "% ", "Siltstone, ", P15, 'Input Sheet'!C17, "% ", J15, " Sandstone, ", L15, K15, " FLUOR in SST. ", "TG ", 'Input Sheet'!I17, "U"))</f>
        <v>Sample 1607m: 50% Siltstone, 50% very fine to fine Sandstone, 50% moderately bright  to  bright FLUOR in SST. TG 13U</v>
      </c>
      <c r="B15" s="3" t="str">
        <f>IF('Input Sheet'!C17="","",CONCATENATE("Sample ", 'Input Sheet'!B17, "m: ", O15, I15, "% ", "Siltstone, ", Q15, 'Input Sheet'!C17, "% ", K15, " Sandstone "))</f>
        <v xml:space="preserve">Sample 1607m: veryfine to fine% Siltstone, 50% moderately bright  to  bright Sandstone </v>
      </c>
      <c r="C15" s="3" t="str">
        <f>IF('Input Sheet'!C17="","",CONCATENATE("Sample ", 'Input Sheet'!B17, "m: ", N15,, L15, K15, " FLUOR in SST. ", "TG ", 'Input Sheet'!I17, "U"))</f>
        <v>Sample 1607m: 50% moderately bright  to  bright FLUOR in SST. TG 13U</v>
      </c>
      <c r="E15" s="9" t="s">
        <v>48</v>
      </c>
      <c r="F15" s="10" t="s">
        <v>49</v>
      </c>
      <c r="H15" s="6">
        <f>IF('Input Sheet'!C17="","",100-'Input Sheet'!C17)</f>
        <v>50</v>
      </c>
      <c r="I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" s="6" t="str">
        <f t="shared" si="0"/>
        <v>very fine to fine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5" s="6" t="str">
        <f>IF('Input Sheet'!F17=0, "NO",CONCATENATE('Input Sheet'!F17, IF('Input Sheet'!F17&gt;0,"% ","")))</f>
        <v xml:space="preserve">50% </v>
      </c>
      <c r="M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" s="6" t="str">
        <f>CONCATENATE(M15, IF('Input Sheet'!J17="",""," siderite in "))</f>
        <v/>
      </c>
      <c r="O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" s="6" t="str">
        <f>CONCATENATE(O15, IF('Input Sheet'!K17="",""," siderite in "))</f>
        <v/>
      </c>
    </row>
    <row r="16" spans="1:16" x14ac:dyDescent="0.25">
      <c r="A16" s="17" t="str">
        <f>IF('Input Sheet'!C18="","",CONCATENATE("Sample ", 'Input Sheet'!B18, "m: ", N16, H16, "% ", "Siltstone, ", P16, 'Input Sheet'!C18, "% ", J16, " Sandstone, ", L16, K16, " FLUOR in SST. ", "TG ", 'Input Sheet'!I18, "U"))</f>
        <v>Sample 1610m: 50% Siltstone, 50% very fine to medium Sandstone, 30% moderately bright  to  bright FLUOR in SST. TG 24U</v>
      </c>
      <c r="B16" s="3" t="str">
        <f>IF('Input Sheet'!C18="","",CONCATENATE("Sample ", 'Input Sheet'!B18, "m: ", O16, I16, "% ", "Siltstone, ", Q16, 'Input Sheet'!C18, "% ", K16, " Sandstone "))</f>
        <v xml:space="preserve">Sample 1610m: veryfine to medium% Siltstone, 50% moderately bright  to  bright Sandstone </v>
      </c>
      <c r="C16" s="3" t="str">
        <f>IF('Input Sheet'!C18="","",CONCATENATE("Sample ", 'Input Sheet'!B18, "m: ", N16,, L16, K16, " FLUOR in SST. ", "TG ", 'Input Sheet'!I18, "U"))</f>
        <v>Sample 1610m: 30% moderately bright  to  bright FLUOR in SST. TG 24U</v>
      </c>
      <c r="E16" s="9" t="s">
        <v>50</v>
      </c>
      <c r="F16" s="10" t="s">
        <v>51</v>
      </c>
      <c r="H16" s="6">
        <f>IF('Input Sheet'!C18="","",100-'Input Sheet'!C18)</f>
        <v>50</v>
      </c>
      <c r="I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6" s="6" t="str">
        <f t="shared" si="0"/>
        <v>very fine to medium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6" s="6" t="str">
        <f>IF('Input Sheet'!F18=0, "NO",CONCATENATE('Input Sheet'!F18, IF('Input Sheet'!F18&gt;0,"% ","")))</f>
        <v xml:space="preserve">30% </v>
      </c>
      <c r="M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" s="6" t="str">
        <f>CONCATENATE(M16, IF('Input Sheet'!J18="",""," siderite in "))</f>
        <v/>
      </c>
      <c r="O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" s="6" t="str">
        <f>CONCATENATE(O16, IF('Input Sheet'!K18="",""," siderite in "))</f>
        <v/>
      </c>
    </row>
    <row r="17" spans="1:16" x14ac:dyDescent="0.25">
      <c r="A17" s="17" t="str">
        <f>IF('Input Sheet'!C19="","",CONCATENATE("Sample ", 'Input Sheet'!B19, "m: ", N17, H17, "% ", "Siltstone, ", P17, 'Input Sheet'!C19, "% ", J17, " Sandstone, ", L17, K17, " FLUOR in SST. ", "TG ", 'Input Sheet'!I19, "U"))</f>
        <v>Sample 1615m: 60% Siltstone, 40% very fine to fine Sandstone, 40% moderately bright  to  bright FLUOR in SST. TG 15U</v>
      </c>
      <c r="B17" s="3" t="str">
        <f>IF('Input Sheet'!C19="","",CONCATENATE("Sample ", 'Input Sheet'!B19, "m: ", O17, I17, "% ", "Siltstone, ", Q17, 'Input Sheet'!C19, "% ", K17, " Sandstone "))</f>
        <v xml:space="preserve">Sample 1615m: veryfine to fine% Siltstone, 40% moderately bright  to  bright Sandstone </v>
      </c>
      <c r="C17" s="3" t="str">
        <f>IF('Input Sheet'!C19="","",CONCATENATE("Sample ", 'Input Sheet'!B19, "m: ", N17,, L17, K17, " FLUOR in SST. ", "TG ", 'Input Sheet'!I19, "U"))</f>
        <v>Sample 1615m: 40% moderately bright  to  bright FLUOR in SST. TG 15U</v>
      </c>
      <c r="E17" s="9" t="s">
        <v>53</v>
      </c>
      <c r="F17" s="10" t="s">
        <v>54</v>
      </c>
      <c r="H17" s="6">
        <f>IF('Input Sheet'!C19="","",100-'Input Sheet'!C19)</f>
        <v>60</v>
      </c>
      <c r="I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7" s="6" t="str">
        <f t="shared" si="0"/>
        <v>very fine to fine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7" s="6" t="str">
        <f>IF('Input Sheet'!F19=0, "NO",CONCATENATE('Input Sheet'!F19, IF('Input Sheet'!F19&gt;0,"% ","")))</f>
        <v xml:space="preserve">40% </v>
      </c>
      <c r="M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" s="6" t="str">
        <f>CONCATENATE(M17, IF('Input Sheet'!J19="",""," siderite in "))</f>
        <v/>
      </c>
      <c r="O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" s="6" t="str">
        <f>CONCATENATE(O17, IF('Input Sheet'!K19="",""," siderite in "))</f>
        <v/>
      </c>
    </row>
    <row r="18" spans="1:16" x14ac:dyDescent="0.25">
      <c r="A18" s="17" t="str">
        <f>IF('Input Sheet'!C20="","",CONCATENATE("Sample ", 'Input Sheet'!B20, "m: ", N18, H18, "% ", "Siltstone, ", P18, 'Input Sheet'!C20, "% ", J18, " Sandstone, ", L18, K18, " FLUOR in SST. ", "TG ", 'Input Sheet'!I20, "U"))</f>
        <v>Sample 1620m: Tr siderite in 40% Siltstone, 60% very fine to medium Sandstone, 50% dull  to  bright FLUOR in SST. TG 32U</v>
      </c>
      <c r="B18" s="3" t="str">
        <f>IF('Input Sheet'!C20="","",CONCATENATE("Sample ", 'Input Sheet'!B20, "m: ", O18, I18, "% ", "Siltstone, ", Q18, 'Input Sheet'!C20, "% ", K18, " Sandstone "))</f>
        <v xml:space="preserve">Sample 1620m: veryfine to medium% Siltstone, 60% dull  to  bright Sandstone </v>
      </c>
      <c r="C18" s="3" t="str">
        <f>IF('Input Sheet'!C20="","",CONCATENATE("Sample ", 'Input Sheet'!B20, "m: ", N18,, L18, K18, " FLUOR in SST. ", "TG ", 'Input Sheet'!I20, "U"))</f>
        <v>Sample 1620m: Tr siderite in 50% dull  to  bright FLUOR in SST. TG 32U</v>
      </c>
      <c r="E18" s="9" t="s">
        <v>55</v>
      </c>
      <c r="F18" s="10" t="s">
        <v>56</v>
      </c>
      <c r="H18" s="6">
        <f>IF('Input Sheet'!C20="","",100-'Input Sheet'!C20)</f>
        <v>40</v>
      </c>
      <c r="I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8" s="6" t="str">
        <f t="shared" si="0"/>
        <v>very fine to medium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8" s="6" t="str">
        <f>IF('Input Sheet'!F20=0, "NO",CONCATENATE('Input Sheet'!F20, IF('Input Sheet'!F20&gt;0,"% ","")))</f>
        <v xml:space="preserve">50% </v>
      </c>
      <c r="M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18" s="6" t="str">
        <f>CONCATENATE(M18, IF('Input Sheet'!J20="",""," siderite in "))</f>
        <v xml:space="preserve">Tr siderite in </v>
      </c>
      <c r="O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" s="6" t="str">
        <f>CONCATENATE(O18, IF('Input Sheet'!K20="",""," siderite in "))</f>
        <v/>
      </c>
    </row>
    <row r="19" spans="1:16" x14ac:dyDescent="0.25">
      <c r="A19" s="17" t="str">
        <f>IF('Input Sheet'!C21="","",CONCATENATE("Sample ", 'Input Sheet'!B21, "m: ", N19, H19, "% ", "Siltstone, ", P19, 'Input Sheet'!C21, "% ", J19, " Sandstone, ", L19, K19, " FLUOR in SST. ", "TG ", 'Input Sheet'!I21, "U"))</f>
        <v>Sample 1625m: Mnr siderite in 50% Siltstone, Mnr siderite in 50% very fine to medium Sandstone, 30% dull  to  bright FLUOR in SST. TG 50U</v>
      </c>
      <c r="B19" s="3" t="str">
        <f>IF('Input Sheet'!C21="","",CONCATENATE("Sample ", 'Input Sheet'!B21, "m: ", O19, I19, "% ", "Siltstone, ", Q19, 'Input Sheet'!C21, "% ", K19, " Sandstone "))</f>
        <v xml:space="preserve">Sample 1625m: Mnrveryfine to medium% Siltstone, 50% dull  to  bright Sandstone </v>
      </c>
      <c r="C19" s="3" t="str">
        <f>IF('Input Sheet'!C21="","",CONCATENATE("Sample ", 'Input Sheet'!B21, "m: ", N19,, L19, K19, " FLUOR in SST. ", "TG ", 'Input Sheet'!I21, "U"))</f>
        <v>Sample 1625m: Mnr siderite in 30% dull  to  bright FLUOR in SST. TG 50U</v>
      </c>
      <c r="E19" s="9" t="s">
        <v>57</v>
      </c>
      <c r="F19" s="10" t="s">
        <v>58</v>
      </c>
      <c r="H19" s="6">
        <f>IF('Input Sheet'!C21="","",100-'Input Sheet'!C21)</f>
        <v>50</v>
      </c>
      <c r="I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9" s="6" t="str">
        <f t="shared" si="0"/>
        <v>very fine to medium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19" s="6" t="str">
        <f>IF('Input Sheet'!F21=0, "NO",CONCATENATE('Input Sheet'!F21, IF('Input Sheet'!F21&gt;0,"% ","")))</f>
        <v xml:space="preserve">30% </v>
      </c>
      <c r="M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Mnr</v>
      </c>
      <c r="N19" s="6" t="str">
        <f>CONCATENATE(M19, IF('Input Sheet'!J21="",""," siderite in "))</f>
        <v xml:space="preserve">Mnr siderite in </v>
      </c>
      <c r="O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Mnr</v>
      </c>
      <c r="P19" s="6" t="str">
        <f>CONCATENATE(O19, IF('Input Sheet'!K21="",""," siderite in "))</f>
        <v xml:space="preserve">Mnr siderite in </v>
      </c>
    </row>
    <row r="20" spans="1:16" x14ac:dyDescent="0.25">
      <c r="A20" s="17" t="str">
        <f>IF('Input Sheet'!C22="","",CONCATENATE("Sample ", 'Input Sheet'!B22, "m: ", N20, H20, "% ", "Siltstone, ", P20, 'Input Sheet'!C22, "% ", J20, " Sandstone, ", L20, K20, " FLUOR in SST. ", "TG ", 'Input Sheet'!I22, "U"))</f>
        <v>Sample 1630m: Mnr siderite in 50% Siltstone, Mnr siderite in 50% very fine to medium Sandstone, 20% dull  to  bright FLUOR in SST. TG 20U</v>
      </c>
      <c r="B20" s="3" t="str">
        <f>IF('Input Sheet'!C22="","",CONCATENATE("Sample ", 'Input Sheet'!B22, "m: ", O20, I20, "% ", "Siltstone, ", Q20, 'Input Sheet'!C22, "% ", K20, " Sandstone "))</f>
        <v xml:space="preserve">Sample 1630m: Mnrveryfine to medium% Siltstone, 50% dull  to  bright Sandstone </v>
      </c>
      <c r="C20" s="3" t="str">
        <f>IF('Input Sheet'!C22="","",CONCATENATE("Sample ", 'Input Sheet'!B22, "m: ", N20,, L20, K20, " FLUOR in SST. ", "TG ", 'Input Sheet'!I22, "U"))</f>
        <v>Sample 1630m: Mnr siderite in 20% dull  to  bright FLUOR in SST. TG 20U</v>
      </c>
      <c r="E20" s="9"/>
      <c r="F20" s="10"/>
      <c r="H20" s="6">
        <f>IF('Input Sheet'!C22="","",100-'Input Sheet'!C22)</f>
        <v>50</v>
      </c>
      <c r="I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20" s="6" t="str">
        <f t="shared" si="0"/>
        <v>very fine to medium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20" s="6" t="str">
        <f>IF('Input Sheet'!F22=0, "NO",CONCATENATE('Input Sheet'!F22, IF('Input Sheet'!F22&gt;0,"% ","")))</f>
        <v xml:space="preserve">20% </v>
      </c>
      <c r="M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Mnr</v>
      </c>
      <c r="N20" s="6" t="str">
        <f>CONCATENATE(M20, IF('Input Sheet'!J22="",""," siderite in "))</f>
        <v xml:space="preserve">Mnr siderite in </v>
      </c>
      <c r="O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Mnr</v>
      </c>
      <c r="P20" s="6" t="str">
        <f>CONCATENATE(O20, IF('Input Sheet'!K22="",""," siderite in "))</f>
        <v xml:space="preserve">Mnr siderite in </v>
      </c>
    </row>
    <row r="21" spans="1:16" x14ac:dyDescent="0.25">
      <c r="A21" s="17" t="str">
        <f>IF('Input Sheet'!C23="","",CONCATENATE("Sample ", 'Input Sheet'!B23, "m: ", N21, H21, "% ", "Siltstone, ", P21, 'Input Sheet'!C23, "% ", J21, " Sandstone, ", L21, K21, " FLUOR in SST. ", "TG ", 'Input Sheet'!I23, "U"))</f>
        <v>Sample 1635m: Tr siderite in 30% Siltstone, Tr siderite in 70% very fine to medium Sandstone, 60% dull  to  bright FLUOR in SST. TG 250U</v>
      </c>
      <c r="B21" s="3" t="str">
        <f>IF('Input Sheet'!C23="","",CONCATENATE("Sample ", 'Input Sheet'!B23, "m: ", O21, I21, "% ", "Siltstone, ", Q21, 'Input Sheet'!C23, "% ", K21, " Sandstone "))</f>
        <v xml:space="preserve">Sample 1635m: Trveryfine to medium% Siltstone, 70% dull  to  bright Sandstone </v>
      </c>
      <c r="C21" s="3" t="str">
        <f>IF('Input Sheet'!C23="","",CONCATENATE("Sample ", 'Input Sheet'!B23, "m: ", N21,, L21, K21, " FLUOR in SST. ", "TG ", 'Input Sheet'!I23, "U"))</f>
        <v>Sample 1635m: Tr siderite in 60% dull  to  bright FLUOR in SST. TG 250U</v>
      </c>
      <c r="E21" s="9"/>
      <c r="F21" s="10"/>
      <c r="H21" s="6">
        <f>IF('Input Sheet'!C23="","",100-'Input Sheet'!C23)</f>
        <v>30</v>
      </c>
      <c r="I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21" s="6" t="str">
        <f t="shared" si="0"/>
        <v>very fine to medium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 to  bright</v>
      </c>
      <c r="L21" s="6" t="str">
        <f>IF('Input Sheet'!F23=0, "NO",CONCATENATE('Input Sheet'!F23, IF('Input Sheet'!F23&gt;0,"% ","")))</f>
        <v xml:space="preserve">60% </v>
      </c>
      <c r="M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N21" s="6" t="str">
        <f>CONCATENATE(M21, IF('Input Sheet'!J23="",""," siderite in "))</f>
        <v xml:space="preserve">Tr siderite in </v>
      </c>
      <c r="O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21" s="6" t="str">
        <f>CONCATENATE(O21, IF('Input Sheet'!K23="",""," siderite in "))</f>
        <v xml:space="preserve">Tr siderite in </v>
      </c>
    </row>
    <row r="22" spans="1:16" x14ac:dyDescent="0.25">
      <c r="A22" s="17" t="str">
        <f>IF('Input Sheet'!C24="","",CONCATENATE("Sample ", 'Input Sheet'!B24, "m: ", N22, H22, "% ", "Siltstone, ", P22, 'Input Sheet'!C24, "% ", J22, " Sandstone, ", L22, K22, " FLUOR in SST. ", "TG ", 'Input Sheet'!I24, "U"))</f>
        <v>Sample 1640m: 10% Siltstone, Tr siderite in 90% fine to medium Sandstone, 100% moderately bright  to  bright FLUOR in SST. TG 255U</v>
      </c>
      <c r="B22" s="3" t="str">
        <f>IF('Input Sheet'!C24="","",CONCATENATE("Sample ", 'Input Sheet'!B24, "m: ", O22, I22, "% ", "Siltstone, ", Q22, 'Input Sheet'!C24, "% ", K22, " Sandstone "))</f>
        <v xml:space="preserve">Sample 1640m: Trfine to medium% Siltstone, 90% moderately bright  to  bright Sandstone </v>
      </c>
      <c r="C22" s="3" t="str">
        <f>IF('Input Sheet'!C24="","",CONCATENATE("Sample ", 'Input Sheet'!B24, "m: ", N22,, L22, K22, " FLUOR in SST. ", "TG ", 'Input Sheet'!I24, "U"))</f>
        <v>Sample 1640m: 100% moderately bright  to  bright FLUOR in SST. TG 255U</v>
      </c>
      <c r="E22" s="9"/>
      <c r="F22" s="10"/>
      <c r="H22" s="6">
        <f>IF('Input Sheet'!C24="","",100-'Input Sheet'!C24)</f>
        <v>10</v>
      </c>
      <c r="I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22" s="6" t="str">
        <f t="shared" si="0"/>
        <v>fine to medium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22" s="6" t="str">
        <f>IF('Input Sheet'!F24=0, "NO",CONCATENATE('Input Sheet'!F24, IF('Input Sheet'!F24&gt;0,"% ","")))</f>
        <v xml:space="preserve">100% </v>
      </c>
      <c r="M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" s="6" t="str">
        <f>CONCATENATE(M22, IF('Input Sheet'!J24="",""," siderite in "))</f>
        <v/>
      </c>
      <c r="O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22" s="6" t="str">
        <f>CONCATENATE(O22, IF('Input Sheet'!K24="",""," siderite in "))</f>
        <v xml:space="preserve">Tr siderite in </v>
      </c>
    </row>
    <row r="23" spans="1:16" x14ac:dyDescent="0.25">
      <c r="A23" s="17" t="str">
        <f>IF('Input Sheet'!C25="","",CONCATENATE("Sample ", 'Input Sheet'!B25, "m: ", N23, H23, "% ", "Siltstone, ", P23, 'Input Sheet'!C25, "% ", J23, " Sandstone, ", L23, K23, " FLUOR in SST. ", "TG ", 'Input Sheet'!I25, "U"))</f>
        <v>Sample 1645m: 0% Siltstone, Tr siderite in 100% fine to medium, rare coarse Sandstone, 100% moderately bright  to  bright FLUOR in SST. TG 267U</v>
      </c>
      <c r="B23" s="3" t="str">
        <f>IF('Input Sheet'!C25="","",CONCATENATE("Sample ", 'Input Sheet'!B25, "m: ", O23, I23, "% ", "Siltstone, ", Q23, 'Input Sheet'!C25, "% ", K23, " Sandstone "))</f>
        <v xml:space="preserve">Sample 1645m: Trfine to medium, rare coarse% Siltstone, 100% moderately bright  to  bright Sandstone </v>
      </c>
      <c r="C23" s="3" t="str">
        <f>IF('Input Sheet'!C25="","",CONCATENATE("Sample ", 'Input Sheet'!B25, "m: ", N23,, L23, K23, " FLUOR in SST. ", "TG ", 'Input Sheet'!I25, "U"))</f>
        <v>Sample 1645m: 100% moderately bright  to  bright FLUOR in SST. TG 267U</v>
      </c>
      <c r="E23" s="9"/>
      <c r="F23" s="10"/>
      <c r="H23" s="6">
        <f>IF('Input Sheet'!C25="","",100-'Input Sheet'!C25)</f>
        <v>0</v>
      </c>
      <c r="I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 rare coarse</v>
      </c>
      <c r="J23" s="6" t="str">
        <f t="shared" si="0"/>
        <v>fine to medium, rare coarse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23" s="6" t="str">
        <f>IF('Input Sheet'!F25=0, "NO",CONCATENATE('Input Sheet'!F25, IF('Input Sheet'!F25&gt;0,"% ","")))</f>
        <v xml:space="preserve">100% </v>
      </c>
      <c r="M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" s="6" t="str">
        <f>CONCATENATE(M23, IF('Input Sheet'!J25="",""," siderite in "))</f>
        <v/>
      </c>
      <c r="O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23" s="6" t="str">
        <f>CONCATENATE(O23, IF('Input Sheet'!K25="",""," siderite in "))</f>
        <v xml:space="preserve">Tr siderite in </v>
      </c>
    </row>
    <row r="24" spans="1:16" x14ac:dyDescent="0.25">
      <c r="A24" s="17" t="str">
        <f>IF('Input Sheet'!C26="","",CONCATENATE("Sample ", 'Input Sheet'!B26, "m: ", N24, H24, "% ", "Siltstone, ", P24, 'Input Sheet'!C26, "% ", J24, " Sandstone, ", L24, K24, " FLUOR in SST. ", "TG ", 'Input Sheet'!I26, "U"))</f>
        <v>Sample 1650m: 5% Siltstone, 95% fine to coarse Sandstone, 100% bright FLUOR in SST. TG 224U</v>
      </c>
      <c r="B24" s="3" t="str">
        <f>IF('Input Sheet'!C26="","",CONCATENATE("Sample ", 'Input Sheet'!B26, "m: ", O24, I24, "% ", "Siltstone, ", Q24, 'Input Sheet'!C26, "% ", K24, " Sandstone "))</f>
        <v xml:space="preserve">Sample 1650m: fine to coarse% Siltstone, 95% bright Sandstone </v>
      </c>
      <c r="C24" s="3" t="str">
        <f>IF('Input Sheet'!C26="","",CONCATENATE("Sample ", 'Input Sheet'!B26, "m: ", N24,, L24, K24, " FLUOR in SST. ", "TG ", 'Input Sheet'!I26, "U"))</f>
        <v>Sample 1650m: 100% bright FLUOR in SST. TG 224U</v>
      </c>
      <c r="E24" s="9"/>
      <c r="F24" s="10"/>
      <c r="H24" s="6">
        <f>IF('Input Sheet'!C26="","",100-'Input Sheet'!C26)</f>
        <v>5</v>
      </c>
      <c r="I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24" s="6" t="str">
        <f t="shared" si="0"/>
        <v>fine to coarse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4" s="6" t="str">
        <f>IF('Input Sheet'!F26=0, "NO",CONCATENATE('Input Sheet'!F26, IF('Input Sheet'!F26&gt;0,"% ","")))</f>
        <v xml:space="preserve">100% </v>
      </c>
      <c r="M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" s="6" t="str">
        <f>CONCATENATE(M24, IF('Input Sheet'!J26="",""," siderite in "))</f>
        <v/>
      </c>
      <c r="O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" s="6" t="str">
        <f>CONCATENATE(O24, IF('Input Sheet'!K26="",""," siderite in "))</f>
        <v/>
      </c>
    </row>
    <row r="25" spans="1:16" x14ac:dyDescent="0.25">
      <c r="A25" s="17" t="str">
        <f>IF('Input Sheet'!C27="","",CONCATENATE("Sample ", 'Input Sheet'!B27, "m: ", N25, H25, "% ", "Siltstone, ", P25, 'Input Sheet'!C27, "% ", J25, " Sandstone, ", L25, K25, " FLUOR in SST. ", "TG ", 'Input Sheet'!I27, "U"))</f>
        <v>Sample 1655m: 0% Siltstone, Tr siderite in 100% fine to coarse Sandstone, 100% bright FLUOR in SST. TG 235U</v>
      </c>
      <c r="B25" s="3" t="str">
        <f>IF('Input Sheet'!C27="","",CONCATENATE("Sample ", 'Input Sheet'!B27, "m: ", O25, I25, "% ", "Siltstone, ", Q25, 'Input Sheet'!C27, "% ", K25, " Sandstone "))</f>
        <v xml:space="preserve">Sample 1655m: Trfine to coarse% Siltstone, 100% bright Sandstone </v>
      </c>
      <c r="C25" s="3" t="str">
        <f>IF('Input Sheet'!C27="","",CONCATENATE("Sample ", 'Input Sheet'!B27, "m: ", N25,, L25, K25, " FLUOR in SST. ", "TG ", 'Input Sheet'!I27, "U"))</f>
        <v>Sample 1655m: 100% bright FLUOR in SST. TG 235U</v>
      </c>
      <c r="E25" s="9"/>
      <c r="F25" s="10"/>
      <c r="H25" s="6">
        <f>IF('Input Sheet'!C27="","",100-'Input Sheet'!C27)</f>
        <v>0</v>
      </c>
      <c r="I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25" s="6" t="str">
        <f t="shared" si="0"/>
        <v>fine to coarse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5" s="6" t="str">
        <f>IF('Input Sheet'!F27=0, "NO",CONCATENATE('Input Sheet'!F27, IF('Input Sheet'!F27&gt;0,"% ","")))</f>
        <v xml:space="preserve">100% </v>
      </c>
      <c r="M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" s="6" t="str">
        <f>CONCATENATE(M25, IF('Input Sheet'!J27="",""," siderite in "))</f>
        <v/>
      </c>
      <c r="O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</v>
      </c>
      <c r="P25" s="6" t="str">
        <f>CONCATENATE(O25, IF('Input Sheet'!K27="",""," siderite in "))</f>
        <v xml:space="preserve">Tr siderite in </v>
      </c>
    </row>
    <row r="26" spans="1:16" x14ac:dyDescent="0.25">
      <c r="A26" s="17" t="str">
        <f>IF('Input Sheet'!C28="","",CONCATENATE("Sample ", 'Input Sheet'!B28, "m: ", N26, H26, "% ", "Siltstone, ", P26, 'Input Sheet'!C28, "% ", J26, " Sandstone, ", L26, K26, " FLUOR in SST. ", "TG ", 'Input Sheet'!I28, "U"))</f>
        <v>Sample 1660m: 0% Siltstone, rare siderite in 100% dominantly fine to medium, rare coarse Sandstone, 100% bright FLUOR in SST. TG 185U</v>
      </c>
      <c r="B26" s="3" t="str">
        <f>IF('Input Sheet'!C28="","",CONCATENATE("Sample ", 'Input Sheet'!B28, "m: ", O26, I26, "% ", "Siltstone, ", Q26, 'Input Sheet'!C28, "% ", K26, " Sandstone "))</f>
        <v xml:space="preserve">Sample 1660m: raredominantly fine to medium, rare coarse% Siltstone, 100% bright Sandstone </v>
      </c>
      <c r="C26" s="3" t="str">
        <f>IF('Input Sheet'!C28="","",CONCATENATE("Sample ", 'Input Sheet'!B28, "m: ", N26,, L26, K26, " FLUOR in SST. ", "TG ", 'Input Sheet'!I28, "U"))</f>
        <v>Sample 1660m: 100% bright FLUOR in SST. TG 185U</v>
      </c>
      <c r="E26" s="9"/>
      <c r="F26" s="10"/>
      <c r="H26" s="6">
        <f>IF('Input Sheet'!C28="","",100-'Input Sheet'!C28)</f>
        <v>0</v>
      </c>
      <c r="I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 to medium, rare coarse</v>
      </c>
      <c r="J26" s="6" t="str">
        <f t="shared" si="0"/>
        <v>dominantly fine to medium, rare coarse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6" s="6" t="str">
        <f>IF('Input Sheet'!F28=0, "NO",CONCATENATE('Input Sheet'!F28, IF('Input Sheet'!F28&gt;0,"% ","")))</f>
        <v xml:space="preserve">100% </v>
      </c>
      <c r="M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" s="6" t="str">
        <f>CONCATENATE(M26, IF('Input Sheet'!J28="",""," siderite in "))</f>
        <v/>
      </c>
      <c r="O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26" s="6" t="str">
        <f>CONCATENATE(O26, IF('Input Sheet'!K28="",""," siderite in "))</f>
        <v xml:space="preserve">rare siderite in </v>
      </c>
    </row>
    <row r="27" spans="1:16" x14ac:dyDescent="0.25">
      <c r="A27" s="17" t="str">
        <f>IF('Input Sheet'!C29="","",CONCATENATE("Sample ", 'Input Sheet'!B29, "m: ", N27, H27, "% ", "Siltstone, ", P27, 'Input Sheet'!C29, "% ", J27, " Sandstone, ", L27, K27, " FLUOR in SST. ", "TG ", 'Input Sheet'!I29, "U"))</f>
        <v>Sample 1665m: 5% Siltstone, rare siderite in 95% very fine to medium, rare coarse Sandstone, 100% bright FLUOR in SST. TG 179U</v>
      </c>
      <c r="B27" s="3" t="str">
        <f>IF('Input Sheet'!C29="","",CONCATENATE("Sample ", 'Input Sheet'!B29, "m: ", O27, I27, "% ", "Siltstone, ", Q27, 'Input Sheet'!C29, "% ", K27, " Sandstone "))</f>
        <v xml:space="preserve">Sample 1665m: rareveryfine to medium, rare coarse% Siltstone, 95% bright Sandstone </v>
      </c>
      <c r="C27" s="3" t="str">
        <f>IF('Input Sheet'!C29="","",CONCATENATE("Sample ", 'Input Sheet'!B29, "m: ", N27,, L27, K27, " FLUOR in SST. ", "TG ", 'Input Sheet'!I29, "U"))</f>
        <v>Sample 1665m: 100% bright FLUOR in SST. TG 179U</v>
      </c>
      <c r="E27" s="9"/>
      <c r="F27" s="10"/>
      <c r="H27" s="6">
        <f>IF('Input Sheet'!C29="","",100-'Input Sheet'!C29)</f>
        <v>5</v>
      </c>
      <c r="I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rare coarse</v>
      </c>
      <c r="J27" s="6" t="str">
        <f t="shared" si="0"/>
        <v>very fine to medium, rare coarse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7" s="6" t="str">
        <f>IF('Input Sheet'!F29=0, "NO",CONCATENATE('Input Sheet'!F29, IF('Input Sheet'!F29&gt;0,"% ","")))</f>
        <v xml:space="preserve">100% </v>
      </c>
      <c r="M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" s="6" t="str">
        <f>CONCATENATE(M27, IF('Input Sheet'!J29="",""," siderite in "))</f>
        <v/>
      </c>
      <c r="O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27" s="6" t="str">
        <f>CONCATENATE(O27, IF('Input Sheet'!K29="",""," siderite in "))</f>
        <v xml:space="preserve">rare siderite in </v>
      </c>
    </row>
    <row r="28" spans="1:16" x14ac:dyDescent="0.25">
      <c r="A28" s="17" t="str">
        <f>IF('Input Sheet'!C30="","",CONCATENATE("Sample ", 'Input Sheet'!B30, "m: ", N28, H28, "% ", "Siltstone, ", P28, 'Input Sheet'!C30, "% ", J28, " Sandstone, ", L28, K28, " FLUOR in SST. ", "TG ", 'Input Sheet'!I30, "U"))</f>
        <v>Sample 1670m: 0% Siltstone, rare siderite in 100% very fine to coarse Sandstone, 100% bright FLUOR in SST. TG 218U</v>
      </c>
      <c r="B28" s="3" t="str">
        <f>IF('Input Sheet'!C30="","",CONCATENATE("Sample ", 'Input Sheet'!B30, "m: ", O28, I28, "% ", "Siltstone, ", Q28, 'Input Sheet'!C30, "% ", K28, " Sandstone "))</f>
        <v xml:space="preserve">Sample 1670m: rareveryfine to coarse% Siltstone, 100% bright Sandstone </v>
      </c>
      <c r="C28" s="3" t="str">
        <f>IF('Input Sheet'!C30="","",CONCATENATE("Sample ", 'Input Sheet'!B30, "m: ", N28,, L28, K28, " FLUOR in SST. ", "TG ", 'Input Sheet'!I30, "U"))</f>
        <v>Sample 1670m: 100% bright FLUOR in SST. TG 218U</v>
      </c>
      <c r="E28" s="9"/>
      <c r="F28" s="10"/>
      <c r="H28" s="6">
        <f>IF('Input Sheet'!C30="","",100-'Input Sheet'!C30)</f>
        <v>0</v>
      </c>
      <c r="I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28" s="6" t="str">
        <f t="shared" si="0"/>
        <v>very fine to coarse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28" s="6" t="str">
        <f>IF('Input Sheet'!F30=0, "NO",CONCATENATE('Input Sheet'!F30, IF('Input Sheet'!F30&gt;0,"% ","")))</f>
        <v xml:space="preserve">100% </v>
      </c>
      <c r="M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" s="6" t="str">
        <f>CONCATENATE(M28, IF('Input Sheet'!J30="",""," siderite in "))</f>
        <v/>
      </c>
      <c r="O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28" s="6" t="str">
        <f>CONCATENATE(O28, IF('Input Sheet'!K30="",""," siderite in "))</f>
        <v xml:space="preserve">rare siderite in </v>
      </c>
    </row>
    <row r="29" spans="1:16" x14ac:dyDescent="0.25">
      <c r="A29" s="17" t="str">
        <f>IF('Input Sheet'!C31="","",CONCATENATE("Sample ", 'Input Sheet'!B31, "m: ", N29, H29, "% ", "Siltstone, ", P29, 'Input Sheet'!C31, "% ", J29, " Sandstone, ", L29, K29, " FLUOR in SST. ", "TG ", 'Input Sheet'!I31, "U"))</f>
        <v>Sample 1675m: 0% Siltstone, rare siderite in 100% very fine to coarse Sandstone, 100% moderately bright  to  bright FLUOR in SST. TG 378U</v>
      </c>
      <c r="B29" s="3" t="str">
        <f>IF('Input Sheet'!C31="","",CONCATENATE("Sample ", 'Input Sheet'!B31, "m: ", O29, I29, "% ", "Siltstone, ", Q29, 'Input Sheet'!C31, "% ", K29, " Sandstone "))</f>
        <v xml:space="preserve">Sample 1675m: rareveryfine to coarse% Siltstone, 100% moderately bright  to  bright Sandstone </v>
      </c>
      <c r="C29" s="3" t="str">
        <f>IF('Input Sheet'!C31="","",CONCATENATE("Sample ", 'Input Sheet'!B31, "m: ", N29,, L29, K29, " FLUOR in SST. ", "TG ", 'Input Sheet'!I31, "U"))</f>
        <v>Sample 1675m: 100% moderately bright  to  bright FLUOR in SST. TG 378U</v>
      </c>
      <c r="E29" s="9"/>
      <c r="F29" s="10"/>
      <c r="H29" s="6">
        <f>IF('Input Sheet'!C31="","",100-'Input Sheet'!C31)</f>
        <v>0</v>
      </c>
      <c r="I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29" s="6" t="str">
        <f t="shared" si="0"/>
        <v>very fine to coarse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29" s="6" t="str">
        <f>IF('Input Sheet'!F31=0, "NO",CONCATENATE('Input Sheet'!F31, IF('Input Sheet'!F31&gt;0,"% ","")))</f>
        <v xml:space="preserve">100% </v>
      </c>
      <c r="M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" s="6" t="str">
        <f>CONCATENATE(M29, IF('Input Sheet'!J31="",""," siderite in "))</f>
        <v/>
      </c>
      <c r="O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29" s="6" t="str">
        <f>CONCATENATE(O29, IF('Input Sheet'!K31="",""," siderite in "))</f>
        <v xml:space="preserve">rare siderite in </v>
      </c>
    </row>
    <row r="30" spans="1:16" x14ac:dyDescent="0.25">
      <c r="A30" s="17" t="str">
        <f>IF('Input Sheet'!C32="","",CONCATENATE("Sample ", 'Input Sheet'!B32, "m: ", N30, H30, "% ", "Siltstone, ", P30, 'Input Sheet'!C32, "% ", J30, " Sandstone, ", L30, K30, " FLUOR in SST. ", "TG ", 'Input Sheet'!I32, "U"))</f>
        <v>Sample 1680m: 0% Siltstone, rare siderite in 100% fine to coarse Sandstone, 100% moderately bright  to  bright FLUOR in SST. TG 370U</v>
      </c>
      <c r="B30" s="3" t="str">
        <f>IF('Input Sheet'!C32="","",CONCATENATE("Sample ", 'Input Sheet'!B32, "m: ", O30, I30, "% ", "Siltstone, ", Q30, 'Input Sheet'!C32, "% ", K30, " Sandstone "))</f>
        <v xml:space="preserve">Sample 1680m: rarefine to coarse% Siltstone, 100% moderately bright  to  bright Sandstone </v>
      </c>
      <c r="C30" s="3" t="str">
        <f>IF('Input Sheet'!C32="","",CONCATENATE("Sample ", 'Input Sheet'!B32, "m: ", N30,, L30, K30, " FLUOR in SST. ", "TG ", 'Input Sheet'!I32, "U"))</f>
        <v>Sample 1680m: 100% moderately bright  to  bright FLUOR in SST. TG 370U</v>
      </c>
      <c r="E30" s="9"/>
      <c r="F30" s="10"/>
      <c r="H30" s="6">
        <f>IF('Input Sheet'!C32="","",100-'Input Sheet'!C32)</f>
        <v>0</v>
      </c>
      <c r="I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30" s="6" t="str">
        <f t="shared" si="0"/>
        <v>fine to coarse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0" s="6" t="str">
        <f>IF('Input Sheet'!F32=0, "NO",CONCATENATE('Input Sheet'!F32, IF('Input Sheet'!F32&gt;0,"% ","")))</f>
        <v xml:space="preserve">100% </v>
      </c>
      <c r="M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" s="6" t="str">
        <f>CONCATENATE(M30, IF('Input Sheet'!J32="",""," siderite in "))</f>
        <v/>
      </c>
      <c r="O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30" s="6" t="str">
        <f>CONCATENATE(O30, IF('Input Sheet'!K32="",""," siderite in "))</f>
        <v xml:space="preserve">rare siderite in </v>
      </c>
    </row>
    <row r="31" spans="1:16" x14ac:dyDescent="0.25">
      <c r="A31" s="17" t="str">
        <f>IF('Input Sheet'!C33="","",CONCATENATE("Sample ", 'Input Sheet'!B33, "m: ", N31, H31, "% ", "Siltstone, ", P31, 'Input Sheet'!C33, "% ", J31, " Sandstone, ", L31, K31, " FLUOR in SST. ", "TG ", 'Input Sheet'!I33, "U"))</f>
        <v>Sample 1690m:   siderite in 0% Siltstone, 100% fine to verycoarse Sandstone, 100% bright FLUOR in SST. TG 312U</v>
      </c>
      <c r="B31" s="3" t="str">
        <f>IF('Input Sheet'!C33="","",CONCATENATE("Sample ", 'Input Sheet'!B33, "m: ", O31, I31, "% ", "Siltstone, ", Q31, 'Input Sheet'!C33, "% ", K31, " Sandstone "))</f>
        <v xml:space="preserve">Sample 1690m: fine to verycoarse% Siltstone, 100% bright Sandstone </v>
      </c>
      <c r="C31" s="3" t="str">
        <f>IF('Input Sheet'!C33="","",CONCATENATE("Sample ", 'Input Sheet'!B33, "m: ", N31,, L31, K31, " FLUOR in SST. ", "TG ", 'Input Sheet'!I33, "U"))</f>
        <v>Sample 1690m:   siderite in 100% bright FLUOR in SST. TG 312U</v>
      </c>
      <c r="E31" s="9"/>
      <c r="F31" s="10"/>
      <c r="H31" s="6">
        <f>IF('Input Sheet'!C33="","",100-'Input Sheet'!C33)</f>
        <v>0</v>
      </c>
      <c r="I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verycoarse</v>
      </c>
      <c r="J31" s="6" t="str">
        <f t="shared" si="0"/>
        <v>fine to verycoarse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1" s="6" t="str">
        <f>IF('Input Sheet'!F33=0, "NO",CONCATENATE('Input Sheet'!F33, IF('Input Sheet'!F33&gt;0,"% ","")))</f>
        <v xml:space="preserve">100% </v>
      </c>
      <c r="M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 </v>
      </c>
      <c r="N31" s="6" t="str">
        <f>CONCATENATE(M31, IF('Input Sheet'!J33="",""," siderite in "))</f>
        <v xml:space="preserve">  siderite in </v>
      </c>
      <c r="O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" s="6" t="str">
        <f>CONCATENATE(O31, IF('Input Sheet'!K33="",""," siderite in "))</f>
        <v/>
      </c>
    </row>
    <row r="32" spans="1:16" x14ac:dyDescent="0.25">
      <c r="A32" s="17" t="str">
        <f>IF('Input Sheet'!C34="","",CONCATENATE("Sample ", 'Input Sheet'!B34, "m: ", N32, H32, "% ", "Siltstone, ", P32, 'Input Sheet'!C34, "% ", J32, " Sandstone, ", L32, K32, " FLUOR in SST. ", "TG ", 'Input Sheet'!I34, "U"))</f>
        <v>Sample 1700m: 0% Siltstone, 100% very fine to verycoarse Sandstone, 100% bright FLUOR in SST. TG 399U</v>
      </c>
      <c r="B32" s="3" t="str">
        <f>IF('Input Sheet'!C34="","",CONCATENATE("Sample ", 'Input Sheet'!B34, "m: ", O32, I32, "% ", "Siltstone, ", Q32, 'Input Sheet'!C34, "% ", K32, " Sandstone "))</f>
        <v xml:space="preserve">Sample 1700m: veryfine to verycoarse% Siltstone, 100% bright Sandstone </v>
      </c>
      <c r="C32" s="3" t="str">
        <f>IF('Input Sheet'!C34="","",CONCATENATE("Sample ", 'Input Sheet'!B34, "m: ", N32,, L32, K32, " FLUOR in SST. ", "TG ", 'Input Sheet'!I34, "U"))</f>
        <v>Sample 1700m: 100% bright FLUOR in SST. TG 399U</v>
      </c>
      <c r="E32" s="9"/>
      <c r="F32" s="10"/>
      <c r="H32" s="6">
        <f>IF('Input Sheet'!C34="","",100-'Input Sheet'!C34)</f>
        <v>0</v>
      </c>
      <c r="I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32" s="6" t="str">
        <f t="shared" si="0"/>
        <v>very fine to verycoarse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2" s="6" t="str">
        <f>IF('Input Sheet'!F34=0, "NO",CONCATENATE('Input Sheet'!F34, IF('Input Sheet'!F34&gt;0,"% ","")))</f>
        <v xml:space="preserve">100% </v>
      </c>
      <c r="M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" s="6" t="str">
        <f>CONCATENATE(M32, IF('Input Sheet'!J34="",""," siderite in "))</f>
        <v/>
      </c>
      <c r="O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" s="6" t="str">
        <f>CONCATENATE(O32, IF('Input Sheet'!K34="",""," siderite in "))</f>
        <v/>
      </c>
    </row>
    <row r="33" spans="1:16" x14ac:dyDescent="0.25">
      <c r="A33" s="17" t="str">
        <f>IF('Input Sheet'!C35="","",CONCATENATE("Sample ", 'Input Sheet'!B35, "m: ", N33, H33, "% ", "Siltstone, ", P33, 'Input Sheet'!C35, "% ", J33, " Sandstone, ", L33, K33, " FLUOR in SST. ", "TG ", 'Input Sheet'!I35, "U"))</f>
        <v>Sample 1710m: 0% Siltstone, 100% fine to coarse Sandstone, 100% bright FLUOR in SST. TG 340U</v>
      </c>
      <c r="B33" s="3" t="str">
        <f>IF('Input Sheet'!C35="","",CONCATENATE("Sample ", 'Input Sheet'!B35, "m: ", O33, I33, "% ", "Siltstone, ", Q33, 'Input Sheet'!C35, "% ", K33, " Sandstone "))</f>
        <v xml:space="preserve">Sample 1710m: fine to coarse% Siltstone, 100% bright Sandstone </v>
      </c>
      <c r="C33" s="3" t="str">
        <f>IF('Input Sheet'!C35="","",CONCATENATE("Sample ", 'Input Sheet'!B35, "m: ", N33,, L33, K33, " FLUOR in SST. ", "TG ", 'Input Sheet'!I35, "U"))</f>
        <v>Sample 1710m: 100% bright FLUOR in SST. TG 340U</v>
      </c>
      <c r="E33" s="11"/>
      <c r="F33" s="12"/>
      <c r="H33" s="6">
        <f>IF('Input Sheet'!C35="","",100-'Input Sheet'!C35)</f>
        <v>0</v>
      </c>
      <c r="I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33" s="6" t="str">
        <f t="shared" si="0"/>
        <v>fine to coarse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3" s="6" t="str">
        <f>IF('Input Sheet'!F35=0, "NO",CONCATENATE('Input Sheet'!F35, IF('Input Sheet'!F35&gt;0,"% ","")))</f>
        <v xml:space="preserve">100% </v>
      </c>
      <c r="M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" s="6" t="str">
        <f>CONCATENATE(M33, IF('Input Sheet'!J35="",""," siderite in "))</f>
        <v/>
      </c>
      <c r="O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" s="6" t="str">
        <f>CONCATENATE(O33, IF('Input Sheet'!K35="",""," siderite in "))</f>
        <v/>
      </c>
    </row>
    <row r="34" spans="1:16" x14ac:dyDescent="0.25">
      <c r="A34" s="17" t="str">
        <f>IF('Input Sheet'!C36="","",CONCATENATE("Sample ", 'Input Sheet'!B36, "m: ", N34, H34, "% ", "Siltstone, ", P34, 'Input Sheet'!C36, "% ", J34, " Sandstone, ", L34, K34, " FLUOR in SST. ", "TG ", 'Input Sheet'!I36, "U"))</f>
        <v>Sample 1720m: 0% Siltstone, 100% fine to coarse Sandstone, 100% bright FLUOR in SST. TG 432U</v>
      </c>
      <c r="B34" s="3" t="str">
        <f>IF('Input Sheet'!C36="","",CONCATENATE("Sample ", 'Input Sheet'!B36, "m: ", O34, I34, "% ", "Siltstone, ", Q34, 'Input Sheet'!C36, "% ", K34, " Sandstone "))</f>
        <v xml:space="preserve">Sample 1720m: fine to coarse% Siltstone, 100% bright Sandstone </v>
      </c>
      <c r="C34" s="3" t="str">
        <f>IF('Input Sheet'!C36="","",CONCATENATE("Sample ", 'Input Sheet'!B36, "m: ", N34,, L34, K34, " FLUOR in SST. ", "TG ", 'Input Sheet'!I36, "U"))</f>
        <v>Sample 1720m: 100% bright FLUOR in SST. TG 432U</v>
      </c>
      <c r="H34" s="6">
        <f>IF('Input Sheet'!C36="","",100-'Input Sheet'!C36)</f>
        <v>0</v>
      </c>
      <c r="I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34" s="6" t="str">
        <f t="shared" si="0"/>
        <v>fine to coarse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4" s="6" t="str">
        <f>IF('Input Sheet'!F36=0, "NO",CONCATENATE('Input Sheet'!F36, IF('Input Sheet'!F36&gt;0,"% ","")))</f>
        <v xml:space="preserve">100% </v>
      </c>
      <c r="M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" s="6" t="str">
        <f>CONCATENATE(M34, IF('Input Sheet'!J36="",""," siderite in "))</f>
        <v/>
      </c>
      <c r="O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" s="6" t="str">
        <f>CONCATENATE(O34, IF('Input Sheet'!K36="",""," siderite in "))</f>
        <v/>
      </c>
    </row>
    <row r="35" spans="1:16" x14ac:dyDescent="0.25">
      <c r="A35" s="17" t="str">
        <f>IF('Input Sheet'!C37="","",CONCATENATE("Sample ", 'Input Sheet'!B37, "m: ", N35, H35, "% ", "Siltstone, ", P35, 'Input Sheet'!C37, "% ", J35, " Sandstone, ", L35, K35, " FLUOR in SST. ", "TG ", 'Input Sheet'!I37, "U"))</f>
        <v>Sample 1730m: 5% Siltstone, 95% fine to medium,trace coarse Sandstone, 100% bright FLUOR in SST. TG 404U</v>
      </c>
      <c r="B35" s="3" t="str">
        <f>IF('Input Sheet'!C37="","",CONCATENATE("Sample ", 'Input Sheet'!B37, "m: ", O35, I35, "% ", "Siltstone, ", Q35, 'Input Sheet'!C37, "% ", K35, " Sandstone "))</f>
        <v xml:space="preserve">Sample 1730m: fine to medium,trace coarse% Siltstone, 95% bright Sandstone </v>
      </c>
      <c r="C35" s="3" t="str">
        <f>IF('Input Sheet'!C37="","",CONCATENATE("Sample ", 'Input Sheet'!B37, "m: ", N35,, L35, K35, " FLUOR in SST. ", "TG ", 'Input Sheet'!I37, "U"))</f>
        <v>Sample 1730m: 100% bright FLUOR in SST. TG 404U</v>
      </c>
      <c r="H35" s="6">
        <f>IF('Input Sheet'!C37="","",100-'Input Sheet'!C37)</f>
        <v>5</v>
      </c>
      <c r="I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medium,trace coarse</v>
      </c>
      <c r="J35" s="6" t="str">
        <f t="shared" si="0"/>
        <v>fine to medium,trace coarse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5" s="6" t="str">
        <f>IF('Input Sheet'!F37=0, "NO",CONCATENATE('Input Sheet'!F37, IF('Input Sheet'!F37&gt;0,"% ","")))</f>
        <v xml:space="preserve">100% </v>
      </c>
      <c r="M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" s="6" t="str">
        <f>CONCATENATE(M35, IF('Input Sheet'!J37="",""," siderite in "))</f>
        <v/>
      </c>
      <c r="O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" s="6" t="str">
        <f>CONCATENATE(O35, IF('Input Sheet'!K37="",""," siderite in "))</f>
        <v/>
      </c>
    </row>
    <row r="36" spans="1:16" x14ac:dyDescent="0.25">
      <c r="A36" s="17" t="str">
        <f>IF('Input Sheet'!C38="","",CONCATENATE("Sample ", 'Input Sheet'!B38, "m: ", N36, H36, "% ", "Siltstone, ", P36, 'Input Sheet'!C38, "% ", J36, " Sandstone, ", L36, K36, " FLUOR in SST. ", "TG ", 'Input Sheet'!I38, "U"))</f>
        <v>Sample 1740m: 10% Siltstone, 90% fine to coarse Sandstone, 100% bright FLUOR in SST. TG 351U</v>
      </c>
      <c r="B36" s="3" t="str">
        <f>IF('Input Sheet'!C38="","",CONCATENATE("Sample ", 'Input Sheet'!B38, "m: ", O36, I36, "% ", "Siltstone, ", Q36, 'Input Sheet'!C38, "% ", K36, " Sandstone "))</f>
        <v xml:space="preserve">Sample 1740m: fine to coarse% Siltstone, 90% bright Sandstone </v>
      </c>
      <c r="C36" s="3" t="str">
        <f>IF('Input Sheet'!C38="","",CONCATENATE("Sample ", 'Input Sheet'!B38, "m: ", N36,, L36, K36, " FLUOR in SST. ", "TG ", 'Input Sheet'!I38, "U"))</f>
        <v>Sample 1740m: 100% bright FLUOR in SST. TG 351U</v>
      </c>
      <c r="H36" s="6">
        <f>IF('Input Sheet'!C38="","",100-'Input Sheet'!C38)</f>
        <v>10</v>
      </c>
      <c r="I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36" s="6" t="str">
        <f t="shared" si="0"/>
        <v>fine to coarse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36" s="6" t="str">
        <f>IF('Input Sheet'!F38=0, "NO",CONCATENATE('Input Sheet'!F38, IF('Input Sheet'!F38&gt;0,"% ","")))</f>
        <v xml:space="preserve">100% </v>
      </c>
      <c r="M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" s="6" t="str">
        <f>CONCATENATE(M36, IF('Input Sheet'!J38="",""," siderite in "))</f>
        <v/>
      </c>
      <c r="O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" s="6" t="str">
        <f>CONCATENATE(O36, IF('Input Sheet'!K38="",""," siderite in "))</f>
        <v/>
      </c>
    </row>
    <row r="37" spans="1:16" x14ac:dyDescent="0.25">
      <c r="A37" s="17" t="str">
        <f>IF('Input Sheet'!C39="","",CONCATENATE("Sample ", 'Input Sheet'!B39, "m: ", N37, H37, "% ", "Siltstone, ", P37, 'Input Sheet'!C39, "% ", J37, " Sandstone, ", L37, K37, " FLUOR in SST. ", "TG ", 'Input Sheet'!I39, "U"))</f>
        <v>Sample 1750m: 0% Siltstone, 100% fine to medium,trace coarse Sandstone, 100% moderately bright  to  bright FLUOR in SST. TG 478U</v>
      </c>
      <c r="B37" s="3" t="str">
        <f>IF('Input Sheet'!C39="","",CONCATENATE("Sample ", 'Input Sheet'!B39, "m: ", O37, I37, "% ", "Siltstone, ", Q37, 'Input Sheet'!C39, "% ", K37, " Sandstone "))</f>
        <v xml:space="preserve">Sample 1750m: fine to medium,trace coarse% Siltstone, 100% moderately bright  to  bright Sandstone </v>
      </c>
      <c r="C37" s="3" t="str">
        <f>IF('Input Sheet'!C39="","",CONCATENATE("Sample ", 'Input Sheet'!B39, "m: ", N37,, L37, K37, " FLUOR in SST. ", "TG ", 'Input Sheet'!I39, "U"))</f>
        <v>Sample 1750m: 100% moderately bright  to  bright FLUOR in SST. TG 478U</v>
      </c>
      <c r="H37" s="6">
        <f>IF('Input Sheet'!C39="","",100-'Input Sheet'!C39)</f>
        <v>0</v>
      </c>
      <c r="I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medium,trace coarse</v>
      </c>
      <c r="J37" s="6" t="str">
        <f t="shared" si="0"/>
        <v>fine to medium,trace coarse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7" s="6" t="str">
        <f>IF('Input Sheet'!F39=0, "NO",CONCATENATE('Input Sheet'!F39, IF('Input Sheet'!F39&gt;0,"% ","")))</f>
        <v xml:space="preserve">100% </v>
      </c>
      <c r="M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" s="6" t="str">
        <f>CONCATENATE(M37, IF('Input Sheet'!J39="",""," siderite in "))</f>
        <v/>
      </c>
      <c r="O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" s="6" t="str">
        <f>CONCATENATE(O37, IF('Input Sheet'!K39="",""," siderite in "))</f>
        <v/>
      </c>
    </row>
    <row r="38" spans="1:16" x14ac:dyDescent="0.25">
      <c r="A38" s="17" t="str">
        <f>IF('Input Sheet'!C40="","",CONCATENATE("Sample ", 'Input Sheet'!B40, "m: ", N38, H38, "% ", "Siltstone, ", P38, 'Input Sheet'!C40, "% ", J38, " Sandstone, ", L38, K38, " FLUOR in SST. ", "TG ", 'Input Sheet'!I40, "U"))</f>
        <v>Sample 1760m: 0% Siltstone, 100% very fine to medium, rare coarse Sandstone, 100% moderately bright  to  bright FLUOR in SST. TG 311U</v>
      </c>
      <c r="B38" s="3" t="str">
        <f>IF('Input Sheet'!C40="","",CONCATENATE("Sample ", 'Input Sheet'!B40, "m: ", O38, I38, "% ", "Siltstone, ", Q38, 'Input Sheet'!C40, "% ", K38, " Sandstone "))</f>
        <v xml:space="preserve">Sample 1760m: veryfine to medium, rare coarse% Siltstone, 100% moderately bright  to  bright Sandstone </v>
      </c>
      <c r="C38" s="3" t="str">
        <f>IF('Input Sheet'!C40="","",CONCATENATE("Sample ", 'Input Sheet'!B40, "m: ", N38,, L38, K38, " FLUOR in SST. ", "TG ", 'Input Sheet'!I40, "U"))</f>
        <v>Sample 1760m: 100% moderately bright  to  bright FLUOR in SST. TG 311U</v>
      </c>
      <c r="H38" s="6">
        <f>IF('Input Sheet'!C40="","",100-'Input Sheet'!C40)</f>
        <v>0</v>
      </c>
      <c r="I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rare coarse</v>
      </c>
      <c r="J38" s="6" t="str">
        <f t="shared" si="0"/>
        <v>very fine to medium, rare coarse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38" s="6" t="str">
        <f>IF('Input Sheet'!F40=0, "NO",CONCATENATE('Input Sheet'!F40, IF('Input Sheet'!F40&gt;0,"% ","")))</f>
        <v xml:space="preserve">100% </v>
      </c>
      <c r="M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" s="6" t="str">
        <f>CONCATENATE(M38, IF('Input Sheet'!J40="",""," siderite in "))</f>
        <v/>
      </c>
      <c r="O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" s="6" t="str">
        <f>CONCATENATE(O38, IF('Input Sheet'!K40="",""," siderite in "))</f>
        <v/>
      </c>
    </row>
    <row r="39" spans="1:16" x14ac:dyDescent="0.25">
      <c r="A39" s="17" t="str">
        <f>IF('Input Sheet'!C41="","",CONCATENATE("Sample ", 'Input Sheet'!B41, "m: ", N39, H39, "% ", "Siltstone, ", P39, 'Input Sheet'!C41, "% ", J39, " Sandstone, ", L39, K39, " FLUOR in SST. ", "TG ", 'Input Sheet'!I41, "U"))</f>
        <v>Sample 1770m: 5% Siltstone, 95% fine to verycoarse Sandstone, 100% moderately bright to bright FLUOR in SST. TG 183U</v>
      </c>
      <c r="B39" s="3" t="str">
        <f>IF('Input Sheet'!C41="","",CONCATENATE("Sample ", 'Input Sheet'!B41, "m: ", O39, I39, "% ", "Siltstone, ", Q39, 'Input Sheet'!C41, "% ", K39, " Sandstone "))</f>
        <v xml:space="preserve">Sample 1770m: fine to verycoarse% Siltstone, 95% moderately bright to bright Sandstone </v>
      </c>
      <c r="C39" s="3" t="str">
        <f>IF('Input Sheet'!C41="","",CONCATENATE("Sample ", 'Input Sheet'!B41, "m: ", N39,, L39, K39, " FLUOR in SST. ", "TG ", 'Input Sheet'!I41, "U"))</f>
        <v>Sample 1770m: 100% moderately bright to bright FLUOR in SST. TG 183U</v>
      </c>
      <c r="H39" s="6">
        <f>IF('Input Sheet'!C41="","",100-'Input Sheet'!C41)</f>
        <v>5</v>
      </c>
      <c r="I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verycoarse</v>
      </c>
      <c r="J39" s="6" t="str">
        <f t="shared" si="0"/>
        <v>fine to verycoarse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39" s="6" t="str">
        <f>IF('Input Sheet'!F41=0, "NO",CONCATENATE('Input Sheet'!F41, IF('Input Sheet'!F41&gt;0,"% ","")))</f>
        <v xml:space="preserve">100% </v>
      </c>
      <c r="M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" s="6" t="str">
        <f>CONCATENATE(M39, IF('Input Sheet'!J41="",""," siderite in "))</f>
        <v/>
      </c>
      <c r="O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" s="6" t="str">
        <f>CONCATENATE(O39, IF('Input Sheet'!K41="",""," siderite in "))</f>
        <v/>
      </c>
    </row>
    <row r="40" spans="1:16" x14ac:dyDescent="0.25">
      <c r="A40" s="17" t="str">
        <f>IF('Input Sheet'!C42="","",CONCATENATE("Sample ", 'Input Sheet'!B42, "m: ", N40, H40, "% ", "Siltstone, ", P40, 'Input Sheet'!C42, "% ", J40, " Sandstone, ", L40, K40, " FLUOR in SST. ", "TG ", 'Input Sheet'!I42, "U"))</f>
        <v>Sample 1780m: 10% Siltstone, 90% very fine to coarse Sandstone, 80% bright FLUOR in SST. TG 160U</v>
      </c>
      <c r="B40" s="3" t="str">
        <f>IF('Input Sheet'!C42="","",CONCATENATE("Sample ", 'Input Sheet'!B42, "m: ", O40, I40, "% ", "Siltstone, ", Q40, 'Input Sheet'!C42, "% ", K40, " Sandstone "))</f>
        <v xml:space="preserve">Sample 1780m: veryfine to coarse% Siltstone, 90% bright Sandstone </v>
      </c>
      <c r="C40" s="3" t="str">
        <f>IF('Input Sheet'!C42="","",CONCATENATE("Sample ", 'Input Sheet'!B42, "m: ", N40,, L40, K40, " FLUOR in SST. ", "TG ", 'Input Sheet'!I42, "U"))</f>
        <v>Sample 1780m: 80% bright FLUOR in SST. TG 160U</v>
      </c>
      <c r="H40" s="6">
        <f>IF('Input Sheet'!C42="","",100-'Input Sheet'!C42)</f>
        <v>10</v>
      </c>
      <c r="I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40" s="6" t="str">
        <f t="shared" si="0"/>
        <v>very fine to coarse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0" s="6" t="str">
        <f>IF('Input Sheet'!F42=0, "NO",CONCATENATE('Input Sheet'!F42, IF('Input Sheet'!F42&gt;0,"% ","")))</f>
        <v xml:space="preserve">80% </v>
      </c>
      <c r="M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" s="6" t="str">
        <f>CONCATENATE(M40, IF('Input Sheet'!J42="",""," siderite in "))</f>
        <v/>
      </c>
      <c r="O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" s="6" t="str">
        <f>CONCATENATE(O40, IF('Input Sheet'!K42="",""," siderite in "))</f>
        <v/>
      </c>
    </row>
    <row r="41" spans="1:16" x14ac:dyDescent="0.25">
      <c r="A41" s="17" t="str">
        <f>IF('Input Sheet'!C43="","",CONCATENATE("Sample ", 'Input Sheet'!B43, "m: ", N41, H41, "% ", "Siltstone, ", P41, 'Input Sheet'!C43, "% ", J41, " Sandstone, ", L41, K41, " FLUOR in SST. ", "TG ", 'Input Sheet'!I43, "U"))</f>
        <v>Sample 1790m: 10% Siltstone, 90% very fine to medium  Sandstone, 80% moderately bright to bright FLUOR in SST. TG 213U</v>
      </c>
      <c r="B41" s="3" t="str">
        <f>IF('Input Sheet'!C43="","",CONCATENATE("Sample ", 'Input Sheet'!B43, "m: ", O41, I41, "% ", "Siltstone, ", Q41, 'Input Sheet'!C43, "% ", K41, " Sandstone "))</f>
        <v xml:space="preserve">Sample 1790m: veryfine to medium % Siltstone, 90% moderately bright to bright Sandstone </v>
      </c>
      <c r="C41" s="3" t="str">
        <f>IF('Input Sheet'!C43="","",CONCATENATE("Sample ", 'Input Sheet'!B43, "m: ", N41,, L41, K41, " FLUOR in SST. ", "TG ", 'Input Sheet'!I43, "U"))</f>
        <v>Sample 1790m: 80% moderately bright to bright FLUOR in SST. TG 213U</v>
      </c>
      <c r="H41" s="6">
        <f>IF('Input Sheet'!C43="","",100-'Input Sheet'!C43)</f>
        <v>10</v>
      </c>
      <c r="I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veryfine to medium </v>
      </c>
      <c r="J41" s="6" t="str">
        <f t="shared" si="0"/>
        <v xml:space="preserve">very fine to medium 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41" s="6" t="str">
        <f>IF('Input Sheet'!F43=0, "NO",CONCATENATE('Input Sheet'!F43, IF('Input Sheet'!F43&gt;0,"% ","")))</f>
        <v xml:space="preserve">80% </v>
      </c>
      <c r="M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" s="6" t="str">
        <f>CONCATENATE(M41, IF('Input Sheet'!J43="",""," siderite in "))</f>
        <v/>
      </c>
      <c r="O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" s="6" t="str">
        <f>CONCATENATE(O41, IF('Input Sheet'!K43="",""," siderite in "))</f>
        <v/>
      </c>
    </row>
    <row r="42" spans="1:16" x14ac:dyDescent="0.25">
      <c r="A42" s="17" t="str">
        <f>IF('Input Sheet'!C44="","",CONCATENATE("Sample ", 'Input Sheet'!B44, "m: ", N42, H42, "% ", "Siltstone, ", P42, 'Input Sheet'!C44, "% ", J42, " Sandstone, ", L42, K42, " FLUOR in SST. ", "TG ", 'Input Sheet'!I44, "U"))</f>
        <v>Sample 1800m: 5% Siltstone, rare siderite in 95% fine to medium,trace coarse Sandstone, 100% bright  FLUOR in SST. TG 222U</v>
      </c>
      <c r="B42" s="3" t="str">
        <f>IF('Input Sheet'!C44="","",CONCATENATE("Sample ", 'Input Sheet'!B44, "m: ", O42, I42, "% ", "Siltstone, ", Q42, 'Input Sheet'!C44, "% ", K42, " Sandstone "))</f>
        <v xml:space="preserve">Sample 1800m: rarefine to medium,trace coarse% Siltstone, 95% bright  Sandstone </v>
      </c>
      <c r="C42" s="3" t="str">
        <f>IF('Input Sheet'!C44="","",CONCATENATE("Sample ", 'Input Sheet'!B44, "m: ", N42,, L42, K42, " FLUOR in SST. ", "TG ", 'Input Sheet'!I44, "U"))</f>
        <v>Sample 1800m: 100% bright  FLUOR in SST. TG 222U</v>
      </c>
      <c r="H42" s="6">
        <f>IF('Input Sheet'!C44="","",100-'Input Sheet'!C44)</f>
        <v>5</v>
      </c>
      <c r="I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medium,trace coarse</v>
      </c>
      <c r="J42" s="6" t="str">
        <f t="shared" si="0"/>
        <v>fine to medium,trace coarse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42" s="6" t="str">
        <f>IF('Input Sheet'!F44=0, "NO",CONCATENATE('Input Sheet'!F44, IF('Input Sheet'!F44&gt;0,"% ","")))</f>
        <v xml:space="preserve">100% </v>
      </c>
      <c r="M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" s="6" t="str">
        <f>CONCATENATE(M42, IF('Input Sheet'!J44="",""," siderite in "))</f>
        <v/>
      </c>
      <c r="O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42" s="6" t="str">
        <f>CONCATENATE(O42, IF('Input Sheet'!K44="",""," siderite in "))</f>
        <v xml:space="preserve">rare siderite in </v>
      </c>
    </row>
    <row r="43" spans="1:16" x14ac:dyDescent="0.25">
      <c r="A43" s="17" t="str">
        <f>IF('Input Sheet'!C45="","",CONCATENATE("Sample ", 'Input Sheet'!B45, "m: ", N43, H43, "% ", "Siltstone, ", P43, 'Input Sheet'!C45, "% ", J43, " Sandstone, ", L43, K43, " FLUOR in SST. ", "TG ", 'Input Sheet'!I45, "U"))</f>
        <v>Sample 1810m: 20% Siltstone, 80% very fine to fine, rare coarse Sandstone, 100% bright FLUOR in SST. TG 125U</v>
      </c>
      <c r="B43" s="3" t="str">
        <f>IF('Input Sheet'!C45="","",CONCATENATE("Sample ", 'Input Sheet'!B45, "m: ", O43, I43, "% ", "Siltstone, ", Q43, 'Input Sheet'!C45, "% ", K43, " Sandstone "))</f>
        <v xml:space="preserve">Sample 1810m: veryfine to fine, rare coarse% Siltstone, 80% bright Sandstone </v>
      </c>
      <c r="C43" s="3" t="str">
        <f>IF('Input Sheet'!C45="","",CONCATENATE("Sample ", 'Input Sheet'!B45, "m: ", N43,, L43, K43, " FLUOR in SST. ", "TG ", 'Input Sheet'!I45, "U"))</f>
        <v>Sample 1810m: 100% bright FLUOR in SST. TG 125U</v>
      </c>
      <c r="H43" s="6">
        <f>IF('Input Sheet'!C45="","",100-'Input Sheet'!C45)</f>
        <v>20</v>
      </c>
      <c r="I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3" s="6" t="str">
        <f t="shared" si="0"/>
        <v>very fine to fine, rare coarse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3" s="6" t="str">
        <f>IF('Input Sheet'!F45=0, "NO",CONCATENATE('Input Sheet'!F45, IF('Input Sheet'!F45&gt;0,"% ","")))</f>
        <v xml:space="preserve">100% </v>
      </c>
      <c r="M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" s="6" t="str">
        <f>CONCATENATE(M43, IF('Input Sheet'!J45="",""," siderite in "))</f>
        <v/>
      </c>
      <c r="O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" s="6" t="str">
        <f>CONCATENATE(O43, IF('Input Sheet'!K45="",""," siderite in "))</f>
        <v/>
      </c>
    </row>
    <row r="44" spans="1:16" x14ac:dyDescent="0.25">
      <c r="A44" s="17" t="str">
        <f>IF('Input Sheet'!C46="","",CONCATENATE("Sample ", 'Input Sheet'!B46, "m: ", N44, H44, "% ", "Siltstone, ", P44, 'Input Sheet'!C46, "% ", J44, " Sandstone, ", L44, K44, " FLUOR in SST. ", "TG ", 'Input Sheet'!I46, "U"))</f>
        <v>Sample 1820m: 50% Siltstone, 50% very fine to fine, rare coarse Sandstone, 100% bright FLUOR in SST. TG 195U</v>
      </c>
      <c r="B44" s="3" t="str">
        <f>IF('Input Sheet'!C46="","",CONCATENATE("Sample ", 'Input Sheet'!B46, "m: ", O44, I44, "% ", "Siltstone, ", Q44, 'Input Sheet'!C46, "% ", K44, " Sandstone "))</f>
        <v xml:space="preserve">Sample 1820m: veryfine to fine, rare coarse% Siltstone, 50% bright Sandstone </v>
      </c>
      <c r="C44" s="3" t="str">
        <f>IF('Input Sheet'!C46="","",CONCATENATE("Sample ", 'Input Sheet'!B46, "m: ", N44,, L44, K44, " FLUOR in SST. ", "TG ", 'Input Sheet'!I46, "U"))</f>
        <v>Sample 1820m: 100% bright FLUOR in SST. TG 195U</v>
      </c>
      <c r="H44" s="6">
        <f>IF('Input Sheet'!C46="","",100-'Input Sheet'!C46)</f>
        <v>50</v>
      </c>
      <c r="I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4" s="6" t="str">
        <f t="shared" si="0"/>
        <v>very fine to fine, rare coarse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4" s="6" t="str">
        <f>IF('Input Sheet'!F46=0, "NO",CONCATENATE('Input Sheet'!F46, IF('Input Sheet'!F46&gt;0,"% ","")))</f>
        <v xml:space="preserve">100% </v>
      </c>
      <c r="M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" s="6" t="str">
        <f>CONCATENATE(M44, IF('Input Sheet'!J46="",""," siderite in "))</f>
        <v/>
      </c>
      <c r="O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" s="6" t="str">
        <f>CONCATENATE(O44, IF('Input Sheet'!K46="",""," siderite in "))</f>
        <v/>
      </c>
    </row>
    <row r="45" spans="1:16" x14ac:dyDescent="0.25">
      <c r="A45" s="17" t="str">
        <f>IF('Input Sheet'!C47="","",CONCATENATE("Sample ", 'Input Sheet'!B47, "m: ", N45, H45, "% ", "Siltstone, ", P45, 'Input Sheet'!C47, "% ", J45, " Sandstone, ", L45, K45, " FLUOR in SST. ", "TG ", 'Input Sheet'!I47, "U"))</f>
        <v>Sample 1830m: 20% Siltstone, 80% very fine to fine, rare coarse Sandstone, 100% moderately bright FLUOR in SST. TG 152U</v>
      </c>
      <c r="B45" s="3" t="str">
        <f>IF('Input Sheet'!C47="","",CONCATENATE("Sample ", 'Input Sheet'!B47, "m: ", O45, I45, "% ", "Siltstone, ", Q45, 'Input Sheet'!C47, "% ", K45, " Sandstone "))</f>
        <v xml:space="preserve">Sample 1830m: veryfine to fine, rare coarse% Siltstone, 80% moderately bright Sandstone </v>
      </c>
      <c r="C45" s="3" t="str">
        <f>IF('Input Sheet'!C47="","",CONCATENATE("Sample ", 'Input Sheet'!B47, "m: ", N45,, L45, K45, " FLUOR in SST. ", "TG ", 'Input Sheet'!I47, "U"))</f>
        <v>Sample 1830m: 100% moderately bright FLUOR in SST. TG 152U</v>
      </c>
      <c r="H45" s="6">
        <f>IF('Input Sheet'!C47="","",100-'Input Sheet'!C47)</f>
        <v>20</v>
      </c>
      <c r="I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5" s="6" t="str">
        <f t="shared" si="0"/>
        <v>very fine to fine, rare coarse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45" s="6" t="str">
        <f>IF('Input Sheet'!F47=0, "NO",CONCATENATE('Input Sheet'!F47, IF('Input Sheet'!F47&gt;0,"% ","")))</f>
        <v xml:space="preserve">100% </v>
      </c>
      <c r="M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" s="6" t="str">
        <f>CONCATENATE(M45, IF('Input Sheet'!J47="",""," siderite in "))</f>
        <v/>
      </c>
      <c r="O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" s="6" t="str">
        <f>CONCATENATE(O45, IF('Input Sheet'!K47="",""," siderite in "))</f>
        <v/>
      </c>
    </row>
    <row r="46" spans="1:16" x14ac:dyDescent="0.25">
      <c r="A46" s="17" t="str">
        <f>IF('Input Sheet'!C48="","",CONCATENATE("Sample ", 'Input Sheet'!B48, "m: ", N46, H46, "% ", "Siltstone, ", P46, 'Input Sheet'!C48, "% ", J46, " Sandstone, ", L46, K46, " FLUOR in SST. ", "TG ", 'Input Sheet'!I48, "U"))</f>
        <v>Sample 1840m: 10% Siltstone, 90% very fine to fine, rare coarse Sandstone, 100% moderately bright FLUOR in SST. TG 235U</v>
      </c>
      <c r="B46" s="3" t="str">
        <f>IF('Input Sheet'!C48="","",CONCATENATE("Sample ", 'Input Sheet'!B48, "m: ", O46, I46, "% ", "Siltstone, ", Q46, 'Input Sheet'!C48, "% ", K46, " Sandstone "))</f>
        <v xml:space="preserve">Sample 1840m: veryfine to fine, rare coarse% Siltstone, 90% moderately bright Sandstone </v>
      </c>
      <c r="C46" s="3" t="str">
        <f>IF('Input Sheet'!C48="","",CONCATENATE("Sample ", 'Input Sheet'!B48, "m: ", N46,, L46, K46, " FLUOR in SST. ", "TG ", 'Input Sheet'!I48, "U"))</f>
        <v>Sample 1840m: 100% moderately bright FLUOR in SST. TG 235U</v>
      </c>
      <c r="H46" s="6">
        <f>IF('Input Sheet'!C48="","",100-'Input Sheet'!C48)</f>
        <v>10</v>
      </c>
      <c r="I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6" s="6" t="str">
        <f t="shared" si="0"/>
        <v>very fine to fine, rare coarse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46" s="6" t="str">
        <f>IF('Input Sheet'!F48=0, "NO",CONCATENATE('Input Sheet'!F48, IF('Input Sheet'!F48&gt;0,"% ","")))</f>
        <v xml:space="preserve">100% </v>
      </c>
      <c r="M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" s="6" t="str">
        <f>CONCATENATE(M46, IF('Input Sheet'!J48="",""," siderite in "))</f>
        <v/>
      </c>
      <c r="O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" s="6" t="str">
        <f>CONCATENATE(O46, IF('Input Sheet'!K48="",""," siderite in "))</f>
        <v/>
      </c>
    </row>
    <row r="47" spans="1:16" x14ac:dyDescent="0.25">
      <c r="A47" s="17" t="str">
        <f>IF('Input Sheet'!C49="","",CONCATENATE("Sample ", 'Input Sheet'!B49, "m: ", N47, H47, "% ", "Siltstone, ", P47, 'Input Sheet'!C49, "% ", J47, " Sandstone, ", L47, K47, " FLUOR in SST. ", "TG ", 'Input Sheet'!I49, "U"))</f>
        <v>Sample 1850m: 0% Siltstone, 100% very fine to fine, rare coarse Sandstone, 100% bright FLUOR in SST. TG 183U</v>
      </c>
      <c r="B47" s="3" t="str">
        <f>IF('Input Sheet'!C49="","",CONCATENATE("Sample ", 'Input Sheet'!B49, "m: ", O47, I47, "% ", "Siltstone, ", Q47, 'Input Sheet'!C49, "% ", K47, " Sandstone "))</f>
        <v xml:space="preserve">Sample 1850m: veryfine to fine, rare coarse% Siltstone, 100% bright Sandstone </v>
      </c>
      <c r="C47" s="3" t="str">
        <f>IF('Input Sheet'!C49="","",CONCATENATE("Sample ", 'Input Sheet'!B49, "m: ", N47,, L47, K47, " FLUOR in SST. ", "TG ", 'Input Sheet'!I49, "U"))</f>
        <v>Sample 1850m: 100% bright FLUOR in SST. TG 183U</v>
      </c>
      <c r="H47" s="6">
        <f>IF('Input Sheet'!C49="","",100-'Input Sheet'!C49)</f>
        <v>0</v>
      </c>
      <c r="I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7" s="6" t="str">
        <f t="shared" si="0"/>
        <v>very fine to fine, rare coarse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7" s="6" t="str">
        <f>IF('Input Sheet'!F49=0, "NO",CONCATENATE('Input Sheet'!F49, IF('Input Sheet'!F49&gt;0,"% ","")))</f>
        <v xml:space="preserve">100% </v>
      </c>
      <c r="M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" s="6" t="str">
        <f>CONCATENATE(M47, IF('Input Sheet'!J49="",""," siderite in "))</f>
        <v/>
      </c>
      <c r="O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" s="6" t="str">
        <f>CONCATENATE(O47, IF('Input Sheet'!K49="",""," siderite in "))</f>
        <v/>
      </c>
    </row>
    <row r="48" spans="1:16" x14ac:dyDescent="0.25">
      <c r="A48" s="17" t="str">
        <f>IF('Input Sheet'!C50="","",CONCATENATE("Sample ", 'Input Sheet'!B50, "m: ", N48, H48, "% ", "Siltstone, ", P48, 'Input Sheet'!C50, "% ", J48, " Sandstone, ", L48, K48, " FLUOR in SST. ", "TG ", 'Input Sheet'!I50, "U"))</f>
        <v>Sample 1860m: 0% Siltstone, 100% very fine to fine, rare coarse Sandstone, 100% bright FLUOR in SST. TG 185U</v>
      </c>
      <c r="B48" s="3" t="str">
        <f>IF('Input Sheet'!C50="","",CONCATENATE("Sample ", 'Input Sheet'!B50, "m: ", O48, I48, "% ", "Siltstone, ", Q48, 'Input Sheet'!C50, "% ", K48, " Sandstone "))</f>
        <v xml:space="preserve">Sample 1860m: veryfine to fine, rare coarse% Siltstone, 100% bright Sandstone </v>
      </c>
      <c r="C48" s="3" t="str">
        <f>IF('Input Sheet'!C50="","",CONCATENATE("Sample ", 'Input Sheet'!B50, "m: ", N48,, L48, K48, " FLUOR in SST. ", "TG ", 'Input Sheet'!I50, "U"))</f>
        <v>Sample 1860m: 100% bright FLUOR in SST. TG 185U</v>
      </c>
      <c r="H48" s="6">
        <f>IF('Input Sheet'!C50="","",100-'Input Sheet'!C50)</f>
        <v>0</v>
      </c>
      <c r="I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8" s="6" t="str">
        <f t="shared" si="0"/>
        <v>very fine to fine, rare coarse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8" s="6" t="str">
        <f>IF('Input Sheet'!F50=0, "NO",CONCATENATE('Input Sheet'!F50, IF('Input Sheet'!F50&gt;0,"% ","")))</f>
        <v xml:space="preserve">100% </v>
      </c>
      <c r="M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" s="6" t="str">
        <f>CONCATENATE(M48, IF('Input Sheet'!J50="",""," siderite in "))</f>
        <v/>
      </c>
      <c r="O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" s="6" t="str">
        <f>CONCATENATE(O48, IF('Input Sheet'!K50="",""," siderite in "))</f>
        <v/>
      </c>
    </row>
    <row r="49" spans="1:16" x14ac:dyDescent="0.25">
      <c r="A49" s="17" t="str">
        <f>IF('Input Sheet'!C51="","",CONCATENATE("Sample ", 'Input Sheet'!B51, "m: ", N49, H49, "% ", "Siltstone, ", P49, 'Input Sheet'!C51, "% ", J49, " Sandstone, ", L49, K49, " FLUOR in SST. ", "TG ", 'Input Sheet'!I51, "U"))</f>
        <v>Sample 1870m: 0% Siltstone, 100% very fine to fine, rare coarse Sandstone, 100% bright FLUOR in SST. TG 190U</v>
      </c>
      <c r="B49" s="3" t="str">
        <f>IF('Input Sheet'!C51="","",CONCATENATE("Sample ", 'Input Sheet'!B51, "m: ", O49, I49, "% ", "Siltstone, ", Q49, 'Input Sheet'!C51, "% ", K49, " Sandstone "))</f>
        <v xml:space="preserve">Sample 1870m: veryfine to fine, rare coarse% Siltstone, 100% bright Sandstone </v>
      </c>
      <c r="C49" s="3" t="str">
        <f>IF('Input Sheet'!C51="","",CONCATENATE("Sample ", 'Input Sheet'!B51, "m: ", N49,, L49, K49, " FLUOR in SST. ", "TG ", 'Input Sheet'!I51, "U"))</f>
        <v>Sample 1870m: 100% bright FLUOR in SST. TG 190U</v>
      </c>
      <c r="H49" s="6">
        <f>IF('Input Sheet'!C51="","",100-'Input Sheet'!C51)</f>
        <v>0</v>
      </c>
      <c r="I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49" s="6" t="str">
        <f t="shared" si="0"/>
        <v>very fine to fine, rare coarse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49" s="6" t="str">
        <f>IF('Input Sheet'!F51=0, "NO",CONCATENATE('Input Sheet'!F51, IF('Input Sheet'!F51&gt;0,"% ","")))</f>
        <v xml:space="preserve">100% </v>
      </c>
      <c r="M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" s="6" t="str">
        <f>CONCATENATE(M49, IF('Input Sheet'!J51="",""," siderite in "))</f>
        <v/>
      </c>
      <c r="O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" s="6" t="str">
        <f>CONCATENATE(O49, IF('Input Sheet'!K51="",""," siderite in "))</f>
        <v/>
      </c>
    </row>
    <row r="50" spans="1:16" x14ac:dyDescent="0.25">
      <c r="A50" s="17" t="str">
        <f>IF('Input Sheet'!C52="","",CONCATENATE("Sample ", 'Input Sheet'!B52, "m: ", N50, H50, "% ", "Siltstone, ", P50, 'Input Sheet'!C52, "% ", J50, " Sandstone, ", L50, K50, " FLUOR in SST. ", "TG ", 'Input Sheet'!I52, "U"))</f>
        <v>Sample 1880m: 10% Siltstone, 90% very fine to fine Sandstone, 100% bright FLUOR in SST. TG 124U</v>
      </c>
      <c r="B50" s="3" t="str">
        <f>IF('Input Sheet'!C52="","",CONCATENATE("Sample ", 'Input Sheet'!B52, "m: ", O50, I50, "% ", "Siltstone, ", Q50, 'Input Sheet'!C52, "% ", K50, " Sandstone "))</f>
        <v xml:space="preserve">Sample 1880m: veryfine to fine% Siltstone, 90% bright Sandstone </v>
      </c>
      <c r="C50" s="3" t="str">
        <f>IF('Input Sheet'!C52="","",CONCATENATE("Sample ", 'Input Sheet'!B52, "m: ", N50,, L50, K50, " FLUOR in SST. ", "TG ", 'Input Sheet'!I52, "U"))</f>
        <v>Sample 1880m: 100% bright FLUOR in SST. TG 124U</v>
      </c>
      <c r="H50" s="6">
        <f>IF('Input Sheet'!C52="","",100-'Input Sheet'!C52)</f>
        <v>10</v>
      </c>
      <c r="I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50" s="6" t="str">
        <f t="shared" si="0"/>
        <v>very fine to fine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50" s="6" t="str">
        <f>IF('Input Sheet'!F52=0, "NO",CONCATENATE('Input Sheet'!F52, IF('Input Sheet'!F52&gt;0,"% ","")))</f>
        <v xml:space="preserve">100% </v>
      </c>
      <c r="M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" s="6" t="str">
        <f>CONCATENATE(M50, IF('Input Sheet'!J52="",""," siderite in "))</f>
        <v/>
      </c>
      <c r="O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" s="6" t="str">
        <f>CONCATENATE(O50, IF('Input Sheet'!K52="",""," siderite in "))</f>
        <v/>
      </c>
    </row>
    <row r="51" spans="1:16" x14ac:dyDescent="0.25">
      <c r="A51" s="17" t="str">
        <f>IF('Input Sheet'!C53="","",CONCATENATE("Sample ", 'Input Sheet'!B53, "m: ", N51, H51, "% ", "Siltstone, ", P51, 'Input Sheet'!C53, "% ", J51, " Sandstone, ", L51, K51, " FLUOR in SST. ", "TG ", 'Input Sheet'!I53, "U"))</f>
        <v>Sample 1885m: 30% Siltstone, 70% very fine to fine, rare coarse Sandstone, 100% moderately bright FLUOR in SST. TG 135U</v>
      </c>
      <c r="B51" s="3" t="str">
        <f>IF('Input Sheet'!C53="","",CONCATENATE("Sample ", 'Input Sheet'!B53, "m: ", O51, I51, "% ", "Siltstone, ", Q51, 'Input Sheet'!C53, "% ", K51, " Sandstone "))</f>
        <v xml:space="preserve">Sample 1885m: veryfine to fine, rare coarse% Siltstone, 70% moderately bright Sandstone </v>
      </c>
      <c r="C51" s="3" t="str">
        <f>IF('Input Sheet'!C53="","",CONCATENATE("Sample ", 'Input Sheet'!B53, "m: ", N51,, L51, K51, " FLUOR in SST. ", "TG ", 'Input Sheet'!I53, "U"))</f>
        <v>Sample 1885m: 100% moderately bright FLUOR in SST. TG 135U</v>
      </c>
      <c r="H51" s="6">
        <f>IF('Input Sheet'!C53="","",100-'Input Sheet'!C53)</f>
        <v>30</v>
      </c>
      <c r="I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51" s="6" t="str">
        <f t="shared" si="0"/>
        <v>very fine to fine, rare coarse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51" s="6" t="str">
        <f>IF('Input Sheet'!F53=0, "NO",CONCATENATE('Input Sheet'!F53, IF('Input Sheet'!F53&gt;0,"% ","")))</f>
        <v xml:space="preserve">100% </v>
      </c>
      <c r="M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" s="6" t="str">
        <f>CONCATENATE(M51, IF('Input Sheet'!J53="",""," siderite in "))</f>
        <v/>
      </c>
      <c r="O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" s="6" t="str">
        <f>CONCATENATE(O51, IF('Input Sheet'!K53="",""," siderite in "))</f>
        <v/>
      </c>
    </row>
    <row r="52" spans="1:16" x14ac:dyDescent="0.25">
      <c r="A52" s="17" t="str">
        <f>IF('Input Sheet'!C54="","",CONCATENATE("Sample ", 'Input Sheet'!B54, "m: ", N52, H52, "% ", "Siltstone, ", P52, 'Input Sheet'!C54, "% ", J52, " Sandstone, ", L52, K52, " FLUOR in SST. ", "TG ", 'Input Sheet'!I54, "U"))</f>
        <v>Sample 1890m: 20% Siltstone, 80% very fine to fine Sandstone, 100% moderately bright FLUOR in SST. TG 160U</v>
      </c>
      <c r="B52" s="3" t="str">
        <f>IF('Input Sheet'!C54="","",CONCATENATE("Sample ", 'Input Sheet'!B54, "m: ", O52, I52, "% ", "Siltstone, ", Q52, 'Input Sheet'!C54, "% ", K52, " Sandstone "))</f>
        <v xml:space="preserve">Sample 1890m: veryfine to fine% Siltstone, 80% moderately bright Sandstone </v>
      </c>
      <c r="C52" s="3" t="str">
        <f>IF('Input Sheet'!C54="","",CONCATENATE("Sample ", 'Input Sheet'!B54, "m: ", N52,, L52, K52, " FLUOR in SST. ", "TG ", 'Input Sheet'!I54, "U"))</f>
        <v>Sample 1890m: 100% moderately bright FLUOR in SST. TG 160U</v>
      </c>
      <c r="H52" s="6">
        <f>IF('Input Sheet'!C54="","",100-'Input Sheet'!C54)</f>
        <v>20</v>
      </c>
      <c r="I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52" s="6" t="str">
        <f t="shared" si="0"/>
        <v>very fine to fine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52" s="6" t="str">
        <f>IF('Input Sheet'!F54=0, "NO",CONCATENATE('Input Sheet'!F54, IF('Input Sheet'!F54&gt;0,"% ","")))</f>
        <v xml:space="preserve">100% </v>
      </c>
      <c r="M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" s="6" t="str">
        <f>CONCATENATE(M52, IF('Input Sheet'!J54="",""," siderite in "))</f>
        <v/>
      </c>
      <c r="O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" s="6" t="str">
        <f>CONCATENATE(O52, IF('Input Sheet'!K54="",""," siderite in "))</f>
        <v/>
      </c>
    </row>
    <row r="53" spans="1:16" x14ac:dyDescent="0.25">
      <c r="A53" s="17" t="str">
        <f>IF('Input Sheet'!C55="","",CONCATENATE("Sample ", 'Input Sheet'!B55, "m: ", N53, H53, "% ", "Siltstone, ", P53, 'Input Sheet'!C55, "% ", J53, " Sandstone, ", L53, K53, " FLUOR in SST. ", "TG ", 'Input Sheet'!I55, "U"))</f>
        <v>Sample 1895m: 15% Siltstone, 85% very fine to coarse Sandstone, 100% moderately bright to bright FLUOR in SST. TG 130U</v>
      </c>
      <c r="B53" s="3" t="str">
        <f>IF('Input Sheet'!C55="","",CONCATENATE("Sample ", 'Input Sheet'!B55, "m: ", O53, I53, "% ", "Siltstone, ", Q53, 'Input Sheet'!C55, "% ", K53, " Sandstone "))</f>
        <v xml:space="preserve">Sample 1895m: veryfine to coarse% Siltstone, 85% moderately bright to bright Sandstone </v>
      </c>
      <c r="C53" s="3" t="str">
        <f>IF('Input Sheet'!C55="","",CONCATENATE("Sample ", 'Input Sheet'!B55, "m: ", N53,, L53, K53, " FLUOR in SST. ", "TG ", 'Input Sheet'!I55, "U"))</f>
        <v>Sample 1895m: 100% moderately bright to bright FLUOR in SST. TG 130U</v>
      </c>
      <c r="H53" s="6">
        <f>IF('Input Sheet'!C55="","",100-'Input Sheet'!C55)</f>
        <v>15</v>
      </c>
      <c r="I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53" s="6" t="str">
        <f t="shared" si="0"/>
        <v>very fine to coarse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53" s="6" t="str">
        <f>IF('Input Sheet'!F55=0, "NO",CONCATENATE('Input Sheet'!F55, IF('Input Sheet'!F55&gt;0,"% ","")))</f>
        <v xml:space="preserve">100% </v>
      </c>
      <c r="M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" s="6" t="str">
        <f>CONCATENATE(M53, IF('Input Sheet'!J55="",""," siderite in "))</f>
        <v/>
      </c>
      <c r="O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" s="6" t="str">
        <f>CONCATENATE(O53, IF('Input Sheet'!K55="",""," siderite in "))</f>
        <v/>
      </c>
    </row>
    <row r="54" spans="1:16" x14ac:dyDescent="0.25">
      <c r="A54" s="17" t="str">
        <f>IF('Input Sheet'!C56="","",CONCATENATE("Sample ", 'Input Sheet'!B56, "m: ", N54, H54, "% ", "Siltstone, ", P54, 'Input Sheet'!C56, "% ", J54, " Sandstone, ", L54, K54, " FLUOR in SST. ", "TG ", 'Input Sheet'!I56, "U"))</f>
        <v>Sample 1900m: 5% Siltstone, 95% very fine to coarse Sandstone, 100% moderately bright to bright FLUOR in SST. TG 175U</v>
      </c>
      <c r="B54" s="3" t="str">
        <f>IF('Input Sheet'!C56="","",CONCATENATE("Sample ", 'Input Sheet'!B56, "m: ", O54, I54, "% ", "Siltstone, ", Q54, 'Input Sheet'!C56, "% ", K54, " Sandstone "))</f>
        <v xml:space="preserve">Sample 1900m: veryfine to coarse% Siltstone, 95% moderately bright to bright Sandstone </v>
      </c>
      <c r="C54" s="3" t="str">
        <f>IF('Input Sheet'!C56="","",CONCATENATE("Sample ", 'Input Sheet'!B56, "m: ", N54,, L54, K54, " FLUOR in SST. ", "TG ", 'Input Sheet'!I56, "U"))</f>
        <v>Sample 1900m: 100% moderately bright to bright FLUOR in SST. TG 175U</v>
      </c>
      <c r="H54" s="6">
        <f>IF('Input Sheet'!C56="","",100-'Input Sheet'!C56)</f>
        <v>5</v>
      </c>
      <c r="I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54" s="6" t="str">
        <f t="shared" si="0"/>
        <v>very fine to coarse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54" s="6" t="str">
        <f>IF('Input Sheet'!F56=0, "NO",CONCATENATE('Input Sheet'!F56, IF('Input Sheet'!F56&gt;0,"% ","")))</f>
        <v xml:space="preserve">100% </v>
      </c>
      <c r="M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" s="6" t="str">
        <f>CONCATENATE(M54, IF('Input Sheet'!J56="",""," siderite in "))</f>
        <v/>
      </c>
      <c r="O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" s="6" t="str">
        <f>CONCATENATE(O54, IF('Input Sheet'!K56="",""," siderite in "))</f>
        <v/>
      </c>
    </row>
    <row r="55" spans="1:16" x14ac:dyDescent="0.25">
      <c r="A55" s="17" t="str">
        <f>IF('Input Sheet'!C57="","",CONCATENATE("Sample ", 'Input Sheet'!B57, "m: ", N55, H55, "% ", "Siltstone, ", P55, 'Input Sheet'!C57, "% ", J55, " Sandstone, ", L55, K55, " FLUOR in SST. ", "TG ", 'Input Sheet'!I57, "U"))</f>
        <v>Sample 1905m: 10% Siltstone, 90% very fine to coarse Sandstone, 100% moderately bright to bright FLUOR in SST. TG 206U</v>
      </c>
      <c r="B55" s="3" t="str">
        <f>IF('Input Sheet'!C57="","",CONCATENATE("Sample ", 'Input Sheet'!B57, "m: ", O55, I55, "% ", "Siltstone, ", Q55, 'Input Sheet'!C57, "% ", K55, " Sandstone "))</f>
        <v xml:space="preserve">Sample 1905m: veryfine to coarse% Siltstone, 90% moderately bright to bright Sandstone </v>
      </c>
      <c r="C55" s="3" t="str">
        <f>IF('Input Sheet'!C57="","",CONCATENATE("Sample ", 'Input Sheet'!B57, "m: ", N55,, L55, K55, " FLUOR in SST. ", "TG ", 'Input Sheet'!I57, "U"))</f>
        <v>Sample 1905m: 100% moderately bright to bright FLUOR in SST. TG 206U</v>
      </c>
      <c r="H55" s="6">
        <f>IF('Input Sheet'!C57="","",100-'Input Sheet'!C57)</f>
        <v>10</v>
      </c>
      <c r="I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55" s="6" t="str">
        <f t="shared" si="0"/>
        <v>very fine to coarse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55" s="6" t="str">
        <f>IF('Input Sheet'!F57=0, "NO",CONCATENATE('Input Sheet'!F57, IF('Input Sheet'!F57&gt;0,"% ","")))</f>
        <v xml:space="preserve">100% </v>
      </c>
      <c r="M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" s="6" t="str">
        <f>CONCATENATE(M55, IF('Input Sheet'!J57="",""," siderite in "))</f>
        <v/>
      </c>
      <c r="O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" s="6" t="str">
        <f>CONCATENATE(O55, IF('Input Sheet'!K57="",""," siderite in "))</f>
        <v/>
      </c>
    </row>
    <row r="56" spans="1:16" x14ac:dyDescent="0.25">
      <c r="A56" s="17" t="str">
        <f>IF('Input Sheet'!C58="","",CONCATENATE("Sample ", 'Input Sheet'!B58, "m: ", N56, H56, "% ", "Siltstone, ", P56, 'Input Sheet'!C58, "% ", J56, " Sandstone, ", L56, K56, " FLUOR in SST. ", "TG ", 'Input Sheet'!I58, "U"))</f>
        <v>Sample 1910m: 5% Siltstone, 95% very fine to coarse Sandstone, 100% bright FLUOR in SST. TG 145U</v>
      </c>
      <c r="B56" s="3" t="str">
        <f>IF('Input Sheet'!C58="","",CONCATENATE("Sample ", 'Input Sheet'!B58, "m: ", O56, I56, "% ", "Siltstone, ", Q56, 'Input Sheet'!C58, "% ", K56, " Sandstone "))</f>
        <v xml:space="preserve">Sample 1910m: veryfine to coarse% Siltstone, 95% bright Sandstone </v>
      </c>
      <c r="C56" s="3" t="str">
        <f>IF('Input Sheet'!C58="","",CONCATENATE("Sample ", 'Input Sheet'!B58, "m: ", N56,, L56, K56, " FLUOR in SST. ", "TG ", 'Input Sheet'!I58, "U"))</f>
        <v>Sample 1910m: 100% bright FLUOR in SST. TG 145U</v>
      </c>
      <c r="H56" s="6">
        <f>IF('Input Sheet'!C58="","",100-'Input Sheet'!C58)</f>
        <v>5</v>
      </c>
      <c r="I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56" s="6" t="str">
        <f t="shared" si="0"/>
        <v>very fine to coarse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56" s="6" t="str">
        <f>IF('Input Sheet'!F58=0, "NO",CONCATENATE('Input Sheet'!F58, IF('Input Sheet'!F58&gt;0,"% ","")))</f>
        <v xml:space="preserve">100% </v>
      </c>
      <c r="M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" s="6" t="str">
        <f>CONCATENATE(M56, IF('Input Sheet'!J58="",""," siderite in "))</f>
        <v/>
      </c>
      <c r="O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" s="6" t="str">
        <f>CONCATENATE(O56, IF('Input Sheet'!K58="",""," siderite in "))</f>
        <v/>
      </c>
    </row>
    <row r="57" spans="1:16" x14ac:dyDescent="0.25">
      <c r="A57" s="17" t="str">
        <f>IF('Input Sheet'!C59="","",CONCATENATE("Sample ", 'Input Sheet'!B59, "m: ", N57, H57, "% ", "Siltstone, ", P57, 'Input Sheet'!C59, "% ", J57, " Sandstone, ", L57, K57, " FLUOR in SST. ", "TG ", 'Input Sheet'!I59, "U"))</f>
        <v>Sample 1915m: 5% Siltstone, 95% very fine to fine, rare coarse Sandstone, 100% bright FLUOR in SST. TG 166U</v>
      </c>
      <c r="B57" s="3" t="str">
        <f>IF('Input Sheet'!C59="","",CONCATENATE("Sample ", 'Input Sheet'!B59, "m: ", O57, I57, "% ", "Siltstone, ", Q57, 'Input Sheet'!C59, "% ", K57, " Sandstone "))</f>
        <v xml:space="preserve">Sample 1915m: veryfine to fine, rare coarse% Siltstone, 95% bright Sandstone </v>
      </c>
      <c r="C57" s="3" t="str">
        <f>IF('Input Sheet'!C59="","",CONCATENATE("Sample ", 'Input Sheet'!B59, "m: ", N57,, L57, K57, " FLUOR in SST. ", "TG ", 'Input Sheet'!I59, "U"))</f>
        <v>Sample 1915m: 100% bright FLUOR in SST. TG 166U</v>
      </c>
      <c r="H57" s="6">
        <f>IF('Input Sheet'!C59="","",100-'Input Sheet'!C59)</f>
        <v>5</v>
      </c>
      <c r="I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57" s="6" t="str">
        <f t="shared" si="0"/>
        <v>very fine to fine, rare coarse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57" s="6" t="str">
        <f>IF('Input Sheet'!F59=0, "NO",CONCATENATE('Input Sheet'!F59, IF('Input Sheet'!F59&gt;0,"% ","")))</f>
        <v xml:space="preserve">100% </v>
      </c>
      <c r="M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" s="6" t="str">
        <f>CONCATENATE(M57, IF('Input Sheet'!J59="",""," siderite in "))</f>
        <v/>
      </c>
      <c r="O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" s="6" t="str">
        <f>CONCATENATE(O57, IF('Input Sheet'!K59="",""," siderite in "))</f>
        <v/>
      </c>
    </row>
    <row r="58" spans="1:16" x14ac:dyDescent="0.25">
      <c r="A58" s="17" t="str">
        <f>IF('Input Sheet'!C60="","",CONCATENATE("Sample ", 'Input Sheet'!B60, "m: ", N58, H58, "% ", "Siltstone, ", P58, 'Input Sheet'!C60, "% ", J58, " Sandstone, ", L58, K58, " FLUOR in SST. ", "TG ", 'Input Sheet'!I60, "U"))</f>
        <v>Sample 1920m: 5% Siltstone, 95% very fine to fine, rare coarse Sandstone, 100% bright FLUOR in SST. TG 189U</v>
      </c>
      <c r="B58" s="3" t="str">
        <f>IF('Input Sheet'!C60="","",CONCATENATE("Sample ", 'Input Sheet'!B60, "m: ", O58, I58, "% ", "Siltstone, ", Q58, 'Input Sheet'!C60, "% ", K58, " Sandstone "))</f>
        <v xml:space="preserve">Sample 1920m: veryfine to fine, rare coarse% Siltstone, 95% bright Sandstone </v>
      </c>
      <c r="C58" s="3" t="str">
        <f>IF('Input Sheet'!C60="","",CONCATENATE("Sample ", 'Input Sheet'!B60, "m: ", N58,, L58, K58, " FLUOR in SST. ", "TG ", 'Input Sheet'!I60, "U"))</f>
        <v>Sample 1920m: 100% bright FLUOR in SST. TG 189U</v>
      </c>
      <c r="H58" s="6">
        <f>IF('Input Sheet'!C60="","",100-'Input Sheet'!C60)</f>
        <v>5</v>
      </c>
      <c r="I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58" s="6" t="str">
        <f t="shared" si="0"/>
        <v>very fine to fine, rare coarse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58" s="6" t="str">
        <f>IF('Input Sheet'!F60=0, "NO",CONCATENATE('Input Sheet'!F60, IF('Input Sheet'!F60&gt;0,"% ","")))</f>
        <v xml:space="preserve">100% </v>
      </c>
      <c r="M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" s="6" t="str">
        <f>CONCATENATE(M58, IF('Input Sheet'!J60="",""," siderite in "))</f>
        <v/>
      </c>
      <c r="O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" s="6" t="str">
        <f>CONCATENATE(O58, IF('Input Sheet'!K60="",""," siderite in "))</f>
        <v/>
      </c>
    </row>
    <row r="59" spans="1:16" x14ac:dyDescent="0.25">
      <c r="A59" s="17" t="str">
        <f>IF('Input Sheet'!C61="","",CONCATENATE("Sample ", 'Input Sheet'!B61, "m: ", N59, H59, "% ", "Siltstone, ", P59, 'Input Sheet'!C61, "% ", J59, " Sandstone, ", L59, K59, " FLUOR in SST. ", "TG ", 'Input Sheet'!I61, "U"))</f>
        <v>Sample 1925m: 5% Siltstone, 95% very fine to fine, rare coarse Sandstone, 100% bright FLUOR in SST. TG 267U</v>
      </c>
      <c r="B59" s="3" t="str">
        <f>IF('Input Sheet'!C61="","",CONCATENATE("Sample ", 'Input Sheet'!B61, "m: ", O59, I59, "% ", "Siltstone, ", Q59, 'Input Sheet'!C61, "% ", K59, " Sandstone "))</f>
        <v xml:space="preserve">Sample 1925m: veryfine to fine, rare coarse% Siltstone, 95% bright Sandstone </v>
      </c>
      <c r="C59" s="3" t="str">
        <f>IF('Input Sheet'!C61="","",CONCATENATE("Sample ", 'Input Sheet'!B61, "m: ", N59,, L59, K59, " FLUOR in SST. ", "TG ", 'Input Sheet'!I61, "U"))</f>
        <v>Sample 1925m: 100% bright FLUOR in SST. TG 267U</v>
      </c>
      <c r="H59" s="6">
        <f>IF('Input Sheet'!C61="","",100-'Input Sheet'!C61)</f>
        <v>5</v>
      </c>
      <c r="I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59" s="6" t="str">
        <f t="shared" si="0"/>
        <v>very fine to fine, rare coarse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59" s="6" t="str">
        <f>IF('Input Sheet'!F61=0, "NO",CONCATENATE('Input Sheet'!F61, IF('Input Sheet'!F61&gt;0,"% ","")))</f>
        <v xml:space="preserve">100% </v>
      </c>
      <c r="M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" s="6" t="str">
        <f>CONCATENATE(M59, IF('Input Sheet'!J61="",""," siderite in "))</f>
        <v/>
      </c>
      <c r="O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" s="6" t="str">
        <f>CONCATENATE(O59, IF('Input Sheet'!K61="",""," siderite in "))</f>
        <v/>
      </c>
    </row>
    <row r="60" spans="1:16" x14ac:dyDescent="0.25">
      <c r="A60" s="17" t="str">
        <f>IF('Input Sheet'!C62="","",CONCATENATE("Sample ", 'Input Sheet'!B62, "m: ", N60, H60, "% ", "Siltstone, ", P60, 'Input Sheet'!C62, "% ", J60, " Sandstone, ", L60, K60, " FLUOR in SST. ", "TG ", 'Input Sheet'!I62, "U"))</f>
        <v>Sample 1930m: 5% Siltstone, 95% very fine to fine, rare coarse Sandstone, 100% bright FLUOR in SST. TG 191U</v>
      </c>
      <c r="B60" s="3" t="str">
        <f>IF('Input Sheet'!C62="","",CONCATENATE("Sample ", 'Input Sheet'!B62, "m: ", O60, I60, "% ", "Siltstone, ", Q60, 'Input Sheet'!C62, "% ", K60, " Sandstone "))</f>
        <v xml:space="preserve">Sample 1930m: veryfine to fine, rare coarse% Siltstone, 95% bright Sandstone </v>
      </c>
      <c r="C60" s="3" t="str">
        <f>IF('Input Sheet'!C62="","",CONCATENATE("Sample ", 'Input Sheet'!B62, "m: ", N60,, L60, K60, " FLUOR in SST. ", "TG ", 'Input Sheet'!I62, "U"))</f>
        <v>Sample 1930m: 100% bright FLUOR in SST. TG 191U</v>
      </c>
      <c r="H60" s="6">
        <f>IF('Input Sheet'!C62="","",100-'Input Sheet'!C62)</f>
        <v>5</v>
      </c>
      <c r="I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60" s="6" t="str">
        <f t="shared" si="0"/>
        <v>very fine to fine, rare coarse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60" s="6" t="str">
        <f>IF('Input Sheet'!F62=0, "NO",CONCATENATE('Input Sheet'!F62, IF('Input Sheet'!F62&gt;0,"% ","")))</f>
        <v xml:space="preserve">100% </v>
      </c>
      <c r="M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" s="6" t="str">
        <f>CONCATENATE(M60, IF('Input Sheet'!J62="",""," siderite in "))</f>
        <v/>
      </c>
      <c r="O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" s="6" t="str">
        <f>CONCATENATE(O60, IF('Input Sheet'!K62="",""," siderite in "))</f>
        <v/>
      </c>
    </row>
    <row r="61" spans="1:16" x14ac:dyDescent="0.25">
      <c r="A61" s="17" t="str">
        <f>IF('Input Sheet'!C63="","",CONCATENATE("Sample ", 'Input Sheet'!B63, "m: ", N61, H61, "% ", "Siltstone, ", P61, 'Input Sheet'!C63, "% ", J61, " Sandstone, ", L61, K61, " FLUOR in SST. ", "TG ", 'Input Sheet'!I63, "U"))</f>
        <v>Sample 1940m: 5% Siltstone, 95% very fine to medium, rare coarse Sandstone, 100% bright FLUOR in SST. TG 245U</v>
      </c>
      <c r="B61" s="3" t="str">
        <f>IF('Input Sheet'!C63="","",CONCATENATE("Sample ", 'Input Sheet'!B63, "m: ", O61, I61, "% ", "Siltstone, ", Q61, 'Input Sheet'!C63, "% ", K61, " Sandstone "))</f>
        <v xml:space="preserve">Sample 1940m: veryfine to medium, rare coarse% Siltstone, 95% bright Sandstone </v>
      </c>
      <c r="C61" s="3" t="str">
        <f>IF('Input Sheet'!C63="","",CONCATENATE("Sample ", 'Input Sheet'!B63, "m: ", N61,, L61, K61, " FLUOR in SST. ", "TG ", 'Input Sheet'!I63, "U"))</f>
        <v>Sample 1940m: 100% bright FLUOR in SST. TG 245U</v>
      </c>
      <c r="H61" s="6">
        <f>IF('Input Sheet'!C63="","",100-'Input Sheet'!C63)</f>
        <v>5</v>
      </c>
      <c r="I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rare coarse</v>
      </c>
      <c r="J61" s="6" t="str">
        <f t="shared" si="0"/>
        <v>very fine to medium, rare coarse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61" s="6" t="str">
        <f>IF('Input Sheet'!F63=0, "NO",CONCATENATE('Input Sheet'!F63, IF('Input Sheet'!F63&gt;0,"% ","")))</f>
        <v xml:space="preserve">100% </v>
      </c>
      <c r="M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" s="6" t="str">
        <f>CONCATENATE(M61, IF('Input Sheet'!J63="",""," siderite in "))</f>
        <v/>
      </c>
      <c r="O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" s="6" t="str">
        <f>CONCATENATE(O61, IF('Input Sheet'!K63="",""," siderite in "))</f>
        <v/>
      </c>
    </row>
    <row r="62" spans="1:16" x14ac:dyDescent="0.25">
      <c r="A62" s="17" t="str">
        <f>IF('Input Sheet'!C64="","",CONCATENATE("Sample ", 'Input Sheet'!B64, "m: ", N62, H62, "% ", "Siltstone, ", P62, 'Input Sheet'!C64, "% ", J62, " Sandstone, ", L62, K62, " FLUOR in SST. ", "TG ", 'Input Sheet'!I64, "U"))</f>
        <v>Sample 1950m: 10% Siltstone, 90% very fine to fine Sandstone, 100% moderately bright to bright FLUOR in SST. TG 265U</v>
      </c>
      <c r="B62" s="3" t="str">
        <f>IF('Input Sheet'!C64="","",CONCATENATE("Sample ", 'Input Sheet'!B64, "m: ", O62, I62, "% ", "Siltstone, ", Q62, 'Input Sheet'!C64, "% ", K62, " Sandstone "))</f>
        <v xml:space="preserve">Sample 1950m: veryfine to fine% Siltstone, 90% moderately bright to bright Sandstone </v>
      </c>
      <c r="C62" s="3" t="str">
        <f>IF('Input Sheet'!C64="","",CONCATENATE("Sample ", 'Input Sheet'!B64, "m: ", N62,, L62, K62, " FLUOR in SST. ", "TG ", 'Input Sheet'!I64, "U"))</f>
        <v>Sample 1950m: 100% moderately bright to bright FLUOR in SST. TG 265U</v>
      </c>
      <c r="H62" s="6">
        <f>IF('Input Sheet'!C64="","",100-'Input Sheet'!C64)</f>
        <v>10</v>
      </c>
      <c r="I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2" s="6" t="str">
        <f t="shared" si="0"/>
        <v>very fine to fine</v>
      </c>
      <c r="K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62" s="6" t="str">
        <f>IF('Input Sheet'!F64=0, "NO",CONCATENATE('Input Sheet'!F64, IF('Input Sheet'!F64&gt;0,"% ","")))</f>
        <v xml:space="preserve">100% </v>
      </c>
      <c r="M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" s="6" t="str">
        <f>CONCATENATE(M62, IF('Input Sheet'!J64="",""," siderite in "))</f>
        <v/>
      </c>
      <c r="O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" s="6" t="str">
        <f>CONCATENATE(O62, IF('Input Sheet'!K64="",""," siderite in "))</f>
        <v/>
      </c>
    </row>
    <row r="63" spans="1:16" x14ac:dyDescent="0.25">
      <c r="A63" s="17" t="str">
        <f>IF('Input Sheet'!C65="","",CONCATENATE("Sample ", 'Input Sheet'!B65, "m: ", N63, H63, "% ", "Siltstone, ", P63, 'Input Sheet'!C65, "% ", J63, " Sandstone, ", L63, K63, " FLUOR in SST. ", "TG ", 'Input Sheet'!I65, "U"))</f>
        <v>Sample 1960m: common siderite in 40% Siltstone, 60% very fine to fine Sandstone, 100% moderately bright to bright FLUOR in SST. TG 160U</v>
      </c>
      <c r="B63" s="3" t="str">
        <f>IF('Input Sheet'!C65="","",CONCATENATE("Sample ", 'Input Sheet'!B65, "m: ", O63, I63, "% ", "Siltstone, ", Q63, 'Input Sheet'!C65, "% ", K63, " Sandstone "))</f>
        <v xml:space="preserve">Sample 1960m: veryfine to fine% Siltstone, 60% moderately bright to bright Sandstone </v>
      </c>
      <c r="C63" s="3" t="str">
        <f>IF('Input Sheet'!C65="","",CONCATENATE("Sample ", 'Input Sheet'!B65, "m: ", N63,, L63, K63, " FLUOR in SST. ", "TG ", 'Input Sheet'!I65, "U"))</f>
        <v>Sample 1960m: common siderite in 100% moderately bright to bright FLUOR in SST. TG 160U</v>
      </c>
      <c r="H63" s="6">
        <f>IF('Input Sheet'!C65="","",100-'Input Sheet'!C65)</f>
        <v>40</v>
      </c>
      <c r="I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3" s="6" t="str">
        <f t="shared" si="0"/>
        <v>very fine to fine</v>
      </c>
      <c r="K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63" s="6" t="str">
        <f>IF('Input Sheet'!F65=0, "NO",CONCATENATE('Input Sheet'!F65, IF('Input Sheet'!F65&gt;0,"% ","")))</f>
        <v xml:space="preserve">100% </v>
      </c>
      <c r="M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63" s="6" t="str">
        <f>CONCATENATE(M63, IF('Input Sheet'!J65="",""," siderite in "))</f>
        <v xml:space="preserve">common siderite in </v>
      </c>
      <c r="O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" s="6" t="str">
        <f>CONCATENATE(O63, IF('Input Sheet'!K65="",""," siderite in "))</f>
        <v/>
      </c>
    </row>
    <row r="64" spans="1:16" x14ac:dyDescent="0.25">
      <c r="A64" s="17" t="str">
        <f>IF('Input Sheet'!C66="","",CONCATENATE("Sample ", 'Input Sheet'!B66, "m: ", N64, H64, "% ", "Siltstone, ", P64, 'Input Sheet'!C66, "% ", J64, " Sandstone, ", L64, K64, " FLUOR in SST. ", "TG ", 'Input Sheet'!I66, "U"))</f>
        <v>Sample 1970m: common siderite in 70% Siltstone, 30% very fine to fine Sandstone, 50% moderately bright FLUOR in SST. TG 150U</v>
      </c>
      <c r="B64" s="3" t="str">
        <f>IF('Input Sheet'!C66="","",CONCATENATE("Sample ", 'Input Sheet'!B66, "m: ", O64, I64, "% ", "Siltstone, ", Q64, 'Input Sheet'!C66, "% ", K64, " Sandstone "))</f>
        <v xml:space="preserve">Sample 1970m: veryfine to fine% Siltstone, 30% moderately bright Sandstone </v>
      </c>
      <c r="C64" s="3" t="str">
        <f>IF('Input Sheet'!C66="","",CONCATENATE("Sample ", 'Input Sheet'!B66, "m: ", N64,, L64, K64, " FLUOR in SST. ", "TG ", 'Input Sheet'!I66, "U"))</f>
        <v>Sample 1970m: common siderite in 50% moderately bright FLUOR in SST. TG 150U</v>
      </c>
      <c r="H64" s="6">
        <f>IF('Input Sheet'!C66="","",100-'Input Sheet'!C66)</f>
        <v>70</v>
      </c>
      <c r="I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4" s="6" t="str">
        <f t="shared" si="0"/>
        <v>very fine to fine</v>
      </c>
      <c r="K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64" s="6" t="str">
        <f>IF('Input Sheet'!F66=0, "NO",CONCATENATE('Input Sheet'!F66, IF('Input Sheet'!F66&gt;0,"% ","")))</f>
        <v xml:space="preserve">50% </v>
      </c>
      <c r="M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64" s="6" t="str">
        <f>CONCATENATE(M64, IF('Input Sheet'!J66="",""," siderite in "))</f>
        <v xml:space="preserve">common siderite in </v>
      </c>
      <c r="O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" s="6" t="str">
        <f>CONCATENATE(O64, IF('Input Sheet'!K66="",""," siderite in "))</f>
        <v/>
      </c>
    </row>
    <row r="65" spans="1:16" x14ac:dyDescent="0.25">
      <c r="A65" s="17" t="str">
        <f>IF('Input Sheet'!C67="","",CONCATENATE("Sample ", 'Input Sheet'!B67, "m: ", N65, H65, "% ", "Siltstone, ", P65, 'Input Sheet'!C67, "% ", J65, " Sandstone, ", L65, K65, " FLUOR in SST. ", "TG ", 'Input Sheet'!I67, "U"))</f>
        <v>Sample 1980m: common siderite in 50% Siltstone, 50% very fine to fine Sandstone, 90% dull to moderately bright FLUOR in SST. TG 168U</v>
      </c>
      <c r="B65" s="3" t="str">
        <f>IF('Input Sheet'!C67="","",CONCATENATE("Sample ", 'Input Sheet'!B67, "m: ", O65, I65, "% ", "Siltstone, ", Q65, 'Input Sheet'!C67, "% ", K65, " Sandstone "))</f>
        <v xml:space="preserve">Sample 1980m: veryfine to fine% Siltstone, 50% dull to moderately bright Sandstone </v>
      </c>
      <c r="C65" s="3" t="str">
        <f>IF('Input Sheet'!C67="","",CONCATENATE("Sample ", 'Input Sheet'!B67, "m: ", N65,, L65, K65, " FLUOR in SST. ", "TG ", 'Input Sheet'!I67, "U"))</f>
        <v>Sample 1980m: common siderite in 90% dull to moderately bright FLUOR in SST. TG 168U</v>
      </c>
      <c r="H65" s="6">
        <f>IF('Input Sheet'!C67="","",100-'Input Sheet'!C67)</f>
        <v>50</v>
      </c>
      <c r="I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5" s="6" t="str">
        <f t="shared" si="0"/>
        <v>very fine to fine</v>
      </c>
      <c r="K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65" s="6" t="str">
        <f>IF('Input Sheet'!F67=0, "NO",CONCATENATE('Input Sheet'!F67, IF('Input Sheet'!F67&gt;0,"% ","")))</f>
        <v xml:space="preserve">90% </v>
      </c>
      <c r="M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65" s="6" t="str">
        <f>CONCATENATE(M65, IF('Input Sheet'!J67="",""," siderite in "))</f>
        <v xml:space="preserve">common siderite in </v>
      </c>
      <c r="O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" s="6" t="str">
        <f>CONCATENATE(O65, IF('Input Sheet'!K67="",""," siderite in "))</f>
        <v/>
      </c>
    </row>
    <row r="66" spans="1:16" x14ac:dyDescent="0.25">
      <c r="A66" s="17" t="str">
        <f>IF('Input Sheet'!C68="","",CONCATENATE("Sample ", 'Input Sheet'!B68, "m: ", N66, H66, "% ", "Siltstone, ", P66, 'Input Sheet'!C68, "% ", J66, " Sandstone, ", L66, K66, " FLUOR in SST. ", "TG ", 'Input Sheet'!I68, "U"))</f>
        <v>Sample 1990m: common siderite in 55% Siltstone, 45% very fine to fine Sandstone, 90% dull to moderately bright FLUOR in SST. TG 145U</v>
      </c>
      <c r="B66" s="3" t="str">
        <f>IF('Input Sheet'!C68="","",CONCATENATE("Sample ", 'Input Sheet'!B68, "m: ", O66, I66, "% ", "Siltstone, ", Q66, 'Input Sheet'!C68, "% ", K66, " Sandstone "))</f>
        <v xml:space="preserve">Sample 1990m: veryfine to fine% Siltstone, 45% dull to moderately bright Sandstone </v>
      </c>
      <c r="C66" s="3" t="str">
        <f>IF('Input Sheet'!C68="","",CONCATENATE("Sample ", 'Input Sheet'!B68, "m: ", N66,, L66, K66, " FLUOR in SST. ", "TG ", 'Input Sheet'!I68, "U"))</f>
        <v>Sample 1990m: common siderite in 90% dull to moderately bright FLUOR in SST. TG 145U</v>
      </c>
      <c r="H66" s="6">
        <f>IF('Input Sheet'!C68="","",100-'Input Sheet'!C68)</f>
        <v>55</v>
      </c>
      <c r="I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6" s="6" t="str">
        <f t="shared" ref="J66:J129" si="1">SUBSTITUTE(I66, "veryfine", "very fine")</f>
        <v>very fine to fine</v>
      </c>
      <c r="K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66" s="6" t="str">
        <f>IF('Input Sheet'!F68=0, "NO",CONCATENATE('Input Sheet'!F68, IF('Input Sheet'!F68&gt;0,"% ","")))</f>
        <v xml:space="preserve">90% </v>
      </c>
      <c r="M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66" s="6" t="str">
        <f>CONCATENATE(M66, IF('Input Sheet'!J68="",""," siderite in "))</f>
        <v xml:space="preserve">common siderite in </v>
      </c>
      <c r="O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" s="6" t="str">
        <f>CONCATENATE(O66, IF('Input Sheet'!K68="",""," siderite in "))</f>
        <v/>
      </c>
    </row>
    <row r="67" spans="1:16" x14ac:dyDescent="0.25">
      <c r="A67" s="17" t="str">
        <f>IF('Input Sheet'!C69="","",CONCATENATE("Sample ", 'Input Sheet'!B69, "m: ", N67, H67, "% ", "Siltstone, ", P67, 'Input Sheet'!C69, "% ", J67, " Sandstone, ", L67, K67, " FLUOR in SST. ", "TG ", 'Input Sheet'!I69, "U"))</f>
        <v>Sample 2000m: common siderite in 50% Siltstone, 50% very fine to fine Sandstone, 90% dull to moderately bright FLUOR in SST. TG 247U</v>
      </c>
      <c r="B67" s="3" t="str">
        <f>IF('Input Sheet'!C69="","",CONCATENATE("Sample ", 'Input Sheet'!B69, "m: ", O67, I67, "% ", "Siltstone, ", Q67, 'Input Sheet'!C69, "% ", K67, " Sandstone "))</f>
        <v xml:space="preserve">Sample 2000m: veryfine to fine% Siltstone, 50% dull to moderately bright Sandstone </v>
      </c>
      <c r="C67" s="3" t="str">
        <f>IF('Input Sheet'!C69="","",CONCATENATE("Sample ", 'Input Sheet'!B69, "m: ", N67,, L67, K67, " FLUOR in SST. ", "TG ", 'Input Sheet'!I69, "U"))</f>
        <v>Sample 2000m: common siderite in 90% dull to moderately bright FLUOR in SST. TG 247U</v>
      </c>
      <c r="H67" s="6">
        <f>IF('Input Sheet'!C69="","",100-'Input Sheet'!C69)</f>
        <v>50</v>
      </c>
      <c r="I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67" s="6" t="str">
        <f t="shared" si="1"/>
        <v>very fine to fine</v>
      </c>
      <c r="K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67" s="6" t="str">
        <f>IF('Input Sheet'!F69=0, "NO",CONCATENATE('Input Sheet'!F69, IF('Input Sheet'!F69&gt;0,"% ","")))</f>
        <v xml:space="preserve">90% </v>
      </c>
      <c r="M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67" s="6" t="str">
        <f>CONCATENATE(M67, IF('Input Sheet'!J69="",""," siderite in "))</f>
        <v xml:space="preserve">common siderite in </v>
      </c>
      <c r="O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" s="6" t="str">
        <f>CONCATENATE(O67, IF('Input Sheet'!K69="",""," siderite in "))</f>
        <v/>
      </c>
    </row>
    <row r="68" spans="1:16" x14ac:dyDescent="0.25">
      <c r="A68" s="17" t="str">
        <f>IF('Input Sheet'!C70="","",CONCATENATE("Sample ", 'Input Sheet'!B70, "m: ", N68, H68, "% ", "Siltstone, ", P68, 'Input Sheet'!C70, "% ", J68, " Sandstone, ", L68, K68, " FLUOR in SST. ", "TG ", 'Input Sheet'!I70, "U"))</f>
        <v>Sample 2010m: trace siderite in 20% Siltstone, 80% very fine to fine, rare coarse Sandstone, 100% bright FLUOR in SST. TG 135U</v>
      </c>
      <c r="B68" s="3" t="str">
        <f>IF('Input Sheet'!C70="","",CONCATENATE("Sample ", 'Input Sheet'!B70, "m: ", O68, I68, "% ", "Siltstone, ", Q68, 'Input Sheet'!C70, "% ", K68, " Sandstone "))</f>
        <v xml:space="preserve">Sample 2010m: veryfine to fine, rare coarse% Siltstone, 80% bright Sandstone </v>
      </c>
      <c r="C68" s="3" t="str">
        <f>IF('Input Sheet'!C70="","",CONCATENATE("Sample ", 'Input Sheet'!B70, "m: ", N68,, L68, K68, " FLUOR in SST. ", "TG ", 'Input Sheet'!I70, "U"))</f>
        <v>Sample 2010m: trace siderite in 100% bright FLUOR in SST. TG 135U</v>
      </c>
      <c r="H68" s="6">
        <f>IF('Input Sheet'!C70="","",100-'Input Sheet'!C70)</f>
        <v>20</v>
      </c>
      <c r="I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68" s="6" t="str">
        <f t="shared" si="1"/>
        <v>very fine to fine, rare coarse</v>
      </c>
      <c r="K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68" s="6" t="str">
        <f>IF('Input Sheet'!F70=0, "NO",CONCATENATE('Input Sheet'!F70, IF('Input Sheet'!F70&gt;0,"% ","")))</f>
        <v xml:space="preserve">100% </v>
      </c>
      <c r="M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68" s="6" t="str">
        <f>CONCATENATE(M68, IF('Input Sheet'!J70="",""," siderite in "))</f>
        <v xml:space="preserve">trace siderite in </v>
      </c>
      <c r="O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" s="6" t="str">
        <f>CONCATENATE(O68, IF('Input Sheet'!K70="",""," siderite in "))</f>
        <v/>
      </c>
    </row>
    <row r="69" spans="1:16" x14ac:dyDescent="0.25">
      <c r="A69" s="17" t="str">
        <f>IF('Input Sheet'!C71="","",CONCATENATE("Sample ", 'Input Sheet'!B71, "m: ", N69, H69, "% ", "Siltstone, ", P69, 'Input Sheet'!C71, "% ", J69, " Sandstone, ", L69, K69, " FLUOR in SST. ", "TG ", 'Input Sheet'!I71, "U"))</f>
        <v>Sample 2020m: 10% Siltstone, 90% very fine to fine,trace medium,rare coarse Sandstone, 80% moderately bright to bright FLUOR in SST. TG 154U</v>
      </c>
      <c r="B69" s="3" t="str">
        <f>IF('Input Sheet'!C71="","",CONCATENATE("Sample ", 'Input Sheet'!B71, "m: ", O69, I69, "% ", "Siltstone, ", Q69, 'Input Sheet'!C71, "% ", K69, " Sandstone "))</f>
        <v xml:space="preserve">Sample 2020m: veryfine to fine,trace medium,rare coarse% Siltstone, 90% moderately bright to bright Sandstone </v>
      </c>
      <c r="C69" s="3" t="str">
        <f>IF('Input Sheet'!C71="","",CONCATENATE("Sample ", 'Input Sheet'!B71, "m: ", N69,, L69, K69, " FLUOR in SST. ", "TG ", 'Input Sheet'!I71, "U"))</f>
        <v>Sample 2020m: 80% moderately bright to bright FLUOR in SST. TG 154U</v>
      </c>
      <c r="H69" s="6">
        <f>IF('Input Sheet'!C71="","",100-'Input Sheet'!C71)</f>
        <v>10</v>
      </c>
      <c r="I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fine,trace medium,rare coarse</v>
      </c>
      <c r="J69" s="6" t="str">
        <f t="shared" si="1"/>
        <v>very fine to fine,trace medium,rare coarse</v>
      </c>
      <c r="K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69" s="6" t="str">
        <f>IF('Input Sheet'!F71=0, "NO",CONCATENATE('Input Sheet'!F71, IF('Input Sheet'!F71&gt;0,"% ","")))</f>
        <v xml:space="preserve">80% </v>
      </c>
      <c r="M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" s="6" t="str">
        <f>CONCATENATE(M69, IF('Input Sheet'!J71="",""," siderite in "))</f>
        <v/>
      </c>
      <c r="O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" s="6" t="str">
        <f>CONCATENATE(O69, IF('Input Sheet'!K71="",""," siderite in "))</f>
        <v/>
      </c>
    </row>
    <row r="70" spans="1:16" x14ac:dyDescent="0.25">
      <c r="A70" s="17" t="str">
        <f>IF('Input Sheet'!C72="","",CONCATENATE("Sample ", 'Input Sheet'!B72, "m: ", N70, H70, "% ", "Siltstone, ", P70, 'Input Sheet'!C72, "% ", J70, " Sandstone, ", L70, K70, " FLUOR in SST. ", "TG ", 'Input Sheet'!I72, "U"))</f>
        <v>Sample 2030m: trace siderite in 30% Siltstone, 70% very fine to medium, rare coarse Sandstone, 50% moderately bright to bright FLUOR in SST. TG 165U</v>
      </c>
      <c r="B70" s="3" t="str">
        <f>IF('Input Sheet'!C72="","",CONCATENATE("Sample ", 'Input Sheet'!B72, "m: ", O70, I70, "% ", "Siltstone, ", Q70, 'Input Sheet'!C72, "% ", K70, " Sandstone "))</f>
        <v xml:space="preserve">Sample 2030m: veryfine to medium, rare coarse% Siltstone, 70% moderately bright to bright Sandstone </v>
      </c>
      <c r="C70" s="3" t="str">
        <f>IF('Input Sheet'!C72="","",CONCATENATE("Sample ", 'Input Sheet'!B72, "m: ", N70,, L70, K70, " FLUOR in SST. ", "TG ", 'Input Sheet'!I72, "U"))</f>
        <v>Sample 2030m: trace siderite in 50% moderately bright to bright FLUOR in SST. TG 165U</v>
      </c>
      <c r="H70" s="6">
        <f>IF('Input Sheet'!C72="","",100-'Input Sheet'!C72)</f>
        <v>30</v>
      </c>
      <c r="I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rare coarse</v>
      </c>
      <c r="J70" s="6" t="str">
        <f t="shared" si="1"/>
        <v>very fine to medium, rare coarse</v>
      </c>
      <c r="K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0" s="6" t="str">
        <f>IF('Input Sheet'!F72=0, "NO",CONCATENATE('Input Sheet'!F72, IF('Input Sheet'!F72&gt;0,"% ","")))</f>
        <v xml:space="preserve">50% </v>
      </c>
      <c r="M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70" s="6" t="str">
        <f>CONCATENATE(M70, IF('Input Sheet'!J72="",""," siderite in "))</f>
        <v xml:space="preserve">trace siderite in </v>
      </c>
      <c r="O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" s="6" t="str">
        <f>CONCATENATE(O70, IF('Input Sheet'!K72="",""," siderite in "))</f>
        <v/>
      </c>
    </row>
    <row r="71" spans="1:16" x14ac:dyDescent="0.25">
      <c r="A71" s="17" t="str">
        <f>IF('Input Sheet'!C73="","",CONCATENATE("Sample ", 'Input Sheet'!B73, "m: ", N71, H71, "% ", "Siltstone, ", P71, 'Input Sheet'!C73, "% ", J71, " Sandstone, ", L71, K71, " FLUOR in SST. ", "TG ", 'Input Sheet'!I73, "U"))</f>
        <v>Sample 2040m: trace siderite in 10% Siltstone, rare siderite in 90% very fine to medium, rare coarse Sandstone, 80% moderately bright to bright FLUOR in SST. TG 200U</v>
      </c>
      <c r="B71" s="3" t="str">
        <f>IF('Input Sheet'!C73="","",CONCATENATE("Sample ", 'Input Sheet'!B73, "m: ", O71, I71, "% ", "Siltstone, ", Q71, 'Input Sheet'!C73, "% ", K71, " Sandstone "))</f>
        <v xml:space="preserve">Sample 2040m: rareveryfine to medium, rare coarse% Siltstone, 90% moderately bright to bright Sandstone </v>
      </c>
      <c r="C71" s="3" t="str">
        <f>IF('Input Sheet'!C73="","",CONCATENATE("Sample ", 'Input Sheet'!B73, "m: ", N71,, L71, K71, " FLUOR in SST. ", "TG ", 'Input Sheet'!I73, "U"))</f>
        <v>Sample 2040m: trace siderite in 80% moderately bright to bright FLUOR in SST. TG 200U</v>
      </c>
      <c r="H71" s="6">
        <f>IF('Input Sheet'!C73="","",100-'Input Sheet'!C73)</f>
        <v>10</v>
      </c>
      <c r="I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medium, rare coarse</v>
      </c>
      <c r="J71" s="6" t="str">
        <f t="shared" si="1"/>
        <v>very fine to medium, rare coarse</v>
      </c>
      <c r="K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1" s="6" t="str">
        <f>IF('Input Sheet'!F73=0, "NO",CONCATENATE('Input Sheet'!F73, IF('Input Sheet'!F73&gt;0,"% ","")))</f>
        <v xml:space="preserve">80% </v>
      </c>
      <c r="M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71" s="6" t="str">
        <f>CONCATENATE(M71, IF('Input Sheet'!J73="",""," siderite in "))</f>
        <v xml:space="preserve">trace siderite in </v>
      </c>
      <c r="O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71" s="6" t="str">
        <f>CONCATENATE(O71, IF('Input Sheet'!K73="",""," siderite in "))</f>
        <v xml:space="preserve">rare siderite in </v>
      </c>
    </row>
    <row r="72" spans="1:16" x14ac:dyDescent="0.25">
      <c r="A72" s="17" t="str">
        <f>IF('Input Sheet'!C74="","",CONCATENATE("Sample ", 'Input Sheet'!B74, "m: ", N72, H72, "% ", "Siltstone, ", P72, 'Input Sheet'!C74, "% ", J72, " Sandstone, ", L72, K72, " FLUOR in SST. ", "TG ", 'Input Sheet'!I74, "U"))</f>
        <v>Sample 2050m: 10% Siltstone, rare siderite in 90% very fine to fine, minor medium Sandstone, 80% moderately bright to bright FLUOR in SST. TG 150U</v>
      </c>
      <c r="B72" s="3" t="str">
        <f>IF('Input Sheet'!C74="","",CONCATENATE("Sample ", 'Input Sheet'!B74, "m: ", O72, I72, "% ", "Siltstone, ", Q72, 'Input Sheet'!C74, "% ", K72, " Sandstone "))</f>
        <v xml:space="preserve">Sample 2050m: rareveryfine to fine, minor medium% Siltstone, 90% moderately bright to bright Sandstone </v>
      </c>
      <c r="C72" s="3" t="str">
        <f>IF('Input Sheet'!C74="","",CONCATENATE("Sample ", 'Input Sheet'!B74, "m: ", N72,, L72, K72, " FLUOR in SST. ", "TG ", 'Input Sheet'!I74, "U"))</f>
        <v>Sample 2050m: 80% moderately bright to bright FLUOR in SST. TG 150U</v>
      </c>
      <c r="H72" s="6">
        <f>IF('Input Sheet'!C74="","",100-'Input Sheet'!C74)</f>
        <v>10</v>
      </c>
      <c r="I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minor medium</v>
      </c>
      <c r="J72" s="6" t="str">
        <f t="shared" si="1"/>
        <v>very fine to fine, minor medium</v>
      </c>
      <c r="K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2" s="6" t="str">
        <f>IF('Input Sheet'!F74=0, "NO",CONCATENATE('Input Sheet'!F74, IF('Input Sheet'!F74&gt;0,"% ","")))</f>
        <v xml:space="preserve">80% </v>
      </c>
      <c r="M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" s="6" t="str">
        <f>CONCATENATE(M72, IF('Input Sheet'!J74="",""," siderite in "))</f>
        <v/>
      </c>
      <c r="O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72" s="6" t="str">
        <f>CONCATENATE(O72, IF('Input Sheet'!K74="",""," siderite in "))</f>
        <v xml:space="preserve">rare siderite in </v>
      </c>
    </row>
    <row r="73" spans="1:16" x14ac:dyDescent="0.25">
      <c r="A73" s="17" t="str">
        <f>IF('Input Sheet'!C75="","",CONCATENATE("Sample ", 'Input Sheet'!B75, "m: ", N73, H73, "% ", "Siltstone, ", P73, 'Input Sheet'!C75, "% ", J73, " Sandstone, ", L73, K73, " FLUOR in SST. ", "TG ", 'Input Sheet'!I75, "U"))</f>
        <v>Sample 2060m: 5% Siltstone, 95% very fine to fine, minor medium Sandstone, 80% moderately bright to bright FLUOR in SST. TG 195U</v>
      </c>
      <c r="B73" s="3" t="str">
        <f>IF('Input Sheet'!C75="","",CONCATENATE("Sample ", 'Input Sheet'!B75, "m: ", O73, I73, "% ", "Siltstone, ", Q73, 'Input Sheet'!C75, "% ", K73, " Sandstone "))</f>
        <v xml:space="preserve">Sample 2060m: veryfine to fine, minor medium% Siltstone, 95% moderately bright to bright Sandstone </v>
      </c>
      <c r="C73" s="3" t="str">
        <f>IF('Input Sheet'!C75="","",CONCATENATE("Sample ", 'Input Sheet'!B75, "m: ", N73,, L73, K73, " FLUOR in SST. ", "TG ", 'Input Sheet'!I75, "U"))</f>
        <v>Sample 2060m: 80% moderately bright to bright FLUOR in SST. TG 195U</v>
      </c>
      <c r="H73" s="6">
        <f>IF('Input Sheet'!C75="","",100-'Input Sheet'!C75)</f>
        <v>5</v>
      </c>
      <c r="I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minor medium</v>
      </c>
      <c r="J73" s="6" t="str">
        <f t="shared" si="1"/>
        <v>very fine to fine, minor medium</v>
      </c>
      <c r="K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3" s="6" t="str">
        <f>IF('Input Sheet'!F75=0, "NO",CONCATENATE('Input Sheet'!F75, IF('Input Sheet'!F75&gt;0,"% ","")))</f>
        <v xml:space="preserve">80% </v>
      </c>
      <c r="M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" s="6" t="str">
        <f>CONCATENATE(M73, IF('Input Sheet'!J75="",""," siderite in "))</f>
        <v/>
      </c>
      <c r="O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" s="6" t="str">
        <f>CONCATENATE(O73, IF('Input Sheet'!K75="",""," siderite in "))</f>
        <v/>
      </c>
    </row>
    <row r="74" spans="1:16" x14ac:dyDescent="0.25">
      <c r="A74" s="17" t="str">
        <f>IF('Input Sheet'!C76="","",CONCATENATE("Sample ", 'Input Sheet'!B76, "m: ", N74, H74, "% ", "Siltstone, ", P74, 'Input Sheet'!C76, "% ", J74, " Sandstone, ", L74, K74, " FLUOR in SST. ", "TG ", 'Input Sheet'!I76, "U"))</f>
        <v>Sample 2070m: 10% Siltstone, rare siderite in 90% very fine to fine, fine to medium lse Sandstone, 60% moderately bright to bright FLUOR in SST. TG 156U</v>
      </c>
      <c r="B74" s="3" t="str">
        <f>IF('Input Sheet'!C76="","",CONCATENATE("Sample ", 'Input Sheet'!B76, "m: ", O74, I74, "% ", "Siltstone, ", Q74, 'Input Sheet'!C76, "% ", K74, " Sandstone "))</f>
        <v xml:space="preserve">Sample 2070m: rareveryfine to fine, fine to medium lse% Siltstone, 90% moderately bright to bright Sandstone </v>
      </c>
      <c r="C74" s="3" t="str">
        <f>IF('Input Sheet'!C76="","",CONCATENATE("Sample ", 'Input Sheet'!B76, "m: ", N74,, L74, K74, " FLUOR in SST. ", "TG ", 'Input Sheet'!I76, "U"))</f>
        <v>Sample 2070m: 60% moderately bright to bright FLUOR in SST. TG 156U</v>
      </c>
      <c r="H74" s="6">
        <f>IF('Input Sheet'!C76="","",100-'Input Sheet'!C76)</f>
        <v>10</v>
      </c>
      <c r="I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fine to medium lse</v>
      </c>
      <c r="J74" s="6" t="str">
        <f t="shared" si="1"/>
        <v>very fine to fine, fine to medium lse</v>
      </c>
      <c r="K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4" s="6" t="str">
        <f>IF('Input Sheet'!F76=0, "NO",CONCATENATE('Input Sheet'!F76, IF('Input Sheet'!F76&gt;0,"% ","")))</f>
        <v xml:space="preserve">60% </v>
      </c>
      <c r="M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" s="6" t="str">
        <f>CONCATENATE(M74, IF('Input Sheet'!J76="",""," siderite in "))</f>
        <v/>
      </c>
      <c r="O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74" s="6" t="str">
        <f>CONCATENATE(O74, IF('Input Sheet'!K76="",""," siderite in "))</f>
        <v xml:space="preserve">rare siderite in </v>
      </c>
    </row>
    <row r="75" spans="1:16" x14ac:dyDescent="0.25">
      <c r="A75" s="17" t="str">
        <f>IF('Input Sheet'!C77="","",CONCATENATE("Sample ", 'Input Sheet'!B77, "m: ", N75, H75, "% ", "Siltstone, ", P75, 'Input Sheet'!C77, "% ", J75, " Sandstone, ", L75, K75, " FLUOR in SST. ", "TG ", 'Input Sheet'!I77, "U"))</f>
        <v>Sample 2080m: 10% Siltstone, 90% dominantly fine Sandstone, 70% moderately bright to bright FLUOR in SST. TG 189U</v>
      </c>
      <c r="B75" s="3" t="str">
        <f>IF('Input Sheet'!C77="","",CONCATENATE("Sample ", 'Input Sheet'!B77, "m: ", O75, I75, "% ", "Siltstone, ", Q75, 'Input Sheet'!C77, "% ", K75, " Sandstone "))</f>
        <v xml:space="preserve">Sample 2080m: dominantly fine% Siltstone, 90% moderately bright to bright Sandstone </v>
      </c>
      <c r="C75" s="3" t="str">
        <f>IF('Input Sheet'!C77="","",CONCATENATE("Sample ", 'Input Sheet'!B77, "m: ", N75,, L75, K75, " FLUOR in SST. ", "TG ", 'Input Sheet'!I77, "U"))</f>
        <v>Sample 2080m: 70% moderately bright to bright FLUOR in SST. TG 189U</v>
      </c>
      <c r="H75" s="6">
        <f>IF('Input Sheet'!C77="","",100-'Input Sheet'!C77)</f>
        <v>10</v>
      </c>
      <c r="I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dominantly fine</v>
      </c>
      <c r="J75" s="6" t="str">
        <f t="shared" si="1"/>
        <v>dominantly fine</v>
      </c>
      <c r="K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75" s="6" t="str">
        <f>IF('Input Sheet'!F77=0, "NO",CONCATENATE('Input Sheet'!F77, IF('Input Sheet'!F77&gt;0,"% ","")))</f>
        <v xml:space="preserve">70% </v>
      </c>
      <c r="M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" s="6" t="str">
        <f>CONCATENATE(M75, IF('Input Sheet'!J77="",""," siderite in "))</f>
        <v/>
      </c>
      <c r="O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" s="6" t="str">
        <f>CONCATENATE(O75, IF('Input Sheet'!K77="",""," siderite in "))</f>
        <v/>
      </c>
    </row>
    <row r="76" spans="1:16" x14ac:dyDescent="0.25">
      <c r="A76" s="17" t="str">
        <f>IF('Input Sheet'!C78="","",CONCATENATE("Sample ", 'Input Sheet'!B78, "m: ", N76, H76, "% ", "Siltstone, ", P76, 'Input Sheet'!C78, "% ", J76, " Sandstone, ", L76, K76, " FLUOR in SST. ", "TG ", 'Input Sheet'!I78, "U"))</f>
        <v>Sample 2090m: trace siderite in 10% Siltstone, trace siderite in 90% very fine to very coarse Sandstone, 100% bright  FLUOR in SST. TG 229U</v>
      </c>
      <c r="B76" s="3" t="str">
        <f>IF('Input Sheet'!C78="","",CONCATENATE("Sample ", 'Input Sheet'!B78, "m: ", O76, I76, "% ", "Siltstone, ", Q76, 'Input Sheet'!C78, "% ", K76, " Sandstone "))</f>
        <v xml:space="preserve">Sample 2090m: traceveryfine to very coarse% Siltstone, 90% bright  Sandstone </v>
      </c>
      <c r="C76" s="3" t="str">
        <f>IF('Input Sheet'!C78="","",CONCATENATE("Sample ", 'Input Sheet'!B78, "m: ", N76,, L76, K76, " FLUOR in SST. ", "TG ", 'Input Sheet'!I78, "U"))</f>
        <v>Sample 2090m: trace siderite in 100% bright  FLUOR in SST. TG 229U</v>
      </c>
      <c r="H76" s="6">
        <f>IF('Input Sheet'!C78="","",100-'Input Sheet'!C78)</f>
        <v>10</v>
      </c>
      <c r="I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 coarse</v>
      </c>
      <c r="J76" s="6" t="str">
        <f t="shared" si="1"/>
        <v>very fine to very coarse</v>
      </c>
      <c r="K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76" s="6" t="str">
        <f>IF('Input Sheet'!F78=0, "NO",CONCATENATE('Input Sheet'!F78, IF('Input Sheet'!F78&gt;0,"% ","")))</f>
        <v xml:space="preserve">100% </v>
      </c>
      <c r="M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76" s="6" t="str">
        <f>CONCATENATE(M76, IF('Input Sheet'!J78="",""," siderite in "))</f>
        <v xml:space="preserve">trace siderite in </v>
      </c>
      <c r="O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76" s="6" t="str">
        <f>CONCATENATE(O76, IF('Input Sheet'!K78="",""," siderite in "))</f>
        <v xml:space="preserve">trace siderite in </v>
      </c>
    </row>
    <row r="77" spans="1:16" x14ac:dyDescent="0.25">
      <c r="A77" s="17" t="str">
        <f>IF('Input Sheet'!C79="","",CONCATENATE("Sample ", 'Input Sheet'!B79, "m: ", N77, H77, "% ", "Siltstone, ", P77, 'Input Sheet'!C79, "% ", J77, " Sandstone, ", L77, K77, " FLUOR in SST. ", "TG ", 'Input Sheet'!I79, "U"))</f>
        <v>Sample 2100m: 10% Siltstone, 90% medium to coarse Sandstone, 100% bright  FLUOR in SST. TG 167U</v>
      </c>
      <c r="B77" s="3" t="str">
        <f>IF('Input Sheet'!C79="","",CONCATENATE("Sample ", 'Input Sheet'!B79, "m: ", O77, I77, "% ", "Siltstone, ", Q77, 'Input Sheet'!C79, "% ", K77, " Sandstone "))</f>
        <v xml:space="preserve">Sample 2100m: medium to coarse% Siltstone, 90% bright  Sandstone </v>
      </c>
      <c r="C77" s="3" t="str">
        <f>IF('Input Sheet'!C79="","",CONCATENATE("Sample ", 'Input Sheet'!B79, "m: ", N77,, L77, K77, " FLUOR in SST. ", "TG ", 'Input Sheet'!I79, "U"))</f>
        <v>Sample 2100m: 100% bright  FLUOR in SST. TG 167U</v>
      </c>
      <c r="H77" s="6">
        <f>IF('Input Sheet'!C79="","",100-'Input Sheet'!C79)</f>
        <v>10</v>
      </c>
      <c r="I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to coarse</v>
      </c>
      <c r="J77" s="6" t="str">
        <f t="shared" si="1"/>
        <v>medium to coarse</v>
      </c>
      <c r="K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77" s="6" t="str">
        <f>IF('Input Sheet'!F79=0, "NO",CONCATENATE('Input Sheet'!F79, IF('Input Sheet'!F79&gt;0,"% ","")))</f>
        <v xml:space="preserve">100% </v>
      </c>
      <c r="M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" s="6" t="str">
        <f>CONCATENATE(M77, IF('Input Sheet'!J79="",""," siderite in "))</f>
        <v/>
      </c>
      <c r="O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" s="6" t="str">
        <f>CONCATENATE(O77, IF('Input Sheet'!K79="",""," siderite in "))</f>
        <v/>
      </c>
    </row>
    <row r="78" spans="1:16" x14ac:dyDescent="0.25">
      <c r="A78" s="17" t="str">
        <f>IF('Input Sheet'!C80="","",CONCATENATE("Sample ", 'Input Sheet'!B80, "m: ", N78, H78, "% ", "Siltstone, ", P78, 'Input Sheet'!C80, "% ", J78, " Sandstone, ", L78, K78, " FLUOR in SST. ", "TG ", 'Input Sheet'!I80, "U"))</f>
        <v>Sample 2110m: 0% Siltstone, 100% medium to verycoarse Sandstone, 100% bright  FLUOR in SST. TG 155U</v>
      </c>
      <c r="B78" s="3" t="str">
        <f>IF('Input Sheet'!C80="","",CONCATENATE("Sample ", 'Input Sheet'!B80, "m: ", O78, I78, "% ", "Siltstone, ", Q78, 'Input Sheet'!C80, "% ", K78, " Sandstone "))</f>
        <v xml:space="preserve">Sample 2110m: medium to verycoarse% Siltstone, 100% bright  Sandstone </v>
      </c>
      <c r="C78" s="3" t="str">
        <f>IF('Input Sheet'!C80="","",CONCATENATE("Sample ", 'Input Sheet'!B80, "m: ", N78,, L78, K78, " FLUOR in SST. ", "TG ", 'Input Sheet'!I80, "U"))</f>
        <v>Sample 2110m: 100% bright  FLUOR in SST. TG 155U</v>
      </c>
      <c r="H78" s="6">
        <f>IF('Input Sheet'!C80="","",100-'Input Sheet'!C80)</f>
        <v>0</v>
      </c>
      <c r="I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to verycoarse</v>
      </c>
      <c r="J78" s="6" t="str">
        <f t="shared" si="1"/>
        <v>medium to verycoarse</v>
      </c>
      <c r="K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78" s="6" t="str">
        <f>IF('Input Sheet'!F80=0, "NO",CONCATENATE('Input Sheet'!F80, IF('Input Sheet'!F80&gt;0,"% ","")))</f>
        <v xml:space="preserve">100% </v>
      </c>
      <c r="M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" s="6" t="str">
        <f>CONCATENATE(M78, IF('Input Sheet'!J80="",""," siderite in "))</f>
        <v/>
      </c>
      <c r="O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" s="6" t="str">
        <f>CONCATENATE(O78, IF('Input Sheet'!K80="",""," siderite in "))</f>
        <v/>
      </c>
    </row>
    <row r="79" spans="1:16" x14ac:dyDescent="0.25">
      <c r="A79" s="17" t="str">
        <f>IF('Input Sheet'!C81="","",CONCATENATE("Sample ", 'Input Sheet'!B81, "m: ", N79, H79, "% ", "Siltstone, ", P79, 'Input Sheet'!C81, "% ", J79, " Sandstone, ", L79, K79, " FLUOR in SST. ", "TG ", 'Input Sheet'!I81, "U"))</f>
        <v>Sample 2120m: 0% Siltstone, 100% coarse to verycoarse Sandstone, 100% bright  FLUOR in SST. TG 144U</v>
      </c>
      <c r="B79" s="3" t="str">
        <f>IF('Input Sheet'!C81="","",CONCATENATE("Sample ", 'Input Sheet'!B81, "m: ", O79, I79, "% ", "Siltstone, ", Q79, 'Input Sheet'!C81, "% ", K79, " Sandstone "))</f>
        <v xml:space="preserve">Sample 2120m: coarse to verycoarse% Siltstone, 100% bright  Sandstone </v>
      </c>
      <c r="C79" s="3" t="str">
        <f>IF('Input Sheet'!C81="","",CONCATENATE("Sample ", 'Input Sheet'!B81, "m: ", N79,, L79, K79, " FLUOR in SST. ", "TG ", 'Input Sheet'!I81, "U"))</f>
        <v>Sample 2120m: 100% bright  FLUOR in SST. TG 144U</v>
      </c>
      <c r="H79" s="6">
        <f>IF('Input Sheet'!C81="","",100-'Input Sheet'!C81)</f>
        <v>0</v>
      </c>
      <c r="I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coarse to verycoarse</v>
      </c>
      <c r="J79" s="6" t="str">
        <f t="shared" si="1"/>
        <v>coarse to verycoarse</v>
      </c>
      <c r="K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79" s="6" t="str">
        <f>IF('Input Sheet'!F81=0, "NO",CONCATENATE('Input Sheet'!F81, IF('Input Sheet'!F81&gt;0,"% ","")))</f>
        <v xml:space="preserve">100% </v>
      </c>
      <c r="M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" s="6" t="str">
        <f>CONCATENATE(M79, IF('Input Sheet'!J81="",""," siderite in "))</f>
        <v/>
      </c>
      <c r="O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" s="6" t="str">
        <f>CONCATENATE(O79, IF('Input Sheet'!K81="",""," siderite in "))</f>
        <v/>
      </c>
    </row>
    <row r="80" spans="1:16" x14ac:dyDescent="0.25">
      <c r="A80" s="17" t="str">
        <f>IF('Input Sheet'!C82="","",CONCATENATE("Sample ", 'Input Sheet'!B82, "m: ", N80, H80, "% ", "Siltstone, ", P80, 'Input Sheet'!C82, "% ", J80, " Sandstone, ", L80, K80, " FLUOR in SST. ", "TG ", 'Input Sheet'!I82, "U"))</f>
        <v>Sample 2130m: 0% Siltstone, 100% medium to very coarse Sandstone, 100% bright  FLUOR in SST. TG 162U</v>
      </c>
      <c r="B80" s="3" t="str">
        <f>IF('Input Sheet'!C82="","",CONCATENATE("Sample ", 'Input Sheet'!B82, "m: ", O80, I80, "% ", "Siltstone, ", Q80, 'Input Sheet'!C82, "% ", K80, " Sandstone "))</f>
        <v xml:space="preserve">Sample 2130m: medium to very coarse% Siltstone, 100% bright  Sandstone </v>
      </c>
      <c r="C80" s="3" t="str">
        <f>IF('Input Sheet'!C82="","",CONCATENATE("Sample ", 'Input Sheet'!B82, "m: ", N80,, L80, K80, " FLUOR in SST. ", "TG ", 'Input Sheet'!I82, "U"))</f>
        <v>Sample 2130m: 100% bright  FLUOR in SST. TG 162U</v>
      </c>
      <c r="H80" s="6">
        <f>IF('Input Sheet'!C82="","",100-'Input Sheet'!C82)</f>
        <v>0</v>
      </c>
      <c r="I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to very coarse</v>
      </c>
      <c r="J80" s="6" t="str">
        <f t="shared" si="1"/>
        <v>medium to very coarse</v>
      </c>
      <c r="K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0" s="6" t="str">
        <f>IF('Input Sheet'!F82=0, "NO",CONCATENATE('Input Sheet'!F82, IF('Input Sheet'!F82&gt;0,"% ","")))</f>
        <v xml:space="preserve">100% </v>
      </c>
      <c r="M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" s="6" t="str">
        <f>CONCATENATE(M80, IF('Input Sheet'!J82="",""," siderite in "))</f>
        <v/>
      </c>
      <c r="O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" s="6" t="str">
        <f>CONCATENATE(O80, IF('Input Sheet'!K82="",""," siderite in "))</f>
        <v/>
      </c>
    </row>
    <row r="81" spans="1:16" x14ac:dyDescent="0.25">
      <c r="A81" s="17" t="str">
        <f>IF('Input Sheet'!C83="","",CONCATENATE("Sample ", 'Input Sheet'!B83, "m: ", N81, H81, "% ", "Siltstone, ", P81, 'Input Sheet'!C83, "% ", J81, " Sandstone, ", L81, K81, " FLUOR in SST. ", "TG ", 'Input Sheet'!I83, "U"))</f>
        <v>Sample 2140m: 0% Siltstone, 100% medium to very coarse Sandstone, 100% bright  FLUOR in SST. TG 142U</v>
      </c>
      <c r="B81" s="3" t="str">
        <f>IF('Input Sheet'!C83="","",CONCATENATE("Sample ", 'Input Sheet'!B83, "m: ", O81, I81, "% ", "Siltstone, ", Q81, 'Input Sheet'!C83, "% ", K81, " Sandstone "))</f>
        <v xml:space="preserve">Sample 2140m: medium to very coarse% Siltstone, 100% bright  Sandstone </v>
      </c>
      <c r="C81" s="3" t="str">
        <f>IF('Input Sheet'!C83="","",CONCATENATE("Sample ", 'Input Sheet'!B83, "m: ", N81,, L81, K81, " FLUOR in SST. ", "TG ", 'Input Sheet'!I83, "U"))</f>
        <v>Sample 2140m: 100% bright  FLUOR in SST. TG 142U</v>
      </c>
      <c r="H81" s="6">
        <f>IF('Input Sheet'!C83="","",100-'Input Sheet'!C83)</f>
        <v>0</v>
      </c>
      <c r="I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medium to very coarse</v>
      </c>
      <c r="J81" s="6" t="str">
        <f t="shared" si="1"/>
        <v>medium to very coarse</v>
      </c>
      <c r="K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1" s="6" t="str">
        <f>IF('Input Sheet'!F83=0, "NO",CONCATENATE('Input Sheet'!F83, IF('Input Sheet'!F83&gt;0,"% ","")))</f>
        <v xml:space="preserve">100% </v>
      </c>
      <c r="M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" s="6" t="str">
        <f>CONCATENATE(M81, IF('Input Sheet'!J83="",""," siderite in "))</f>
        <v/>
      </c>
      <c r="O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" s="6" t="str">
        <f>CONCATENATE(O81, IF('Input Sheet'!K83="",""," siderite in "))</f>
        <v/>
      </c>
    </row>
    <row r="82" spans="1:16" x14ac:dyDescent="0.25">
      <c r="A82" s="17" t="str">
        <f>IF('Input Sheet'!C84="","",CONCATENATE("Sample ", 'Input Sheet'!B84, "m: ", N82, H82, "% ", "Siltstone, ", P82, 'Input Sheet'!C84, "% ", J82, " Sandstone, ", L82, K82, " FLUOR in SST. ", "TG ", 'Input Sheet'!I84, "U"))</f>
        <v>Sample 2150m: 0% Siltstone, 100% coarse to very coarse Sandstone, 100% bright  FLUOR in SST. TG 157U</v>
      </c>
      <c r="B82" s="3" t="str">
        <f>IF('Input Sheet'!C84="","",CONCATENATE("Sample ", 'Input Sheet'!B84, "m: ", O82, I82, "% ", "Siltstone, ", Q82, 'Input Sheet'!C84, "% ", K82, " Sandstone "))</f>
        <v xml:space="preserve">Sample 2150m: coarse to very coarse% Siltstone, 100% bright  Sandstone </v>
      </c>
      <c r="C82" s="3" t="str">
        <f>IF('Input Sheet'!C84="","",CONCATENATE("Sample ", 'Input Sheet'!B84, "m: ", N82,, L82, K82, " FLUOR in SST. ", "TG ", 'Input Sheet'!I84, "U"))</f>
        <v>Sample 2150m: 100% bright  FLUOR in SST. TG 157U</v>
      </c>
      <c r="H82" s="6">
        <f>IF('Input Sheet'!C84="","",100-'Input Sheet'!C84)</f>
        <v>0</v>
      </c>
      <c r="I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coarse to very coarse</v>
      </c>
      <c r="J82" s="6" t="str">
        <f t="shared" si="1"/>
        <v>coarse to very coarse</v>
      </c>
      <c r="K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2" s="6" t="str">
        <f>IF('Input Sheet'!F84=0, "NO",CONCATENATE('Input Sheet'!F84, IF('Input Sheet'!F84&gt;0,"% ","")))</f>
        <v xml:space="preserve">100% </v>
      </c>
      <c r="M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" s="6" t="str">
        <f>CONCATENATE(M82, IF('Input Sheet'!J84="",""," siderite in "))</f>
        <v/>
      </c>
      <c r="O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" s="6" t="str">
        <f>CONCATENATE(O82, IF('Input Sheet'!K84="",""," siderite in "))</f>
        <v/>
      </c>
    </row>
    <row r="83" spans="1:16" x14ac:dyDescent="0.25">
      <c r="A83" s="17" t="str">
        <f>IF('Input Sheet'!C85="","",CONCATENATE("Sample ", 'Input Sheet'!B85, "m: ", N83, H83, "% ", "Siltstone, ", P83, 'Input Sheet'!C85, "% ", J83, " Sandstone, ", L83, K83, " FLUOR in SST. ", "TG ", 'Input Sheet'!I85, "U"))</f>
        <v>Sample 2160m: 0% Siltstone, 100% coarse to very coarse Sandstone, 100% bright  FLUOR in SST. TG 234U</v>
      </c>
      <c r="B83" s="3" t="str">
        <f>IF('Input Sheet'!C85="","",CONCATENATE("Sample ", 'Input Sheet'!B85, "m: ", O83, I83, "% ", "Siltstone, ", Q83, 'Input Sheet'!C85, "% ", K83, " Sandstone "))</f>
        <v xml:space="preserve">Sample 2160m: coarse to very coarse% Siltstone, 100% bright  Sandstone </v>
      </c>
      <c r="C83" s="3" t="str">
        <f>IF('Input Sheet'!C85="","",CONCATENATE("Sample ", 'Input Sheet'!B85, "m: ", N83,, L83, K83, " FLUOR in SST. ", "TG ", 'Input Sheet'!I85, "U"))</f>
        <v>Sample 2160m: 100% bright  FLUOR in SST. TG 234U</v>
      </c>
      <c r="H83" s="6">
        <f>IF('Input Sheet'!C85="","",100-'Input Sheet'!C85)</f>
        <v>0</v>
      </c>
      <c r="I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coarse to very coarse</v>
      </c>
      <c r="J83" s="6" t="str">
        <f t="shared" si="1"/>
        <v>coarse to very coarse</v>
      </c>
      <c r="K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3" s="6" t="str">
        <f>IF('Input Sheet'!F85=0, "NO",CONCATENATE('Input Sheet'!F85, IF('Input Sheet'!F85&gt;0,"% ","")))</f>
        <v xml:space="preserve">100% </v>
      </c>
      <c r="M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" s="6" t="str">
        <f>CONCATENATE(M83, IF('Input Sheet'!J85="",""," siderite in "))</f>
        <v/>
      </c>
      <c r="O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" s="6" t="str">
        <f>CONCATENATE(O83, IF('Input Sheet'!K85="",""," siderite in "))</f>
        <v/>
      </c>
    </row>
    <row r="84" spans="1:16" x14ac:dyDescent="0.25">
      <c r="A84" s="17" t="str">
        <f>IF('Input Sheet'!C86="","",CONCATENATE("Sample ", 'Input Sheet'!B86, "m: ", N84, H84, "% ", "Siltstone, ", P84, 'Input Sheet'!C86, "% ", J84, " Sandstone, ", L84, K84, " FLUOR in SST. ", "TG ", 'Input Sheet'!I86, "U"))</f>
        <v>Sample 2170m: 0% Siltstone, rare siderite in 100% fine to very coarse Sandstone, 100% bright  FLUOR in SST. TG 147U</v>
      </c>
      <c r="B84" s="3" t="str">
        <f>IF('Input Sheet'!C86="","",CONCATENATE("Sample ", 'Input Sheet'!B86, "m: ", O84, I84, "% ", "Siltstone, ", Q84, 'Input Sheet'!C86, "% ", K84, " Sandstone "))</f>
        <v xml:space="preserve">Sample 2170m: rarefine to very coarse% Siltstone, 100% bright  Sandstone </v>
      </c>
      <c r="C84" s="3" t="str">
        <f>IF('Input Sheet'!C86="","",CONCATENATE("Sample ", 'Input Sheet'!B86, "m: ", N84,, L84, K84, " FLUOR in SST. ", "TG ", 'Input Sheet'!I86, "U"))</f>
        <v>Sample 2170m: 100% bright  FLUOR in SST. TG 147U</v>
      </c>
      <c r="H84" s="6">
        <f>IF('Input Sheet'!C86="","",100-'Input Sheet'!C86)</f>
        <v>0</v>
      </c>
      <c r="I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84" s="6" t="str">
        <f t="shared" si="1"/>
        <v>fine to very coarse</v>
      </c>
      <c r="K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4" s="6" t="str">
        <f>IF('Input Sheet'!F86=0, "NO",CONCATENATE('Input Sheet'!F86, IF('Input Sheet'!F86&gt;0,"% ","")))</f>
        <v xml:space="preserve">100% </v>
      </c>
      <c r="M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" s="6" t="str">
        <f>CONCATENATE(M84, IF('Input Sheet'!J86="",""," siderite in "))</f>
        <v/>
      </c>
      <c r="O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84" s="6" t="str">
        <f>CONCATENATE(O84, IF('Input Sheet'!K86="",""," siderite in "))</f>
        <v xml:space="preserve">rare siderite in </v>
      </c>
    </row>
    <row r="85" spans="1:16" x14ac:dyDescent="0.25">
      <c r="A85" s="17" t="str">
        <f>IF('Input Sheet'!C87="","",CONCATENATE("Sample ", 'Input Sheet'!B87, "m: ", N85, H85, "% ", "Siltstone, ", P85, 'Input Sheet'!C87, "% ", J85, " Sandstone, ", L85, K85, " FLUOR in SST. ", "TG ", 'Input Sheet'!I87, "U"))</f>
        <v>Sample 2180m: 0% Siltstone, 100% fine to very coarse Sandstone, 100% moderately bright to bright FLUOR in SST. TG 156U</v>
      </c>
      <c r="B85" s="3" t="str">
        <f>IF('Input Sheet'!C87="","",CONCATENATE("Sample ", 'Input Sheet'!B87, "m: ", O85, I85, "% ", "Siltstone, ", Q85, 'Input Sheet'!C87, "% ", K85, " Sandstone "))</f>
        <v xml:space="preserve">Sample 2180m: fine to very coarse% Siltstone, 100% moderately bright to bright Sandstone </v>
      </c>
      <c r="C85" s="3" t="str">
        <f>IF('Input Sheet'!C87="","",CONCATENATE("Sample ", 'Input Sheet'!B87, "m: ", N85,, L85, K85, " FLUOR in SST. ", "TG ", 'Input Sheet'!I87, "U"))</f>
        <v>Sample 2180m: 100% moderately bright to bright FLUOR in SST. TG 156U</v>
      </c>
      <c r="H85" s="6">
        <f>IF('Input Sheet'!C87="","",100-'Input Sheet'!C87)</f>
        <v>0</v>
      </c>
      <c r="I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85" s="6" t="str">
        <f t="shared" si="1"/>
        <v>fine to very coarse</v>
      </c>
      <c r="K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85" s="6" t="str">
        <f>IF('Input Sheet'!F87=0, "NO",CONCATENATE('Input Sheet'!F87, IF('Input Sheet'!F87&gt;0,"% ","")))</f>
        <v xml:space="preserve">100% </v>
      </c>
      <c r="M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" s="6" t="str">
        <f>CONCATENATE(M85, IF('Input Sheet'!J87="",""," siderite in "))</f>
        <v/>
      </c>
      <c r="O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" s="6" t="str">
        <f>CONCATENATE(O85, IF('Input Sheet'!K87="",""," siderite in "))</f>
        <v/>
      </c>
    </row>
    <row r="86" spans="1:16" x14ac:dyDescent="0.25">
      <c r="A86" s="17" t="str">
        <f>IF('Input Sheet'!C88="","",CONCATENATE("Sample ", 'Input Sheet'!B88, "m: ", N86, H86, "% ", "Siltstone, ", P86, 'Input Sheet'!C88, "% ", J86, " Sandstone, ", L86, K86, " FLUOR in SST. ", "TG ", 'Input Sheet'!I88, "U"))</f>
        <v>Sample 2190m: 0% Siltstone, 100% very fine to fine agg, fine to verycoarse lse Sandstone, 100% bright  FLUOR in SST. TG 248U</v>
      </c>
      <c r="B86" s="3" t="str">
        <f>IF('Input Sheet'!C88="","",CONCATENATE("Sample ", 'Input Sheet'!B88, "m: ", O86, I86, "% ", "Siltstone, ", Q86, 'Input Sheet'!C88, "% ", K86, " Sandstone "))</f>
        <v xml:space="preserve">Sample 2190m: veryfine to fine agg, fine to verycoarse lse% Siltstone, 100% bright  Sandstone </v>
      </c>
      <c r="C86" s="3" t="str">
        <f>IF('Input Sheet'!C88="","",CONCATENATE("Sample ", 'Input Sheet'!B88, "m: ", N86,, L86, K86, " FLUOR in SST. ", "TG ", 'Input Sheet'!I88, "U"))</f>
        <v>Sample 2190m: 100% bright  FLUOR in SST. TG 248U</v>
      </c>
      <c r="H86" s="6">
        <f>IF('Input Sheet'!C88="","",100-'Input Sheet'!C88)</f>
        <v>0</v>
      </c>
      <c r="I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 fine to verycoarse lse</v>
      </c>
      <c r="J86" s="6" t="str">
        <f t="shared" si="1"/>
        <v>very fine to fine agg, fine to verycoarse lse</v>
      </c>
      <c r="K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6" s="6" t="str">
        <f>IF('Input Sheet'!F88=0, "NO",CONCATENATE('Input Sheet'!F88, IF('Input Sheet'!F88&gt;0,"% ","")))</f>
        <v xml:space="preserve">100% </v>
      </c>
      <c r="M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" s="6" t="str">
        <f>CONCATENATE(M86, IF('Input Sheet'!J88="",""," siderite in "))</f>
        <v/>
      </c>
      <c r="O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" s="6" t="str">
        <f>CONCATENATE(O86, IF('Input Sheet'!K88="",""," siderite in "))</f>
        <v/>
      </c>
    </row>
    <row r="87" spans="1:16" x14ac:dyDescent="0.25">
      <c r="A87" s="17" t="str">
        <f>IF('Input Sheet'!C89="","",CONCATENATE("Sample ", 'Input Sheet'!B89, "m: ", N87, H87, "% ", "Siltstone, ", P87, 'Input Sheet'!C89, "% ", J87, " Sandstone, ", L87, K87, " FLUOR in SST. ", "TG ", 'Input Sheet'!I89, "U"))</f>
        <v>Sample 2200m: 0% Siltstone, 100% very fine to fine agg, fine to verycoarse lse Sandstone, 100% bright  FLUOR in SST. TG 198U</v>
      </c>
      <c r="B87" s="3" t="str">
        <f>IF('Input Sheet'!C89="","",CONCATENATE("Sample ", 'Input Sheet'!B89, "m: ", O87, I87, "% ", "Siltstone, ", Q87, 'Input Sheet'!C89, "% ", K87, " Sandstone "))</f>
        <v xml:space="preserve">Sample 2200m: veryfine to fine agg, fine to verycoarse lse% Siltstone, 100% bright  Sandstone </v>
      </c>
      <c r="C87" s="3" t="str">
        <f>IF('Input Sheet'!C89="","",CONCATENATE("Sample ", 'Input Sheet'!B89, "m: ", N87,, L87, K87, " FLUOR in SST. ", "TG ", 'Input Sheet'!I89, "U"))</f>
        <v>Sample 2200m: 100% bright  FLUOR in SST. TG 198U</v>
      </c>
      <c r="H87" s="6">
        <f>IF('Input Sheet'!C89="","",100-'Input Sheet'!C89)</f>
        <v>0</v>
      </c>
      <c r="I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 fine to verycoarse lse</v>
      </c>
      <c r="J87" s="6" t="str">
        <f t="shared" si="1"/>
        <v>very fine to fine agg, fine to verycoarse lse</v>
      </c>
      <c r="K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7" s="6" t="str">
        <f>IF('Input Sheet'!F89=0, "NO",CONCATENATE('Input Sheet'!F89, IF('Input Sheet'!F89&gt;0,"% ","")))</f>
        <v xml:space="preserve">100% </v>
      </c>
      <c r="M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" s="6" t="str">
        <f>CONCATENATE(M87, IF('Input Sheet'!J89="",""," siderite in "))</f>
        <v/>
      </c>
      <c r="O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" s="6" t="str">
        <f>CONCATENATE(O87, IF('Input Sheet'!K89="",""," siderite in "))</f>
        <v/>
      </c>
    </row>
    <row r="88" spans="1:16" x14ac:dyDescent="0.25">
      <c r="A88" s="17" t="str">
        <f>IF('Input Sheet'!C90="","",CONCATENATE("Sample ", 'Input Sheet'!B90, "m: ", N88, H88, "% ", "Siltstone, ", P88, 'Input Sheet'!C90, "% ", J88, " Sandstone, ", L88, K88, " FLUOR in SST. ", "TG ", 'Input Sheet'!I90, "U"))</f>
        <v>Sample 2210m: 0% Siltstone, 100% very fine to fine agg, fine to verycoarse lse Sandstone, 100% bright  FLUOR in SST. TG 224U</v>
      </c>
      <c r="B88" s="3" t="str">
        <f>IF('Input Sheet'!C90="","",CONCATENATE("Sample ", 'Input Sheet'!B90, "m: ", O88, I88, "% ", "Siltstone, ", Q88, 'Input Sheet'!C90, "% ", K88, " Sandstone "))</f>
        <v xml:space="preserve">Sample 2210m: veryfine to fine agg, fine to verycoarse lse% Siltstone, 100% bright  Sandstone </v>
      </c>
      <c r="C88" s="3" t="str">
        <f>IF('Input Sheet'!C90="","",CONCATENATE("Sample ", 'Input Sheet'!B90, "m: ", N88,, L88, K88, " FLUOR in SST. ", "TG ", 'Input Sheet'!I90, "U"))</f>
        <v>Sample 2210m: 100% bright  FLUOR in SST. TG 224U</v>
      </c>
      <c r="H88" s="6">
        <f>IF('Input Sheet'!C90="","",100-'Input Sheet'!C90)</f>
        <v>0</v>
      </c>
      <c r="I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 fine to verycoarse lse</v>
      </c>
      <c r="J88" s="6" t="str">
        <f t="shared" si="1"/>
        <v>very fine to fine agg, fine to verycoarse lse</v>
      </c>
      <c r="K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8" s="6" t="str">
        <f>IF('Input Sheet'!F90=0, "NO",CONCATENATE('Input Sheet'!F90, IF('Input Sheet'!F90&gt;0,"% ","")))</f>
        <v xml:space="preserve">100% </v>
      </c>
      <c r="M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" s="6" t="str">
        <f>CONCATENATE(M88, IF('Input Sheet'!J90="",""," siderite in "))</f>
        <v/>
      </c>
      <c r="O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" s="6" t="str">
        <f>CONCATENATE(O88, IF('Input Sheet'!K90="",""," siderite in "))</f>
        <v/>
      </c>
    </row>
    <row r="89" spans="1:16" x14ac:dyDescent="0.25">
      <c r="A89" s="17" t="str">
        <f>IF('Input Sheet'!C91="","",CONCATENATE("Sample ", 'Input Sheet'!B91, "m: ", N89, H89, "% ", "Siltstone, ", P89, 'Input Sheet'!C91, "% ", J89, " Sandstone, ", L89, K89, " FLUOR in SST. ", "TG ", 'Input Sheet'!I91, "U"))</f>
        <v>Sample 2220m: 0% Siltstone, rare siderite in 100% very fine to dominantly fine agg, fine to coarse lse Sandstone, 100% bright  FLUOR in SST. TG 186U</v>
      </c>
      <c r="B89" s="3" t="str">
        <f>IF('Input Sheet'!C91="","",CONCATENATE("Sample ", 'Input Sheet'!B91, "m: ", O89, I89, "% ", "Siltstone, ", Q89, 'Input Sheet'!C91, "% ", K89, " Sandstone "))</f>
        <v xml:space="preserve">Sample 2220m: rareveryfine to dominantly fine agg, fine to coarse lse% Siltstone, 100% bright  Sandstone </v>
      </c>
      <c r="C89" s="3" t="str">
        <f>IF('Input Sheet'!C91="","",CONCATENATE("Sample ", 'Input Sheet'!B91, "m: ", N89,, L89, K89, " FLUOR in SST. ", "TG ", 'Input Sheet'!I91, "U"))</f>
        <v>Sample 2220m: 100% bright  FLUOR in SST. TG 186U</v>
      </c>
      <c r="H89" s="6">
        <f>IF('Input Sheet'!C91="","",100-'Input Sheet'!C91)</f>
        <v>0</v>
      </c>
      <c r="I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dominantly fine agg, fine to coarse lse</v>
      </c>
      <c r="J89" s="6" t="str">
        <f t="shared" si="1"/>
        <v>very fine to dominantly fine agg, fine to coarse lse</v>
      </c>
      <c r="K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89" s="6" t="str">
        <f>IF('Input Sheet'!F91=0, "NO",CONCATENATE('Input Sheet'!F91, IF('Input Sheet'!F91&gt;0,"% ","")))</f>
        <v xml:space="preserve">100% </v>
      </c>
      <c r="M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" s="6" t="str">
        <f>CONCATENATE(M89, IF('Input Sheet'!J91="",""," siderite in "))</f>
        <v/>
      </c>
      <c r="O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89" s="6" t="str">
        <f>CONCATENATE(O89, IF('Input Sheet'!K91="",""," siderite in "))</f>
        <v xml:space="preserve">rare siderite in </v>
      </c>
    </row>
    <row r="90" spans="1:16" x14ac:dyDescent="0.25">
      <c r="A90" s="17" t="str">
        <f>IF('Input Sheet'!C92="","",CONCATENATE("Sample ", 'Input Sheet'!B92, "m: ", N90, H90, "% ", "Siltstone, ", P90, 'Input Sheet'!C92, "% ", J90, " Sandstone, ", L90, K90, " FLUOR in SST. ", "TG ", 'Input Sheet'!I92, "U"))</f>
        <v>Sample 2230m: 0% Siltstone, 100% very fine to fine,fine to verycoarse lse Sandstone, 100% bright  FLUOR in SST. TG 155U</v>
      </c>
      <c r="B90" s="3" t="str">
        <f>IF('Input Sheet'!C92="","",CONCATENATE("Sample ", 'Input Sheet'!B92, "m: ", O90, I90, "% ", "Siltstone, ", Q90, 'Input Sheet'!C92, "% ", K90, " Sandstone "))</f>
        <v xml:space="preserve">Sample 2230m: veryfine to fine,fine to verycoarse lse% Siltstone, 100% bright  Sandstone </v>
      </c>
      <c r="C90" s="3" t="str">
        <f>IF('Input Sheet'!C92="","",CONCATENATE("Sample ", 'Input Sheet'!B92, "m: ", N90,, L90, K90, " FLUOR in SST. ", "TG ", 'Input Sheet'!I92, "U"))</f>
        <v>Sample 2230m: 100% bright  FLUOR in SST. TG 155U</v>
      </c>
      <c r="H90" s="6">
        <f>IF('Input Sheet'!C92="","",100-'Input Sheet'!C92)</f>
        <v>0</v>
      </c>
      <c r="I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fine,fine to verycoarse lse</v>
      </c>
      <c r="J90" s="6" t="str">
        <f t="shared" si="1"/>
        <v>very fine to fine,fine to verycoarse lse</v>
      </c>
      <c r="K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90" s="6" t="str">
        <f>IF('Input Sheet'!F92=0, "NO",CONCATENATE('Input Sheet'!F92, IF('Input Sheet'!F92&gt;0,"% ","")))</f>
        <v xml:space="preserve">100% </v>
      </c>
      <c r="M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" s="6" t="str">
        <f>CONCATENATE(M90, IF('Input Sheet'!J92="",""," siderite in "))</f>
        <v/>
      </c>
      <c r="O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" s="6" t="str">
        <f>CONCATENATE(O90, IF('Input Sheet'!K92="",""," siderite in "))</f>
        <v/>
      </c>
    </row>
    <row r="91" spans="1:16" x14ac:dyDescent="0.25">
      <c r="A91" s="17" t="str">
        <f>IF('Input Sheet'!C93="","",CONCATENATE("Sample ", 'Input Sheet'!B93, "m: ", N91, H91, "% ", "Siltstone, ", P91, 'Input Sheet'!C93, "% ", J91, " Sandstone, ", L91, K91, " FLUOR in SST. ", "TG ", 'Input Sheet'!I93, "U"))</f>
        <v>Sample 2240m: 0% Siltstone, 100% very fine to verycoarse Sandstone, 100% bright  FLUOR in SST. TG 272U</v>
      </c>
      <c r="B91" s="3" t="str">
        <f>IF('Input Sheet'!C93="","",CONCATENATE("Sample ", 'Input Sheet'!B93, "m: ", O91, I91, "% ", "Siltstone, ", Q91, 'Input Sheet'!C93, "% ", K91, " Sandstone "))</f>
        <v xml:space="preserve">Sample 2240m: veryfine to verycoarse% Siltstone, 100% bright  Sandstone </v>
      </c>
      <c r="C91" s="3" t="str">
        <f>IF('Input Sheet'!C93="","",CONCATENATE("Sample ", 'Input Sheet'!B93, "m: ", N91,, L91, K91, " FLUOR in SST. ", "TG ", 'Input Sheet'!I93, "U"))</f>
        <v>Sample 2240m: 100% bright  FLUOR in SST. TG 272U</v>
      </c>
      <c r="H91" s="6">
        <f>IF('Input Sheet'!C93="","",100-'Input Sheet'!C93)</f>
        <v>0</v>
      </c>
      <c r="I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91" s="6" t="str">
        <f t="shared" si="1"/>
        <v>very fine to verycoarse</v>
      </c>
      <c r="K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91" s="6" t="str">
        <f>IF('Input Sheet'!F93=0, "NO",CONCATENATE('Input Sheet'!F93, IF('Input Sheet'!F93&gt;0,"% ","")))</f>
        <v xml:space="preserve">100% </v>
      </c>
      <c r="M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" s="6" t="str">
        <f>CONCATENATE(M91, IF('Input Sheet'!J93="",""," siderite in "))</f>
        <v/>
      </c>
      <c r="O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" s="6" t="str">
        <f>CONCATENATE(O91, IF('Input Sheet'!K93="",""," siderite in "))</f>
        <v/>
      </c>
    </row>
    <row r="92" spans="1:16" x14ac:dyDescent="0.25">
      <c r="A92" s="17" t="str">
        <f>IF('Input Sheet'!C94="","",CONCATENATE("Sample ", 'Input Sheet'!B94, "m: ", N92, H92, "% ", "Siltstone, ", P92, 'Input Sheet'!C94, "% ", J92, " Sandstone, ", L92, K92, " FLUOR in SST. ", "TG ", 'Input Sheet'!I94, "U"))</f>
        <v>Sample 2250m: 0% Siltstone, 100% very fine to verycoarse Sandstone, 100% bright  FLUOR in SST. TG 249U</v>
      </c>
      <c r="B92" s="3" t="str">
        <f>IF('Input Sheet'!C94="","",CONCATENATE("Sample ", 'Input Sheet'!B94, "m: ", O92, I92, "% ", "Siltstone, ", Q92, 'Input Sheet'!C94, "% ", K92, " Sandstone "))</f>
        <v xml:space="preserve">Sample 2250m: veryfine to verycoarse% Siltstone, 100% bright  Sandstone </v>
      </c>
      <c r="C92" s="3" t="str">
        <f>IF('Input Sheet'!C94="","",CONCATENATE("Sample ", 'Input Sheet'!B94, "m: ", N92,, L92, K92, " FLUOR in SST. ", "TG ", 'Input Sheet'!I94, "U"))</f>
        <v>Sample 2250m: 100% bright  FLUOR in SST. TG 249U</v>
      </c>
      <c r="H92" s="6">
        <f>IF('Input Sheet'!C94="","",100-'Input Sheet'!C94)</f>
        <v>0</v>
      </c>
      <c r="I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92" s="6" t="str">
        <f t="shared" si="1"/>
        <v>very fine to verycoarse</v>
      </c>
      <c r="K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92" s="6" t="str">
        <f>IF('Input Sheet'!F94=0, "NO",CONCATENATE('Input Sheet'!F94, IF('Input Sheet'!F94&gt;0,"% ","")))</f>
        <v xml:space="preserve">100% </v>
      </c>
      <c r="M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" s="6" t="str">
        <f>CONCATENATE(M92, IF('Input Sheet'!J94="",""," siderite in "))</f>
        <v/>
      </c>
      <c r="O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" s="6" t="str">
        <f>CONCATENATE(O92, IF('Input Sheet'!K94="",""," siderite in "))</f>
        <v/>
      </c>
    </row>
    <row r="93" spans="1:16" x14ac:dyDescent="0.25">
      <c r="A93" s="17" t="str">
        <f>IF('Input Sheet'!C95="","",CONCATENATE("Sample ", 'Input Sheet'!B95, "m: ", N93, H93, "% ", "Siltstone, ", P93, 'Input Sheet'!C95, "% ", J93, " Sandstone, ", L93, K93, " FLUOR in SST. ", "TG ", 'Input Sheet'!I95, "U"))</f>
        <v>Sample 2260m: 0% Siltstone, 100% very fine to coarse Sandstone, 100% bright  FLUOR in SST. TG 246U</v>
      </c>
      <c r="B93" s="3" t="str">
        <f>IF('Input Sheet'!C95="","",CONCATENATE("Sample ", 'Input Sheet'!B95, "m: ", O93, I93, "% ", "Siltstone, ", Q93, 'Input Sheet'!C95, "% ", K93, " Sandstone "))</f>
        <v xml:space="preserve">Sample 2260m: veryfine to coarse% Siltstone, 100% bright  Sandstone </v>
      </c>
      <c r="C93" s="3" t="str">
        <f>IF('Input Sheet'!C95="","",CONCATENATE("Sample ", 'Input Sheet'!B95, "m: ", N93,, L93, K93, " FLUOR in SST. ", "TG ", 'Input Sheet'!I95, "U"))</f>
        <v>Sample 2260m: 100% bright  FLUOR in SST. TG 246U</v>
      </c>
      <c r="H93" s="6">
        <f>IF('Input Sheet'!C95="","",100-'Input Sheet'!C95)</f>
        <v>0</v>
      </c>
      <c r="I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3" s="6" t="str">
        <f t="shared" si="1"/>
        <v>very fine to coarse</v>
      </c>
      <c r="K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93" s="6" t="str">
        <f>IF('Input Sheet'!F95=0, "NO",CONCATENATE('Input Sheet'!F95, IF('Input Sheet'!F95&gt;0,"% ","")))</f>
        <v xml:space="preserve">100% </v>
      </c>
      <c r="M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" s="6" t="str">
        <f>CONCATENATE(M93, IF('Input Sheet'!J95="",""," siderite in "))</f>
        <v/>
      </c>
      <c r="O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" s="6" t="str">
        <f>CONCATENATE(O93, IF('Input Sheet'!K95="",""," siderite in "))</f>
        <v/>
      </c>
    </row>
    <row r="94" spans="1:16" x14ac:dyDescent="0.25">
      <c r="A94" s="17" t="str">
        <f>IF('Input Sheet'!C96="","",CONCATENATE("Sample ", 'Input Sheet'!B96, "m: ", N94, H94, "% ", "Siltstone, ", P94, 'Input Sheet'!C96, "% ", J94, " Sandstone, ", L94, K94, " FLUOR in SST. ", "TG ", 'Input Sheet'!I96, "U"))</f>
        <v>Sample 2270m: 0% Siltstone, 100% very fine to verycoarse Sandstone, 100% bright FLUOR in SST. TG 290U</v>
      </c>
      <c r="B94" s="3" t="str">
        <f>IF('Input Sheet'!C96="","",CONCATENATE("Sample ", 'Input Sheet'!B96, "m: ", O94, I94, "% ", "Siltstone, ", Q94, 'Input Sheet'!C96, "% ", K94, " Sandstone "))</f>
        <v xml:space="preserve">Sample 2270m: veryfine to verycoarse% Siltstone, 100% bright Sandstone </v>
      </c>
      <c r="C94" s="3" t="str">
        <f>IF('Input Sheet'!C96="","",CONCATENATE("Sample ", 'Input Sheet'!B96, "m: ", N94,, L94, K94, " FLUOR in SST. ", "TG ", 'Input Sheet'!I96, "U"))</f>
        <v>Sample 2270m: 100% bright FLUOR in SST. TG 290U</v>
      </c>
      <c r="H94" s="6">
        <f>IF('Input Sheet'!C96="","",100-'Input Sheet'!C96)</f>
        <v>0</v>
      </c>
      <c r="I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94" s="6" t="str">
        <f t="shared" si="1"/>
        <v>very fine to verycoarse</v>
      </c>
      <c r="K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94" s="6" t="str">
        <f>IF('Input Sheet'!F96=0, "NO",CONCATENATE('Input Sheet'!F96, IF('Input Sheet'!F96&gt;0,"% ","")))</f>
        <v xml:space="preserve">100% </v>
      </c>
      <c r="M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" s="6" t="str">
        <f>CONCATENATE(M94, IF('Input Sheet'!J96="",""," siderite in "))</f>
        <v/>
      </c>
      <c r="O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" s="6" t="str">
        <f>CONCATENATE(O94, IF('Input Sheet'!K96="",""," siderite in "))</f>
        <v/>
      </c>
    </row>
    <row r="95" spans="1:16" x14ac:dyDescent="0.25">
      <c r="A95" s="17" t="str">
        <f>IF('Input Sheet'!C97="","",CONCATENATE("Sample ", 'Input Sheet'!B97, "m: ", N95, H95, "% ", "Siltstone, ", P95, 'Input Sheet'!C97, "% ", J95, " Sandstone, ", L95, K95, " FLUOR in SST. ", "TG ", 'Input Sheet'!I97, "U"))</f>
        <v>Sample 2280m: 0% Siltstone, 100% very fine to coarse Sandstone, 100% bright FLUOR in SST. TG 253U</v>
      </c>
      <c r="B95" s="3" t="str">
        <f>IF('Input Sheet'!C97="","",CONCATENATE("Sample ", 'Input Sheet'!B97, "m: ", O95, I95, "% ", "Siltstone, ", Q95, 'Input Sheet'!C97, "% ", K95, " Sandstone "))</f>
        <v xml:space="preserve">Sample 2280m: veryfine to coarse% Siltstone, 100% bright Sandstone </v>
      </c>
      <c r="C95" s="3" t="str">
        <f>IF('Input Sheet'!C97="","",CONCATENATE("Sample ", 'Input Sheet'!B97, "m: ", N95,, L95, K95, " FLUOR in SST. ", "TG ", 'Input Sheet'!I97, "U"))</f>
        <v>Sample 2280m: 100% bright FLUOR in SST. TG 253U</v>
      </c>
      <c r="H95" s="6">
        <f>IF('Input Sheet'!C97="","",100-'Input Sheet'!C97)</f>
        <v>0</v>
      </c>
      <c r="I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5" s="6" t="str">
        <f t="shared" si="1"/>
        <v>very fine to coarse</v>
      </c>
      <c r="K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95" s="6" t="str">
        <f>IF('Input Sheet'!F97=0, "NO",CONCATENATE('Input Sheet'!F97, IF('Input Sheet'!F97&gt;0,"% ","")))</f>
        <v xml:space="preserve">100% </v>
      </c>
      <c r="M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" s="6" t="str">
        <f>CONCATENATE(M95, IF('Input Sheet'!J97="",""," siderite in "))</f>
        <v/>
      </c>
      <c r="O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" s="6" t="str">
        <f>CONCATENATE(O95, IF('Input Sheet'!K97="",""," siderite in "))</f>
        <v/>
      </c>
    </row>
    <row r="96" spans="1:16" x14ac:dyDescent="0.25">
      <c r="A96" s="17" t="str">
        <f>IF('Input Sheet'!C98="","",CONCATENATE("Sample ", 'Input Sheet'!B98, "m: ", N96, H96, "% ", "Siltstone, ", P96, 'Input Sheet'!C98, "% ", J96, " Sandstone, ", L96, K96, " FLUOR in SST. ", "TG ", 'Input Sheet'!I98, "U"))</f>
        <v>Sample 2290m: 5% Siltstone, 95% very fine to coarse Sandstone, 100% bright FLUOR in SST. TG 300U</v>
      </c>
      <c r="B96" s="3" t="str">
        <f>IF('Input Sheet'!C98="","",CONCATENATE("Sample ", 'Input Sheet'!B98, "m: ", O96, I96, "% ", "Siltstone, ", Q96, 'Input Sheet'!C98, "% ", K96, " Sandstone "))</f>
        <v xml:space="preserve">Sample 2290m: veryfine to coarse% Siltstone, 95% bright Sandstone </v>
      </c>
      <c r="C96" s="3" t="str">
        <f>IF('Input Sheet'!C98="","",CONCATENATE("Sample ", 'Input Sheet'!B98, "m: ", N96,, L96, K96, " FLUOR in SST. ", "TG ", 'Input Sheet'!I98, "U"))</f>
        <v>Sample 2290m: 100% bright FLUOR in SST. TG 300U</v>
      </c>
      <c r="H96" s="6">
        <f>IF('Input Sheet'!C98="","",100-'Input Sheet'!C98)</f>
        <v>5</v>
      </c>
      <c r="I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6" s="6" t="str">
        <f t="shared" si="1"/>
        <v>very fine to coarse</v>
      </c>
      <c r="K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96" s="6" t="str">
        <f>IF('Input Sheet'!F98=0, "NO",CONCATENATE('Input Sheet'!F98, IF('Input Sheet'!F98&gt;0,"% ","")))</f>
        <v xml:space="preserve">100% </v>
      </c>
      <c r="M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" s="6" t="str">
        <f>CONCATENATE(M96, IF('Input Sheet'!J98="",""," siderite in "))</f>
        <v/>
      </c>
      <c r="O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" s="6" t="str">
        <f>CONCATENATE(O96, IF('Input Sheet'!K98="",""," siderite in "))</f>
        <v/>
      </c>
    </row>
    <row r="97" spans="1:16" x14ac:dyDescent="0.25">
      <c r="A97" s="17" t="str">
        <f>IF('Input Sheet'!C99="","",CONCATENATE("Sample ", 'Input Sheet'!B99, "m: ", N97, H97, "% ", "Siltstone, ", P97, 'Input Sheet'!C99, "% ", J97, " Sandstone, ", L97, K97, " FLUOR in SST. ", "TG ", 'Input Sheet'!I99, "U"))</f>
        <v>Sample 2300m: 10% Siltstone, 90% very fine to coarse Sandstone, 100% moderately bright FLUOR in SST. TG 303U</v>
      </c>
      <c r="B97" s="3" t="str">
        <f>IF('Input Sheet'!C99="","",CONCATENATE("Sample ", 'Input Sheet'!B99, "m: ", O97, I97, "% ", "Siltstone, ", Q97, 'Input Sheet'!C99, "% ", K97, " Sandstone "))</f>
        <v xml:space="preserve">Sample 2300m: veryfine to coarse% Siltstone, 90% moderately bright Sandstone </v>
      </c>
      <c r="C97" s="3" t="str">
        <f>IF('Input Sheet'!C99="","",CONCATENATE("Sample ", 'Input Sheet'!B99, "m: ", N97,, L97, K97, " FLUOR in SST. ", "TG ", 'Input Sheet'!I99, "U"))</f>
        <v>Sample 2300m: 100% moderately bright FLUOR in SST. TG 303U</v>
      </c>
      <c r="H97" s="6">
        <f>IF('Input Sheet'!C99="","",100-'Input Sheet'!C99)</f>
        <v>10</v>
      </c>
      <c r="I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7" s="6" t="str">
        <f t="shared" si="1"/>
        <v>very fine to coarse</v>
      </c>
      <c r="K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97" s="6" t="str">
        <f>IF('Input Sheet'!F99=0, "NO",CONCATENATE('Input Sheet'!F99, IF('Input Sheet'!F99&gt;0,"% ","")))</f>
        <v xml:space="preserve">100% </v>
      </c>
      <c r="M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" s="6" t="str">
        <f>CONCATENATE(M97, IF('Input Sheet'!J99="",""," siderite in "))</f>
        <v/>
      </c>
      <c r="O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" s="6" t="str">
        <f>CONCATENATE(O97, IF('Input Sheet'!K99="",""," siderite in "))</f>
        <v/>
      </c>
    </row>
    <row r="98" spans="1:16" x14ac:dyDescent="0.25">
      <c r="A98" s="17" t="str">
        <f>IF('Input Sheet'!C100="","",CONCATENATE("Sample ", 'Input Sheet'!B100, "m: ", N98, H98, "% ", "Siltstone, ", P98, 'Input Sheet'!C100, "% ", J98, " Sandstone, ", L98, K98, " FLUOR in SST. ", "TG ", 'Input Sheet'!I100, "U"))</f>
        <v>Sample 2310m: 15% Siltstone, 85% very fine to coarse Sandstone, 100% moderately bright to bright FLUOR in SST. TG 316U</v>
      </c>
      <c r="B98" s="3" t="str">
        <f>IF('Input Sheet'!C100="","",CONCATENATE("Sample ", 'Input Sheet'!B100, "m: ", O98, I98, "% ", "Siltstone, ", Q98, 'Input Sheet'!C100, "% ", K98, " Sandstone "))</f>
        <v xml:space="preserve">Sample 2310m: veryfine to coarse% Siltstone, 85% moderately bright to bright Sandstone </v>
      </c>
      <c r="C98" s="3" t="str">
        <f>IF('Input Sheet'!C100="","",CONCATENATE("Sample ", 'Input Sheet'!B100, "m: ", N98,, L98, K98, " FLUOR in SST. ", "TG ", 'Input Sheet'!I100, "U"))</f>
        <v>Sample 2310m: 100% moderately bright to bright FLUOR in SST. TG 316U</v>
      </c>
      <c r="H98" s="6">
        <f>IF('Input Sheet'!C100="","",100-'Input Sheet'!C100)</f>
        <v>15</v>
      </c>
      <c r="I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8" s="6" t="str">
        <f t="shared" si="1"/>
        <v>very fine to coarse</v>
      </c>
      <c r="K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98" s="6" t="str">
        <f>IF('Input Sheet'!F100=0, "NO",CONCATENATE('Input Sheet'!F100, IF('Input Sheet'!F100&gt;0,"% ","")))</f>
        <v xml:space="preserve">100% </v>
      </c>
      <c r="M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" s="6" t="str">
        <f>CONCATENATE(M98, IF('Input Sheet'!J100="",""," siderite in "))</f>
        <v/>
      </c>
      <c r="O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" s="6" t="str">
        <f>CONCATENATE(O98, IF('Input Sheet'!K100="",""," siderite in "))</f>
        <v/>
      </c>
    </row>
    <row r="99" spans="1:16" x14ac:dyDescent="0.25">
      <c r="A99" s="17" t="str">
        <f>IF('Input Sheet'!C101="","",CONCATENATE("Sample ", 'Input Sheet'!B101, "m: ", N99, H99, "% ", "Siltstone, ", P99, 'Input Sheet'!C101, "% ", J99, " Sandstone, ", L99, K99, " FLUOR in SST. ", "TG ", 'Input Sheet'!I101, "U"))</f>
        <v>Sample 2320m: 5% Siltstone, 95% very fine to coarse Sandstone, 100% moderately bright to bright FLUOR in SST. TG 265U</v>
      </c>
      <c r="B99" s="3" t="str">
        <f>IF('Input Sheet'!C101="","",CONCATENATE("Sample ", 'Input Sheet'!B101, "m: ", O99, I99, "% ", "Siltstone, ", Q99, 'Input Sheet'!C101, "% ", K99, " Sandstone "))</f>
        <v xml:space="preserve">Sample 2320m: veryfine to coarse% Siltstone, 95% moderately bright to bright Sandstone </v>
      </c>
      <c r="C99" s="3" t="str">
        <f>IF('Input Sheet'!C101="","",CONCATENATE("Sample ", 'Input Sheet'!B101, "m: ", N99,, L99, K99, " FLUOR in SST. ", "TG ", 'Input Sheet'!I101, "U"))</f>
        <v>Sample 2320m: 100% moderately bright to bright FLUOR in SST. TG 265U</v>
      </c>
      <c r="H99" s="6">
        <f>IF('Input Sheet'!C101="","",100-'Input Sheet'!C101)</f>
        <v>5</v>
      </c>
      <c r="I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99" s="6" t="str">
        <f t="shared" si="1"/>
        <v>very fine to coarse</v>
      </c>
      <c r="K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99" s="6" t="str">
        <f>IF('Input Sheet'!F101=0, "NO",CONCATENATE('Input Sheet'!F101, IF('Input Sheet'!F101&gt;0,"% ","")))</f>
        <v xml:space="preserve">100% </v>
      </c>
      <c r="M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" s="6" t="str">
        <f>CONCATENATE(M99, IF('Input Sheet'!J101="",""," siderite in "))</f>
        <v/>
      </c>
      <c r="O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" s="6" t="str">
        <f>CONCATENATE(O99, IF('Input Sheet'!K101="",""," siderite in "))</f>
        <v/>
      </c>
    </row>
    <row r="100" spans="1:16" x14ac:dyDescent="0.25">
      <c r="A100" s="17" t="str">
        <f>IF('Input Sheet'!C102="","",CONCATENATE("Sample ", 'Input Sheet'!B102, "m: ", N100, H100, "% ", "Siltstone, ", P100, 'Input Sheet'!C102, "% ", J100, " Sandstone, ", L100, K100, " FLUOR in SST. ", "TG ", 'Input Sheet'!I102, "U"))</f>
        <v>Sample 2330m: 0% Siltstone, 100% very fine to verycoarse Sandstone, 100% moderately bright FLUOR in SST. TG 295U</v>
      </c>
      <c r="B100" s="3" t="str">
        <f>IF('Input Sheet'!C102="","",CONCATENATE("Sample ", 'Input Sheet'!B102, "m: ", O100, I100, "% ", "Siltstone, ", Q100, 'Input Sheet'!C102, "% ", K100, " Sandstone "))</f>
        <v xml:space="preserve">Sample 2330m: veryfine to verycoarse% Siltstone, 100% moderately bright Sandstone </v>
      </c>
      <c r="C100" s="3" t="str">
        <f>IF('Input Sheet'!C102="","",CONCATENATE("Sample ", 'Input Sheet'!B102, "m: ", N100,, L100, K100, " FLUOR in SST. ", "TG ", 'Input Sheet'!I102, "U"))</f>
        <v>Sample 2330m: 100% moderately bright FLUOR in SST. TG 295U</v>
      </c>
      <c r="H100" s="6">
        <f>IF('Input Sheet'!C102="","",100-'Input Sheet'!C102)</f>
        <v>0</v>
      </c>
      <c r="I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100" s="6" t="str">
        <f t="shared" si="1"/>
        <v>very fine to verycoarse</v>
      </c>
      <c r="K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0" s="6" t="str">
        <f>IF('Input Sheet'!F102=0, "NO",CONCATENATE('Input Sheet'!F102, IF('Input Sheet'!F102&gt;0,"% ","")))</f>
        <v xml:space="preserve">100% </v>
      </c>
      <c r="M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0" s="6" t="str">
        <f>CONCATENATE(M100, IF('Input Sheet'!J102="",""," siderite in "))</f>
        <v/>
      </c>
      <c r="O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0" s="6" t="str">
        <f>CONCATENATE(O100, IF('Input Sheet'!K102="",""," siderite in "))</f>
        <v/>
      </c>
    </row>
    <row r="101" spans="1:16" x14ac:dyDescent="0.25">
      <c r="A101" s="17" t="str">
        <f>IF('Input Sheet'!C103="","",CONCATENATE("Sample ", 'Input Sheet'!B103, "m: ", N101, H101, "% ", "Siltstone, ", P101, 'Input Sheet'!C103, "% ", J101, " Sandstone, ", L101, K101, " FLUOR in SST. ", "TG ", 'Input Sheet'!I103, "U"))</f>
        <v>Sample 2340m: 0% Siltstone, 100% very fine to coarse Sandstone, 100% moderately bright FLUOR in SST. TG 234U</v>
      </c>
      <c r="B101" s="3" t="str">
        <f>IF('Input Sheet'!C103="","",CONCATENATE("Sample ", 'Input Sheet'!B103, "m: ", O101, I101, "% ", "Siltstone, ", Q101, 'Input Sheet'!C103, "% ", K101, " Sandstone "))</f>
        <v xml:space="preserve">Sample 2340m: veryfine to coarse% Siltstone, 100% moderately bright Sandstone </v>
      </c>
      <c r="C101" s="3" t="str">
        <f>IF('Input Sheet'!C103="","",CONCATENATE("Sample ", 'Input Sheet'!B103, "m: ", N101,, L101, K101, " FLUOR in SST. ", "TG ", 'Input Sheet'!I103, "U"))</f>
        <v>Sample 2340m: 100% moderately bright FLUOR in SST. TG 234U</v>
      </c>
      <c r="H101" s="6">
        <f>IF('Input Sheet'!C103="","",100-'Input Sheet'!C103)</f>
        <v>0</v>
      </c>
      <c r="I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01" s="6" t="str">
        <f t="shared" si="1"/>
        <v>very fine to coarse</v>
      </c>
      <c r="K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1" s="6" t="str">
        <f>IF('Input Sheet'!F103=0, "NO",CONCATENATE('Input Sheet'!F103, IF('Input Sheet'!F103&gt;0,"% ","")))</f>
        <v xml:space="preserve">100% </v>
      </c>
      <c r="M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1" s="6" t="str">
        <f>CONCATENATE(M101, IF('Input Sheet'!J103="",""," siderite in "))</f>
        <v/>
      </c>
      <c r="O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1" s="6" t="str">
        <f>CONCATENATE(O101, IF('Input Sheet'!K103="",""," siderite in "))</f>
        <v/>
      </c>
    </row>
    <row r="102" spans="1:16" x14ac:dyDescent="0.25">
      <c r="A102" s="17" t="str">
        <f>IF('Input Sheet'!C104="","",CONCATENATE("Sample ", 'Input Sheet'!B104, "m: ", N102, H102, "% ", "Siltstone, ", P102, 'Input Sheet'!C104, "% ", J102, " Sandstone, ", L102, K102, " FLUOR in SST. ", "TG ", 'Input Sheet'!I104, "U"))</f>
        <v>Sample 2350m: 0% Siltstone, 100% very fine to coarse Sandstone, 100% moderately bright FLUOR in SST. TG 195U</v>
      </c>
      <c r="B102" s="3" t="str">
        <f>IF('Input Sheet'!C104="","",CONCATENATE("Sample ", 'Input Sheet'!B104, "m: ", O102, I102, "% ", "Siltstone, ", Q102, 'Input Sheet'!C104, "% ", K102, " Sandstone "))</f>
        <v xml:space="preserve">Sample 2350m: veryfine to coarse% Siltstone, 100% moderately bright Sandstone </v>
      </c>
      <c r="C102" s="3" t="str">
        <f>IF('Input Sheet'!C104="","",CONCATENATE("Sample ", 'Input Sheet'!B104, "m: ", N102,, L102, K102, " FLUOR in SST. ", "TG ", 'Input Sheet'!I104, "U"))</f>
        <v>Sample 2350m: 100% moderately bright FLUOR in SST. TG 195U</v>
      </c>
      <c r="H102" s="6">
        <f>IF('Input Sheet'!C104="","",100-'Input Sheet'!C104)</f>
        <v>0</v>
      </c>
      <c r="I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02" s="6" t="str">
        <f t="shared" si="1"/>
        <v>very fine to coarse</v>
      </c>
      <c r="K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2" s="6" t="str">
        <f>IF('Input Sheet'!F104=0, "NO",CONCATENATE('Input Sheet'!F104, IF('Input Sheet'!F104&gt;0,"% ","")))</f>
        <v xml:space="preserve">100% </v>
      </c>
      <c r="M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2" s="6" t="str">
        <f>CONCATENATE(M102, IF('Input Sheet'!J104="",""," siderite in "))</f>
        <v/>
      </c>
      <c r="O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2" s="6" t="str">
        <f>CONCATENATE(O102, IF('Input Sheet'!K104="",""," siderite in "))</f>
        <v/>
      </c>
    </row>
    <row r="103" spans="1:16" x14ac:dyDescent="0.25">
      <c r="A103" s="17" t="str">
        <f>IF('Input Sheet'!C105="","",CONCATENATE("Sample ", 'Input Sheet'!B105, "m: ", N103, H103, "% ", "Siltstone, ", P103, 'Input Sheet'!C105, "% ", J103, " Sandstone, ", L103, K103, " FLUOR in SST. ", "TG ", 'Input Sheet'!I105, "U"))</f>
        <v>Sample 2360m: 0% Siltstone, 100% very fine to coarse Sandstone, 100% moderately bright FLUOR in SST. TG 210U</v>
      </c>
      <c r="B103" s="3" t="str">
        <f>IF('Input Sheet'!C105="","",CONCATENATE("Sample ", 'Input Sheet'!B105, "m: ", O103, I103, "% ", "Siltstone, ", Q103, 'Input Sheet'!C105, "% ", K103, " Sandstone "))</f>
        <v xml:space="preserve">Sample 2360m: veryfine to coarse% Siltstone, 100% moderately bright Sandstone </v>
      </c>
      <c r="C103" s="3" t="str">
        <f>IF('Input Sheet'!C105="","",CONCATENATE("Sample ", 'Input Sheet'!B105, "m: ", N103,, L103, K103, " FLUOR in SST. ", "TG ", 'Input Sheet'!I105, "U"))</f>
        <v>Sample 2360m: 100% moderately bright FLUOR in SST. TG 210U</v>
      </c>
      <c r="H103" s="6">
        <f>IF('Input Sheet'!C105="","",100-'Input Sheet'!C105)</f>
        <v>0</v>
      </c>
      <c r="I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03" s="6" t="str">
        <f t="shared" si="1"/>
        <v>very fine to coarse</v>
      </c>
      <c r="K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03" s="6" t="str">
        <f>IF('Input Sheet'!F105=0, "NO",CONCATENATE('Input Sheet'!F105, IF('Input Sheet'!F105&gt;0,"% ","")))</f>
        <v xml:space="preserve">100% </v>
      </c>
      <c r="M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3" s="6" t="str">
        <f>CONCATENATE(M103, IF('Input Sheet'!J105="",""," siderite in "))</f>
        <v/>
      </c>
      <c r="O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3" s="6" t="str">
        <f>CONCATENATE(O103, IF('Input Sheet'!K105="",""," siderite in "))</f>
        <v/>
      </c>
    </row>
    <row r="104" spans="1:16" x14ac:dyDescent="0.25">
      <c r="A104" s="17" t="str">
        <f>IF('Input Sheet'!C106="","",CONCATENATE("Sample ", 'Input Sheet'!B106, "m: ", N104, H104, "% ", "Siltstone, ", P104, 'Input Sheet'!C106, "% ", J104, " Sandstone, ", L104, K104, " FLUOR in SST. ", "TG ", 'Input Sheet'!I106, "U"))</f>
        <v>Sample 2370m: 5% Siltstone, 95% very fine to fine, rare coarse Sandstone, 100% dull to moderately bright FLUOR in SST. TG 184U</v>
      </c>
      <c r="B104" s="3" t="str">
        <f>IF('Input Sheet'!C106="","",CONCATENATE("Sample ", 'Input Sheet'!B106, "m: ", O104, I104, "% ", "Siltstone, ", Q104, 'Input Sheet'!C106, "% ", K104, " Sandstone "))</f>
        <v xml:space="preserve">Sample 2370m: veryfine to fine, rare coarse% Siltstone, 95% dull to moderately bright Sandstone </v>
      </c>
      <c r="C104" s="3" t="str">
        <f>IF('Input Sheet'!C106="","",CONCATENATE("Sample ", 'Input Sheet'!B106, "m: ", N104,, L104, K104, " FLUOR in SST. ", "TG ", 'Input Sheet'!I106, "U"))</f>
        <v>Sample 2370m: 100% dull to moderately bright FLUOR in SST. TG 184U</v>
      </c>
      <c r="H104" s="6">
        <f>IF('Input Sheet'!C106="","",100-'Input Sheet'!C106)</f>
        <v>5</v>
      </c>
      <c r="I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104" s="6" t="str">
        <f t="shared" si="1"/>
        <v>very fine to fine, rare coarse</v>
      </c>
      <c r="K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04" s="6" t="str">
        <f>IF('Input Sheet'!F106=0, "NO",CONCATENATE('Input Sheet'!F106, IF('Input Sheet'!F106&gt;0,"% ","")))</f>
        <v xml:space="preserve">100% </v>
      </c>
      <c r="M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4" s="6" t="str">
        <f>CONCATENATE(M104, IF('Input Sheet'!J106="",""," siderite in "))</f>
        <v/>
      </c>
      <c r="O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4" s="6" t="str">
        <f>CONCATENATE(O104, IF('Input Sheet'!K106="",""," siderite in "))</f>
        <v/>
      </c>
    </row>
    <row r="105" spans="1:16" x14ac:dyDescent="0.25">
      <c r="A105" s="17" t="str">
        <f>IF('Input Sheet'!C107="","",CONCATENATE("Sample ", 'Input Sheet'!B107, "m: ", N105, H105, "% ", "Siltstone, ", P105, 'Input Sheet'!C107, "% ", J105, " Sandstone, ", L105, K105, " FLUOR in SST. ", "TG ", 'Input Sheet'!I107, "U"))</f>
        <v>Sample 2380m: 10% Siltstone, 90% very fine to fine, rare coarse Sandstone, 100% dull to moderately bright FLUOR in SST. TG 193U</v>
      </c>
      <c r="B105" s="3" t="str">
        <f>IF('Input Sheet'!C107="","",CONCATENATE("Sample ", 'Input Sheet'!B107, "m: ", O105, I105, "% ", "Siltstone, ", Q105, 'Input Sheet'!C107, "% ", K105, " Sandstone "))</f>
        <v xml:space="preserve">Sample 2380m: veryfine to fine, rare coarse% Siltstone, 90% dull to moderately bright Sandstone </v>
      </c>
      <c r="C105" s="3" t="str">
        <f>IF('Input Sheet'!C107="","",CONCATENATE("Sample ", 'Input Sheet'!B107, "m: ", N105,, L105, K105, " FLUOR in SST. ", "TG ", 'Input Sheet'!I107, "U"))</f>
        <v>Sample 2380m: 100% dull to moderately bright FLUOR in SST. TG 193U</v>
      </c>
      <c r="H105" s="6">
        <f>IF('Input Sheet'!C107="","",100-'Input Sheet'!C107)</f>
        <v>10</v>
      </c>
      <c r="I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105" s="6" t="str">
        <f t="shared" si="1"/>
        <v>very fine to fine, rare coarse</v>
      </c>
      <c r="K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05" s="6" t="str">
        <f>IF('Input Sheet'!F107=0, "NO",CONCATENATE('Input Sheet'!F107, IF('Input Sheet'!F107&gt;0,"% ","")))</f>
        <v xml:space="preserve">100% </v>
      </c>
      <c r="M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5" s="6" t="str">
        <f>CONCATENATE(M105, IF('Input Sheet'!J107="",""," siderite in "))</f>
        <v/>
      </c>
      <c r="O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5" s="6" t="str">
        <f>CONCATENATE(O105, IF('Input Sheet'!K107="",""," siderite in "))</f>
        <v/>
      </c>
    </row>
    <row r="106" spans="1:16" x14ac:dyDescent="0.25">
      <c r="A106" s="17" t="str">
        <f>IF('Input Sheet'!C108="","",CONCATENATE("Sample ", 'Input Sheet'!B108, "m: ", N106, H106, "% ", "Siltstone, ", P106, 'Input Sheet'!C108, "% ", J106, " Sandstone, ", L106, K106, " FLUOR in SST. ", "TG ", 'Input Sheet'!I108, "U"))</f>
        <v>Sample 2390m: 20% Siltstone, 80% very fine to fine Sandstone, 90% dull FLUOR in SST. TG 174U</v>
      </c>
      <c r="B106" s="3" t="str">
        <f>IF('Input Sheet'!C108="","",CONCATENATE("Sample ", 'Input Sheet'!B108, "m: ", O106, I106, "% ", "Siltstone, ", Q106, 'Input Sheet'!C108, "% ", K106, " Sandstone "))</f>
        <v xml:space="preserve">Sample 2390m: veryfine to fine% Siltstone, 80% dull Sandstone </v>
      </c>
      <c r="C106" s="3" t="str">
        <f>IF('Input Sheet'!C108="","",CONCATENATE("Sample ", 'Input Sheet'!B108, "m: ", N106,, L106, K106, " FLUOR in SST. ", "TG ", 'Input Sheet'!I108, "U"))</f>
        <v>Sample 2390m: 90% dull FLUOR in SST. TG 174U</v>
      </c>
      <c r="H106" s="6">
        <f>IF('Input Sheet'!C108="","",100-'Input Sheet'!C108)</f>
        <v>20</v>
      </c>
      <c r="I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6" s="6" t="str">
        <f t="shared" si="1"/>
        <v>very fine to fine</v>
      </c>
      <c r="K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06" s="6" t="str">
        <f>IF('Input Sheet'!F108=0, "NO",CONCATENATE('Input Sheet'!F108, IF('Input Sheet'!F108&gt;0,"% ","")))</f>
        <v xml:space="preserve">90% </v>
      </c>
      <c r="M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6" s="6" t="str">
        <f>CONCATENATE(M106, IF('Input Sheet'!J108="",""," siderite in "))</f>
        <v/>
      </c>
      <c r="O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6" s="6" t="str">
        <f>CONCATENATE(O106, IF('Input Sheet'!K108="",""," siderite in "))</f>
        <v/>
      </c>
    </row>
    <row r="107" spans="1:16" x14ac:dyDescent="0.25">
      <c r="A107" s="17" t="str">
        <f>IF('Input Sheet'!C109="","",CONCATENATE("Sample ", 'Input Sheet'!B109, "m: ", N107, H107, "% ", "Siltstone, ", P107, 'Input Sheet'!C109, "% ", J107, " Sandstone, ", L107, K107, " FLUOR in SST. ", "TG ", 'Input Sheet'!I109, "U"))</f>
        <v>Sample 2400m: 20% Siltstone, 80% very fine to fine Sandstone, 100% dull FLUOR in SST. TG 160U</v>
      </c>
      <c r="B107" s="3" t="str">
        <f>IF('Input Sheet'!C109="","",CONCATENATE("Sample ", 'Input Sheet'!B109, "m: ", O107, I107, "% ", "Siltstone, ", Q107, 'Input Sheet'!C109, "% ", K107, " Sandstone "))</f>
        <v xml:space="preserve">Sample 2400m: veryfine to fine% Siltstone, 80% dull Sandstone </v>
      </c>
      <c r="C107" s="3" t="str">
        <f>IF('Input Sheet'!C109="","",CONCATENATE("Sample ", 'Input Sheet'!B109, "m: ", N107,, L107, K107, " FLUOR in SST. ", "TG ", 'Input Sheet'!I109, "U"))</f>
        <v>Sample 2400m: 100% dull FLUOR in SST. TG 160U</v>
      </c>
      <c r="H107" s="6">
        <f>IF('Input Sheet'!C109="","",100-'Input Sheet'!C109)</f>
        <v>20</v>
      </c>
      <c r="I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7" s="6" t="str">
        <f t="shared" si="1"/>
        <v>very fine to fine</v>
      </c>
      <c r="K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07" s="6" t="str">
        <f>IF('Input Sheet'!F109=0, "NO",CONCATENATE('Input Sheet'!F109, IF('Input Sheet'!F109&gt;0,"% ","")))</f>
        <v xml:space="preserve">100% </v>
      </c>
      <c r="M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7" s="6" t="str">
        <f>CONCATENATE(M107, IF('Input Sheet'!J109="",""," siderite in "))</f>
        <v/>
      </c>
      <c r="O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7" s="6" t="str">
        <f>CONCATENATE(O107, IF('Input Sheet'!K109="",""," siderite in "))</f>
        <v/>
      </c>
    </row>
    <row r="108" spans="1:16" x14ac:dyDescent="0.25">
      <c r="A108" s="17" t="str">
        <f>IF('Input Sheet'!C110="","",CONCATENATE("Sample ", 'Input Sheet'!B110, "m: ", N108, H108, "% ", "Siltstone, ", P108, 'Input Sheet'!C110, "% ", J108, " Sandstone, ", L108, K108, " FLUOR in SST. ", "TG ", 'Input Sheet'!I110, "U"))</f>
        <v>Sample 2410m: 20% Siltstone, 80% very fine to fine Sandstone, 100% dull FLUOR in SST. TG 172U</v>
      </c>
      <c r="B108" s="3" t="str">
        <f>IF('Input Sheet'!C110="","",CONCATENATE("Sample ", 'Input Sheet'!B110, "m: ", O108, I108, "% ", "Siltstone, ", Q108, 'Input Sheet'!C110, "% ", K108, " Sandstone "))</f>
        <v xml:space="preserve">Sample 2410m: veryfine to fine% Siltstone, 80% dull Sandstone </v>
      </c>
      <c r="C108" s="3" t="str">
        <f>IF('Input Sheet'!C110="","",CONCATENATE("Sample ", 'Input Sheet'!B110, "m: ", N108,, L108, K108, " FLUOR in SST. ", "TG ", 'Input Sheet'!I110, "U"))</f>
        <v>Sample 2410m: 100% dull FLUOR in SST. TG 172U</v>
      </c>
      <c r="H108" s="6">
        <f>IF('Input Sheet'!C110="","",100-'Input Sheet'!C110)</f>
        <v>20</v>
      </c>
      <c r="I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8" s="6" t="str">
        <f t="shared" si="1"/>
        <v>very fine to fine</v>
      </c>
      <c r="K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08" s="6" t="str">
        <f>IF('Input Sheet'!F110=0, "NO",CONCATENATE('Input Sheet'!F110, IF('Input Sheet'!F110&gt;0,"% ","")))</f>
        <v xml:space="preserve">100% </v>
      </c>
      <c r="M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8" s="6" t="str">
        <f>CONCATENATE(M108, IF('Input Sheet'!J110="",""," siderite in "))</f>
        <v/>
      </c>
      <c r="O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8" s="6" t="str">
        <f>CONCATENATE(O108, IF('Input Sheet'!K110="",""," siderite in "))</f>
        <v/>
      </c>
    </row>
    <row r="109" spans="1:16" x14ac:dyDescent="0.25">
      <c r="A109" s="17" t="str">
        <f>IF('Input Sheet'!C111="","",CONCATENATE("Sample ", 'Input Sheet'!B111, "m: ", N109, H109, "% ", "Siltstone, ", P109, 'Input Sheet'!C111, "% ", J109, " Sandstone, ", L109, K109, " FLUOR in SST. ", "TG ", 'Input Sheet'!I111, "U"))</f>
        <v>Sample 2420m: 15% Siltstone, 85% very fine to fine Sandstone, 100% dull FLUOR in SST. TG 169U</v>
      </c>
      <c r="B109" s="3" t="str">
        <f>IF('Input Sheet'!C111="","",CONCATENATE("Sample ", 'Input Sheet'!B111, "m: ", O109, I109, "% ", "Siltstone, ", Q109, 'Input Sheet'!C111, "% ", K109, " Sandstone "))</f>
        <v xml:space="preserve">Sample 2420m: veryfine to fine% Siltstone, 85% dull Sandstone </v>
      </c>
      <c r="C109" s="3" t="str">
        <f>IF('Input Sheet'!C111="","",CONCATENATE("Sample ", 'Input Sheet'!B111, "m: ", N109,, L109, K109, " FLUOR in SST. ", "TG ", 'Input Sheet'!I111, "U"))</f>
        <v>Sample 2420m: 100% dull FLUOR in SST. TG 169U</v>
      </c>
      <c r="H109" s="6">
        <f>IF('Input Sheet'!C111="","",100-'Input Sheet'!C111)</f>
        <v>15</v>
      </c>
      <c r="I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09" s="6" t="str">
        <f t="shared" si="1"/>
        <v>very fine to fine</v>
      </c>
      <c r="K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09" s="6" t="str">
        <f>IF('Input Sheet'!F111=0, "NO",CONCATENATE('Input Sheet'!F111, IF('Input Sheet'!F111&gt;0,"% ","")))</f>
        <v xml:space="preserve">100% </v>
      </c>
      <c r="M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09" s="6" t="str">
        <f>CONCATENATE(M109, IF('Input Sheet'!J111="",""," siderite in "))</f>
        <v/>
      </c>
      <c r="O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09" s="6" t="str">
        <f>CONCATENATE(O109, IF('Input Sheet'!K111="",""," siderite in "))</f>
        <v/>
      </c>
    </row>
    <row r="110" spans="1:16" x14ac:dyDescent="0.25">
      <c r="A110" s="17" t="str">
        <f>IF('Input Sheet'!C112="","",CONCATENATE("Sample ", 'Input Sheet'!B112, "m: ", N110, H110, "% ", "Siltstone, ", P110, 'Input Sheet'!C112, "% ", J110, " Sandstone, ", L110, K110, " FLUOR in SST. ", "TG ", 'Input Sheet'!I112, "U"))</f>
        <v>Sample 2430m: 10% Siltstone, 90% very fine to fine Sandstone, 100% dull to moderately bright FLUOR in SST. TG 191U</v>
      </c>
      <c r="B110" s="3" t="str">
        <f>IF('Input Sheet'!C112="","",CONCATENATE("Sample ", 'Input Sheet'!B112, "m: ", O110, I110, "% ", "Siltstone, ", Q110, 'Input Sheet'!C112, "% ", K110, " Sandstone "))</f>
        <v xml:space="preserve">Sample 2430m: veryfine to fine% Siltstone, 90% dull to moderately bright Sandstone </v>
      </c>
      <c r="C110" s="3" t="str">
        <f>IF('Input Sheet'!C112="","",CONCATENATE("Sample ", 'Input Sheet'!B112, "m: ", N110,, L110, K110, " FLUOR in SST. ", "TG ", 'Input Sheet'!I112, "U"))</f>
        <v>Sample 2430m: 100% dull to moderately bright FLUOR in SST. TG 191U</v>
      </c>
      <c r="H110" s="6">
        <f>IF('Input Sheet'!C112="","",100-'Input Sheet'!C112)</f>
        <v>10</v>
      </c>
      <c r="I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0" s="6" t="str">
        <f t="shared" si="1"/>
        <v>very fine to fine</v>
      </c>
      <c r="K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0" s="6" t="str">
        <f>IF('Input Sheet'!F112=0, "NO",CONCATENATE('Input Sheet'!F112, IF('Input Sheet'!F112&gt;0,"% ","")))</f>
        <v xml:space="preserve">100% </v>
      </c>
      <c r="M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0" s="6" t="str">
        <f>CONCATENATE(M110, IF('Input Sheet'!J112="",""," siderite in "))</f>
        <v/>
      </c>
      <c r="O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0" s="6" t="str">
        <f>CONCATENATE(O110, IF('Input Sheet'!K112="",""," siderite in "))</f>
        <v/>
      </c>
    </row>
    <row r="111" spans="1:16" x14ac:dyDescent="0.25">
      <c r="A111" s="17" t="str">
        <f>IF('Input Sheet'!C113="","",CONCATENATE("Sample ", 'Input Sheet'!B113, "m: ", N111, H111, "% ", "Siltstone, ", P111, 'Input Sheet'!C113, "% ", J111, " Sandstone, ", L111, K111, " FLUOR in SST. ", "TG ", 'Input Sheet'!I113, "U"))</f>
        <v>Sample 2440m: 5% Siltstone, 95% very fine to fine Sandstone, 100% dull to moderately bright FLUOR in SST. TG 205U</v>
      </c>
      <c r="B111" s="3" t="str">
        <f>IF('Input Sheet'!C113="","",CONCATENATE("Sample ", 'Input Sheet'!B113, "m: ", O111, I111, "% ", "Siltstone, ", Q111, 'Input Sheet'!C113, "% ", K111, " Sandstone "))</f>
        <v xml:space="preserve">Sample 2440m: veryfine to fine% Siltstone, 95% dull to moderately bright Sandstone </v>
      </c>
      <c r="C111" s="3" t="str">
        <f>IF('Input Sheet'!C113="","",CONCATENATE("Sample ", 'Input Sheet'!B113, "m: ", N111,, L111, K111, " FLUOR in SST. ", "TG ", 'Input Sheet'!I113, "U"))</f>
        <v>Sample 2440m: 100% dull to moderately bright FLUOR in SST. TG 205U</v>
      </c>
      <c r="H111" s="6">
        <f>IF('Input Sheet'!C113="","",100-'Input Sheet'!C113)</f>
        <v>5</v>
      </c>
      <c r="I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1" s="6" t="str">
        <f t="shared" si="1"/>
        <v>very fine to fine</v>
      </c>
      <c r="K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1" s="6" t="str">
        <f>IF('Input Sheet'!F113=0, "NO",CONCATENATE('Input Sheet'!F113, IF('Input Sheet'!F113&gt;0,"% ","")))</f>
        <v xml:space="preserve">100% </v>
      </c>
      <c r="M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1" s="6" t="str">
        <f>CONCATENATE(M111, IF('Input Sheet'!J113="",""," siderite in "))</f>
        <v/>
      </c>
      <c r="O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1" s="6" t="str">
        <f>CONCATENATE(O111, IF('Input Sheet'!K113="",""," siderite in "))</f>
        <v/>
      </c>
    </row>
    <row r="112" spans="1:16" x14ac:dyDescent="0.25">
      <c r="A112" s="17" t="str">
        <f>IF('Input Sheet'!C114="","",CONCATENATE("Sample ", 'Input Sheet'!B114, "m: ", N112, H112, "% ", "Siltstone, ", P112, 'Input Sheet'!C114, "% ", J112, " Sandstone, ", L112, K112, " FLUOR in SST. ", "TG ", 'Input Sheet'!I114, "U"))</f>
        <v>Sample 2450m: 5% Siltstone, 95% very fine to fine, rare medium Sandstone, 100% dull to moderately bright FLUOR in SST. TG 169U</v>
      </c>
      <c r="B112" s="3" t="str">
        <f>IF('Input Sheet'!C114="","",CONCATENATE("Sample ", 'Input Sheet'!B114, "m: ", O112, I112, "% ", "Siltstone, ", Q112, 'Input Sheet'!C114, "% ", K112, " Sandstone "))</f>
        <v xml:space="preserve">Sample 2450m: veryfine to fine, rare medium% Siltstone, 95% dull to moderately bright Sandstone </v>
      </c>
      <c r="C112" s="3" t="str">
        <f>IF('Input Sheet'!C114="","",CONCATENATE("Sample ", 'Input Sheet'!B114, "m: ", N112,, L112, K112, " FLUOR in SST. ", "TG ", 'Input Sheet'!I114, "U"))</f>
        <v>Sample 2450m: 100% dull to moderately bright FLUOR in SST. TG 169U</v>
      </c>
      <c r="H112" s="6">
        <f>IF('Input Sheet'!C114="","",100-'Input Sheet'!C114)</f>
        <v>5</v>
      </c>
      <c r="I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medium</v>
      </c>
      <c r="J112" s="6" t="str">
        <f t="shared" si="1"/>
        <v>very fine to fine, rare medium</v>
      </c>
      <c r="K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2" s="6" t="str">
        <f>IF('Input Sheet'!F114=0, "NO",CONCATENATE('Input Sheet'!F114, IF('Input Sheet'!F114&gt;0,"% ","")))</f>
        <v xml:space="preserve">100% </v>
      </c>
      <c r="M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2" s="6" t="str">
        <f>CONCATENATE(M112, IF('Input Sheet'!J114="",""," siderite in "))</f>
        <v/>
      </c>
      <c r="O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2" s="6" t="str">
        <f>CONCATENATE(O112, IF('Input Sheet'!K114="",""," siderite in "))</f>
        <v/>
      </c>
    </row>
    <row r="113" spans="1:16" x14ac:dyDescent="0.25">
      <c r="A113" s="17" t="str">
        <f>IF('Input Sheet'!C115="","",CONCATENATE("Sample ", 'Input Sheet'!B115, "m: ", N113, H113, "% ", "Siltstone, ", P113, 'Input Sheet'!C115, "% ", J113, " Sandstone, ", L113, K113, " FLUOR in SST. ", "TG ", 'Input Sheet'!I115, "U"))</f>
        <v>Sample 2460m: 5% Siltstone, 95% very fine to fine Sandstone, 100% dull to moderately bright FLUOR in SST. TG 176U</v>
      </c>
      <c r="B113" s="3" t="str">
        <f>IF('Input Sheet'!C115="","",CONCATENATE("Sample ", 'Input Sheet'!B115, "m: ", O113, I113, "% ", "Siltstone, ", Q113, 'Input Sheet'!C115, "% ", K113, " Sandstone "))</f>
        <v xml:space="preserve">Sample 2460m: veryfine to fine% Siltstone, 95% dull to moderately bright Sandstone </v>
      </c>
      <c r="C113" s="3" t="str">
        <f>IF('Input Sheet'!C115="","",CONCATENATE("Sample ", 'Input Sheet'!B115, "m: ", N113,, L113, K113, " FLUOR in SST. ", "TG ", 'Input Sheet'!I115, "U"))</f>
        <v>Sample 2460m: 100% dull to moderately bright FLUOR in SST. TG 176U</v>
      </c>
      <c r="H113" s="6">
        <f>IF('Input Sheet'!C115="","",100-'Input Sheet'!C115)</f>
        <v>5</v>
      </c>
      <c r="I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3" s="6" t="str">
        <f t="shared" si="1"/>
        <v>very fine to fine</v>
      </c>
      <c r="K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3" s="6" t="str">
        <f>IF('Input Sheet'!F115=0, "NO",CONCATENATE('Input Sheet'!F115, IF('Input Sheet'!F115&gt;0,"% ","")))</f>
        <v xml:space="preserve">100% </v>
      </c>
      <c r="M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3" s="6" t="str">
        <f>CONCATENATE(M113, IF('Input Sheet'!J115="",""," siderite in "))</f>
        <v/>
      </c>
      <c r="O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3" s="6" t="str">
        <f>CONCATENATE(O113, IF('Input Sheet'!K115="",""," siderite in "))</f>
        <v/>
      </c>
    </row>
    <row r="114" spans="1:16" x14ac:dyDescent="0.25">
      <c r="A114" s="17" t="str">
        <f>IF('Input Sheet'!C116="","",CONCATENATE("Sample ", 'Input Sheet'!B116, "m: ", N114, H114, "% ", "Siltstone, ", P114, 'Input Sheet'!C116, "% ", J114, " Sandstone, ", L114, K114, " FLUOR in SST. ", "TG ", 'Input Sheet'!I116, "U"))</f>
        <v>Sample 2470m: 10% Siltstone, 90% very fine to fine Sandstone, 90% dull to moderately bright FLUOR in SST. TG 181U</v>
      </c>
      <c r="B114" s="3" t="str">
        <f>IF('Input Sheet'!C116="","",CONCATENATE("Sample ", 'Input Sheet'!B116, "m: ", O114, I114, "% ", "Siltstone, ", Q114, 'Input Sheet'!C116, "% ", K114, " Sandstone "))</f>
        <v xml:space="preserve">Sample 2470m: veryfine to fine% Siltstone, 90% dull to moderately bright Sandstone </v>
      </c>
      <c r="C114" s="3" t="str">
        <f>IF('Input Sheet'!C116="","",CONCATENATE("Sample ", 'Input Sheet'!B116, "m: ", N114,, L114, K114, " FLUOR in SST. ", "TG ", 'Input Sheet'!I116, "U"))</f>
        <v>Sample 2470m: 90% dull to moderately bright FLUOR in SST. TG 181U</v>
      </c>
      <c r="H114" s="6">
        <f>IF('Input Sheet'!C116="","",100-'Input Sheet'!C116)</f>
        <v>10</v>
      </c>
      <c r="I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4" s="6" t="str">
        <f t="shared" si="1"/>
        <v>very fine to fine</v>
      </c>
      <c r="K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4" s="6" t="str">
        <f>IF('Input Sheet'!F116=0, "NO",CONCATENATE('Input Sheet'!F116, IF('Input Sheet'!F116&gt;0,"% ","")))</f>
        <v xml:space="preserve">90% </v>
      </c>
      <c r="M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4" s="6" t="str">
        <f>CONCATENATE(M114, IF('Input Sheet'!J116="",""," siderite in "))</f>
        <v/>
      </c>
      <c r="O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4" s="6" t="str">
        <f>CONCATENATE(O114, IF('Input Sheet'!K116="",""," siderite in "))</f>
        <v/>
      </c>
    </row>
    <row r="115" spans="1:16" x14ac:dyDescent="0.25">
      <c r="A115" s="17" t="str">
        <f>IF('Input Sheet'!C117="","",CONCATENATE("Sample ", 'Input Sheet'!B117, "m: ", N115, H115, "% ", "Siltstone, ", P115, 'Input Sheet'!C117, "% ", J115, " Sandstone, ", L115, K115, " FLUOR in SST. ", "TG ", 'Input Sheet'!I117, "U"))</f>
        <v>Sample 2480m: 40% Siltstone, 60% very fine Sandstone, 90% dull FLUOR in SST. TG 209U</v>
      </c>
      <c r="B115" s="3" t="str">
        <f>IF('Input Sheet'!C117="","",CONCATENATE("Sample ", 'Input Sheet'!B117, "m: ", O115, I115, "% ", "Siltstone, ", Q115, 'Input Sheet'!C117, "% ", K115, " Sandstone "))</f>
        <v xml:space="preserve">Sample 2480m: veryfine% Siltstone, 60% dull Sandstone </v>
      </c>
      <c r="C115" s="3" t="str">
        <f>IF('Input Sheet'!C117="","",CONCATENATE("Sample ", 'Input Sheet'!B117, "m: ", N115,, L115, K115, " FLUOR in SST. ", "TG ", 'Input Sheet'!I117, "U"))</f>
        <v>Sample 2480m: 90% dull FLUOR in SST. TG 209U</v>
      </c>
      <c r="H115" s="6">
        <f>IF('Input Sheet'!C117="","",100-'Input Sheet'!C117)</f>
        <v>40</v>
      </c>
      <c r="I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</v>
      </c>
      <c r="J115" s="6" t="str">
        <f t="shared" si="1"/>
        <v>very fine</v>
      </c>
      <c r="K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15" s="6" t="str">
        <f>IF('Input Sheet'!F117=0, "NO",CONCATENATE('Input Sheet'!F117, IF('Input Sheet'!F117&gt;0,"% ","")))</f>
        <v xml:space="preserve">90% </v>
      </c>
      <c r="M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5" s="6" t="str">
        <f>CONCATENATE(M115, IF('Input Sheet'!J117="",""," siderite in "))</f>
        <v/>
      </c>
      <c r="O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5" s="6" t="str">
        <f>CONCATENATE(O115, IF('Input Sheet'!K117="",""," siderite in "))</f>
        <v/>
      </c>
    </row>
    <row r="116" spans="1:16" x14ac:dyDescent="0.25">
      <c r="A116" s="17" t="str">
        <f>IF('Input Sheet'!C118="","",CONCATENATE("Sample ", 'Input Sheet'!B118, "m: ", N116, H116, "% ", "Siltstone, ", P116, 'Input Sheet'!C118, "% ", J116, " Sandstone, ", L116, K116, " FLUOR in SST. ", "TG ", 'Input Sheet'!I118, "U"))</f>
        <v>Sample 2490m: 15% Siltstone, 85% very fine to fine Sandstone, 90% dull to moderately bright FLUOR in SST. TG 214U</v>
      </c>
      <c r="B116" s="3" t="str">
        <f>IF('Input Sheet'!C118="","",CONCATENATE("Sample ", 'Input Sheet'!B118, "m: ", O116, I116, "% ", "Siltstone, ", Q116, 'Input Sheet'!C118, "% ", K116, " Sandstone "))</f>
        <v xml:space="preserve">Sample 2490m: veryfine to fine% Siltstone, 85% dull to moderately bright Sandstone </v>
      </c>
      <c r="C116" s="3" t="str">
        <f>IF('Input Sheet'!C118="","",CONCATENATE("Sample ", 'Input Sheet'!B118, "m: ", N116,, L116, K116, " FLUOR in SST. ", "TG ", 'Input Sheet'!I118, "U"))</f>
        <v>Sample 2490m: 90% dull to moderately bright FLUOR in SST. TG 214U</v>
      </c>
      <c r="H116" s="6">
        <f>IF('Input Sheet'!C118="","",100-'Input Sheet'!C118)</f>
        <v>15</v>
      </c>
      <c r="I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6" s="6" t="str">
        <f t="shared" si="1"/>
        <v>very fine to fine</v>
      </c>
      <c r="K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6" s="6" t="str">
        <f>IF('Input Sheet'!F118=0, "NO",CONCATENATE('Input Sheet'!F118, IF('Input Sheet'!F118&gt;0,"% ","")))</f>
        <v xml:space="preserve">90% </v>
      </c>
      <c r="M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6" s="6" t="str">
        <f>CONCATENATE(M116, IF('Input Sheet'!J118="",""," siderite in "))</f>
        <v/>
      </c>
      <c r="O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6" s="6" t="str">
        <f>CONCATENATE(O116, IF('Input Sheet'!K118="",""," siderite in "))</f>
        <v/>
      </c>
    </row>
    <row r="117" spans="1:16" x14ac:dyDescent="0.25">
      <c r="A117" s="17" t="str">
        <f>IF('Input Sheet'!C119="","",CONCATENATE("Sample ", 'Input Sheet'!B119, "m: ", N117, H117, "% ", "Siltstone, ", P117, 'Input Sheet'!C119, "% ", J117, " Sandstone, ", L117, K117, " FLUOR in SST. ", "TG ", 'Input Sheet'!I119, "U"))</f>
        <v>Sample 2500m: 10% Siltstone, 90% very fine to fine, rare medium Sandstone, 90% dull to moderately bright FLUOR in SST. TG 191U</v>
      </c>
      <c r="B117" s="3" t="str">
        <f>IF('Input Sheet'!C119="","",CONCATENATE("Sample ", 'Input Sheet'!B119, "m: ", O117, I117, "% ", "Siltstone, ", Q117, 'Input Sheet'!C119, "% ", K117, " Sandstone "))</f>
        <v xml:space="preserve">Sample 2500m: veryfine to fine, rare medium% Siltstone, 90% dull to moderately bright Sandstone </v>
      </c>
      <c r="C117" s="3" t="str">
        <f>IF('Input Sheet'!C119="","",CONCATENATE("Sample ", 'Input Sheet'!B119, "m: ", N117,, L117, K117, " FLUOR in SST. ", "TG ", 'Input Sheet'!I119, "U"))</f>
        <v>Sample 2500m: 90% dull to moderately bright FLUOR in SST. TG 191U</v>
      </c>
      <c r="H117" s="6">
        <f>IF('Input Sheet'!C119="","",100-'Input Sheet'!C119)</f>
        <v>10</v>
      </c>
      <c r="I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medium</v>
      </c>
      <c r="J117" s="6" t="str">
        <f t="shared" si="1"/>
        <v>very fine to fine, rare medium</v>
      </c>
      <c r="K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7" s="6" t="str">
        <f>IF('Input Sheet'!F119=0, "NO",CONCATENATE('Input Sheet'!F119, IF('Input Sheet'!F119&gt;0,"% ","")))</f>
        <v xml:space="preserve">90% </v>
      </c>
      <c r="M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7" s="6" t="str">
        <f>CONCATENATE(M117, IF('Input Sheet'!J119="",""," siderite in "))</f>
        <v/>
      </c>
      <c r="O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7" s="6" t="str">
        <f>CONCATENATE(O117, IF('Input Sheet'!K119="",""," siderite in "))</f>
        <v/>
      </c>
    </row>
    <row r="118" spans="1:16" x14ac:dyDescent="0.25">
      <c r="A118" s="17" t="str">
        <f>IF('Input Sheet'!C120="","",CONCATENATE("Sample ", 'Input Sheet'!B120, "m: ", N118, H118, "% ", "Siltstone, ", P118, 'Input Sheet'!C120, "% ", J118, " Sandstone, ", L118, K118, " FLUOR in SST. ", "TG ", 'Input Sheet'!I120, "U"))</f>
        <v>Sample 2510m: 30% Siltstone, 70% very fine to  rare fine Sandstone, 100% dull to moderately bright FLUOR in SST. TG 157U</v>
      </c>
      <c r="B118" s="3" t="str">
        <f>IF('Input Sheet'!C120="","",CONCATENATE("Sample ", 'Input Sheet'!B120, "m: ", O118, I118, "% ", "Siltstone, ", Q118, 'Input Sheet'!C120, "% ", K118, " Sandstone "))</f>
        <v xml:space="preserve">Sample 2510m: veryfine to  rare fine% Siltstone, 70% dull to moderately bright Sandstone </v>
      </c>
      <c r="C118" s="3" t="str">
        <f>IF('Input Sheet'!C120="","",CONCATENATE("Sample ", 'Input Sheet'!B120, "m: ", N118,, L118, K118, " FLUOR in SST. ", "TG ", 'Input Sheet'!I120, "U"))</f>
        <v>Sample 2510m: 100% dull to moderately bright FLUOR in SST. TG 157U</v>
      </c>
      <c r="H118" s="6">
        <f>IF('Input Sheet'!C120="","",100-'Input Sheet'!C120)</f>
        <v>30</v>
      </c>
      <c r="I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 rare fine</v>
      </c>
      <c r="J118" s="6" t="str">
        <f t="shared" si="1"/>
        <v>very fine to  rare fine</v>
      </c>
      <c r="K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8" s="6" t="str">
        <f>IF('Input Sheet'!F120=0, "NO",CONCATENATE('Input Sheet'!F120, IF('Input Sheet'!F120&gt;0,"% ","")))</f>
        <v xml:space="preserve">100% </v>
      </c>
      <c r="M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8" s="6" t="str">
        <f>CONCATENATE(M118, IF('Input Sheet'!J120="",""," siderite in "))</f>
        <v/>
      </c>
      <c r="O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8" s="6" t="str">
        <f>CONCATENATE(O118, IF('Input Sheet'!K120="",""," siderite in "))</f>
        <v/>
      </c>
    </row>
    <row r="119" spans="1:16" x14ac:dyDescent="0.25">
      <c r="A119" s="17" t="str">
        <f>IF('Input Sheet'!C121="","",CONCATENATE("Sample ", 'Input Sheet'!B121, "m: ", N119, H119, "% ", "Siltstone, ", P119, 'Input Sheet'!C121, "% ", J119, " Sandstone, ", L119, K119, " FLUOR in SST. ", "TG ", 'Input Sheet'!I121, "U"))</f>
        <v>Sample 2520m: 20% Siltstone, 80% very fine to fine Sandstone, 100% dull to moderately bright FLUOR in SST. TG 185U</v>
      </c>
      <c r="B119" s="3" t="str">
        <f>IF('Input Sheet'!C121="","",CONCATENATE("Sample ", 'Input Sheet'!B121, "m: ", O119, I119, "% ", "Siltstone, ", Q119, 'Input Sheet'!C121, "% ", K119, " Sandstone "))</f>
        <v xml:space="preserve">Sample 2520m: veryfine to fine% Siltstone, 80% dull to moderately bright Sandstone </v>
      </c>
      <c r="C119" s="3" t="str">
        <f>IF('Input Sheet'!C121="","",CONCATENATE("Sample ", 'Input Sheet'!B121, "m: ", N119,, L119, K119, " FLUOR in SST. ", "TG ", 'Input Sheet'!I121, "U"))</f>
        <v>Sample 2520m: 100% dull to moderately bright FLUOR in SST. TG 185U</v>
      </c>
      <c r="H119" s="6">
        <f>IF('Input Sheet'!C121="","",100-'Input Sheet'!C121)</f>
        <v>20</v>
      </c>
      <c r="I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19" s="6" t="str">
        <f t="shared" si="1"/>
        <v>very fine to fine</v>
      </c>
      <c r="K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19" s="6" t="str">
        <f>IF('Input Sheet'!F121=0, "NO",CONCATENATE('Input Sheet'!F121, IF('Input Sheet'!F121&gt;0,"% ","")))</f>
        <v xml:space="preserve">100% </v>
      </c>
      <c r="M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19" s="6" t="str">
        <f>CONCATENATE(M119, IF('Input Sheet'!J121="",""," siderite in "))</f>
        <v/>
      </c>
      <c r="O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19" s="6" t="str">
        <f>CONCATENATE(O119, IF('Input Sheet'!K121="",""," siderite in "))</f>
        <v/>
      </c>
    </row>
    <row r="120" spans="1:16" x14ac:dyDescent="0.25">
      <c r="A120" s="17" t="str">
        <f>IF('Input Sheet'!C122="","",CONCATENATE("Sample ", 'Input Sheet'!B122, "m: ", N120, H120, "% ", "Siltstone, ", P120, 'Input Sheet'!C122, "% ", J120, " Sandstone, ", L120, K120, " FLUOR in SST. ", "TG ", 'Input Sheet'!I122, "U"))</f>
        <v>Sample 2530m: 15% Siltstone, 85% very fine to fine, rare coarse Sandstone, 100% dull to moderately bright FLUOR in SST. TG 210U</v>
      </c>
      <c r="B120" s="3" t="str">
        <f>IF('Input Sheet'!C122="","",CONCATENATE("Sample ", 'Input Sheet'!B122, "m: ", O120, I120, "% ", "Siltstone, ", Q120, 'Input Sheet'!C122, "% ", K120, " Sandstone "))</f>
        <v xml:space="preserve">Sample 2530m: veryfine to fine, rare coarse% Siltstone, 85% dull to moderately bright Sandstone </v>
      </c>
      <c r="C120" s="3" t="str">
        <f>IF('Input Sheet'!C122="","",CONCATENATE("Sample ", 'Input Sheet'!B122, "m: ", N120,, L120, K120, " FLUOR in SST. ", "TG ", 'Input Sheet'!I122, "U"))</f>
        <v>Sample 2530m: 100% dull to moderately bright FLUOR in SST. TG 210U</v>
      </c>
      <c r="H120" s="6">
        <f>IF('Input Sheet'!C122="","",100-'Input Sheet'!C122)</f>
        <v>15</v>
      </c>
      <c r="I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rare coarse</v>
      </c>
      <c r="J120" s="6" t="str">
        <f t="shared" si="1"/>
        <v>very fine to fine, rare coarse</v>
      </c>
      <c r="K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20" s="6" t="str">
        <f>IF('Input Sheet'!F122=0, "NO",CONCATENATE('Input Sheet'!F122, IF('Input Sheet'!F122&gt;0,"% ","")))</f>
        <v xml:space="preserve">100% </v>
      </c>
      <c r="M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0" s="6" t="str">
        <f>CONCATENATE(M120, IF('Input Sheet'!J122="",""," siderite in "))</f>
        <v/>
      </c>
      <c r="O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0" s="6" t="str">
        <f>CONCATENATE(O120, IF('Input Sheet'!K122="",""," siderite in "))</f>
        <v/>
      </c>
    </row>
    <row r="121" spans="1:16" x14ac:dyDescent="0.25">
      <c r="A121" s="17" t="str">
        <f>IF('Input Sheet'!C123="","",CONCATENATE("Sample ", 'Input Sheet'!B123, "m: ", N121, H121, "% ", "Siltstone, ", P121, 'Input Sheet'!C123, "% ", J121, " Sandstone, ", L121, K121, " FLUOR in SST. ", "TG ", 'Input Sheet'!I123, "U"))</f>
        <v>Sample 2540m: 20% Siltstone, 80% very fine to medium Sandstone, 100% moderately bright FLUOR in SST. TG 170U</v>
      </c>
      <c r="B121" s="3" t="str">
        <f>IF('Input Sheet'!C123="","",CONCATENATE("Sample ", 'Input Sheet'!B123, "m: ", O121, I121, "% ", "Siltstone, ", Q121, 'Input Sheet'!C123, "% ", K121, " Sandstone "))</f>
        <v xml:space="preserve">Sample 2540m: veryfine to medium% Siltstone, 80% moderately bright Sandstone </v>
      </c>
      <c r="C121" s="3" t="str">
        <f>IF('Input Sheet'!C123="","",CONCATENATE("Sample ", 'Input Sheet'!B123, "m: ", N121,, L121, K121, " FLUOR in SST. ", "TG ", 'Input Sheet'!I123, "U"))</f>
        <v>Sample 2540m: 100% moderately bright FLUOR in SST. TG 170U</v>
      </c>
      <c r="H121" s="6">
        <f>IF('Input Sheet'!C123="","",100-'Input Sheet'!C123)</f>
        <v>20</v>
      </c>
      <c r="I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21" s="6" t="str">
        <f t="shared" si="1"/>
        <v>very fine to medium</v>
      </c>
      <c r="K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21" s="6" t="str">
        <f>IF('Input Sheet'!F123=0, "NO",CONCATENATE('Input Sheet'!F123, IF('Input Sheet'!F123&gt;0,"% ","")))</f>
        <v xml:space="preserve">100% </v>
      </c>
      <c r="M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1" s="6" t="str">
        <f>CONCATENATE(M121, IF('Input Sheet'!J123="",""," siderite in "))</f>
        <v/>
      </c>
      <c r="O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1" s="6" t="str">
        <f>CONCATENATE(O121, IF('Input Sheet'!K123="",""," siderite in "))</f>
        <v/>
      </c>
    </row>
    <row r="122" spans="1:16" x14ac:dyDescent="0.25">
      <c r="A122" s="17" t="str">
        <f>IF('Input Sheet'!C124="","",CONCATENATE("Sample ", 'Input Sheet'!B124, "m: ", N122, H122, "% ", "Siltstone, ", P122, 'Input Sheet'!C124, "% ", J122, " Sandstone, ", L122, K122, " FLUOR in SST. ", "TG ", 'Input Sheet'!I124, "U"))</f>
        <v>Sample 2550m: 30% Siltstone, rare siderite in 70% very fine to medium Sandstone, 80% moderately bright FLUOR in SST. TG 161U</v>
      </c>
      <c r="B122" s="3" t="str">
        <f>IF('Input Sheet'!C124="","",CONCATENATE("Sample ", 'Input Sheet'!B124, "m: ", O122, I122, "% ", "Siltstone, ", Q122, 'Input Sheet'!C124, "% ", K122, " Sandstone "))</f>
        <v xml:space="preserve">Sample 2550m: rareveryfine to medium% Siltstone, 70% moderately bright Sandstone </v>
      </c>
      <c r="C122" s="3" t="str">
        <f>IF('Input Sheet'!C124="","",CONCATENATE("Sample ", 'Input Sheet'!B124, "m: ", N122,, L122, K122, " FLUOR in SST. ", "TG ", 'Input Sheet'!I124, "U"))</f>
        <v>Sample 2550m: 80% moderately bright FLUOR in SST. TG 161U</v>
      </c>
      <c r="H122" s="6">
        <f>IF('Input Sheet'!C124="","",100-'Input Sheet'!C124)</f>
        <v>30</v>
      </c>
      <c r="I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22" s="6" t="str">
        <f t="shared" si="1"/>
        <v>very fine to medium</v>
      </c>
      <c r="K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</v>
      </c>
      <c r="L122" s="6" t="str">
        <f>IF('Input Sheet'!F124=0, "NO",CONCATENATE('Input Sheet'!F124, IF('Input Sheet'!F124&gt;0,"% ","")))</f>
        <v xml:space="preserve">80% </v>
      </c>
      <c r="M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2" s="6" t="str">
        <f>CONCATENATE(M122, IF('Input Sheet'!J124="",""," siderite in "))</f>
        <v/>
      </c>
      <c r="O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22" s="6" t="str">
        <f>CONCATENATE(O122, IF('Input Sheet'!K124="",""," siderite in "))</f>
        <v xml:space="preserve">rare siderite in </v>
      </c>
    </row>
    <row r="123" spans="1:16" x14ac:dyDescent="0.25">
      <c r="A123" s="17" t="str">
        <f>IF('Input Sheet'!C125="","",CONCATENATE("Sample ", 'Input Sheet'!B125, "m: ", N123, H123, "% ", "Siltstone, ", P123, 'Input Sheet'!C125, "% ", J123, " Sandstone, ", L123, K123, " FLUOR in SST. ", "TG ", 'Input Sheet'!I125, "U"))</f>
        <v>Sample 2560m: 10% Siltstone, 90% very fine to fine, minor medium Sandstone, 80% moderately bright  to  bright FLUOR in SST. TG 160U</v>
      </c>
      <c r="B123" s="3" t="str">
        <f>IF('Input Sheet'!C125="","",CONCATENATE("Sample ", 'Input Sheet'!B125, "m: ", O123, I123, "% ", "Siltstone, ", Q123, 'Input Sheet'!C125, "% ", K123, " Sandstone "))</f>
        <v xml:space="preserve">Sample 2560m: veryfine to fine, minor medium% Siltstone, 90% moderately bright  to  bright Sandstone </v>
      </c>
      <c r="C123" s="3" t="str">
        <f>IF('Input Sheet'!C125="","",CONCATENATE("Sample ", 'Input Sheet'!B125, "m: ", N123,, L123, K123, " FLUOR in SST. ", "TG ", 'Input Sheet'!I125, "U"))</f>
        <v>Sample 2560m: 80% moderately bright  to  bright FLUOR in SST. TG 160U</v>
      </c>
      <c r="H123" s="6">
        <f>IF('Input Sheet'!C125="","",100-'Input Sheet'!C125)</f>
        <v>10</v>
      </c>
      <c r="I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fine, minor medium</v>
      </c>
      <c r="J123" s="6" t="str">
        <f t="shared" si="1"/>
        <v>very fine to fine, minor medium</v>
      </c>
      <c r="K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3" s="6" t="str">
        <f>IF('Input Sheet'!F125=0, "NO",CONCATENATE('Input Sheet'!F125, IF('Input Sheet'!F125&gt;0,"% ","")))</f>
        <v xml:space="preserve">80% </v>
      </c>
      <c r="M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3" s="6" t="str">
        <f>CONCATENATE(M123, IF('Input Sheet'!J125="",""," siderite in "))</f>
        <v/>
      </c>
      <c r="O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3" s="6" t="str">
        <f>CONCATENATE(O123, IF('Input Sheet'!K125="",""," siderite in "))</f>
        <v/>
      </c>
    </row>
    <row r="124" spans="1:16" x14ac:dyDescent="0.25">
      <c r="A124" s="17" t="str">
        <f>IF('Input Sheet'!C126="","",CONCATENATE("Sample ", 'Input Sheet'!B126, "m: ", N124, H124, "% ", "Siltstone, ", P124, 'Input Sheet'!C126, "% ", J124, " Sandstone, ", L124, K124, " FLUOR in SST. ", "TG ", 'Input Sheet'!I126, "U"))</f>
        <v>Sample 2570m: 0% Siltstone, 100% very fine to coarse,dominantly medium lse Sandstone, 100% moderately bright  to  bright FLUOR in SST. TG 190U</v>
      </c>
      <c r="B124" s="3" t="str">
        <f>IF('Input Sheet'!C126="","",CONCATENATE("Sample ", 'Input Sheet'!B126, "m: ", O124, I124, "% ", "Siltstone, ", Q124, 'Input Sheet'!C126, "% ", K124, " Sandstone "))</f>
        <v xml:space="preserve">Sample 2570m: veryfine to coarse,dominantly medium lse% Siltstone, 100% moderately bright  to  bright Sandstone </v>
      </c>
      <c r="C124" s="3" t="str">
        <f>IF('Input Sheet'!C126="","",CONCATENATE("Sample ", 'Input Sheet'!B126, "m: ", N124,, L124, K124, " FLUOR in SST. ", "TG ", 'Input Sheet'!I126, "U"))</f>
        <v>Sample 2570m: 100% moderately bright  to  bright FLUOR in SST. TG 190U</v>
      </c>
      <c r="H124" s="6">
        <f>IF('Input Sheet'!C126="","",100-'Input Sheet'!C126)</f>
        <v>0</v>
      </c>
      <c r="I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coarse,dominantly medium lse</v>
      </c>
      <c r="J124" s="6" t="str">
        <f t="shared" si="1"/>
        <v>very fine to coarse,dominantly medium lse</v>
      </c>
      <c r="K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4" s="6" t="str">
        <f>IF('Input Sheet'!F126=0, "NO",CONCATENATE('Input Sheet'!F126, IF('Input Sheet'!F126&gt;0,"% ","")))</f>
        <v xml:space="preserve">100% </v>
      </c>
      <c r="M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4" s="6" t="str">
        <f>CONCATENATE(M124, IF('Input Sheet'!J126="",""," siderite in "))</f>
        <v/>
      </c>
      <c r="O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4" s="6" t="str">
        <f>CONCATENATE(O124, IF('Input Sheet'!K126="",""," siderite in "))</f>
        <v/>
      </c>
    </row>
    <row r="125" spans="1:16" x14ac:dyDescent="0.25">
      <c r="A125" s="17" t="str">
        <f>IF('Input Sheet'!C127="","",CONCATENATE("Sample ", 'Input Sheet'!B127, "m: ", N125, H125, "% ", "Siltstone, ", P125, 'Input Sheet'!C127, "% ", J125, " Sandstone, ", L125, K125, " FLUOR in SST. ", "TG ", 'Input Sheet'!I127, "U"))</f>
        <v>Sample 2580m: 5% Siltstone, 95% very fine to fine agg, minor medium Sandstone, 100% moderately bright  to  bright FLUOR in SST. TG 184U</v>
      </c>
      <c r="B125" s="3" t="str">
        <f>IF('Input Sheet'!C127="","",CONCATENATE("Sample ", 'Input Sheet'!B127, "m: ", O125, I125, "% ", "Siltstone, ", Q125, 'Input Sheet'!C127, "% ", K125, " Sandstone "))</f>
        <v xml:space="preserve">Sample 2580m: veryfine to fine agg, minor medium% Siltstone, 95% moderately bright  to  bright Sandstone </v>
      </c>
      <c r="C125" s="3" t="str">
        <f>IF('Input Sheet'!C127="","",CONCATENATE("Sample ", 'Input Sheet'!B127, "m: ", N125,, L125, K125, " FLUOR in SST. ", "TG ", 'Input Sheet'!I127, "U"))</f>
        <v>Sample 2580m: 100% moderately bright  to  bright FLUOR in SST. TG 184U</v>
      </c>
      <c r="H125" s="6">
        <f>IF('Input Sheet'!C127="","",100-'Input Sheet'!C127)</f>
        <v>5</v>
      </c>
      <c r="I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 minor medium</v>
      </c>
      <c r="J125" s="6" t="str">
        <f t="shared" si="1"/>
        <v>very fine to fine agg, minor medium</v>
      </c>
      <c r="K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5" s="6" t="str">
        <f>IF('Input Sheet'!F127=0, "NO",CONCATENATE('Input Sheet'!F127, IF('Input Sheet'!F127&gt;0,"% ","")))</f>
        <v xml:space="preserve">100% </v>
      </c>
      <c r="M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5" s="6" t="str">
        <f>CONCATENATE(M125, IF('Input Sheet'!J127="",""," siderite in "))</f>
        <v/>
      </c>
      <c r="O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5" s="6" t="str">
        <f>CONCATENATE(O125, IF('Input Sheet'!K127="",""," siderite in "))</f>
        <v/>
      </c>
    </row>
    <row r="126" spans="1:16" x14ac:dyDescent="0.25">
      <c r="A126" s="17" t="str">
        <f>IF('Input Sheet'!C128="","",CONCATENATE("Sample ", 'Input Sheet'!B128, "m: ", N126, H126, "% ", "Siltstone, ", P126, 'Input Sheet'!C128, "% ", J126, " Sandstone, ", L126, K126, " FLUOR in SST. ", "TG ", 'Input Sheet'!I128, "U"))</f>
        <v>Sample 2590m: 0% Siltstone, 100% fine to medium lse Sandstone, 100% moderately bright  to  bright FLUOR in SST. TG 185U</v>
      </c>
      <c r="B126" s="3" t="str">
        <f>IF('Input Sheet'!C128="","",CONCATENATE("Sample ", 'Input Sheet'!B128, "m: ", O126, I126, "% ", "Siltstone, ", Q126, 'Input Sheet'!C128, "% ", K126, " Sandstone "))</f>
        <v xml:space="preserve">Sample 2590m: fine to medium lse% Siltstone, 100% moderately bright  to  bright Sandstone </v>
      </c>
      <c r="C126" s="3" t="str">
        <f>IF('Input Sheet'!C128="","",CONCATENATE("Sample ", 'Input Sheet'!B128, "m: ", N126,, L126, K126, " FLUOR in SST. ", "TG ", 'Input Sheet'!I128, "U"))</f>
        <v>Sample 2590m: 100% moderately bright  to  bright FLUOR in SST. TG 185U</v>
      </c>
      <c r="H126" s="6">
        <f>IF('Input Sheet'!C128="","",100-'Input Sheet'!C128)</f>
        <v>0</v>
      </c>
      <c r="I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 lse</v>
      </c>
      <c r="J126" s="6" t="str">
        <f t="shared" si="1"/>
        <v>fine to medium lse</v>
      </c>
      <c r="K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6" s="6" t="str">
        <f>IF('Input Sheet'!F128=0, "NO",CONCATENATE('Input Sheet'!F128, IF('Input Sheet'!F128&gt;0,"% ","")))</f>
        <v xml:space="preserve">100% </v>
      </c>
      <c r="M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6" s="6" t="str">
        <f>CONCATENATE(M126, IF('Input Sheet'!J128="",""," siderite in "))</f>
        <v/>
      </c>
      <c r="O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6" s="6" t="str">
        <f>CONCATENATE(O126, IF('Input Sheet'!K128="",""," siderite in "))</f>
        <v/>
      </c>
    </row>
    <row r="127" spans="1:16" x14ac:dyDescent="0.25">
      <c r="A127" s="17" t="str">
        <f>IF('Input Sheet'!C129="","",CONCATENATE("Sample ", 'Input Sheet'!B129, "m: ", N127, H127, "% ", "Siltstone, ", P127, 'Input Sheet'!C129, "% ", J127, " Sandstone, ", L127, K127, " FLUOR in SST. ", "TG ", 'Input Sheet'!I129, "U"))</f>
        <v>Sample 2600m: 0% Siltstone, 100% very fine to medium Sandstone, 100% moderately bright  to  bright FLUOR in SST. TG 175U</v>
      </c>
      <c r="B127" s="3" t="str">
        <f>IF('Input Sheet'!C129="","",CONCATENATE("Sample ", 'Input Sheet'!B129, "m: ", O127, I127, "% ", "Siltstone, ", Q127, 'Input Sheet'!C129, "% ", K127, " Sandstone "))</f>
        <v xml:space="preserve">Sample 2600m: veryfine to medium% Siltstone, 100% moderately bright  to  bright Sandstone </v>
      </c>
      <c r="C127" s="3" t="str">
        <f>IF('Input Sheet'!C129="","",CONCATENATE("Sample ", 'Input Sheet'!B129, "m: ", N127,, L127, K127, " FLUOR in SST. ", "TG ", 'Input Sheet'!I129, "U"))</f>
        <v>Sample 2600m: 100% moderately bright  to  bright FLUOR in SST. TG 175U</v>
      </c>
      <c r="H127" s="6">
        <f>IF('Input Sheet'!C129="","",100-'Input Sheet'!C129)</f>
        <v>0</v>
      </c>
      <c r="I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27" s="6" t="str">
        <f t="shared" si="1"/>
        <v>very fine to medium</v>
      </c>
      <c r="K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7" s="6" t="str">
        <f>IF('Input Sheet'!F129=0, "NO",CONCATENATE('Input Sheet'!F129, IF('Input Sheet'!F129&gt;0,"% ","")))</f>
        <v xml:space="preserve">100% </v>
      </c>
      <c r="M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7" s="6" t="str">
        <f>CONCATENATE(M127, IF('Input Sheet'!J129="",""," siderite in "))</f>
        <v/>
      </c>
      <c r="O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7" s="6" t="str">
        <f>CONCATENATE(O127, IF('Input Sheet'!K129="",""," siderite in "))</f>
        <v/>
      </c>
    </row>
    <row r="128" spans="1:16" x14ac:dyDescent="0.25">
      <c r="A128" s="17" t="str">
        <f>IF('Input Sheet'!C130="","",CONCATENATE("Sample ", 'Input Sheet'!B130, "m: ", N128, H128, "% ", "Siltstone, ", P128, 'Input Sheet'!C130, "% ", J128, " Sandstone, ", L128, K128, " FLUOR in SST. ", "TG ", 'Input Sheet'!I130, "U"))</f>
        <v>Sample 2610m: 10% Siltstone, 90% very fine to medium Sandstone, 80% dull to moderately bright FLUOR in SST. TG 151U</v>
      </c>
      <c r="B128" s="3" t="str">
        <f>IF('Input Sheet'!C130="","",CONCATENATE("Sample ", 'Input Sheet'!B130, "m: ", O128, I128, "% ", "Siltstone, ", Q128, 'Input Sheet'!C130, "% ", K128, " Sandstone "))</f>
        <v xml:space="preserve">Sample 2610m: veryfine to medium% Siltstone, 90% dull to moderately bright Sandstone </v>
      </c>
      <c r="C128" s="3" t="str">
        <f>IF('Input Sheet'!C130="","",CONCATENATE("Sample ", 'Input Sheet'!B130, "m: ", N128,, L128, K128, " FLUOR in SST. ", "TG ", 'Input Sheet'!I130, "U"))</f>
        <v>Sample 2610m: 80% dull to moderately bright FLUOR in SST. TG 151U</v>
      </c>
      <c r="H128" s="6">
        <f>IF('Input Sheet'!C130="","",100-'Input Sheet'!C130)</f>
        <v>10</v>
      </c>
      <c r="I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28" s="6" t="str">
        <f t="shared" si="1"/>
        <v>very fine to medium</v>
      </c>
      <c r="K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28" s="6" t="str">
        <f>IF('Input Sheet'!F130=0, "NO",CONCATENATE('Input Sheet'!F130, IF('Input Sheet'!F130&gt;0,"% ","")))</f>
        <v xml:space="preserve">80% </v>
      </c>
      <c r="M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8" s="6" t="str">
        <f>CONCATENATE(M128, IF('Input Sheet'!J130="",""," siderite in "))</f>
        <v/>
      </c>
      <c r="O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8" s="6" t="str">
        <f>CONCATENATE(O128, IF('Input Sheet'!K130="",""," siderite in "))</f>
        <v/>
      </c>
    </row>
    <row r="129" spans="1:16" x14ac:dyDescent="0.25">
      <c r="A129" s="17" t="str">
        <f>IF('Input Sheet'!C131="","",CONCATENATE("Sample ", 'Input Sheet'!B131, "m: ", N129, H129, "% ", "Siltstone, ", P129, 'Input Sheet'!C131, "% ", J129, " Sandstone, ", L129, K129, " FLUOR in SST. ", "TG ", 'Input Sheet'!I131, "U"))</f>
        <v>Sample 2620m: 20% Siltstone, 80% very fine to medium Sandstone, 70% moderately bright  to  bright FLUOR in SST. TG 150U</v>
      </c>
      <c r="B129" s="3" t="str">
        <f>IF('Input Sheet'!C131="","",CONCATENATE("Sample ", 'Input Sheet'!B131, "m: ", O129, I129, "% ", "Siltstone, ", Q129, 'Input Sheet'!C131, "% ", K129, " Sandstone "))</f>
        <v xml:space="preserve">Sample 2620m: veryfine to medium% Siltstone, 80% moderately bright  to  bright Sandstone </v>
      </c>
      <c r="C129" s="3" t="str">
        <f>IF('Input Sheet'!C131="","",CONCATENATE("Sample ", 'Input Sheet'!B131, "m: ", N129,, L129, K129, " FLUOR in SST. ", "TG ", 'Input Sheet'!I131, "U"))</f>
        <v>Sample 2620m: 70% moderately bright  to  bright FLUOR in SST. TG 150U</v>
      </c>
      <c r="H129" s="6">
        <f>IF('Input Sheet'!C131="","",100-'Input Sheet'!C131)</f>
        <v>20</v>
      </c>
      <c r="I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29" s="6" t="str">
        <f t="shared" si="1"/>
        <v>very fine to medium</v>
      </c>
      <c r="K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29" s="6" t="str">
        <f>IF('Input Sheet'!F131=0, "NO",CONCATENATE('Input Sheet'!F131, IF('Input Sheet'!F131&gt;0,"% ","")))</f>
        <v xml:space="preserve">70% </v>
      </c>
      <c r="M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29" s="6" t="str">
        <f>CONCATENATE(M129, IF('Input Sheet'!J131="",""," siderite in "))</f>
        <v/>
      </c>
      <c r="O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29" s="6" t="str">
        <f>CONCATENATE(O129, IF('Input Sheet'!K131="",""," siderite in "))</f>
        <v/>
      </c>
    </row>
    <row r="130" spans="1:16" x14ac:dyDescent="0.25">
      <c r="A130" s="17" t="str">
        <f>IF('Input Sheet'!C132="","",CONCATENATE("Sample ", 'Input Sheet'!B132, "m: ", N130, H130, "% ", "Siltstone, ", P130, 'Input Sheet'!C132, "% ", J130, " Sandstone, ", L130, K130, " FLUOR in SST. ", "TG ", 'Input Sheet'!I132, "U"))</f>
        <v>Sample 2630m: 10% Siltstone, 90% very fine to medium Sandstone, 80% moderately bright  to  bright FLUOR in SST. TG 157U</v>
      </c>
      <c r="B130" s="3" t="str">
        <f>IF('Input Sheet'!C132="","",CONCATENATE("Sample ", 'Input Sheet'!B132, "m: ", O130, I130, "% ", "Siltstone, ", Q130, 'Input Sheet'!C132, "% ", K130, " Sandstone "))</f>
        <v xml:space="preserve">Sample 2630m: veryfine to medium% Siltstone, 90% moderately bright  to  bright Sandstone </v>
      </c>
      <c r="C130" s="3" t="str">
        <f>IF('Input Sheet'!C132="","",CONCATENATE("Sample ", 'Input Sheet'!B132, "m: ", N130,, L130, K130, " FLUOR in SST. ", "TG ", 'Input Sheet'!I132, "U"))</f>
        <v>Sample 2630m: 80% moderately bright  to  bright FLUOR in SST. TG 157U</v>
      </c>
      <c r="H130" s="6">
        <f>IF('Input Sheet'!C132="","",100-'Input Sheet'!C132)</f>
        <v>10</v>
      </c>
      <c r="I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30" s="6" t="str">
        <f t="shared" ref="J130:J193" si="2">SUBSTITUTE(I130, "veryfine", "very fine")</f>
        <v>very fine to medium</v>
      </c>
      <c r="K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 to  bright</v>
      </c>
      <c r="L130" s="6" t="str">
        <f>IF('Input Sheet'!F132=0, "NO",CONCATENATE('Input Sheet'!F132, IF('Input Sheet'!F132&gt;0,"% ","")))</f>
        <v xml:space="preserve">80% </v>
      </c>
      <c r="M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0" s="6" t="str">
        <f>CONCATENATE(M130, IF('Input Sheet'!J132="",""," siderite in "))</f>
        <v/>
      </c>
      <c r="O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0" s="6" t="str">
        <f>CONCATENATE(O130, IF('Input Sheet'!K132="",""," siderite in "))</f>
        <v/>
      </c>
    </row>
    <row r="131" spans="1:16" x14ac:dyDescent="0.25">
      <c r="A131" s="17" t="str">
        <f>IF('Input Sheet'!C133="","",CONCATENATE("Sample ", 'Input Sheet'!B133, "m: ", N131, H131, "% ", "Siltstone, ", P131, 'Input Sheet'!C133, "% ", J131, " Sandstone, ", L131, K131, " FLUOR in SST. ", "TG ", 'Input Sheet'!I133, "U"))</f>
        <v>Sample 2640m: 5% Siltstone, 95% very fine to medium Sandstone, 100% bright  FLUOR in SST. TG 247U</v>
      </c>
      <c r="B131" s="3" t="str">
        <f>IF('Input Sheet'!C133="","",CONCATENATE("Sample ", 'Input Sheet'!B133, "m: ", O131, I131, "% ", "Siltstone, ", Q131, 'Input Sheet'!C133, "% ", K131, " Sandstone "))</f>
        <v xml:space="preserve">Sample 2640m: veryfine to medium% Siltstone, 95% bright  Sandstone </v>
      </c>
      <c r="C131" s="3" t="str">
        <f>IF('Input Sheet'!C133="","",CONCATENATE("Sample ", 'Input Sheet'!B133, "m: ", N131,, L131, K131, " FLUOR in SST. ", "TG ", 'Input Sheet'!I133, "U"))</f>
        <v>Sample 2640m: 100% bright  FLUOR in SST. TG 247U</v>
      </c>
      <c r="H131" s="6">
        <f>IF('Input Sheet'!C133="","",100-'Input Sheet'!C133)</f>
        <v>5</v>
      </c>
      <c r="I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31" s="6" t="str">
        <f t="shared" si="2"/>
        <v>very fine to medium</v>
      </c>
      <c r="K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1" s="6" t="str">
        <f>IF('Input Sheet'!F133=0, "NO",CONCATENATE('Input Sheet'!F133, IF('Input Sheet'!F133&gt;0,"% ","")))</f>
        <v xml:space="preserve">100% </v>
      </c>
      <c r="M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1" s="6" t="str">
        <f>CONCATENATE(M131, IF('Input Sheet'!J133="",""," siderite in "))</f>
        <v/>
      </c>
      <c r="O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1" s="6" t="str">
        <f>CONCATENATE(O131, IF('Input Sheet'!K133="",""," siderite in "))</f>
        <v/>
      </c>
    </row>
    <row r="132" spans="1:16" x14ac:dyDescent="0.25">
      <c r="A132" s="17" t="str">
        <f>IF('Input Sheet'!C134="","",CONCATENATE("Sample ", 'Input Sheet'!B134, "m: ", N132, H132, "% ", "Siltstone, ", P132, 'Input Sheet'!C134, "% ", J132, " Sandstone, ", L132, K132, " FLUOR in SST. ", "TG ", 'Input Sheet'!I134, "U"))</f>
        <v>Sample 2650m: 0% Siltstone, 100% very fine to medium Sandstone, 100% bright  FLUOR in SST. TG 246U</v>
      </c>
      <c r="B132" s="3" t="str">
        <f>IF('Input Sheet'!C134="","",CONCATENATE("Sample ", 'Input Sheet'!B134, "m: ", O132, I132, "% ", "Siltstone, ", Q132, 'Input Sheet'!C134, "% ", K132, " Sandstone "))</f>
        <v xml:space="preserve">Sample 2650m: veryfine to medium% Siltstone, 100% bright  Sandstone </v>
      </c>
      <c r="C132" s="3" t="str">
        <f>IF('Input Sheet'!C134="","",CONCATENATE("Sample ", 'Input Sheet'!B134, "m: ", N132,, L132, K132, " FLUOR in SST. ", "TG ", 'Input Sheet'!I134, "U"))</f>
        <v>Sample 2650m: 100% bright  FLUOR in SST. TG 246U</v>
      </c>
      <c r="H132" s="6">
        <f>IF('Input Sheet'!C134="","",100-'Input Sheet'!C134)</f>
        <v>0</v>
      </c>
      <c r="I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32" s="6" t="str">
        <f t="shared" si="2"/>
        <v>very fine to medium</v>
      </c>
      <c r="K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2" s="6" t="str">
        <f>IF('Input Sheet'!F134=0, "NO",CONCATENATE('Input Sheet'!F134, IF('Input Sheet'!F134&gt;0,"% ","")))</f>
        <v xml:space="preserve">100% </v>
      </c>
      <c r="M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2" s="6" t="str">
        <f>CONCATENATE(M132, IF('Input Sheet'!J134="",""," siderite in "))</f>
        <v/>
      </c>
      <c r="O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2" s="6" t="str">
        <f>CONCATENATE(O132, IF('Input Sheet'!K134="",""," siderite in "))</f>
        <v/>
      </c>
    </row>
    <row r="133" spans="1:16" x14ac:dyDescent="0.25">
      <c r="A133" s="17" t="str">
        <f>IF('Input Sheet'!C135="","",CONCATENATE("Sample ", 'Input Sheet'!B135, "m: ", N133, H133, "% ", "Siltstone, ", P133, 'Input Sheet'!C135, "% ", J133, " Sandstone, ", L133, K133, " FLUOR in SST. ", "TG ", 'Input Sheet'!I135, "U"))</f>
        <v>Sample 2660m: 0% Siltstone, 100% fine to medium Sandstone, 100% bright  FLUOR in SST. TG 258U</v>
      </c>
      <c r="B133" s="3" t="str">
        <f>IF('Input Sheet'!C135="","",CONCATENATE("Sample ", 'Input Sheet'!B135, "m: ", O133, I133, "% ", "Siltstone, ", Q133, 'Input Sheet'!C135, "% ", K133, " Sandstone "))</f>
        <v xml:space="preserve">Sample 2660m: fine to medium% Siltstone, 100% bright  Sandstone </v>
      </c>
      <c r="C133" s="3" t="str">
        <f>IF('Input Sheet'!C135="","",CONCATENATE("Sample ", 'Input Sheet'!B135, "m: ", N133,, L133, K133, " FLUOR in SST. ", "TG ", 'Input Sheet'!I135, "U"))</f>
        <v>Sample 2660m: 100% bright  FLUOR in SST. TG 258U</v>
      </c>
      <c r="H133" s="6">
        <f>IF('Input Sheet'!C135="","",100-'Input Sheet'!C135)</f>
        <v>0</v>
      </c>
      <c r="I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33" s="6" t="str">
        <f t="shared" si="2"/>
        <v>fine to medium</v>
      </c>
      <c r="K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3" s="6" t="str">
        <f>IF('Input Sheet'!F135=0, "NO",CONCATENATE('Input Sheet'!F135, IF('Input Sheet'!F135&gt;0,"% ","")))</f>
        <v xml:space="preserve">100% </v>
      </c>
      <c r="M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3" s="6" t="str">
        <f>CONCATENATE(M133, IF('Input Sheet'!J135="",""," siderite in "))</f>
        <v/>
      </c>
      <c r="O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3" s="6" t="str">
        <f>CONCATENATE(O133, IF('Input Sheet'!K135="",""," siderite in "))</f>
        <v/>
      </c>
    </row>
    <row r="134" spans="1:16" x14ac:dyDescent="0.25">
      <c r="A134" s="17" t="str">
        <f>IF('Input Sheet'!C136="","",CONCATENATE("Sample ", 'Input Sheet'!B136, "m: ", N134, H134, "% ", "Siltstone, ", P134, 'Input Sheet'!C136, "% ", J134, " Sandstone, ", L134, K134, " FLUOR in SST. ", "TG ", 'Input Sheet'!I136, "U"))</f>
        <v>Sample 2670m: 0% Siltstone, 100% very fine to medium Sandstone, 100% bright  FLUOR in SST. TG 264U</v>
      </c>
      <c r="B134" s="3" t="str">
        <f>IF('Input Sheet'!C136="","",CONCATENATE("Sample ", 'Input Sheet'!B136, "m: ", O134, I134, "% ", "Siltstone, ", Q134, 'Input Sheet'!C136, "% ", K134, " Sandstone "))</f>
        <v xml:space="preserve">Sample 2670m: veryfine to medium% Siltstone, 100% bright  Sandstone </v>
      </c>
      <c r="C134" s="3" t="str">
        <f>IF('Input Sheet'!C136="","",CONCATENATE("Sample ", 'Input Sheet'!B136, "m: ", N134,, L134, K134, " FLUOR in SST. ", "TG ", 'Input Sheet'!I136, "U"))</f>
        <v>Sample 2670m: 100% bright  FLUOR in SST. TG 264U</v>
      </c>
      <c r="H134" s="6">
        <f>IF('Input Sheet'!C136="","",100-'Input Sheet'!C136)</f>
        <v>0</v>
      </c>
      <c r="I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34" s="6" t="str">
        <f t="shared" si="2"/>
        <v>very fine to medium</v>
      </c>
      <c r="K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4" s="6" t="str">
        <f>IF('Input Sheet'!F136=0, "NO",CONCATENATE('Input Sheet'!F136, IF('Input Sheet'!F136&gt;0,"% ","")))</f>
        <v xml:space="preserve">100% </v>
      </c>
      <c r="M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4" s="6" t="str">
        <f>CONCATENATE(M134, IF('Input Sheet'!J136="",""," siderite in "))</f>
        <v/>
      </c>
      <c r="O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4" s="6" t="str">
        <f>CONCATENATE(O134, IF('Input Sheet'!K136="",""," siderite in "))</f>
        <v/>
      </c>
    </row>
    <row r="135" spans="1:16" x14ac:dyDescent="0.25">
      <c r="A135" s="17" t="str">
        <f>IF('Input Sheet'!C137="","",CONCATENATE("Sample ", 'Input Sheet'!B137, "m: ", N135, H135, "% ", "Siltstone, ", P135, 'Input Sheet'!C137, "% ", J135, " Sandstone, ", L135, K135, " FLUOR in SST. ", "TG ", 'Input Sheet'!I137, "U"))</f>
        <v>Sample 2680m: 0% Siltstone, 100% fine to medium Sandstone, 100% bright  FLUOR in SST. TG 271U</v>
      </c>
      <c r="B135" s="3" t="str">
        <f>IF('Input Sheet'!C137="","",CONCATENATE("Sample ", 'Input Sheet'!B137, "m: ", O135, I135, "% ", "Siltstone, ", Q135, 'Input Sheet'!C137, "% ", K135, " Sandstone "))</f>
        <v xml:space="preserve">Sample 2680m: fine to medium% Siltstone, 100% bright  Sandstone </v>
      </c>
      <c r="C135" s="3" t="str">
        <f>IF('Input Sheet'!C137="","",CONCATENATE("Sample ", 'Input Sheet'!B137, "m: ", N135,, L135, K135, " FLUOR in SST. ", "TG ", 'Input Sheet'!I137, "U"))</f>
        <v>Sample 2680m: 100% bright  FLUOR in SST. TG 271U</v>
      </c>
      <c r="H135" s="6">
        <f>IF('Input Sheet'!C137="","",100-'Input Sheet'!C137)</f>
        <v>0</v>
      </c>
      <c r="I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35" s="6" t="str">
        <f t="shared" si="2"/>
        <v>fine to medium</v>
      </c>
      <c r="K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5" s="6" t="str">
        <f>IF('Input Sheet'!F137=0, "NO",CONCATENATE('Input Sheet'!F137, IF('Input Sheet'!F137&gt;0,"% ","")))</f>
        <v xml:space="preserve">100% </v>
      </c>
      <c r="M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5" s="6" t="str">
        <f>CONCATENATE(M135, IF('Input Sheet'!J137="",""," siderite in "))</f>
        <v/>
      </c>
      <c r="O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5" s="6" t="str">
        <f>CONCATENATE(O135, IF('Input Sheet'!K137="",""," siderite in "))</f>
        <v/>
      </c>
    </row>
    <row r="136" spans="1:16" x14ac:dyDescent="0.25">
      <c r="A136" s="17" t="str">
        <f>IF('Input Sheet'!C138="","",CONCATENATE("Sample ", 'Input Sheet'!B138, "m: ", N136, H136, "% ", "Siltstone, ", P136, 'Input Sheet'!C138, "% ", J136, " Sandstone, ", L136, K136, " FLUOR in SST. ", "TG ", 'Input Sheet'!I138, "U"))</f>
        <v>Sample 2690m: 0% Siltstone, 100% fine to coarse Sandstone, 100% bright  FLUOR in SST. TG 246U</v>
      </c>
      <c r="B136" s="3" t="str">
        <f>IF('Input Sheet'!C138="","",CONCATENATE("Sample ", 'Input Sheet'!B138, "m: ", O136, I136, "% ", "Siltstone, ", Q136, 'Input Sheet'!C138, "% ", K136, " Sandstone "))</f>
        <v xml:space="preserve">Sample 2690m: fine to coarse% Siltstone, 100% bright  Sandstone </v>
      </c>
      <c r="C136" s="3" t="str">
        <f>IF('Input Sheet'!C138="","",CONCATENATE("Sample ", 'Input Sheet'!B138, "m: ", N136,, L136, K136, " FLUOR in SST. ", "TG ", 'Input Sheet'!I138, "U"))</f>
        <v>Sample 2690m: 100% bright  FLUOR in SST. TG 246U</v>
      </c>
      <c r="H136" s="6">
        <f>IF('Input Sheet'!C138="","",100-'Input Sheet'!C138)</f>
        <v>0</v>
      </c>
      <c r="I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36" s="6" t="str">
        <f t="shared" si="2"/>
        <v>fine to coarse</v>
      </c>
      <c r="K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6" s="6" t="str">
        <f>IF('Input Sheet'!F138=0, "NO",CONCATENATE('Input Sheet'!F138, IF('Input Sheet'!F138&gt;0,"% ","")))</f>
        <v xml:space="preserve">100% </v>
      </c>
      <c r="M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6" s="6" t="str">
        <f>CONCATENATE(M136, IF('Input Sheet'!J138="",""," siderite in "))</f>
        <v/>
      </c>
      <c r="O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6" s="6" t="str">
        <f>CONCATENATE(O136, IF('Input Sheet'!K138="",""," siderite in "))</f>
        <v/>
      </c>
    </row>
    <row r="137" spans="1:16" x14ac:dyDescent="0.25">
      <c r="A137" s="17" t="str">
        <f>IF('Input Sheet'!C139="","",CONCATENATE("Sample ", 'Input Sheet'!B139, "m: ", N137, H137, "% ", "Siltstone, ", P137, 'Input Sheet'!C139, "% ", J137, " Sandstone, ", L137, K137, " FLUOR in SST. ", "TG ", 'Input Sheet'!I139, "U"))</f>
        <v>Sample 2700m: 0% Siltstone, 100% very fine to coarse Sandstone, 100% bright  FLUOR in SST. TG 180U</v>
      </c>
      <c r="B137" s="3" t="str">
        <f>IF('Input Sheet'!C139="","",CONCATENATE("Sample ", 'Input Sheet'!B139, "m: ", O137, I137, "% ", "Siltstone, ", Q137, 'Input Sheet'!C139, "% ", K137, " Sandstone "))</f>
        <v xml:space="preserve">Sample 2700m: veryfine to coarse% Siltstone, 100% bright  Sandstone </v>
      </c>
      <c r="C137" s="3" t="str">
        <f>IF('Input Sheet'!C139="","",CONCATENATE("Sample ", 'Input Sheet'!B139, "m: ", N137,, L137, K137, " FLUOR in SST. ", "TG ", 'Input Sheet'!I139, "U"))</f>
        <v>Sample 2700m: 100% bright  FLUOR in SST. TG 180U</v>
      </c>
      <c r="H137" s="6">
        <f>IF('Input Sheet'!C139="","",100-'Input Sheet'!C139)</f>
        <v>0</v>
      </c>
      <c r="I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37" s="6" t="str">
        <f t="shared" si="2"/>
        <v>very fine to coarse</v>
      </c>
      <c r="K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7" s="6" t="str">
        <f>IF('Input Sheet'!F139=0, "NO",CONCATENATE('Input Sheet'!F139, IF('Input Sheet'!F139&gt;0,"% ","")))</f>
        <v xml:space="preserve">100% </v>
      </c>
      <c r="M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7" s="6" t="str">
        <f>CONCATENATE(M137, IF('Input Sheet'!J139="",""," siderite in "))</f>
        <v/>
      </c>
      <c r="O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7" s="6" t="str">
        <f>CONCATENATE(O137, IF('Input Sheet'!K139="",""," siderite in "))</f>
        <v/>
      </c>
    </row>
    <row r="138" spans="1:16" x14ac:dyDescent="0.25">
      <c r="A138" s="17" t="str">
        <f>IF('Input Sheet'!C140="","",CONCATENATE("Sample ", 'Input Sheet'!B140, "m: ", N138, H138, "% ", "Siltstone, ", P138, 'Input Sheet'!C140, "% ", J138, " Sandstone, ", L138, K138, " FLUOR in SST. ", "TG ", 'Input Sheet'!I140, "U"))</f>
        <v>Sample 2710m: 5% Siltstone, 95% very fine to coarse Sandstone, 100% moderately bright to bright FLUOR in SST. TG 185U</v>
      </c>
      <c r="B138" s="3" t="str">
        <f>IF('Input Sheet'!C140="","",CONCATENATE("Sample ", 'Input Sheet'!B140, "m: ", O138, I138, "% ", "Siltstone, ", Q138, 'Input Sheet'!C140, "% ", K138, " Sandstone "))</f>
        <v xml:space="preserve">Sample 2710m: veryfine to coarse% Siltstone, 95% moderately bright to bright Sandstone </v>
      </c>
      <c r="C138" s="3" t="str">
        <f>IF('Input Sheet'!C140="","",CONCATENATE("Sample ", 'Input Sheet'!B140, "m: ", N138,, L138, K138, " FLUOR in SST. ", "TG ", 'Input Sheet'!I140, "U"))</f>
        <v>Sample 2710m: 100% moderately bright to bright FLUOR in SST. TG 185U</v>
      </c>
      <c r="H138" s="6">
        <f>IF('Input Sheet'!C140="","",100-'Input Sheet'!C140)</f>
        <v>5</v>
      </c>
      <c r="I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38" s="6" t="str">
        <f t="shared" si="2"/>
        <v>very fine to coarse</v>
      </c>
      <c r="K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38" s="6" t="str">
        <f>IF('Input Sheet'!F140=0, "NO",CONCATENATE('Input Sheet'!F140, IF('Input Sheet'!F140&gt;0,"% ","")))</f>
        <v xml:space="preserve">100% </v>
      </c>
      <c r="M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8" s="6" t="str">
        <f>CONCATENATE(M138, IF('Input Sheet'!J140="",""," siderite in "))</f>
        <v/>
      </c>
      <c r="O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8" s="6" t="str">
        <f>CONCATENATE(O138, IF('Input Sheet'!K140="",""," siderite in "))</f>
        <v/>
      </c>
    </row>
    <row r="139" spans="1:16" x14ac:dyDescent="0.25">
      <c r="A139" s="17" t="str">
        <f>IF('Input Sheet'!C141="","",CONCATENATE("Sample ", 'Input Sheet'!B141, "m: ", N139, H139, "% ", "Siltstone, ", P139, 'Input Sheet'!C141, "% ", J139, " Sandstone, ", L139, K139, " FLUOR in SST. ", "TG ", 'Input Sheet'!I141, "U"))</f>
        <v>Sample 2720m: 5% Siltstone, 95% fine to coarse Sandstone, 100% bright  FLUOR in SST. TG 177U</v>
      </c>
      <c r="B139" s="3" t="str">
        <f>IF('Input Sheet'!C141="","",CONCATENATE("Sample ", 'Input Sheet'!B141, "m: ", O139, I139, "% ", "Siltstone, ", Q139, 'Input Sheet'!C141, "% ", K139, " Sandstone "))</f>
        <v xml:space="preserve">Sample 2720m: fine to coarse% Siltstone, 95% bright  Sandstone </v>
      </c>
      <c r="C139" s="3" t="str">
        <f>IF('Input Sheet'!C141="","",CONCATENATE("Sample ", 'Input Sheet'!B141, "m: ", N139,, L139, K139, " FLUOR in SST. ", "TG ", 'Input Sheet'!I141, "U"))</f>
        <v>Sample 2720m: 100% bright  FLUOR in SST. TG 177U</v>
      </c>
      <c r="H139" s="6">
        <f>IF('Input Sheet'!C141="","",100-'Input Sheet'!C141)</f>
        <v>5</v>
      </c>
      <c r="I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39" s="6" t="str">
        <f t="shared" si="2"/>
        <v>fine to coarse</v>
      </c>
      <c r="K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39" s="6" t="str">
        <f>IF('Input Sheet'!F141=0, "NO",CONCATENATE('Input Sheet'!F141, IF('Input Sheet'!F141&gt;0,"% ","")))</f>
        <v xml:space="preserve">100% </v>
      </c>
      <c r="M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39" s="6" t="str">
        <f>CONCATENATE(M139, IF('Input Sheet'!J141="",""," siderite in "))</f>
        <v/>
      </c>
      <c r="O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39" s="6" t="str">
        <f>CONCATENATE(O139, IF('Input Sheet'!K141="",""," siderite in "))</f>
        <v/>
      </c>
    </row>
    <row r="140" spans="1:16" x14ac:dyDescent="0.25">
      <c r="A140" s="17" t="str">
        <f>IF('Input Sheet'!C142="","",CONCATENATE("Sample ", 'Input Sheet'!B142, "m: ", N140, H140, "% ", "Siltstone, ", P140, 'Input Sheet'!C142, "% ", J140, " Sandstone, ", L140, K140, " FLUOR in SST. ", "TG ", 'Input Sheet'!I142, "U"))</f>
        <v>Sample 2730m: 10% Siltstone, 90% very fine to medium Sandstone, 100% bright  FLUOR in SST. TG 196U</v>
      </c>
      <c r="B140" s="3" t="str">
        <f>IF('Input Sheet'!C142="","",CONCATENATE("Sample ", 'Input Sheet'!B142, "m: ", O140, I140, "% ", "Siltstone, ", Q140, 'Input Sheet'!C142, "% ", K140, " Sandstone "))</f>
        <v xml:space="preserve">Sample 2730m: veryfine to medium% Siltstone, 90% bright  Sandstone </v>
      </c>
      <c r="C140" s="3" t="str">
        <f>IF('Input Sheet'!C142="","",CONCATENATE("Sample ", 'Input Sheet'!B142, "m: ", N140,, L140, K140, " FLUOR in SST. ", "TG ", 'Input Sheet'!I142, "U"))</f>
        <v>Sample 2730m: 100% bright  FLUOR in SST. TG 196U</v>
      </c>
      <c r="H140" s="6">
        <f>IF('Input Sheet'!C142="","",100-'Input Sheet'!C142)</f>
        <v>10</v>
      </c>
      <c r="I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40" s="6" t="str">
        <f t="shared" si="2"/>
        <v>very fine to medium</v>
      </c>
      <c r="K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40" s="6" t="str">
        <f>IF('Input Sheet'!F142=0, "NO",CONCATENATE('Input Sheet'!F142, IF('Input Sheet'!F142&gt;0,"% ","")))</f>
        <v xml:space="preserve">100% </v>
      </c>
      <c r="M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0" s="6" t="str">
        <f>CONCATENATE(M140, IF('Input Sheet'!J142="",""," siderite in "))</f>
        <v/>
      </c>
      <c r="O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0" s="6" t="str">
        <f>CONCATENATE(O140, IF('Input Sheet'!K142="",""," siderite in "))</f>
        <v/>
      </c>
    </row>
    <row r="141" spans="1:16" x14ac:dyDescent="0.25">
      <c r="A141" s="17" t="str">
        <f>IF('Input Sheet'!C143="","",CONCATENATE("Sample ", 'Input Sheet'!B143, "m: ", N141, H141, "% ", "Siltstone, ", P141, 'Input Sheet'!C143, "% ", J141, " Sandstone, ", L141, K141, " FLUOR in SST. ", "TG ", 'Input Sheet'!I143, "U"))</f>
        <v>Sample 2740m: 5% Siltstone, 95% very fine to medium Sandstone, 100% bright  FLUOR in SST. TG 216U</v>
      </c>
      <c r="B141" s="3" t="str">
        <f>IF('Input Sheet'!C143="","",CONCATENATE("Sample ", 'Input Sheet'!B143, "m: ", O141, I141, "% ", "Siltstone, ", Q141, 'Input Sheet'!C143, "% ", K141, " Sandstone "))</f>
        <v xml:space="preserve">Sample 2740m: veryfine to medium% Siltstone, 95% bright  Sandstone </v>
      </c>
      <c r="C141" s="3" t="str">
        <f>IF('Input Sheet'!C143="","",CONCATENATE("Sample ", 'Input Sheet'!B143, "m: ", N141,, L141, K141, " FLUOR in SST. ", "TG ", 'Input Sheet'!I143, "U"))</f>
        <v>Sample 2740m: 100% bright  FLUOR in SST. TG 216U</v>
      </c>
      <c r="H141" s="6">
        <f>IF('Input Sheet'!C143="","",100-'Input Sheet'!C143)</f>
        <v>5</v>
      </c>
      <c r="I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41" s="6" t="str">
        <f t="shared" si="2"/>
        <v>very fine to medium</v>
      </c>
      <c r="K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41" s="6" t="str">
        <f>IF('Input Sheet'!F143=0, "NO",CONCATENATE('Input Sheet'!F143, IF('Input Sheet'!F143&gt;0,"% ","")))</f>
        <v xml:space="preserve">100% </v>
      </c>
      <c r="M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1" s="6" t="str">
        <f>CONCATENATE(M141, IF('Input Sheet'!J143="",""," siderite in "))</f>
        <v/>
      </c>
      <c r="O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1" s="6" t="str">
        <f>CONCATENATE(O141, IF('Input Sheet'!K143="",""," siderite in "))</f>
        <v/>
      </c>
    </row>
    <row r="142" spans="1:16" x14ac:dyDescent="0.25">
      <c r="A142" s="17" t="str">
        <f>IF('Input Sheet'!C144="","",CONCATENATE("Sample ", 'Input Sheet'!B144, "m: ", N142, H142, "% ", "Siltstone, ", P142, 'Input Sheet'!C144, "% ", J142, " Sandstone, ", L142, K142, " FLUOR in SST. ", "TG ", 'Input Sheet'!I144, "U"))</f>
        <v>Sample 2750m: 0% Siltstone, 100% very fine to coarse Sandstone, 100% bright  FLUOR in SST. TG 209U</v>
      </c>
      <c r="B142" s="3" t="str">
        <f>IF('Input Sheet'!C144="","",CONCATENATE("Sample ", 'Input Sheet'!B144, "m: ", O142, I142, "% ", "Siltstone, ", Q142, 'Input Sheet'!C144, "% ", K142, " Sandstone "))</f>
        <v xml:space="preserve">Sample 2750m: veryfine to coarse% Siltstone, 100% bright  Sandstone </v>
      </c>
      <c r="C142" s="3" t="str">
        <f>IF('Input Sheet'!C144="","",CONCATENATE("Sample ", 'Input Sheet'!B144, "m: ", N142,, L142, K142, " FLUOR in SST. ", "TG ", 'Input Sheet'!I144, "U"))</f>
        <v>Sample 2750m: 100% bright  FLUOR in SST. TG 209U</v>
      </c>
      <c r="H142" s="6">
        <f>IF('Input Sheet'!C144="","",100-'Input Sheet'!C144)</f>
        <v>0</v>
      </c>
      <c r="I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2" s="6" t="str">
        <f t="shared" si="2"/>
        <v>very fine to coarse</v>
      </c>
      <c r="K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42" s="6" t="str">
        <f>IF('Input Sheet'!F144=0, "NO",CONCATENATE('Input Sheet'!F144, IF('Input Sheet'!F144&gt;0,"% ","")))</f>
        <v xml:space="preserve">100% </v>
      </c>
      <c r="M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2" s="6" t="str">
        <f>CONCATENATE(M142, IF('Input Sheet'!J144="",""," siderite in "))</f>
        <v/>
      </c>
      <c r="O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2" s="6" t="str">
        <f>CONCATENATE(O142, IF('Input Sheet'!K144="",""," siderite in "))</f>
        <v/>
      </c>
    </row>
    <row r="143" spans="1:16" x14ac:dyDescent="0.25">
      <c r="A143" s="17" t="str">
        <f>IF('Input Sheet'!C145="","",CONCATENATE("Sample ", 'Input Sheet'!B145, "m: ", N143, H143, "% ", "Siltstone, ", P143, 'Input Sheet'!C145, "% ", J143, " Sandstone, ", L143, K143, " FLUOR in SST. ", "TG ", 'Input Sheet'!I145, "U"))</f>
        <v>Sample 2760m: 0% Siltstone, 100% fine to very coarse Sandstone, 100% bright  FLUOR in SST. TG 233U</v>
      </c>
      <c r="B143" s="3" t="str">
        <f>IF('Input Sheet'!C145="","",CONCATENATE("Sample ", 'Input Sheet'!B145, "m: ", O143, I143, "% ", "Siltstone, ", Q143, 'Input Sheet'!C145, "% ", K143, " Sandstone "))</f>
        <v xml:space="preserve">Sample 2760m: fine to very coarse% Siltstone, 100% bright  Sandstone </v>
      </c>
      <c r="C143" s="3" t="str">
        <f>IF('Input Sheet'!C145="","",CONCATENATE("Sample ", 'Input Sheet'!B145, "m: ", N143,, L143, K143, " FLUOR in SST. ", "TG ", 'Input Sheet'!I145, "U"))</f>
        <v>Sample 2760m: 100% bright  FLUOR in SST. TG 233U</v>
      </c>
      <c r="H143" s="6">
        <f>IF('Input Sheet'!C145="","",100-'Input Sheet'!C145)</f>
        <v>0</v>
      </c>
      <c r="I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143" s="6" t="str">
        <f t="shared" si="2"/>
        <v>fine to very coarse</v>
      </c>
      <c r="K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43" s="6" t="str">
        <f>IF('Input Sheet'!F145=0, "NO",CONCATENATE('Input Sheet'!F145, IF('Input Sheet'!F145&gt;0,"% ","")))</f>
        <v xml:space="preserve">100% </v>
      </c>
      <c r="M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3" s="6" t="str">
        <f>CONCATENATE(M143, IF('Input Sheet'!J145="",""," siderite in "))</f>
        <v/>
      </c>
      <c r="O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3" s="6" t="str">
        <f>CONCATENATE(O143, IF('Input Sheet'!K145="",""," siderite in "))</f>
        <v/>
      </c>
    </row>
    <row r="144" spans="1:16" x14ac:dyDescent="0.25">
      <c r="A144" s="17" t="str">
        <f>IF('Input Sheet'!C146="","",CONCATENATE("Sample ", 'Input Sheet'!B146, "m: ", N144, H144, "% ", "Siltstone, ", P144, 'Input Sheet'!C146, "% ", J144, " Sandstone, ", L144, K144, " FLUOR in SST. ", "TG ", 'Input Sheet'!I146, "U"))</f>
        <v>Sample 2770m: 0% Siltstone, 100% very fine to verycoarse Sandstone, 100% bright FLUOR in SST. TG 249U</v>
      </c>
      <c r="B144" s="3" t="str">
        <f>IF('Input Sheet'!C146="","",CONCATENATE("Sample ", 'Input Sheet'!B146, "m: ", O144, I144, "% ", "Siltstone, ", Q144, 'Input Sheet'!C146, "% ", K144, " Sandstone "))</f>
        <v xml:space="preserve">Sample 2770m: veryfine to verycoarse% Siltstone, 100% bright Sandstone </v>
      </c>
      <c r="C144" s="3" t="str">
        <f>IF('Input Sheet'!C146="","",CONCATENATE("Sample ", 'Input Sheet'!B146, "m: ", N144,, L144, K144, " FLUOR in SST. ", "TG ", 'Input Sheet'!I146, "U"))</f>
        <v>Sample 2770m: 100% bright FLUOR in SST. TG 249U</v>
      </c>
      <c r="H144" s="6">
        <f>IF('Input Sheet'!C146="","",100-'Input Sheet'!C146)</f>
        <v>0</v>
      </c>
      <c r="I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verycoarse</v>
      </c>
      <c r="J144" s="6" t="str">
        <f t="shared" si="2"/>
        <v>very fine to verycoarse</v>
      </c>
      <c r="K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44" s="6" t="str">
        <f>IF('Input Sheet'!F146=0, "NO",CONCATENATE('Input Sheet'!F146, IF('Input Sheet'!F146&gt;0,"% ","")))</f>
        <v xml:space="preserve">100% </v>
      </c>
      <c r="M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4" s="6" t="str">
        <f>CONCATENATE(M144, IF('Input Sheet'!J146="",""," siderite in "))</f>
        <v/>
      </c>
      <c r="O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4" s="6" t="str">
        <f>CONCATENATE(O144, IF('Input Sheet'!K146="",""," siderite in "))</f>
        <v/>
      </c>
    </row>
    <row r="145" spans="1:16" x14ac:dyDescent="0.25">
      <c r="A145" s="17" t="str">
        <f>IF('Input Sheet'!C147="","",CONCATENATE("Sample ", 'Input Sheet'!B147, "m: ", N145, H145, "% ", "Siltstone, ", P145, 'Input Sheet'!C147, "% ", J145, " Sandstone, ", L145, K145, " FLUOR in SST. ", "TG ", 'Input Sheet'!I147, "U"))</f>
        <v>Sample 2780m: 0% Siltstone, 100% very fine to coarse Sandstone, 100% bright FLUOR in SST. TG 216U</v>
      </c>
      <c r="B145" s="3" t="str">
        <f>IF('Input Sheet'!C147="","",CONCATENATE("Sample ", 'Input Sheet'!B147, "m: ", O145, I145, "% ", "Siltstone, ", Q145, 'Input Sheet'!C147, "% ", K145, " Sandstone "))</f>
        <v xml:space="preserve">Sample 2780m: veryfine to coarse% Siltstone, 100% bright Sandstone </v>
      </c>
      <c r="C145" s="3" t="str">
        <f>IF('Input Sheet'!C147="","",CONCATENATE("Sample ", 'Input Sheet'!B147, "m: ", N145,, L145, K145, " FLUOR in SST. ", "TG ", 'Input Sheet'!I147, "U"))</f>
        <v>Sample 2780m: 100% bright FLUOR in SST. TG 216U</v>
      </c>
      <c r="H145" s="6">
        <f>IF('Input Sheet'!C147="","",100-'Input Sheet'!C147)</f>
        <v>0</v>
      </c>
      <c r="I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5" s="6" t="str">
        <f t="shared" si="2"/>
        <v>very fine to coarse</v>
      </c>
      <c r="K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45" s="6" t="str">
        <f>IF('Input Sheet'!F147=0, "NO",CONCATENATE('Input Sheet'!F147, IF('Input Sheet'!F147&gt;0,"% ","")))</f>
        <v xml:space="preserve">100% </v>
      </c>
      <c r="M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5" s="6" t="str">
        <f>CONCATENATE(M145, IF('Input Sheet'!J147="",""," siderite in "))</f>
        <v/>
      </c>
      <c r="O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5" s="6" t="str">
        <f>CONCATENATE(O145, IF('Input Sheet'!K147="",""," siderite in "))</f>
        <v/>
      </c>
    </row>
    <row r="146" spans="1:16" x14ac:dyDescent="0.25">
      <c r="A146" s="17" t="str">
        <f>IF('Input Sheet'!C148="","",CONCATENATE("Sample ", 'Input Sheet'!B148, "m: ", N146, H146, "% ", "Siltstone, ", P146, 'Input Sheet'!C148, "% ", J146, " Sandstone, ", L146, K146, " FLUOR in SST. ", "TG ", 'Input Sheet'!I148, "U"))</f>
        <v>Sample 2790m: 5% Siltstone, 95% very fine to coarse Sandstone, 100% moderately bright to bright FLUOR in SST. TG 199U</v>
      </c>
      <c r="B146" s="3" t="str">
        <f>IF('Input Sheet'!C148="","",CONCATENATE("Sample ", 'Input Sheet'!B148, "m: ", O146, I146, "% ", "Siltstone, ", Q146, 'Input Sheet'!C148, "% ", K146, " Sandstone "))</f>
        <v xml:space="preserve">Sample 2790m: veryfine to coarse% Siltstone, 95% moderately bright to bright Sandstone </v>
      </c>
      <c r="C146" s="3" t="str">
        <f>IF('Input Sheet'!C148="","",CONCATENATE("Sample ", 'Input Sheet'!B148, "m: ", N146,, L146, K146, " FLUOR in SST. ", "TG ", 'Input Sheet'!I148, "U"))</f>
        <v>Sample 2790m: 100% moderately bright to bright FLUOR in SST. TG 199U</v>
      </c>
      <c r="H146" s="6">
        <f>IF('Input Sheet'!C148="","",100-'Input Sheet'!C148)</f>
        <v>5</v>
      </c>
      <c r="I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6" s="6" t="str">
        <f t="shared" si="2"/>
        <v>very fine to coarse</v>
      </c>
      <c r="K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46" s="6" t="str">
        <f>IF('Input Sheet'!F148=0, "NO",CONCATENATE('Input Sheet'!F148, IF('Input Sheet'!F148&gt;0,"% ","")))</f>
        <v xml:space="preserve">100% </v>
      </c>
      <c r="M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6" s="6" t="str">
        <f>CONCATENATE(M146, IF('Input Sheet'!J148="",""," siderite in "))</f>
        <v/>
      </c>
      <c r="O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6" s="6" t="str">
        <f>CONCATENATE(O146, IF('Input Sheet'!K148="",""," siderite in "))</f>
        <v/>
      </c>
    </row>
    <row r="147" spans="1:16" x14ac:dyDescent="0.25">
      <c r="A147" s="17" t="str">
        <f>IF('Input Sheet'!C149="","",CONCATENATE("Sample ", 'Input Sheet'!B149, "m: ", N147, H147, "% ", "Siltstone, ", P147, 'Input Sheet'!C149, "% ", J147, " Sandstone, ", L147, K147, " FLUOR in SST. ", "TG ", 'Input Sheet'!I149, "U"))</f>
        <v>Sample 2800m: 5% Siltstone, 95% very fine to coarse Sandstone, 100% moderately bright to bright FLUOR in SST. TG 230U</v>
      </c>
      <c r="B147" s="3" t="str">
        <f>IF('Input Sheet'!C149="","",CONCATENATE("Sample ", 'Input Sheet'!B149, "m: ", O147, I147, "% ", "Siltstone, ", Q147, 'Input Sheet'!C149, "% ", K147, " Sandstone "))</f>
        <v xml:space="preserve">Sample 2800m: veryfine to coarse% Siltstone, 95% moderately bright to bright Sandstone </v>
      </c>
      <c r="C147" s="3" t="str">
        <f>IF('Input Sheet'!C149="","",CONCATENATE("Sample ", 'Input Sheet'!B149, "m: ", N147,, L147, K147, " FLUOR in SST. ", "TG ", 'Input Sheet'!I149, "U"))</f>
        <v>Sample 2800m: 100% moderately bright to bright FLUOR in SST. TG 230U</v>
      </c>
      <c r="H147" s="6">
        <f>IF('Input Sheet'!C149="","",100-'Input Sheet'!C149)</f>
        <v>5</v>
      </c>
      <c r="I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47" s="6" t="str">
        <f t="shared" si="2"/>
        <v>very fine to coarse</v>
      </c>
      <c r="K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47" s="6" t="str">
        <f>IF('Input Sheet'!F149=0, "NO",CONCATENATE('Input Sheet'!F149, IF('Input Sheet'!F149&gt;0,"% ","")))</f>
        <v xml:space="preserve">100% </v>
      </c>
      <c r="M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7" s="6" t="str">
        <f>CONCATENATE(M147, IF('Input Sheet'!J149="",""," siderite in "))</f>
        <v/>
      </c>
      <c r="O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7" s="6" t="str">
        <f>CONCATENATE(O147, IF('Input Sheet'!K149="",""," siderite in "))</f>
        <v/>
      </c>
    </row>
    <row r="148" spans="1:16" x14ac:dyDescent="0.25">
      <c r="A148" s="17" t="str">
        <f>IF('Input Sheet'!C150="","",CONCATENATE("Sample ", 'Input Sheet'!B150, "m: ", N148, H148, "% ", "Siltstone, ", P148, 'Input Sheet'!C150, "% ", J148, " Sandstone, ", L148, K148, " FLUOR in SST. ", "TG ", 'Input Sheet'!I150, "U"))</f>
        <v>Sample 2810m: 0% Siltstone, 100% coarse Sandstone, 100% moderately bright to bright FLUOR in SST. TG 192U</v>
      </c>
      <c r="B148" s="3" t="str">
        <f>IF('Input Sheet'!C150="","",CONCATENATE("Sample ", 'Input Sheet'!B150, "m: ", O148, I148, "% ", "Siltstone, ", Q148, 'Input Sheet'!C150, "% ", K148, " Sandstone "))</f>
        <v xml:space="preserve">Sample 2810m: coarse% Siltstone, 100% moderately bright to bright Sandstone </v>
      </c>
      <c r="C148" s="3" t="str">
        <f>IF('Input Sheet'!C150="","",CONCATENATE("Sample ", 'Input Sheet'!B150, "m: ", N148,, L148, K148, " FLUOR in SST. ", "TG ", 'Input Sheet'!I150, "U"))</f>
        <v>Sample 2810m: 100% moderately bright to bright FLUOR in SST. TG 192U</v>
      </c>
      <c r="H148" s="6">
        <f>IF('Input Sheet'!C150="","",100-'Input Sheet'!C150)</f>
        <v>0</v>
      </c>
      <c r="I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coarse</v>
      </c>
      <c r="J148" s="6" t="str">
        <f t="shared" si="2"/>
        <v>coarse</v>
      </c>
      <c r="K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48" s="6" t="str">
        <f>IF('Input Sheet'!F150=0, "NO",CONCATENATE('Input Sheet'!F150, IF('Input Sheet'!F150&gt;0,"% ","")))</f>
        <v xml:space="preserve">100% </v>
      </c>
      <c r="M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8" s="6" t="str">
        <f>CONCATENATE(M148, IF('Input Sheet'!J150="",""," siderite in "))</f>
        <v/>
      </c>
      <c r="O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8" s="6" t="str">
        <f>CONCATENATE(O148, IF('Input Sheet'!K150="",""," siderite in "))</f>
        <v/>
      </c>
    </row>
    <row r="149" spans="1:16" x14ac:dyDescent="0.25">
      <c r="A149" s="17" t="str">
        <f>IF('Input Sheet'!C151="","",CONCATENATE("Sample ", 'Input Sheet'!B151, "m: ", N149, H149, "% ", "Siltstone, ", P149, 'Input Sheet'!C151, "% ", J149, " Sandstone, ", L149, K149, " FLUOR in SST. ", "TG ", 'Input Sheet'!I151, "U"))</f>
        <v>Sample 2820m: 0% Siltstone, 100% coarse Sandstone, 100% bright FLUOR in SST. TG 246U</v>
      </c>
      <c r="B149" s="3" t="str">
        <f>IF('Input Sheet'!C151="","",CONCATENATE("Sample ", 'Input Sheet'!B151, "m: ", O149, I149, "% ", "Siltstone, ", Q149, 'Input Sheet'!C151, "% ", K149, " Sandstone "))</f>
        <v xml:space="preserve">Sample 2820m: coarse% Siltstone, 100% bright Sandstone </v>
      </c>
      <c r="C149" s="3" t="str">
        <f>IF('Input Sheet'!C151="","",CONCATENATE("Sample ", 'Input Sheet'!B151, "m: ", N149,, L149, K149, " FLUOR in SST. ", "TG ", 'Input Sheet'!I151, "U"))</f>
        <v>Sample 2820m: 100% bright FLUOR in SST. TG 246U</v>
      </c>
      <c r="H149" s="6">
        <f>IF('Input Sheet'!C151="","",100-'Input Sheet'!C151)</f>
        <v>0</v>
      </c>
      <c r="I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coarse</v>
      </c>
      <c r="J149" s="6" t="str">
        <f t="shared" si="2"/>
        <v>coarse</v>
      </c>
      <c r="K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49" s="6" t="str">
        <f>IF('Input Sheet'!F151=0, "NO",CONCATENATE('Input Sheet'!F151, IF('Input Sheet'!F151&gt;0,"% ","")))</f>
        <v xml:space="preserve">100% </v>
      </c>
      <c r="M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49" s="6" t="str">
        <f>CONCATENATE(M149, IF('Input Sheet'!J151="",""," siderite in "))</f>
        <v/>
      </c>
      <c r="O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49" s="6" t="str">
        <f>CONCATENATE(O149, IF('Input Sheet'!K151="",""," siderite in "))</f>
        <v/>
      </c>
    </row>
    <row r="150" spans="1:16" x14ac:dyDescent="0.25">
      <c r="A150" s="17" t="str">
        <f>IF('Input Sheet'!C152="","",CONCATENATE("Sample ", 'Input Sheet'!B152, "m: ", N150, H150, "% ", "Siltstone, ", P150, 'Input Sheet'!C152, "% ", J150, " Sandstone, ", L150, K150, " FLUOR in SST. ", "TG ", 'Input Sheet'!I152, "U"))</f>
        <v>Sample 2830m: 0% Siltstone, 100% very fine to coarse Sandstone, 100% bright FLUOR in SST. TG 199U</v>
      </c>
      <c r="B150" s="3" t="str">
        <f>IF('Input Sheet'!C152="","",CONCATENATE("Sample ", 'Input Sheet'!B152, "m: ", O150, I150, "% ", "Siltstone, ", Q150, 'Input Sheet'!C152, "% ", K150, " Sandstone "))</f>
        <v xml:space="preserve">Sample 2830m: veryfine to coarse% Siltstone, 100% bright Sandstone </v>
      </c>
      <c r="C150" s="3" t="str">
        <f>IF('Input Sheet'!C152="","",CONCATENATE("Sample ", 'Input Sheet'!B152, "m: ", N150,, L150, K150, " FLUOR in SST. ", "TG ", 'Input Sheet'!I152, "U"))</f>
        <v>Sample 2830m: 100% bright FLUOR in SST. TG 199U</v>
      </c>
      <c r="H150" s="6">
        <f>IF('Input Sheet'!C152="","",100-'Input Sheet'!C152)</f>
        <v>0</v>
      </c>
      <c r="I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50" s="6" t="str">
        <f t="shared" si="2"/>
        <v>very fine to coarse</v>
      </c>
      <c r="K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50" s="6" t="str">
        <f>IF('Input Sheet'!F152=0, "NO",CONCATENATE('Input Sheet'!F152, IF('Input Sheet'!F152&gt;0,"% ","")))</f>
        <v xml:space="preserve">100% </v>
      </c>
      <c r="M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0" s="6" t="str">
        <f>CONCATENATE(M150, IF('Input Sheet'!J152="",""," siderite in "))</f>
        <v/>
      </c>
      <c r="O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0" s="6" t="str">
        <f>CONCATENATE(O150, IF('Input Sheet'!K152="",""," siderite in "))</f>
        <v/>
      </c>
    </row>
    <row r="151" spans="1:16" x14ac:dyDescent="0.25">
      <c r="A151" s="17" t="str">
        <f>IF('Input Sheet'!C153="","",CONCATENATE("Sample ", 'Input Sheet'!B153, "m: ", N151, H151, "% ", "Siltstone, ", P151, 'Input Sheet'!C153, "% ", J151, " Sandstone, ", L151, K151, " FLUOR in SST. ", "TG ", 'Input Sheet'!I153, "U"))</f>
        <v>Sample 2840m: 0% Siltstone, 100% very fine to coarse Sandstone, 100% bright FLUOR in SST. TG 260U</v>
      </c>
      <c r="B151" s="3" t="str">
        <f>IF('Input Sheet'!C153="","",CONCATENATE("Sample ", 'Input Sheet'!B153, "m: ", O151, I151, "% ", "Siltstone, ", Q151, 'Input Sheet'!C153, "% ", K151, " Sandstone "))</f>
        <v xml:space="preserve">Sample 2840m: veryfine to coarse% Siltstone, 100% bright Sandstone </v>
      </c>
      <c r="C151" s="3" t="str">
        <f>IF('Input Sheet'!C153="","",CONCATENATE("Sample ", 'Input Sheet'!B153, "m: ", N151,, L151, K151, " FLUOR in SST. ", "TG ", 'Input Sheet'!I153, "U"))</f>
        <v>Sample 2840m: 100% bright FLUOR in SST. TG 260U</v>
      </c>
      <c r="H151" s="6">
        <f>IF('Input Sheet'!C153="","",100-'Input Sheet'!C153)</f>
        <v>0</v>
      </c>
      <c r="I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51" s="6" t="str">
        <f t="shared" si="2"/>
        <v>very fine to coarse</v>
      </c>
      <c r="K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51" s="6" t="str">
        <f>IF('Input Sheet'!F153=0, "NO",CONCATENATE('Input Sheet'!F153, IF('Input Sheet'!F153&gt;0,"% ","")))</f>
        <v xml:space="preserve">100% </v>
      </c>
      <c r="M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1" s="6" t="str">
        <f>CONCATENATE(M151, IF('Input Sheet'!J153="",""," siderite in "))</f>
        <v/>
      </c>
      <c r="O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1" s="6" t="str">
        <f>CONCATENATE(O151, IF('Input Sheet'!K153="",""," siderite in "))</f>
        <v/>
      </c>
    </row>
    <row r="152" spans="1:16" x14ac:dyDescent="0.25">
      <c r="A152" s="17" t="str">
        <f>IF('Input Sheet'!C154="","",CONCATENATE("Sample ", 'Input Sheet'!B154, "m: ", N152, H152, "% ", "Siltstone, ", P152, 'Input Sheet'!C154, "% ", J152, " Sandstone, ", L152, K152, " FLUOR in SST. ", "TG ", 'Input Sheet'!I154, "U"))</f>
        <v>Sample 2850m: 0% Siltstone, 100% very fine to coarse Sandstone, 100% moderately bright to bright FLUOR in SST. TG 127U</v>
      </c>
      <c r="B152" s="3" t="str">
        <f>IF('Input Sheet'!C154="","",CONCATENATE("Sample ", 'Input Sheet'!B154, "m: ", O152, I152, "% ", "Siltstone, ", Q152, 'Input Sheet'!C154, "% ", K152, " Sandstone "))</f>
        <v xml:space="preserve">Sample 2850m: veryfine to coarse% Siltstone, 100% moderately bright to bright Sandstone </v>
      </c>
      <c r="C152" s="3" t="str">
        <f>IF('Input Sheet'!C154="","",CONCATENATE("Sample ", 'Input Sheet'!B154, "m: ", N152,, L152, K152, " FLUOR in SST. ", "TG ", 'Input Sheet'!I154, "U"))</f>
        <v>Sample 2850m: 100% moderately bright to bright FLUOR in SST. TG 127U</v>
      </c>
      <c r="H152" s="6">
        <f>IF('Input Sheet'!C154="","",100-'Input Sheet'!C154)</f>
        <v>0</v>
      </c>
      <c r="I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52" s="6" t="str">
        <f t="shared" si="2"/>
        <v>very fine to coarse</v>
      </c>
      <c r="K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52" s="6" t="str">
        <f>IF('Input Sheet'!F154=0, "NO",CONCATENATE('Input Sheet'!F154, IF('Input Sheet'!F154&gt;0,"% ","")))</f>
        <v xml:space="preserve">100% </v>
      </c>
      <c r="M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52" s="6" t="str">
        <f>CONCATENATE(M152, IF('Input Sheet'!J154="",""," siderite in "))</f>
        <v/>
      </c>
      <c r="O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52" s="6" t="str">
        <f>CONCATENATE(O152, IF('Input Sheet'!K154="",""," siderite in "))</f>
        <v/>
      </c>
    </row>
    <row r="153" spans="1:16" x14ac:dyDescent="0.25">
      <c r="A153" s="17" t="str">
        <f>IF('Input Sheet'!C155="","",CONCATENATE("Sample ", 'Input Sheet'!B155, "m: ", N153, H153, "% ", "Siltstone, ", P153, 'Input Sheet'!C155, "% ", J153, " Sandstone, ", L153, K153, " FLUOR in SST. ", "TG ", 'Input Sheet'!I155, "U"))</f>
        <v>Sample 2860m: common siderite in 60% Siltstone, trace siderite in 40% very fine to fine Sandstone, 90% dull to moderately bright FLUOR in SST. TG 140U</v>
      </c>
      <c r="B153" s="3" t="str">
        <f>IF('Input Sheet'!C155="","",CONCATENATE("Sample ", 'Input Sheet'!B155, "m: ", O153, I153, "% ", "Siltstone, ", Q153, 'Input Sheet'!C155, "% ", K153, " Sandstone "))</f>
        <v xml:space="preserve">Sample 2860m: traceveryfine to fine% Siltstone, 40% dull to moderately bright Sandstone </v>
      </c>
      <c r="C153" s="3" t="str">
        <f>IF('Input Sheet'!C155="","",CONCATENATE("Sample ", 'Input Sheet'!B155, "m: ", N153,, L153, K153, " FLUOR in SST. ", "TG ", 'Input Sheet'!I155, "U"))</f>
        <v>Sample 2860m: common siderite in 90% dull to moderately bright FLUOR in SST. TG 140U</v>
      </c>
      <c r="H153" s="6">
        <f>IF('Input Sheet'!C155="","",100-'Input Sheet'!C155)</f>
        <v>60</v>
      </c>
      <c r="I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3" s="6" t="str">
        <f t="shared" si="2"/>
        <v>very fine to fine</v>
      </c>
      <c r="K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53" s="6" t="str">
        <f>IF('Input Sheet'!F155=0, "NO",CONCATENATE('Input Sheet'!F155, IF('Input Sheet'!F155&gt;0,"% ","")))</f>
        <v xml:space="preserve">90% </v>
      </c>
      <c r="M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53" s="6" t="str">
        <f>CONCATENATE(M153, IF('Input Sheet'!J155="",""," siderite in "))</f>
        <v xml:space="preserve">common siderite in </v>
      </c>
      <c r="O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53" s="6" t="str">
        <f>CONCATENATE(O153, IF('Input Sheet'!K155="",""," siderite in "))</f>
        <v xml:space="preserve">trace siderite in </v>
      </c>
    </row>
    <row r="154" spans="1:16" x14ac:dyDescent="0.25">
      <c r="A154" s="17" t="str">
        <f>IF('Input Sheet'!C156="","",CONCATENATE("Sample ", 'Input Sheet'!B156, "m: ", N154, H154, "% ", "Siltstone, ", P154, 'Input Sheet'!C156, "% ", J154, " Sandstone, ", L154, K154, " FLUOR in SST. ", "TG ", 'Input Sheet'!I156, "U"))</f>
        <v>Sample 2870m: common siderite in 70% Siltstone, trace siderite in 30% very fine to fine Sandstone, 90% dull FLUOR in SST. TG 134U</v>
      </c>
      <c r="B154" s="3" t="str">
        <f>IF('Input Sheet'!C156="","",CONCATENATE("Sample ", 'Input Sheet'!B156, "m: ", O154, I154, "% ", "Siltstone, ", Q154, 'Input Sheet'!C156, "% ", K154, " Sandstone "))</f>
        <v xml:space="preserve">Sample 2870m: traceveryfine to fine% Siltstone, 30% dull Sandstone </v>
      </c>
      <c r="C154" s="3" t="str">
        <f>IF('Input Sheet'!C156="","",CONCATENATE("Sample ", 'Input Sheet'!B156, "m: ", N154,, L154, K154, " FLUOR in SST. ", "TG ", 'Input Sheet'!I156, "U"))</f>
        <v>Sample 2870m: common siderite in 90% dull FLUOR in SST. TG 134U</v>
      </c>
      <c r="H154" s="6">
        <f>IF('Input Sheet'!C156="","",100-'Input Sheet'!C156)</f>
        <v>70</v>
      </c>
      <c r="I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4" s="6" t="str">
        <f t="shared" si="2"/>
        <v>very fine to fine</v>
      </c>
      <c r="K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54" s="6" t="str">
        <f>IF('Input Sheet'!F156=0, "NO",CONCATENATE('Input Sheet'!F156, IF('Input Sheet'!F156&gt;0,"% ","")))</f>
        <v xml:space="preserve">90% </v>
      </c>
      <c r="M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54" s="6" t="str">
        <f>CONCATENATE(M154, IF('Input Sheet'!J156="",""," siderite in "))</f>
        <v xml:space="preserve">common siderite in </v>
      </c>
      <c r="O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54" s="6" t="str">
        <f>CONCATENATE(O154, IF('Input Sheet'!K156="",""," siderite in "))</f>
        <v xml:space="preserve">trace siderite in </v>
      </c>
    </row>
    <row r="155" spans="1:16" x14ac:dyDescent="0.25">
      <c r="A155" s="17" t="str">
        <f>IF('Input Sheet'!C157="","",CONCATENATE("Sample ", 'Input Sheet'!B157, "m: ", N155, H155, "% ", "Siltstone, ", P155, 'Input Sheet'!C157, "% ", J155, " Sandstone, ", L155, K155, " FLUOR in SST. ", "TG ", 'Input Sheet'!I157, "U"))</f>
        <v>Sample 2880m: common siderite in 60% Siltstone, trace siderite in 40% very fine to fine Sandstone, 90% dull FLUOR in SST. TG 130U</v>
      </c>
      <c r="B155" s="3" t="str">
        <f>IF('Input Sheet'!C157="","",CONCATENATE("Sample ", 'Input Sheet'!B157, "m: ", O155, I155, "% ", "Siltstone, ", Q155, 'Input Sheet'!C157, "% ", K155, " Sandstone "))</f>
        <v xml:space="preserve">Sample 2880m: traceveryfine to fine% Siltstone, 40% dull Sandstone </v>
      </c>
      <c r="C155" s="3" t="str">
        <f>IF('Input Sheet'!C157="","",CONCATENATE("Sample ", 'Input Sheet'!B157, "m: ", N155,, L155, K155, " FLUOR in SST. ", "TG ", 'Input Sheet'!I157, "U"))</f>
        <v>Sample 2880m: common siderite in 90% dull FLUOR in SST. TG 130U</v>
      </c>
      <c r="H155" s="6">
        <f>IF('Input Sheet'!C157="","",100-'Input Sheet'!C157)</f>
        <v>60</v>
      </c>
      <c r="I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5" s="6" t="str">
        <f t="shared" si="2"/>
        <v>very fine to fine</v>
      </c>
      <c r="K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</v>
      </c>
      <c r="L155" s="6" t="str">
        <f>IF('Input Sheet'!F157=0, "NO",CONCATENATE('Input Sheet'!F157, IF('Input Sheet'!F157&gt;0,"% ","")))</f>
        <v xml:space="preserve">90% </v>
      </c>
      <c r="M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55" s="6" t="str">
        <f>CONCATENATE(M155, IF('Input Sheet'!J157="",""," siderite in "))</f>
        <v xml:space="preserve">common siderite in </v>
      </c>
      <c r="O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55" s="6" t="str">
        <f>CONCATENATE(O155, IF('Input Sheet'!K157="",""," siderite in "))</f>
        <v xml:space="preserve">trace siderite in </v>
      </c>
    </row>
    <row r="156" spans="1:16" x14ac:dyDescent="0.25">
      <c r="A156" s="17" t="str">
        <f>IF('Input Sheet'!C158="","",CONCATENATE("Sample ", 'Input Sheet'!B158, "m: ", N156, H156, "% ", "Siltstone, ", P156, 'Input Sheet'!C158, "% ", J156, " Sandstone, ", L156, K156, " FLUOR in SST. ", "TG ", 'Input Sheet'!I158, "U"))</f>
        <v>Sample 2890m: common siderite in 50% Siltstone, trace siderite in 50% very fine to fine Sandstone, 90% dull to moderately bright FLUOR in SST. TG 121U</v>
      </c>
      <c r="B156" s="3" t="str">
        <f>IF('Input Sheet'!C158="","",CONCATENATE("Sample ", 'Input Sheet'!B158, "m: ", O156, I156, "% ", "Siltstone, ", Q156, 'Input Sheet'!C158, "% ", K156, " Sandstone "))</f>
        <v xml:space="preserve">Sample 2890m: traceveryfine to fine% Siltstone, 50% dull to moderately bright Sandstone </v>
      </c>
      <c r="C156" s="3" t="str">
        <f>IF('Input Sheet'!C158="","",CONCATENATE("Sample ", 'Input Sheet'!B158, "m: ", N156,, L156, K156, " FLUOR in SST. ", "TG ", 'Input Sheet'!I158, "U"))</f>
        <v>Sample 2890m: common siderite in 90% dull to moderately bright FLUOR in SST. TG 121U</v>
      </c>
      <c r="H156" s="6">
        <f>IF('Input Sheet'!C158="","",100-'Input Sheet'!C158)</f>
        <v>50</v>
      </c>
      <c r="I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6" s="6" t="str">
        <f t="shared" si="2"/>
        <v>very fine to fine</v>
      </c>
      <c r="K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56" s="6" t="str">
        <f>IF('Input Sheet'!F158=0, "NO",CONCATENATE('Input Sheet'!F158, IF('Input Sheet'!F158&gt;0,"% ","")))</f>
        <v xml:space="preserve">90% </v>
      </c>
      <c r="M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56" s="6" t="str">
        <f>CONCATENATE(M156, IF('Input Sheet'!J158="",""," siderite in "))</f>
        <v xml:space="preserve">common siderite in </v>
      </c>
      <c r="O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56" s="6" t="str">
        <f>CONCATENATE(O156, IF('Input Sheet'!K158="",""," siderite in "))</f>
        <v xml:space="preserve">trace siderite in </v>
      </c>
    </row>
    <row r="157" spans="1:16" x14ac:dyDescent="0.25">
      <c r="A157" s="17" t="str">
        <f>IF('Input Sheet'!C159="","",CONCATENATE("Sample ", 'Input Sheet'!B159, "m: ", N157, H157, "% ", "Siltstone, ", P157, 'Input Sheet'!C159, "% ", J157, " Sandstone, ", L157, K157, " FLUOR in SST. ", "TG ", 'Input Sheet'!I159, "U"))</f>
        <v>Sample 2900m: rare siderite in 45% Siltstone, rare siderite in 55% very fine to fine Sandstone, 90% dull to moderately bright FLUOR in SST. TG 118U</v>
      </c>
      <c r="B157" s="3" t="str">
        <f>IF('Input Sheet'!C159="","",CONCATENATE("Sample ", 'Input Sheet'!B159, "m: ", O157, I157, "% ", "Siltstone, ", Q157, 'Input Sheet'!C159, "% ", K157, " Sandstone "))</f>
        <v xml:space="preserve">Sample 2900m: rareveryfine to fine% Siltstone, 55% dull to moderately bright Sandstone </v>
      </c>
      <c r="C157" s="3" t="str">
        <f>IF('Input Sheet'!C159="","",CONCATENATE("Sample ", 'Input Sheet'!B159, "m: ", N157,, L157, K157, " FLUOR in SST. ", "TG ", 'Input Sheet'!I159, "U"))</f>
        <v>Sample 2900m: rare siderite in 90% dull to moderately bright FLUOR in SST. TG 118U</v>
      </c>
      <c r="H157" s="6">
        <f>IF('Input Sheet'!C159="","",100-'Input Sheet'!C159)</f>
        <v>45</v>
      </c>
      <c r="I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7" s="6" t="str">
        <f t="shared" si="2"/>
        <v>very fine to fine</v>
      </c>
      <c r="K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57" s="6" t="str">
        <f>IF('Input Sheet'!F159=0, "NO",CONCATENATE('Input Sheet'!F159, IF('Input Sheet'!F159&gt;0,"% ","")))</f>
        <v xml:space="preserve">90% </v>
      </c>
      <c r="M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N157" s="6" t="str">
        <f>CONCATENATE(M157, IF('Input Sheet'!J159="",""," siderite in "))</f>
        <v xml:space="preserve">rare siderite in </v>
      </c>
      <c r="O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57" s="6" t="str">
        <f>CONCATENATE(O157, IF('Input Sheet'!K159="",""," siderite in "))</f>
        <v xml:space="preserve">rare siderite in </v>
      </c>
    </row>
    <row r="158" spans="1:16" x14ac:dyDescent="0.25">
      <c r="A158" s="17" t="str">
        <f>IF('Input Sheet'!C160="","",CONCATENATE("Sample ", 'Input Sheet'!B160, "m: ", N158, H158, "% ", "Siltstone, ", P158, 'Input Sheet'!C160, "% ", J158, " Sandstone, ", L158, K158, " FLUOR in SST. ", "TG ", 'Input Sheet'!I160, "U"))</f>
        <v>Sample 2910m: trace siderite in 35% Siltstone, rare siderite in 65% very fine to fine Sandstone, 90% dull to moderately bright FLUOR in SST. TG 128U</v>
      </c>
      <c r="B158" s="3" t="str">
        <f>IF('Input Sheet'!C160="","",CONCATENATE("Sample ", 'Input Sheet'!B160, "m: ", O158, I158, "% ", "Siltstone, ", Q158, 'Input Sheet'!C160, "% ", K158, " Sandstone "))</f>
        <v xml:space="preserve">Sample 2910m: rareveryfine to fine% Siltstone, 65% dull to moderately bright Sandstone </v>
      </c>
      <c r="C158" s="3" t="str">
        <f>IF('Input Sheet'!C160="","",CONCATENATE("Sample ", 'Input Sheet'!B160, "m: ", N158,, L158, K158, " FLUOR in SST. ", "TG ", 'Input Sheet'!I160, "U"))</f>
        <v>Sample 2910m: trace siderite in 90% dull to moderately bright FLUOR in SST. TG 128U</v>
      </c>
      <c r="H158" s="6">
        <f>IF('Input Sheet'!C160="","",100-'Input Sheet'!C160)</f>
        <v>35</v>
      </c>
      <c r="I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8" s="6" t="str">
        <f t="shared" si="2"/>
        <v>very fine to fine</v>
      </c>
      <c r="K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58" s="6" t="str">
        <f>IF('Input Sheet'!F160=0, "NO",CONCATENATE('Input Sheet'!F160, IF('Input Sheet'!F160&gt;0,"% ","")))</f>
        <v xml:space="preserve">90% </v>
      </c>
      <c r="M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58" s="6" t="str">
        <f>CONCATENATE(M158, IF('Input Sheet'!J160="",""," siderite in "))</f>
        <v xml:space="preserve">trace siderite in </v>
      </c>
      <c r="O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58" s="6" t="str">
        <f>CONCATENATE(O158, IF('Input Sheet'!K160="",""," siderite in "))</f>
        <v xml:space="preserve">rare siderite in </v>
      </c>
    </row>
    <row r="159" spans="1:16" x14ac:dyDescent="0.25">
      <c r="A159" s="17" t="str">
        <f>IF('Input Sheet'!C161="","",CONCATENATE("Sample ", 'Input Sheet'!B161, "m: ", N159, H159, "% ", "Siltstone, ", P159, 'Input Sheet'!C161, "% ", J159, " Sandstone, ", L159, K159, " FLUOR in SST. ", "TG ", 'Input Sheet'!I161, "U"))</f>
        <v>Sample 2920m: trace siderite in 30% Siltstone, rare siderite in 70% very fine to fine Sandstone, 90% dull to moderately bright FLUOR in SST. TG 113U</v>
      </c>
      <c r="B159" s="3" t="str">
        <f>IF('Input Sheet'!C161="","",CONCATENATE("Sample ", 'Input Sheet'!B161, "m: ", O159, I159, "% ", "Siltstone, ", Q159, 'Input Sheet'!C161, "% ", K159, " Sandstone "))</f>
        <v xml:space="preserve">Sample 2920m: rareveryfine to fine% Siltstone, 70% dull to moderately bright Sandstone </v>
      </c>
      <c r="C159" s="3" t="str">
        <f>IF('Input Sheet'!C161="","",CONCATENATE("Sample ", 'Input Sheet'!B161, "m: ", N159,, L159, K159, " FLUOR in SST. ", "TG ", 'Input Sheet'!I161, "U"))</f>
        <v>Sample 2920m: trace siderite in 90% dull to moderately bright FLUOR in SST. TG 113U</v>
      </c>
      <c r="H159" s="6">
        <f>IF('Input Sheet'!C161="","",100-'Input Sheet'!C161)</f>
        <v>30</v>
      </c>
      <c r="I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59" s="6" t="str">
        <f t="shared" si="2"/>
        <v>very fine to fine</v>
      </c>
      <c r="K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59" s="6" t="str">
        <f>IF('Input Sheet'!F161=0, "NO",CONCATENATE('Input Sheet'!F161, IF('Input Sheet'!F161&gt;0,"% ","")))</f>
        <v xml:space="preserve">90% </v>
      </c>
      <c r="M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59" s="6" t="str">
        <f>CONCATENATE(M159, IF('Input Sheet'!J161="",""," siderite in "))</f>
        <v xml:space="preserve">trace siderite in </v>
      </c>
      <c r="O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59" s="6" t="str">
        <f>CONCATENATE(O159, IF('Input Sheet'!K161="",""," siderite in "))</f>
        <v xml:space="preserve">rare siderite in </v>
      </c>
    </row>
    <row r="160" spans="1:16" x14ac:dyDescent="0.25">
      <c r="A160" s="17" t="str">
        <f>IF('Input Sheet'!C162="","",CONCATENATE("Sample ", 'Input Sheet'!B162, "m: ", N160, H160, "% ", "Siltstone, ", P160, 'Input Sheet'!C162, "% ", J160, " Sandstone, ", L160, K160, " FLUOR in SST. ", "TG ", 'Input Sheet'!I162, "U"))</f>
        <v>Sample 2930m: common siderite in 60% Siltstone, trace siderite in 40% very fine to fine Sandstone, 70% dull to moderately bright FLUOR in SST. TG 95U</v>
      </c>
      <c r="B160" s="3" t="str">
        <f>IF('Input Sheet'!C162="","",CONCATENATE("Sample ", 'Input Sheet'!B162, "m: ", O160, I160, "% ", "Siltstone, ", Q160, 'Input Sheet'!C162, "% ", K160, " Sandstone "))</f>
        <v xml:space="preserve">Sample 2930m: traceveryfine to fine% Siltstone, 40% dull to moderately bright Sandstone </v>
      </c>
      <c r="C160" s="3" t="str">
        <f>IF('Input Sheet'!C162="","",CONCATENATE("Sample ", 'Input Sheet'!B162, "m: ", N160,, L160, K160, " FLUOR in SST. ", "TG ", 'Input Sheet'!I162, "U"))</f>
        <v>Sample 2930m: common siderite in 70% dull to moderately bright FLUOR in SST. TG 95U</v>
      </c>
      <c r="H160" s="6">
        <f>IF('Input Sheet'!C162="","",100-'Input Sheet'!C162)</f>
        <v>60</v>
      </c>
      <c r="I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60" s="6" t="str">
        <f t="shared" si="2"/>
        <v>very fine to fine</v>
      </c>
      <c r="K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60" s="6" t="str">
        <f>IF('Input Sheet'!F162=0, "NO",CONCATENATE('Input Sheet'!F162, IF('Input Sheet'!F162&gt;0,"% ","")))</f>
        <v xml:space="preserve">70% </v>
      </c>
      <c r="M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60" s="6" t="str">
        <f>CONCATENATE(M160, IF('Input Sheet'!J162="",""," siderite in "))</f>
        <v xml:space="preserve">common siderite in </v>
      </c>
      <c r="O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60" s="6" t="str">
        <f>CONCATENATE(O160, IF('Input Sheet'!K162="",""," siderite in "))</f>
        <v xml:space="preserve">trace siderite in </v>
      </c>
    </row>
    <row r="161" spans="1:16" x14ac:dyDescent="0.25">
      <c r="A161" s="17" t="str">
        <f>IF('Input Sheet'!C163="","",CONCATENATE("Sample ", 'Input Sheet'!B163, "m: ", N161, H161, "% ", "Siltstone, ", P161, 'Input Sheet'!C163, "% ", J161, " Sandstone, ", L161, K161, " FLUOR in SST. ", "TG ", 'Input Sheet'!I163, "U"))</f>
        <v>Sample 2940m: common siderite in 80% Siltstone, trace siderite in 20% very fine to fine Sandstone, 50% dull to moderately bright FLUOR in SST. TG 199U</v>
      </c>
      <c r="B161" s="3" t="str">
        <f>IF('Input Sheet'!C163="","",CONCATENATE("Sample ", 'Input Sheet'!B163, "m: ", O161, I161, "% ", "Siltstone, ", Q161, 'Input Sheet'!C163, "% ", K161, " Sandstone "))</f>
        <v xml:space="preserve">Sample 2940m: traceveryfine to fine% Siltstone, 20% dull to moderately bright Sandstone </v>
      </c>
      <c r="C161" s="3" t="str">
        <f>IF('Input Sheet'!C163="","",CONCATENATE("Sample ", 'Input Sheet'!B163, "m: ", N161,, L161, K161, " FLUOR in SST. ", "TG ", 'Input Sheet'!I163, "U"))</f>
        <v>Sample 2940m: common siderite in 50% dull to moderately bright FLUOR in SST. TG 199U</v>
      </c>
      <c r="H161" s="6">
        <f>IF('Input Sheet'!C163="","",100-'Input Sheet'!C163)</f>
        <v>80</v>
      </c>
      <c r="I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61" s="6" t="str">
        <f t="shared" si="2"/>
        <v>very fine to fine</v>
      </c>
      <c r="K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dull to moderately bright</v>
      </c>
      <c r="L161" s="6" t="str">
        <f>IF('Input Sheet'!F163=0, "NO",CONCATENATE('Input Sheet'!F163, IF('Input Sheet'!F163&gt;0,"% ","")))</f>
        <v xml:space="preserve">50% </v>
      </c>
      <c r="M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common</v>
      </c>
      <c r="N161" s="6" t="str">
        <f>CONCATENATE(M161, IF('Input Sheet'!J163="",""," siderite in "))</f>
        <v xml:space="preserve">common siderite in </v>
      </c>
      <c r="O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P161" s="6" t="str">
        <f>CONCATENATE(O161, IF('Input Sheet'!K163="",""," siderite in "))</f>
        <v xml:space="preserve">trace siderite in </v>
      </c>
    </row>
    <row r="162" spans="1:16" x14ac:dyDescent="0.25">
      <c r="A162" s="17" t="str">
        <f>IF('Input Sheet'!C164="","",CONCATENATE("Sample ", 'Input Sheet'!B164, "m: ", N162, H162, "% ", "Siltstone, ", P162, 'Input Sheet'!C164, "% ", J162, " Sandstone, ", L162, K162, " FLUOR in SST. ", "TG ", 'Input Sheet'!I164, "U"))</f>
        <v>Sample 2950m: trace siderite in 30% Siltstone, rare siderite in 70% very fine to fine Sandstone, 100% moderately bright to bright FLUOR in SST. TG 209U</v>
      </c>
      <c r="B162" s="3" t="str">
        <f>IF('Input Sheet'!C164="","",CONCATENATE("Sample ", 'Input Sheet'!B164, "m: ", O162, I162, "% ", "Siltstone, ", Q162, 'Input Sheet'!C164, "% ", K162, " Sandstone "))</f>
        <v xml:space="preserve">Sample 2950m: rareveryfine to fine% Siltstone, 70% moderately bright to bright Sandstone </v>
      </c>
      <c r="C162" s="3" t="str">
        <f>IF('Input Sheet'!C164="","",CONCATENATE("Sample ", 'Input Sheet'!B164, "m: ", N162,, L162, K162, " FLUOR in SST. ", "TG ", 'Input Sheet'!I164, "U"))</f>
        <v>Sample 2950m: trace siderite in 100% moderately bright to bright FLUOR in SST. TG 209U</v>
      </c>
      <c r="H162" s="6">
        <f>IF('Input Sheet'!C164="","",100-'Input Sheet'!C164)</f>
        <v>30</v>
      </c>
      <c r="I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</v>
      </c>
      <c r="J162" s="6" t="str">
        <f t="shared" si="2"/>
        <v>very fine to fine</v>
      </c>
      <c r="K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2" s="6" t="str">
        <f>IF('Input Sheet'!F164=0, "NO",CONCATENATE('Input Sheet'!F164, IF('Input Sheet'!F164&gt;0,"% ","")))</f>
        <v xml:space="preserve">100% </v>
      </c>
      <c r="M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trace</v>
      </c>
      <c r="N162" s="6" t="str">
        <f>CONCATENATE(M162, IF('Input Sheet'!J164="",""," siderite in "))</f>
        <v xml:space="preserve">trace siderite in </v>
      </c>
      <c r="O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62" s="6" t="str">
        <f>CONCATENATE(O162, IF('Input Sheet'!K164="",""," siderite in "))</f>
        <v xml:space="preserve">rare siderite in </v>
      </c>
    </row>
    <row r="163" spans="1:16" x14ac:dyDescent="0.25">
      <c r="A163" s="17" t="str">
        <f>IF('Input Sheet'!C165="","",CONCATENATE("Sample ", 'Input Sheet'!B165, "m: ", N163, H163, "% ", "Siltstone, ", P163, 'Input Sheet'!C165, "% ", J163, " Sandstone, ", L163, K163, " FLUOR in SST. ", "TG ", 'Input Sheet'!I165, "U"))</f>
        <v>Sample 2960m: 10% Siltstone, 90% very fine to coarse Sandstone, 100% moderately bright to bright FLUOR in SST. TG 168U</v>
      </c>
      <c r="B163" s="3" t="str">
        <f>IF('Input Sheet'!C165="","",CONCATENATE("Sample ", 'Input Sheet'!B165, "m: ", O163, I163, "% ", "Siltstone, ", Q163, 'Input Sheet'!C165, "% ", K163, " Sandstone "))</f>
        <v xml:space="preserve">Sample 2960m: veryfine to coarse% Siltstone, 90% moderately bright to bright Sandstone </v>
      </c>
      <c r="C163" s="3" t="str">
        <f>IF('Input Sheet'!C165="","",CONCATENATE("Sample ", 'Input Sheet'!B165, "m: ", N163,, L163, K163, " FLUOR in SST. ", "TG ", 'Input Sheet'!I165, "U"))</f>
        <v>Sample 2960m: 100% moderately bright to bright FLUOR in SST. TG 168U</v>
      </c>
      <c r="H163" s="6">
        <f>IF('Input Sheet'!C165="","",100-'Input Sheet'!C165)</f>
        <v>10</v>
      </c>
      <c r="I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63" s="6" t="str">
        <f t="shared" si="2"/>
        <v>very fine to coarse</v>
      </c>
      <c r="K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3" s="6" t="str">
        <f>IF('Input Sheet'!F165=0, "NO",CONCATENATE('Input Sheet'!F165, IF('Input Sheet'!F165&gt;0,"% ","")))</f>
        <v xml:space="preserve">100% </v>
      </c>
      <c r="M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3" s="6" t="str">
        <f>CONCATENATE(M163, IF('Input Sheet'!J165="",""," siderite in "))</f>
        <v/>
      </c>
      <c r="O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3" s="6" t="str">
        <f>CONCATENATE(O163, IF('Input Sheet'!K165="",""," siderite in "))</f>
        <v/>
      </c>
    </row>
    <row r="164" spans="1:16" x14ac:dyDescent="0.25">
      <c r="A164" s="17" t="str">
        <f>IF('Input Sheet'!C166="","",CONCATENATE("Sample ", 'Input Sheet'!B166, "m: ", N164, H164, "% ", "Siltstone, ", P164, 'Input Sheet'!C166, "% ", J164, " Sandstone, ", L164, K164, " FLUOR in SST. ", "TG ", 'Input Sheet'!I166, "U"))</f>
        <v>Sample 2970m: 5% Siltstone, 95% very fine to coarse Sandstone, 100% moderately bright to bright FLUOR in SST. TG 166U</v>
      </c>
      <c r="B164" s="3" t="str">
        <f>IF('Input Sheet'!C166="","",CONCATENATE("Sample ", 'Input Sheet'!B166, "m: ", O164, I164, "% ", "Siltstone, ", Q164, 'Input Sheet'!C166, "% ", K164, " Sandstone "))</f>
        <v xml:space="preserve">Sample 2970m: veryfine to coarse% Siltstone, 95% moderately bright to bright Sandstone </v>
      </c>
      <c r="C164" s="3" t="str">
        <f>IF('Input Sheet'!C166="","",CONCATENATE("Sample ", 'Input Sheet'!B166, "m: ", N164,, L164, K164, " FLUOR in SST. ", "TG ", 'Input Sheet'!I166, "U"))</f>
        <v>Sample 2970m: 100% moderately bright to bright FLUOR in SST. TG 166U</v>
      </c>
      <c r="H164" s="6">
        <f>IF('Input Sheet'!C166="","",100-'Input Sheet'!C166)</f>
        <v>5</v>
      </c>
      <c r="I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64" s="6" t="str">
        <f t="shared" si="2"/>
        <v>very fine to coarse</v>
      </c>
      <c r="K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4" s="6" t="str">
        <f>IF('Input Sheet'!F166=0, "NO",CONCATENATE('Input Sheet'!F166, IF('Input Sheet'!F166&gt;0,"% ","")))</f>
        <v xml:space="preserve">100% </v>
      </c>
      <c r="M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4" s="6" t="str">
        <f>CONCATENATE(M164, IF('Input Sheet'!J166="",""," siderite in "))</f>
        <v/>
      </c>
      <c r="O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4" s="6" t="str">
        <f>CONCATENATE(O164, IF('Input Sheet'!K166="",""," siderite in "))</f>
        <v/>
      </c>
    </row>
    <row r="165" spans="1:16" x14ac:dyDescent="0.25">
      <c r="A165" s="17" t="str">
        <f>IF('Input Sheet'!C167="","",CONCATENATE("Sample ", 'Input Sheet'!B167, "m: ", N165, H165, "% ", "Siltstone, ", P165, 'Input Sheet'!C167, "% ", J165, " Sandstone, ", L165, K165, " FLUOR in SST. ", "TG ", 'Input Sheet'!I167, "U"))</f>
        <v>Sample 2980m: 0% Siltstone, 100% very fine to coarse Sandstone, 100% bright FLUOR in SST. TG 220U</v>
      </c>
      <c r="B165" s="3" t="str">
        <f>IF('Input Sheet'!C167="","",CONCATENATE("Sample ", 'Input Sheet'!B167, "m: ", O165, I165, "% ", "Siltstone, ", Q165, 'Input Sheet'!C167, "% ", K165, " Sandstone "))</f>
        <v xml:space="preserve">Sample 2980m: veryfine to coarse% Siltstone, 100% bright Sandstone </v>
      </c>
      <c r="C165" s="3" t="str">
        <f>IF('Input Sheet'!C167="","",CONCATENATE("Sample ", 'Input Sheet'!B167, "m: ", N165,, L165, K165, " FLUOR in SST. ", "TG ", 'Input Sheet'!I167, "U"))</f>
        <v>Sample 2980m: 100% bright FLUOR in SST. TG 220U</v>
      </c>
      <c r="H165" s="6">
        <f>IF('Input Sheet'!C167="","",100-'Input Sheet'!C167)</f>
        <v>0</v>
      </c>
      <c r="I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65" s="6" t="str">
        <f t="shared" si="2"/>
        <v>very fine to coarse</v>
      </c>
      <c r="K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bright</v>
      </c>
      <c r="L165" s="6" t="str">
        <f>IF('Input Sheet'!F167=0, "NO",CONCATENATE('Input Sheet'!F167, IF('Input Sheet'!F167&gt;0,"% ","")))</f>
        <v xml:space="preserve">100% </v>
      </c>
      <c r="M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5" s="6" t="str">
        <f>CONCATENATE(M165, IF('Input Sheet'!J167="",""," siderite in "))</f>
        <v/>
      </c>
      <c r="O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5" s="6" t="str">
        <f>CONCATENATE(O165, IF('Input Sheet'!K167="",""," siderite in "))</f>
        <v/>
      </c>
    </row>
    <row r="166" spans="1:16" x14ac:dyDescent="0.25">
      <c r="A166" s="17" t="str">
        <f>IF('Input Sheet'!C168="","",CONCATENATE("Sample ", 'Input Sheet'!B168, "m: ", N166, H166, "% ", "Siltstone, ", P166, 'Input Sheet'!C168, "% ", J166, " Sandstone, ", L166, K166, " FLUOR in SST. ", "TG ", 'Input Sheet'!I168, "U"))</f>
        <v>Sample 2990m: 10% Siltstone, 90% very fine to coarse Sandstone, 100% moderately bright to bright FLUOR in SST. TG 164U</v>
      </c>
      <c r="B166" s="3" t="str">
        <f>IF('Input Sheet'!C168="","",CONCATENATE("Sample ", 'Input Sheet'!B168, "m: ", O166, I166, "% ", "Siltstone, ", Q166, 'Input Sheet'!C168, "% ", K166, " Sandstone "))</f>
        <v xml:space="preserve">Sample 2990m: veryfine to coarse% Siltstone, 90% moderately bright to bright Sandstone </v>
      </c>
      <c r="C166" s="3" t="str">
        <f>IF('Input Sheet'!C168="","",CONCATENATE("Sample ", 'Input Sheet'!B168, "m: ", N166,, L166, K166, " FLUOR in SST. ", "TG ", 'Input Sheet'!I168, "U"))</f>
        <v>Sample 2990m: 100% moderately bright to bright FLUOR in SST. TG 164U</v>
      </c>
      <c r="H166" s="6">
        <f>IF('Input Sheet'!C168="","",100-'Input Sheet'!C168)</f>
        <v>10</v>
      </c>
      <c r="I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66" s="6" t="str">
        <f t="shared" si="2"/>
        <v>very fine to coarse</v>
      </c>
      <c r="K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6" s="6" t="str">
        <f>IF('Input Sheet'!F168=0, "NO",CONCATENATE('Input Sheet'!F168, IF('Input Sheet'!F168&gt;0,"% ","")))</f>
        <v xml:space="preserve">100% </v>
      </c>
      <c r="M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6" s="6" t="str">
        <f>CONCATENATE(M166, IF('Input Sheet'!J168="",""," siderite in "))</f>
        <v/>
      </c>
      <c r="O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6" s="6" t="str">
        <f>CONCATENATE(O166, IF('Input Sheet'!K168="",""," siderite in "))</f>
        <v/>
      </c>
    </row>
    <row r="167" spans="1:16" x14ac:dyDescent="0.25">
      <c r="A167" s="17" t="str">
        <f>IF('Input Sheet'!C169="","",CONCATENATE("Sample ", 'Input Sheet'!B169, "m: ", N167, H167, "% ", "Siltstone, ", P167, 'Input Sheet'!C169, "% ", J167, " Sandstone, ", L167, K167, " FLUOR in SST. ", "TG ", 'Input Sheet'!I169, "U"))</f>
        <v>Sample 3000m: 20% Siltstone, 80% very fine to fine agg,fine to coarse Sandstone, 100% moderately bright to bright FLUOR in SST. TG 128U</v>
      </c>
      <c r="B167" s="3" t="str">
        <f>IF('Input Sheet'!C169="","",CONCATENATE("Sample ", 'Input Sheet'!B169, "m: ", O167, I167, "% ", "Siltstone, ", Q167, 'Input Sheet'!C169, "% ", K167, " Sandstone "))</f>
        <v xml:space="preserve">Sample 3000m: veryfine to fine agg,fine to coarse% Siltstone, 80% moderately bright to bright Sandstone </v>
      </c>
      <c r="C167" s="3" t="str">
        <f>IF('Input Sheet'!C169="","",CONCATENATE("Sample ", 'Input Sheet'!B169, "m: ", N167,, L167, K167, " FLUOR in SST. ", "TG ", 'Input Sheet'!I169, "U"))</f>
        <v>Sample 3000m: 100% moderately bright to bright FLUOR in SST. TG 128U</v>
      </c>
      <c r="H167" s="6">
        <f>IF('Input Sheet'!C169="","",100-'Input Sheet'!C169)</f>
        <v>20</v>
      </c>
      <c r="I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agg,fine to coarse</v>
      </c>
      <c r="J167" s="6" t="str">
        <f t="shared" si="2"/>
        <v>very fine to fine agg,fine to coarse</v>
      </c>
      <c r="K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7" s="6" t="str">
        <f>IF('Input Sheet'!F169=0, "NO",CONCATENATE('Input Sheet'!F169, IF('Input Sheet'!F169&gt;0,"% ","")))</f>
        <v xml:space="preserve">100% </v>
      </c>
      <c r="M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7" s="6" t="str">
        <f>CONCATENATE(M167, IF('Input Sheet'!J169="",""," siderite in "))</f>
        <v/>
      </c>
      <c r="O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7" s="6" t="str">
        <f>CONCATENATE(O167, IF('Input Sheet'!K169="",""," siderite in "))</f>
        <v/>
      </c>
    </row>
    <row r="168" spans="1:16" x14ac:dyDescent="0.25">
      <c r="A168" s="17" t="str">
        <f>IF('Input Sheet'!C170="","",CONCATENATE("Sample ", 'Input Sheet'!B170, "m: ", N168, H168, "% ", "Siltstone, ", P168, 'Input Sheet'!C170, "% ", J168, " Sandstone, ", L168, K168, " FLUOR in SST. ", "TG ", 'Input Sheet'!I170, "U"))</f>
        <v>Sample 3010m: 20% Siltstone, 80% very fine to fine agg,fine to coarse Sandstone, 100% moderately bright to bright FLUOR in SST. TG 186U</v>
      </c>
      <c r="B168" s="3" t="str">
        <f>IF('Input Sheet'!C170="","",CONCATENATE("Sample ", 'Input Sheet'!B170, "m: ", O168, I168, "% ", "Siltstone, ", Q168, 'Input Sheet'!C170, "% ", K168, " Sandstone "))</f>
        <v xml:space="preserve">Sample 3010m: veryfine to fine agg,fine to coarse% Siltstone, 80% moderately bright to bright Sandstone </v>
      </c>
      <c r="C168" s="3" t="str">
        <f>IF('Input Sheet'!C170="","",CONCATENATE("Sample ", 'Input Sheet'!B170, "m: ", N168,, L168, K168, " FLUOR in SST. ", "TG ", 'Input Sheet'!I170, "U"))</f>
        <v>Sample 3010m: 100% moderately bright to bright FLUOR in SST. TG 186U</v>
      </c>
      <c r="H168" s="6">
        <f>IF('Input Sheet'!C170="","",100-'Input Sheet'!C170)</f>
        <v>20</v>
      </c>
      <c r="I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fine agg,fine to coarse</v>
      </c>
      <c r="J168" s="6" t="str">
        <f t="shared" si="2"/>
        <v>very fine to fine agg,fine to coarse</v>
      </c>
      <c r="K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68" s="6" t="str">
        <f>IF('Input Sheet'!F170=0, "NO",CONCATENATE('Input Sheet'!F170, IF('Input Sheet'!F170&gt;0,"% ","")))</f>
        <v xml:space="preserve">100% </v>
      </c>
      <c r="M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8" s="6" t="str">
        <f>CONCATENATE(M168, IF('Input Sheet'!J170="",""," siderite in "))</f>
        <v/>
      </c>
      <c r="O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8" s="6" t="str">
        <f>CONCATENATE(O168, IF('Input Sheet'!K170="",""," siderite in "))</f>
        <v/>
      </c>
    </row>
    <row r="169" spans="1:16" x14ac:dyDescent="0.25">
      <c r="A169" s="17" t="str">
        <f>IF('Input Sheet'!C171="","",CONCATENATE("Sample ", 'Input Sheet'!B171, "m: ", N169, H169, "% ", "Siltstone, ", P169, 'Input Sheet'!C171, "% ", J169, " Sandstone, ", L169, K169, " FLUOR in SST. ", "TG ", 'Input Sheet'!I171, "U"))</f>
        <v>Sample 3020m: 10% Siltstone, 90% fine to medium Sandstone, 100% bright  FLUOR in SST. TG 161U</v>
      </c>
      <c r="B169" s="3" t="str">
        <f>IF('Input Sheet'!C171="","",CONCATENATE("Sample ", 'Input Sheet'!B171, "m: ", O169, I169, "% ", "Siltstone, ", Q169, 'Input Sheet'!C171, "% ", K169, " Sandstone "))</f>
        <v xml:space="preserve">Sample 3020m: fine to medium% Siltstone, 90% bright  Sandstone </v>
      </c>
      <c r="C169" s="3" t="str">
        <f>IF('Input Sheet'!C171="","",CONCATENATE("Sample ", 'Input Sheet'!B171, "m: ", N169,, L169, K169, " FLUOR in SST. ", "TG ", 'Input Sheet'!I171, "U"))</f>
        <v>Sample 3020m: 100% bright  FLUOR in SST. TG 161U</v>
      </c>
      <c r="H169" s="6">
        <f>IF('Input Sheet'!C171="","",100-'Input Sheet'!C171)</f>
        <v>10</v>
      </c>
      <c r="I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69" s="6" t="str">
        <f t="shared" si="2"/>
        <v>fine to medium</v>
      </c>
      <c r="K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69" s="6" t="str">
        <f>IF('Input Sheet'!F171=0, "NO",CONCATENATE('Input Sheet'!F171, IF('Input Sheet'!F171&gt;0,"% ","")))</f>
        <v xml:space="preserve">100% </v>
      </c>
      <c r="M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69" s="6" t="str">
        <f>CONCATENATE(M169, IF('Input Sheet'!J171="",""," siderite in "))</f>
        <v/>
      </c>
      <c r="O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69" s="6" t="str">
        <f>CONCATENATE(O169, IF('Input Sheet'!K171="",""," siderite in "))</f>
        <v/>
      </c>
    </row>
    <row r="170" spans="1:16" x14ac:dyDescent="0.25">
      <c r="A170" s="17" t="str">
        <f>IF('Input Sheet'!C172="","",CONCATENATE("Sample ", 'Input Sheet'!B172, "m: ", N170, H170, "% ", "Siltstone, ", P170, 'Input Sheet'!C172, "% ", J170, " Sandstone, ", L170, K170, " FLUOR in SST. ", "TG ", 'Input Sheet'!I172, "U"))</f>
        <v>Sample 3030m: 5% Siltstone, 95% fine to medium Sandstone, 100% bright  FLUOR in SST. TG 164U</v>
      </c>
      <c r="B170" s="3" t="str">
        <f>IF('Input Sheet'!C172="","",CONCATENATE("Sample ", 'Input Sheet'!B172, "m: ", O170, I170, "% ", "Siltstone, ", Q170, 'Input Sheet'!C172, "% ", K170, " Sandstone "))</f>
        <v xml:space="preserve">Sample 3030m: fine to medium% Siltstone, 95% bright  Sandstone </v>
      </c>
      <c r="C170" s="3" t="str">
        <f>IF('Input Sheet'!C172="","",CONCATENATE("Sample ", 'Input Sheet'!B172, "m: ", N170,, L170, K170, " FLUOR in SST. ", "TG ", 'Input Sheet'!I172, "U"))</f>
        <v>Sample 3030m: 100% bright  FLUOR in SST. TG 164U</v>
      </c>
      <c r="H170" s="6">
        <f>IF('Input Sheet'!C172="","",100-'Input Sheet'!C172)</f>
        <v>5</v>
      </c>
      <c r="I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70" s="6" t="str">
        <f t="shared" si="2"/>
        <v>fine to medium</v>
      </c>
      <c r="K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0" s="6" t="str">
        <f>IF('Input Sheet'!F172=0, "NO",CONCATENATE('Input Sheet'!F172, IF('Input Sheet'!F172&gt;0,"% ","")))</f>
        <v xml:space="preserve">100% </v>
      </c>
      <c r="M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0" s="6" t="str">
        <f>CONCATENATE(M170, IF('Input Sheet'!J172="",""," siderite in "))</f>
        <v/>
      </c>
      <c r="O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0" s="6" t="str">
        <f>CONCATENATE(O170, IF('Input Sheet'!K172="",""," siderite in "))</f>
        <v/>
      </c>
    </row>
    <row r="171" spans="1:16" x14ac:dyDescent="0.25">
      <c r="A171" s="17" t="str">
        <f>IF('Input Sheet'!C173="","",CONCATENATE("Sample ", 'Input Sheet'!B173, "m: ", N171, H171, "% ", "Siltstone, ", P171, 'Input Sheet'!C173, "% ", J171, " Sandstone, ", L171, K171, " FLUOR in SST. ", "TG ", 'Input Sheet'!I173, "U"))</f>
        <v>Sample 3040m: 20% Siltstone, 80% very fine to medium Sandstone, 100% bright  FLUOR in SST. TG 187U</v>
      </c>
      <c r="B171" s="3" t="str">
        <f>IF('Input Sheet'!C173="","",CONCATENATE("Sample ", 'Input Sheet'!B173, "m: ", O171, I171, "% ", "Siltstone, ", Q171, 'Input Sheet'!C173, "% ", K171, " Sandstone "))</f>
        <v xml:space="preserve">Sample 3040m: veryfine to medium% Siltstone, 80% bright  Sandstone </v>
      </c>
      <c r="C171" s="3" t="str">
        <f>IF('Input Sheet'!C173="","",CONCATENATE("Sample ", 'Input Sheet'!B173, "m: ", N171,, L171, K171, " FLUOR in SST. ", "TG ", 'Input Sheet'!I173, "U"))</f>
        <v>Sample 3040m: 100% bright  FLUOR in SST. TG 187U</v>
      </c>
      <c r="H171" s="6">
        <f>IF('Input Sheet'!C173="","",100-'Input Sheet'!C173)</f>
        <v>20</v>
      </c>
      <c r="I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71" s="6" t="str">
        <f t="shared" si="2"/>
        <v>very fine to medium</v>
      </c>
      <c r="K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1" s="6" t="str">
        <f>IF('Input Sheet'!F173=0, "NO",CONCATENATE('Input Sheet'!F173, IF('Input Sheet'!F173&gt;0,"% ","")))</f>
        <v xml:space="preserve">100% </v>
      </c>
      <c r="M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1" s="6" t="str">
        <f>CONCATENATE(M171, IF('Input Sheet'!J173="",""," siderite in "))</f>
        <v/>
      </c>
      <c r="O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1" s="6" t="str">
        <f>CONCATENATE(O171, IF('Input Sheet'!K173="",""," siderite in "))</f>
        <v/>
      </c>
    </row>
    <row r="172" spans="1:16" x14ac:dyDescent="0.25">
      <c r="A172" s="17" t="str">
        <f>IF('Input Sheet'!C174="","",CONCATENATE("Sample ", 'Input Sheet'!B174, "m: ", N172, H172, "% ", "Siltstone, ", P172, 'Input Sheet'!C174, "% ", J172, " Sandstone, ", L172, K172, " FLUOR in SST. ", "TG ", 'Input Sheet'!I174, "U"))</f>
        <v>Sample 3050m: 10% Siltstone, 90% very fine to medium Sandstone, 100% bright  FLUOR in SST. TG 198U</v>
      </c>
      <c r="B172" s="3" t="str">
        <f>IF('Input Sheet'!C174="","",CONCATENATE("Sample ", 'Input Sheet'!B174, "m: ", O172, I172, "% ", "Siltstone, ", Q172, 'Input Sheet'!C174, "% ", K172, " Sandstone "))</f>
        <v xml:space="preserve">Sample 3050m: veryfine to medium% Siltstone, 90% bright  Sandstone </v>
      </c>
      <c r="C172" s="3" t="str">
        <f>IF('Input Sheet'!C174="","",CONCATENATE("Sample ", 'Input Sheet'!B174, "m: ", N172,, L172, K172, " FLUOR in SST. ", "TG ", 'Input Sheet'!I174, "U"))</f>
        <v>Sample 3050m: 100% bright  FLUOR in SST. TG 198U</v>
      </c>
      <c r="H172" s="6">
        <f>IF('Input Sheet'!C174="","",100-'Input Sheet'!C174)</f>
        <v>10</v>
      </c>
      <c r="I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72" s="6" t="str">
        <f t="shared" si="2"/>
        <v>very fine to medium</v>
      </c>
      <c r="K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2" s="6" t="str">
        <f>IF('Input Sheet'!F174=0, "NO",CONCATENATE('Input Sheet'!F174, IF('Input Sheet'!F174&gt;0,"% ","")))</f>
        <v xml:space="preserve">100% </v>
      </c>
      <c r="M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2" s="6" t="str">
        <f>CONCATENATE(M172, IF('Input Sheet'!J174="",""," siderite in "))</f>
        <v/>
      </c>
      <c r="O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2" s="6" t="str">
        <f>CONCATENATE(O172, IF('Input Sheet'!K174="",""," siderite in "))</f>
        <v/>
      </c>
    </row>
    <row r="173" spans="1:16" x14ac:dyDescent="0.25">
      <c r="A173" s="17" t="str">
        <f>IF('Input Sheet'!C175="","",CONCATENATE("Sample ", 'Input Sheet'!B175, "m: ", N173, H173, "% ", "Siltstone, ", P173, 'Input Sheet'!C175, "% ", J173, " Sandstone, ", L173, K173, " FLUOR in SST. ", "TG ", 'Input Sheet'!I175, "U"))</f>
        <v>Sample 3060m: 10% Siltstone, rare siderite in 90% very fine to medium Sandstone, 100% bright  FLUOR in SST. TG 140U</v>
      </c>
      <c r="B173" s="3" t="str">
        <f>IF('Input Sheet'!C175="","",CONCATENATE("Sample ", 'Input Sheet'!B175, "m: ", O173, I173, "% ", "Siltstone, ", Q173, 'Input Sheet'!C175, "% ", K173, " Sandstone "))</f>
        <v xml:space="preserve">Sample 3060m: rareveryfine to medium% Siltstone, 90% bright  Sandstone </v>
      </c>
      <c r="C173" s="3" t="str">
        <f>IF('Input Sheet'!C175="","",CONCATENATE("Sample ", 'Input Sheet'!B175, "m: ", N173,, L173, K173, " FLUOR in SST. ", "TG ", 'Input Sheet'!I175, "U"))</f>
        <v>Sample 3060m: 100% bright  FLUOR in SST. TG 140U</v>
      </c>
      <c r="H173" s="6">
        <f>IF('Input Sheet'!C175="","",100-'Input Sheet'!C175)</f>
        <v>10</v>
      </c>
      <c r="I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73" s="6" t="str">
        <f t="shared" si="2"/>
        <v>very fine to medium</v>
      </c>
      <c r="K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3" s="6" t="str">
        <f>IF('Input Sheet'!F175=0, "NO",CONCATENATE('Input Sheet'!F175, IF('Input Sheet'!F175&gt;0,"% ","")))</f>
        <v xml:space="preserve">100% </v>
      </c>
      <c r="M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3" s="6" t="str">
        <f>CONCATENATE(M173, IF('Input Sheet'!J175="",""," siderite in "))</f>
        <v/>
      </c>
      <c r="O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rare</v>
      </c>
      <c r="P173" s="6" t="str">
        <f>CONCATENATE(O173, IF('Input Sheet'!K175="",""," siderite in "))</f>
        <v xml:space="preserve">rare siderite in </v>
      </c>
    </row>
    <row r="174" spans="1:16" x14ac:dyDescent="0.25">
      <c r="A174" s="17" t="str">
        <f>IF('Input Sheet'!C176="","",CONCATENATE("Sample ", 'Input Sheet'!B176, "m: ", N174, H174, "% ", "Siltstone, ", P174, 'Input Sheet'!C176, "% ", J174, " Sandstone, ", L174, K174, " FLUOR in SST. ", "TG ", 'Input Sheet'!I176, "U"))</f>
        <v>Sample 3070m: 0% Siltstone, 100% very fine to coarse Sandstone, 100% bright  FLUOR in SST. TG 158U</v>
      </c>
      <c r="B174" s="3" t="str">
        <f>IF('Input Sheet'!C176="","",CONCATENATE("Sample ", 'Input Sheet'!B176, "m: ", O174, I174, "% ", "Siltstone, ", Q174, 'Input Sheet'!C176, "% ", K174, " Sandstone "))</f>
        <v xml:space="preserve">Sample 3070m: veryfine to coarse% Siltstone, 100% bright  Sandstone </v>
      </c>
      <c r="C174" s="3" t="str">
        <f>IF('Input Sheet'!C176="","",CONCATENATE("Sample ", 'Input Sheet'!B176, "m: ", N174,, L174, K174, " FLUOR in SST. ", "TG ", 'Input Sheet'!I176, "U"))</f>
        <v>Sample 3070m: 100% bright  FLUOR in SST. TG 158U</v>
      </c>
      <c r="H174" s="6">
        <f>IF('Input Sheet'!C176="","",100-'Input Sheet'!C176)</f>
        <v>0</v>
      </c>
      <c r="I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74" s="6" t="str">
        <f t="shared" si="2"/>
        <v>very fine to coarse</v>
      </c>
      <c r="K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4" s="6" t="str">
        <f>IF('Input Sheet'!F176=0, "NO",CONCATENATE('Input Sheet'!F176, IF('Input Sheet'!F176&gt;0,"% ","")))</f>
        <v xml:space="preserve">100% </v>
      </c>
      <c r="M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4" s="6" t="str">
        <f>CONCATENATE(M174, IF('Input Sheet'!J176="",""," siderite in "))</f>
        <v/>
      </c>
      <c r="O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4" s="6" t="str">
        <f>CONCATENATE(O174, IF('Input Sheet'!K176="",""," siderite in "))</f>
        <v/>
      </c>
    </row>
    <row r="175" spans="1:16" x14ac:dyDescent="0.25">
      <c r="A175" s="17" t="str">
        <f>IF('Input Sheet'!C177="","",CONCATENATE("Sample ", 'Input Sheet'!B177, "m: ", N175, H175, "% ", "Siltstone, ", P175, 'Input Sheet'!C177, "% ", J175, " Sandstone, ", L175, K175, " FLUOR in SST. ", "TG ", 'Input Sheet'!I177, "U"))</f>
        <v>Sample 3080m: 20% Siltstone, 80% fine to coarse Sandstone, 100% bright  FLUOR in SST. TG 150U</v>
      </c>
      <c r="B175" s="3" t="str">
        <f>IF('Input Sheet'!C177="","",CONCATENATE("Sample ", 'Input Sheet'!B177, "m: ", O175, I175, "% ", "Siltstone, ", Q175, 'Input Sheet'!C177, "% ", K175, " Sandstone "))</f>
        <v xml:space="preserve">Sample 3080m: fine to coarse% Siltstone, 80% bright  Sandstone </v>
      </c>
      <c r="C175" s="3" t="str">
        <f>IF('Input Sheet'!C177="","",CONCATENATE("Sample ", 'Input Sheet'!B177, "m: ", N175,, L175, K175, " FLUOR in SST. ", "TG ", 'Input Sheet'!I177, "U"))</f>
        <v>Sample 3080m: 100% bright  FLUOR in SST. TG 150U</v>
      </c>
      <c r="H175" s="6">
        <f>IF('Input Sheet'!C177="","",100-'Input Sheet'!C177)</f>
        <v>20</v>
      </c>
      <c r="I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75" s="6" t="str">
        <f t="shared" si="2"/>
        <v>fine to coarse</v>
      </c>
      <c r="K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5" s="6" t="str">
        <f>IF('Input Sheet'!F177=0, "NO",CONCATENATE('Input Sheet'!F177, IF('Input Sheet'!F177&gt;0,"% ","")))</f>
        <v xml:space="preserve">100% </v>
      </c>
      <c r="M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5" s="6" t="str">
        <f>CONCATENATE(M175, IF('Input Sheet'!J177="",""," siderite in "))</f>
        <v/>
      </c>
      <c r="O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5" s="6" t="str">
        <f>CONCATENATE(O175, IF('Input Sheet'!K177="",""," siderite in "))</f>
        <v/>
      </c>
    </row>
    <row r="176" spans="1:16" x14ac:dyDescent="0.25">
      <c r="A176" s="17" t="str">
        <f>IF('Input Sheet'!C178="","",CONCATENATE("Sample ", 'Input Sheet'!B178, "m: ", N176, H176, "% ", "Siltstone, ", P176, 'Input Sheet'!C178, "% ", J176, " Sandstone, ", L176, K176, " FLUOR in SST. ", "TG ", 'Input Sheet'!I178, "U"))</f>
        <v>Sample 3090m: 10% Siltstone, 90% fine to coarse Sandstone, 100% bright  FLUOR in SST. TG 190U</v>
      </c>
      <c r="B176" s="3" t="str">
        <f>IF('Input Sheet'!C178="","",CONCATENATE("Sample ", 'Input Sheet'!B178, "m: ", O176, I176, "% ", "Siltstone, ", Q176, 'Input Sheet'!C178, "% ", K176, " Sandstone "))</f>
        <v xml:space="preserve">Sample 3090m: fine to coarse% Siltstone, 90% bright  Sandstone </v>
      </c>
      <c r="C176" s="3" t="str">
        <f>IF('Input Sheet'!C178="","",CONCATENATE("Sample ", 'Input Sheet'!B178, "m: ", N176,, L176, K176, " FLUOR in SST. ", "TG ", 'Input Sheet'!I178, "U"))</f>
        <v>Sample 3090m: 100% bright  FLUOR in SST. TG 190U</v>
      </c>
      <c r="H176" s="6">
        <f>IF('Input Sheet'!C178="","",100-'Input Sheet'!C178)</f>
        <v>10</v>
      </c>
      <c r="I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76" s="6" t="str">
        <f t="shared" si="2"/>
        <v>fine to coarse</v>
      </c>
      <c r="K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6" s="6" t="str">
        <f>IF('Input Sheet'!F178=0, "NO",CONCATENATE('Input Sheet'!F178, IF('Input Sheet'!F178&gt;0,"% ","")))</f>
        <v xml:space="preserve">100% </v>
      </c>
      <c r="M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6" s="6" t="str">
        <f>CONCATENATE(M176, IF('Input Sheet'!J178="",""," siderite in "))</f>
        <v/>
      </c>
      <c r="O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6" s="6" t="str">
        <f>CONCATENATE(O176, IF('Input Sheet'!K178="",""," siderite in "))</f>
        <v/>
      </c>
    </row>
    <row r="177" spans="1:16" x14ac:dyDescent="0.25">
      <c r="A177" s="17" t="str">
        <f>IF('Input Sheet'!C179="","",CONCATENATE("Sample ", 'Input Sheet'!B179, "m: ", N177, H177, "% ", "Siltstone, ", P177, 'Input Sheet'!C179, "% ", J177, " Sandstone, ", L177, K177, " FLUOR in SST. ", "TG ", 'Input Sheet'!I179, "U"))</f>
        <v>Sample 3100m: 0% Siltstone, 100% very fine to coarse Sandstone, 100% bright  FLUOR in SST. TG 180U</v>
      </c>
      <c r="B177" s="3" t="str">
        <f>IF('Input Sheet'!C179="","",CONCATENATE("Sample ", 'Input Sheet'!B179, "m: ", O177, I177, "% ", "Siltstone, ", Q177, 'Input Sheet'!C179, "% ", K177, " Sandstone "))</f>
        <v xml:space="preserve">Sample 3100m: veryfine to coarse% Siltstone, 100% bright  Sandstone </v>
      </c>
      <c r="C177" s="3" t="str">
        <f>IF('Input Sheet'!C179="","",CONCATENATE("Sample ", 'Input Sheet'!B179, "m: ", N177,, L177, K177, " FLUOR in SST. ", "TG ", 'Input Sheet'!I179, "U"))</f>
        <v>Sample 3100m: 100% bright  FLUOR in SST. TG 180U</v>
      </c>
      <c r="H177" s="6">
        <f>IF('Input Sheet'!C179="","",100-'Input Sheet'!C179)</f>
        <v>0</v>
      </c>
      <c r="I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coarse</v>
      </c>
      <c r="J177" s="6" t="str">
        <f t="shared" si="2"/>
        <v>very fine to coarse</v>
      </c>
      <c r="K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7" s="6" t="str">
        <f>IF('Input Sheet'!F179=0, "NO",CONCATENATE('Input Sheet'!F179, IF('Input Sheet'!F179&gt;0,"% ","")))</f>
        <v xml:space="preserve">100% </v>
      </c>
      <c r="M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7" s="6" t="str">
        <f>CONCATENATE(M177, IF('Input Sheet'!J179="",""," siderite in "))</f>
        <v/>
      </c>
      <c r="O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7" s="6" t="str">
        <f>CONCATENATE(O177, IF('Input Sheet'!K179="",""," siderite in "))</f>
        <v/>
      </c>
    </row>
    <row r="178" spans="1:16" x14ac:dyDescent="0.25">
      <c r="A178" s="17" t="str">
        <f>IF('Input Sheet'!C180="","",CONCATENATE("Sample ", 'Input Sheet'!B180, "m: ", N178, H178, "% ", "Siltstone, ", P178, 'Input Sheet'!C180, "% ", J178, " Sandstone, ", L178, K178, " FLUOR in SST. ", "TG ", 'Input Sheet'!I180, "U"))</f>
        <v>Sample 3110m: 0% Siltstone, 100% very fine to medium Sandstone, 90% bright  FLUOR in SST. TG 138U</v>
      </c>
      <c r="B178" s="3" t="str">
        <f>IF('Input Sheet'!C180="","",CONCATENATE("Sample ", 'Input Sheet'!B180, "m: ", O178, I178, "% ", "Siltstone, ", Q178, 'Input Sheet'!C180, "% ", K178, " Sandstone "))</f>
        <v xml:space="preserve">Sample 3110m: veryfine to medium% Siltstone, 100% bright  Sandstone </v>
      </c>
      <c r="C178" s="3" t="str">
        <f>IF('Input Sheet'!C180="","",CONCATENATE("Sample ", 'Input Sheet'!B180, "m: ", N178,, L178, K178, " FLUOR in SST. ", "TG ", 'Input Sheet'!I180, "U"))</f>
        <v>Sample 3110m: 90% bright  FLUOR in SST. TG 138U</v>
      </c>
      <c r="H178" s="6">
        <f>IF('Input Sheet'!C180="","",100-'Input Sheet'!C180)</f>
        <v>0</v>
      </c>
      <c r="I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veryfine to medium</v>
      </c>
      <c r="J178" s="6" t="str">
        <f t="shared" si="2"/>
        <v>very fine to medium</v>
      </c>
      <c r="K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78" s="6" t="str">
        <f>IF('Input Sheet'!F180=0, "NO",CONCATENATE('Input Sheet'!F180, IF('Input Sheet'!F180&gt;0,"% ","")))</f>
        <v xml:space="preserve">90% </v>
      </c>
      <c r="M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8" s="6" t="str">
        <f>CONCATENATE(M178, IF('Input Sheet'!J180="",""," siderite in "))</f>
        <v/>
      </c>
      <c r="O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8" s="6" t="str">
        <f>CONCATENATE(O178, IF('Input Sheet'!K180="",""," siderite in "))</f>
        <v/>
      </c>
    </row>
    <row r="179" spans="1:16" x14ac:dyDescent="0.25">
      <c r="A179" s="17" t="str">
        <f>IF('Input Sheet'!C181="","",CONCATENATE("Sample ", 'Input Sheet'!B181, "m: ", N179, H179, "% ", "Siltstone, ", P179, 'Input Sheet'!C181, "% ", J179, " Sandstone, ", L179, K179, " FLUOR in SST. ", "TG ", 'Input Sheet'!I181, "U"))</f>
        <v>Sample 3120m: 10% Siltstone, 90% fine to coarse Sandstone, 80% moderately bright to bright FLUOR in SST. TG 215U</v>
      </c>
      <c r="B179" s="3" t="str">
        <f>IF('Input Sheet'!C181="","",CONCATENATE("Sample ", 'Input Sheet'!B181, "m: ", O179, I179, "% ", "Siltstone, ", Q179, 'Input Sheet'!C181, "% ", K179, " Sandstone "))</f>
        <v xml:space="preserve">Sample 3120m: fine to coarse% Siltstone, 90% moderately bright to bright Sandstone </v>
      </c>
      <c r="C179" s="3" t="str">
        <f>IF('Input Sheet'!C181="","",CONCATENATE("Sample ", 'Input Sheet'!B181, "m: ", N179,, L179, K179, " FLUOR in SST. ", "TG ", 'Input Sheet'!I181, "U"))</f>
        <v>Sample 3120m: 80% moderately bright to bright FLUOR in SST. TG 215U</v>
      </c>
      <c r="H179" s="6">
        <f>IF('Input Sheet'!C181="","",100-'Input Sheet'!C181)</f>
        <v>10</v>
      </c>
      <c r="I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79" s="6" t="str">
        <f t="shared" si="2"/>
        <v>fine to coarse</v>
      </c>
      <c r="K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moderately bright to bright</v>
      </c>
      <c r="L179" s="6" t="str">
        <f>IF('Input Sheet'!F181=0, "NO",CONCATENATE('Input Sheet'!F181, IF('Input Sheet'!F181&gt;0,"% ","")))</f>
        <v xml:space="preserve">80% </v>
      </c>
      <c r="M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79" s="6" t="str">
        <f>CONCATENATE(M179, IF('Input Sheet'!J181="",""," siderite in "))</f>
        <v/>
      </c>
      <c r="O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79" s="6" t="str">
        <f>CONCATENATE(O179, IF('Input Sheet'!K181="",""," siderite in "))</f>
        <v/>
      </c>
    </row>
    <row r="180" spans="1:16" x14ac:dyDescent="0.25">
      <c r="A180" s="17" t="str">
        <f>IF('Input Sheet'!C182="","",CONCATENATE("Sample ", 'Input Sheet'!B182, "m: ", N180, H180, "% ", "Siltstone, ", P180, 'Input Sheet'!C182, "% ", J180, " Sandstone, ", L180, K180, " FLUOR in SST. ", "TG ", 'Input Sheet'!I182, "U"))</f>
        <v>Sample 3130m: 10% Siltstone, 90% fine to coarse Sandstone, 100% bright  FLUOR in SST. TG 204U</v>
      </c>
      <c r="B180" s="3" t="str">
        <f>IF('Input Sheet'!C182="","",CONCATENATE("Sample ", 'Input Sheet'!B182, "m: ", O180, I180, "% ", "Siltstone, ", Q180, 'Input Sheet'!C182, "% ", K180, " Sandstone "))</f>
        <v xml:space="preserve">Sample 3130m: fine to coarse% Siltstone, 90% bright  Sandstone </v>
      </c>
      <c r="C180" s="3" t="str">
        <f>IF('Input Sheet'!C182="","",CONCATENATE("Sample ", 'Input Sheet'!B182, "m: ", N180,, L180, K180, " FLUOR in SST. ", "TG ", 'Input Sheet'!I182, "U"))</f>
        <v>Sample 3130m: 100% bright  FLUOR in SST. TG 204U</v>
      </c>
      <c r="H180" s="6">
        <f>IF('Input Sheet'!C182="","",100-'Input Sheet'!C182)</f>
        <v>10</v>
      </c>
      <c r="I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80" s="6" t="str">
        <f t="shared" si="2"/>
        <v>fine to coarse</v>
      </c>
      <c r="K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0" s="6" t="str">
        <f>IF('Input Sheet'!F182=0, "NO",CONCATENATE('Input Sheet'!F182, IF('Input Sheet'!F182&gt;0,"% ","")))</f>
        <v xml:space="preserve">100% </v>
      </c>
      <c r="M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0" s="6" t="str">
        <f>CONCATENATE(M180, IF('Input Sheet'!J182="",""," siderite in "))</f>
        <v/>
      </c>
      <c r="O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0" s="6" t="str">
        <f>CONCATENATE(O180, IF('Input Sheet'!K182="",""," siderite in "))</f>
        <v/>
      </c>
    </row>
    <row r="181" spans="1:16" x14ac:dyDescent="0.25">
      <c r="A181" s="17" t="str">
        <f>IF('Input Sheet'!C183="","",CONCATENATE("Sample ", 'Input Sheet'!B183, "m: ", N181, H181, "% ", "Siltstone, ", P181, 'Input Sheet'!C183, "% ", J181, " Sandstone, ", L181, K181, " FLUOR in SST. ", "TG ", 'Input Sheet'!I183, "U"))</f>
        <v>Sample 3140m: 0% Siltstone, 100% fine to coarse Sandstone, 100% bright  FLUOR in SST. TG 180U</v>
      </c>
      <c r="B181" s="3" t="str">
        <f>IF('Input Sheet'!C183="","",CONCATENATE("Sample ", 'Input Sheet'!B183, "m: ", O181, I181, "% ", "Siltstone, ", Q181, 'Input Sheet'!C183, "% ", K181, " Sandstone "))</f>
        <v xml:space="preserve">Sample 3140m: fine to coarse% Siltstone, 100% bright  Sandstone </v>
      </c>
      <c r="C181" s="3" t="str">
        <f>IF('Input Sheet'!C183="","",CONCATENATE("Sample ", 'Input Sheet'!B183, "m: ", N181,, L181, K181, " FLUOR in SST. ", "TG ", 'Input Sheet'!I183, "U"))</f>
        <v>Sample 3140m: 100% bright  FLUOR in SST. TG 180U</v>
      </c>
      <c r="H181" s="6">
        <f>IF('Input Sheet'!C183="","",100-'Input Sheet'!C183)</f>
        <v>0</v>
      </c>
      <c r="I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coarse</v>
      </c>
      <c r="J181" s="6" t="str">
        <f t="shared" si="2"/>
        <v>fine to coarse</v>
      </c>
      <c r="K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1" s="6" t="str">
        <f>IF('Input Sheet'!F183=0, "NO",CONCATENATE('Input Sheet'!F183, IF('Input Sheet'!F183&gt;0,"% ","")))</f>
        <v xml:space="preserve">100% </v>
      </c>
      <c r="M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1" s="6" t="str">
        <f>CONCATENATE(M181, IF('Input Sheet'!J183="",""," siderite in "))</f>
        <v/>
      </c>
      <c r="O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1" s="6" t="str">
        <f>CONCATENATE(O181, IF('Input Sheet'!K183="",""," siderite in "))</f>
        <v/>
      </c>
    </row>
    <row r="182" spans="1:16" x14ac:dyDescent="0.25">
      <c r="A182" s="17" t="str">
        <f>IF('Input Sheet'!C184="","",CONCATENATE("Sample ", 'Input Sheet'!B184, "m: ", N182, H182, "% ", "Siltstone, ", P182, 'Input Sheet'!C184, "% ", J182, " Sandstone, ", L182, K182, " FLUOR in SST. ", "TG ", 'Input Sheet'!I184, "U"))</f>
        <v>Sample 3150m: 0% Siltstone, 100% fine to medium Sandstone, 100% bright  FLUOR in SST. TG 174U</v>
      </c>
      <c r="B182" s="3" t="str">
        <f>IF('Input Sheet'!C184="","",CONCATENATE("Sample ", 'Input Sheet'!B184, "m: ", O182, I182, "% ", "Siltstone, ", Q182, 'Input Sheet'!C184, "% ", K182, " Sandstone "))</f>
        <v xml:space="preserve">Sample 3150m: fine to medium% Siltstone, 100% bright  Sandstone </v>
      </c>
      <c r="C182" s="3" t="str">
        <f>IF('Input Sheet'!C184="","",CONCATENATE("Sample ", 'Input Sheet'!B184, "m: ", N182,, L182, K182, " FLUOR in SST. ", "TG ", 'Input Sheet'!I184, "U"))</f>
        <v>Sample 3150m: 100% bright  FLUOR in SST. TG 174U</v>
      </c>
      <c r="H182" s="6">
        <f>IF('Input Sheet'!C184="","",100-'Input Sheet'!C184)</f>
        <v>0</v>
      </c>
      <c r="I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82" s="6" t="str">
        <f t="shared" si="2"/>
        <v>fine to medium</v>
      </c>
      <c r="K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2" s="6" t="str">
        <f>IF('Input Sheet'!F184=0, "NO",CONCATENATE('Input Sheet'!F184, IF('Input Sheet'!F184&gt;0,"% ","")))</f>
        <v xml:space="preserve">100% </v>
      </c>
      <c r="M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2" s="6" t="str">
        <f>CONCATENATE(M182, IF('Input Sheet'!J184="",""," siderite in "))</f>
        <v/>
      </c>
      <c r="O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2" s="6" t="str">
        <f>CONCATENATE(O182, IF('Input Sheet'!K184="",""," siderite in "))</f>
        <v/>
      </c>
    </row>
    <row r="183" spans="1:16" x14ac:dyDescent="0.25">
      <c r="A183" s="17" t="str">
        <f>IF('Input Sheet'!C185="","",CONCATENATE("Sample ", 'Input Sheet'!B185, "m: ", N183, H183, "% ", "Siltstone, ", P183, 'Input Sheet'!C185, "% ", J183, " Sandstone, ", L183, K183, " FLUOR in SST. ", "TG ", 'Input Sheet'!I185, "U"))</f>
        <v>Sample 3160m: 0% Siltstone, 100% fine to medium Sandstone, 100% bright  FLUOR in SST. TG 178U</v>
      </c>
      <c r="B183" s="3" t="str">
        <f>IF('Input Sheet'!C185="","",CONCATENATE("Sample ", 'Input Sheet'!B185, "m: ", O183, I183, "% ", "Siltstone, ", Q183, 'Input Sheet'!C185, "% ", K183, " Sandstone "))</f>
        <v xml:space="preserve">Sample 3160m: fine to medium% Siltstone, 100% bright  Sandstone </v>
      </c>
      <c r="C183" s="3" t="str">
        <f>IF('Input Sheet'!C185="","",CONCATENATE("Sample ", 'Input Sheet'!B185, "m: ", N183,, L183, K183, " FLUOR in SST. ", "TG ", 'Input Sheet'!I185, "U"))</f>
        <v>Sample 3160m: 100% bright  FLUOR in SST. TG 178U</v>
      </c>
      <c r="H183" s="6">
        <f>IF('Input Sheet'!C185="","",100-'Input Sheet'!C185)</f>
        <v>0</v>
      </c>
      <c r="I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medium</v>
      </c>
      <c r="J183" s="6" t="str">
        <f t="shared" si="2"/>
        <v>fine to medium</v>
      </c>
      <c r="K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3" s="6" t="str">
        <f>IF('Input Sheet'!F185=0, "NO",CONCATENATE('Input Sheet'!F185, IF('Input Sheet'!F185&gt;0,"% ","")))</f>
        <v xml:space="preserve">100% </v>
      </c>
      <c r="M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3" s="6" t="str">
        <f>CONCATENATE(M183, IF('Input Sheet'!J185="",""," siderite in "))</f>
        <v/>
      </c>
      <c r="O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3" s="6" t="str">
        <f>CONCATENATE(O183, IF('Input Sheet'!K185="",""," siderite in "))</f>
        <v/>
      </c>
    </row>
    <row r="184" spans="1:16" x14ac:dyDescent="0.25">
      <c r="A184" s="17" t="str">
        <f>IF('Input Sheet'!C186="","",CONCATENATE("Sample ", 'Input Sheet'!B186, "m: ", N184, H184, "% ", "Siltstone, ", P184, 'Input Sheet'!C186, "% ", J184, " Sandstone, ", L184, K184, " FLUOR in SST. ", "TG ", 'Input Sheet'!I186, "U"))</f>
        <v>Sample 3170m: 0% Siltstone, 100% fine to very coarse Sandstone, 100% bright  FLUOR in SST. TG 191U</v>
      </c>
      <c r="B184" s="3" t="str">
        <f>IF('Input Sheet'!C186="","",CONCATENATE("Sample ", 'Input Sheet'!B186, "m: ", O184, I184, "% ", "Siltstone, ", Q184, 'Input Sheet'!C186, "% ", K184, " Sandstone "))</f>
        <v xml:space="preserve">Sample 3170m: fine to very coarse% Siltstone, 100% bright  Sandstone </v>
      </c>
      <c r="C184" s="3" t="str">
        <f>IF('Input Sheet'!C186="","",CONCATENATE("Sample ", 'Input Sheet'!B186, "m: ", N184,, L184, K184, " FLUOR in SST. ", "TG ", 'Input Sheet'!I186, "U"))</f>
        <v>Sample 3170m: 100% bright  FLUOR in SST. TG 191U</v>
      </c>
      <c r="H184" s="6">
        <f>IF('Input Sheet'!C186="","",100-'Input Sheet'!C186)</f>
        <v>0</v>
      </c>
      <c r="I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184" s="6" t="str">
        <f t="shared" si="2"/>
        <v>fine to very coarse</v>
      </c>
      <c r="K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4" s="6" t="str">
        <f>IF('Input Sheet'!F186=0, "NO",CONCATENATE('Input Sheet'!F186, IF('Input Sheet'!F186&gt;0,"% ","")))</f>
        <v xml:space="preserve">100% </v>
      </c>
      <c r="M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4" s="6" t="str">
        <f>CONCATENATE(M184, IF('Input Sheet'!J186="",""," siderite in "))</f>
        <v/>
      </c>
      <c r="O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4" s="6" t="str">
        <f>CONCATENATE(O184, IF('Input Sheet'!K186="",""," siderite in "))</f>
        <v/>
      </c>
    </row>
    <row r="185" spans="1:16" x14ac:dyDescent="0.25">
      <c r="A185" s="17" t="str">
        <f>IF('Input Sheet'!C187="","",CONCATENATE("Sample ", 'Input Sheet'!B187, "m: ", N185, H185, "% ", "Siltstone, ", P185, 'Input Sheet'!C187, "% ", J185, " Sandstone, ", L185, K185, " FLUOR in SST. ", "TG ", 'Input Sheet'!I187, "U"))</f>
        <v>Sample 3180m: 0% Siltstone, 100% fine to very coarse Sandstone, 100% bright  FLUOR in SST. TG 181U</v>
      </c>
      <c r="B185" s="3" t="str">
        <f>IF('Input Sheet'!C187="","",CONCATENATE("Sample ", 'Input Sheet'!B187, "m: ", O185, I185, "% ", "Siltstone, ", Q185, 'Input Sheet'!C187, "% ", K185, " Sandstone "))</f>
        <v xml:space="preserve">Sample 3180m: fine to very coarse% Siltstone, 100% bright  Sandstone </v>
      </c>
      <c r="C185" s="3" t="str">
        <f>IF('Input Sheet'!C187="","",CONCATENATE("Sample ", 'Input Sheet'!B187, "m: ", N185,, L185, K185, " FLUOR in SST. ", "TG ", 'Input Sheet'!I187, "U"))</f>
        <v>Sample 3180m: 100% bright  FLUOR in SST. TG 181U</v>
      </c>
      <c r="H185" s="6">
        <f>IF('Input Sheet'!C187="","",100-'Input Sheet'!C187)</f>
        <v>0</v>
      </c>
      <c r="I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185" s="6" t="str">
        <f t="shared" si="2"/>
        <v>fine to very coarse</v>
      </c>
      <c r="K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5" s="6" t="str">
        <f>IF('Input Sheet'!F187=0, "NO",CONCATENATE('Input Sheet'!F187, IF('Input Sheet'!F187&gt;0,"% ","")))</f>
        <v xml:space="preserve">100% </v>
      </c>
      <c r="M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5" s="6" t="str">
        <f>CONCATENATE(M185, IF('Input Sheet'!J187="",""," siderite in "))</f>
        <v/>
      </c>
      <c r="O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5" s="6" t="str">
        <f>CONCATENATE(O185, IF('Input Sheet'!K187="",""," siderite in "))</f>
        <v/>
      </c>
    </row>
    <row r="186" spans="1:16" x14ac:dyDescent="0.25">
      <c r="A186" s="17" t="str">
        <f>IF('Input Sheet'!C188="","",CONCATENATE("Sample ", 'Input Sheet'!B188, "m: ", N186, H186, "% ", "Siltstone, ", P186, 'Input Sheet'!C188, "% ", J186, " Sandstone, ", L186, K186, " FLUOR in SST. ", "TG ", 'Input Sheet'!I188, "U"))</f>
        <v>Sample 3186m: 0% Siltstone, 100% fine to very coarse Sandstone, 100% bright  FLUOR in SST. TG 190U</v>
      </c>
      <c r="B186" s="3" t="str">
        <f>IF('Input Sheet'!C188="","",CONCATENATE("Sample ", 'Input Sheet'!B188, "m: ", O186, I186, "% ", "Siltstone, ", Q186, 'Input Sheet'!C188, "% ", K186, " Sandstone "))</f>
        <v xml:space="preserve">Sample 3186m: fine to very coarse% Siltstone, 100% bright  Sandstone </v>
      </c>
      <c r="C186" s="3" t="str">
        <f>IF('Input Sheet'!C188="","",CONCATENATE("Sample ", 'Input Sheet'!B188, "m: ", N186,, L186, K186, " FLUOR in SST. ", "TG ", 'Input Sheet'!I188, "U"))</f>
        <v>Sample 3186m: 100% bright  FLUOR in SST. TG 190U</v>
      </c>
      <c r="H186" s="6">
        <f>IF('Input Sheet'!C188="","",100-'Input Sheet'!C188)</f>
        <v>0</v>
      </c>
      <c r="I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>fine to very coarse</v>
      </c>
      <c r="J186" s="6" t="str">
        <f t="shared" si="2"/>
        <v>fine to very coarse</v>
      </c>
      <c r="K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 xml:space="preserve">bright </v>
      </c>
      <c r="L186" s="6" t="str">
        <f>IF('Input Sheet'!F188=0, "NO",CONCATENATE('Input Sheet'!F188, IF('Input Sheet'!F188&gt;0,"% ","")))</f>
        <v xml:space="preserve">100% </v>
      </c>
      <c r="M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6" s="6" t="str">
        <f>CONCATENATE(M186, IF('Input Sheet'!J188="",""," siderite in "))</f>
        <v/>
      </c>
      <c r="O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6" s="6" t="str">
        <f>CONCATENATE(O186, IF('Input Sheet'!K188="",""," siderite in "))</f>
        <v/>
      </c>
    </row>
    <row r="187" spans="1:16" x14ac:dyDescent="0.25">
      <c r="A187" s="17" t="str">
        <f>IF('Input Sheet'!C189="","",CONCATENATE("Sample ", 'Input Sheet'!B189, "m: ", N187, H187, "% ", "Siltstone, ", P187, 'Input Sheet'!C189, "% ", J187, " Sandstone, ", L187, K187, " FLUOR in SST. ", "TG ", 'Input Sheet'!I189, "U"))</f>
        <v/>
      </c>
      <c r="B187" s="3" t="str">
        <f>IF('Input Sheet'!C189="","",CONCATENATE("Sample ", 'Input Sheet'!B189, "m: ", O187, I187, "% ", "Siltstone, ", Q187, 'Input Sheet'!C189, "% ", K187, " Sandstone "))</f>
        <v/>
      </c>
      <c r="C187" s="3" t="str">
        <f>IF('Input Sheet'!C189="","",CONCATENATE("Sample ", 'Input Sheet'!B189, "m: ", N187,, L187, K187, " FLUOR in SST. ", "TG ", 'Input Sheet'!I189, "U"))</f>
        <v/>
      </c>
      <c r="H187" s="6" t="str">
        <f>IF('Input Sheet'!C189="","",100-'Input Sheet'!C189)</f>
        <v/>
      </c>
      <c r="I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7" s="6" t="str">
        <f t="shared" si="2"/>
        <v/>
      </c>
      <c r="K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7" s="6" t="str">
        <f>IF('Input Sheet'!F189=0, "NO",CONCATENATE('Input Sheet'!F189, IF('Input Sheet'!F189&gt;0,"% ","")))</f>
        <v>NO</v>
      </c>
      <c r="M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7" s="6" t="str">
        <f>CONCATENATE(M187, IF('Input Sheet'!J189="",""," siderite in "))</f>
        <v/>
      </c>
      <c r="O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7" s="6" t="str">
        <f>CONCATENATE(O187, IF('Input Sheet'!K189="",""," siderite in "))</f>
        <v/>
      </c>
    </row>
    <row r="188" spans="1:16" x14ac:dyDescent="0.25">
      <c r="A188" s="17" t="str">
        <f>IF('Input Sheet'!C190="","",CONCATENATE("Sample ", 'Input Sheet'!B190, "m: ", N188, H188, "% ", "Siltstone, ", P188, 'Input Sheet'!C190, "% ", J188, " Sandstone, ", L188, K188, " FLUOR in SST. ", "TG ", 'Input Sheet'!I190, "U"))</f>
        <v/>
      </c>
      <c r="B188" s="3" t="str">
        <f>IF('Input Sheet'!C190="","",CONCATENATE("Sample ", 'Input Sheet'!B190, "m: ", O188, I188, "% ", "Siltstone, ", Q188, 'Input Sheet'!C190, "% ", K188, " Sandstone "))</f>
        <v/>
      </c>
      <c r="C188" s="3" t="str">
        <f>IF('Input Sheet'!C190="","",CONCATENATE("Sample ", 'Input Sheet'!B190, "m: ", N188,, L188, K188, " FLUOR in SST. ", "TG ", 'Input Sheet'!I190, "U"))</f>
        <v/>
      </c>
      <c r="H188" s="6" t="str">
        <f>IF('Input Sheet'!C190="","",100-'Input Sheet'!C190)</f>
        <v/>
      </c>
      <c r="I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8" s="6" t="str">
        <f t="shared" si="2"/>
        <v/>
      </c>
      <c r="K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8" s="6" t="str">
        <f>IF('Input Sheet'!F190=0, "NO",CONCATENATE('Input Sheet'!F190, IF('Input Sheet'!F190&gt;0,"% ","")))</f>
        <v>NO</v>
      </c>
      <c r="M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8" s="6" t="str">
        <f>CONCATENATE(M188, IF('Input Sheet'!J190="",""," siderite in "))</f>
        <v/>
      </c>
      <c r="O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8" s="6" t="str">
        <f>CONCATENATE(O188, IF('Input Sheet'!K190="",""," siderite in "))</f>
        <v/>
      </c>
    </row>
    <row r="189" spans="1:16" x14ac:dyDescent="0.25">
      <c r="A189" s="17" t="str">
        <f>IF('Input Sheet'!C191="","",CONCATENATE("Sample ", 'Input Sheet'!B191, "m: ", N189, H189, "% ", "Siltstone, ", P189, 'Input Sheet'!C191, "% ", J189, " Sandstone, ", L189, K189, " FLUOR in SST. ", "TG ", 'Input Sheet'!I191, "U"))</f>
        <v/>
      </c>
      <c r="B189" s="3" t="str">
        <f>IF('Input Sheet'!C191="","",CONCATENATE("Sample ", 'Input Sheet'!B191, "m: ", O189, I189, "% ", "Siltstone, ", Q189, 'Input Sheet'!C191, "% ", K189, " Sandstone "))</f>
        <v/>
      </c>
      <c r="C189" s="3" t="str">
        <f>IF('Input Sheet'!C191="","",CONCATENATE("Sample ", 'Input Sheet'!B191, "m: ", N189,, L189, K189, " FLUOR in SST. ", "TG ", 'Input Sheet'!I191, "U"))</f>
        <v/>
      </c>
      <c r="H189" s="6" t="str">
        <f>IF('Input Sheet'!C191="","",100-'Input Sheet'!C191)</f>
        <v/>
      </c>
      <c r="I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89" s="6" t="str">
        <f t="shared" si="2"/>
        <v/>
      </c>
      <c r="K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89" s="6" t="str">
        <f>IF('Input Sheet'!F191=0, "NO",CONCATENATE('Input Sheet'!F191, IF('Input Sheet'!F191&gt;0,"% ","")))</f>
        <v>NO</v>
      </c>
      <c r="M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89" s="6" t="str">
        <f>CONCATENATE(M189, IF('Input Sheet'!J191="",""," siderite in "))</f>
        <v/>
      </c>
      <c r="O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89" s="6" t="str">
        <f>CONCATENATE(O189, IF('Input Sheet'!K191="",""," siderite in "))</f>
        <v/>
      </c>
    </row>
    <row r="190" spans="1:16" x14ac:dyDescent="0.25">
      <c r="A190" s="17" t="str">
        <f>IF('Input Sheet'!C192="","",CONCATENATE("Sample ", 'Input Sheet'!B192, "m: ", N190, H190, "% ", "Siltstone, ", P190, 'Input Sheet'!C192, "% ", J190, " Sandstone, ", L190, K190, " FLUOR in SST. ", "TG ", 'Input Sheet'!I192, "U"))</f>
        <v/>
      </c>
      <c r="B190" s="3" t="str">
        <f>IF('Input Sheet'!C192="","",CONCATENATE("Sample ", 'Input Sheet'!B192, "m: ", O190, I190, "% ", "Siltstone, ", Q190, 'Input Sheet'!C192, "% ", K190, " Sandstone "))</f>
        <v/>
      </c>
      <c r="C190" s="3" t="str">
        <f>IF('Input Sheet'!C192="","",CONCATENATE("Sample ", 'Input Sheet'!B192, "m: ", N190,, L190, K190, " FLUOR in SST. ", "TG ", 'Input Sheet'!I192, "U"))</f>
        <v/>
      </c>
      <c r="H190" s="6" t="str">
        <f>IF('Input Sheet'!C192="","",100-'Input Sheet'!C192)</f>
        <v/>
      </c>
      <c r="I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0" s="6" t="str">
        <f t="shared" si="2"/>
        <v/>
      </c>
      <c r="K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0" s="6" t="str">
        <f>IF('Input Sheet'!F192=0, "NO",CONCATENATE('Input Sheet'!F192, IF('Input Sheet'!F192&gt;0,"% ","")))</f>
        <v>NO</v>
      </c>
      <c r="M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0" s="6" t="str">
        <f>CONCATENATE(M190, IF('Input Sheet'!J192="",""," siderite in "))</f>
        <v/>
      </c>
      <c r="O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0" s="6" t="str">
        <f>CONCATENATE(O190, IF('Input Sheet'!K192="",""," siderite in "))</f>
        <v/>
      </c>
    </row>
    <row r="191" spans="1:16" x14ac:dyDescent="0.25">
      <c r="A191" s="17" t="str">
        <f>IF('Input Sheet'!C193="","",CONCATENATE("Sample ", 'Input Sheet'!B193, "m: ", N191, H191, "% ", "Siltstone, ", P191, 'Input Sheet'!C193, "% ", J191, " Sandstone, ", L191, K191, " FLUOR in SST. ", "TG ", 'Input Sheet'!I193, "U"))</f>
        <v/>
      </c>
      <c r="B191" s="3" t="str">
        <f>IF('Input Sheet'!C193="","",CONCATENATE("Sample ", 'Input Sheet'!B193, "m: ", O191, I191, "% ", "Siltstone, ", Q191, 'Input Sheet'!C193, "% ", K191, " Sandstone "))</f>
        <v/>
      </c>
      <c r="C191" s="3" t="str">
        <f>IF('Input Sheet'!C193="","",CONCATENATE("Sample ", 'Input Sheet'!B193, "m: ", N191,, L191, K191, " FLUOR in SST. ", "TG ", 'Input Sheet'!I193, "U"))</f>
        <v/>
      </c>
      <c r="H191" s="6" t="str">
        <f>IF('Input Sheet'!C193="","",100-'Input Sheet'!C193)</f>
        <v/>
      </c>
      <c r="I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1" s="6" t="str">
        <f t="shared" si="2"/>
        <v/>
      </c>
      <c r="K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1" s="6" t="str">
        <f>IF('Input Sheet'!F193=0, "NO",CONCATENATE('Input Sheet'!F193, IF('Input Sheet'!F193&gt;0,"% ","")))</f>
        <v>NO</v>
      </c>
      <c r="M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1" s="6" t="str">
        <f>CONCATENATE(M191, IF('Input Sheet'!J193="",""," siderite in "))</f>
        <v/>
      </c>
      <c r="O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1" s="6" t="str">
        <f>CONCATENATE(O191, IF('Input Sheet'!K193="",""," siderite in "))</f>
        <v/>
      </c>
    </row>
    <row r="192" spans="1:16" x14ac:dyDescent="0.25">
      <c r="A192" s="17" t="str">
        <f>IF('Input Sheet'!C194="","",CONCATENATE("Sample ", 'Input Sheet'!B194, "m: ", N192, H192, "% ", "Siltstone, ", P192, 'Input Sheet'!C194, "% ", J192, " Sandstone, ", L192, K192, " FLUOR in SST. ", "TG ", 'Input Sheet'!I194, "U"))</f>
        <v/>
      </c>
      <c r="B192" s="3" t="str">
        <f>IF('Input Sheet'!C194="","",CONCATENATE("Sample ", 'Input Sheet'!B194, "m: ", O192, I192, "% ", "Siltstone, ", Q192, 'Input Sheet'!C194, "% ", K192, " Sandstone "))</f>
        <v/>
      </c>
      <c r="C192" s="3" t="str">
        <f>IF('Input Sheet'!C194="","",CONCATENATE("Sample ", 'Input Sheet'!B194, "m: ", N192,, L192, K192, " FLUOR in SST. ", "TG ", 'Input Sheet'!I194, "U"))</f>
        <v/>
      </c>
      <c r="H192" s="6" t="str">
        <f>IF('Input Sheet'!C194="","",100-'Input Sheet'!C194)</f>
        <v/>
      </c>
      <c r="I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2" s="6" t="str">
        <f t="shared" si="2"/>
        <v/>
      </c>
      <c r="K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2" s="6" t="str">
        <f>IF('Input Sheet'!F194=0, "NO",CONCATENATE('Input Sheet'!F194, IF('Input Sheet'!F194&gt;0,"% ","")))</f>
        <v>NO</v>
      </c>
      <c r="M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2" s="6" t="str">
        <f>CONCATENATE(M192, IF('Input Sheet'!J194="",""," siderite in "))</f>
        <v/>
      </c>
      <c r="O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2" s="6" t="str">
        <f>CONCATENATE(O192, IF('Input Sheet'!K194="",""," siderite in "))</f>
        <v/>
      </c>
    </row>
    <row r="193" spans="1:16" x14ac:dyDescent="0.25">
      <c r="A193" s="17" t="str">
        <f>IF('Input Sheet'!C195="","",CONCATENATE("Sample ", 'Input Sheet'!B195, "m: ", N193, H193, "% ", "Siltstone, ", P193, 'Input Sheet'!C195, "% ", J193, " Sandstone, ", L193, K193, " FLUOR in SST. ", "TG ", 'Input Sheet'!I195, "U"))</f>
        <v/>
      </c>
      <c r="B193" s="3" t="str">
        <f>IF('Input Sheet'!C195="","",CONCATENATE("Sample ", 'Input Sheet'!B195, "m: ", O193, I193, "% ", "Siltstone, ", Q193, 'Input Sheet'!C195, "% ", K193, " Sandstone "))</f>
        <v/>
      </c>
      <c r="C193" s="3" t="str">
        <f>IF('Input Sheet'!C195="","",CONCATENATE("Sample ", 'Input Sheet'!B195, "m: ", N193,, L193, K193, " FLUOR in SST. ", "TG ", 'Input Sheet'!I195, "U"))</f>
        <v/>
      </c>
      <c r="H193" s="6" t="str">
        <f>IF('Input Sheet'!C195="","",100-'Input Sheet'!C195)</f>
        <v/>
      </c>
      <c r="I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3" s="6" t="str">
        <f t="shared" si="2"/>
        <v/>
      </c>
      <c r="K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3" s="6" t="str">
        <f>IF('Input Sheet'!F195=0, "NO",CONCATENATE('Input Sheet'!F195, IF('Input Sheet'!F195&gt;0,"% ","")))</f>
        <v>NO</v>
      </c>
      <c r="M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3" s="6" t="str">
        <f>CONCATENATE(M193, IF('Input Sheet'!J195="",""," siderite in "))</f>
        <v/>
      </c>
      <c r="O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3" s="6" t="str">
        <f>CONCATENATE(O193, IF('Input Sheet'!K195="",""," siderite in "))</f>
        <v/>
      </c>
    </row>
    <row r="194" spans="1:16" x14ac:dyDescent="0.25">
      <c r="A194" s="17" t="str">
        <f>IF('Input Sheet'!C196="","",CONCATENATE("Sample ", 'Input Sheet'!B196, "m: ", N194, H194, "% ", "Siltstone, ", P194, 'Input Sheet'!C196, "% ", J194, " Sandstone, ", L194, K194, " FLUOR in SST. ", "TG ", 'Input Sheet'!I196, "U"))</f>
        <v/>
      </c>
      <c r="B194" s="3" t="str">
        <f>IF('Input Sheet'!C196="","",CONCATENATE("Sample ", 'Input Sheet'!B196, "m: ", O194, I194, "% ", "Siltstone, ", Q194, 'Input Sheet'!C196, "% ", K194, " Sandstone "))</f>
        <v/>
      </c>
      <c r="C194" s="3" t="str">
        <f>IF('Input Sheet'!C196="","",CONCATENATE("Sample ", 'Input Sheet'!B196, "m: ", N194,, L194, K194, " FLUOR in SST. ", "TG ", 'Input Sheet'!I196, "U"))</f>
        <v/>
      </c>
      <c r="H194" s="6" t="str">
        <f>IF('Input Sheet'!C196="","",100-'Input Sheet'!C196)</f>
        <v/>
      </c>
      <c r="I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4" s="6" t="str">
        <f t="shared" ref="J194:J257" si="3">SUBSTITUTE(I194, "veryfine", "very fine")</f>
        <v/>
      </c>
      <c r="K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4" s="6" t="str">
        <f>IF('Input Sheet'!F196=0, "NO",CONCATENATE('Input Sheet'!F196, IF('Input Sheet'!F196&gt;0,"% ","")))</f>
        <v>NO</v>
      </c>
      <c r="M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4" s="6" t="str">
        <f>CONCATENATE(M194, IF('Input Sheet'!J196="",""," siderite in "))</f>
        <v/>
      </c>
      <c r="O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4" s="6" t="str">
        <f>CONCATENATE(O194, IF('Input Sheet'!K196="",""," siderite in "))</f>
        <v/>
      </c>
    </row>
    <row r="195" spans="1:16" x14ac:dyDescent="0.25">
      <c r="A195" s="17" t="str">
        <f>IF('Input Sheet'!C197="","",CONCATENATE("Sample ", 'Input Sheet'!B197, "m: ", N195, H195, "% ", "Siltstone, ", P195, 'Input Sheet'!C197, "% ", J195, " Sandstone, ", L195, K195, " FLUOR in SST. ", "TG ", 'Input Sheet'!I197, "U"))</f>
        <v/>
      </c>
      <c r="B195" s="3" t="str">
        <f>IF('Input Sheet'!C197="","",CONCATENATE("Sample ", 'Input Sheet'!B197, "m: ", O195, I195, "% ", "Siltstone, ", Q195, 'Input Sheet'!C197, "% ", K195, " Sandstone "))</f>
        <v/>
      </c>
      <c r="C195" s="3" t="str">
        <f>IF('Input Sheet'!C197="","",CONCATENATE("Sample ", 'Input Sheet'!B197, "m: ", N195,, L195, K195, " FLUOR in SST. ", "TG ", 'Input Sheet'!I197, "U"))</f>
        <v/>
      </c>
      <c r="H195" s="6" t="str">
        <f>IF('Input Sheet'!C197="","",100-'Input Sheet'!C197)</f>
        <v/>
      </c>
      <c r="I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5" s="6" t="str">
        <f t="shared" si="3"/>
        <v/>
      </c>
      <c r="K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5" s="6" t="str">
        <f>IF('Input Sheet'!F197=0, "NO",CONCATENATE('Input Sheet'!F197, IF('Input Sheet'!F197&gt;0,"% ","")))</f>
        <v>NO</v>
      </c>
      <c r="M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5" s="6" t="str">
        <f>CONCATENATE(M195, IF('Input Sheet'!J197="",""," siderite in "))</f>
        <v/>
      </c>
      <c r="O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5" s="6" t="str">
        <f>CONCATENATE(O195, IF('Input Sheet'!K197="",""," siderite in "))</f>
        <v/>
      </c>
    </row>
    <row r="196" spans="1:16" x14ac:dyDescent="0.25">
      <c r="A196" s="17" t="str">
        <f>IF('Input Sheet'!C198="","",CONCATENATE("Sample ", 'Input Sheet'!B198, "m: ", N196, H196, "% ", "Siltstone, ", P196, 'Input Sheet'!C198, "% ", J196, " Sandstone, ", L196, K196, " FLUOR in SST. ", "TG ", 'Input Sheet'!I198, "U"))</f>
        <v/>
      </c>
      <c r="B196" s="3" t="str">
        <f>IF('Input Sheet'!C198="","",CONCATENATE("Sample ", 'Input Sheet'!B198, "m: ", O196, I196, "% ", "Siltstone, ", Q196, 'Input Sheet'!C198, "% ", K196, " Sandstone "))</f>
        <v/>
      </c>
      <c r="C196" s="3" t="str">
        <f>IF('Input Sheet'!C198="","",CONCATENATE("Sample ", 'Input Sheet'!B198, "m: ", N196,, L196, K196, " FLUOR in SST. ", "TG ", 'Input Sheet'!I198, "U"))</f>
        <v/>
      </c>
      <c r="H196" s="6" t="str">
        <f>IF('Input Sheet'!C198="","",100-'Input Sheet'!C198)</f>
        <v/>
      </c>
      <c r="I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6" s="6" t="str">
        <f t="shared" si="3"/>
        <v/>
      </c>
      <c r="K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6" s="6" t="str">
        <f>IF('Input Sheet'!F198=0, "NO",CONCATENATE('Input Sheet'!F198, IF('Input Sheet'!F198&gt;0,"% ","")))</f>
        <v>NO</v>
      </c>
      <c r="M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6" s="6" t="str">
        <f>CONCATENATE(M196, IF('Input Sheet'!J198="",""," siderite in "))</f>
        <v/>
      </c>
      <c r="O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6" s="6" t="str">
        <f>CONCATENATE(O196, IF('Input Sheet'!K198="",""," siderite in "))</f>
        <v/>
      </c>
    </row>
    <row r="197" spans="1:16" x14ac:dyDescent="0.25">
      <c r="A197" s="17" t="str">
        <f>IF('Input Sheet'!C199="","",CONCATENATE("Sample ", 'Input Sheet'!B199, "m: ", N197, H197, "% ", "Siltstone, ", P197, 'Input Sheet'!C199, "% ", J197, " Sandstone, ", L197, K197, " FLUOR in SST. ", "TG ", 'Input Sheet'!I199, "U"))</f>
        <v/>
      </c>
      <c r="B197" s="3" t="str">
        <f>IF('Input Sheet'!C199="","",CONCATENATE("Sample ", 'Input Sheet'!B199, "m: ", O197, I197, "% ", "Siltstone, ", Q197, 'Input Sheet'!C199, "% ", K197, " Sandstone "))</f>
        <v/>
      </c>
      <c r="C197" s="3" t="str">
        <f>IF('Input Sheet'!C199="","",CONCATENATE("Sample ", 'Input Sheet'!B199, "m: ", N197,, L197, K197, " FLUOR in SST. ", "TG ", 'Input Sheet'!I199, "U"))</f>
        <v/>
      </c>
      <c r="H197" s="6" t="str">
        <f>IF('Input Sheet'!C199="","",100-'Input Sheet'!C199)</f>
        <v/>
      </c>
      <c r="I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7" s="6" t="str">
        <f t="shared" si="3"/>
        <v/>
      </c>
      <c r="K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7" s="6" t="str">
        <f>IF('Input Sheet'!F199=0, "NO",CONCATENATE('Input Sheet'!F199, IF('Input Sheet'!F199&gt;0,"% ","")))</f>
        <v>NO</v>
      </c>
      <c r="M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7" s="6" t="str">
        <f>CONCATENATE(M197, IF('Input Sheet'!J199="",""," siderite in "))</f>
        <v/>
      </c>
      <c r="O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7" s="6" t="str">
        <f>CONCATENATE(O197, IF('Input Sheet'!K199="",""," siderite in "))</f>
        <v/>
      </c>
    </row>
    <row r="198" spans="1:16" x14ac:dyDescent="0.25">
      <c r="A198" s="17" t="str">
        <f>IF('Input Sheet'!C200="","",CONCATENATE("Sample ", 'Input Sheet'!B200, "m: ", N198, H198, "% ", "Siltstone, ", P198, 'Input Sheet'!C200, "% ", J198, " Sandstone, ", L198, K198, " FLUOR in SST. ", "TG ", 'Input Sheet'!I200, "U"))</f>
        <v/>
      </c>
      <c r="B198" s="3" t="str">
        <f>IF('Input Sheet'!C200="","",CONCATENATE("Sample ", 'Input Sheet'!B200, "m: ", O198, I198, "% ", "Siltstone, ", Q198, 'Input Sheet'!C200, "% ", K198, " Sandstone "))</f>
        <v/>
      </c>
      <c r="C198" s="3" t="str">
        <f>IF('Input Sheet'!C200="","",CONCATENATE("Sample ", 'Input Sheet'!B200, "m: ", N198,, L198, K198, " FLUOR in SST. ", "TG ", 'Input Sheet'!I200, "U"))</f>
        <v/>
      </c>
      <c r="H198" s="6" t="str">
        <f>IF('Input Sheet'!C200="","",100-'Input Sheet'!C200)</f>
        <v/>
      </c>
      <c r="I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8" s="6" t="str">
        <f t="shared" si="3"/>
        <v/>
      </c>
      <c r="K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8" s="6" t="str">
        <f>IF('Input Sheet'!F200=0, "NO",CONCATENATE('Input Sheet'!F200, IF('Input Sheet'!F200&gt;0,"% ","")))</f>
        <v>NO</v>
      </c>
      <c r="M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8" s="6" t="str">
        <f>CONCATENATE(M198, IF('Input Sheet'!J200="",""," siderite in "))</f>
        <v/>
      </c>
      <c r="O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8" s="6" t="str">
        <f>CONCATENATE(O198, IF('Input Sheet'!K200="",""," siderite in "))</f>
        <v/>
      </c>
    </row>
    <row r="199" spans="1:16" x14ac:dyDescent="0.25">
      <c r="A199" s="17" t="str">
        <f>IF('Input Sheet'!C201="","",CONCATENATE("Sample ", 'Input Sheet'!B201, "m: ", N199, H199, "% ", "Siltstone, ", P199, 'Input Sheet'!C201, "% ", J199, " Sandstone, ", L199, K199, " FLUOR in SST. ", "TG ", 'Input Sheet'!I201, "U"))</f>
        <v/>
      </c>
      <c r="B199" s="3" t="str">
        <f>IF('Input Sheet'!C201="","",CONCATENATE("Sample ", 'Input Sheet'!B201, "m: ", O199, I199, "% ", "Siltstone, ", Q199, 'Input Sheet'!C201, "% ", K199, " Sandstone "))</f>
        <v/>
      </c>
      <c r="C199" s="3" t="str">
        <f>IF('Input Sheet'!C201="","",CONCATENATE("Sample ", 'Input Sheet'!B201, "m: ", N199,, L199, K199, " FLUOR in SST. ", "TG ", 'Input Sheet'!I201, "U"))</f>
        <v/>
      </c>
      <c r="H199" s="6" t="str">
        <f>IF('Input Sheet'!C201="","",100-'Input Sheet'!C201)</f>
        <v/>
      </c>
      <c r="I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199" s="6" t="str">
        <f t="shared" si="3"/>
        <v/>
      </c>
      <c r="K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199" s="6" t="str">
        <f>IF('Input Sheet'!F201=0, "NO",CONCATENATE('Input Sheet'!F201, IF('Input Sheet'!F201&gt;0,"% ","")))</f>
        <v>NO</v>
      </c>
      <c r="M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199" s="6" t="str">
        <f>CONCATENATE(M199, IF('Input Sheet'!J201="",""," siderite in "))</f>
        <v/>
      </c>
      <c r="O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199" s="6" t="str">
        <f>CONCATENATE(O199, IF('Input Sheet'!K201="",""," siderite in "))</f>
        <v/>
      </c>
    </row>
    <row r="200" spans="1:16" x14ac:dyDescent="0.25">
      <c r="A200" s="17" t="str">
        <f>IF('Input Sheet'!C202="","",CONCATENATE("Sample ", 'Input Sheet'!B202, "m: ", N200, H200, "% ", "Siltstone, ", P200, 'Input Sheet'!C202, "% ", J200, " Sandstone, ", L200, K200, " FLUOR in SST. ", "TG ", 'Input Sheet'!I202, "U"))</f>
        <v/>
      </c>
      <c r="B200" s="3" t="str">
        <f>IF('Input Sheet'!C202="","",CONCATENATE("Sample ", 'Input Sheet'!B202, "m: ", O200, I200, "% ", "Siltstone, ", Q200, 'Input Sheet'!C202, "% ", K200, " Sandstone "))</f>
        <v/>
      </c>
      <c r="C200" s="3" t="str">
        <f>IF('Input Sheet'!C202="","",CONCATENATE("Sample ", 'Input Sheet'!B202, "m: ", N200,, L200, K200, " FLUOR in SST. ", "TG ", 'Input Sheet'!I202, "U"))</f>
        <v/>
      </c>
      <c r="H200" s="6" t="str">
        <f>IF('Input Sheet'!C202="","",100-'Input Sheet'!C202)</f>
        <v/>
      </c>
      <c r="I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0" s="6" t="str">
        <f t="shared" si="3"/>
        <v/>
      </c>
      <c r="K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0" s="6" t="str">
        <f>IF('Input Sheet'!F202=0, "NO",CONCATENATE('Input Sheet'!F202, IF('Input Sheet'!F202&gt;0,"% ","")))</f>
        <v>NO</v>
      </c>
      <c r="M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0" s="6" t="str">
        <f>CONCATENATE(M200, IF('Input Sheet'!J202="",""," siderite in "))</f>
        <v/>
      </c>
      <c r="O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0" s="6" t="str">
        <f>CONCATENATE(O200, IF('Input Sheet'!K202="",""," siderite in "))</f>
        <v/>
      </c>
    </row>
    <row r="201" spans="1:16" x14ac:dyDescent="0.25">
      <c r="A201" s="17" t="str">
        <f>IF('Input Sheet'!C203="","",CONCATENATE("Sample ", 'Input Sheet'!B203, "m: ", N201, H201, "% ", "Siltstone, ", P201, 'Input Sheet'!C203, "% ", J201, " Sandstone, ", L201, K201, " FLUOR in SST. ", "TG ", 'Input Sheet'!I203, "U"))</f>
        <v/>
      </c>
      <c r="B201" s="3" t="str">
        <f>IF('Input Sheet'!C203="","",CONCATENATE("Sample ", 'Input Sheet'!B203, "m: ", O201, I201, "% ", "Siltstone, ", Q201, 'Input Sheet'!C203, "% ", K201, " Sandstone "))</f>
        <v/>
      </c>
      <c r="C201" s="3" t="str">
        <f>IF('Input Sheet'!C203="","",CONCATENATE("Sample ", 'Input Sheet'!B203, "m: ", N201,, L201, K201, " FLUOR in SST. ", "TG ", 'Input Sheet'!I203, "U"))</f>
        <v/>
      </c>
      <c r="H201" s="6" t="str">
        <f>IF('Input Sheet'!C203="","",100-'Input Sheet'!C203)</f>
        <v/>
      </c>
      <c r="I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1" s="6" t="str">
        <f t="shared" si="3"/>
        <v/>
      </c>
      <c r="K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1" s="6" t="str">
        <f>IF('Input Sheet'!F203=0, "NO",CONCATENATE('Input Sheet'!F203, IF('Input Sheet'!F203&gt;0,"% ","")))</f>
        <v>NO</v>
      </c>
      <c r="M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1" s="6" t="str">
        <f>CONCATENATE(M201, IF('Input Sheet'!J203="",""," siderite in "))</f>
        <v/>
      </c>
      <c r="O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1" s="6" t="str">
        <f>CONCATENATE(O201, IF('Input Sheet'!K203="",""," siderite in "))</f>
        <v/>
      </c>
    </row>
    <row r="202" spans="1:16" x14ac:dyDescent="0.25">
      <c r="A202" s="17" t="str">
        <f>IF('Input Sheet'!C204="","",CONCATENATE("Sample ", 'Input Sheet'!B204, "m: ", N202, H202, "% ", "Siltstone, ", P202, 'Input Sheet'!C204, "% ", J202, " Sandstone, ", L202, K202, " FLUOR in SST. ", "TG ", 'Input Sheet'!I204, "U"))</f>
        <v/>
      </c>
      <c r="B202" s="3" t="str">
        <f>IF('Input Sheet'!C204="","",CONCATENATE("Sample ", 'Input Sheet'!B204, "m: ", O202, I202, "% ", "Siltstone, ", Q202, 'Input Sheet'!C204, "% ", K202, " Sandstone "))</f>
        <v/>
      </c>
      <c r="C202" s="3" t="str">
        <f>IF('Input Sheet'!C204="","",CONCATENATE("Sample ", 'Input Sheet'!B204, "m: ", N202,, L202, K202, " FLUOR in SST. ", "TG ", 'Input Sheet'!I204, "U"))</f>
        <v/>
      </c>
      <c r="H202" s="6" t="str">
        <f>IF('Input Sheet'!C204="","",100-'Input Sheet'!C204)</f>
        <v/>
      </c>
      <c r="I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2" s="6" t="str">
        <f t="shared" si="3"/>
        <v/>
      </c>
      <c r="K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2" s="6" t="str">
        <f>IF('Input Sheet'!F204=0, "NO",CONCATENATE('Input Sheet'!F204, IF('Input Sheet'!F204&gt;0,"% ","")))</f>
        <v>NO</v>
      </c>
      <c r="M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2" s="6" t="str">
        <f>CONCATENATE(M202, IF('Input Sheet'!J204="",""," siderite in "))</f>
        <v/>
      </c>
      <c r="O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2" s="6" t="str">
        <f>CONCATENATE(O202, IF('Input Sheet'!K204="",""," siderite in "))</f>
        <v/>
      </c>
    </row>
    <row r="203" spans="1:16" x14ac:dyDescent="0.25">
      <c r="A203" s="17" t="str">
        <f>IF('Input Sheet'!C205="","",CONCATENATE("Sample ", 'Input Sheet'!B205, "m: ", N203, H203, "% ", "Siltstone, ", P203, 'Input Sheet'!C205, "% ", J203, " Sandstone, ", L203, K203, " FLUOR in SST. ", "TG ", 'Input Sheet'!I205, "U"))</f>
        <v/>
      </c>
      <c r="B203" s="3" t="str">
        <f>IF('Input Sheet'!C205="","",CONCATENATE("Sample ", 'Input Sheet'!B205, "m: ", O203, I203, "% ", "Siltstone, ", Q203, 'Input Sheet'!C205, "% ", K203, " Sandstone "))</f>
        <v/>
      </c>
      <c r="C203" s="3" t="str">
        <f>IF('Input Sheet'!C205="","",CONCATENATE("Sample ", 'Input Sheet'!B205, "m: ", N203,, L203, K203, " FLUOR in SST. ", "TG ", 'Input Sheet'!I205, "U"))</f>
        <v/>
      </c>
      <c r="H203" s="6" t="str">
        <f>IF('Input Sheet'!C205="","",100-'Input Sheet'!C205)</f>
        <v/>
      </c>
      <c r="I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3" s="6" t="str">
        <f t="shared" si="3"/>
        <v/>
      </c>
      <c r="K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3" s="6" t="str">
        <f>IF('Input Sheet'!F205=0, "NO",CONCATENATE('Input Sheet'!F205, IF('Input Sheet'!F205&gt;0,"% ","")))</f>
        <v>NO</v>
      </c>
      <c r="M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3" s="6" t="str">
        <f>CONCATENATE(M203, IF('Input Sheet'!J205="",""," siderite in "))</f>
        <v/>
      </c>
      <c r="O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3" s="6" t="str">
        <f>CONCATENATE(O203, IF('Input Sheet'!K205="",""," siderite in "))</f>
        <v/>
      </c>
    </row>
    <row r="204" spans="1:16" x14ac:dyDescent="0.25">
      <c r="A204" s="17" t="str">
        <f>IF('Input Sheet'!C206="","",CONCATENATE("Sample ", 'Input Sheet'!B206, "m: ", N204, H204, "% ", "Siltstone, ", P204, 'Input Sheet'!C206, "% ", J204, " Sandstone, ", L204, K204, " FLUOR in SST. ", "TG ", 'Input Sheet'!I206, "U"))</f>
        <v/>
      </c>
      <c r="B204" s="3" t="str">
        <f>IF('Input Sheet'!C206="","",CONCATENATE("Sample ", 'Input Sheet'!B206, "m: ", O204, I204, "% ", "Siltstone, ", Q204, 'Input Sheet'!C206, "% ", K204, " Sandstone "))</f>
        <v/>
      </c>
      <c r="C204" s="3" t="str">
        <f>IF('Input Sheet'!C206="","",CONCATENATE("Sample ", 'Input Sheet'!B206, "m: ", N204,, L204, K204, " FLUOR in SST. ", "TG ", 'Input Sheet'!I206, "U"))</f>
        <v/>
      </c>
      <c r="H204" s="6" t="str">
        <f>IF('Input Sheet'!C206="","",100-'Input Sheet'!C206)</f>
        <v/>
      </c>
      <c r="I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4" s="6" t="str">
        <f t="shared" si="3"/>
        <v/>
      </c>
      <c r="K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4" s="6" t="str">
        <f>IF('Input Sheet'!F206=0, "NO",CONCATENATE('Input Sheet'!F206, IF('Input Sheet'!F206&gt;0,"% ","")))</f>
        <v>NO</v>
      </c>
      <c r="M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4" s="6" t="str">
        <f>CONCATENATE(M204, IF('Input Sheet'!J206="",""," siderite in "))</f>
        <v/>
      </c>
      <c r="O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4" s="6" t="str">
        <f>CONCATENATE(O204, IF('Input Sheet'!K206="",""," siderite in "))</f>
        <v/>
      </c>
    </row>
    <row r="205" spans="1:16" x14ac:dyDescent="0.25">
      <c r="A205" s="17" t="str">
        <f>IF('Input Sheet'!C207="","",CONCATENATE("Sample ", 'Input Sheet'!B207, "m: ", N205, H205, "% ", "Siltstone, ", P205, 'Input Sheet'!C207, "% ", J205, " Sandstone, ", L205, K205, " FLUOR in SST. ", "TG ", 'Input Sheet'!I207, "U"))</f>
        <v/>
      </c>
      <c r="B205" s="3" t="str">
        <f>IF('Input Sheet'!C207="","",CONCATENATE("Sample ", 'Input Sheet'!B207, "m: ", O205, I205, "% ", "Siltstone, ", Q205, 'Input Sheet'!C207, "% ", K205, " Sandstone "))</f>
        <v/>
      </c>
      <c r="C205" s="3" t="str">
        <f>IF('Input Sheet'!C207="","",CONCATENATE("Sample ", 'Input Sheet'!B207, "m: ", N205,, L205, K205, " FLUOR in SST. ", "TG ", 'Input Sheet'!I207, "U"))</f>
        <v/>
      </c>
      <c r="H205" s="6" t="str">
        <f>IF('Input Sheet'!C207="","",100-'Input Sheet'!C207)</f>
        <v/>
      </c>
      <c r="I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5" s="6" t="str">
        <f t="shared" si="3"/>
        <v/>
      </c>
      <c r="K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5" s="6" t="str">
        <f>IF('Input Sheet'!F207=0, "NO",CONCATENATE('Input Sheet'!F207, IF('Input Sheet'!F207&gt;0,"% ","")))</f>
        <v>NO</v>
      </c>
      <c r="M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5" s="6" t="str">
        <f>CONCATENATE(M205, IF('Input Sheet'!J207="",""," siderite in "))</f>
        <v/>
      </c>
      <c r="O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5" s="6" t="str">
        <f>CONCATENATE(O205, IF('Input Sheet'!K207="",""," siderite in "))</f>
        <v/>
      </c>
    </row>
    <row r="206" spans="1:16" x14ac:dyDescent="0.25">
      <c r="A206" s="17" t="str">
        <f>IF('Input Sheet'!C208="","",CONCATENATE("Sample ", 'Input Sheet'!B208, "m: ", N206, H206, "% ", "Siltstone, ", P206, 'Input Sheet'!C208, "% ", J206, " Sandstone, ", L206, K206, " FLUOR in SST. ", "TG ", 'Input Sheet'!I208, "U"))</f>
        <v/>
      </c>
      <c r="B206" s="3" t="str">
        <f>IF('Input Sheet'!C208="","",CONCATENATE("Sample ", 'Input Sheet'!B208, "m: ", O206, I206, "% ", "Siltstone, ", Q206, 'Input Sheet'!C208, "% ", K206, " Sandstone "))</f>
        <v/>
      </c>
      <c r="C206" s="3" t="str">
        <f>IF('Input Sheet'!C208="","",CONCATENATE("Sample ", 'Input Sheet'!B208, "m: ", N206,, L206, K206, " FLUOR in SST. ", "TG ", 'Input Sheet'!I208, "U"))</f>
        <v/>
      </c>
      <c r="H206" s="6" t="str">
        <f>IF('Input Sheet'!C208="","",100-'Input Sheet'!C208)</f>
        <v/>
      </c>
      <c r="I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6" s="6" t="str">
        <f t="shared" si="3"/>
        <v/>
      </c>
      <c r="K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6" s="6" t="str">
        <f>IF('Input Sheet'!F208=0, "NO",CONCATENATE('Input Sheet'!F208, IF('Input Sheet'!F208&gt;0,"% ","")))</f>
        <v>NO</v>
      </c>
      <c r="M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6" s="6" t="str">
        <f>CONCATENATE(M206, IF('Input Sheet'!J208="",""," siderite in "))</f>
        <v/>
      </c>
      <c r="O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6" s="6" t="str">
        <f>CONCATENATE(O206, IF('Input Sheet'!K208="",""," siderite in "))</f>
        <v/>
      </c>
    </row>
    <row r="207" spans="1:16" x14ac:dyDescent="0.25">
      <c r="A207" s="17" t="str">
        <f>IF('Input Sheet'!C209="","",CONCATENATE("Sample ", 'Input Sheet'!B209, "m: ", N207, H207, "% ", "Siltstone, ", P207, 'Input Sheet'!C209, "% ", J207, " Sandstone, ", L207, K207, " FLUOR in SST. ", "TG ", 'Input Sheet'!I209, "U"))</f>
        <v/>
      </c>
      <c r="B207" s="3" t="str">
        <f>IF('Input Sheet'!C209="","",CONCATENATE("Sample ", 'Input Sheet'!B209, "m: ", O207, I207, "% ", "Siltstone, ", Q207, 'Input Sheet'!C209, "% ", K207, " Sandstone "))</f>
        <v/>
      </c>
      <c r="C207" s="3" t="str">
        <f>IF('Input Sheet'!C209="","",CONCATENATE("Sample ", 'Input Sheet'!B209, "m: ", N207,, L207, K207, " FLUOR in SST. ", "TG ", 'Input Sheet'!I209, "U"))</f>
        <v/>
      </c>
      <c r="H207" s="6" t="str">
        <f>IF('Input Sheet'!C209="","",100-'Input Sheet'!C209)</f>
        <v/>
      </c>
      <c r="I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7" s="6" t="str">
        <f t="shared" si="3"/>
        <v/>
      </c>
      <c r="K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7" s="6" t="str">
        <f>IF('Input Sheet'!F209=0, "NO",CONCATENATE('Input Sheet'!F209, IF('Input Sheet'!F209&gt;0,"% ","")))</f>
        <v>NO</v>
      </c>
      <c r="M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7" s="6" t="str">
        <f>CONCATENATE(M207, IF('Input Sheet'!J209="",""," siderite in "))</f>
        <v/>
      </c>
      <c r="O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7" s="6" t="str">
        <f>CONCATENATE(O207, IF('Input Sheet'!K209="",""," siderite in "))</f>
        <v/>
      </c>
    </row>
    <row r="208" spans="1:16" x14ac:dyDescent="0.25">
      <c r="A208" s="17" t="str">
        <f>IF('Input Sheet'!C210="","",CONCATENATE("Sample ", 'Input Sheet'!B210, "m: ", N208, H208, "% ", "Siltstone, ", P208, 'Input Sheet'!C210, "% ", J208, " Sandstone, ", L208, K208, " FLUOR in SST. ", "TG ", 'Input Sheet'!I210, "U"))</f>
        <v/>
      </c>
      <c r="B208" s="3" t="str">
        <f>IF('Input Sheet'!C210="","",CONCATENATE("Sample ", 'Input Sheet'!B210, "m: ", O208, I208, "% ", "Siltstone, ", Q208, 'Input Sheet'!C210, "% ", K208, " Sandstone "))</f>
        <v/>
      </c>
      <c r="C208" s="3" t="str">
        <f>IF('Input Sheet'!C210="","",CONCATENATE("Sample ", 'Input Sheet'!B210, "m: ", N208,, L208, K208, " FLUOR in SST. ", "TG ", 'Input Sheet'!I210, "U"))</f>
        <v/>
      </c>
      <c r="H208" s="6" t="str">
        <f>IF('Input Sheet'!C210="","",100-'Input Sheet'!C210)</f>
        <v/>
      </c>
      <c r="I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8" s="6" t="str">
        <f t="shared" si="3"/>
        <v/>
      </c>
      <c r="K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8" s="6" t="str">
        <f>IF('Input Sheet'!F210=0, "NO",CONCATENATE('Input Sheet'!F210, IF('Input Sheet'!F210&gt;0,"% ","")))</f>
        <v>NO</v>
      </c>
      <c r="M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8" s="6" t="str">
        <f>CONCATENATE(M208, IF('Input Sheet'!J210="",""," siderite in "))</f>
        <v/>
      </c>
      <c r="O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8" s="6" t="str">
        <f>CONCATENATE(O208, IF('Input Sheet'!K210="",""," siderite in "))</f>
        <v/>
      </c>
    </row>
    <row r="209" spans="1:16" x14ac:dyDescent="0.25">
      <c r="A209" s="17" t="str">
        <f>IF('Input Sheet'!C211="","",CONCATENATE("Sample ", 'Input Sheet'!B211, "m: ", N209, H209, "% ", "Siltstone, ", P209, 'Input Sheet'!C211, "% ", J209, " Sandstone, ", L209, K209, " FLUOR in SST. ", "TG ", 'Input Sheet'!I211, "U"))</f>
        <v/>
      </c>
      <c r="B209" s="3" t="str">
        <f>IF('Input Sheet'!C211="","",CONCATENATE("Sample ", 'Input Sheet'!B211, "m: ", O209, I209, "% ", "Siltstone, ", Q209, 'Input Sheet'!C211, "% ", K209, " Sandstone "))</f>
        <v/>
      </c>
      <c r="C209" s="3" t="str">
        <f>IF('Input Sheet'!C211="","",CONCATENATE("Sample ", 'Input Sheet'!B211, "m: ", N209,, L209, K209, " FLUOR in SST. ", "TG ", 'Input Sheet'!I211, "U"))</f>
        <v/>
      </c>
      <c r="H209" s="6" t="str">
        <f>IF('Input Sheet'!C211="","",100-'Input Sheet'!C211)</f>
        <v/>
      </c>
      <c r="I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09" s="6" t="str">
        <f t="shared" si="3"/>
        <v/>
      </c>
      <c r="K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09" s="6" t="str">
        <f>IF('Input Sheet'!F211=0, "NO",CONCATENATE('Input Sheet'!F211, IF('Input Sheet'!F211&gt;0,"% ","")))</f>
        <v>NO</v>
      </c>
      <c r="M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09" s="6" t="str">
        <f>CONCATENATE(M209, IF('Input Sheet'!J211="",""," siderite in "))</f>
        <v/>
      </c>
      <c r="O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09" s="6" t="str">
        <f>CONCATENATE(O209, IF('Input Sheet'!K211="",""," siderite in "))</f>
        <v/>
      </c>
    </row>
    <row r="210" spans="1:16" x14ac:dyDescent="0.25">
      <c r="A210" s="17" t="str">
        <f>IF('Input Sheet'!C212="","",CONCATENATE("Sample ", 'Input Sheet'!B212, "m: ", N210, H210, "% ", "Siltstone, ", P210, 'Input Sheet'!C212, "% ", J210, " Sandstone, ", L210, K210, " FLUOR in SST. ", "TG ", 'Input Sheet'!I212, "U"))</f>
        <v/>
      </c>
      <c r="B210" s="3" t="str">
        <f>IF('Input Sheet'!C212="","",CONCATENATE("Sample ", 'Input Sheet'!B212, "m: ", O210, I210, "% ", "Siltstone, ", Q210, 'Input Sheet'!C212, "% ", K210, " Sandstone "))</f>
        <v/>
      </c>
      <c r="C210" s="3" t="str">
        <f>IF('Input Sheet'!C212="","",CONCATENATE("Sample ", 'Input Sheet'!B212, "m: ", N210,, L210, K210, " FLUOR in SST. ", "TG ", 'Input Sheet'!I212, "U"))</f>
        <v/>
      </c>
      <c r="H210" s="6" t="str">
        <f>IF('Input Sheet'!C212="","",100-'Input Sheet'!C212)</f>
        <v/>
      </c>
      <c r="I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0" s="6" t="str">
        <f t="shared" si="3"/>
        <v/>
      </c>
      <c r="K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0" s="6" t="str">
        <f>IF('Input Sheet'!F212=0, "NO",CONCATENATE('Input Sheet'!F212, IF('Input Sheet'!F212&gt;0,"% ","")))</f>
        <v>NO</v>
      </c>
      <c r="M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0" s="6" t="str">
        <f>CONCATENATE(M210, IF('Input Sheet'!J212="",""," siderite in "))</f>
        <v/>
      </c>
      <c r="O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0" s="6" t="str">
        <f>CONCATENATE(O210, IF('Input Sheet'!K212="",""," siderite in "))</f>
        <v/>
      </c>
    </row>
    <row r="211" spans="1:16" x14ac:dyDescent="0.25">
      <c r="A211" s="17" t="str">
        <f>IF('Input Sheet'!C213="","",CONCATENATE("Sample ", 'Input Sheet'!B213, "m: ", N211, H211, "% ", "Siltstone, ", P211, 'Input Sheet'!C213, "% ", J211, " Sandstone, ", L211, K211, " FLUOR in SST. ", "TG ", 'Input Sheet'!I213, "U"))</f>
        <v/>
      </c>
      <c r="B211" s="3" t="str">
        <f>IF('Input Sheet'!C213="","",CONCATENATE("Sample ", 'Input Sheet'!B213, "m: ", O211, I211, "% ", "Siltstone, ", Q211, 'Input Sheet'!C213, "% ", K211, " Sandstone "))</f>
        <v/>
      </c>
      <c r="C211" s="3" t="str">
        <f>IF('Input Sheet'!C213="","",CONCATENATE("Sample ", 'Input Sheet'!B213, "m: ", N211,, L211, K211, " FLUOR in SST. ", "TG ", 'Input Sheet'!I213, "U"))</f>
        <v/>
      </c>
      <c r="H211" s="6" t="str">
        <f>IF('Input Sheet'!C213="","",100-'Input Sheet'!C213)</f>
        <v/>
      </c>
      <c r="I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1" s="6" t="str">
        <f t="shared" si="3"/>
        <v/>
      </c>
      <c r="K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1" s="6" t="str">
        <f>IF('Input Sheet'!F213=0, "NO",CONCATENATE('Input Sheet'!F213, IF('Input Sheet'!F213&gt;0,"% ","")))</f>
        <v>NO</v>
      </c>
      <c r="M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1" s="6" t="str">
        <f>CONCATENATE(M211, IF('Input Sheet'!J213="",""," siderite in "))</f>
        <v/>
      </c>
      <c r="O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1" s="6" t="str">
        <f>CONCATENATE(O211, IF('Input Sheet'!K213="",""," siderite in "))</f>
        <v/>
      </c>
    </row>
    <row r="212" spans="1:16" x14ac:dyDescent="0.25">
      <c r="A212" s="17" t="str">
        <f>IF('Input Sheet'!C214="","",CONCATENATE("Sample ", 'Input Sheet'!B214, "m: ", N212, H212, "% ", "Siltstone, ", P212, 'Input Sheet'!C214, "% ", J212, " Sandstone, ", L212, K212, " FLUOR in SST. ", "TG ", 'Input Sheet'!I214, "U"))</f>
        <v/>
      </c>
      <c r="B212" s="3" t="str">
        <f>IF('Input Sheet'!C214="","",CONCATENATE("Sample ", 'Input Sheet'!B214, "m: ", O212, I212, "% ", "Siltstone, ", Q212, 'Input Sheet'!C214, "% ", K212, " Sandstone "))</f>
        <v/>
      </c>
      <c r="C212" s="3" t="str">
        <f>IF('Input Sheet'!C214="","",CONCATENATE("Sample ", 'Input Sheet'!B214, "m: ", N212,, L212, K212, " FLUOR in SST. ", "TG ", 'Input Sheet'!I214, "U"))</f>
        <v/>
      </c>
      <c r="H212" s="6" t="str">
        <f>IF('Input Sheet'!C214="","",100-'Input Sheet'!C214)</f>
        <v/>
      </c>
      <c r="I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2" s="6" t="str">
        <f t="shared" si="3"/>
        <v/>
      </c>
      <c r="K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2" s="6" t="str">
        <f>IF('Input Sheet'!F214=0, "NO",CONCATENATE('Input Sheet'!F214, IF('Input Sheet'!F214&gt;0,"% ","")))</f>
        <v>NO</v>
      </c>
      <c r="M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2" s="6" t="str">
        <f>CONCATENATE(M212, IF('Input Sheet'!J214="",""," siderite in "))</f>
        <v/>
      </c>
      <c r="O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2" s="6" t="str">
        <f>CONCATENATE(O212, IF('Input Sheet'!K214="",""," siderite in "))</f>
        <v/>
      </c>
    </row>
    <row r="213" spans="1:16" x14ac:dyDescent="0.25">
      <c r="A213" s="17" t="str">
        <f>IF('Input Sheet'!C215="","",CONCATENATE("Sample ", 'Input Sheet'!B215, "m: ", N213, H213, "% ", "Siltstone, ", P213, 'Input Sheet'!C215, "% ", J213, " Sandstone, ", L213, K213, " FLUOR in SST. ", "TG ", 'Input Sheet'!I215, "U"))</f>
        <v/>
      </c>
      <c r="B213" s="3" t="str">
        <f>IF('Input Sheet'!C215="","",CONCATENATE("Sample ", 'Input Sheet'!B215, "m: ", O213, I213, "% ", "Siltstone, ", Q213, 'Input Sheet'!C215, "% ", K213, " Sandstone "))</f>
        <v/>
      </c>
      <c r="C213" s="3" t="str">
        <f>IF('Input Sheet'!C215="","",CONCATENATE("Sample ", 'Input Sheet'!B215, "m: ", N213,, L213, K213, " FLUOR in SST. ", "TG ", 'Input Sheet'!I215, "U"))</f>
        <v/>
      </c>
      <c r="H213" s="6" t="str">
        <f>IF('Input Sheet'!C215="","",100-'Input Sheet'!C215)</f>
        <v/>
      </c>
      <c r="I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3" s="6" t="str">
        <f t="shared" si="3"/>
        <v/>
      </c>
      <c r="K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3" s="6" t="str">
        <f>IF('Input Sheet'!F215=0, "NO",CONCATENATE('Input Sheet'!F215, IF('Input Sheet'!F215&gt;0,"% ","")))</f>
        <v>NO</v>
      </c>
      <c r="M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3" s="6" t="str">
        <f>CONCATENATE(M213, IF('Input Sheet'!J215="",""," siderite in "))</f>
        <v/>
      </c>
      <c r="O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3" s="6" t="str">
        <f>CONCATENATE(O213, IF('Input Sheet'!K215="",""," siderite in "))</f>
        <v/>
      </c>
    </row>
    <row r="214" spans="1:16" x14ac:dyDescent="0.25">
      <c r="A214" s="17" t="str">
        <f>IF('Input Sheet'!C216="","",CONCATENATE("Sample ", 'Input Sheet'!B216, "m: ", N214, H214, "% ", "Siltstone, ", P214, 'Input Sheet'!C216, "% ", J214, " Sandstone, ", L214, K214, " FLUOR in SST. ", "TG ", 'Input Sheet'!I216, "U"))</f>
        <v/>
      </c>
      <c r="B214" s="3" t="str">
        <f>IF('Input Sheet'!C216="","",CONCATENATE("Sample ", 'Input Sheet'!B216, "m: ", O214, I214, "% ", "Siltstone, ", Q214, 'Input Sheet'!C216, "% ", K214, " Sandstone "))</f>
        <v/>
      </c>
      <c r="C214" s="3" t="str">
        <f>IF('Input Sheet'!C216="","",CONCATENATE("Sample ", 'Input Sheet'!B216, "m: ", N214,, L214, K214, " FLUOR in SST. ", "TG ", 'Input Sheet'!I216, "U"))</f>
        <v/>
      </c>
      <c r="H214" s="6" t="str">
        <f>IF('Input Sheet'!C216="","",100-'Input Sheet'!C216)</f>
        <v/>
      </c>
      <c r="I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4" s="6" t="str">
        <f t="shared" si="3"/>
        <v/>
      </c>
      <c r="K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4" s="6" t="str">
        <f>IF('Input Sheet'!F216=0, "NO",CONCATENATE('Input Sheet'!F216, IF('Input Sheet'!F216&gt;0,"% ","")))</f>
        <v>NO</v>
      </c>
      <c r="M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4" s="6" t="str">
        <f>CONCATENATE(M214, IF('Input Sheet'!J216="",""," siderite in "))</f>
        <v/>
      </c>
      <c r="O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4" s="6" t="str">
        <f>CONCATENATE(O214, IF('Input Sheet'!K216="",""," siderite in "))</f>
        <v/>
      </c>
    </row>
    <row r="215" spans="1:16" x14ac:dyDescent="0.25">
      <c r="A215" s="17" t="str">
        <f>IF('Input Sheet'!C217="","",CONCATENATE("Sample ", 'Input Sheet'!B217, "m: ", N215, H215, "% ", "Siltstone, ", P215, 'Input Sheet'!C217, "% ", J215, " Sandstone, ", L215, K215, " FLUOR in SST. ", "TG ", 'Input Sheet'!I217, "U"))</f>
        <v/>
      </c>
      <c r="B215" s="3" t="str">
        <f>IF('Input Sheet'!C217="","",CONCATENATE("Sample ", 'Input Sheet'!B217, "m: ", O215, I215, "% ", "Siltstone, ", Q215, 'Input Sheet'!C217, "% ", K215, " Sandstone "))</f>
        <v/>
      </c>
      <c r="C215" s="3" t="str">
        <f>IF('Input Sheet'!C217="","",CONCATENATE("Sample ", 'Input Sheet'!B217, "m: ", N215,, L215, K215, " FLUOR in SST. ", "TG ", 'Input Sheet'!I217, "U"))</f>
        <v/>
      </c>
      <c r="H215" s="6" t="str">
        <f>IF('Input Sheet'!C217="","",100-'Input Sheet'!C217)</f>
        <v/>
      </c>
      <c r="I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5" s="6" t="str">
        <f t="shared" si="3"/>
        <v/>
      </c>
      <c r="K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5" s="6" t="str">
        <f>IF('Input Sheet'!F217=0, "NO",CONCATENATE('Input Sheet'!F217, IF('Input Sheet'!F217&gt;0,"% ","")))</f>
        <v>NO</v>
      </c>
      <c r="M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5" s="6" t="str">
        <f>CONCATENATE(M215, IF('Input Sheet'!J217="",""," siderite in "))</f>
        <v/>
      </c>
      <c r="O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5" s="6" t="str">
        <f>CONCATENATE(O215, IF('Input Sheet'!K217="",""," siderite in "))</f>
        <v/>
      </c>
    </row>
    <row r="216" spans="1:16" x14ac:dyDescent="0.25">
      <c r="A216" s="17" t="str">
        <f>IF('Input Sheet'!C218="","",CONCATENATE("Sample ", 'Input Sheet'!B218, "m: ", N216, H216, "% ", "Siltstone, ", P216, 'Input Sheet'!C218, "% ", J216, " Sandstone, ", L216, K216, " FLUOR in SST. ", "TG ", 'Input Sheet'!I218, "U"))</f>
        <v/>
      </c>
      <c r="B216" s="3" t="str">
        <f>IF('Input Sheet'!C218="","",CONCATENATE("Sample ", 'Input Sheet'!B218, "m: ", O216, I216, "% ", "Siltstone, ", Q216, 'Input Sheet'!C218, "% ", K216, " Sandstone "))</f>
        <v/>
      </c>
      <c r="C216" s="3" t="str">
        <f>IF('Input Sheet'!C218="","",CONCATENATE("Sample ", 'Input Sheet'!B218, "m: ", N216,, L216, K216, " FLUOR in SST. ", "TG ", 'Input Sheet'!I218, "U"))</f>
        <v/>
      </c>
      <c r="H216" s="6" t="str">
        <f>IF('Input Sheet'!C218="","",100-'Input Sheet'!C218)</f>
        <v/>
      </c>
      <c r="I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6" s="6" t="str">
        <f t="shared" si="3"/>
        <v/>
      </c>
      <c r="K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6" s="6" t="str">
        <f>IF('Input Sheet'!F218=0, "NO",CONCATENATE('Input Sheet'!F218, IF('Input Sheet'!F218&gt;0,"% ","")))</f>
        <v>NO</v>
      </c>
      <c r="M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6" s="6" t="str">
        <f>CONCATENATE(M216, IF('Input Sheet'!J218="",""," siderite in "))</f>
        <v/>
      </c>
      <c r="O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6" s="6" t="str">
        <f>CONCATENATE(O216, IF('Input Sheet'!K218="",""," siderite in "))</f>
        <v/>
      </c>
    </row>
    <row r="217" spans="1:16" x14ac:dyDescent="0.25">
      <c r="A217" s="17" t="str">
        <f>IF('Input Sheet'!C219="","",CONCATENATE("Sample ", 'Input Sheet'!B219, "m: ", N217, H217, "% ", "Siltstone, ", P217, 'Input Sheet'!C219, "% ", J217, " Sandstone, ", L217, K217, " FLUOR in SST. ", "TG ", 'Input Sheet'!I219, "U"))</f>
        <v/>
      </c>
      <c r="B217" s="3" t="str">
        <f>IF('Input Sheet'!C219="","",CONCATENATE("Sample ", 'Input Sheet'!B219, "m: ", O217, I217, "% ", "Siltstone, ", Q217, 'Input Sheet'!C219, "% ", K217, " Sandstone "))</f>
        <v/>
      </c>
      <c r="C217" s="3" t="str">
        <f>IF('Input Sheet'!C219="","",CONCATENATE("Sample ", 'Input Sheet'!B219, "m: ", N217,, L217, K217, " FLUOR in SST. ", "TG ", 'Input Sheet'!I219, "U"))</f>
        <v/>
      </c>
      <c r="H217" s="6" t="str">
        <f>IF('Input Sheet'!C219="","",100-'Input Sheet'!C219)</f>
        <v/>
      </c>
      <c r="I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7" s="6" t="str">
        <f t="shared" si="3"/>
        <v/>
      </c>
      <c r="K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7" s="6" t="str">
        <f>IF('Input Sheet'!F219=0, "NO",CONCATENATE('Input Sheet'!F219, IF('Input Sheet'!F219&gt;0,"% ","")))</f>
        <v>NO</v>
      </c>
      <c r="M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7" s="6" t="str">
        <f>CONCATENATE(M217, IF('Input Sheet'!J219="",""," siderite in "))</f>
        <v/>
      </c>
      <c r="O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7" s="6" t="str">
        <f>CONCATENATE(O217, IF('Input Sheet'!K219="",""," siderite in "))</f>
        <v/>
      </c>
    </row>
    <row r="218" spans="1:16" x14ac:dyDescent="0.25">
      <c r="A218" s="17" t="str">
        <f>IF('Input Sheet'!C220="","",CONCATENATE("Sample ", 'Input Sheet'!B220, "m: ", N218, H218, "% ", "Siltstone, ", P218, 'Input Sheet'!C220, "% ", J218, " Sandstone, ", L218, K218, " FLUOR in SST. ", "TG ", 'Input Sheet'!I220, "U"))</f>
        <v/>
      </c>
      <c r="B218" s="3" t="str">
        <f>IF('Input Sheet'!C220="","",CONCATENATE("Sample ", 'Input Sheet'!B220, "m: ", O218, I218, "% ", "Siltstone, ", Q218, 'Input Sheet'!C220, "% ", K218, " Sandstone "))</f>
        <v/>
      </c>
      <c r="C218" s="3" t="str">
        <f>IF('Input Sheet'!C220="","",CONCATENATE("Sample ", 'Input Sheet'!B220, "m: ", N218,, L218, K218, " FLUOR in SST. ", "TG ", 'Input Sheet'!I220, "U"))</f>
        <v/>
      </c>
      <c r="H218" s="6" t="str">
        <f>IF('Input Sheet'!C220="","",100-'Input Sheet'!C220)</f>
        <v/>
      </c>
      <c r="I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8" s="6" t="str">
        <f t="shared" si="3"/>
        <v/>
      </c>
      <c r="K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8" s="6" t="str">
        <f>IF('Input Sheet'!F220=0, "NO",CONCATENATE('Input Sheet'!F220, IF('Input Sheet'!F220&gt;0,"% ","")))</f>
        <v>NO</v>
      </c>
      <c r="M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8" s="6" t="str">
        <f>CONCATENATE(M218, IF('Input Sheet'!J220="",""," siderite in "))</f>
        <v/>
      </c>
      <c r="O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8" s="6" t="str">
        <f>CONCATENATE(O218, IF('Input Sheet'!K220="",""," siderite in "))</f>
        <v/>
      </c>
    </row>
    <row r="219" spans="1:16" x14ac:dyDescent="0.25">
      <c r="A219" s="17" t="str">
        <f>IF('Input Sheet'!C221="","",CONCATENATE("Sample ", 'Input Sheet'!B221, "m: ", N219, H219, "% ", "Siltstone, ", P219, 'Input Sheet'!C221, "% ", J219, " Sandstone, ", L219, K219, " FLUOR in SST. ", "TG ", 'Input Sheet'!I221, "U"))</f>
        <v/>
      </c>
      <c r="B219" s="3" t="str">
        <f>IF('Input Sheet'!C221="","",CONCATENATE("Sample ", 'Input Sheet'!B221, "m: ", O219, I219, "% ", "Siltstone, ", Q219, 'Input Sheet'!C221, "% ", K219, " Sandstone "))</f>
        <v/>
      </c>
      <c r="C219" s="3" t="str">
        <f>IF('Input Sheet'!C221="","",CONCATENATE("Sample ", 'Input Sheet'!B221, "m: ", N219,, L219, K219, " FLUOR in SST. ", "TG ", 'Input Sheet'!I221, "U"))</f>
        <v/>
      </c>
      <c r="H219" s="6" t="str">
        <f>IF('Input Sheet'!C221="","",100-'Input Sheet'!C221)</f>
        <v/>
      </c>
      <c r="I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19" s="6" t="str">
        <f t="shared" si="3"/>
        <v/>
      </c>
      <c r="K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19" s="6" t="str">
        <f>IF('Input Sheet'!F221=0, "NO",CONCATENATE('Input Sheet'!F221, IF('Input Sheet'!F221&gt;0,"% ","")))</f>
        <v>NO</v>
      </c>
      <c r="M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19" s="6" t="str">
        <f>CONCATENATE(M219, IF('Input Sheet'!J221="",""," siderite in "))</f>
        <v/>
      </c>
      <c r="O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19" s="6" t="str">
        <f>CONCATENATE(O219, IF('Input Sheet'!K221="",""," siderite in "))</f>
        <v/>
      </c>
    </row>
    <row r="220" spans="1:16" x14ac:dyDescent="0.25">
      <c r="A220" s="17" t="str">
        <f>IF('Input Sheet'!C222="","",CONCATENATE("Sample ", 'Input Sheet'!B222, "m: ", N220, H220, "% ", "Siltstone, ", P220, 'Input Sheet'!C222, "% ", J220, " Sandstone, ", L220, K220, " FLUOR in SST. ", "TG ", 'Input Sheet'!I222, "U"))</f>
        <v/>
      </c>
      <c r="B220" s="3" t="str">
        <f>IF('Input Sheet'!C222="","",CONCATENATE("Sample ", 'Input Sheet'!B222, "m: ", O220, I220, "% ", "Siltstone, ", Q220, 'Input Sheet'!C222, "% ", K220, " Sandstone "))</f>
        <v/>
      </c>
      <c r="C220" s="3" t="str">
        <f>IF('Input Sheet'!C222="","",CONCATENATE("Sample ", 'Input Sheet'!B222, "m: ", N220,, L220, K220, " FLUOR in SST. ", "TG ", 'Input Sheet'!I222, "U"))</f>
        <v/>
      </c>
      <c r="H220" s="6" t="str">
        <f>IF('Input Sheet'!C222="","",100-'Input Sheet'!C222)</f>
        <v/>
      </c>
      <c r="I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0" s="6" t="str">
        <f t="shared" si="3"/>
        <v/>
      </c>
      <c r="K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0" s="6" t="str">
        <f>IF('Input Sheet'!F222=0, "NO",CONCATENATE('Input Sheet'!F222, IF('Input Sheet'!F222&gt;0,"% ","")))</f>
        <v>NO</v>
      </c>
      <c r="M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0" s="6" t="str">
        <f>CONCATENATE(M220, IF('Input Sheet'!J222="",""," siderite in "))</f>
        <v/>
      </c>
      <c r="O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0" s="6" t="str">
        <f>CONCATENATE(O220, IF('Input Sheet'!K222="",""," siderite in "))</f>
        <v/>
      </c>
    </row>
    <row r="221" spans="1:16" x14ac:dyDescent="0.25">
      <c r="A221" s="17" t="str">
        <f>IF('Input Sheet'!C223="","",CONCATENATE("Sample ", 'Input Sheet'!B223, "m: ", N221, H221, "% ", "Siltstone, ", P221, 'Input Sheet'!C223, "% ", J221, " Sandstone, ", L221, K221, " FLUOR in SST. ", "TG ", 'Input Sheet'!I223, "U"))</f>
        <v/>
      </c>
      <c r="B221" s="3" t="str">
        <f>IF('Input Sheet'!C223="","",CONCATENATE("Sample ", 'Input Sheet'!B223, "m: ", O221, I221, "% ", "Siltstone, ", Q221, 'Input Sheet'!C223, "% ", K221, " Sandstone "))</f>
        <v/>
      </c>
      <c r="C221" s="3" t="str">
        <f>IF('Input Sheet'!C223="","",CONCATENATE("Sample ", 'Input Sheet'!B223, "m: ", N221,, L221, K221, " FLUOR in SST. ", "TG ", 'Input Sheet'!I223, "U"))</f>
        <v/>
      </c>
      <c r="H221" s="6" t="str">
        <f>IF('Input Sheet'!C223="","",100-'Input Sheet'!C223)</f>
        <v/>
      </c>
      <c r="I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1" s="6" t="str">
        <f t="shared" si="3"/>
        <v/>
      </c>
      <c r="K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1" s="6" t="str">
        <f>IF('Input Sheet'!F223=0, "NO",CONCATENATE('Input Sheet'!F223, IF('Input Sheet'!F223&gt;0,"% ","")))</f>
        <v>NO</v>
      </c>
      <c r="M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1" s="6" t="str">
        <f>CONCATENATE(M221, IF('Input Sheet'!J223="",""," siderite in "))</f>
        <v/>
      </c>
      <c r="O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1" s="6" t="str">
        <f>CONCATENATE(O221, IF('Input Sheet'!K223="",""," siderite in "))</f>
        <v/>
      </c>
    </row>
    <row r="222" spans="1:16" x14ac:dyDescent="0.25">
      <c r="A222" s="17" t="str">
        <f>IF('Input Sheet'!C224="","",CONCATENATE("Sample ", 'Input Sheet'!B224, "m: ", N222, H222, "% ", "Siltstone, ", P222, 'Input Sheet'!C224, "% ", J222, " Sandstone, ", L222, K222, " FLUOR in SST. ", "TG ", 'Input Sheet'!I224, "U"))</f>
        <v/>
      </c>
      <c r="B222" s="3" t="str">
        <f>IF('Input Sheet'!C224="","",CONCATENATE("Sample ", 'Input Sheet'!B224, "m: ", O222, I222, "% ", "Siltstone, ", Q222, 'Input Sheet'!C224, "% ", K222, " Sandstone "))</f>
        <v/>
      </c>
      <c r="C222" s="3" t="str">
        <f>IF('Input Sheet'!C224="","",CONCATENATE("Sample ", 'Input Sheet'!B224, "m: ", N222,, L222, K222, " FLUOR in SST. ", "TG ", 'Input Sheet'!I224, "U"))</f>
        <v/>
      </c>
      <c r="H222" s="6" t="str">
        <f>IF('Input Sheet'!C224="","",100-'Input Sheet'!C224)</f>
        <v/>
      </c>
      <c r="I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2" s="6" t="str">
        <f t="shared" si="3"/>
        <v/>
      </c>
      <c r="K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2" s="6" t="str">
        <f>IF('Input Sheet'!F224=0, "NO",CONCATENATE('Input Sheet'!F224, IF('Input Sheet'!F224&gt;0,"% ","")))</f>
        <v>NO</v>
      </c>
      <c r="M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2" s="6" t="str">
        <f>CONCATENATE(M222, IF('Input Sheet'!J224="",""," siderite in "))</f>
        <v/>
      </c>
      <c r="O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2" s="6" t="str">
        <f>CONCATENATE(O222, IF('Input Sheet'!K224="",""," siderite in "))</f>
        <v/>
      </c>
    </row>
    <row r="223" spans="1:16" x14ac:dyDescent="0.25">
      <c r="A223" s="17" t="str">
        <f>IF('Input Sheet'!C225="","",CONCATENATE("Sample ", 'Input Sheet'!B225, "m: ", N223, H223, "% ", "Siltstone, ", P223, 'Input Sheet'!C225, "% ", J223, " Sandstone, ", L223, K223, " FLUOR in SST. ", "TG ", 'Input Sheet'!I225, "U"))</f>
        <v/>
      </c>
      <c r="B223" s="3" t="str">
        <f>IF('Input Sheet'!C225="","",CONCATENATE("Sample ", 'Input Sheet'!B225, "m: ", O223, I223, "% ", "Siltstone, ", Q223, 'Input Sheet'!C225, "% ", K223, " Sandstone "))</f>
        <v/>
      </c>
      <c r="C223" s="3" t="str">
        <f>IF('Input Sheet'!C225="","",CONCATENATE("Sample ", 'Input Sheet'!B225, "m: ", N223,, L223, K223, " FLUOR in SST. ", "TG ", 'Input Sheet'!I225, "U"))</f>
        <v/>
      </c>
      <c r="H223" s="6" t="str">
        <f>IF('Input Sheet'!C225="","",100-'Input Sheet'!C225)</f>
        <v/>
      </c>
      <c r="I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3" s="6" t="str">
        <f t="shared" si="3"/>
        <v/>
      </c>
      <c r="K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3" s="6" t="str">
        <f>IF('Input Sheet'!F225=0, "NO",CONCATENATE('Input Sheet'!F225, IF('Input Sheet'!F225&gt;0,"% ","")))</f>
        <v>NO</v>
      </c>
      <c r="M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3" s="6" t="str">
        <f>CONCATENATE(M223, IF('Input Sheet'!J225="",""," siderite in "))</f>
        <v/>
      </c>
      <c r="O223" s="6"/>
      <c r="P223" s="6" t="str">
        <f>CONCATENATE(O223, IF('Input Sheet'!K225="",""," siderite in "))</f>
        <v/>
      </c>
    </row>
    <row r="224" spans="1:16" x14ac:dyDescent="0.25">
      <c r="A224" s="17" t="str">
        <f>IF('Input Sheet'!C226="","",CONCATENATE("Sample ", 'Input Sheet'!B226, "m: ", N224, H224, "% ", "Siltstone, ", P224, 'Input Sheet'!C226, "% ", J224, " Sandstone, ", L224, K224, " FLUOR in SST. ", "TG ", 'Input Sheet'!I226, "U"))</f>
        <v/>
      </c>
      <c r="B224" s="3" t="str">
        <f>IF('Input Sheet'!C226="","",CONCATENATE("Sample ", 'Input Sheet'!B226, "m: ", O224, I224, "% ", "Siltstone, ", Q224, 'Input Sheet'!C226, "% ", K224, " Sandstone "))</f>
        <v/>
      </c>
      <c r="C224" s="3" t="str">
        <f>IF('Input Sheet'!C226="","",CONCATENATE("Sample ", 'Input Sheet'!B226, "m: ", N224,, L224, K224, " FLUOR in SST. ", "TG ", 'Input Sheet'!I226, "U"))</f>
        <v/>
      </c>
      <c r="H224" s="6" t="str">
        <f>IF('Input Sheet'!C226="","",100-'Input Sheet'!C226)</f>
        <v/>
      </c>
      <c r="I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4" s="6" t="str">
        <f t="shared" si="3"/>
        <v/>
      </c>
      <c r="K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4" s="6" t="str">
        <f>IF('Input Sheet'!F226=0, "NO",CONCATENATE('Input Sheet'!F226, IF('Input Sheet'!F226&gt;0,"% ","")))</f>
        <v>NO</v>
      </c>
      <c r="M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4" s="6" t="str">
        <f>CONCATENATE(M224, IF('Input Sheet'!J226="",""," siderite in "))</f>
        <v/>
      </c>
      <c r="O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4" s="6" t="str">
        <f>CONCATENATE(O224, IF('Input Sheet'!K226="",""," siderite in "))</f>
        <v/>
      </c>
    </row>
    <row r="225" spans="1:16" x14ac:dyDescent="0.25">
      <c r="A225" s="17" t="str">
        <f>IF('Input Sheet'!C227="","",CONCATENATE("Sample ", 'Input Sheet'!B227, "m: ", N225, H225, "% ", "Siltstone, ", P225, 'Input Sheet'!C227, "% ", J225, " Sandstone, ", L225, K225, " FLUOR in SST. ", "TG ", 'Input Sheet'!I227, "U"))</f>
        <v/>
      </c>
      <c r="B225" s="3" t="str">
        <f>IF('Input Sheet'!C227="","",CONCATENATE("Sample ", 'Input Sheet'!B227, "m: ", O225, I225, "% ", "Siltstone, ", Q225, 'Input Sheet'!C227, "% ", K225, " Sandstone "))</f>
        <v/>
      </c>
      <c r="C225" s="3" t="str">
        <f>IF('Input Sheet'!C227="","",CONCATENATE("Sample ", 'Input Sheet'!B227, "m: ", N225,, L225, K225, " FLUOR in SST. ", "TG ", 'Input Sheet'!I227, "U"))</f>
        <v/>
      </c>
      <c r="H225" s="6" t="str">
        <f>IF('Input Sheet'!C227="","",100-'Input Sheet'!C227)</f>
        <v/>
      </c>
      <c r="I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5" s="6" t="str">
        <f t="shared" si="3"/>
        <v/>
      </c>
      <c r="K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5" s="6" t="str">
        <f>IF('Input Sheet'!F227=0, "NO",CONCATENATE('Input Sheet'!F227, IF('Input Sheet'!F227&gt;0,"% ","")))</f>
        <v>NO</v>
      </c>
      <c r="M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5" s="6" t="str">
        <f>CONCATENATE(M225, IF('Input Sheet'!J227="",""," siderite in "))</f>
        <v/>
      </c>
      <c r="O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5" s="6" t="str">
        <f>CONCATENATE(O225, IF('Input Sheet'!K227="",""," siderite in "))</f>
        <v/>
      </c>
    </row>
    <row r="226" spans="1:16" x14ac:dyDescent="0.25">
      <c r="A226" s="17" t="str">
        <f>IF('Input Sheet'!C228="","",CONCATENATE("Sample ", 'Input Sheet'!B228, "m: ", N226, H226, "% ", "Siltstone, ", P226, 'Input Sheet'!C228, "% ", J226, " Sandstone, ", L226, K226, " FLUOR in SST. ", "TG ", 'Input Sheet'!I228, "U"))</f>
        <v/>
      </c>
      <c r="B226" s="3" t="str">
        <f>IF('Input Sheet'!C228="","",CONCATENATE("Sample ", 'Input Sheet'!B228, "m: ", O226, I226, "% ", "Siltstone, ", Q226, 'Input Sheet'!C228, "% ", K226, " Sandstone "))</f>
        <v/>
      </c>
      <c r="C226" s="3" t="str">
        <f>IF('Input Sheet'!C228="","",CONCATENATE("Sample ", 'Input Sheet'!B228, "m: ", N226,, L226, K226, " FLUOR in SST. ", "TG ", 'Input Sheet'!I228, "U"))</f>
        <v/>
      </c>
      <c r="H226" s="6" t="str">
        <f>IF('Input Sheet'!C228="","",100-'Input Sheet'!C228)</f>
        <v/>
      </c>
      <c r="I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6" s="6" t="str">
        <f t="shared" si="3"/>
        <v/>
      </c>
      <c r="K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6" s="6" t="str">
        <f>IF('Input Sheet'!F228=0, "NO",CONCATENATE('Input Sheet'!F228, IF('Input Sheet'!F228&gt;0,"% ","")))</f>
        <v>NO</v>
      </c>
      <c r="M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6" s="6" t="str">
        <f>CONCATENATE(M226, IF('Input Sheet'!J228="",""," siderite in "))</f>
        <v/>
      </c>
      <c r="O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6" s="6" t="str">
        <f>CONCATENATE(O226, IF('Input Sheet'!K228="",""," siderite in "))</f>
        <v/>
      </c>
    </row>
    <row r="227" spans="1:16" x14ac:dyDescent="0.25">
      <c r="A227" s="17" t="str">
        <f>IF('Input Sheet'!C229="","",CONCATENATE("Sample ", 'Input Sheet'!B229, "m: ", N227, H227, "% ", "Siltstone, ", P227, 'Input Sheet'!C229, "% ", J227, " Sandstone, ", L227, K227, " FLUOR in SST. ", "TG ", 'Input Sheet'!I229, "U"))</f>
        <v/>
      </c>
      <c r="B227" s="3" t="str">
        <f>IF('Input Sheet'!C229="","",CONCATENATE("Sample ", 'Input Sheet'!B229, "m: ", O227, I227, "% ", "Siltstone, ", Q227, 'Input Sheet'!C229, "% ", K227, " Sandstone "))</f>
        <v/>
      </c>
      <c r="C227" s="3" t="str">
        <f>IF('Input Sheet'!C229="","",CONCATENATE("Sample ", 'Input Sheet'!B229, "m: ", N227,, L227, K227, " FLUOR in SST. ", "TG ", 'Input Sheet'!I229, "U"))</f>
        <v/>
      </c>
      <c r="H227" s="6" t="str">
        <f>IF('Input Sheet'!C229="","",100-'Input Sheet'!C229)</f>
        <v/>
      </c>
      <c r="I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7" s="6" t="str">
        <f t="shared" si="3"/>
        <v/>
      </c>
      <c r="K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7" s="6" t="str">
        <f>IF('Input Sheet'!F229=0, "NO",CONCATENATE('Input Sheet'!F229, IF('Input Sheet'!F229&gt;0,"% ","")))</f>
        <v>NO</v>
      </c>
      <c r="M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7" s="6" t="str">
        <f>CONCATENATE(M227, IF('Input Sheet'!J229="",""," siderite in "))</f>
        <v/>
      </c>
      <c r="O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7" s="6" t="str">
        <f>CONCATENATE(O227, IF('Input Sheet'!K229="",""," siderite in "))</f>
        <v/>
      </c>
    </row>
    <row r="228" spans="1:16" x14ac:dyDescent="0.25">
      <c r="A228" s="17" t="str">
        <f>IF('Input Sheet'!C230="","",CONCATENATE("Sample ", 'Input Sheet'!B230, "m: ", N228, H228, "% ", "Siltstone, ", P228, 'Input Sheet'!C230, "% ", J228, " Sandstone, ", L228, K228, " FLUOR in SST. ", "TG ", 'Input Sheet'!I230, "U"))</f>
        <v/>
      </c>
      <c r="B228" s="3" t="str">
        <f>IF('Input Sheet'!C230="","",CONCATENATE("Sample ", 'Input Sheet'!B230, "m: ", O228, I228, "% ", "Siltstone, ", Q228, 'Input Sheet'!C230, "% ", K228, " Sandstone "))</f>
        <v/>
      </c>
      <c r="C228" s="3" t="str">
        <f>IF('Input Sheet'!C230="","",CONCATENATE("Sample ", 'Input Sheet'!B230, "m: ", N228,, L228, K228, " FLUOR in SST. ", "TG ", 'Input Sheet'!I230, "U"))</f>
        <v/>
      </c>
      <c r="H228" s="6" t="str">
        <f>IF('Input Sheet'!C230="","",100-'Input Sheet'!C230)</f>
        <v/>
      </c>
      <c r="I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8" s="6" t="str">
        <f t="shared" si="3"/>
        <v/>
      </c>
      <c r="K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8" s="6" t="str">
        <f>IF('Input Sheet'!F230=0, "NO",CONCATENATE('Input Sheet'!F230, IF('Input Sheet'!F230&gt;0,"% ","")))</f>
        <v>NO</v>
      </c>
      <c r="M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8" s="6" t="str">
        <f>CONCATENATE(M228, IF('Input Sheet'!J230="",""," siderite in "))</f>
        <v/>
      </c>
      <c r="O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8" s="6" t="str">
        <f>CONCATENATE(O228, IF('Input Sheet'!K230="",""," siderite in "))</f>
        <v/>
      </c>
    </row>
    <row r="229" spans="1:16" x14ac:dyDescent="0.25">
      <c r="A229" s="17" t="str">
        <f>IF('Input Sheet'!C231="","",CONCATENATE("Sample ", 'Input Sheet'!B231, "m: ", N229, H229, "% ", "Siltstone, ", P229, 'Input Sheet'!C231, "% ", J229, " Sandstone, ", L229, K229, " FLUOR in SST. ", "TG ", 'Input Sheet'!I231, "U"))</f>
        <v/>
      </c>
      <c r="B229" s="3" t="str">
        <f>IF('Input Sheet'!C231="","",CONCATENATE("Sample ", 'Input Sheet'!B231, "m: ", O229, I229, "% ", "Siltstone, ", Q229, 'Input Sheet'!C231, "% ", K229, " Sandstone "))</f>
        <v/>
      </c>
      <c r="C229" s="3" t="str">
        <f>IF('Input Sheet'!C231="","",CONCATENATE("Sample ", 'Input Sheet'!B231, "m: ", N229,, L229, K229, " FLUOR in SST. ", "TG ", 'Input Sheet'!I231, "U"))</f>
        <v/>
      </c>
      <c r="H229" s="6" t="str">
        <f>IF('Input Sheet'!C231="","",100-'Input Sheet'!C231)</f>
        <v/>
      </c>
      <c r="I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29" s="6" t="str">
        <f t="shared" si="3"/>
        <v/>
      </c>
      <c r="K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29" s="6" t="str">
        <f>IF('Input Sheet'!F231=0, "NO",CONCATENATE('Input Sheet'!F231, IF('Input Sheet'!F231&gt;0,"% ","")))</f>
        <v>NO</v>
      </c>
      <c r="M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29" s="6" t="str">
        <f>CONCATENATE(M229, IF('Input Sheet'!J231="",""," siderite in "))</f>
        <v/>
      </c>
      <c r="O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29" s="6" t="str">
        <f>CONCATENATE(O229, IF('Input Sheet'!K231="",""," siderite in "))</f>
        <v/>
      </c>
    </row>
    <row r="230" spans="1:16" x14ac:dyDescent="0.25">
      <c r="A230" s="17" t="str">
        <f>IF('Input Sheet'!C232="","",CONCATENATE("Sample ", 'Input Sheet'!B232, "m: ", N230, H230, "% ", "Siltstone, ", P230, 'Input Sheet'!C232, "% ", J230, " Sandstone, ", L230, K230, " FLUOR in SST. ", "TG ", 'Input Sheet'!I232, "U"))</f>
        <v/>
      </c>
      <c r="B230" s="3" t="str">
        <f>IF('Input Sheet'!C232="","",CONCATENATE("Sample ", 'Input Sheet'!B232, "m: ", O230, I230, "% ", "Siltstone, ", Q230, 'Input Sheet'!C232, "% ", K230, " Sandstone "))</f>
        <v/>
      </c>
      <c r="C230" s="3" t="str">
        <f>IF('Input Sheet'!C232="","",CONCATENATE("Sample ", 'Input Sheet'!B232, "m: ", N230,, L230, K230, " FLUOR in SST. ", "TG ", 'Input Sheet'!I232, "U"))</f>
        <v/>
      </c>
      <c r="H230" s="6" t="str">
        <f>IF('Input Sheet'!C232="","",100-'Input Sheet'!C232)</f>
        <v/>
      </c>
      <c r="I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0" s="6" t="str">
        <f t="shared" si="3"/>
        <v/>
      </c>
      <c r="K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0" s="6" t="str">
        <f>IF('Input Sheet'!F232=0, "NO",CONCATENATE('Input Sheet'!F232, IF('Input Sheet'!F232&gt;0,"% ","")))</f>
        <v>NO</v>
      </c>
      <c r="M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0" s="6" t="str">
        <f>CONCATENATE(M230, IF('Input Sheet'!J232="",""," siderite in "))</f>
        <v/>
      </c>
      <c r="O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0" s="6" t="str">
        <f>CONCATENATE(O230, IF('Input Sheet'!K232="",""," siderite in "))</f>
        <v/>
      </c>
    </row>
    <row r="231" spans="1:16" x14ac:dyDescent="0.25">
      <c r="A231" s="17" t="str">
        <f>IF('Input Sheet'!C233="","",CONCATENATE("Sample ", 'Input Sheet'!B233, "m: ", N231, H231, "% ", "Siltstone, ", P231, 'Input Sheet'!C233, "% ", J231, " Sandstone, ", L231, K231, " FLUOR in SST. ", "TG ", 'Input Sheet'!I233, "U"))</f>
        <v/>
      </c>
      <c r="B231" s="3" t="str">
        <f>IF('Input Sheet'!C233="","",CONCATENATE("Sample ", 'Input Sheet'!B233, "m: ", O231, I231, "% ", "Siltstone, ", Q231, 'Input Sheet'!C233, "% ", K231, " Sandstone "))</f>
        <v/>
      </c>
      <c r="C231" s="3" t="str">
        <f>IF('Input Sheet'!C233="","",CONCATENATE("Sample ", 'Input Sheet'!B233, "m: ", N231,, L231, K231, " FLUOR in SST. ", "TG ", 'Input Sheet'!I233, "U"))</f>
        <v/>
      </c>
      <c r="H231" s="6" t="str">
        <f>IF('Input Sheet'!C233="","",100-'Input Sheet'!C233)</f>
        <v/>
      </c>
      <c r="I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1" s="6" t="str">
        <f t="shared" si="3"/>
        <v/>
      </c>
      <c r="K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1" s="6" t="str">
        <f>IF('Input Sheet'!F233=0, "NO",CONCATENATE('Input Sheet'!F233, IF('Input Sheet'!F233&gt;0,"% ","")))</f>
        <v>NO</v>
      </c>
      <c r="M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1" s="6" t="str">
        <f>CONCATENATE(M231, IF('Input Sheet'!J233="",""," siderite in "))</f>
        <v/>
      </c>
      <c r="O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1" s="6" t="str">
        <f>CONCATENATE(O231, IF('Input Sheet'!K233="",""," siderite in "))</f>
        <v/>
      </c>
    </row>
    <row r="232" spans="1:16" x14ac:dyDescent="0.25">
      <c r="A232" s="17" t="str">
        <f>IF('Input Sheet'!C234="","",CONCATENATE("Sample ", 'Input Sheet'!B234, "m: ", N232, H232, "% ", "Siltstone, ", P232, 'Input Sheet'!C234, "% ", J232, " Sandstone, ", L232, K232, " FLUOR in SST. ", "TG ", 'Input Sheet'!I234, "U"))</f>
        <v/>
      </c>
      <c r="B232" s="3" t="str">
        <f>IF('Input Sheet'!C234="","",CONCATENATE("Sample ", 'Input Sheet'!B234, "m: ", O232, I232, "% ", "Siltstone, ", Q232, 'Input Sheet'!C234, "% ", K232, " Sandstone "))</f>
        <v/>
      </c>
      <c r="C232" s="3" t="str">
        <f>IF('Input Sheet'!C234="","",CONCATENATE("Sample ", 'Input Sheet'!B234, "m: ", N232,, L232, K232, " FLUOR in SST. ", "TG ", 'Input Sheet'!I234, "U"))</f>
        <v/>
      </c>
      <c r="H232" s="6" t="str">
        <f>IF('Input Sheet'!C234="","",100-'Input Sheet'!C234)</f>
        <v/>
      </c>
      <c r="I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2" s="6" t="str">
        <f t="shared" si="3"/>
        <v/>
      </c>
      <c r="K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2" s="6" t="str">
        <f>IF('Input Sheet'!F234=0, "NO",CONCATENATE('Input Sheet'!F234, IF('Input Sheet'!F234&gt;0,"% ","")))</f>
        <v>NO</v>
      </c>
      <c r="M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2" s="6" t="str">
        <f>CONCATENATE(M232, IF('Input Sheet'!J234="",""," siderite in "))</f>
        <v/>
      </c>
      <c r="O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2" s="6" t="str">
        <f>CONCATENATE(O232, IF('Input Sheet'!K234="",""," siderite in "))</f>
        <v/>
      </c>
    </row>
    <row r="233" spans="1:16" x14ac:dyDescent="0.25">
      <c r="A233" s="17" t="str">
        <f>IF('Input Sheet'!C235="","",CONCATENATE("Sample ", 'Input Sheet'!B235, "m: ", N233, H233, "% ", "Siltstone, ", P233, 'Input Sheet'!C235, "% ", J233, " Sandstone, ", L233, K233, " FLUOR in SST. ", "TG ", 'Input Sheet'!I235, "U"))</f>
        <v/>
      </c>
      <c r="B233" s="3" t="str">
        <f>IF('Input Sheet'!C235="","",CONCATENATE("Sample ", 'Input Sheet'!B235, "m: ", O233, I233, "% ", "Siltstone, ", Q233, 'Input Sheet'!C235, "% ", K233, " Sandstone "))</f>
        <v/>
      </c>
      <c r="C233" s="3" t="str">
        <f>IF('Input Sheet'!C235="","",CONCATENATE("Sample ", 'Input Sheet'!B235, "m: ", N233,, L233, K233, " FLUOR in SST. ", "TG ", 'Input Sheet'!I235, "U"))</f>
        <v/>
      </c>
      <c r="H233" s="6" t="str">
        <f>IF('Input Sheet'!C235="","",100-'Input Sheet'!C235)</f>
        <v/>
      </c>
      <c r="I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3" s="6" t="str">
        <f t="shared" si="3"/>
        <v/>
      </c>
      <c r="K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3" s="6" t="str">
        <f>IF('Input Sheet'!F235=0, "NO",CONCATENATE('Input Sheet'!F235, IF('Input Sheet'!F235&gt;0,"% ","")))</f>
        <v>NO</v>
      </c>
      <c r="M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3" s="6" t="str">
        <f>CONCATENATE(M233, IF('Input Sheet'!J235="",""," siderite in "))</f>
        <v/>
      </c>
      <c r="O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3" s="6" t="str">
        <f>CONCATENATE(O233, IF('Input Sheet'!K235="",""," siderite in "))</f>
        <v/>
      </c>
    </row>
    <row r="234" spans="1:16" x14ac:dyDescent="0.25">
      <c r="A234" s="17" t="str">
        <f>IF('Input Sheet'!C236="","",CONCATENATE("Sample ", 'Input Sheet'!B236, "m: ", N234, H234, "% ", "Siltstone, ", P234, 'Input Sheet'!C236, "% ", J234, " Sandstone, ", L234, K234, " FLUOR in SST. ", "TG ", 'Input Sheet'!I236, "U"))</f>
        <v/>
      </c>
      <c r="B234" s="3" t="str">
        <f>IF('Input Sheet'!C236="","",CONCATENATE("Sample ", 'Input Sheet'!B236, "m: ", O234, I234, "% ", "Siltstone, ", Q234, 'Input Sheet'!C236, "% ", K234, " Sandstone "))</f>
        <v/>
      </c>
      <c r="C234" s="3" t="str">
        <f>IF('Input Sheet'!C236="","",CONCATENATE("Sample ", 'Input Sheet'!B236, "m: ", N234,, L234, K234, " FLUOR in SST. ", "TG ", 'Input Sheet'!I236, "U"))</f>
        <v/>
      </c>
      <c r="H234" s="6" t="str">
        <f>IF('Input Sheet'!C236="","",100-'Input Sheet'!C236)</f>
        <v/>
      </c>
      <c r="I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4" s="6" t="str">
        <f t="shared" si="3"/>
        <v/>
      </c>
      <c r="K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4" s="6" t="str">
        <f>IF('Input Sheet'!F236=0, "NO",CONCATENATE('Input Sheet'!F236, IF('Input Sheet'!F236&gt;0,"% ","")))</f>
        <v>NO</v>
      </c>
      <c r="M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4" s="6" t="str">
        <f>CONCATENATE(M234, IF('Input Sheet'!J236="",""," siderite in "))</f>
        <v/>
      </c>
      <c r="O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4" s="6" t="str">
        <f>CONCATENATE(O234, IF('Input Sheet'!K236="",""," siderite in "))</f>
        <v/>
      </c>
    </row>
    <row r="235" spans="1:16" x14ac:dyDescent="0.25">
      <c r="A235" s="17" t="str">
        <f>IF('Input Sheet'!C237="","",CONCATENATE("Sample ", 'Input Sheet'!B237, "m: ", N235, H235, "% ", "Siltstone, ", P235, 'Input Sheet'!C237, "% ", J235, " Sandstone, ", L235, K235, " FLUOR in SST. ", "TG ", 'Input Sheet'!I237, "U"))</f>
        <v/>
      </c>
      <c r="B235" s="3" t="str">
        <f>IF('Input Sheet'!C237="","",CONCATENATE("Sample ", 'Input Sheet'!B237, "m: ", O235, I235, "% ", "Siltstone, ", Q235, 'Input Sheet'!C237, "% ", K235, " Sandstone "))</f>
        <v/>
      </c>
      <c r="C235" s="3" t="str">
        <f>IF('Input Sheet'!C237="","",CONCATENATE("Sample ", 'Input Sheet'!B237, "m: ", N235,, L235, K235, " FLUOR in SST. ", "TG ", 'Input Sheet'!I237, "U"))</f>
        <v/>
      </c>
      <c r="H235" s="6" t="str">
        <f>IF('Input Sheet'!C237="","",100-'Input Sheet'!C237)</f>
        <v/>
      </c>
      <c r="I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5" s="6" t="str">
        <f t="shared" si="3"/>
        <v/>
      </c>
      <c r="K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5" s="6" t="str">
        <f>IF('Input Sheet'!F237=0, "NO",CONCATENATE('Input Sheet'!F237, IF('Input Sheet'!F237&gt;0,"% ","")))</f>
        <v>NO</v>
      </c>
      <c r="M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5" s="6" t="str">
        <f>CONCATENATE(M235, IF('Input Sheet'!J237="",""," siderite in "))</f>
        <v/>
      </c>
      <c r="O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5" s="6" t="str">
        <f>CONCATENATE(O235, IF('Input Sheet'!K237="",""," siderite in "))</f>
        <v/>
      </c>
    </row>
    <row r="236" spans="1:16" x14ac:dyDescent="0.25">
      <c r="A236" s="17" t="str">
        <f>IF('Input Sheet'!C238="","",CONCATENATE("Sample ", 'Input Sheet'!B238, "m: ", N236, H236, "% ", "Siltstone, ", P236, 'Input Sheet'!C238, "% ", J236, " Sandstone, ", L236, K236, " FLUOR in SST. ", "TG ", 'Input Sheet'!I238, "U"))</f>
        <v/>
      </c>
      <c r="B236" s="3" t="str">
        <f>IF('Input Sheet'!C238="","",CONCATENATE("Sample ", 'Input Sheet'!B238, "m: ", O236, I236, "% ", "Siltstone, ", Q236, 'Input Sheet'!C238, "% ", K236, " Sandstone "))</f>
        <v/>
      </c>
      <c r="C236" s="3" t="str">
        <f>IF('Input Sheet'!C238="","",CONCATENATE("Sample ", 'Input Sheet'!B238, "m: ", N236,, L236, K236, " FLUOR in SST. ", "TG ", 'Input Sheet'!I238, "U"))</f>
        <v/>
      </c>
      <c r="H236" s="6" t="str">
        <f>IF('Input Sheet'!C238="","",100-'Input Sheet'!C238)</f>
        <v/>
      </c>
      <c r="I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6" s="6" t="str">
        <f t="shared" si="3"/>
        <v/>
      </c>
      <c r="K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6" s="6" t="str">
        <f>IF('Input Sheet'!F238=0, "NO",CONCATENATE('Input Sheet'!F238, IF('Input Sheet'!F238&gt;0,"% ","")))</f>
        <v>NO</v>
      </c>
      <c r="M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6" s="6" t="str">
        <f>CONCATENATE(M236, IF('Input Sheet'!J238="",""," siderite in "))</f>
        <v/>
      </c>
      <c r="O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6" s="6" t="str">
        <f>CONCATENATE(O236, IF('Input Sheet'!K238="",""," siderite in "))</f>
        <v/>
      </c>
    </row>
    <row r="237" spans="1:16" x14ac:dyDescent="0.25">
      <c r="A237" s="17" t="str">
        <f>IF('Input Sheet'!C239="","",CONCATENATE("Sample ", 'Input Sheet'!B239, "m: ", N237, H237, "% ", "Siltstone, ", P237, 'Input Sheet'!C239, "% ", J237, " Sandstone, ", L237, K237, " FLUOR in SST. ", "TG ", 'Input Sheet'!I239, "U"))</f>
        <v/>
      </c>
      <c r="B237" s="3" t="str">
        <f>IF('Input Sheet'!C239="","",CONCATENATE("Sample ", 'Input Sheet'!B239, "m: ", O237, I237, "% ", "Siltstone, ", Q237, 'Input Sheet'!C239, "% ", K237, " Sandstone "))</f>
        <v/>
      </c>
      <c r="C237" s="3" t="str">
        <f>IF('Input Sheet'!C239="","",CONCATENATE("Sample ", 'Input Sheet'!B239, "m: ", N237,, L237, K237, " FLUOR in SST. ", "TG ", 'Input Sheet'!I239, "U"))</f>
        <v/>
      </c>
      <c r="H237" s="6" t="str">
        <f>IF('Input Sheet'!C239="","",100-'Input Sheet'!C239)</f>
        <v/>
      </c>
      <c r="I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7" s="6" t="str">
        <f t="shared" si="3"/>
        <v/>
      </c>
      <c r="K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7" s="6" t="str">
        <f>IF('Input Sheet'!F239=0, "NO",CONCATENATE('Input Sheet'!F239, IF('Input Sheet'!F239&gt;0,"% ","")))</f>
        <v>NO</v>
      </c>
      <c r="M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7" s="6" t="str">
        <f>CONCATENATE(M237, IF('Input Sheet'!J239="",""," siderite in "))</f>
        <v/>
      </c>
      <c r="O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7" s="6" t="str">
        <f>CONCATENATE(O237, IF('Input Sheet'!K239="",""," siderite in "))</f>
        <v/>
      </c>
    </row>
    <row r="238" spans="1:16" x14ac:dyDescent="0.25">
      <c r="A238" s="17" t="str">
        <f>IF('Input Sheet'!C240="","",CONCATENATE("Sample ", 'Input Sheet'!B240, "m: ", N238, H238, "% ", "Siltstone, ", P238, 'Input Sheet'!C240, "% ", J238, " Sandstone, ", L238, K238, " FLUOR in SST. ", "TG ", 'Input Sheet'!I240, "U"))</f>
        <v/>
      </c>
      <c r="B238" s="3" t="str">
        <f>IF('Input Sheet'!C240="","",CONCATENATE("Sample ", 'Input Sheet'!B240, "m: ", O238, I238, "% ", "Siltstone, ", Q238, 'Input Sheet'!C240, "% ", K238, " Sandstone "))</f>
        <v/>
      </c>
      <c r="C238" s="3" t="str">
        <f>IF('Input Sheet'!C240="","",CONCATENATE("Sample ", 'Input Sheet'!B240, "m: ", N238,, L238, K238, " FLUOR in SST. ", "TG ", 'Input Sheet'!I240, "U"))</f>
        <v/>
      </c>
      <c r="H238" s="6" t="str">
        <f>IF('Input Sheet'!C240="","",100-'Input Sheet'!C240)</f>
        <v/>
      </c>
      <c r="I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8" s="6" t="str">
        <f t="shared" si="3"/>
        <v/>
      </c>
      <c r="K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8" s="6" t="str">
        <f>IF('Input Sheet'!F240=0, "NO",CONCATENATE('Input Sheet'!F240, IF('Input Sheet'!F240&gt;0,"% ","")))</f>
        <v>NO</v>
      </c>
      <c r="M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8" s="6" t="str">
        <f>CONCATENATE(M238, IF('Input Sheet'!J240="",""," siderite in "))</f>
        <v/>
      </c>
      <c r="O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8" s="6" t="str">
        <f>CONCATENATE(O238, IF('Input Sheet'!K240="",""," siderite in "))</f>
        <v/>
      </c>
    </row>
    <row r="239" spans="1:16" x14ac:dyDescent="0.25">
      <c r="A239" s="17" t="str">
        <f>IF('Input Sheet'!C241="","",CONCATENATE("Sample ", 'Input Sheet'!B241, "m: ", N239, H239, "% ", "Siltstone, ", P239, 'Input Sheet'!C241, "% ", J239, " Sandstone, ", L239, K239, " FLUOR in SST. ", "TG ", 'Input Sheet'!I241, "U"))</f>
        <v/>
      </c>
      <c r="B239" s="3" t="str">
        <f>IF('Input Sheet'!C241="","",CONCATENATE("Sample ", 'Input Sheet'!B241, "m: ", O239, I239, "% ", "Siltstone, ", Q239, 'Input Sheet'!C241, "% ", K239, " Sandstone "))</f>
        <v/>
      </c>
      <c r="C239" s="3" t="str">
        <f>IF('Input Sheet'!C241="","",CONCATENATE("Sample ", 'Input Sheet'!B241, "m: ", N239,, L239, K239, " FLUOR in SST. ", "TG ", 'Input Sheet'!I241, "U"))</f>
        <v/>
      </c>
      <c r="H239" s="6" t="str">
        <f>IF('Input Sheet'!C241="","",100-'Input Sheet'!C241)</f>
        <v/>
      </c>
      <c r="I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39" s="6" t="str">
        <f t="shared" si="3"/>
        <v/>
      </c>
      <c r="K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39" s="6" t="str">
        <f>IF('Input Sheet'!F241=0, "NO",CONCATENATE('Input Sheet'!F241, IF('Input Sheet'!F241&gt;0,"% ","")))</f>
        <v>NO</v>
      </c>
      <c r="M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39" s="6" t="str">
        <f>CONCATENATE(M239, IF('Input Sheet'!J241="",""," siderite in "))</f>
        <v/>
      </c>
      <c r="O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39" s="6" t="str">
        <f>CONCATENATE(O239, IF('Input Sheet'!K241="",""," siderite in "))</f>
        <v/>
      </c>
    </row>
    <row r="240" spans="1:16" x14ac:dyDescent="0.25">
      <c r="A240" s="17" t="str">
        <f>IF('Input Sheet'!C242="","",CONCATENATE("Sample ", 'Input Sheet'!B242, "m: ", N240, H240, "% ", "Siltstone, ", P240, 'Input Sheet'!C242, "% ", J240, " Sandstone, ", L240, K240, " FLUOR in SST. ", "TG ", 'Input Sheet'!I242, "U"))</f>
        <v/>
      </c>
      <c r="B240" s="3" t="str">
        <f>IF('Input Sheet'!C242="","",CONCATENATE("Sample ", 'Input Sheet'!B242, "m: ", O240, I240, "% ", "Siltstone, ", Q240, 'Input Sheet'!C242, "% ", K240, " Sandstone "))</f>
        <v/>
      </c>
      <c r="C240" s="3" t="str">
        <f>IF('Input Sheet'!C242="","",CONCATENATE("Sample ", 'Input Sheet'!B242, "m: ", N240,, L240, K240, " FLUOR in SST. ", "TG ", 'Input Sheet'!I242, "U"))</f>
        <v/>
      </c>
      <c r="H240" s="6" t="str">
        <f>IF('Input Sheet'!C242="","",100-'Input Sheet'!C242)</f>
        <v/>
      </c>
      <c r="I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0" s="6" t="str">
        <f t="shared" si="3"/>
        <v/>
      </c>
      <c r="K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0" s="6" t="str">
        <f>IF('Input Sheet'!F242=0, "NO",CONCATENATE('Input Sheet'!F242, IF('Input Sheet'!F242&gt;0,"% ","")))</f>
        <v>NO</v>
      </c>
      <c r="M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0" s="6" t="str">
        <f>CONCATENATE(M240, IF('Input Sheet'!J242="",""," siderite in "))</f>
        <v/>
      </c>
      <c r="O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0" s="6" t="str">
        <f>CONCATENATE(O240, IF('Input Sheet'!K242="",""," siderite in "))</f>
        <v/>
      </c>
    </row>
    <row r="241" spans="1:16" x14ac:dyDescent="0.25">
      <c r="A241" s="17" t="str">
        <f>IF('Input Sheet'!C243="","",CONCATENATE("Sample ", 'Input Sheet'!B243, "m: ", N241, H241, "% ", "Siltstone, ", P241, 'Input Sheet'!C243, "% ", J241, " Sandstone, ", L241, K241, " FLUOR in SST. ", "TG ", 'Input Sheet'!I243, "U"))</f>
        <v/>
      </c>
      <c r="B241" s="3" t="str">
        <f>IF('Input Sheet'!C243="","",CONCATENATE("Sample ", 'Input Sheet'!B243, "m: ", O241, I241, "% ", "Siltstone, ", Q241, 'Input Sheet'!C243, "% ", K241, " Sandstone "))</f>
        <v/>
      </c>
      <c r="C241" s="3" t="str">
        <f>IF('Input Sheet'!C243="","",CONCATENATE("Sample ", 'Input Sheet'!B243, "m: ", N241,, L241, K241, " FLUOR in SST. ", "TG ", 'Input Sheet'!I243, "U"))</f>
        <v/>
      </c>
      <c r="H241" s="6" t="str">
        <f>IF('Input Sheet'!C243="","",100-'Input Sheet'!C243)</f>
        <v/>
      </c>
      <c r="I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1" s="6" t="str">
        <f t="shared" si="3"/>
        <v/>
      </c>
      <c r="K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1" s="6" t="str">
        <f>IF('Input Sheet'!F243=0, "NO",CONCATENATE('Input Sheet'!F243, IF('Input Sheet'!F243&gt;0,"% ","")))</f>
        <v>NO</v>
      </c>
      <c r="M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1" s="6" t="str">
        <f>CONCATENATE(M241, IF('Input Sheet'!J243="",""," siderite in "))</f>
        <v/>
      </c>
      <c r="O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1" s="6" t="str">
        <f>CONCATENATE(O241, IF('Input Sheet'!K243="",""," siderite in "))</f>
        <v/>
      </c>
    </row>
    <row r="242" spans="1:16" x14ac:dyDescent="0.25">
      <c r="A242" s="17" t="str">
        <f>IF('Input Sheet'!C244="","",CONCATENATE("Sample ", 'Input Sheet'!B244, "m: ", N242, H242, "% ", "Siltstone, ", P242, 'Input Sheet'!C244, "% ", J242, " Sandstone, ", L242, K242, " FLUOR in SST. ", "TG ", 'Input Sheet'!I244, "U"))</f>
        <v/>
      </c>
      <c r="B242" s="3" t="str">
        <f>IF('Input Sheet'!C244="","",CONCATENATE("Sample ", 'Input Sheet'!B244, "m: ", O242, I242, "% ", "Siltstone, ", Q242, 'Input Sheet'!C244, "% ", K242, " Sandstone "))</f>
        <v/>
      </c>
      <c r="C242" s="3" t="str">
        <f>IF('Input Sheet'!C244="","",CONCATENATE("Sample ", 'Input Sheet'!B244, "m: ", N242,, L242, K242, " FLUOR in SST. ", "TG ", 'Input Sheet'!I244, "U"))</f>
        <v/>
      </c>
      <c r="H242" s="6" t="str">
        <f>IF('Input Sheet'!C244="","",100-'Input Sheet'!C244)</f>
        <v/>
      </c>
      <c r="I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2" s="6" t="str">
        <f t="shared" si="3"/>
        <v/>
      </c>
      <c r="K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2" s="6" t="str">
        <f>IF('Input Sheet'!F244=0, "NO",CONCATENATE('Input Sheet'!F244, IF('Input Sheet'!F244&gt;0,"% ","")))</f>
        <v>NO</v>
      </c>
      <c r="M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2" s="6" t="str">
        <f>CONCATENATE(M242, IF('Input Sheet'!J244="",""," siderite in "))</f>
        <v/>
      </c>
      <c r="O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2" s="6" t="str">
        <f>CONCATENATE(O242, IF('Input Sheet'!K244="",""," siderite in "))</f>
        <v/>
      </c>
    </row>
    <row r="243" spans="1:16" x14ac:dyDescent="0.25">
      <c r="A243" s="17" t="str">
        <f>IF('Input Sheet'!C245="","",CONCATENATE("Sample ", 'Input Sheet'!B245, "m: ", N243, H243, "% ", "Siltstone, ", P243, 'Input Sheet'!C245, "% ", J243, " Sandstone, ", L243, K243, " FLUOR in SST. ", "TG ", 'Input Sheet'!I245, "U"))</f>
        <v/>
      </c>
      <c r="B243" s="3" t="str">
        <f>IF('Input Sheet'!C245="","",CONCATENATE("Sample ", 'Input Sheet'!B245, "m: ", O243, I243, "% ", "Siltstone, ", Q243, 'Input Sheet'!C245, "% ", K243, " Sandstone "))</f>
        <v/>
      </c>
      <c r="C243" s="3" t="str">
        <f>IF('Input Sheet'!C245="","",CONCATENATE("Sample ", 'Input Sheet'!B245, "m: ", N243,, L243, K243, " FLUOR in SST. ", "TG ", 'Input Sheet'!I245, "U"))</f>
        <v/>
      </c>
      <c r="H243" s="6" t="str">
        <f>IF('Input Sheet'!C245="","",100-'Input Sheet'!C245)</f>
        <v/>
      </c>
      <c r="I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3" s="6" t="str">
        <f t="shared" si="3"/>
        <v/>
      </c>
      <c r="K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3" s="6" t="str">
        <f>IF('Input Sheet'!F245=0, "NO",CONCATENATE('Input Sheet'!F245, IF('Input Sheet'!F245&gt;0,"% ","")))</f>
        <v>NO</v>
      </c>
      <c r="M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3" s="6" t="str">
        <f>CONCATENATE(M243, IF('Input Sheet'!J245="",""," siderite in "))</f>
        <v/>
      </c>
      <c r="O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3" s="6" t="str">
        <f>CONCATENATE(O243, IF('Input Sheet'!K245="",""," siderite in "))</f>
        <v/>
      </c>
    </row>
    <row r="244" spans="1:16" x14ac:dyDescent="0.25">
      <c r="A244" s="17" t="str">
        <f>IF('Input Sheet'!C246="","",CONCATENATE("Sample ", 'Input Sheet'!B246, "m: ", N244, H244, "% ", "Siltstone, ", P244, 'Input Sheet'!C246, "% ", J244, " Sandstone, ", L244, K244, " FLUOR in SST. ", "TG ", 'Input Sheet'!I246, "U"))</f>
        <v/>
      </c>
      <c r="B244" s="3" t="str">
        <f>IF('Input Sheet'!C246="","",CONCATENATE("Sample ", 'Input Sheet'!B246, "m: ", O244, I244, "% ", "Siltstone, ", Q244, 'Input Sheet'!C246, "% ", K244, " Sandstone "))</f>
        <v/>
      </c>
      <c r="C244" s="3" t="str">
        <f>IF('Input Sheet'!C246="","",CONCATENATE("Sample ", 'Input Sheet'!B246, "m: ", N244,, L244, K244, " FLUOR in SST. ", "TG ", 'Input Sheet'!I246, "U"))</f>
        <v/>
      </c>
      <c r="H244" s="6" t="str">
        <f>IF('Input Sheet'!C246="","",100-'Input Sheet'!C246)</f>
        <v/>
      </c>
      <c r="I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4" s="6" t="str">
        <f t="shared" si="3"/>
        <v/>
      </c>
      <c r="K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4" s="6" t="str">
        <f>IF('Input Sheet'!F246=0, "NO",CONCATENATE('Input Sheet'!F246, IF('Input Sheet'!F246&gt;0,"% ","")))</f>
        <v>NO</v>
      </c>
      <c r="M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4" s="6" t="str">
        <f>CONCATENATE(M244, IF('Input Sheet'!J246="",""," siderite in "))</f>
        <v/>
      </c>
      <c r="O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4" s="6" t="str">
        <f>CONCATENATE(O244, IF('Input Sheet'!K246="",""," siderite in "))</f>
        <v/>
      </c>
    </row>
    <row r="245" spans="1:16" x14ac:dyDescent="0.25">
      <c r="A245" s="17" t="str">
        <f>IF('Input Sheet'!C247="","",CONCATENATE("Sample ", 'Input Sheet'!B247, "m: ", N245, H245, "% ", "Siltstone, ", P245, 'Input Sheet'!C247, "% ", J245, " Sandstone, ", L245, K245, " FLUOR in SST. ", "TG ", 'Input Sheet'!I247, "U"))</f>
        <v/>
      </c>
      <c r="B245" s="3" t="str">
        <f>IF('Input Sheet'!C247="","",CONCATENATE("Sample ", 'Input Sheet'!B247, "m: ", O245, I245, "% ", "Siltstone, ", Q245, 'Input Sheet'!C247, "% ", K245, " Sandstone "))</f>
        <v/>
      </c>
      <c r="C245" s="3" t="str">
        <f>IF('Input Sheet'!C247="","",CONCATENATE("Sample ", 'Input Sheet'!B247, "m: ", N245,, L245, K245, " FLUOR in SST. ", "TG ", 'Input Sheet'!I247, "U"))</f>
        <v/>
      </c>
      <c r="H245" s="6" t="str">
        <f>IF('Input Sheet'!C247="","",100-'Input Sheet'!C247)</f>
        <v/>
      </c>
      <c r="I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5" s="6" t="str">
        <f t="shared" si="3"/>
        <v/>
      </c>
      <c r="K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5" s="6" t="str">
        <f>IF('Input Sheet'!F247=0, "NO",CONCATENATE('Input Sheet'!F247, IF('Input Sheet'!F247&gt;0,"% ","")))</f>
        <v>NO</v>
      </c>
      <c r="M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5" s="6" t="str">
        <f>CONCATENATE(M245, IF('Input Sheet'!J247="",""," siderite in "))</f>
        <v/>
      </c>
      <c r="O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5" s="6" t="str">
        <f>CONCATENATE(O245, IF('Input Sheet'!K247="",""," siderite in "))</f>
        <v/>
      </c>
    </row>
    <row r="246" spans="1:16" x14ac:dyDescent="0.25">
      <c r="A246" s="17" t="str">
        <f>IF('Input Sheet'!C248="","",CONCATENATE("Sample ", 'Input Sheet'!B248, "m: ", N246, H246, "% ", "Siltstone, ", P246, 'Input Sheet'!C248, "% ", J246, " Sandstone, ", L246, K246, " FLUOR in SST. ", "TG ", 'Input Sheet'!I248, "U"))</f>
        <v/>
      </c>
      <c r="B246" s="3" t="str">
        <f>IF('Input Sheet'!C248="","",CONCATENATE("Sample ", 'Input Sheet'!B248, "m: ", O246, I246, "% ", "Siltstone, ", Q246, 'Input Sheet'!C248, "% ", K246, " Sandstone "))</f>
        <v/>
      </c>
      <c r="C246" s="3" t="str">
        <f>IF('Input Sheet'!C248="","",CONCATENATE("Sample ", 'Input Sheet'!B248, "m: ", N246,, L246, K246, " FLUOR in SST. ", "TG ", 'Input Sheet'!I248, "U"))</f>
        <v/>
      </c>
      <c r="H246" s="6" t="str">
        <f>IF('Input Sheet'!C248="","",100-'Input Sheet'!C248)</f>
        <v/>
      </c>
      <c r="I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6" s="6" t="str">
        <f t="shared" si="3"/>
        <v/>
      </c>
      <c r="K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6" s="6" t="str">
        <f>IF('Input Sheet'!F248=0, "NO",CONCATENATE('Input Sheet'!F248, IF('Input Sheet'!F248&gt;0,"% ","")))</f>
        <v>NO</v>
      </c>
      <c r="M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6" s="6" t="str">
        <f>CONCATENATE(M246, IF('Input Sheet'!J248="",""," siderite in "))</f>
        <v/>
      </c>
      <c r="O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6" s="6" t="str">
        <f>CONCATENATE(O246, IF('Input Sheet'!K248="",""," siderite in "))</f>
        <v/>
      </c>
    </row>
    <row r="247" spans="1:16" x14ac:dyDescent="0.25">
      <c r="A247" s="17" t="str">
        <f>IF('Input Sheet'!C249="","",CONCATENATE("Sample ", 'Input Sheet'!B249, "m: ", N247, H247, "% ", "Siltstone, ", P247, 'Input Sheet'!C249, "% ", J247, " Sandstone, ", L247, K247, " FLUOR in SST. ", "TG ", 'Input Sheet'!I249, "U"))</f>
        <v/>
      </c>
      <c r="B247" s="3" t="str">
        <f>IF('Input Sheet'!C249="","",CONCATENATE("Sample ", 'Input Sheet'!B249, "m: ", O247, I247, "% ", "Siltstone, ", Q247, 'Input Sheet'!C249, "% ", K247, " Sandstone "))</f>
        <v/>
      </c>
      <c r="C247" s="3" t="str">
        <f>IF('Input Sheet'!C249="","",CONCATENATE("Sample ", 'Input Sheet'!B249, "m: ", N247,, L247, K247, " FLUOR in SST. ", "TG ", 'Input Sheet'!I249, "U"))</f>
        <v/>
      </c>
      <c r="H247" s="6" t="str">
        <f>IF('Input Sheet'!C249="","",100-'Input Sheet'!C249)</f>
        <v/>
      </c>
      <c r="I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7" s="6" t="str">
        <f t="shared" si="3"/>
        <v/>
      </c>
      <c r="K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7" s="6" t="str">
        <f>IF('Input Sheet'!F249=0, "NO",CONCATENATE('Input Sheet'!F249, IF('Input Sheet'!F249&gt;0,"% ","")))</f>
        <v>NO</v>
      </c>
      <c r="M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7" s="6" t="str">
        <f>CONCATENATE(M247, IF('Input Sheet'!J249="",""," siderite in "))</f>
        <v/>
      </c>
      <c r="O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7" s="6" t="str">
        <f>CONCATENATE(O247, IF('Input Sheet'!K249="",""," siderite in "))</f>
        <v/>
      </c>
    </row>
    <row r="248" spans="1:16" x14ac:dyDescent="0.25">
      <c r="A248" s="17" t="str">
        <f>IF('Input Sheet'!C250="","",CONCATENATE("Sample ", 'Input Sheet'!B250, "m: ", N248, H248, "% ", "Siltstone, ", P248, 'Input Sheet'!C250, "% ", J248, " Sandstone, ", L248, K248, " FLUOR in SST. ", "TG ", 'Input Sheet'!I250, "U"))</f>
        <v/>
      </c>
      <c r="B248" s="3" t="str">
        <f>IF('Input Sheet'!C250="","",CONCATENATE("Sample ", 'Input Sheet'!B250, "m: ", O248, I248, "% ", "Siltstone, ", Q248, 'Input Sheet'!C250, "% ", K248, " Sandstone "))</f>
        <v/>
      </c>
      <c r="C248" s="3" t="str">
        <f>IF('Input Sheet'!C250="","",CONCATENATE("Sample ", 'Input Sheet'!B250, "m: ", N248,, L248, K248, " FLUOR in SST. ", "TG ", 'Input Sheet'!I250, "U"))</f>
        <v/>
      </c>
      <c r="H248" s="6" t="str">
        <f>IF('Input Sheet'!C250="","",100-'Input Sheet'!C250)</f>
        <v/>
      </c>
      <c r="I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8" s="6" t="str">
        <f t="shared" si="3"/>
        <v/>
      </c>
      <c r="K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8" s="6" t="str">
        <f>IF('Input Sheet'!F250=0, "NO",CONCATENATE('Input Sheet'!F250, IF('Input Sheet'!F250&gt;0,"% ","")))</f>
        <v>NO</v>
      </c>
      <c r="M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8" s="6" t="str">
        <f>CONCATENATE(M248, IF('Input Sheet'!J250="",""," siderite in "))</f>
        <v/>
      </c>
      <c r="O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8" s="6" t="str">
        <f>CONCATENATE(O248, IF('Input Sheet'!K250="",""," siderite in "))</f>
        <v/>
      </c>
    </row>
    <row r="249" spans="1:16" x14ac:dyDescent="0.25">
      <c r="A249" s="17" t="str">
        <f>IF('Input Sheet'!C251="","",CONCATENATE("Sample ", 'Input Sheet'!B251, "m: ", N249, H249, "% ", "Siltstone, ", P249, 'Input Sheet'!C251, "% ", J249, " Sandstone, ", L249, K249, " FLUOR in SST. ", "TG ", 'Input Sheet'!I251, "U"))</f>
        <v/>
      </c>
      <c r="B249" s="3" t="str">
        <f>IF('Input Sheet'!C251="","",CONCATENATE("Sample ", 'Input Sheet'!B251, "m: ", O249, I249, "% ", "Siltstone, ", Q249, 'Input Sheet'!C251, "% ", K249, " Sandstone "))</f>
        <v/>
      </c>
      <c r="C249" s="3" t="str">
        <f>IF('Input Sheet'!C251="","",CONCATENATE("Sample ", 'Input Sheet'!B251, "m: ", N249,, L249, K249, " FLUOR in SST. ", "TG ", 'Input Sheet'!I251, "U"))</f>
        <v/>
      </c>
      <c r="H249" s="6" t="str">
        <f>IF('Input Sheet'!C251="","",100-'Input Sheet'!C251)</f>
        <v/>
      </c>
      <c r="I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49" s="6" t="str">
        <f t="shared" si="3"/>
        <v/>
      </c>
      <c r="K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49" s="6" t="str">
        <f>IF('Input Sheet'!F251=0, "NO",CONCATENATE('Input Sheet'!F251, IF('Input Sheet'!F251&gt;0,"% ","")))</f>
        <v>NO</v>
      </c>
      <c r="M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49" s="6" t="str">
        <f>CONCATENATE(M249, IF('Input Sheet'!J251="",""," siderite in "))</f>
        <v/>
      </c>
      <c r="O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49" s="6" t="str">
        <f>CONCATENATE(O249, IF('Input Sheet'!K251="",""," siderite in "))</f>
        <v/>
      </c>
    </row>
    <row r="250" spans="1:16" x14ac:dyDescent="0.25">
      <c r="A250" s="17" t="str">
        <f>IF('Input Sheet'!C252="","",CONCATENATE("Sample ", 'Input Sheet'!B252, "m: ", N250, H250, "% ", "Siltstone, ", P250, 'Input Sheet'!C252, "% ", J250, " Sandstone, ", L250, K250, " FLUOR in SST. ", "TG ", 'Input Sheet'!I252, "U"))</f>
        <v/>
      </c>
      <c r="B250" s="3" t="str">
        <f>IF('Input Sheet'!C252="","",CONCATENATE("Sample ", 'Input Sheet'!B252, "m: ", O250, I250, "% ", "Siltstone, ", Q250, 'Input Sheet'!C252, "% ", K250, " Sandstone "))</f>
        <v/>
      </c>
      <c r="C250" s="3" t="str">
        <f>IF('Input Sheet'!C252="","",CONCATENATE("Sample ", 'Input Sheet'!B252, "m: ", N250,, L250, K250, " FLUOR in SST. ", "TG ", 'Input Sheet'!I252, "U"))</f>
        <v/>
      </c>
      <c r="H250" s="6" t="str">
        <f>IF('Input Sheet'!C252="","",100-'Input Sheet'!C252)</f>
        <v/>
      </c>
      <c r="I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0" s="6" t="str">
        <f t="shared" si="3"/>
        <v/>
      </c>
      <c r="K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0" s="6" t="str">
        <f>IF('Input Sheet'!F252=0, "NO",CONCATENATE('Input Sheet'!F252, IF('Input Sheet'!F252&gt;0,"% ","")))</f>
        <v>NO</v>
      </c>
      <c r="M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0" s="6" t="str">
        <f>CONCATENATE(M250, IF('Input Sheet'!J252="",""," siderite in "))</f>
        <v/>
      </c>
      <c r="O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0" s="6" t="str">
        <f>CONCATENATE(O250, IF('Input Sheet'!K252="",""," siderite in "))</f>
        <v/>
      </c>
    </row>
    <row r="251" spans="1:16" x14ac:dyDescent="0.25">
      <c r="A251" s="17" t="str">
        <f>IF('Input Sheet'!C253="","",CONCATENATE("Sample ", 'Input Sheet'!B253, "m: ", N251, H251, "% ", "Siltstone, ", P251, 'Input Sheet'!C253, "% ", J251, " Sandstone, ", L251, K251, " FLUOR in SST. ", "TG ", 'Input Sheet'!I253, "U"))</f>
        <v/>
      </c>
      <c r="B251" s="3" t="str">
        <f>IF('Input Sheet'!C253="","",CONCATENATE("Sample ", 'Input Sheet'!B253, "m: ", O251, I251, "% ", "Siltstone, ", Q251, 'Input Sheet'!C253, "% ", K251, " Sandstone "))</f>
        <v/>
      </c>
      <c r="C251" s="3" t="str">
        <f>IF('Input Sheet'!C253="","",CONCATENATE("Sample ", 'Input Sheet'!B253, "m: ", N251,, L251, K251, " FLUOR in SST. ", "TG ", 'Input Sheet'!I253, "U"))</f>
        <v/>
      </c>
      <c r="H251" s="6" t="str">
        <f>IF('Input Sheet'!C253="","",100-'Input Sheet'!C253)</f>
        <v/>
      </c>
      <c r="I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1" s="6" t="str">
        <f t="shared" si="3"/>
        <v/>
      </c>
      <c r="K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1" s="6" t="str">
        <f>IF('Input Sheet'!F253=0, "NO",CONCATENATE('Input Sheet'!F253, IF('Input Sheet'!F253&gt;0,"% ","")))</f>
        <v>NO</v>
      </c>
      <c r="M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1" s="6" t="str">
        <f>CONCATENATE(M251, IF('Input Sheet'!J253="",""," siderite in "))</f>
        <v/>
      </c>
      <c r="O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1" s="6" t="str">
        <f>CONCATENATE(O251, IF('Input Sheet'!K253="",""," siderite in "))</f>
        <v/>
      </c>
    </row>
    <row r="252" spans="1:16" x14ac:dyDescent="0.25">
      <c r="A252" s="17" t="str">
        <f>IF('Input Sheet'!C254="","",CONCATENATE("Sample ", 'Input Sheet'!B254, "m: ", N252, H252, "% ", "Siltstone, ", P252, 'Input Sheet'!C254, "% ", J252, " Sandstone, ", L252, K252, " FLUOR in SST. ", "TG ", 'Input Sheet'!I254, "U"))</f>
        <v/>
      </c>
      <c r="B252" s="3" t="str">
        <f>IF('Input Sheet'!C254="","",CONCATENATE("Sample ", 'Input Sheet'!B254, "m: ", O252, I252, "% ", "Siltstone, ", Q252, 'Input Sheet'!C254, "% ", K252, " Sandstone "))</f>
        <v/>
      </c>
      <c r="C252" s="3" t="str">
        <f>IF('Input Sheet'!C254="","",CONCATENATE("Sample ", 'Input Sheet'!B254, "m: ", N252,, L252, K252, " FLUOR in SST. ", "TG ", 'Input Sheet'!I254, "U"))</f>
        <v/>
      </c>
      <c r="H252" s="6" t="str">
        <f>IF('Input Sheet'!C254="","",100-'Input Sheet'!C254)</f>
        <v/>
      </c>
      <c r="I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2" s="6" t="str">
        <f t="shared" si="3"/>
        <v/>
      </c>
      <c r="K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2" s="6" t="str">
        <f>IF('Input Sheet'!F254=0, "NO",CONCATENATE('Input Sheet'!F254, IF('Input Sheet'!F254&gt;0,"% ","")))</f>
        <v>NO</v>
      </c>
      <c r="M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2" s="6" t="str">
        <f>CONCATENATE(M252, IF('Input Sheet'!J254="",""," siderite in "))</f>
        <v/>
      </c>
      <c r="O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2" s="6" t="str">
        <f>CONCATENATE(O252, IF('Input Sheet'!K254="",""," siderite in "))</f>
        <v/>
      </c>
    </row>
    <row r="253" spans="1:16" x14ac:dyDescent="0.25">
      <c r="A253" s="17" t="str">
        <f>IF('Input Sheet'!C255="","",CONCATENATE("Sample ", 'Input Sheet'!B255, "m: ", N253, H253, "% ", "Siltstone, ", P253, 'Input Sheet'!C255, "% ", J253, " Sandstone, ", L253, K253, " FLUOR in SST. ", "TG ", 'Input Sheet'!I255, "U"))</f>
        <v/>
      </c>
      <c r="B253" s="3" t="str">
        <f>IF('Input Sheet'!C255="","",CONCATENATE("Sample ", 'Input Sheet'!B255, "m: ", O253, I253, "% ", "Siltstone, ", Q253, 'Input Sheet'!C255, "% ", K253, " Sandstone "))</f>
        <v/>
      </c>
      <c r="C253" s="3" t="str">
        <f>IF('Input Sheet'!C255="","",CONCATENATE("Sample ", 'Input Sheet'!B255, "m: ", N253,, L253, K253, " FLUOR in SST. ", "TG ", 'Input Sheet'!I255, "U"))</f>
        <v/>
      </c>
      <c r="H253" s="6" t="str">
        <f>IF('Input Sheet'!C255="","",100-'Input Sheet'!C255)</f>
        <v/>
      </c>
      <c r="I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3" s="6" t="str">
        <f t="shared" si="3"/>
        <v/>
      </c>
      <c r="K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3" s="6" t="str">
        <f>IF('Input Sheet'!F255=0, "NO",CONCATENATE('Input Sheet'!F255, IF('Input Sheet'!F255&gt;0,"% ","")))</f>
        <v>NO</v>
      </c>
      <c r="M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3" s="6" t="str">
        <f>CONCATENATE(M253, IF('Input Sheet'!J255="",""," siderite in "))</f>
        <v/>
      </c>
      <c r="O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3" s="6" t="str">
        <f>CONCATENATE(O253, IF('Input Sheet'!K255="",""," siderite in "))</f>
        <v/>
      </c>
    </row>
    <row r="254" spans="1:16" x14ac:dyDescent="0.25">
      <c r="A254" s="17" t="str">
        <f>IF('Input Sheet'!C256="","",CONCATENATE("Sample ", 'Input Sheet'!B256, "m: ", N254, H254, "% ", "Siltstone, ", P254, 'Input Sheet'!C256, "% ", J254, " Sandstone, ", L254, K254, " FLUOR in SST. ", "TG ", 'Input Sheet'!I256, "U"))</f>
        <v/>
      </c>
      <c r="B254" s="3" t="str">
        <f>IF('Input Sheet'!C256="","",CONCATENATE("Sample ", 'Input Sheet'!B256, "m: ", O254, I254, "% ", "Siltstone, ", Q254, 'Input Sheet'!C256, "% ", K254, " Sandstone "))</f>
        <v/>
      </c>
      <c r="C254" s="3" t="str">
        <f>IF('Input Sheet'!C256="","",CONCATENATE("Sample ", 'Input Sheet'!B256, "m: ", N254,, L254, K254, " FLUOR in SST. ", "TG ", 'Input Sheet'!I256, "U"))</f>
        <v/>
      </c>
      <c r="H254" s="6" t="str">
        <f>IF('Input Sheet'!C256="","",100-'Input Sheet'!C256)</f>
        <v/>
      </c>
      <c r="I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4" s="6" t="str">
        <f t="shared" si="3"/>
        <v/>
      </c>
      <c r="K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4" s="6" t="str">
        <f>IF('Input Sheet'!F256=0, "NO",CONCATENATE('Input Sheet'!F256, IF('Input Sheet'!F256&gt;0,"% ","")))</f>
        <v>NO</v>
      </c>
      <c r="M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4" s="6" t="str">
        <f>CONCATENATE(M254, IF('Input Sheet'!J256="",""," siderite in "))</f>
        <v/>
      </c>
      <c r="O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4" s="6" t="str">
        <f>CONCATENATE(O254, IF('Input Sheet'!K256="",""," siderite in "))</f>
        <v/>
      </c>
    </row>
    <row r="255" spans="1:16" x14ac:dyDescent="0.25">
      <c r="A255" s="17" t="str">
        <f>IF('Input Sheet'!C257="","",CONCATENATE("Sample ", 'Input Sheet'!B257, "m: ", N255, H255, "% ", "Siltstone, ", P255, 'Input Sheet'!C257, "% ", J255, " Sandstone, ", L255, K255, " FLUOR in SST. ", "TG ", 'Input Sheet'!I257, "U"))</f>
        <v/>
      </c>
      <c r="B255" s="3" t="str">
        <f>IF('Input Sheet'!C257="","",CONCATENATE("Sample ", 'Input Sheet'!B257, "m: ", O255, I255, "% ", "Siltstone, ", Q255, 'Input Sheet'!C257, "% ", K255, " Sandstone "))</f>
        <v/>
      </c>
      <c r="C255" s="3" t="str">
        <f>IF('Input Sheet'!C257="","",CONCATENATE("Sample ", 'Input Sheet'!B257, "m: ", N255,, L255, K255, " FLUOR in SST. ", "TG ", 'Input Sheet'!I257, "U"))</f>
        <v/>
      </c>
      <c r="H255" s="6" t="str">
        <f>IF('Input Sheet'!C257="","",100-'Input Sheet'!C257)</f>
        <v/>
      </c>
      <c r="I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5" s="6" t="str">
        <f t="shared" si="3"/>
        <v/>
      </c>
      <c r="K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5" s="6" t="str">
        <f>IF('Input Sheet'!F257=0, "NO",CONCATENATE('Input Sheet'!F257, IF('Input Sheet'!F257&gt;0,"% ","")))</f>
        <v>NO</v>
      </c>
      <c r="M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5" s="6" t="str">
        <f>CONCATENATE(M255, IF('Input Sheet'!J257="",""," siderite in "))</f>
        <v/>
      </c>
      <c r="O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5" s="6" t="str">
        <f>CONCATENATE(O255, IF('Input Sheet'!K257="",""," siderite in "))</f>
        <v/>
      </c>
    </row>
    <row r="256" spans="1:16" x14ac:dyDescent="0.25">
      <c r="A256" s="17" t="str">
        <f>IF('Input Sheet'!C258="","",CONCATENATE("Sample ", 'Input Sheet'!B258, "m: ", N256, H256, "% ", "Siltstone, ", P256, 'Input Sheet'!C258, "% ", J256, " Sandstone, ", L256, K256, " FLUOR in SST. ", "TG ", 'Input Sheet'!I258, "U"))</f>
        <v/>
      </c>
      <c r="B256" s="3" t="str">
        <f>IF('Input Sheet'!C258="","",CONCATENATE("Sample ", 'Input Sheet'!B258, "m: ", O256, I256, "% ", "Siltstone, ", Q256, 'Input Sheet'!C258, "% ", K256, " Sandstone "))</f>
        <v/>
      </c>
      <c r="C256" s="3" t="str">
        <f>IF('Input Sheet'!C258="","",CONCATENATE("Sample ", 'Input Sheet'!B258, "m: ", N256,, L256, K256, " FLUOR in SST. ", "TG ", 'Input Sheet'!I258, "U"))</f>
        <v/>
      </c>
      <c r="H256" s="6" t="str">
        <f>IF('Input Sheet'!C258="","",100-'Input Sheet'!C258)</f>
        <v/>
      </c>
      <c r="I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6" s="6" t="str">
        <f t="shared" si="3"/>
        <v/>
      </c>
      <c r="K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6" s="6" t="str">
        <f>IF('Input Sheet'!F258=0, "NO",CONCATENATE('Input Sheet'!F258, IF('Input Sheet'!F258&gt;0,"% ","")))</f>
        <v>NO</v>
      </c>
      <c r="M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6" s="6" t="str">
        <f>CONCATENATE(M256, IF('Input Sheet'!J258="",""," siderite in "))</f>
        <v/>
      </c>
      <c r="O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6" s="6" t="str">
        <f>CONCATENATE(O256, IF('Input Sheet'!K258="",""," siderite in "))</f>
        <v/>
      </c>
    </row>
    <row r="257" spans="1:16" x14ac:dyDescent="0.25">
      <c r="A257" s="17" t="str">
        <f>IF('Input Sheet'!C259="","",CONCATENATE("Sample ", 'Input Sheet'!B259, "m: ", N257, H257, "% ", "Siltstone, ", P257, 'Input Sheet'!C259, "% ", J257, " Sandstone, ", L257, K257, " FLUOR in SST. ", "TG ", 'Input Sheet'!I259, "U"))</f>
        <v/>
      </c>
      <c r="B257" s="3" t="str">
        <f>IF('Input Sheet'!C259="","",CONCATENATE("Sample ", 'Input Sheet'!B259, "m: ", O257, I257, "% ", "Siltstone, ", Q257, 'Input Sheet'!C259, "% ", K257, " Sandstone "))</f>
        <v/>
      </c>
      <c r="C257" s="3" t="str">
        <f>IF('Input Sheet'!C259="","",CONCATENATE("Sample ", 'Input Sheet'!B259, "m: ", N257,, L257, K257, " FLUOR in SST. ", "TG ", 'Input Sheet'!I259, "U"))</f>
        <v/>
      </c>
      <c r="H257" s="6" t="str">
        <f>IF('Input Sheet'!C259="","",100-'Input Sheet'!C259)</f>
        <v/>
      </c>
      <c r="I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7" s="6" t="str">
        <f t="shared" si="3"/>
        <v/>
      </c>
      <c r="K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7" s="6" t="str">
        <f>IF('Input Sheet'!F259=0, "NO",CONCATENATE('Input Sheet'!F259, IF('Input Sheet'!F259&gt;0,"% ","")))</f>
        <v>NO</v>
      </c>
      <c r="M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7" s="6" t="str">
        <f>CONCATENATE(M257, IF('Input Sheet'!J259="",""," siderite in "))</f>
        <v/>
      </c>
      <c r="O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7" s="6" t="str">
        <f>CONCATENATE(O257, IF('Input Sheet'!K259="",""," siderite in "))</f>
        <v/>
      </c>
    </row>
    <row r="258" spans="1:16" x14ac:dyDescent="0.25">
      <c r="A258" s="17" t="str">
        <f>IF('Input Sheet'!C260="","",CONCATENATE("Sample ", 'Input Sheet'!B260, "m: ", N258, H258, "% ", "Siltstone, ", P258, 'Input Sheet'!C260, "% ", J258, " Sandstone, ", L258, K258, " FLUOR in SST. ", "TG ", 'Input Sheet'!I260, "U"))</f>
        <v/>
      </c>
      <c r="B258" s="3" t="str">
        <f>IF('Input Sheet'!C260="","",CONCATENATE("Sample ", 'Input Sheet'!B260, "m: ", O258, I258, "% ", "Siltstone, ", Q258, 'Input Sheet'!C260, "% ", K258, " Sandstone "))</f>
        <v/>
      </c>
      <c r="C258" s="3" t="str">
        <f>IF('Input Sheet'!C260="","",CONCATENATE("Sample ", 'Input Sheet'!B260, "m: ", N258,, L258, K258, " FLUOR in SST. ", "TG ", 'Input Sheet'!I260, "U"))</f>
        <v/>
      </c>
      <c r="H258" s="6" t="str">
        <f>IF('Input Sheet'!C260="","",100-'Input Sheet'!C260)</f>
        <v/>
      </c>
      <c r="I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8" s="6" t="str">
        <f t="shared" ref="J258:J321" si="4">SUBSTITUTE(I258, "veryfine", "very fine")</f>
        <v/>
      </c>
      <c r="K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8" s="6" t="str">
        <f>IF('Input Sheet'!F260=0, "NO",CONCATENATE('Input Sheet'!F260, IF('Input Sheet'!F260&gt;0,"% ","")))</f>
        <v>NO</v>
      </c>
      <c r="M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8" s="6" t="str">
        <f>CONCATENATE(M258, IF('Input Sheet'!J260="",""," siderite in "))</f>
        <v/>
      </c>
      <c r="O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8" s="6" t="str">
        <f>CONCATENATE(O258, IF('Input Sheet'!K260="",""," siderite in "))</f>
        <v/>
      </c>
    </row>
    <row r="259" spans="1:16" x14ac:dyDescent="0.25">
      <c r="A259" s="17" t="str">
        <f>IF('Input Sheet'!C261="","",CONCATENATE("Sample ", 'Input Sheet'!B261, "m: ", N259, H259, "% ", "Siltstone, ", P259, 'Input Sheet'!C261, "% ", J259, " Sandstone, ", L259, K259, " FLUOR in SST. ", "TG ", 'Input Sheet'!I261, "U"))</f>
        <v/>
      </c>
      <c r="B259" s="3" t="str">
        <f>IF('Input Sheet'!C261="","",CONCATENATE("Sample ", 'Input Sheet'!B261, "m: ", O259, I259, "% ", "Siltstone, ", Q259, 'Input Sheet'!C261, "% ", K259, " Sandstone "))</f>
        <v/>
      </c>
      <c r="C259" s="3" t="str">
        <f>IF('Input Sheet'!C261="","",CONCATENATE("Sample ", 'Input Sheet'!B261, "m: ", N259,, L259, K259, " FLUOR in SST. ", "TG ", 'Input Sheet'!I261, "U"))</f>
        <v/>
      </c>
      <c r="H259" s="6" t="str">
        <f>IF('Input Sheet'!C261="","",100-'Input Sheet'!C261)</f>
        <v/>
      </c>
      <c r="I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59" s="6" t="str">
        <f t="shared" si="4"/>
        <v/>
      </c>
      <c r="K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59" s="6" t="str">
        <f>IF('Input Sheet'!F261=0, "NO",CONCATENATE('Input Sheet'!F261, IF('Input Sheet'!F261&gt;0,"% ","")))</f>
        <v>NO</v>
      </c>
      <c r="M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59" s="6" t="str">
        <f>CONCATENATE(M259, IF('Input Sheet'!J261="",""," siderite in "))</f>
        <v/>
      </c>
      <c r="O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59" s="6" t="str">
        <f>CONCATENATE(O259, IF('Input Sheet'!K261="",""," siderite in "))</f>
        <v/>
      </c>
    </row>
    <row r="260" spans="1:16" x14ac:dyDescent="0.25">
      <c r="A260" s="17" t="str">
        <f>IF('Input Sheet'!C262="","",CONCATENATE("Sample ", 'Input Sheet'!B262, "m: ", N260, H260, "% ", "Siltstone, ", P260, 'Input Sheet'!C262, "% ", J260, " Sandstone, ", L260, K260, " FLUOR in SST. ", "TG ", 'Input Sheet'!I262, "U"))</f>
        <v/>
      </c>
      <c r="B260" s="3" t="str">
        <f>IF('Input Sheet'!C262="","",CONCATENATE("Sample ", 'Input Sheet'!B262, "m: ", O260, I260, "% ", "Siltstone, ", Q260, 'Input Sheet'!C262, "% ", K260, " Sandstone "))</f>
        <v/>
      </c>
      <c r="C260" s="3" t="str">
        <f>IF('Input Sheet'!C262="","",CONCATENATE("Sample ", 'Input Sheet'!B262, "m: ", N260,, L260, K260, " FLUOR in SST. ", "TG ", 'Input Sheet'!I262, "U"))</f>
        <v/>
      </c>
      <c r="H260" s="6" t="str">
        <f>IF('Input Sheet'!C262="","",100-'Input Sheet'!C262)</f>
        <v/>
      </c>
      <c r="I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0" s="6" t="str">
        <f t="shared" si="4"/>
        <v/>
      </c>
      <c r="K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0" s="6" t="str">
        <f>IF('Input Sheet'!F262=0, "NO",CONCATENATE('Input Sheet'!F262, IF('Input Sheet'!F262&gt;0,"% ","")))</f>
        <v>NO</v>
      </c>
      <c r="M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0" s="6" t="str">
        <f>CONCATENATE(M260, IF('Input Sheet'!J262="",""," siderite in "))</f>
        <v/>
      </c>
      <c r="O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0" s="6" t="str">
        <f>CONCATENATE(O260, IF('Input Sheet'!K262="",""," siderite in "))</f>
        <v/>
      </c>
    </row>
    <row r="261" spans="1:16" x14ac:dyDescent="0.25">
      <c r="A261" s="17" t="str">
        <f>IF('Input Sheet'!C263="","",CONCATENATE("Sample ", 'Input Sheet'!B263, "m: ", N261, H261, "% ", "Siltstone, ", P261, 'Input Sheet'!C263, "% ", J261, " Sandstone, ", L261, K261, " FLUOR in SST. ", "TG ", 'Input Sheet'!I263, "U"))</f>
        <v/>
      </c>
      <c r="B261" s="3" t="str">
        <f>IF('Input Sheet'!C263="","",CONCATENATE("Sample ", 'Input Sheet'!B263, "m: ", O261, I261, "% ", "Siltstone, ", Q261, 'Input Sheet'!C263, "% ", K261, " Sandstone "))</f>
        <v/>
      </c>
      <c r="C261" s="3" t="str">
        <f>IF('Input Sheet'!C263="","",CONCATENATE("Sample ", 'Input Sheet'!B263, "m: ", N261,, L261, K261, " FLUOR in SST. ", "TG ", 'Input Sheet'!I263, "U"))</f>
        <v/>
      </c>
      <c r="H261" s="6" t="str">
        <f>IF('Input Sheet'!C263="","",100-'Input Sheet'!C263)</f>
        <v/>
      </c>
      <c r="I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1" s="6" t="str">
        <f t="shared" si="4"/>
        <v/>
      </c>
      <c r="K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1" s="6" t="str">
        <f>IF('Input Sheet'!F263=0, "NO",CONCATENATE('Input Sheet'!F263, IF('Input Sheet'!F263&gt;0,"% ","")))</f>
        <v>NO</v>
      </c>
      <c r="M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1" s="6" t="str">
        <f>CONCATENATE(M261, IF('Input Sheet'!J263="",""," siderite in "))</f>
        <v/>
      </c>
      <c r="O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1" s="6" t="str">
        <f>CONCATENATE(O261, IF('Input Sheet'!K263="",""," siderite in "))</f>
        <v/>
      </c>
    </row>
    <row r="262" spans="1:16" x14ac:dyDescent="0.25">
      <c r="A262" s="17" t="str">
        <f>IF('Input Sheet'!C264="","",CONCATENATE("Sample ", 'Input Sheet'!B264, "m: ", N262, H262, "% ", "Siltstone, ", P262, 'Input Sheet'!C264, "% ", J262, " Sandstone, ", L262, K262, " FLUOR in SST. ", "TG ", 'Input Sheet'!I264, "U"))</f>
        <v/>
      </c>
      <c r="B262" s="3" t="str">
        <f>IF('Input Sheet'!C264="","",CONCATENATE("Sample ", 'Input Sheet'!B264, "m: ", O262, I262, "% ", "Siltstone, ", Q262, 'Input Sheet'!C264, "% ", K262, " Sandstone "))</f>
        <v/>
      </c>
      <c r="C262" s="3" t="str">
        <f>IF('Input Sheet'!C264="","",CONCATENATE("Sample ", 'Input Sheet'!B264, "m: ", N262,, L262, K262, " FLUOR in SST. ", "TG ", 'Input Sheet'!I264, "U"))</f>
        <v/>
      </c>
      <c r="H262" s="6" t="str">
        <f>IF('Input Sheet'!C264="","",100-'Input Sheet'!C264)</f>
        <v/>
      </c>
      <c r="I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2" s="6" t="str">
        <f t="shared" si="4"/>
        <v/>
      </c>
      <c r="K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2" s="6" t="str">
        <f>IF('Input Sheet'!F264=0, "NO",CONCATENATE('Input Sheet'!F264, IF('Input Sheet'!F264&gt;0,"% ","")))</f>
        <v>NO</v>
      </c>
      <c r="M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2" s="6" t="str">
        <f>CONCATENATE(M262, IF('Input Sheet'!J264="",""," siderite in "))</f>
        <v/>
      </c>
      <c r="O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2" s="6" t="str">
        <f>CONCATENATE(O262, IF('Input Sheet'!K264="",""," siderite in "))</f>
        <v/>
      </c>
    </row>
    <row r="263" spans="1:16" x14ac:dyDescent="0.25">
      <c r="A263" s="17" t="str">
        <f>IF('Input Sheet'!C265="","",CONCATENATE("Sample ", 'Input Sheet'!B265, "m: ", N263, H263, "% ", "Siltstone, ", P263, 'Input Sheet'!C265, "% ", J263, " Sandstone, ", L263, K263, " FLUOR in SST. ", "TG ", 'Input Sheet'!I265, "U"))</f>
        <v/>
      </c>
      <c r="B263" s="3" t="str">
        <f>IF('Input Sheet'!C265="","",CONCATENATE("Sample ", 'Input Sheet'!B265, "m: ", O263, I263, "% ", "Siltstone, ", Q263, 'Input Sheet'!C265, "% ", K263, " Sandstone "))</f>
        <v/>
      </c>
      <c r="C263" s="3" t="str">
        <f>IF('Input Sheet'!C265="","",CONCATENATE("Sample ", 'Input Sheet'!B265, "m: ", N263,, L263, K263, " FLUOR in SST. ", "TG ", 'Input Sheet'!I265, "U"))</f>
        <v/>
      </c>
      <c r="H263" s="6" t="str">
        <f>IF('Input Sheet'!C265="","",100-'Input Sheet'!C265)</f>
        <v/>
      </c>
      <c r="I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3" s="6" t="str">
        <f t="shared" si="4"/>
        <v/>
      </c>
      <c r="K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3" s="6" t="str">
        <f>IF('Input Sheet'!F265=0, "NO",CONCATENATE('Input Sheet'!F265, IF('Input Sheet'!F265&gt;0,"% ","")))</f>
        <v>NO</v>
      </c>
      <c r="M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3" s="6" t="str">
        <f>CONCATENATE(M263, IF('Input Sheet'!J265="",""," siderite in "))</f>
        <v/>
      </c>
      <c r="O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3" s="6" t="str">
        <f>CONCATENATE(O263, IF('Input Sheet'!K265="",""," siderite in "))</f>
        <v/>
      </c>
    </row>
    <row r="264" spans="1:16" x14ac:dyDescent="0.25">
      <c r="A264" s="17" t="str">
        <f>IF('Input Sheet'!C266="","",CONCATENATE("Sample ", 'Input Sheet'!B266, "m: ", N264, H264, "% ", "Siltstone, ", P264, 'Input Sheet'!C266, "% ", J264, " Sandstone, ", L264, K264, " FLUOR in SST. ", "TG ", 'Input Sheet'!I266, "U"))</f>
        <v/>
      </c>
      <c r="B264" s="3" t="str">
        <f>IF('Input Sheet'!C266="","",CONCATENATE("Sample ", 'Input Sheet'!B266, "m: ", O264, I264, "% ", "Siltstone, ", Q264, 'Input Sheet'!C266, "% ", K264, " Sandstone "))</f>
        <v/>
      </c>
      <c r="C264" s="3" t="str">
        <f>IF('Input Sheet'!C266="","",CONCATENATE("Sample ", 'Input Sheet'!B266, "m: ", N264,, L264, K264, " FLUOR in SST. ", "TG ", 'Input Sheet'!I266, "U"))</f>
        <v/>
      </c>
      <c r="H264" s="6" t="str">
        <f>IF('Input Sheet'!C266="","",100-'Input Sheet'!C266)</f>
        <v/>
      </c>
      <c r="I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4" s="6" t="str">
        <f t="shared" si="4"/>
        <v/>
      </c>
      <c r="K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4" s="6" t="str">
        <f>IF('Input Sheet'!F266=0, "NO",CONCATENATE('Input Sheet'!F266, IF('Input Sheet'!F266&gt;0,"% ","")))</f>
        <v>NO</v>
      </c>
      <c r="M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4" s="6" t="str">
        <f>CONCATENATE(M264, IF('Input Sheet'!J266="",""," siderite in "))</f>
        <v/>
      </c>
      <c r="O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4" s="6" t="str">
        <f>CONCATENATE(O264, IF('Input Sheet'!K266="",""," siderite in "))</f>
        <v/>
      </c>
    </row>
    <row r="265" spans="1:16" x14ac:dyDescent="0.25">
      <c r="A265" s="17" t="str">
        <f>IF('Input Sheet'!C267="","",CONCATENATE("Sample ", 'Input Sheet'!B267, "m: ", N265, H265, "% ", "Siltstone, ", P265, 'Input Sheet'!C267, "% ", J265, " Sandstone, ", L265, K265, " FLUOR in SST. ", "TG ", 'Input Sheet'!I267, "U"))</f>
        <v/>
      </c>
      <c r="B265" s="3" t="str">
        <f>IF('Input Sheet'!C267="","",CONCATENATE("Sample ", 'Input Sheet'!B267, "m: ", O265, I265, "% ", "Siltstone, ", Q265, 'Input Sheet'!C267, "% ", K265, " Sandstone "))</f>
        <v/>
      </c>
      <c r="C265" s="3" t="str">
        <f>IF('Input Sheet'!C267="","",CONCATENATE("Sample ", 'Input Sheet'!B267, "m: ", N265,, L265, K265, " FLUOR in SST. ", "TG ", 'Input Sheet'!I267, "U"))</f>
        <v/>
      </c>
      <c r="H265" s="6" t="str">
        <f>IF('Input Sheet'!C267="","",100-'Input Sheet'!C267)</f>
        <v/>
      </c>
      <c r="I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5" s="6" t="str">
        <f t="shared" si="4"/>
        <v/>
      </c>
      <c r="K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5" s="6" t="str">
        <f>IF('Input Sheet'!F267=0, "NO",CONCATENATE('Input Sheet'!F267, IF('Input Sheet'!F267&gt;0,"% ","")))</f>
        <v>NO</v>
      </c>
      <c r="M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5" s="6" t="str">
        <f>CONCATENATE(M265, IF('Input Sheet'!J267="",""," siderite in "))</f>
        <v/>
      </c>
      <c r="O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5" s="6" t="str">
        <f>CONCATENATE(O265, IF('Input Sheet'!K267="",""," siderite in "))</f>
        <v/>
      </c>
    </row>
    <row r="266" spans="1:16" x14ac:dyDescent="0.25">
      <c r="A266" s="17" t="str">
        <f>IF('Input Sheet'!C268="","",CONCATENATE("Sample ", 'Input Sheet'!B268, "m: ", N266, H266, "% ", "Siltstone, ", P266, 'Input Sheet'!C268, "% ", J266, " Sandstone, ", L266, K266, " FLUOR in SST. ", "TG ", 'Input Sheet'!I268, "U"))</f>
        <v/>
      </c>
      <c r="B266" s="3" t="str">
        <f>IF('Input Sheet'!C268="","",CONCATENATE("Sample ", 'Input Sheet'!B268, "m: ", O266, I266, "% ", "Siltstone, ", Q266, 'Input Sheet'!C268, "% ", K266, " Sandstone "))</f>
        <v/>
      </c>
      <c r="C266" s="3" t="str">
        <f>IF('Input Sheet'!C268="","",CONCATENATE("Sample ", 'Input Sheet'!B268, "m: ", N266,, L266, K266, " FLUOR in SST. ", "TG ", 'Input Sheet'!I268, "U"))</f>
        <v/>
      </c>
      <c r="H266" s="6" t="str">
        <f>IF('Input Sheet'!C268="","",100-'Input Sheet'!C268)</f>
        <v/>
      </c>
      <c r="I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6" s="6" t="str">
        <f t="shared" si="4"/>
        <v/>
      </c>
      <c r="K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6" s="6" t="str">
        <f>IF('Input Sheet'!F268=0, "NO",CONCATENATE('Input Sheet'!F268, IF('Input Sheet'!F268&gt;0,"% ","")))</f>
        <v>NO</v>
      </c>
      <c r="M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6" s="6" t="str">
        <f>CONCATENATE(M266, IF('Input Sheet'!J268="",""," siderite in "))</f>
        <v/>
      </c>
      <c r="O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6" s="6" t="str">
        <f>CONCATENATE(O266, IF('Input Sheet'!K268="",""," siderite in "))</f>
        <v/>
      </c>
    </row>
    <row r="267" spans="1:16" x14ac:dyDescent="0.25">
      <c r="A267" s="17" t="str">
        <f>IF('Input Sheet'!C269="","",CONCATENATE("Sample ", 'Input Sheet'!B269, "m: ", N267, H267, "% ", "Siltstone, ", P267, 'Input Sheet'!C269, "% ", J267, " Sandstone, ", L267, K267, " FLUOR in SST. ", "TG ", 'Input Sheet'!I269, "U"))</f>
        <v/>
      </c>
      <c r="B267" s="3" t="str">
        <f>IF('Input Sheet'!C269="","",CONCATENATE("Sample ", 'Input Sheet'!B269, "m: ", O267, I267, "% ", "Siltstone, ", Q267, 'Input Sheet'!C269, "% ", K267, " Sandstone "))</f>
        <v/>
      </c>
      <c r="C267" s="3" t="str">
        <f>IF('Input Sheet'!C269="","",CONCATENATE("Sample ", 'Input Sheet'!B269, "m: ", N267,, L267, K267, " FLUOR in SST. ", "TG ", 'Input Sheet'!I269, "U"))</f>
        <v/>
      </c>
      <c r="H267" s="6" t="str">
        <f>IF('Input Sheet'!C269="","",100-'Input Sheet'!C269)</f>
        <v/>
      </c>
      <c r="I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7" s="6" t="str">
        <f t="shared" si="4"/>
        <v/>
      </c>
      <c r="K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7" s="6" t="str">
        <f>IF('Input Sheet'!F269=0, "NO",CONCATENATE('Input Sheet'!F269, IF('Input Sheet'!F269&gt;0,"% ","")))</f>
        <v>NO</v>
      </c>
      <c r="M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7" s="6" t="str">
        <f>CONCATENATE(M267, IF('Input Sheet'!J269="",""," siderite in "))</f>
        <v/>
      </c>
      <c r="O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7" s="6" t="str">
        <f>CONCATENATE(O267, IF('Input Sheet'!K269="",""," siderite in "))</f>
        <v/>
      </c>
    </row>
    <row r="268" spans="1:16" x14ac:dyDescent="0.25">
      <c r="A268" s="17" t="str">
        <f>IF('Input Sheet'!C270="","",CONCATENATE("Sample ", 'Input Sheet'!B270, "m: ", N268, H268, "% ", "Siltstone, ", P268, 'Input Sheet'!C270, "% ", J268, " Sandstone, ", L268, K268, " FLUOR in SST. ", "TG ", 'Input Sheet'!I270, "U"))</f>
        <v/>
      </c>
      <c r="B268" s="3" t="str">
        <f>IF('Input Sheet'!C270="","",CONCATENATE("Sample ", 'Input Sheet'!B270, "m: ", O268, I268, "% ", "Siltstone, ", Q268, 'Input Sheet'!C270, "% ", K268, " Sandstone "))</f>
        <v/>
      </c>
      <c r="C268" s="3" t="str">
        <f>IF('Input Sheet'!C270="","",CONCATENATE("Sample ", 'Input Sheet'!B270, "m: ", N268,, L268, K268, " FLUOR in SST. ", "TG ", 'Input Sheet'!I270, "U"))</f>
        <v/>
      </c>
      <c r="H268" s="6" t="str">
        <f>IF('Input Sheet'!C270="","",100-'Input Sheet'!C270)</f>
        <v/>
      </c>
      <c r="I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8" s="6" t="str">
        <f t="shared" si="4"/>
        <v/>
      </c>
      <c r="K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8" s="6" t="str">
        <f>IF('Input Sheet'!F270=0, "NO",CONCATENATE('Input Sheet'!F270, IF('Input Sheet'!F270&gt;0,"% ","")))</f>
        <v>NO</v>
      </c>
      <c r="M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8" s="6" t="str">
        <f>CONCATENATE(M268, IF('Input Sheet'!J270="",""," siderite in "))</f>
        <v/>
      </c>
      <c r="O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8" s="6" t="str">
        <f>CONCATENATE(O268, IF('Input Sheet'!K270="",""," siderite in "))</f>
        <v/>
      </c>
    </row>
    <row r="269" spans="1:16" x14ac:dyDescent="0.25">
      <c r="A269" s="17" t="str">
        <f>IF('Input Sheet'!C271="","",CONCATENATE("Sample ", 'Input Sheet'!B271, "m: ", N269, H269, "% ", "Siltstone, ", P269, 'Input Sheet'!C271, "% ", J269, " Sandstone, ", L269, K269, " FLUOR in SST. ", "TG ", 'Input Sheet'!I271, "U"))</f>
        <v/>
      </c>
      <c r="B269" s="3" t="str">
        <f>IF('Input Sheet'!C271="","",CONCATENATE("Sample ", 'Input Sheet'!B271, "m: ", O269, I269, "% ", "Siltstone, ", Q269, 'Input Sheet'!C271, "% ", K269, " Sandstone "))</f>
        <v/>
      </c>
      <c r="C269" s="3" t="str">
        <f>IF('Input Sheet'!C271="","",CONCATENATE("Sample ", 'Input Sheet'!B271, "m: ", N269,, L269, K269, " FLUOR in SST. ", "TG ", 'Input Sheet'!I271, "U"))</f>
        <v/>
      </c>
      <c r="H269" s="6" t="str">
        <f>IF('Input Sheet'!C271="","",100-'Input Sheet'!C271)</f>
        <v/>
      </c>
      <c r="I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69" s="6" t="str">
        <f t="shared" si="4"/>
        <v/>
      </c>
      <c r="K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69" s="6" t="str">
        <f>IF('Input Sheet'!F271=0, "NO",CONCATENATE('Input Sheet'!F271, IF('Input Sheet'!F271&gt;0,"% ","")))</f>
        <v>NO</v>
      </c>
      <c r="M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69" s="6" t="str">
        <f>CONCATENATE(M269, IF('Input Sheet'!J271="",""," siderite in "))</f>
        <v/>
      </c>
      <c r="O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69" s="6" t="str">
        <f>CONCATENATE(O269, IF('Input Sheet'!K271="",""," siderite in "))</f>
        <v/>
      </c>
    </row>
    <row r="270" spans="1:16" x14ac:dyDescent="0.25">
      <c r="A270" s="17" t="str">
        <f>IF('Input Sheet'!C272="","",CONCATENATE("Sample ", 'Input Sheet'!B272, "m: ", N270, H270, "% ", "Siltstone, ", P270, 'Input Sheet'!C272, "% ", J270, " Sandstone, ", L270, K270, " FLUOR in SST. ", "TG ", 'Input Sheet'!I272, "U"))</f>
        <v/>
      </c>
      <c r="B270" s="3" t="str">
        <f>IF('Input Sheet'!C272="","",CONCATENATE("Sample ", 'Input Sheet'!B272, "m: ", O270, I270, "% ", "Siltstone, ", Q270, 'Input Sheet'!C272, "% ", K270, " Sandstone "))</f>
        <v/>
      </c>
      <c r="C270" s="3" t="str">
        <f>IF('Input Sheet'!C272="","",CONCATENATE("Sample ", 'Input Sheet'!B272, "m: ", N270,, L270, K270, " FLUOR in SST. ", "TG ", 'Input Sheet'!I272, "U"))</f>
        <v/>
      </c>
      <c r="H270" s="6" t="str">
        <f>IF('Input Sheet'!C272="","",100-'Input Sheet'!C272)</f>
        <v/>
      </c>
      <c r="I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0" s="6" t="str">
        <f t="shared" si="4"/>
        <v/>
      </c>
      <c r="K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0" s="6" t="str">
        <f>IF('Input Sheet'!F272=0, "NO",CONCATENATE('Input Sheet'!F272, IF('Input Sheet'!F272&gt;0,"% ","")))</f>
        <v>NO</v>
      </c>
      <c r="M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0" s="6" t="str">
        <f>CONCATENATE(M270, IF('Input Sheet'!J272="",""," siderite in "))</f>
        <v/>
      </c>
      <c r="O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0" s="6" t="str">
        <f>CONCATENATE(O270, IF('Input Sheet'!K272="",""," siderite in "))</f>
        <v/>
      </c>
    </row>
    <row r="271" spans="1:16" x14ac:dyDescent="0.25">
      <c r="A271" s="17" t="str">
        <f>IF('Input Sheet'!C273="","",CONCATENATE("Sample ", 'Input Sheet'!B273, "m: ", N271, H271, "% ", "Siltstone, ", P271, 'Input Sheet'!C273, "% ", J271, " Sandstone, ", L271, K271, " FLUOR in SST. ", "TG ", 'Input Sheet'!I273, "U"))</f>
        <v/>
      </c>
      <c r="B271" s="3" t="str">
        <f>IF('Input Sheet'!C273="","",CONCATENATE("Sample ", 'Input Sheet'!B273, "m: ", O271, I271, "% ", "Siltstone, ", Q271, 'Input Sheet'!C273, "% ", K271, " Sandstone "))</f>
        <v/>
      </c>
      <c r="C271" s="3" t="str">
        <f>IF('Input Sheet'!C273="","",CONCATENATE("Sample ", 'Input Sheet'!B273, "m: ", N271,, L271, K271, " FLUOR in SST. ", "TG ", 'Input Sheet'!I273, "U"))</f>
        <v/>
      </c>
      <c r="H271" s="6" t="str">
        <f>IF('Input Sheet'!C273="","",100-'Input Sheet'!C273)</f>
        <v/>
      </c>
      <c r="I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1" s="6" t="str">
        <f t="shared" si="4"/>
        <v/>
      </c>
      <c r="K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1" s="6" t="str">
        <f>IF('Input Sheet'!F273=0, "NO",CONCATENATE('Input Sheet'!F273, IF('Input Sheet'!F273&gt;0,"% ","")))</f>
        <v>NO</v>
      </c>
      <c r="M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1" s="6" t="str">
        <f>CONCATENATE(M271, IF('Input Sheet'!J273="",""," siderite in "))</f>
        <v/>
      </c>
      <c r="O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1" s="6" t="str">
        <f>CONCATENATE(O271, IF('Input Sheet'!K273="",""," siderite in "))</f>
        <v/>
      </c>
    </row>
    <row r="272" spans="1:16" x14ac:dyDescent="0.25">
      <c r="A272" s="17" t="str">
        <f>IF('Input Sheet'!C274="","",CONCATENATE("Sample ", 'Input Sheet'!B274, "m: ", N272, H272, "% ", "Siltstone, ", P272, 'Input Sheet'!C274, "% ", J272, " Sandstone, ", L272, K272, " FLUOR in SST. ", "TG ", 'Input Sheet'!I274, "U"))</f>
        <v/>
      </c>
      <c r="B272" s="3" t="str">
        <f>IF('Input Sheet'!C274="","",CONCATENATE("Sample ", 'Input Sheet'!B274, "m: ", O272, I272, "% ", "Siltstone, ", Q272, 'Input Sheet'!C274, "% ", K272, " Sandstone "))</f>
        <v/>
      </c>
      <c r="C272" s="3" t="str">
        <f>IF('Input Sheet'!C274="","",CONCATENATE("Sample ", 'Input Sheet'!B274, "m: ", N272,, L272, K272, " FLUOR in SST. ", "TG ", 'Input Sheet'!I274, "U"))</f>
        <v/>
      </c>
      <c r="H272" s="6" t="str">
        <f>IF('Input Sheet'!C274="","",100-'Input Sheet'!C274)</f>
        <v/>
      </c>
      <c r="I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2" s="6" t="str">
        <f t="shared" si="4"/>
        <v/>
      </c>
      <c r="K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2" s="6" t="str">
        <f>IF('Input Sheet'!F274=0, "NO",CONCATENATE('Input Sheet'!F274, IF('Input Sheet'!F274&gt;0,"% ","")))</f>
        <v>NO</v>
      </c>
      <c r="M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2" s="6" t="str">
        <f>CONCATENATE(M272, IF('Input Sheet'!J274="",""," siderite in "))</f>
        <v/>
      </c>
      <c r="O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2" s="6" t="str">
        <f>CONCATENATE(O272, IF('Input Sheet'!K274="",""," siderite in "))</f>
        <v/>
      </c>
    </row>
    <row r="273" spans="1:16" x14ac:dyDescent="0.25">
      <c r="A273" s="17" t="str">
        <f>IF('Input Sheet'!C275="","",CONCATENATE("Sample ", 'Input Sheet'!B275, "m: ", N273, H273, "% ", "Siltstone, ", P273, 'Input Sheet'!C275, "% ", J273, " Sandstone, ", L273, K273, " FLUOR in SST. ", "TG ", 'Input Sheet'!I275, "U"))</f>
        <v/>
      </c>
      <c r="B273" s="3" t="str">
        <f>IF('Input Sheet'!C275="","",CONCATENATE("Sample ", 'Input Sheet'!B275, "m: ", O273, I273, "% ", "Siltstone, ", Q273, 'Input Sheet'!C275, "% ", K273, " Sandstone "))</f>
        <v/>
      </c>
      <c r="C273" s="3" t="str">
        <f>IF('Input Sheet'!C275="","",CONCATENATE("Sample ", 'Input Sheet'!B275, "m: ", N273,, L273, K273, " FLUOR in SST. ", "TG ", 'Input Sheet'!I275, "U"))</f>
        <v/>
      </c>
      <c r="H273" s="6" t="str">
        <f>IF('Input Sheet'!C275="","",100-'Input Sheet'!C275)</f>
        <v/>
      </c>
      <c r="I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3" s="6" t="str">
        <f t="shared" si="4"/>
        <v/>
      </c>
      <c r="K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3" s="6" t="str">
        <f>IF('Input Sheet'!F275=0, "NO",CONCATENATE('Input Sheet'!F275, IF('Input Sheet'!F275&gt;0,"% ","")))</f>
        <v>NO</v>
      </c>
      <c r="M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3" s="6" t="str">
        <f>CONCATENATE(M273, IF('Input Sheet'!J275="",""," siderite in "))</f>
        <v/>
      </c>
      <c r="O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3" s="6" t="str">
        <f>CONCATENATE(O273, IF('Input Sheet'!K275="",""," siderite in "))</f>
        <v/>
      </c>
    </row>
    <row r="274" spans="1:16" x14ac:dyDescent="0.25">
      <c r="A274" s="17" t="str">
        <f>IF('Input Sheet'!C276="","",CONCATENATE("Sample ", 'Input Sheet'!B276, "m: ", N274, H274, "% ", "Siltstone, ", P274, 'Input Sheet'!C276, "% ", J274, " Sandstone, ", L274, K274, " FLUOR in SST. ", "TG ", 'Input Sheet'!I276, "U"))</f>
        <v/>
      </c>
      <c r="B274" s="3" t="str">
        <f>IF('Input Sheet'!C276="","",CONCATENATE("Sample ", 'Input Sheet'!B276, "m: ", O274, I274, "% ", "Siltstone, ", Q274, 'Input Sheet'!C276, "% ", K274, " Sandstone "))</f>
        <v/>
      </c>
      <c r="C274" s="3" t="str">
        <f>IF('Input Sheet'!C276="","",CONCATENATE("Sample ", 'Input Sheet'!B276, "m: ", N274,, L274, K274, " FLUOR in SST. ", "TG ", 'Input Sheet'!I276, "U"))</f>
        <v/>
      </c>
      <c r="H274" s="6" t="str">
        <f>IF('Input Sheet'!C276="","",100-'Input Sheet'!C276)</f>
        <v/>
      </c>
      <c r="I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4" s="6" t="str">
        <f t="shared" si="4"/>
        <v/>
      </c>
      <c r="K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4" s="6" t="str">
        <f>IF('Input Sheet'!F276=0, "NO",CONCATENATE('Input Sheet'!F276, IF('Input Sheet'!F276&gt;0,"% ","")))</f>
        <v>NO</v>
      </c>
      <c r="M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4" s="6" t="str">
        <f>CONCATENATE(M274, IF('Input Sheet'!J276="",""," siderite in "))</f>
        <v/>
      </c>
      <c r="O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4" s="6" t="str">
        <f>CONCATENATE(O274, IF('Input Sheet'!K276="",""," siderite in "))</f>
        <v/>
      </c>
    </row>
    <row r="275" spans="1:16" x14ac:dyDescent="0.25">
      <c r="A275" s="17" t="str">
        <f>IF('Input Sheet'!C277="","",CONCATENATE("Sample ", 'Input Sheet'!B277, "m: ", N275, H275, "% ", "Siltstone, ", P275, 'Input Sheet'!C277, "% ", J275, " Sandstone, ", L275, K275, " FLUOR in SST. ", "TG ", 'Input Sheet'!I277, "U"))</f>
        <v/>
      </c>
      <c r="B275" s="3" t="str">
        <f>IF('Input Sheet'!C277="","",CONCATENATE("Sample ", 'Input Sheet'!B277, "m: ", O275, I275, "% ", "Siltstone, ", Q275, 'Input Sheet'!C277, "% ", K275, " Sandstone "))</f>
        <v/>
      </c>
      <c r="C275" s="3" t="str">
        <f>IF('Input Sheet'!C277="","",CONCATENATE("Sample ", 'Input Sheet'!B277, "m: ", N275,, L275, K275, " FLUOR in SST. ", "TG ", 'Input Sheet'!I277, "U"))</f>
        <v/>
      </c>
      <c r="H275" s="6" t="str">
        <f>IF('Input Sheet'!C277="","",100-'Input Sheet'!C277)</f>
        <v/>
      </c>
      <c r="I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5" s="6" t="str">
        <f t="shared" si="4"/>
        <v/>
      </c>
      <c r="K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5" s="6" t="str">
        <f>IF('Input Sheet'!F277=0, "NO",CONCATENATE('Input Sheet'!F277, IF('Input Sheet'!F277&gt;0,"% ","")))</f>
        <v>NO</v>
      </c>
      <c r="M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5" s="6" t="str">
        <f>CONCATENATE(M275, IF('Input Sheet'!J277="",""," siderite in "))</f>
        <v/>
      </c>
      <c r="O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5" s="6" t="str">
        <f>CONCATENATE(O275, IF('Input Sheet'!K277="",""," siderite in "))</f>
        <v/>
      </c>
    </row>
    <row r="276" spans="1:16" x14ac:dyDescent="0.25">
      <c r="A276" s="17" t="str">
        <f>IF('Input Sheet'!C278="","",CONCATENATE("Sample ", 'Input Sheet'!B278, "m: ", N276, H276, "% ", "Siltstone, ", P276, 'Input Sheet'!C278, "% ", J276, " Sandstone, ", L276, K276, " FLUOR in SST. ", "TG ", 'Input Sheet'!I278, "U"))</f>
        <v/>
      </c>
      <c r="B276" s="3" t="str">
        <f>IF('Input Sheet'!C278="","",CONCATENATE("Sample ", 'Input Sheet'!B278, "m: ", O276, I276, "% ", "Siltstone, ", Q276, 'Input Sheet'!C278, "% ", K276, " Sandstone "))</f>
        <v/>
      </c>
      <c r="C276" s="3" t="str">
        <f>IF('Input Sheet'!C278="","",CONCATENATE("Sample ", 'Input Sheet'!B278, "m: ", N276,, L276, K276, " FLUOR in SST. ", "TG ", 'Input Sheet'!I278, "U"))</f>
        <v/>
      </c>
      <c r="H276" s="6" t="str">
        <f>IF('Input Sheet'!C278="","",100-'Input Sheet'!C278)</f>
        <v/>
      </c>
      <c r="I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6" s="6" t="str">
        <f t="shared" si="4"/>
        <v/>
      </c>
      <c r="K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6" s="6" t="str">
        <f>IF('Input Sheet'!F278=0, "NO",CONCATENATE('Input Sheet'!F278, IF('Input Sheet'!F278&gt;0,"% ","")))</f>
        <v>NO</v>
      </c>
      <c r="M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6" s="6" t="str">
        <f>CONCATENATE(M276, IF('Input Sheet'!J278="",""," siderite in "))</f>
        <v/>
      </c>
      <c r="O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6" s="6" t="str">
        <f>CONCATENATE(O276, IF('Input Sheet'!K278="",""," siderite in "))</f>
        <v/>
      </c>
    </row>
    <row r="277" spans="1:16" x14ac:dyDescent="0.25">
      <c r="A277" s="17" t="str">
        <f>IF('Input Sheet'!C279="","",CONCATENATE("Sample ", 'Input Sheet'!B279, "m: ", N277, H277, "% ", "Siltstone, ", P277, 'Input Sheet'!C279, "% ", J277, " Sandstone, ", L277, K277, " FLUOR in SST. ", "TG ", 'Input Sheet'!I279, "U"))</f>
        <v/>
      </c>
      <c r="B277" s="3" t="str">
        <f>IF('Input Sheet'!C279="","",CONCATENATE("Sample ", 'Input Sheet'!B279, "m: ", O277, I277, "% ", "Siltstone, ", Q277, 'Input Sheet'!C279, "% ", K277, " Sandstone "))</f>
        <v/>
      </c>
      <c r="C277" s="3" t="str">
        <f>IF('Input Sheet'!C279="","",CONCATENATE("Sample ", 'Input Sheet'!B279, "m: ", N277,, L277, K277, " FLUOR in SST. ", "TG ", 'Input Sheet'!I279, "U"))</f>
        <v/>
      </c>
      <c r="H277" s="6" t="str">
        <f>IF('Input Sheet'!C279="","",100-'Input Sheet'!C279)</f>
        <v/>
      </c>
      <c r="I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7" s="6" t="str">
        <f t="shared" si="4"/>
        <v/>
      </c>
      <c r="K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7" s="6" t="str">
        <f>IF('Input Sheet'!F279=0, "NO",CONCATENATE('Input Sheet'!F279, IF('Input Sheet'!F279&gt;0,"% ","")))</f>
        <v>NO</v>
      </c>
      <c r="M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7" s="6" t="str">
        <f>CONCATENATE(M277, IF('Input Sheet'!J279="",""," siderite in "))</f>
        <v/>
      </c>
      <c r="O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7" s="6" t="str">
        <f>CONCATENATE(O277, IF('Input Sheet'!K279="",""," siderite in "))</f>
        <v/>
      </c>
    </row>
    <row r="278" spans="1:16" x14ac:dyDescent="0.25">
      <c r="A278" s="17" t="str">
        <f>IF('Input Sheet'!C280="","",CONCATENATE("Sample ", 'Input Sheet'!B280, "m: ", N278, H278, "% ", "Siltstone, ", P278, 'Input Sheet'!C280, "% ", J278, " Sandstone, ", L278, K278, " FLUOR in SST. ", "TG ", 'Input Sheet'!I280, "U"))</f>
        <v/>
      </c>
      <c r="B278" s="3" t="str">
        <f>IF('Input Sheet'!C280="","",CONCATENATE("Sample ", 'Input Sheet'!B280, "m: ", O278, I278, "% ", "Siltstone, ", Q278, 'Input Sheet'!C280, "% ", K278, " Sandstone "))</f>
        <v/>
      </c>
      <c r="C278" s="3" t="str">
        <f>IF('Input Sheet'!C280="","",CONCATENATE("Sample ", 'Input Sheet'!B280, "m: ", N278,, L278, K278, " FLUOR in SST. ", "TG ", 'Input Sheet'!I280, "U"))</f>
        <v/>
      </c>
      <c r="H278" s="6" t="str">
        <f>IF('Input Sheet'!C280="","",100-'Input Sheet'!C280)</f>
        <v/>
      </c>
      <c r="I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8" s="6" t="str">
        <f t="shared" si="4"/>
        <v/>
      </c>
      <c r="K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8" s="6" t="str">
        <f>IF('Input Sheet'!F280=0, "NO",CONCATENATE('Input Sheet'!F280, IF('Input Sheet'!F280&gt;0,"% ","")))</f>
        <v>NO</v>
      </c>
      <c r="M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8" s="6" t="str">
        <f>CONCATENATE(M278, IF('Input Sheet'!J280="",""," siderite in "))</f>
        <v/>
      </c>
      <c r="O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8" s="6" t="str">
        <f>CONCATENATE(O278, IF('Input Sheet'!K280="",""," siderite in "))</f>
        <v/>
      </c>
    </row>
    <row r="279" spans="1:16" x14ac:dyDescent="0.25">
      <c r="A279" s="17" t="str">
        <f>IF('Input Sheet'!C281="","",CONCATENATE("Sample ", 'Input Sheet'!B281, "m: ", N279, H279, "% ", "Siltstone, ", P279, 'Input Sheet'!C281, "% ", J279, " Sandstone, ", L279, K279, " FLUOR in SST. ", "TG ", 'Input Sheet'!I281, "U"))</f>
        <v/>
      </c>
      <c r="B279" s="3" t="str">
        <f>IF('Input Sheet'!C281="","",CONCATENATE("Sample ", 'Input Sheet'!B281, "m: ", O279, I279, "% ", "Siltstone, ", Q279, 'Input Sheet'!C281, "% ", K279, " Sandstone "))</f>
        <v/>
      </c>
      <c r="C279" s="3" t="str">
        <f>IF('Input Sheet'!C281="","",CONCATENATE("Sample ", 'Input Sheet'!B281, "m: ", N279,, L279, K279, " FLUOR in SST. ", "TG ", 'Input Sheet'!I281, "U"))</f>
        <v/>
      </c>
      <c r="H279" s="6" t="str">
        <f>IF('Input Sheet'!C281="","",100-'Input Sheet'!C281)</f>
        <v/>
      </c>
      <c r="I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79" s="6" t="str">
        <f t="shared" si="4"/>
        <v/>
      </c>
      <c r="K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79" s="6" t="str">
        <f>IF('Input Sheet'!F281=0, "NO",CONCATENATE('Input Sheet'!F281, IF('Input Sheet'!F281&gt;0,"% ","")))</f>
        <v>NO</v>
      </c>
      <c r="M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79" s="6" t="str">
        <f>CONCATENATE(M279, IF('Input Sheet'!J281="",""," siderite in "))</f>
        <v/>
      </c>
      <c r="O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79" s="6" t="str">
        <f>CONCATENATE(O279, IF('Input Sheet'!K281="",""," siderite in "))</f>
        <v/>
      </c>
    </row>
    <row r="280" spans="1:16" x14ac:dyDescent="0.25">
      <c r="A280" s="17" t="str">
        <f>IF('Input Sheet'!C282="","",CONCATENATE("Sample ", 'Input Sheet'!B282, "m: ", N280, H280, "% ", "Siltstone, ", P280, 'Input Sheet'!C282, "% ", J280, " Sandstone, ", L280, K280, " FLUOR in SST. ", "TG ", 'Input Sheet'!I282, "U"))</f>
        <v/>
      </c>
      <c r="B280" s="3" t="str">
        <f>IF('Input Sheet'!C282="","",CONCATENATE("Sample ", 'Input Sheet'!B282, "m: ", O280, I280, "% ", "Siltstone, ", Q280, 'Input Sheet'!C282, "% ", K280, " Sandstone "))</f>
        <v/>
      </c>
      <c r="C280" s="3" t="str">
        <f>IF('Input Sheet'!C282="","",CONCATENATE("Sample ", 'Input Sheet'!B282, "m: ", N280,, L280, K280, " FLUOR in SST. ", "TG ", 'Input Sheet'!I282, "U"))</f>
        <v/>
      </c>
      <c r="H280" s="6" t="str">
        <f>IF('Input Sheet'!C282="","",100-'Input Sheet'!C282)</f>
        <v/>
      </c>
      <c r="I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0" s="6" t="str">
        <f t="shared" si="4"/>
        <v/>
      </c>
      <c r="K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0" s="6" t="str">
        <f>IF('Input Sheet'!F282=0, "NO",CONCATENATE('Input Sheet'!F282, IF('Input Sheet'!F282&gt;0,"% ","")))</f>
        <v>NO</v>
      </c>
      <c r="M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0" s="6" t="str">
        <f>CONCATENATE(M280, IF('Input Sheet'!J282="",""," siderite in "))</f>
        <v/>
      </c>
      <c r="O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0" s="6" t="str">
        <f>CONCATENATE(O280, IF('Input Sheet'!K282="",""," siderite in "))</f>
        <v/>
      </c>
    </row>
    <row r="281" spans="1:16" x14ac:dyDescent="0.25">
      <c r="A281" s="17" t="str">
        <f>IF('Input Sheet'!C283="","",CONCATENATE("Sample ", 'Input Sheet'!B283, "m: ", N281, H281, "% ", "Siltstone, ", P281, 'Input Sheet'!C283, "% ", J281, " Sandstone, ", L281, K281, " FLUOR in SST. ", "TG ", 'Input Sheet'!I283, "U"))</f>
        <v/>
      </c>
      <c r="B281" s="3" t="str">
        <f>IF('Input Sheet'!C283="","",CONCATENATE("Sample ", 'Input Sheet'!B283, "m: ", O281, I281, "% ", "Siltstone, ", Q281, 'Input Sheet'!C283, "% ", K281, " Sandstone "))</f>
        <v/>
      </c>
      <c r="C281" s="3" t="str">
        <f>IF('Input Sheet'!C283="","",CONCATENATE("Sample ", 'Input Sheet'!B283, "m: ", N281,, L281, K281, " FLUOR in SST. ", "TG ", 'Input Sheet'!I283, "U"))</f>
        <v/>
      </c>
      <c r="H281" s="6" t="str">
        <f>IF('Input Sheet'!C283="","",100-'Input Sheet'!C283)</f>
        <v/>
      </c>
      <c r="I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1" s="6" t="str">
        <f t="shared" si="4"/>
        <v/>
      </c>
      <c r="K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1" s="6" t="str">
        <f>IF('Input Sheet'!F283=0, "NO",CONCATENATE('Input Sheet'!F283, IF('Input Sheet'!F283&gt;0,"% ","")))</f>
        <v>NO</v>
      </c>
      <c r="M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1" s="6" t="str">
        <f>CONCATENATE(M281, IF('Input Sheet'!J283="",""," siderite in "))</f>
        <v/>
      </c>
      <c r="O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1" s="6" t="str">
        <f>CONCATENATE(O281, IF('Input Sheet'!K283="",""," siderite in "))</f>
        <v/>
      </c>
    </row>
    <row r="282" spans="1:16" x14ac:dyDescent="0.25">
      <c r="A282" s="17" t="str">
        <f>IF('Input Sheet'!C284="","",CONCATENATE("Sample ", 'Input Sheet'!B284, "m: ", N282, H282, "% ", "Siltstone, ", P282, 'Input Sheet'!C284, "% ", J282, " Sandstone, ", L282, K282, " FLUOR in SST. ", "TG ", 'Input Sheet'!I284, "U"))</f>
        <v/>
      </c>
      <c r="B282" s="3" t="str">
        <f>IF('Input Sheet'!C284="","",CONCATENATE("Sample ", 'Input Sheet'!B284, "m: ", O282, I282, "% ", "Siltstone, ", Q282, 'Input Sheet'!C284, "% ", K282, " Sandstone "))</f>
        <v/>
      </c>
      <c r="C282" s="3" t="str">
        <f>IF('Input Sheet'!C284="","",CONCATENATE("Sample ", 'Input Sheet'!B284, "m: ", N282,, L282, K282, " FLUOR in SST. ", "TG ", 'Input Sheet'!I284, "U"))</f>
        <v/>
      </c>
      <c r="H282" s="6" t="str">
        <f>IF('Input Sheet'!C284="","",100-'Input Sheet'!C284)</f>
        <v/>
      </c>
      <c r="I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2" s="6" t="str">
        <f t="shared" si="4"/>
        <v/>
      </c>
      <c r="K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2" s="6" t="str">
        <f>IF('Input Sheet'!F284=0, "NO",CONCATENATE('Input Sheet'!F284, IF('Input Sheet'!F284&gt;0,"% ","")))</f>
        <v>NO</v>
      </c>
      <c r="M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2" s="6" t="str">
        <f>CONCATENATE(M282, IF('Input Sheet'!J284="",""," siderite in "))</f>
        <v/>
      </c>
      <c r="O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2" s="6" t="str">
        <f>CONCATENATE(O282, IF('Input Sheet'!K284="",""," siderite in "))</f>
        <v/>
      </c>
    </row>
    <row r="283" spans="1:16" x14ac:dyDescent="0.25">
      <c r="A283" s="17" t="str">
        <f>IF('Input Sheet'!C285="","",CONCATENATE("Sample ", 'Input Sheet'!B285, "m: ", N283, H283, "% ", "Siltstone, ", P283, 'Input Sheet'!C285, "% ", J283, " Sandstone, ", L283, K283, " FLUOR in SST. ", "TG ", 'Input Sheet'!I285, "U"))</f>
        <v/>
      </c>
      <c r="B283" s="3" t="str">
        <f>IF('Input Sheet'!C285="","",CONCATENATE("Sample ", 'Input Sheet'!B285, "m: ", O283, I283, "% ", "Siltstone, ", Q283, 'Input Sheet'!C285, "% ", K283, " Sandstone "))</f>
        <v/>
      </c>
      <c r="C283" s="3" t="str">
        <f>IF('Input Sheet'!C285="","",CONCATENATE("Sample ", 'Input Sheet'!B285, "m: ", N283,, L283, K283, " FLUOR in SST. ", "TG ", 'Input Sheet'!I285, "U"))</f>
        <v/>
      </c>
      <c r="H283" s="6" t="str">
        <f>IF('Input Sheet'!C285="","",100-'Input Sheet'!C285)</f>
        <v/>
      </c>
      <c r="I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3" s="6" t="str">
        <f t="shared" si="4"/>
        <v/>
      </c>
      <c r="K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3" s="6" t="str">
        <f>IF('Input Sheet'!F285=0, "NO",CONCATENATE('Input Sheet'!F285, IF('Input Sheet'!F285&gt;0,"% ","")))</f>
        <v>NO</v>
      </c>
      <c r="M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3" s="6" t="str">
        <f>CONCATENATE(M283, IF('Input Sheet'!J285="",""," siderite in "))</f>
        <v/>
      </c>
      <c r="O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3" s="6" t="str">
        <f>CONCATENATE(O283, IF('Input Sheet'!K285="",""," siderite in "))</f>
        <v/>
      </c>
    </row>
    <row r="284" spans="1:16" x14ac:dyDescent="0.25">
      <c r="A284" s="17" t="str">
        <f>IF('Input Sheet'!C286="","",CONCATENATE("Sample ", 'Input Sheet'!B286, "m: ", N284, H284, "% ", "Siltstone, ", P284, 'Input Sheet'!C286, "% ", J284, " Sandstone, ", L284, K284, " FLUOR in SST. ", "TG ", 'Input Sheet'!I286, "U"))</f>
        <v/>
      </c>
      <c r="B284" s="3" t="str">
        <f>IF('Input Sheet'!C286="","",CONCATENATE("Sample ", 'Input Sheet'!B286, "m: ", O284, I284, "% ", "Siltstone, ", Q284, 'Input Sheet'!C286, "% ", K284, " Sandstone "))</f>
        <v/>
      </c>
      <c r="C284" s="3" t="str">
        <f>IF('Input Sheet'!C286="","",CONCATENATE("Sample ", 'Input Sheet'!B286, "m: ", N284,, L284, K284, " FLUOR in SST. ", "TG ", 'Input Sheet'!I286, "U"))</f>
        <v/>
      </c>
      <c r="H284" s="6" t="str">
        <f>IF('Input Sheet'!C286="","",100-'Input Sheet'!C286)</f>
        <v/>
      </c>
      <c r="I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4" s="6" t="str">
        <f t="shared" si="4"/>
        <v/>
      </c>
      <c r="K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4" s="6" t="str">
        <f>IF('Input Sheet'!F286=0, "NO",CONCATENATE('Input Sheet'!F286, IF('Input Sheet'!F286&gt;0,"% ","")))</f>
        <v>NO</v>
      </c>
      <c r="M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4" s="6" t="str">
        <f>CONCATENATE(M284, IF('Input Sheet'!J286="",""," siderite in "))</f>
        <v/>
      </c>
      <c r="O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4" s="6" t="str">
        <f>CONCATENATE(O284, IF('Input Sheet'!K286="",""," siderite in "))</f>
        <v/>
      </c>
    </row>
    <row r="285" spans="1:16" x14ac:dyDescent="0.25">
      <c r="A285" s="17" t="str">
        <f>IF('Input Sheet'!C287="","",CONCATENATE("Sample ", 'Input Sheet'!B287, "m: ", N285, H285, "% ", "Siltstone, ", P285, 'Input Sheet'!C287, "% ", J285, " Sandstone, ", L285, K285, " FLUOR in SST. ", "TG ", 'Input Sheet'!I287, "U"))</f>
        <v/>
      </c>
      <c r="B285" s="3" t="str">
        <f>IF('Input Sheet'!C287="","",CONCATENATE("Sample ", 'Input Sheet'!B287, "m: ", O285, I285, "% ", "Siltstone, ", Q285, 'Input Sheet'!C287, "% ", K285, " Sandstone "))</f>
        <v/>
      </c>
      <c r="C285" s="3" t="str">
        <f>IF('Input Sheet'!C287="","",CONCATENATE("Sample ", 'Input Sheet'!B287, "m: ", N285,, L285, K285, " FLUOR in SST. ", "TG ", 'Input Sheet'!I287, "U"))</f>
        <v/>
      </c>
      <c r="H285" s="6" t="str">
        <f>IF('Input Sheet'!C287="","",100-'Input Sheet'!C287)</f>
        <v/>
      </c>
      <c r="I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5" s="6" t="str">
        <f t="shared" si="4"/>
        <v/>
      </c>
      <c r="K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5" s="6" t="str">
        <f>IF('Input Sheet'!F287=0, "NO",CONCATENATE('Input Sheet'!F287, IF('Input Sheet'!F287&gt;0,"% ","")))</f>
        <v>NO</v>
      </c>
      <c r="M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5" s="6" t="str">
        <f>CONCATENATE(M285, IF('Input Sheet'!J287="",""," siderite in "))</f>
        <v/>
      </c>
      <c r="O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5" s="6" t="str">
        <f>CONCATENATE(O285, IF('Input Sheet'!K287="",""," siderite in "))</f>
        <v/>
      </c>
    </row>
    <row r="286" spans="1:16" x14ac:dyDescent="0.25">
      <c r="A286" s="17" t="str">
        <f>IF('Input Sheet'!C288="","",CONCATENATE("Sample ", 'Input Sheet'!B288, "m: ", N286, H286, "% ", "Siltstone, ", P286, 'Input Sheet'!C288, "% ", J286, " Sandstone, ", L286, K286, " FLUOR in SST. ", "TG ", 'Input Sheet'!I288, "U"))</f>
        <v/>
      </c>
      <c r="B286" s="3" t="str">
        <f>IF('Input Sheet'!C288="","",CONCATENATE("Sample ", 'Input Sheet'!B288, "m: ", O286, I286, "% ", "Siltstone, ", Q286, 'Input Sheet'!C288, "% ", K286, " Sandstone "))</f>
        <v/>
      </c>
      <c r="C286" s="3" t="str">
        <f>IF('Input Sheet'!C288="","",CONCATENATE("Sample ", 'Input Sheet'!B288, "m: ", N286,, L286, K286, " FLUOR in SST. ", "TG ", 'Input Sheet'!I288, "U"))</f>
        <v/>
      </c>
      <c r="H286" s="6" t="str">
        <f>IF('Input Sheet'!C288="","",100-'Input Sheet'!C288)</f>
        <v/>
      </c>
      <c r="I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6" s="6" t="str">
        <f t="shared" si="4"/>
        <v/>
      </c>
      <c r="K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6" s="6" t="str">
        <f>IF('Input Sheet'!F288=0, "NO",CONCATENATE('Input Sheet'!F288, IF('Input Sheet'!F288&gt;0,"% ","")))</f>
        <v>NO</v>
      </c>
      <c r="M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6" s="6" t="str">
        <f>CONCATENATE(M286, IF('Input Sheet'!J288="",""," siderite in "))</f>
        <v/>
      </c>
      <c r="O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6" s="6" t="str">
        <f>CONCATENATE(O286, IF('Input Sheet'!K288="",""," siderite in "))</f>
        <v/>
      </c>
    </row>
    <row r="287" spans="1:16" x14ac:dyDescent="0.25">
      <c r="A287" s="17" t="str">
        <f>IF('Input Sheet'!C289="","",CONCATENATE("Sample ", 'Input Sheet'!B289, "m: ", N287, H287, "% ", "Siltstone, ", P287, 'Input Sheet'!C289, "% ", J287, " Sandstone, ", L287, K287, " FLUOR in SST. ", "TG ", 'Input Sheet'!I289, "U"))</f>
        <v/>
      </c>
      <c r="B287" s="3" t="str">
        <f>IF('Input Sheet'!C289="","",CONCATENATE("Sample ", 'Input Sheet'!B289, "m: ", O287, I287, "% ", "Siltstone, ", Q287, 'Input Sheet'!C289, "% ", K287, " Sandstone "))</f>
        <v/>
      </c>
      <c r="C287" s="3" t="str">
        <f>IF('Input Sheet'!C289="","",CONCATENATE("Sample ", 'Input Sheet'!B289, "m: ", N287,, L287, K287, " FLUOR in SST. ", "TG ", 'Input Sheet'!I289, "U"))</f>
        <v/>
      </c>
      <c r="H287" s="6" t="str">
        <f>IF('Input Sheet'!C289="","",100-'Input Sheet'!C289)</f>
        <v/>
      </c>
      <c r="I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7" s="6" t="str">
        <f t="shared" si="4"/>
        <v/>
      </c>
      <c r="K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7" s="6" t="str">
        <f>IF('Input Sheet'!F289=0, "NO",CONCATENATE('Input Sheet'!F289, IF('Input Sheet'!F289&gt;0,"% ","")))</f>
        <v>NO</v>
      </c>
      <c r="M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7" s="6" t="str">
        <f>CONCATENATE(M287, IF('Input Sheet'!J289="",""," siderite in "))</f>
        <v/>
      </c>
      <c r="O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7" s="6" t="str">
        <f>CONCATENATE(O287, IF('Input Sheet'!K289="",""," siderite in "))</f>
        <v/>
      </c>
    </row>
    <row r="288" spans="1:16" x14ac:dyDescent="0.25">
      <c r="A288" s="17" t="str">
        <f>IF('Input Sheet'!C290="","",CONCATENATE("Sample ", 'Input Sheet'!B290, "m: ", N288, H288, "% ", "Siltstone, ", P288, 'Input Sheet'!C290, "% ", J288, " Sandstone, ", L288, K288, " FLUOR in SST. ", "TG ", 'Input Sheet'!I290, "U"))</f>
        <v/>
      </c>
      <c r="B288" s="3" t="str">
        <f>IF('Input Sheet'!C290="","",CONCATENATE("Sample ", 'Input Sheet'!B290, "m: ", O288, I288, "% ", "Siltstone, ", Q288, 'Input Sheet'!C290, "% ", K288, " Sandstone "))</f>
        <v/>
      </c>
      <c r="C288" s="3" t="str">
        <f>IF('Input Sheet'!C290="","",CONCATENATE("Sample ", 'Input Sheet'!B290, "m: ", N288,, L288, K288, " FLUOR in SST. ", "TG ", 'Input Sheet'!I290, "U"))</f>
        <v/>
      </c>
      <c r="H288" s="6" t="str">
        <f>IF('Input Sheet'!C290="","",100-'Input Sheet'!C290)</f>
        <v/>
      </c>
      <c r="I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8" s="6" t="str">
        <f t="shared" si="4"/>
        <v/>
      </c>
      <c r="K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8" s="6" t="str">
        <f>IF('Input Sheet'!F290=0, "NO",CONCATENATE('Input Sheet'!F290, IF('Input Sheet'!F290&gt;0,"% ","")))</f>
        <v>NO</v>
      </c>
      <c r="M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8" s="6" t="str">
        <f>CONCATENATE(M288, IF('Input Sheet'!J290="",""," siderite in "))</f>
        <v/>
      </c>
      <c r="O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8" s="6" t="str">
        <f>CONCATENATE(O288, IF('Input Sheet'!K290="",""," siderite in "))</f>
        <v/>
      </c>
    </row>
    <row r="289" spans="1:16" x14ac:dyDescent="0.25">
      <c r="A289" s="17" t="str">
        <f>IF('Input Sheet'!C291="","",CONCATENATE("Sample ", 'Input Sheet'!B291, "m: ", N289, H289, "% ", "Siltstone, ", P289, 'Input Sheet'!C291, "% ", J289, " Sandstone, ", L289, K289, " FLUOR in SST. ", "TG ", 'Input Sheet'!I291, "U"))</f>
        <v/>
      </c>
      <c r="B289" s="3" t="str">
        <f>IF('Input Sheet'!C291="","",CONCATENATE("Sample ", 'Input Sheet'!B291, "m: ", O289, I289, "% ", "Siltstone, ", Q289, 'Input Sheet'!C291, "% ", K289, " Sandstone "))</f>
        <v/>
      </c>
      <c r="C289" s="3" t="str">
        <f>IF('Input Sheet'!C291="","",CONCATENATE("Sample ", 'Input Sheet'!B291, "m: ", N289,, L289, K289, " FLUOR in SST. ", "TG ", 'Input Sheet'!I291, "U"))</f>
        <v/>
      </c>
      <c r="H289" s="6" t="str">
        <f>IF('Input Sheet'!C291="","",100-'Input Sheet'!C291)</f>
        <v/>
      </c>
      <c r="I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89" s="6" t="str">
        <f t="shared" si="4"/>
        <v/>
      </c>
      <c r="K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89" s="6" t="str">
        <f>IF('Input Sheet'!F291=0, "NO",CONCATENATE('Input Sheet'!F291, IF('Input Sheet'!F291&gt;0,"% ","")))</f>
        <v>NO</v>
      </c>
      <c r="M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89" s="6" t="str">
        <f>CONCATENATE(M289, IF('Input Sheet'!J291="",""," siderite in "))</f>
        <v/>
      </c>
      <c r="O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89" s="6" t="str">
        <f>CONCATENATE(O289, IF('Input Sheet'!K291="",""," siderite in "))</f>
        <v/>
      </c>
    </row>
    <row r="290" spans="1:16" x14ac:dyDescent="0.25">
      <c r="A290" s="17" t="str">
        <f>IF('Input Sheet'!C292="","",CONCATENATE("Sample ", 'Input Sheet'!B292, "m: ", N290, H290, "% ", "Siltstone, ", P290, 'Input Sheet'!C292, "% ", J290, " Sandstone, ", L290, K290, " FLUOR in SST. ", "TG ", 'Input Sheet'!I292, "U"))</f>
        <v/>
      </c>
      <c r="B290" s="3" t="str">
        <f>IF('Input Sheet'!C292="","",CONCATENATE("Sample ", 'Input Sheet'!B292, "m: ", O290, I290, "% ", "Siltstone, ", Q290, 'Input Sheet'!C292, "% ", K290, " Sandstone "))</f>
        <v/>
      </c>
      <c r="C290" s="3" t="str">
        <f>IF('Input Sheet'!C292="","",CONCATENATE("Sample ", 'Input Sheet'!B292, "m: ", N290,, L290, K290, " FLUOR in SST. ", "TG ", 'Input Sheet'!I292, "U"))</f>
        <v/>
      </c>
      <c r="H290" s="6" t="str">
        <f>IF('Input Sheet'!C292="","",100-'Input Sheet'!C292)</f>
        <v/>
      </c>
      <c r="I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0" s="6" t="str">
        <f t="shared" si="4"/>
        <v/>
      </c>
      <c r="K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0" s="6" t="str">
        <f>IF('Input Sheet'!F292=0, "NO",CONCATENATE('Input Sheet'!F292, IF('Input Sheet'!F292&gt;0,"% ","")))</f>
        <v>NO</v>
      </c>
      <c r="M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0" s="6" t="str">
        <f>CONCATENATE(M290, IF('Input Sheet'!J292="",""," siderite in "))</f>
        <v/>
      </c>
      <c r="O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0" s="6" t="str">
        <f>CONCATENATE(O290, IF('Input Sheet'!K292="",""," siderite in "))</f>
        <v/>
      </c>
    </row>
    <row r="291" spans="1:16" x14ac:dyDescent="0.25">
      <c r="A291" s="17" t="str">
        <f>IF('Input Sheet'!C293="","",CONCATENATE("Sample ", 'Input Sheet'!B293, "m: ", N291, H291, "% ", "Siltstone, ", P291, 'Input Sheet'!C293, "% ", J291, " Sandstone, ", L291, K291, " FLUOR in SST. ", "TG ", 'Input Sheet'!I293, "U"))</f>
        <v/>
      </c>
      <c r="B291" s="3" t="str">
        <f>IF('Input Sheet'!C293="","",CONCATENATE("Sample ", 'Input Sheet'!B293, "m: ", O291, I291, "% ", "Siltstone, ", Q291, 'Input Sheet'!C293, "% ", K291, " Sandstone "))</f>
        <v/>
      </c>
      <c r="C291" s="3" t="str">
        <f>IF('Input Sheet'!C293="","",CONCATENATE("Sample ", 'Input Sheet'!B293, "m: ", N291,, L291, K291, " FLUOR in SST. ", "TG ", 'Input Sheet'!I293, "U"))</f>
        <v/>
      </c>
      <c r="H291" s="6" t="str">
        <f>IF('Input Sheet'!C293="","",100-'Input Sheet'!C293)</f>
        <v/>
      </c>
      <c r="I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1" s="6" t="str">
        <f t="shared" si="4"/>
        <v/>
      </c>
      <c r="K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1" s="6" t="str">
        <f>IF('Input Sheet'!F293=0, "NO",CONCATENATE('Input Sheet'!F293, IF('Input Sheet'!F293&gt;0,"% ","")))</f>
        <v>NO</v>
      </c>
      <c r="M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1" s="6" t="str">
        <f>CONCATENATE(M291, IF('Input Sheet'!J293="",""," siderite in "))</f>
        <v/>
      </c>
      <c r="O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1" s="6" t="str">
        <f>CONCATENATE(O291, IF('Input Sheet'!K293="",""," siderite in "))</f>
        <v/>
      </c>
    </row>
    <row r="292" spans="1:16" x14ac:dyDescent="0.25">
      <c r="A292" s="17" t="str">
        <f>IF('Input Sheet'!C294="","",CONCATENATE("Sample ", 'Input Sheet'!B294, "m: ", N292, H292, "% ", "Siltstone, ", P292, 'Input Sheet'!C294, "% ", J292, " Sandstone, ", L292, K292, " FLUOR in SST. ", "TG ", 'Input Sheet'!I294, "U"))</f>
        <v/>
      </c>
      <c r="B292" s="3" t="str">
        <f>IF('Input Sheet'!C294="","",CONCATENATE("Sample ", 'Input Sheet'!B294, "m: ", O292, I292, "% ", "Siltstone, ", Q292, 'Input Sheet'!C294, "% ", K292, " Sandstone "))</f>
        <v/>
      </c>
      <c r="C292" s="3" t="str">
        <f>IF('Input Sheet'!C294="","",CONCATENATE("Sample ", 'Input Sheet'!B294, "m: ", N292,, L292, K292, " FLUOR in SST. ", "TG ", 'Input Sheet'!I294, "U"))</f>
        <v/>
      </c>
      <c r="H292" s="6" t="str">
        <f>IF('Input Sheet'!C294="","",100-'Input Sheet'!C294)</f>
        <v/>
      </c>
      <c r="I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2" s="6" t="str">
        <f t="shared" si="4"/>
        <v/>
      </c>
      <c r="K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2" s="6" t="str">
        <f>IF('Input Sheet'!F294=0, "NO",CONCATENATE('Input Sheet'!F294, IF('Input Sheet'!F294&gt;0,"% ","")))</f>
        <v>NO</v>
      </c>
      <c r="M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2" s="6" t="str">
        <f>CONCATENATE(M292, IF('Input Sheet'!J294="",""," siderite in "))</f>
        <v/>
      </c>
      <c r="O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2" s="6" t="str">
        <f>CONCATENATE(O292, IF('Input Sheet'!K294="",""," siderite in "))</f>
        <v/>
      </c>
    </row>
    <row r="293" spans="1:16" x14ac:dyDescent="0.25">
      <c r="A293" s="17" t="str">
        <f>IF('Input Sheet'!C295="","",CONCATENATE("Sample ", 'Input Sheet'!B295, "m: ", N293, H293, "% ", "Siltstone, ", P293, 'Input Sheet'!C295, "% ", J293, " Sandstone, ", L293, K293, " FLUOR in SST. ", "TG ", 'Input Sheet'!I295, "U"))</f>
        <v/>
      </c>
      <c r="B293" s="3" t="str">
        <f>IF('Input Sheet'!C295="","",CONCATENATE("Sample ", 'Input Sheet'!B295, "m: ", O293, I293, "% ", "Siltstone, ", Q293, 'Input Sheet'!C295, "% ", K293, " Sandstone "))</f>
        <v/>
      </c>
      <c r="C293" s="3" t="str">
        <f>IF('Input Sheet'!C295="","",CONCATENATE("Sample ", 'Input Sheet'!B295, "m: ", N293,, L293, K293, " FLUOR in SST. ", "TG ", 'Input Sheet'!I295, "U"))</f>
        <v/>
      </c>
      <c r="H293" s="6" t="str">
        <f>IF('Input Sheet'!C295="","",100-'Input Sheet'!C295)</f>
        <v/>
      </c>
      <c r="I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3" s="6" t="str">
        <f t="shared" si="4"/>
        <v/>
      </c>
      <c r="K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3" s="6" t="str">
        <f>IF('Input Sheet'!F295=0, "NO",CONCATENATE('Input Sheet'!F295, IF('Input Sheet'!F295&gt;0,"% ","")))</f>
        <v>NO</v>
      </c>
      <c r="M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3" s="6" t="str">
        <f>CONCATENATE(M293, IF('Input Sheet'!J295="",""," siderite in "))</f>
        <v/>
      </c>
      <c r="O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3" s="6" t="str">
        <f>CONCATENATE(O293, IF('Input Sheet'!K295="",""," siderite in "))</f>
        <v/>
      </c>
    </row>
    <row r="294" spans="1:16" x14ac:dyDescent="0.25">
      <c r="A294" s="17" t="str">
        <f>IF('Input Sheet'!C296="","",CONCATENATE("Sample ", 'Input Sheet'!B296, "m: ", N294, H294, "% ", "Siltstone, ", P294, 'Input Sheet'!C296, "% ", J294, " Sandstone, ", L294, K294, " FLUOR in SST. ", "TG ", 'Input Sheet'!I296, "U"))</f>
        <v/>
      </c>
      <c r="B294" s="3" t="str">
        <f>IF('Input Sheet'!C296="","",CONCATENATE("Sample ", 'Input Sheet'!B296, "m: ", O294, I294, "% ", "Siltstone, ", Q294, 'Input Sheet'!C296, "% ", K294, " Sandstone "))</f>
        <v/>
      </c>
      <c r="C294" s="3" t="str">
        <f>IF('Input Sheet'!C296="","",CONCATENATE("Sample ", 'Input Sheet'!B296, "m: ", N294,, L294, K294, " FLUOR in SST. ", "TG ", 'Input Sheet'!I296, "U"))</f>
        <v/>
      </c>
      <c r="H294" s="6" t="str">
        <f>IF('Input Sheet'!C296="","",100-'Input Sheet'!C296)</f>
        <v/>
      </c>
      <c r="I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4" s="6" t="str">
        <f t="shared" si="4"/>
        <v/>
      </c>
      <c r="K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4" s="6" t="str">
        <f>IF('Input Sheet'!F296=0, "NO",CONCATENATE('Input Sheet'!F296, IF('Input Sheet'!F296&gt;0,"% ","")))</f>
        <v>NO</v>
      </c>
      <c r="M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4" s="6" t="str">
        <f>CONCATENATE(M294, IF('Input Sheet'!J296="",""," siderite in "))</f>
        <v/>
      </c>
      <c r="O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4" s="6" t="str">
        <f>CONCATENATE(O294, IF('Input Sheet'!K296="",""," siderite in "))</f>
        <v/>
      </c>
    </row>
    <row r="295" spans="1:16" x14ac:dyDescent="0.25">
      <c r="A295" s="17" t="str">
        <f>IF('Input Sheet'!C297="","",CONCATENATE("Sample ", 'Input Sheet'!B297, "m: ", N295, H295, "% ", "Siltstone, ", P295, 'Input Sheet'!C297, "% ", J295, " Sandstone, ", L295, K295, " FLUOR in SST. ", "TG ", 'Input Sheet'!I297, "U"))</f>
        <v/>
      </c>
      <c r="B295" s="3" t="str">
        <f>IF('Input Sheet'!C297="","",CONCATENATE("Sample ", 'Input Sheet'!B297, "m: ", O295, I295, "% ", "Siltstone, ", Q295, 'Input Sheet'!C297, "% ", K295, " Sandstone "))</f>
        <v/>
      </c>
      <c r="C295" s="3" t="str">
        <f>IF('Input Sheet'!C297="","",CONCATENATE("Sample ", 'Input Sheet'!B297, "m: ", N295,, L295, K295, " FLUOR in SST. ", "TG ", 'Input Sheet'!I297, "U"))</f>
        <v/>
      </c>
      <c r="H295" s="6" t="str">
        <f>IF('Input Sheet'!C297="","",100-'Input Sheet'!C297)</f>
        <v/>
      </c>
      <c r="I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5" s="6" t="str">
        <f t="shared" si="4"/>
        <v/>
      </c>
      <c r="K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5" s="6" t="str">
        <f>IF('Input Sheet'!F297=0, "NO",CONCATENATE('Input Sheet'!F297, IF('Input Sheet'!F297&gt;0,"% ","")))</f>
        <v>NO</v>
      </c>
      <c r="M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5" s="6" t="str">
        <f>CONCATENATE(M295, IF('Input Sheet'!J297="",""," siderite in "))</f>
        <v/>
      </c>
      <c r="O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5" s="6" t="str">
        <f>CONCATENATE(O295, IF('Input Sheet'!K297="",""," siderite in "))</f>
        <v/>
      </c>
    </row>
    <row r="296" spans="1:16" x14ac:dyDescent="0.25">
      <c r="A296" s="17" t="str">
        <f>IF('Input Sheet'!C298="","",CONCATENATE("Sample ", 'Input Sheet'!B298, "m: ", N296, H296, "% ", "Siltstone, ", P296, 'Input Sheet'!C298, "% ", J296, " Sandstone, ", L296, K296, " FLUOR in SST. ", "TG ", 'Input Sheet'!I298, "U"))</f>
        <v/>
      </c>
      <c r="B296" s="3" t="str">
        <f>IF('Input Sheet'!C298="","",CONCATENATE("Sample ", 'Input Sheet'!B298, "m: ", O296, I296, "% ", "Siltstone, ", Q296, 'Input Sheet'!C298, "% ", K296, " Sandstone "))</f>
        <v/>
      </c>
      <c r="C296" s="3" t="str">
        <f>IF('Input Sheet'!C298="","",CONCATENATE("Sample ", 'Input Sheet'!B298, "m: ", N296,, L296, K296, " FLUOR in SST. ", "TG ", 'Input Sheet'!I298, "U"))</f>
        <v/>
      </c>
      <c r="H296" s="6" t="str">
        <f>IF('Input Sheet'!C298="","",100-'Input Sheet'!C298)</f>
        <v/>
      </c>
      <c r="I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6" s="6" t="str">
        <f t="shared" si="4"/>
        <v/>
      </c>
      <c r="K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6" s="6" t="str">
        <f>IF('Input Sheet'!F298=0, "NO",CONCATENATE('Input Sheet'!F298, IF('Input Sheet'!F298&gt;0,"% ","")))</f>
        <v>NO</v>
      </c>
      <c r="M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6" s="6" t="str">
        <f>CONCATENATE(M296, IF('Input Sheet'!J298="",""," siderite in "))</f>
        <v/>
      </c>
      <c r="O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6" s="6" t="str">
        <f>CONCATENATE(O296, IF('Input Sheet'!K298="",""," siderite in "))</f>
        <v/>
      </c>
    </row>
    <row r="297" spans="1:16" x14ac:dyDescent="0.25">
      <c r="A297" s="17" t="str">
        <f>IF('Input Sheet'!C299="","",CONCATENATE("Sample ", 'Input Sheet'!B299, "m: ", N297, H297, "% ", "Siltstone, ", P297, 'Input Sheet'!C299, "% ", J297, " Sandstone, ", L297, K297, " FLUOR in SST. ", "TG ", 'Input Sheet'!I299, "U"))</f>
        <v/>
      </c>
      <c r="B297" s="3" t="str">
        <f>IF('Input Sheet'!C299="","",CONCATENATE("Sample ", 'Input Sheet'!B299, "m: ", O297, I297, "% ", "Siltstone, ", Q297, 'Input Sheet'!C299, "% ", K297, " Sandstone "))</f>
        <v/>
      </c>
      <c r="C297" s="3" t="str">
        <f>IF('Input Sheet'!C299="","",CONCATENATE("Sample ", 'Input Sheet'!B299, "m: ", N297,, L297, K297, " FLUOR in SST. ", "TG ", 'Input Sheet'!I299, "U"))</f>
        <v/>
      </c>
      <c r="H297" s="6" t="str">
        <f>IF('Input Sheet'!C299="","",100-'Input Sheet'!C299)</f>
        <v/>
      </c>
      <c r="I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7" s="6" t="str">
        <f t="shared" si="4"/>
        <v/>
      </c>
      <c r="K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7" s="6" t="str">
        <f>IF('Input Sheet'!F299=0, "NO",CONCATENATE('Input Sheet'!F299, IF('Input Sheet'!F299&gt;0,"% ","")))</f>
        <v>NO</v>
      </c>
      <c r="M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7" s="6" t="str">
        <f>CONCATENATE(M297, IF('Input Sheet'!J299="",""," siderite in "))</f>
        <v/>
      </c>
      <c r="O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7" s="6" t="str">
        <f>CONCATENATE(O297, IF('Input Sheet'!K299="",""," siderite in "))</f>
        <v/>
      </c>
    </row>
    <row r="298" spans="1:16" x14ac:dyDescent="0.25">
      <c r="A298" s="17" t="str">
        <f>IF('Input Sheet'!C300="","",CONCATENATE("Sample ", 'Input Sheet'!B300, "m: ", N298, H298, "% ", "Siltstone, ", P298, 'Input Sheet'!C300, "% ", J298, " Sandstone, ", L298, K298, " FLUOR in SST. ", "TG ", 'Input Sheet'!I300, "U"))</f>
        <v/>
      </c>
      <c r="B298" s="3" t="str">
        <f>IF('Input Sheet'!C300="","",CONCATENATE("Sample ", 'Input Sheet'!B300, "m: ", O298, I298, "% ", "Siltstone, ", Q298, 'Input Sheet'!C300, "% ", K298, " Sandstone "))</f>
        <v/>
      </c>
      <c r="C298" s="3" t="str">
        <f>IF('Input Sheet'!C300="","",CONCATENATE("Sample ", 'Input Sheet'!B300, "m: ", N298,, L298, K298, " FLUOR in SST. ", "TG ", 'Input Sheet'!I300, "U"))</f>
        <v/>
      </c>
      <c r="H298" s="6" t="str">
        <f>IF('Input Sheet'!C300="","",100-'Input Sheet'!C300)</f>
        <v/>
      </c>
      <c r="I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8" s="6" t="str">
        <f t="shared" si="4"/>
        <v/>
      </c>
      <c r="K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8" s="6" t="str">
        <f>IF('Input Sheet'!F300=0, "NO",CONCATENATE('Input Sheet'!F300, IF('Input Sheet'!F300&gt;0,"% ","")))</f>
        <v>NO</v>
      </c>
      <c r="M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8" s="6" t="str">
        <f>CONCATENATE(M298, IF('Input Sheet'!J300="",""," siderite in "))</f>
        <v/>
      </c>
      <c r="O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8" s="6" t="str">
        <f>CONCATENATE(O298, IF('Input Sheet'!K300="",""," siderite in "))</f>
        <v/>
      </c>
    </row>
    <row r="299" spans="1:16" x14ac:dyDescent="0.25">
      <c r="A299" s="17" t="str">
        <f>IF('Input Sheet'!C301="","",CONCATENATE("Sample ", 'Input Sheet'!B301, "m: ", N299, H299, "% ", "Siltstone, ", P299, 'Input Sheet'!C301, "% ", J299, " Sandstone, ", L299, K299, " FLUOR in SST. ", "TG ", 'Input Sheet'!I301, "U"))</f>
        <v/>
      </c>
      <c r="B299" s="3" t="str">
        <f>IF('Input Sheet'!C301="","",CONCATENATE("Sample ", 'Input Sheet'!B301, "m: ", O299, I299, "% ", "Siltstone, ", Q299, 'Input Sheet'!C301, "% ", K299, " Sandstone "))</f>
        <v/>
      </c>
      <c r="C299" s="3" t="str">
        <f>IF('Input Sheet'!C301="","",CONCATENATE("Sample ", 'Input Sheet'!B301, "m: ", N299,, L299, K299, " FLUOR in SST. ", "TG ", 'Input Sheet'!I301, "U"))</f>
        <v/>
      </c>
      <c r="H299" s="6" t="str">
        <f>IF('Input Sheet'!C301="","",100-'Input Sheet'!C301)</f>
        <v/>
      </c>
      <c r="I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299" s="6" t="str">
        <f t="shared" si="4"/>
        <v/>
      </c>
      <c r="K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299" s="6" t="str">
        <f>IF('Input Sheet'!F301=0, "NO",CONCATENATE('Input Sheet'!F301, IF('Input Sheet'!F301&gt;0,"% ","")))</f>
        <v>NO</v>
      </c>
      <c r="M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299" s="6" t="str">
        <f>CONCATENATE(M299, IF('Input Sheet'!J301="",""," siderite in "))</f>
        <v/>
      </c>
      <c r="O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299" s="6" t="str">
        <f>CONCATENATE(O299, IF('Input Sheet'!K301="",""," siderite in "))</f>
        <v/>
      </c>
    </row>
    <row r="300" spans="1:16" x14ac:dyDescent="0.25">
      <c r="A300" s="17" t="str">
        <f>IF('Input Sheet'!C302="","",CONCATENATE("Sample ", 'Input Sheet'!B302, "m: ", N300, H300, "% ", "Siltstone, ", P300, 'Input Sheet'!C302, "% ", J300, " Sandstone, ", L300, K300, " FLUOR in SST. ", "TG ", 'Input Sheet'!I302, "U"))</f>
        <v/>
      </c>
      <c r="B300" s="3" t="str">
        <f>IF('Input Sheet'!C302="","",CONCATENATE("Sample ", 'Input Sheet'!B302, "m: ", O300, I300, "% ", "Siltstone, ", Q300, 'Input Sheet'!C302, "% ", K300, " Sandstone "))</f>
        <v/>
      </c>
      <c r="C300" s="3" t="str">
        <f>IF('Input Sheet'!C302="","",CONCATENATE("Sample ", 'Input Sheet'!B302, "m: ", N300,, L300, K300, " FLUOR in SST. ", "TG ", 'Input Sheet'!I302, "U"))</f>
        <v/>
      </c>
      <c r="H300" s="6" t="str">
        <f>IF('Input Sheet'!C302="","",100-'Input Sheet'!C302)</f>
        <v/>
      </c>
      <c r="I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0" s="6" t="str">
        <f t="shared" si="4"/>
        <v/>
      </c>
      <c r="K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0" s="6" t="str">
        <f>IF('Input Sheet'!F302=0, "NO",CONCATENATE('Input Sheet'!F302, IF('Input Sheet'!F302&gt;0,"% ","")))</f>
        <v>NO</v>
      </c>
      <c r="M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0" s="6" t="str">
        <f>CONCATENATE(M300, IF('Input Sheet'!J302="",""," siderite in "))</f>
        <v/>
      </c>
      <c r="O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0" s="6" t="str">
        <f>CONCATENATE(O300, IF('Input Sheet'!K302="",""," siderite in "))</f>
        <v/>
      </c>
    </row>
    <row r="301" spans="1:16" x14ac:dyDescent="0.25">
      <c r="A301" s="17" t="str">
        <f>IF('Input Sheet'!C303="","",CONCATENATE("Sample ", 'Input Sheet'!B303, "m: ", N301, H301, "% ", "Siltstone, ", P301, 'Input Sheet'!C303, "% ", J301, " Sandstone, ", L301, K301, " FLUOR in SST. ", "TG ", 'Input Sheet'!I303, "U"))</f>
        <v/>
      </c>
      <c r="B301" s="3" t="str">
        <f>IF('Input Sheet'!C303="","",CONCATENATE("Sample ", 'Input Sheet'!B303, "m: ", O301, I301, "% ", "Siltstone, ", Q301, 'Input Sheet'!C303, "% ", K301, " Sandstone "))</f>
        <v/>
      </c>
      <c r="C301" s="3" t="str">
        <f>IF('Input Sheet'!C303="","",CONCATENATE("Sample ", 'Input Sheet'!B303, "m: ", N301,, L301, K301, " FLUOR in SST. ", "TG ", 'Input Sheet'!I303, "U"))</f>
        <v/>
      </c>
      <c r="H301" s="6" t="str">
        <f>IF('Input Sheet'!C303="","",100-'Input Sheet'!C303)</f>
        <v/>
      </c>
      <c r="I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1" s="6" t="str">
        <f t="shared" si="4"/>
        <v/>
      </c>
      <c r="K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1" s="6" t="str">
        <f>IF('Input Sheet'!F303=0, "NO",CONCATENATE('Input Sheet'!F303, IF('Input Sheet'!F303&gt;0,"% ","")))</f>
        <v>NO</v>
      </c>
      <c r="M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1" s="6" t="str">
        <f>CONCATENATE(M301, IF('Input Sheet'!J303="",""," siderite in "))</f>
        <v/>
      </c>
      <c r="O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1" s="6" t="str">
        <f>CONCATENATE(O301, IF('Input Sheet'!K303="",""," siderite in "))</f>
        <v/>
      </c>
    </row>
    <row r="302" spans="1:16" x14ac:dyDescent="0.25">
      <c r="A302" s="17" t="str">
        <f>IF('Input Sheet'!C304="","",CONCATENATE("Sample ", 'Input Sheet'!B304, "m: ", N302, H302, "% ", "Siltstone, ", P302, 'Input Sheet'!C304, "% ", J302, " Sandstone, ", L302, K302, " FLUOR in SST. ", "TG ", 'Input Sheet'!I304, "U"))</f>
        <v/>
      </c>
      <c r="B302" s="3" t="str">
        <f>IF('Input Sheet'!C304="","",CONCATENATE("Sample ", 'Input Sheet'!B304, "m: ", O302, I302, "% ", "Siltstone, ", Q302, 'Input Sheet'!C304, "% ", K302, " Sandstone "))</f>
        <v/>
      </c>
      <c r="C302" s="3" t="str">
        <f>IF('Input Sheet'!C304="","",CONCATENATE("Sample ", 'Input Sheet'!B304, "m: ", N302,, L302, K302, " FLUOR in SST. ", "TG ", 'Input Sheet'!I304, "U"))</f>
        <v/>
      </c>
      <c r="H302" s="6" t="str">
        <f>IF('Input Sheet'!C304="","",100-'Input Sheet'!C304)</f>
        <v/>
      </c>
      <c r="I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2" s="6" t="str">
        <f t="shared" si="4"/>
        <v/>
      </c>
      <c r="K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2" s="6" t="str">
        <f>IF('Input Sheet'!F304=0, "NO",CONCATENATE('Input Sheet'!F304, IF('Input Sheet'!F304&gt;0,"% ","")))</f>
        <v>NO</v>
      </c>
      <c r="M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2" s="6" t="str">
        <f>CONCATENATE(M302, IF('Input Sheet'!J304="",""," siderite in "))</f>
        <v/>
      </c>
      <c r="O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2" s="6" t="str">
        <f>CONCATENATE(O302, IF('Input Sheet'!K304="",""," siderite in "))</f>
        <v/>
      </c>
    </row>
    <row r="303" spans="1:16" x14ac:dyDescent="0.25">
      <c r="A303" s="17" t="str">
        <f>IF('Input Sheet'!C305="","",CONCATENATE("Sample ", 'Input Sheet'!B305, "m: ", N303, H303, "% ", "Siltstone, ", P303, 'Input Sheet'!C305, "% ", J303, " Sandstone, ", L303, K303, " FLUOR in SST. ", "TG ", 'Input Sheet'!I305, "U"))</f>
        <v/>
      </c>
      <c r="B303" s="3" t="str">
        <f>IF('Input Sheet'!C305="","",CONCATENATE("Sample ", 'Input Sheet'!B305, "m: ", O303, I303, "% ", "Siltstone, ", Q303, 'Input Sheet'!C305, "% ", K303, " Sandstone "))</f>
        <v/>
      </c>
      <c r="C303" s="3" t="str">
        <f>IF('Input Sheet'!C305="","",CONCATENATE("Sample ", 'Input Sheet'!B305, "m: ", N303,, L303, K303, " FLUOR in SST. ", "TG ", 'Input Sheet'!I305, "U"))</f>
        <v/>
      </c>
      <c r="H303" s="6" t="str">
        <f>IF('Input Sheet'!C305="","",100-'Input Sheet'!C305)</f>
        <v/>
      </c>
      <c r="I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3" s="6" t="str">
        <f t="shared" si="4"/>
        <v/>
      </c>
      <c r="K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3" s="6" t="str">
        <f>IF('Input Sheet'!F305=0, "NO",CONCATENATE('Input Sheet'!F305, IF('Input Sheet'!F305&gt;0,"% ","")))</f>
        <v>NO</v>
      </c>
      <c r="M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3" s="6" t="str">
        <f>CONCATENATE(M303, IF('Input Sheet'!J305="",""," siderite in "))</f>
        <v/>
      </c>
      <c r="O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3" s="6" t="str">
        <f>CONCATENATE(O303, IF('Input Sheet'!K305="",""," siderite in "))</f>
        <v/>
      </c>
    </row>
    <row r="304" spans="1:16" x14ac:dyDescent="0.25">
      <c r="A304" s="17" t="str">
        <f>IF('Input Sheet'!C306="","",CONCATENATE("Sample ", 'Input Sheet'!B306, "m: ", N304, H304, "% ", "Siltstone, ", P304, 'Input Sheet'!C306, "% ", J304, " Sandstone, ", L304, K304, " FLUOR in SST. ", "TG ", 'Input Sheet'!I306, "U"))</f>
        <v/>
      </c>
      <c r="B304" s="3" t="str">
        <f>IF('Input Sheet'!C306="","",CONCATENATE("Sample ", 'Input Sheet'!B306, "m: ", O304, I304, "% ", "Siltstone, ", Q304, 'Input Sheet'!C306, "% ", K304, " Sandstone "))</f>
        <v/>
      </c>
      <c r="C304" s="3" t="str">
        <f>IF('Input Sheet'!C306="","",CONCATENATE("Sample ", 'Input Sheet'!B306, "m: ", N304,, L304, K304, " FLUOR in SST. ", "TG ", 'Input Sheet'!I306, "U"))</f>
        <v/>
      </c>
      <c r="H304" s="6" t="str">
        <f>IF('Input Sheet'!C306="","",100-'Input Sheet'!C306)</f>
        <v/>
      </c>
      <c r="I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4" s="6" t="str">
        <f t="shared" si="4"/>
        <v/>
      </c>
      <c r="K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4" s="6" t="str">
        <f>IF('Input Sheet'!F306=0, "NO",CONCATENATE('Input Sheet'!F306, IF('Input Sheet'!F306&gt;0,"% ","")))</f>
        <v>NO</v>
      </c>
      <c r="M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4" s="6" t="str">
        <f>CONCATENATE(M304, IF('Input Sheet'!J306="",""," siderite in "))</f>
        <v/>
      </c>
      <c r="O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4" s="6" t="str">
        <f>CONCATENATE(O304, IF('Input Sheet'!K306="",""," siderite in "))</f>
        <v/>
      </c>
    </row>
    <row r="305" spans="1:16" x14ac:dyDescent="0.25">
      <c r="A305" s="17" t="str">
        <f>IF('Input Sheet'!C307="","",CONCATENATE("Sample ", 'Input Sheet'!B307, "m: ", N305, H305, "% ", "Siltstone, ", P305, 'Input Sheet'!C307, "% ", J305, " Sandstone, ", L305, K305, " FLUOR in SST. ", "TG ", 'Input Sheet'!I307, "U"))</f>
        <v/>
      </c>
      <c r="B305" s="3" t="str">
        <f>IF('Input Sheet'!C307="","",CONCATENATE("Sample ", 'Input Sheet'!B307, "m: ", O305, I305, "% ", "Siltstone, ", Q305, 'Input Sheet'!C307, "% ", K305, " Sandstone "))</f>
        <v/>
      </c>
      <c r="C305" s="3" t="str">
        <f>IF('Input Sheet'!C307="","",CONCATENATE("Sample ", 'Input Sheet'!B307, "m: ", N305,, L305, K305, " FLUOR in SST. ", "TG ", 'Input Sheet'!I307, "U"))</f>
        <v/>
      </c>
      <c r="H305" s="6" t="str">
        <f>IF('Input Sheet'!C307="","",100-'Input Sheet'!C307)</f>
        <v/>
      </c>
      <c r="I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5" s="6" t="str">
        <f t="shared" si="4"/>
        <v/>
      </c>
      <c r="K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5" s="6" t="str">
        <f>IF('Input Sheet'!F307=0, "NO",CONCATENATE('Input Sheet'!F307, IF('Input Sheet'!F307&gt;0,"% ","")))</f>
        <v>NO</v>
      </c>
      <c r="M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5" s="6" t="str">
        <f>CONCATENATE(M305, IF('Input Sheet'!J307="",""," siderite in "))</f>
        <v/>
      </c>
      <c r="O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5" s="6" t="str">
        <f>CONCATENATE(O305, IF('Input Sheet'!K307="",""," siderite in "))</f>
        <v/>
      </c>
    </row>
    <row r="306" spans="1:16" x14ac:dyDescent="0.25">
      <c r="A306" s="17" t="str">
        <f>IF('Input Sheet'!C308="","",CONCATENATE("Sample ", 'Input Sheet'!B308, "m: ", N306, H306, "% ", "Siltstone, ", P306, 'Input Sheet'!C308, "% ", J306, " Sandstone, ", L306, K306, " FLUOR in SST. ", "TG ", 'Input Sheet'!I308, "U"))</f>
        <v/>
      </c>
      <c r="B306" s="3" t="str">
        <f>IF('Input Sheet'!C308="","",CONCATENATE("Sample ", 'Input Sheet'!B308, "m: ", O306, I306, "% ", "Siltstone, ", Q306, 'Input Sheet'!C308, "% ", K306, " Sandstone "))</f>
        <v/>
      </c>
      <c r="C306" s="3" t="str">
        <f>IF('Input Sheet'!C308="","",CONCATENATE("Sample ", 'Input Sheet'!B308, "m: ", N306,, L306, K306, " FLUOR in SST. ", "TG ", 'Input Sheet'!I308, "U"))</f>
        <v/>
      </c>
      <c r="H306" s="6" t="str">
        <f>IF('Input Sheet'!C308="","",100-'Input Sheet'!C308)</f>
        <v/>
      </c>
      <c r="I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6" s="6" t="str">
        <f t="shared" si="4"/>
        <v/>
      </c>
      <c r="K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6" s="6" t="str">
        <f>IF('Input Sheet'!F308=0, "NO",CONCATENATE('Input Sheet'!F308, IF('Input Sheet'!F308&gt;0,"% ","")))</f>
        <v>NO</v>
      </c>
      <c r="M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6" s="6" t="str">
        <f>CONCATENATE(M306, IF('Input Sheet'!J308="",""," siderite in "))</f>
        <v/>
      </c>
      <c r="O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6" s="6" t="str">
        <f>CONCATENATE(O306, IF('Input Sheet'!K308="",""," siderite in "))</f>
        <v/>
      </c>
    </row>
    <row r="307" spans="1:16" x14ac:dyDescent="0.25">
      <c r="A307" s="17" t="str">
        <f>IF('Input Sheet'!C309="","",CONCATENATE("Sample ", 'Input Sheet'!B309, "m: ", N307, H307, "% ", "Siltstone, ", P307, 'Input Sheet'!C309, "% ", J307, " Sandstone, ", L307, K307, " FLUOR in SST. ", "TG ", 'Input Sheet'!I309, "U"))</f>
        <v/>
      </c>
      <c r="B307" s="3" t="str">
        <f>IF('Input Sheet'!C309="","",CONCATENATE("Sample ", 'Input Sheet'!B309, "m: ", O307, I307, "% ", "Siltstone, ", Q307, 'Input Sheet'!C309, "% ", K307, " Sandstone "))</f>
        <v/>
      </c>
      <c r="C307" s="3" t="str">
        <f>IF('Input Sheet'!C309="","",CONCATENATE("Sample ", 'Input Sheet'!B309, "m: ", N307,, L307, K307, " FLUOR in SST. ", "TG ", 'Input Sheet'!I309, "U"))</f>
        <v/>
      </c>
      <c r="H307" s="6" t="str">
        <f>IF('Input Sheet'!C309="","",100-'Input Sheet'!C309)</f>
        <v/>
      </c>
      <c r="I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7" s="6" t="str">
        <f t="shared" si="4"/>
        <v/>
      </c>
      <c r="K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7" s="6" t="str">
        <f>IF('Input Sheet'!F309=0, "NO",CONCATENATE('Input Sheet'!F309, IF('Input Sheet'!F309&gt;0,"% ","")))</f>
        <v>NO</v>
      </c>
      <c r="M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7" s="6" t="str">
        <f>CONCATENATE(M307, IF('Input Sheet'!J309="",""," siderite in "))</f>
        <v/>
      </c>
      <c r="O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7" s="6" t="str">
        <f>CONCATENATE(O307, IF('Input Sheet'!K309="",""," siderite in "))</f>
        <v/>
      </c>
    </row>
    <row r="308" spans="1:16" x14ac:dyDescent="0.25">
      <c r="A308" s="17" t="str">
        <f>IF('Input Sheet'!C310="","",CONCATENATE("Sample ", 'Input Sheet'!B310, "m: ", N308, H308, "% ", "Siltstone, ", P308, 'Input Sheet'!C310, "% ", J308, " Sandstone, ", L308, K308, " FLUOR in SST. ", "TG ", 'Input Sheet'!I310, "U"))</f>
        <v/>
      </c>
      <c r="B308" s="3" t="str">
        <f>IF('Input Sheet'!C310="","",CONCATENATE("Sample ", 'Input Sheet'!B310, "m: ", O308, I308, "% ", "Siltstone, ", Q308, 'Input Sheet'!C310, "% ", K308, " Sandstone "))</f>
        <v/>
      </c>
      <c r="C308" s="3" t="str">
        <f>IF('Input Sheet'!C310="","",CONCATENATE("Sample ", 'Input Sheet'!B310, "m: ", N308,, L308, K308, " FLUOR in SST. ", "TG ", 'Input Sheet'!I310, "U"))</f>
        <v/>
      </c>
      <c r="H308" s="6" t="str">
        <f>IF('Input Sheet'!C310="","",100-'Input Sheet'!C310)</f>
        <v/>
      </c>
      <c r="I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8" s="6" t="str">
        <f t="shared" si="4"/>
        <v/>
      </c>
      <c r="K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8" s="6" t="str">
        <f>IF('Input Sheet'!F310=0, "NO",CONCATENATE('Input Sheet'!F310, IF('Input Sheet'!F310&gt;0,"% ","")))</f>
        <v>NO</v>
      </c>
      <c r="M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8" s="6" t="str">
        <f>CONCATENATE(M308, IF('Input Sheet'!J310="",""," siderite in "))</f>
        <v/>
      </c>
      <c r="O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8" s="6" t="str">
        <f>CONCATENATE(O308, IF('Input Sheet'!K310="",""," siderite in "))</f>
        <v/>
      </c>
    </row>
    <row r="309" spans="1:16" x14ac:dyDescent="0.25">
      <c r="A309" s="17" t="str">
        <f>IF('Input Sheet'!C311="","",CONCATENATE("Sample ", 'Input Sheet'!B311, "m: ", N309, H309, "% ", "Siltstone, ", P309, 'Input Sheet'!C311, "% ", J309, " Sandstone, ", L309, K309, " FLUOR in SST. ", "TG ", 'Input Sheet'!I311, "U"))</f>
        <v/>
      </c>
      <c r="B309" s="3" t="str">
        <f>IF('Input Sheet'!C311="","",CONCATENATE("Sample ", 'Input Sheet'!B311, "m: ", O309, I309, "% ", "Siltstone, ", Q309, 'Input Sheet'!C311, "% ", K309, " Sandstone "))</f>
        <v/>
      </c>
      <c r="C309" s="3" t="str">
        <f>IF('Input Sheet'!C311="","",CONCATENATE("Sample ", 'Input Sheet'!B311, "m: ", N309,, L309, K309, " FLUOR in SST. ", "TG ", 'Input Sheet'!I311, "U"))</f>
        <v/>
      </c>
      <c r="H309" s="6" t="str">
        <f>IF('Input Sheet'!C311="","",100-'Input Sheet'!C311)</f>
        <v/>
      </c>
      <c r="I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09" s="6" t="str">
        <f t="shared" si="4"/>
        <v/>
      </c>
      <c r="K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09" s="6" t="str">
        <f>IF('Input Sheet'!F311=0, "NO",CONCATENATE('Input Sheet'!F311, IF('Input Sheet'!F311&gt;0,"% ","")))</f>
        <v>NO</v>
      </c>
      <c r="M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09" s="6" t="str">
        <f>CONCATENATE(M309, IF('Input Sheet'!J311="",""," siderite in "))</f>
        <v/>
      </c>
      <c r="O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09" s="6" t="str">
        <f>CONCATENATE(O309, IF('Input Sheet'!K311="",""," siderite in "))</f>
        <v/>
      </c>
    </row>
    <row r="310" spans="1:16" x14ac:dyDescent="0.25">
      <c r="A310" s="17" t="str">
        <f>IF('Input Sheet'!C312="","",CONCATENATE("Sample ", 'Input Sheet'!B312, "m: ", N310, H310, "% ", "Siltstone, ", P310, 'Input Sheet'!C312, "% ", J310, " Sandstone, ", L310, K310, " FLUOR in SST. ", "TG ", 'Input Sheet'!I312, "U"))</f>
        <v/>
      </c>
      <c r="B310" s="3" t="str">
        <f>IF('Input Sheet'!C312="","",CONCATENATE("Sample ", 'Input Sheet'!B312, "m: ", O310, I310, "% ", "Siltstone, ", Q310, 'Input Sheet'!C312, "% ", K310, " Sandstone "))</f>
        <v/>
      </c>
      <c r="C310" s="3" t="str">
        <f>IF('Input Sheet'!C312="","",CONCATENATE("Sample ", 'Input Sheet'!B312, "m: ", N310,, L310, K310, " FLUOR in SST. ", "TG ", 'Input Sheet'!I312, "U"))</f>
        <v/>
      </c>
      <c r="H310" s="6" t="str">
        <f>IF('Input Sheet'!C312="","",100-'Input Sheet'!C312)</f>
        <v/>
      </c>
      <c r="I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0" s="6" t="str">
        <f t="shared" si="4"/>
        <v/>
      </c>
      <c r="K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0" s="6" t="str">
        <f>IF('Input Sheet'!F312=0, "NO",CONCATENATE('Input Sheet'!F312, IF('Input Sheet'!F312&gt;0,"% ","")))</f>
        <v>NO</v>
      </c>
      <c r="M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0" s="6" t="str">
        <f>CONCATENATE(M310, IF('Input Sheet'!J312="",""," siderite in "))</f>
        <v/>
      </c>
      <c r="O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0" s="6" t="str">
        <f>CONCATENATE(O310, IF('Input Sheet'!K312="",""," siderite in "))</f>
        <v/>
      </c>
    </row>
    <row r="311" spans="1:16" x14ac:dyDescent="0.25">
      <c r="A311" s="17" t="str">
        <f>IF('Input Sheet'!C313="","",CONCATENATE("Sample ", 'Input Sheet'!B313, "m: ", N311, H311, "% ", "Siltstone, ", P311, 'Input Sheet'!C313, "% ", J311, " Sandstone, ", L311, K311, " FLUOR in SST. ", "TG ", 'Input Sheet'!I313, "U"))</f>
        <v/>
      </c>
      <c r="B311" s="3" t="str">
        <f>IF('Input Sheet'!C313="","",CONCATENATE("Sample ", 'Input Sheet'!B313, "m: ", O311, I311, "% ", "Siltstone, ", Q311, 'Input Sheet'!C313, "% ", K311, " Sandstone "))</f>
        <v/>
      </c>
      <c r="C311" s="3" t="str">
        <f>IF('Input Sheet'!C313="","",CONCATENATE("Sample ", 'Input Sheet'!B313, "m: ", N311,, L311, K311, " FLUOR in SST. ", "TG ", 'Input Sheet'!I313, "U"))</f>
        <v/>
      </c>
      <c r="H311" s="6" t="str">
        <f>IF('Input Sheet'!C313="","",100-'Input Sheet'!C313)</f>
        <v/>
      </c>
      <c r="I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1" s="6" t="str">
        <f t="shared" si="4"/>
        <v/>
      </c>
      <c r="K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1" s="6" t="str">
        <f>IF('Input Sheet'!F313=0, "NO",CONCATENATE('Input Sheet'!F313, IF('Input Sheet'!F313&gt;0,"% ","")))</f>
        <v>NO</v>
      </c>
      <c r="M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1" s="6" t="str">
        <f>CONCATENATE(M311, IF('Input Sheet'!J313="",""," siderite in "))</f>
        <v/>
      </c>
      <c r="O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1" s="6" t="str">
        <f>CONCATENATE(O311, IF('Input Sheet'!K313="",""," siderite in "))</f>
        <v/>
      </c>
    </row>
    <row r="312" spans="1:16" x14ac:dyDescent="0.25">
      <c r="A312" s="17" t="str">
        <f>IF('Input Sheet'!C314="","",CONCATENATE("Sample ", 'Input Sheet'!B314, "m: ", N312, H312, "% ", "Siltstone, ", P312, 'Input Sheet'!C314, "% ", J312, " Sandstone, ", L312, K312, " FLUOR in SST. ", "TG ", 'Input Sheet'!I314, "U"))</f>
        <v/>
      </c>
      <c r="B312" s="3" t="str">
        <f>IF('Input Sheet'!C314="","",CONCATENATE("Sample ", 'Input Sheet'!B314, "m: ", O312, I312, "% ", "Siltstone, ", Q312, 'Input Sheet'!C314, "% ", K312, " Sandstone "))</f>
        <v/>
      </c>
      <c r="C312" s="3" t="str">
        <f>IF('Input Sheet'!C314="","",CONCATENATE("Sample ", 'Input Sheet'!B314, "m: ", N312,, L312, K312, " FLUOR in SST. ", "TG ", 'Input Sheet'!I314, "U"))</f>
        <v/>
      </c>
      <c r="H312" s="6" t="str">
        <f>IF('Input Sheet'!C314="","",100-'Input Sheet'!C314)</f>
        <v/>
      </c>
      <c r="I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2" s="6" t="str">
        <f t="shared" si="4"/>
        <v/>
      </c>
      <c r="K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2" s="6" t="str">
        <f>IF('Input Sheet'!F314=0, "NO",CONCATENATE('Input Sheet'!F314, IF('Input Sheet'!F314&gt;0,"% ","")))</f>
        <v>NO</v>
      </c>
      <c r="M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2" s="6" t="str">
        <f>CONCATENATE(M312, IF('Input Sheet'!J314="",""," siderite in "))</f>
        <v/>
      </c>
      <c r="O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2" s="6" t="str">
        <f>CONCATENATE(O312, IF('Input Sheet'!K314="",""," siderite in "))</f>
        <v/>
      </c>
    </row>
    <row r="313" spans="1:16" x14ac:dyDescent="0.25">
      <c r="A313" s="17" t="str">
        <f>IF('Input Sheet'!C315="","",CONCATENATE("Sample ", 'Input Sheet'!B315, "m: ", N313, H313, "% ", "Siltstone, ", P313, 'Input Sheet'!C315, "% ", J313, " Sandstone, ", L313, K313, " FLUOR in SST. ", "TG ", 'Input Sheet'!I315, "U"))</f>
        <v/>
      </c>
      <c r="B313" s="3" t="str">
        <f>IF('Input Sheet'!C315="","",CONCATENATE("Sample ", 'Input Sheet'!B315, "m: ", O313, I313, "% ", "Siltstone, ", Q313, 'Input Sheet'!C315, "% ", K313, " Sandstone "))</f>
        <v/>
      </c>
      <c r="C313" s="3" t="str">
        <f>IF('Input Sheet'!C315="","",CONCATENATE("Sample ", 'Input Sheet'!B315, "m: ", N313,, L313, K313, " FLUOR in SST. ", "TG ", 'Input Sheet'!I315, "U"))</f>
        <v/>
      </c>
      <c r="H313" s="6" t="str">
        <f>IF('Input Sheet'!C315="","",100-'Input Sheet'!C315)</f>
        <v/>
      </c>
      <c r="I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3" s="6" t="str">
        <f t="shared" si="4"/>
        <v/>
      </c>
      <c r="K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3" s="6" t="str">
        <f>IF('Input Sheet'!F315=0, "NO",CONCATENATE('Input Sheet'!F315, IF('Input Sheet'!F315&gt;0,"% ","")))</f>
        <v>NO</v>
      </c>
      <c r="M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3" s="6" t="str">
        <f>CONCATENATE(M313, IF('Input Sheet'!J315="",""," siderite in "))</f>
        <v/>
      </c>
      <c r="O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3" s="6" t="str">
        <f>CONCATENATE(O313, IF('Input Sheet'!K315="",""," siderite in "))</f>
        <v/>
      </c>
    </row>
    <row r="314" spans="1:16" x14ac:dyDescent="0.25">
      <c r="A314" s="17" t="str">
        <f>IF('Input Sheet'!C316="","",CONCATENATE("Sample ", 'Input Sheet'!B316, "m: ", N314, H314, "% ", "Siltstone, ", P314, 'Input Sheet'!C316, "% ", J314, " Sandstone, ", L314, K314, " FLUOR in SST. ", "TG ", 'Input Sheet'!I316, "U"))</f>
        <v/>
      </c>
      <c r="B314" s="3" t="str">
        <f>IF('Input Sheet'!C316="","",CONCATENATE("Sample ", 'Input Sheet'!B316, "m: ", O314, I314, "% ", "Siltstone, ", Q314, 'Input Sheet'!C316, "% ", K314, " Sandstone "))</f>
        <v/>
      </c>
      <c r="C314" s="3" t="str">
        <f>IF('Input Sheet'!C316="","",CONCATENATE("Sample ", 'Input Sheet'!B316, "m: ", N314,, L314, K314, " FLUOR in SST. ", "TG ", 'Input Sheet'!I316, "U"))</f>
        <v/>
      </c>
      <c r="H314" s="6" t="str">
        <f>IF('Input Sheet'!C316="","",100-'Input Sheet'!C316)</f>
        <v/>
      </c>
      <c r="I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4" s="6" t="str">
        <f t="shared" si="4"/>
        <v/>
      </c>
      <c r="K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4" s="6" t="str">
        <f>IF('Input Sheet'!F316=0, "NO",CONCATENATE('Input Sheet'!F316, IF('Input Sheet'!F316&gt;0,"% ","")))</f>
        <v>NO</v>
      </c>
      <c r="M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4" s="6" t="str">
        <f>CONCATENATE(M314, IF('Input Sheet'!J316="",""," siderite in "))</f>
        <v/>
      </c>
      <c r="O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4" s="6" t="str">
        <f>CONCATENATE(O314, IF('Input Sheet'!K316="",""," siderite in "))</f>
        <v/>
      </c>
    </row>
    <row r="315" spans="1:16" x14ac:dyDescent="0.25">
      <c r="A315" s="17" t="str">
        <f>IF('Input Sheet'!C317="","",CONCATENATE("Sample ", 'Input Sheet'!B317, "m: ", N315, H315, "% ", "Siltstone, ", P315, 'Input Sheet'!C317, "% ", J315, " Sandstone, ", L315, K315, " FLUOR in SST. ", "TG ", 'Input Sheet'!I317, "U"))</f>
        <v/>
      </c>
      <c r="B315" s="3" t="str">
        <f>IF('Input Sheet'!C317="","",CONCATENATE("Sample ", 'Input Sheet'!B317, "m: ", O315, I315, "% ", "Siltstone, ", Q315, 'Input Sheet'!C317, "% ", K315, " Sandstone "))</f>
        <v/>
      </c>
      <c r="C315" s="3" t="str">
        <f>IF('Input Sheet'!C317="","",CONCATENATE("Sample ", 'Input Sheet'!B317, "m: ", N315,, L315, K315, " FLUOR in SST. ", "TG ", 'Input Sheet'!I317, "U"))</f>
        <v/>
      </c>
      <c r="H315" s="6" t="str">
        <f>IF('Input Sheet'!C317="","",100-'Input Sheet'!C317)</f>
        <v/>
      </c>
      <c r="I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5" s="6" t="str">
        <f t="shared" si="4"/>
        <v/>
      </c>
      <c r="K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5" s="6" t="str">
        <f>IF('Input Sheet'!F317=0, "NO",CONCATENATE('Input Sheet'!F317, IF('Input Sheet'!F317&gt;0,"% ","")))</f>
        <v>NO</v>
      </c>
      <c r="M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5" s="6" t="str">
        <f>CONCATENATE(M315, IF('Input Sheet'!J317="",""," siderite in "))</f>
        <v/>
      </c>
      <c r="O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5" s="6" t="str">
        <f>CONCATENATE(O315, IF('Input Sheet'!K317="",""," siderite in "))</f>
        <v/>
      </c>
    </row>
    <row r="316" spans="1:16" x14ac:dyDescent="0.25">
      <c r="A316" s="17" t="str">
        <f>IF('Input Sheet'!C318="","",CONCATENATE("Sample ", 'Input Sheet'!B318, "m: ", N316, H316, "% ", "Siltstone, ", P316, 'Input Sheet'!C318, "% ", J316, " Sandstone, ", L316, K316, " FLUOR in SST. ", "TG ", 'Input Sheet'!I318, "U"))</f>
        <v/>
      </c>
      <c r="B316" s="3" t="str">
        <f>IF('Input Sheet'!C318="","",CONCATENATE("Sample ", 'Input Sheet'!B318, "m: ", O316, I316, "% ", "Siltstone, ", Q316, 'Input Sheet'!C318, "% ", K316, " Sandstone "))</f>
        <v/>
      </c>
      <c r="C316" s="3" t="str">
        <f>IF('Input Sheet'!C318="","",CONCATENATE("Sample ", 'Input Sheet'!B318, "m: ", N316,, L316, K316, " FLUOR in SST. ", "TG ", 'Input Sheet'!I318, "U"))</f>
        <v/>
      </c>
      <c r="H316" s="6" t="str">
        <f>IF('Input Sheet'!C318="","",100-'Input Sheet'!C318)</f>
        <v/>
      </c>
      <c r="I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6" s="6" t="str">
        <f t="shared" si="4"/>
        <v/>
      </c>
      <c r="K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6" s="6" t="str">
        <f>IF('Input Sheet'!F318=0, "NO",CONCATENATE('Input Sheet'!F318, IF('Input Sheet'!F318&gt;0,"% ","")))</f>
        <v>NO</v>
      </c>
      <c r="M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6" s="6" t="str">
        <f>CONCATENATE(M316, IF('Input Sheet'!J318="",""," siderite in "))</f>
        <v/>
      </c>
      <c r="O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6" s="6" t="str">
        <f>CONCATENATE(O316, IF('Input Sheet'!K318="",""," siderite in "))</f>
        <v/>
      </c>
    </row>
    <row r="317" spans="1:16" x14ac:dyDescent="0.25">
      <c r="A317" s="17" t="str">
        <f>IF('Input Sheet'!C319="","",CONCATENATE("Sample ", 'Input Sheet'!B319, "m: ", N317, H317, "% ", "Siltstone, ", P317, 'Input Sheet'!C319, "% ", J317, " Sandstone, ", L317, K317, " FLUOR in SST. ", "TG ", 'Input Sheet'!I319, "U"))</f>
        <v/>
      </c>
      <c r="B317" s="3" t="str">
        <f>IF('Input Sheet'!C319="","",CONCATENATE("Sample ", 'Input Sheet'!B319, "m: ", O317, I317, "% ", "Siltstone, ", Q317, 'Input Sheet'!C319, "% ", K317, " Sandstone "))</f>
        <v/>
      </c>
      <c r="C317" s="3" t="str">
        <f>IF('Input Sheet'!C319="","",CONCATENATE("Sample ", 'Input Sheet'!B319, "m: ", N317,, L317, K317, " FLUOR in SST. ", "TG ", 'Input Sheet'!I319, "U"))</f>
        <v/>
      </c>
      <c r="H317" s="6" t="str">
        <f>IF('Input Sheet'!C319="","",100-'Input Sheet'!C319)</f>
        <v/>
      </c>
      <c r="I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7" s="6" t="str">
        <f t="shared" si="4"/>
        <v/>
      </c>
      <c r="K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7" s="6" t="str">
        <f>IF('Input Sheet'!F319=0, "NO",CONCATENATE('Input Sheet'!F319, IF('Input Sheet'!F319&gt;0,"% ","")))</f>
        <v>NO</v>
      </c>
      <c r="M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7" s="6" t="str">
        <f>CONCATENATE(M317, IF('Input Sheet'!J319="",""," siderite in "))</f>
        <v/>
      </c>
      <c r="O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7" s="6" t="str">
        <f>CONCATENATE(O317, IF('Input Sheet'!K319="",""," siderite in "))</f>
        <v/>
      </c>
    </row>
    <row r="318" spans="1:16" x14ac:dyDescent="0.25">
      <c r="A318" s="17" t="str">
        <f>IF('Input Sheet'!C320="","",CONCATENATE("Sample ", 'Input Sheet'!B320, "m: ", N318, H318, "% ", "Siltstone, ", P318, 'Input Sheet'!C320, "% ", J318, " Sandstone, ", L318, K318, " FLUOR in SST. ", "TG ", 'Input Sheet'!I320, "U"))</f>
        <v/>
      </c>
      <c r="B318" s="3" t="str">
        <f>IF('Input Sheet'!C320="","",CONCATENATE("Sample ", 'Input Sheet'!B320, "m: ", O318, I318, "% ", "Siltstone, ", Q318, 'Input Sheet'!C320, "% ", K318, " Sandstone "))</f>
        <v/>
      </c>
      <c r="C318" s="3" t="str">
        <f>IF('Input Sheet'!C320="","",CONCATENATE("Sample ", 'Input Sheet'!B320, "m: ", N318,, L318, K318, " FLUOR in SST. ", "TG ", 'Input Sheet'!I320, "U"))</f>
        <v/>
      </c>
      <c r="H318" s="6" t="str">
        <f>IF('Input Sheet'!C320="","",100-'Input Sheet'!C320)</f>
        <v/>
      </c>
      <c r="I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8" s="6" t="str">
        <f t="shared" si="4"/>
        <v/>
      </c>
      <c r="K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8" s="6" t="str">
        <f>IF('Input Sheet'!F320=0, "NO",CONCATENATE('Input Sheet'!F320, IF('Input Sheet'!F320&gt;0,"% ","")))</f>
        <v>NO</v>
      </c>
      <c r="M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8" s="6" t="str">
        <f>CONCATENATE(M318, IF('Input Sheet'!J320="",""," siderite in "))</f>
        <v/>
      </c>
      <c r="O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8" s="6" t="str">
        <f>CONCATENATE(O318, IF('Input Sheet'!K320="",""," siderite in "))</f>
        <v/>
      </c>
    </row>
    <row r="319" spans="1:16" x14ac:dyDescent="0.25">
      <c r="A319" s="17" t="str">
        <f>IF('Input Sheet'!C321="","",CONCATENATE("Sample ", 'Input Sheet'!B321, "m: ", N319, H319, "% ", "Siltstone, ", P319, 'Input Sheet'!C321, "% ", J319, " Sandstone, ", L319, K319, " FLUOR in SST. ", "TG ", 'Input Sheet'!I321, "U"))</f>
        <v/>
      </c>
      <c r="B319" s="3" t="str">
        <f>IF('Input Sheet'!C321="","",CONCATENATE("Sample ", 'Input Sheet'!B321, "m: ", O319, I319, "% ", "Siltstone, ", Q319, 'Input Sheet'!C321, "% ", K319, " Sandstone "))</f>
        <v/>
      </c>
      <c r="C319" s="3" t="str">
        <f>IF('Input Sheet'!C321="","",CONCATENATE("Sample ", 'Input Sheet'!B321, "m: ", N319,, L319, K319, " FLUOR in SST. ", "TG ", 'Input Sheet'!I321, "U"))</f>
        <v/>
      </c>
      <c r="H319" s="6" t="str">
        <f>IF('Input Sheet'!C321="","",100-'Input Sheet'!C321)</f>
        <v/>
      </c>
      <c r="I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19" s="6" t="str">
        <f t="shared" si="4"/>
        <v/>
      </c>
      <c r="K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19" s="6" t="str">
        <f>IF('Input Sheet'!F321=0, "NO",CONCATENATE('Input Sheet'!F321, IF('Input Sheet'!F321&gt;0,"% ","")))</f>
        <v>NO</v>
      </c>
      <c r="M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19" s="6" t="str">
        <f>CONCATENATE(M319, IF('Input Sheet'!J321="",""," siderite in "))</f>
        <v/>
      </c>
      <c r="O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19" s="6" t="str">
        <f>CONCATENATE(O319, IF('Input Sheet'!K321="",""," siderite in "))</f>
        <v/>
      </c>
    </row>
    <row r="320" spans="1:16" x14ac:dyDescent="0.25">
      <c r="A320" s="17" t="str">
        <f>IF('Input Sheet'!C322="","",CONCATENATE("Sample ", 'Input Sheet'!B322, "m: ", N320, H320, "% ", "Siltstone, ", P320, 'Input Sheet'!C322, "% ", J320, " Sandstone, ", L320, K320, " FLUOR in SST. ", "TG ", 'Input Sheet'!I322, "U"))</f>
        <v/>
      </c>
      <c r="B320" s="3" t="str">
        <f>IF('Input Sheet'!C322="","",CONCATENATE("Sample ", 'Input Sheet'!B322, "m: ", O320, I320, "% ", "Siltstone, ", Q320, 'Input Sheet'!C322, "% ", K320, " Sandstone "))</f>
        <v/>
      </c>
      <c r="C320" s="3" t="str">
        <f>IF('Input Sheet'!C322="","",CONCATENATE("Sample ", 'Input Sheet'!B322, "m: ", N320,, L320, K320, " FLUOR in SST. ", "TG ", 'Input Sheet'!I322, "U"))</f>
        <v/>
      </c>
      <c r="H320" s="6" t="str">
        <f>IF('Input Sheet'!C322="","",100-'Input Sheet'!C322)</f>
        <v/>
      </c>
      <c r="I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0" s="6" t="str">
        <f t="shared" si="4"/>
        <v/>
      </c>
      <c r="K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0" s="6" t="str">
        <f>IF('Input Sheet'!F322=0, "NO",CONCATENATE('Input Sheet'!F322, IF('Input Sheet'!F322&gt;0,"% ","")))</f>
        <v>NO</v>
      </c>
      <c r="M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0" s="6" t="str">
        <f>CONCATENATE(M320, IF('Input Sheet'!J322="",""," siderite in "))</f>
        <v/>
      </c>
      <c r="O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0" s="6" t="str">
        <f>CONCATENATE(O320, IF('Input Sheet'!K322="",""," siderite in "))</f>
        <v/>
      </c>
    </row>
    <row r="321" spans="1:16" x14ac:dyDescent="0.25">
      <c r="A321" s="17" t="str">
        <f>IF('Input Sheet'!C323="","",CONCATENATE("Sample ", 'Input Sheet'!B323, "m: ", N321, H321, "% ", "Siltstone, ", P321, 'Input Sheet'!C323, "% ", J321, " Sandstone, ", L321, K321, " FLUOR in SST. ", "TG ", 'Input Sheet'!I323, "U"))</f>
        <v/>
      </c>
      <c r="B321" s="3" t="str">
        <f>IF('Input Sheet'!C323="","",CONCATENATE("Sample ", 'Input Sheet'!B323, "m: ", O321, I321, "% ", "Siltstone, ", Q321, 'Input Sheet'!C323, "% ", K321, " Sandstone "))</f>
        <v/>
      </c>
      <c r="C321" s="3" t="str">
        <f>IF('Input Sheet'!C323="","",CONCATENATE("Sample ", 'Input Sheet'!B323, "m: ", N321,, L321, K321, " FLUOR in SST. ", "TG ", 'Input Sheet'!I323, "U"))</f>
        <v/>
      </c>
      <c r="H321" s="6" t="str">
        <f>IF('Input Sheet'!C323="","",100-'Input Sheet'!C323)</f>
        <v/>
      </c>
      <c r="I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1" s="6" t="str">
        <f t="shared" si="4"/>
        <v/>
      </c>
      <c r="K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1" s="6" t="str">
        <f>IF('Input Sheet'!F323=0, "NO",CONCATENATE('Input Sheet'!F323, IF('Input Sheet'!F323&gt;0,"% ","")))</f>
        <v>NO</v>
      </c>
      <c r="M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1" s="6" t="str">
        <f>CONCATENATE(M321, IF('Input Sheet'!J323="",""," siderite in "))</f>
        <v/>
      </c>
      <c r="O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1" s="6" t="str">
        <f>CONCATENATE(O321, IF('Input Sheet'!K323="",""," siderite in "))</f>
        <v/>
      </c>
    </row>
    <row r="322" spans="1:16" x14ac:dyDescent="0.25">
      <c r="A322" s="17" t="str">
        <f>IF('Input Sheet'!C324="","",CONCATENATE("Sample ", 'Input Sheet'!B324, "m: ", N322, H322, "% ", "Siltstone, ", P322, 'Input Sheet'!C324, "% ", J322, " Sandstone, ", L322, K322, " FLUOR in SST. ", "TG ", 'Input Sheet'!I324, "U"))</f>
        <v/>
      </c>
      <c r="B322" s="3" t="str">
        <f>IF('Input Sheet'!C324="","",CONCATENATE("Sample ", 'Input Sheet'!B324, "m: ", O322, I322, "% ", "Siltstone, ", Q322, 'Input Sheet'!C324, "% ", K322, " Sandstone "))</f>
        <v/>
      </c>
      <c r="C322" s="3" t="str">
        <f>IF('Input Sheet'!C324="","",CONCATENATE("Sample ", 'Input Sheet'!B324, "m: ", N322,, L322, K322, " FLUOR in SST. ", "TG ", 'Input Sheet'!I324, "U"))</f>
        <v/>
      </c>
      <c r="H322" s="6" t="str">
        <f>IF('Input Sheet'!C324="","",100-'Input Sheet'!C324)</f>
        <v/>
      </c>
      <c r="I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2" s="6" t="str">
        <f t="shared" ref="J322:J385" si="5">SUBSTITUTE(I322, "veryfine", "very fine")</f>
        <v/>
      </c>
      <c r="K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2" s="6" t="str">
        <f>IF('Input Sheet'!F324=0, "NO",CONCATENATE('Input Sheet'!F324, IF('Input Sheet'!F324&gt;0,"% ","")))</f>
        <v>NO</v>
      </c>
      <c r="M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2" s="6" t="str">
        <f>CONCATENATE(M322, IF('Input Sheet'!J324="",""," siderite in "))</f>
        <v/>
      </c>
      <c r="O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2" s="6" t="str">
        <f>CONCATENATE(O322, IF('Input Sheet'!K324="",""," siderite in "))</f>
        <v/>
      </c>
    </row>
    <row r="323" spans="1:16" x14ac:dyDescent="0.25">
      <c r="A323" s="17" t="str">
        <f>IF('Input Sheet'!C325="","",CONCATENATE("Sample ", 'Input Sheet'!B325, "m: ", N323, H323, "% ", "Siltstone, ", P323, 'Input Sheet'!C325, "% ", J323, " Sandstone, ", L323, K323, " FLUOR in SST. ", "TG ", 'Input Sheet'!I325, "U"))</f>
        <v/>
      </c>
      <c r="B323" s="3" t="str">
        <f>IF('Input Sheet'!C325="","",CONCATENATE("Sample ", 'Input Sheet'!B325, "m: ", O323, I323, "% ", "Siltstone, ", Q323, 'Input Sheet'!C325, "% ", K323, " Sandstone "))</f>
        <v/>
      </c>
      <c r="C323" s="3" t="str">
        <f>IF('Input Sheet'!C325="","",CONCATENATE("Sample ", 'Input Sheet'!B325, "m: ", N323,, L323, K323, " FLUOR in SST. ", "TG ", 'Input Sheet'!I325, "U"))</f>
        <v/>
      </c>
      <c r="H323" s="6" t="str">
        <f>IF('Input Sheet'!C325="","",100-'Input Sheet'!C325)</f>
        <v/>
      </c>
      <c r="I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3" s="6" t="str">
        <f t="shared" si="5"/>
        <v/>
      </c>
      <c r="K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3" s="6" t="str">
        <f>IF('Input Sheet'!F325=0, "NO",CONCATENATE('Input Sheet'!F325, IF('Input Sheet'!F325&gt;0,"% ","")))</f>
        <v>NO</v>
      </c>
      <c r="M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3" s="6" t="str">
        <f>CONCATENATE(M323, IF('Input Sheet'!J325="",""," siderite in "))</f>
        <v/>
      </c>
      <c r="O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3" s="6" t="str">
        <f>CONCATENATE(O323, IF('Input Sheet'!K325="",""," siderite in "))</f>
        <v/>
      </c>
    </row>
    <row r="324" spans="1:16" x14ac:dyDescent="0.25">
      <c r="A324" s="17" t="str">
        <f>IF('Input Sheet'!C326="","",CONCATENATE("Sample ", 'Input Sheet'!B326, "m: ", N324, H324, "% ", "Siltstone, ", P324, 'Input Sheet'!C326, "% ", J324, " Sandstone, ", L324, K324, " FLUOR in SST. ", "TG ", 'Input Sheet'!I326, "U"))</f>
        <v/>
      </c>
      <c r="B324" s="3" t="str">
        <f>IF('Input Sheet'!C326="","",CONCATENATE("Sample ", 'Input Sheet'!B326, "m: ", O324, I324, "% ", "Siltstone, ", Q324, 'Input Sheet'!C326, "% ", K324, " Sandstone "))</f>
        <v/>
      </c>
      <c r="C324" s="3" t="str">
        <f>IF('Input Sheet'!C326="","",CONCATENATE("Sample ", 'Input Sheet'!B326, "m: ", N324,, L324, K324, " FLUOR in SST. ", "TG ", 'Input Sheet'!I326, "U"))</f>
        <v/>
      </c>
      <c r="H324" s="6" t="str">
        <f>IF('Input Sheet'!C326="","",100-'Input Sheet'!C326)</f>
        <v/>
      </c>
      <c r="I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4" s="6" t="str">
        <f t="shared" si="5"/>
        <v/>
      </c>
      <c r="K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4" s="6" t="str">
        <f>IF('Input Sheet'!F326=0, "NO",CONCATENATE('Input Sheet'!F326, IF('Input Sheet'!F326&gt;0,"% ","")))</f>
        <v>NO</v>
      </c>
      <c r="M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4" s="6" t="str">
        <f>CONCATENATE(M324, IF('Input Sheet'!J326="",""," siderite in "))</f>
        <v/>
      </c>
      <c r="O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4" s="6" t="str">
        <f>CONCATENATE(O324, IF('Input Sheet'!K326="",""," siderite in "))</f>
        <v/>
      </c>
    </row>
    <row r="325" spans="1:16" x14ac:dyDescent="0.25">
      <c r="A325" s="17" t="str">
        <f>IF('Input Sheet'!C327="","",CONCATENATE("Sample ", 'Input Sheet'!B327, "m: ", N325, H325, "% ", "Siltstone, ", P325, 'Input Sheet'!C327, "% ", J325, " Sandstone, ", L325, K325, " FLUOR in SST. ", "TG ", 'Input Sheet'!I327, "U"))</f>
        <v/>
      </c>
      <c r="B325" s="3" t="str">
        <f>IF('Input Sheet'!C327="","",CONCATENATE("Sample ", 'Input Sheet'!B327, "m: ", O325, I325, "% ", "Siltstone, ", Q325, 'Input Sheet'!C327, "% ", K325, " Sandstone "))</f>
        <v/>
      </c>
      <c r="C325" s="3" t="str">
        <f>IF('Input Sheet'!C327="","",CONCATENATE("Sample ", 'Input Sheet'!B327, "m: ", N325,, L325, K325, " FLUOR in SST. ", "TG ", 'Input Sheet'!I327, "U"))</f>
        <v/>
      </c>
      <c r="H325" s="6" t="str">
        <f>IF('Input Sheet'!C327="","",100-'Input Sheet'!C327)</f>
        <v/>
      </c>
      <c r="I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5" s="6" t="str">
        <f t="shared" si="5"/>
        <v/>
      </c>
      <c r="K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5" s="6" t="str">
        <f>IF('Input Sheet'!F327=0, "NO",CONCATENATE('Input Sheet'!F327, IF('Input Sheet'!F327&gt;0,"% ","")))</f>
        <v>NO</v>
      </c>
      <c r="M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5" s="6" t="str">
        <f>CONCATENATE(M325, IF('Input Sheet'!J327="",""," siderite in "))</f>
        <v/>
      </c>
      <c r="O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5" s="6" t="str">
        <f>CONCATENATE(O325, IF('Input Sheet'!K327="",""," siderite in "))</f>
        <v/>
      </c>
    </row>
    <row r="326" spans="1:16" x14ac:dyDescent="0.25">
      <c r="A326" s="17" t="str">
        <f>IF('Input Sheet'!C328="","",CONCATENATE("Sample ", 'Input Sheet'!B328, "m: ", N326, H326, "% ", "Siltstone, ", P326, 'Input Sheet'!C328, "% ", J326, " Sandstone, ", L326, K326, " FLUOR in SST. ", "TG ", 'Input Sheet'!I328, "U"))</f>
        <v/>
      </c>
      <c r="B326" s="3" t="str">
        <f>IF('Input Sheet'!C328="","",CONCATENATE("Sample ", 'Input Sheet'!B328, "m: ", O326, I326, "% ", "Siltstone, ", Q326, 'Input Sheet'!C328, "% ", K326, " Sandstone "))</f>
        <v/>
      </c>
      <c r="C326" s="3" t="str">
        <f>IF('Input Sheet'!C328="","",CONCATENATE("Sample ", 'Input Sheet'!B328, "m: ", N326,, L326, K326, " FLUOR in SST. ", "TG ", 'Input Sheet'!I328, "U"))</f>
        <v/>
      </c>
      <c r="H326" s="6" t="str">
        <f>IF('Input Sheet'!C328="","",100-'Input Sheet'!C328)</f>
        <v/>
      </c>
      <c r="I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6" s="6" t="str">
        <f t="shared" si="5"/>
        <v/>
      </c>
      <c r="K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6" s="6" t="str">
        <f>IF('Input Sheet'!F328=0, "NO",CONCATENATE('Input Sheet'!F328, IF('Input Sheet'!F328&gt;0,"% ","")))</f>
        <v>NO</v>
      </c>
      <c r="M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6" s="6" t="str">
        <f>CONCATENATE(M326, IF('Input Sheet'!J328="",""," siderite in "))</f>
        <v/>
      </c>
      <c r="O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6" s="6" t="str">
        <f>CONCATENATE(O326, IF('Input Sheet'!K328="",""," siderite in "))</f>
        <v/>
      </c>
    </row>
    <row r="327" spans="1:16" x14ac:dyDescent="0.25">
      <c r="A327" s="17" t="str">
        <f>IF('Input Sheet'!C329="","",CONCATENATE("Sample ", 'Input Sheet'!B329, "m: ", N327, H327, "% ", "Siltstone, ", P327, 'Input Sheet'!C329, "% ", J327, " Sandstone, ", L327, K327, " FLUOR in SST. ", "TG ", 'Input Sheet'!I329, "U"))</f>
        <v/>
      </c>
      <c r="B327" s="3" t="str">
        <f>IF('Input Sheet'!C329="","",CONCATENATE("Sample ", 'Input Sheet'!B329, "m: ", O327, I327, "% ", "Siltstone, ", Q327, 'Input Sheet'!C329, "% ", K327, " Sandstone "))</f>
        <v/>
      </c>
      <c r="C327" s="3" t="str">
        <f>IF('Input Sheet'!C329="","",CONCATENATE("Sample ", 'Input Sheet'!B329, "m: ", N327,, L327, K327, " FLUOR in SST. ", "TG ", 'Input Sheet'!I329, "U"))</f>
        <v/>
      </c>
      <c r="H327" s="6" t="str">
        <f>IF('Input Sheet'!C329="","",100-'Input Sheet'!C329)</f>
        <v/>
      </c>
      <c r="I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7" s="6" t="str">
        <f t="shared" si="5"/>
        <v/>
      </c>
      <c r="K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7" s="6" t="str">
        <f>IF('Input Sheet'!F329=0, "NO",CONCATENATE('Input Sheet'!F329, IF('Input Sheet'!F329&gt;0,"% ","")))</f>
        <v>NO</v>
      </c>
      <c r="M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7" s="6" t="str">
        <f>CONCATENATE(M327, IF('Input Sheet'!J329="",""," siderite in "))</f>
        <v/>
      </c>
      <c r="O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7" s="6" t="str">
        <f>CONCATENATE(O327, IF('Input Sheet'!K329="",""," siderite in "))</f>
        <v/>
      </c>
    </row>
    <row r="328" spans="1:16" x14ac:dyDescent="0.25">
      <c r="A328" s="17" t="str">
        <f>IF('Input Sheet'!C330="","",CONCATENATE("Sample ", 'Input Sheet'!B330, "m: ", N328, H328, "% ", "Siltstone, ", P328, 'Input Sheet'!C330, "% ", J328, " Sandstone, ", L328, K328, " FLUOR in SST. ", "TG ", 'Input Sheet'!I330, "U"))</f>
        <v/>
      </c>
      <c r="B328" s="3" t="str">
        <f>IF('Input Sheet'!C330="","",CONCATENATE("Sample ", 'Input Sheet'!B330, "m: ", O328, I328, "% ", "Siltstone, ", Q328, 'Input Sheet'!C330, "% ", K328, " Sandstone "))</f>
        <v/>
      </c>
      <c r="C328" s="3" t="str">
        <f>IF('Input Sheet'!C330="","",CONCATENATE("Sample ", 'Input Sheet'!B330, "m: ", N328,, L328, K328, " FLUOR in SST. ", "TG ", 'Input Sheet'!I330, "U"))</f>
        <v/>
      </c>
      <c r="H328" s="6" t="str">
        <f>IF('Input Sheet'!C330="","",100-'Input Sheet'!C330)</f>
        <v/>
      </c>
      <c r="I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8" s="6" t="str">
        <f t="shared" si="5"/>
        <v/>
      </c>
      <c r="K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8" s="6" t="str">
        <f>IF('Input Sheet'!F330=0, "NO",CONCATENATE('Input Sheet'!F330, IF('Input Sheet'!F330&gt;0,"% ","")))</f>
        <v>NO</v>
      </c>
      <c r="M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8" s="6" t="str">
        <f>CONCATENATE(M328, IF('Input Sheet'!J330="",""," siderite in "))</f>
        <v/>
      </c>
      <c r="O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8" s="6" t="str">
        <f>CONCATENATE(O328, IF('Input Sheet'!K330="",""," siderite in "))</f>
        <v/>
      </c>
    </row>
    <row r="329" spans="1:16" x14ac:dyDescent="0.25">
      <c r="A329" s="17" t="str">
        <f>IF('Input Sheet'!C331="","",CONCATENATE("Sample ", 'Input Sheet'!B331, "m: ", N329, H329, "% ", "Siltstone, ", P329, 'Input Sheet'!C331, "% ", J329, " Sandstone, ", L329, K329, " FLUOR in SST. ", "TG ", 'Input Sheet'!I331, "U"))</f>
        <v/>
      </c>
      <c r="B329" s="3" t="str">
        <f>IF('Input Sheet'!C331="","",CONCATENATE("Sample ", 'Input Sheet'!B331, "m: ", O329, I329, "% ", "Siltstone, ", Q329, 'Input Sheet'!C331, "% ", K329, " Sandstone "))</f>
        <v/>
      </c>
      <c r="C329" s="3" t="str">
        <f>IF('Input Sheet'!C331="","",CONCATENATE("Sample ", 'Input Sheet'!B331, "m: ", N329,, L329, K329, " FLUOR in SST. ", "TG ", 'Input Sheet'!I331, "U"))</f>
        <v/>
      </c>
      <c r="H329" s="6" t="str">
        <f>IF('Input Sheet'!C331="","",100-'Input Sheet'!C331)</f>
        <v/>
      </c>
      <c r="I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29" s="6" t="str">
        <f t="shared" si="5"/>
        <v/>
      </c>
      <c r="K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29" s="6" t="str">
        <f>IF('Input Sheet'!F331=0, "NO",CONCATENATE('Input Sheet'!F331, IF('Input Sheet'!F331&gt;0,"% ","")))</f>
        <v>NO</v>
      </c>
      <c r="M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29" s="6" t="str">
        <f>CONCATENATE(M329, IF('Input Sheet'!J331="",""," siderite in "))</f>
        <v/>
      </c>
      <c r="O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29" s="6" t="str">
        <f>CONCATENATE(O329, IF('Input Sheet'!K331="",""," siderite in "))</f>
        <v/>
      </c>
    </row>
    <row r="330" spans="1:16" x14ac:dyDescent="0.25">
      <c r="A330" s="17" t="str">
        <f>IF('Input Sheet'!C332="","",CONCATENATE("Sample ", 'Input Sheet'!B332, "m: ", N330, H330, "% ", "Siltstone, ", P330, 'Input Sheet'!C332, "% ", J330, " Sandstone, ", L330, K330, " FLUOR in SST. ", "TG ", 'Input Sheet'!I332, "U"))</f>
        <v/>
      </c>
      <c r="B330" s="3" t="str">
        <f>IF('Input Sheet'!C332="","",CONCATENATE("Sample ", 'Input Sheet'!B332, "m: ", O330, I330, "% ", "Siltstone, ", Q330, 'Input Sheet'!C332, "% ", K330, " Sandstone "))</f>
        <v/>
      </c>
      <c r="C330" s="3" t="str">
        <f>IF('Input Sheet'!C332="","",CONCATENATE("Sample ", 'Input Sheet'!B332, "m: ", N330,, L330, K330, " FLUOR in SST. ", "TG ", 'Input Sheet'!I332, "U"))</f>
        <v/>
      </c>
      <c r="H330" s="6" t="str">
        <f>IF('Input Sheet'!C332="","",100-'Input Sheet'!C332)</f>
        <v/>
      </c>
      <c r="I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0" s="6" t="str">
        <f t="shared" si="5"/>
        <v/>
      </c>
      <c r="K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0" s="6" t="str">
        <f>IF('Input Sheet'!F332=0, "NO",CONCATENATE('Input Sheet'!F332, IF('Input Sheet'!F332&gt;0,"% ","")))</f>
        <v>NO</v>
      </c>
      <c r="M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0" s="6" t="str">
        <f>CONCATENATE(M330, IF('Input Sheet'!J332="",""," siderite in "))</f>
        <v/>
      </c>
      <c r="O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0" s="6" t="str">
        <f>CONCATENATE(O330, IF('Input Sheet'!K332="",""," siderite in "))</f>
        <v/>
      </c>
    </row>
    <row r="331" spans="1:16" x14ac:dyDescent="0.25">
      <c r="A331" s="17" t="str">
        <f>IF('Input Sheet'!C333="","",CONCATENATE("Sample ", 'Input Sheet'!B333, "m: ", N331, H331, "% ", "Siltstone, ", P331, 'Input Sheet'!C333, "% ", J331, " Sandstone, ", L331, K331, " FLUOR in SST. ", "TG ", 'Input Sheet'!I333, "U"))</f>
        <v/>
      </c>
      <c r="B331" s="3" t="str">
        <f>IF('Input Sheet'!C333="","",CONCATENATE("Sample ", 'Input Sheet'!B333, "m: ", O331, I331, "% ", "Siltstone, ", Q331, 'Input Sheet'!C333, "% ", K331, " Sandstone "))</f>
        <v/>
      </c>
      <c r="C331" s="3" t="str">
        <f>IF('Input Sheet'!C333="","",CONCATENATE("Sample ", 'Input Sheet'!B333, "m: ", N331,, L331, K331, " FLUOR in SST. ", "TG ", 'Input Sheet'!I333, "U"))</f>
        <v/>
      </c>
      <c r="H331" s="6" t="str">
        <f>IF('Input Sheet'!C333="","",100-'Input Sheet'!C333)</f>
        <v/>
      </c>
      <c r="I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1" s="6" t="str">
        <f t="shared" si="5"/>
        <v/>
      </c>
      <c r="K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1" s="6" t="str">
        <f>IF('Input Sheet'!F333=0, "NO",CONCATENATE('Input Sheet'!F333, IF('Input Sheet'!F333&gt;0,"% ","")))</f>
        <v>NO</v>
      </c>
      <c r="M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1" s="6" t="str">
        <f>CONCATENATE(M331, IF('Input Sheet'!J333="",""," siderite in "))</f>
        <v/>
      </c>
      <c r="O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1" s="6" t="str">
        <f>CONCATENATE(O331, IF('Input Sheet'!K333="",""," siderite in "))</f>
        <v/>
      </c>
    </row>
    <row r="332" spans="1:16" x14ac:dyDescent="0.25">
      <c r="A332" s="17" t="str">
        <f>IF('Input Sheet'!C334="","",CONCATENATE("Sample ", 'Input Sheet'!B334, "m: ", N332, H332, "% ", "Siltstone, ", P332, 'Input Sheet'!C334, "% ", J332, " Sandstone, ", L332, K332, " FLUOR in SST. ", "TG ", 'Input Sheet'!I334, "U"))</f>
        <v/>
      </c>
      <c r="B332" s="3" t="str">
        <f>IF('Input Sheet'!C334="","",CONCATENATE("Sample ", 'Input Sheet'!B334, "m: ", O332, I332, "% ", "Siltstone, ", Q332, 'Input Sheet'!C334, "% ", K332, " Sandstone "))</f>
        <v/>
      </c>
      <c r="C332" s="3" t="str">
        <f>IF('Input Sheet'!C334="","",CONCATENATE("Sample ", 'Input Sheet'!B334, "m: ", N332,, L332, K332, " FLUOR in SST. ", "TG ", 'Input Sheet'!I334, "U"))</f>
        <v/>
      </c>
      <c r="H332" s="6" t="str">
        <f>IF('Input Sheet'!C334="","",100-'Input Sheet'!C334)</f>
        <v/>
      </c>
      <c r="I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2" s="6" t="str">
        <f t="shared" si="5"/>
        <v/>
      </c>
      <c r="K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2" s="6" t="str">
        <f>IF('Input Sheet'!F334=0, "NO",CONCATENATE('Input Sheet'!F334, IF('Input Sheet'!F334&gt;0,"% ","")))</f>
        <v>NO</v>
      </c>
      <c r="M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2" s="6" t="str">
        <f>CONCATENATE(M332, IF('Input Sheet'!J334="",""," siderite in "))</f>
        <v/>
      </c>
      <c r="O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2" s="6" t="str">
        <f>CONCATENATE(O332, IF('Input Sheet'!K334="",""," siderite in "))</f>
        <v/>
      </c>
    </row>
    <row r="333" spans="1:16" x14ac:dyDescent="0.25">
      <c r="A333" s="17" t="str">
        <f>IF('Input Sheet'!C335="","",CONCATENATE("Sample ", 'Input Sheet'!B335, "m: ", N333, H333, "% ", "Siltstone, ", P333, 'Input Sheet'!C335, "% ", J333, " Sandstone, ", L333, K333, " FLUOR in SST. ", "TG ", 'Input Sheet'!I335, "U"))</f>
        <v/>
      </c>
      <c r="B333" s="3" t="str">
        <f>IF('Input Sheet'!C335="","",CONCATENATE("Sample ", 'Input Sheet'!B335, "m: ", O333, I333, "% ", "Siltstone, ", Q333, 'Input Sheet'!C335, "% ", K333, " Sandstone "))</f>
        <v/>
      </c>
      <c r="C333" s="3" t="str">
        <f>IF('Input Sheet'!C335="","",CONCATENATE("Sample ", 'Input Sheet'!B335, "m: ", N333,, L333, K333, " FLUOR in SST. ", "TG ", 'Input Sheet'!I335, "U"))</f>
        <v/>
      </c>
      <c r="H333" s="6" t="str">
        <f>IF('Input Sheet'!C335="","",100-'Input Sheet'!C335)</f>
        <v/>
      </c>
      <c r="I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3" s="6" t="str">
        <f t="shared" si="5"/>
        <v/>
      </c>
      <c r="K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3" s="6" t="str">
        <f>IF('Input Sheet'!F335=0, "NO",CONCATENATE('Input Sheet'!F335, IF('Input Sheet'!F335&gt;0,"% ","")))</f>
        <v>NO</v>
      </c>
      <c r="M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3" s="6" t="str">
        <f>CONCATENATE(M333, IF('Input Sheet'!J335="",""," siderite in "))</f>
        <v/>
      </c>
      <c r="O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3" s="6" t="str">
        <f>CONCATENATE(O333, IF('Input Sheet'!K335="",""," siderite in "))</f>
        <v/>
      </c>
    </row>
    <row r="334" spans="1:16" x14ac:dyDescent="0.25">
      <c r="A334" s="17" t="str">
        <f>IF('Input Sheet'!C336="","",CONCATENATE("Sample ", 'Input Sheet'!B336, "m: ", N334, H334, "% ", "Siltstone, ", P334, 'Input Sheet'!C336, "% ", J334, " Sandstone, ", L334, K334, " FLUOR in SST. ", "TG ", 'Input Sheet'!I336, "U"))</f>
        <v/>
      </c>
      <c r="B334" s="3" t="str">
        <f>IF('Input Sheet'!C336="","",CONCATENATE("Sample ", 'Input Sheet'!B336, "m: ", O334, I334, "% ", "Siltstone, ", Q334, 'Input Sheet'!C336, "% ", K334, " Sandstone "))</f>
        <v/>
      </c>
      <c r="C334" s="3" t="str">
        <f>IF('Input Sheet'!C336="","",CONCATENATE("Sample ", 'Input Sheet'!B336, "m: ", N334,, L334, K334, " FLUOR in SST. ", "TG ", 'Input Sheet'!I336, "U"))</f>
        <v/>
      </c>
      <c r="H334" s="6" t="str">
        <f>IF('Input Sheet'!C336="","",100-'Input Sheet'!C336)</f>
        <v/>
      </c>
      <c r="I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4" s="6" t="str">
        <f t="shared" si="5"/>
        <v/>
      </c>
      <c r="K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4" s="6" t="str">
        <f>IF('Input Sheet'!F336=0, "NO",CONCATENATE('Input Sheet'!F336, IF('Input Sheet'!F336&gt;0,"% ","")))</f>
        <v>NO</v>
      </c>
      <c r="M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4" s="6" t="str">
        <f>CONCATENATE(M334, IF('Input Sheet'!J336="",""," siderite in "))</f>
        <v/>
      </c>
      <c r="O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4" s="6" t="str">
        <f>CONCATENATE(O334, IF('Input Sheet'!K336="",""," siderite in "))</f>
        <v/>
      </c>
    </row>
    <row r="335" spans="1:16" x14ac:dyDescent="0.25">
      <c r="A335" s="17" t="str">
        <f>IF('Input Sheet'!C337="","",CONCATENATE("Sample ", 'Input Sheet'!B337, "m: ", N335, H335, "% ", "Siltstone, ", P335, 'Input Sheet'!C337, "% ", J335, " Sandstone, ", L335, K335, " FLUOR in SST. ", "TG ", 'Input Sheet'!I337, "U"))</f>
        <v/>
      </c>
      <c r="B335" s="3" t="str">
        <f>IF('Input Sheet'!C337="","",CONCATENATE("Sample ", 'Input Sheet'!B337, "m: ", O335, I335, "% ", "Siltstone, ", Q335, 'Input Sheet'!C337, "% ", K335, " Sandstone "))</f>
        <v/>
      </c>
      <c r="C335" s="3" t="str">
        <f>IF('Input Sheet'!C337="","",CONCATENATE("Sample ", 'Input Sheet'!B337, "m: ", N335,, L335, K335, " FLUOR in SST. ", "TG ", 'Input Sheet'!I337, "U"))</f>
        <v/>
      </c>
      <c r="H335" s="6" t="str">
        <f>IF('Input Sheet'!C337="","",100-'Input Sheet'!C337)</f>
        <v/>
      </c>
      <c r="I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5" s="6" t="str">
        <f t="shared" si="5"/>
        <v/>
      </c>
      <c r="K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5" s="6" t="str">
        <f>IF('Input Sheet'!F337=0, "NO",CONCATENATE('Input Sheet'!F337, IF('Input Sheet'!F337&gt;0,"% ","")))</f>
        <v>NO</v>
      </c>
      <c r="M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5" s="6" t="str">
        <f>CONCATENATE(M335, IF('Input Sheet'!J337="",""," siderite in "))</f>
        <v/>
      </c>
      <c r="O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5" s="6" t="str">
        <f>CONCATENATE(O335, IF('Input Sheet'!K337="",""," siderite in "))</f>
        <v/>
      </c>
    </row>
    <row r="336" spans="1:16" x14ac:dyDescent="0.25">
      <c r="A336" s="17" t="str">
        <f>IF('Input Sheet'!C338="","",CONCATENATE("Sample ", 'Input Sheet'!B338, "m: ", N336, H336, "% ", "Siltstone, ", P336, 'Input Sheet'!C338, "% ", J336, " Sandstone, ", L336, K336, " FLUOR in SST. ", "TG ", 'Input Sheet'!I338, "U"))</f>
        <v/>
      </c>
      <c r="B336" s="3" t="str">
        <f>IF('Input Sheet'!C338="","",CONCATENATE("Sample ", 'Input Sheet'!B338, "m: ", O336, I336, "% ", "Siltstone, ", Q336, 'Input Sheet'!C338, "% ", K336, " Sandstone "))</f>
        <v/>
      </c>
      <c r="C336" s="3" t="str">
        <f>IF('Input Sheet'!C338="","",CONCATENATE("Sample ", 'Input Sheet'!B338, "m: ", N336,, L336, K336, " FLUOR in SST. ", "TG ", 'Input Sheet'!I338, "U"))</f>
        <v/>
      </c>
      <c r="H336" s="6" t="str">
        <f>IF('Input Sheet'!C338="","",100-'Input Sheet'!C338)</f>
        <v/>
      </c>
      <c r="I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6" s="6" t="str">
        <f t="shared" si="5"/>
        <v/>
      </c>
      <c r="K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6" s="6" t="str">
        <f>IF('Input Sheet'!F338=0, "NO",CONCATENATE('Input Sheet'!F338, IF('Input Sheet'!F338&gt;0,"% ","")))</f>
        <v>NO</v>
      </c>
      <c r="M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6" s="6" t="str">
        <f>CONCATENATE(M336, IF('Input Sheet'!J338="",""," siderite in "))</f>
        <v/>
      </c>
      <c r="O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6" s="6" t="str">
        <f>CONCATENATE(O336, IF('Input Sheet'!K338="",""," siderite in "))</f>
        <v/>
      </c>
    </row>
    <row r="337" spans="1:16" x14ac:dyDescent="0.25">
      <c r="A337" s="17" t="str">
        <f>IF('Input Sheet'!C339="","",CONCATENATE("Sample ", 'Input Sheet'!B339, "m: ", N337, H337, "% ", "Siltstone, ", P337, 'Input Sheet'!C339, "% ", J337, " Sandstone, ", L337, K337, " FLUOR in SST. ", "TG ", 'Input Sheet'!I339, "U"))</f>
        <v/>
      </c>
      <c r="B337" s="3" t="str">
        <f>IF('Input Sheet'!C339="","",CONCATENATE("Sample ", 'Input Sheet'!B339, "m: ", O337, I337, "% ", "Siltstone, ", Q337, 'Input Sheet'!C339, "% ", K337, " Sandstone "))</f>
        <v/>
      </c>
      <c r="C337" s="3" t="str">
        <f>IF('Input Sheet'!C339="","",CONCATENATE("Sample ", 'Input Sheet'!B339, "m: ", N337,, L337, K337, " FLUOR in SST. ", "TG ", 'Input Sheet'!I339, "U"))</f>
        <v/>
      </c>
      <c r="H337" s="6" t="str">
        <f>IF('Input Sheet'!C339="","",100-'Input Sheet'!C339)</f>
        <v/>
      </c>
      <c r="I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7" s="6" t="str">
        <f t="shared" si="5"/>
        <v/>
      </c>
      <c r="K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7" s="6" t="str">
        <f>IF('Input Sheet'!F339=0, "NO",CONCATENATE('Input Sheet'!F339, IF('Input Sheet'!F339&gt;0,"% ","")))</f>
        <v>NO</v>
      </c>
      <c r="M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7" s="6" t="str">
        <f>CONCATENATE(M337, IF('Input Sheet'!J339="",""," siderite in "))</f>
        <v/>
      </c>
      <c r="O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7" s="6" t="str">
        <f>CONCATENATE(O337, IF('Input Sheet'!K339="",""," siderite in "))</f>
        <v/>
      </c>
    </row>
    <row r="338" spans="1:16" x14ac:dyDescent="0.25">
      <c r="A338" s="17" t="str">
        <f>IF('Input Sheet'!C340="","",CONCATENATE("Sample ", 'Input Sheet'!B340, "m: ", N338, H338, "% ", "Siltstone, ", P338, 'Input Sheet'!C340, "% ", J338, " Sandstone, ", L338, K338, " FLUOR in SST. ", "TG ", 'Input Sheet'!I340, "U"))</f>
        <v/>
      </c>
      <c r="B338" s="3" t="str">
        <f>IF('Input Sheet'!C340="","",CONCATENATE("Sample ", 'Input Sheet'!B340, "m: ", O338, I338, "% ", "Siltstone, ", Q338, 'Input Sheet'!C340, "% ", K338, " Sandstone "))</f>
        <v/>
      </c>
      <c r="C338" s="3" t="str">
        <f>IF('Input Sheet'!C340="","",CONCATENATE("Sample ", 'Input Sheet'!B340, "m: ", N338,, L338, K338, " FLUOR in SST. ", "TG ", 'Input Sheet'!I340, "U"))</f>
        <v/>
      </c>
      <c r="H338" s="6" t="str">
        <f>IF('Input Sheet'!C340="","",100-'Input Sheet'!C340)</f>
        <v/>
      </c>
      <c r="I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8" s="6" t="str">
        <f t="shared" si="5"/>
        <v/>
      </c>
      <c r="K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8" s="6" t="str">
        <f>IF('Input Sheet'!F340=0, "NO",CONCATENATE('Input Sheet'!F340, IF('Input Sheet'!F340&gt;0,"% ","")))</f>
        <v>NO</v>
      </c>
      <c r="M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8" s="6" t="str">
        <f>CONCATENATE(M338, IF('Input Sheet'!J340="",""," siderite in "))</f>
        <v/>
      </c>
      <c r="O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8" s="6" t="str">
        <f>CONCATENATE(O338, IF('Input Sheet'!K340="",""," siderite in "))</f>
        <v/>
      </c>
    </row>
    <row r="339" spans="1:16" x14ac:dyDescent="0.25">
      <c r="A339" s="17" t="str">
        <f>IF('Input Sheet'!C341="","",CONCATENATE("Sample ", 'Input Sheet'!B341, "m: ", N339, H339, "% ", "Siltstone, ", P339, 'Input Sheet'!C341, "% ", J339, " Sandstone, ", L339, K339, " FLUOR in SST. ", "TG ", 'Input Sheet'!I341, "U"))</f>
        <v/>
      </c>
      <c r="B339" s="3" t="str">
        <f>IF('Input Sheet'!C341="","",CONCATENATE("Sample ", 'Input Sheet'!B341, "m: ", O339, I339, "% ", "Siltstone, ", Q339, 'Input Sheet'!C341, "% ", K339, " Sandstone "))</f>
        <v/>
      </c>
      <c r="C339" s="3" t="str">
        <f>IF('Input Sheet'!C341="","",CONCATENATE("Sample ", 'Input Sheet'!B341, "m: ", N339,, L339, K339, " FLUOR in SST. ", "TG ", 'Input Sheet'!I341, "U"))</f>
        <v/>
      </c>
      <c r="H339" s="6" t="str">
        <f>IF('Input Sheet'!C341="","",100-'Input Sheet'!C341)</f>
        <v/>
      </c>
      <c r="I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39" s="6" t="str">
        <f t="shared" si="5"/>
        <v/>
      </c>
      <c r="K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39" s="6" t="str">
        <f>IF('Input Sheet'!F341=0, "NO",CONCATENATE('Input Sheet'!F341, IF('Input Sheet'!F341&gt;0,"% ","")))</f>
        <v>NO</v>
      </c>
      <c r="M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39" s="6" t="str">
        <f>CONCATENATE(M339, IF('Input Sheet'!J341="",""," siderite in "))</f>
        <v/>
      </c>
      <c r="O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39" s="6" t="str">
        <f>CONCATENATE(O339, IF('Input Sheet'!K341="",""," siderite in "))</f>
        <v/>
      </c>
    </row>
    <row r="340" spans="1:16" x14ac:dyDescent="0.25">
      <c r="A340" s="17" t="str">
        <f>IF('Input Sheet'!C342="","",CONCATENATE("Sample ", 'Input Sheet'!B342, "m: ", N340, H340, "% ", "Siltstone, ", P340, 'Input Sheet'!C342, "% ", J340, " Sandstone, ", L340, K340, " FLUOR in SST. ", "TG ", 'Input Sheet'!I342, "U"))</f>
        <v/>
      </c>
      <c r="B340" s="3" t="str">
        <f>IF('Input Sheet'!C342="","",CONCATENATE("Sample ", 'Input Sheet'!B342, "m: ", O340, I340, "% ", "Siltstone, ", Q340, 'Input Sheet'!C342, "% ", K340, " Sandstone "))</f>
        <v/>
      </c>
      <c r="C340" s="3" t="str">
        <f>IF('Input Sheet'!C342="","",CONCATENATE("Sample ", 'Input Sheet'!B342, "m: ", N340,, L340, K340, " FLUOR in SST. ", "TG ", 'Input Sheet'!I342, "U"))</f>
        <v/>
      </c>
      <c r="H340" s="6" t="str">
        <f>IF('Input Sheet'!C342="","",100-'Input Sheet'!C342)</f>
        <v/>
      </c>
      <c r="I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0" s="6" t="str">
        <f t="shared" si="5"/>
        <v/>
      </c>
      <c r="K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0" s="6" t="str">
        <f>IF('Input Sheet'!F342=0, "NO",CONCATENATE('Input Sheet'!F342, IF('Input Sheet'!F342&gt;0,"% ","")))</f>
        <v>NO</v>
      </c>
      <c r="M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0" s="6" t="str">
        <f>CONCATENATE(M340, IF('Input Sheet'!J342="",""," siderite in "))</f>
        <v/>
      </c>
      <c r="O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0" s="6" t="str">
        <f>CONCATENATE(O340, IF('Input Sheet'!K342="",""," siderite in "))</f>
        <v/>
      </c>
    </row>
    <row r="341" spans="1:16" x14ac:dyDescent="0.25">
      <c r="A341" s="17" t="str">
        <f>IF('Input Sheet'!C343="","",CONCATENATE("Sample ", 'Input Sheet'!B343, "m: ", N341, H341, "% ", "Siltstone, ", P341, 'Input Sheet'!C343, "% ", J341, " Sandstone, ", L341, K341, " FLUOR in SST. ", "TG ", 'Input Sheet'!I343, "U"))</f>
        <v/>
      </c>
      <c r="B341" s="3" t="str">
        <f>IF('Input Sheet'!C343="","",CONCATENATE("Sample ", 'Input Sheet'!B343, "m: ", O341, I341, "% ", "Siltstone, ", Q341, 'Input Sheet'!C343, "% ", K341, " Sandstone "))</f>
        <v/>
      </c>
      <c r="C341" s="3" t="str">
        <f>IF('Input Sheet'!C343="","",CONCATENATE("Sample ", 'Input Sheet'!B343, "m: ", N341,, L341, K341, " FLUOR in SST. ", "TG ", 'Input Sheet'!I343, "U"))</f>
        <v/>
      </c>
      <c r="H341" s="6" t="str">
        <f>IF('Input Sheet'!C343="","",100-'Input Sheet'!C343)</f>
        <v/>
      </c>
      <c r="I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1" s="6" t="str">
        <f t="shared" si="5"/>
        <v/>
      </c>
      <c r="K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1" s="6" t="str">
        <f>IF('Input Sheet'!F343=0, "NO",CONCATENATE('Input Sheet'!F343, IF('Input Sheet'!F343&gt;0,"% ","")))</f>
        <v>NO</v>
      </c>
      <c r="M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1" s="6" t="str">
        <f>CONCATENATE(M341, IF('Input Sheet'!J343="",""," siderite in "))</f>
        <v/>
      </c>
      <c r="O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1" s="6" t="str">
        <f>CONCATENATE(O341, IF('Input Sheet'!K343="",""," siderite in "))</f>
        <v/>
      </c>
    </row>
    <row r="342" spans="1:16" x14ac:dyDescent="0.25">
      <c r="A342" s="17" t="str">
        <f>IF('Input Sheet'!C344="","",CONCATENATE("Sample ", 'Input Sheet'!B344, "m: ", N342, H342, "% ", "Siltstone, ", P342, 'Input Sheet'!C344, "% ", J342, " Sandstone, ", L342, K342, " FLUOR in SST. ", "TG ", 'Input Sheet'!I344, "U"))</f>
        <v/>
      </c>
      <c r="B342" s="3" t="str">
        <f>IF('Input Sheet'!C344="","",CONCATENATE("Sample ", 'Input Sheet'!B344, "m: ", O342, I342, "% ", "Siltstone, ", Q342, 'Input Sheet'!C344, "% ", K342, " Sandstone "))</f>
        <v/>
      </c>
      <c r="C342" s="3" t="str">
        <f>IF('Input Sheet'!C344="","",CONCATENATE("Sample ", 'Input Sheet'!B344, "m: ", N342,, L342, K342, " FLUOR in SST. ", "TG ", 'Input Sheet'!I344, "U"))</f>
        <v/>
      </c>
      <c r="H342" s="6" t="str">
        <f>IF('Input Sheet'!C344="","",100-'Input Sheet'!C344)</f>
        <v/>
      </c>
      <c r="I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2" s="6" t="str">
        <f t="shared" si="5"/>
        <v/>
      </c>
      <c r="K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2" s="6" t="str">
        <f>IF('Input Sheet'!F344=0, "NO",CONCATENATE('Input Sheet'!F344, IF('Input Sheet'!F344&gt;0,"% ","")))</f>
        <v>NO</v>
      </c>
      <c r="M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2" s="6" t="str">
        <f>CONCATENATE(M342, IF('Input Sheet'!J344="",""," siderite in "))</f>
        <v/>
      </c>
      <c r="O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2" s="6" t="str">
        <f>CONCATENATE(O342, IF('Input Sheet'!K344="",""," siderite in "))</f>
        <v/>
      </c>
    </row>
    <row r="343" spans="1:16" x14ac:dyDescent="0.25">
      <c r="A343" s="17" t="str">
        <f>IF('Input Sheet'!C345="","",CONCATENATE("Sample ", 'Input Sheet'!B345, "m: ", N343, H343, "% ", "Siltstone, ", P343, 'Input Sheet'!C345, "% ", J343, " Sandstone, ", L343, K343, " FLUOR in SST. ", "TG ", 'Input Sheet'!I345, "U"))</f>
        <v/>
      </c>
      <c r="B343" s="3" t="str">
        <f>IF('Input Sheet'!C345="","",CONCATENATE("Sample ", 'Input Sheet'!B345, "m: ", O343, I343, "% ", "Siltstone, ", Q343, 'Input Sheet'!C345, "% ", K343, " Sandstone "))</f>
        <v/>
      </c>
      <c r="C343" s="3" t="str">
        <f>IF('Input Sheet'!C345="","",CONCATENATE("Sample ", 'Input Sheet'!B345, "m: ", N343,, L343, K343, " FLUOR in SST. ", "TG ", 'Input Sheet'!I345, "U"))</f>
        <v/>
      </c>
      <c r="H343" s="6" t="str">
        <f>IF('Input Sheet'!C345="","",100-'Input Sheet'!C345)</f>
        <v/>
      </c>
      <c r="I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3" s="6" t="str">
        <f t="shared" si="5"/>
        <v/>
      </c>
      <c r="K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3" s="6" t="str">
        <f>IF('Input Sheet'!F345=0, "NO",CONCATENATE('Input Sheet'!F345, IF('Input Sheet'!F345&gt;0,"% ","")))</f>
        <v>NO</v>
      </c>
      <c r="M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3" s="6" t="str">
        <f>CONCATENATE(M343, IF('Input Sheet'!J345="",""," siderite in "))</f>
        <v/>
      </c>
      <c r="O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3" s="6" t="str">
        <f>CONCATENATE(O343, IF('Input Sheet'!K345="",""," siderite in "))</f>
        <v/>
      </c>
    </row>
    <row r="344" spans="1:16" x14ac:dyDescent="0.25">
      <c r="A344" s="17" t="str">
        <f>IF('Input Sheet'!C346="","",CONCATENATE("Sample ", 'Input Sheet'!B346, "m: ", N344, H344, "% ", "Siltstone, ", P344, 'Input Sheet'!C346, "% ", J344, " Sandstone, ", L344, K344, " FLUOR in SST. ", "TG ", 'Input Sheet'!I346, "U"))</f>
        <v/>
      </c>
      <c r="B344" s="3" t="str">
        <f>IF('Input Sheet'!C346="","",CONCATENATE("Sample ", 'Input Sheet'!B346, "m: ", O344, I344, "% ", "Siltstone, ", Q344, 'Input Sheet'!C346, "% ", K344, " Sandstone "))</f>
        <v/>
      </c>
      <c r="C344" s="3" t="str">
        <f>IF('Input Sheet'!C346="","",CONCATENATE("Sample ", 'Input Sheet'!B346, "m: ", N344,, L344, K344, " FLUOR in SST. ", "TG ", 'Input Sheet'!I346, "U"))</f>
        <v/>
      </c>
      <c r="H344" s="6" t="str">
        <f>IF('Input Sheet'!C346="","",100-'Input Sheet'!C346)</f>
        <v/>
      </c>
      <c r="I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4" s="6" t="str">
        <f t="shared" si="5"/>
        <v/>
      </c>
      <c r="K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4" s="6" t="str">
        <f>IF('Input Sheet'!F346=0, "NO",CONCATENATE('Input Sheet'!F346, IF('Input Sheet'!F346&gt;0,"% ","")))</f>
        <v>NO</v>
      </c>
      <c r="M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4" s="6" t="str">
        <f>CONCATENATE(M344, IF('Input Sheet'!J346="",""," siderite in "))</f>
        <v/>
      </c>
      <c r="O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4" s="6" t="str">
        <f>CONCATENATE(O344, IF('Input Sheet'!K346="",""," siderite in "))</f>
        <v/>
      </c>
    </row>
    <row r="345" spans="1:16" x14ac:dyDescent="0.25">
      <c r="A345" s="17" t="str">
        <f>IF('Input Sheet'!C347="","",CONCATENATE("Sample ", 'Input Sheet'!B347, "m: ", N345, H345, "% ", "Siltstone, ", P345, 'Input Sheet'!C347, "% ", J345, " Sandstone, ", L345, K345, " FLUOR in SST. ", "TG ", 'Input Sheet'!I347, "U"))</f>
        <v/>
      </c>
      <c r="B345" s="3" t="str">
        <f>IF('Input Sheet'!C347="","",CONCATENATE("Sample ", 'Input Sheet'!B347, "m: ", O345, I345, "% ", "Siltstone, ", Q345, 'Input Sheet'!C347, "% ", K345, " Sandstone "))</f>
        <v/>
      </c>
      <c r="C345" s="3" t="str">
        <f>IF('Input Sheet'!C347="","",CONCATENATE("Sample ", 'Input Sheet'!B347, "m: ", N345,, L345, K345, " FLUOR in SST. ", "TG ", 'Input Sheet'!I347, "U"))</f>
        <v/>
      </c>
      <c r="H345" s="6" t="str">
        <f>IF('Input Sheet'!C347="","",100-'Input Sheet'!C347)</f>
        <v/>
      </c>
      <c r="I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5" s="6" t="str">
        <f t="shared" si="5"/>
        <v/>
      </c>
      <c r="K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5" s="6" t="str">
        <f>IF('Input Sheet'!F347=0, "NO",CONCATENATE('Input Sheet'!F347, IF('Input Sheet'!F347&gt;0,"% ","")))</f>
        <v>NO</v>
      </c>
      <c r="M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5" s="6" t="str">
        <f>CONCATENATE(M345, IF('Input Sheet'!J347="",""," siderite in "))</f>
        <v/>
      </c>
      <c r="O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5" s="6" t="str">
        <f>CONCATENATE(O345, IF('Input Sheet'!K347="",""," siderite in "))</f>
        <v/>
      </c>
    </row>
    <row r="346" spans="1:16" x14ac:dyDescent="0.25">
      <c r="A346" s="17" t="str">
        <f>IF('Input Sheet'!C348="","",CONCATENATE("Sample ", 'Input Sheet'!B348, "m: ", N346, H346, "% ", "Siltstone, ", P346, 'Input Sheet'!C348, "% ", J346, " Sandstone, ", L346, K346, " FLUOR in SST. ", "TG ", 'Input Sheet'!I348, "U"))</f>
        <v/>
      </c>
      <c r="B346" s="3" t="str">
        <f>IF('Input Sheet'!C348="","",CONCATENATE("Sample ", 'Input Sheet'!B348, "m: ", O346, I346, "% ", "Siltstone, ", Q346, 'Input Sheet'!C348, "% ", K346, " Sandstone "))</f>
        <v/>
      </c>
      <c r="C346" s="3" t="str">
        <f>IF('Input Sheet'!C348="","",CONCATENATE("Sample ", 'Input Sheet'!B348, "m: ", N346,, L346, K346, " FLUOR in SST. ", "TG ", 'Input Sheet'!I348, "U"))</f>
        <v/>
      </c>
      <c r="H346" s="6" t="str">
        <f>IF('Input Sheet'!C348="","",100-'Input Sheet'!C348)</f>
        <v/>
      </c>
      <c r="I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6" s="6" t="str">
        <f t="shared" si="5"/>
        <v/>
      </c>
      <c r="K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6" s="6" t="str">
        <f>IF('Input Sheet'!F348=0, "NO",CONCATENATE('Input Sheet'!F348, IF('Input Sheet'!F348&gt;0,"% ","")))</f>
        <v>NO</v>
      </c>
      <c r="M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6" s="6" t="str">
        <f>CONCATENATE(M346, IF('Input Sheet'!J348="",""," siderite in "))</f>
        <v/>
      </c>
      <c r="O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6" s="6" t="str">
        <f>CONCATENATE(O346, IF('Input Sheet'!K348="",""," siderite in "))</f>
        <v/>
      </c>
    </row>
    <row r="347" spans="1:16" x14ac:dyDescent="0.25">
      <c r="A347" s="17" t="str">
        <f>IF('Input Sheet'!C349="","",CONCATENATE("Sample ", 'Input Sheet'!B349, "m: ", N347, H347, "% ", "Siltstone, ", P347, 'Input Sheet'!C349, "% ", J347, " Sandstone, ", L347, K347, " FLUOR in SST. ", "TG ", 'Input Sheet'!I349, "U"))</f>
        <v/>
      </c>
      <c r="B347" s="3" t="str">
        <f>IF('Input Sheet'!C349="","",CONCATENATE("Sample ", 'Input Sheet'!B349, "m: ", O347, I347, "% ", "Siltstone, ", Q347, 'Input Sheet'!C349, "% ", K347, " Sandstone "))</f>
        <v/>
      </c>
      <c r="C347" s="3" t="str">
        <f>IF('Input Sheet'!C349="","",CONCATENATE("Sample ", 'Input Sheet'!B349, "m: ", N347,, L347, K347, " FLUOR in SST. ", "TG ", 'Input Sheet'!I349, "U"))</f>
        <v/>
      </c>
      <c r="H347" s="6" t="str">
        <f>IF('Input Sheet'!C349="","",100-'Input Sheet'!C349)</f>
        <v/>
      </c>
      <c r="I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7" s="6" t="str">
        <f t="shared" si="5"/>
        <v/>
      </c>
      <c r="K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7" s="6" t="str">
        <f>IF('Input Sheet'!F349=0, "NO",CONCATENATE('Input Sheet'!F349, IF('Input Sheet'!F349&gt;0,"% ","")))</f>
        <v>NO</v>
      </c>
      <c r="M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7" s="6" t="str">
        <f>CONCATENATE(M347, IF('Input Sheet'!J349="",""," siderite in "))</f>
        <v/>
      </c>
      <c r="O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7" s="6" t="str">
        <f>CONCATENATE(O347, IF('Input Sheet'!K349="",""," siderite in "))</f>
        <v/>
      </c>
    </row>
    <row r="348" spans="1:16" x14ac:dyDescent="0.25">
      <c r="A348" s="17" t="str">
        <f>IF('Input Sheet'!C350="","",CONCATENATE("Sample ", 'Input Sheet'!B350, "m: ", N348, H348, "% ", "Siltstone, ", P348, 'Input Sheet'!C350, "% ", J348, " Sandstone, ", L348, K348, " FLUOR in SST. ", "TG ", 'Input Sheet'!I350, "U"))</f>
        <v/>
      </c>
      <c r="B348" s="3" t="str">
        <f>IF('Input Sheet'!C350="","",CONCATENATE("Sample ", 'Input Sheet'!B350, "m: ", O348, I348, "% ", "Siltstone, ", Q348, 'Input Sheet'!C350, "% ", K348, " Sandstone "))</f>
        <v/>
      </c>
      <c r="C348" s="3" t="str">
        <f>IF('Input Sheet'!C350="","",CONCATENATE("Sample ", 'Input Sheet'!B350, "m: ", N348,, L348, K348, " FLUOR in SST. ", "TG ", 'Input Sheet'!I350, "U"))</f>
        <v/>
      </c>
      <c r="H348" s="6" t="str">
        <f>IF('Input Sheet'!C350="","",100-'Input Sheet'!C350)</f>
        <v/>
      </c>
      <c r="I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8" s="6" t="str">
        <f t="shared" si="5"/>
        <v/>
      </c>
      <c r="K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8" s="6" t="str">
        <f>IF('Input Sheet'!F350=0, "NO",CONCATENATE('Input Sheet'!F350, IF('Input Sheet'!F350&gt;0,"% ","")))</f>
        <v>NO</v>
      </c>
      <c r="M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8" s="6" t="str">
        <f>CONCATENATE(M348, IF('Input Sheet'!J350="",""," siderite in "))</f>
        <v/>
      </c>
      <c r="O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8" s="6" t="str">
        <f>CONCATENATE(O348, IF('Input Sheet'!K350="",""," siderite in "))</f>
        <v/>
      </c>
    </row>
    <row r="349" spans="1:16" x14ac:dyDescent="0.25">
      <c r="A349" s="17" t="str">
        <f>IF('Input Sheet'!C351="","",CONCATENATE("Sample ", 'Input Sheet'!B351, "m: ", N349, H349, "% ", "Siltstone, ", P349, 'Input Sheet'!C351, "% ", J349, " Sandstone, ", L349, K349, " FLUOR in SST. ", "TG ", 'Input Sheet'!I351, "U"))</f>
        <v/>
      </c>
      <c r="B349" s="3" t="str">
        <f>IF('Input Sheet'!C351="","",CONCATENATE("Sample ", 'Input Sheet'!B351, "m: ", O349, I349, "% ", "Siltstone, ", Q349, 'Input Sheet'!C351, "% ", K349, " Sandstone "))</f>
        <v/>
      </c>
      <c r="C349" s="3" t="str">
        <f>IF('Input Sheet'!C351="","",CONCATENATE("Sample ", 'Input Sheet'!B351, "m: ", N349,, L349, K349, " FLUOR in SST. ", "TG ", 'Input Sheet'!I351, "U"))</f>
        <v/>
      </c>
      <c r="H349" s="6" t="str">
        <f>IF('Input Sheet'!C351="","",100-'Input Sheet'!C351)</f>
        <v/>
      </c>
      <c r="I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49" s="6" t="str">
        <f t="shared" si="5"/>
        <v/>
      </c>
      <c r="K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49" s="6" t="str">
        <f>IF('Input Sheet'!F351=0, "NO",CONCATENATE('Input Sheet'!F351, IF('Input Sheet'!F351&gt;0,"% ","")))</f>
        <v>NO</v>
      </c>
      <c r="M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49" s="6" t="str">
        <f>CONCATENATE(M349, IF('Input Sheet'!J351="",""," siderite in "))</f>
        <v/>
      </c>
      <c r="O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49" s="6" t="str">
        <f>CONCATENATE(O349, IF('Input Sheet'!K351="",""," siderite in "))</f>
        <v/>
      </c>
    </row>
    <row r="350" spans="1:16" x14ac:dyDescent="0.25">
      <c r="A350" s="17" t="str">
        <f>IF('Input Sheet'!C352="","",CONCATENATE("Sample ", 'Input Sheet'!B352, "m: ", N350, H350, "% ", "Siltstone, ", P350, 'Input Sheet'!C352, "% ", J350, " Sandstone, ", L350, K350, " FLUOR in SST. ", "TG ", 'Input Sheet'!I352, "U"))</f>
        <v/>
      </c>
      <c r="B350" s="3" t="str">
        <f>IF('Input Sheet'!C352="","",CONCATENATE("Sample ", 'Input Sheet'!B352, "m: ", O350, I350, "% ", "Siltstone, ", Q350, 'Input Sheet'!C352, "% ", K350, " Sandstone "))</f>
        <v/>
      </c>
      <c r="C350" s="3" t="str">
        <f>IF('Input Sheet'!C352="","",CONCATENATE("Sample ", 'Input Sheet'!B352, "m: ", N350,, L350, K350, " FLUOR in SST. ", "TG ", 'Input Sheet'!I352, "U"))</f>
        <v/>
      </c>
      <c r="H350" s="6" t="str">
        <f>IF('Input Sheet'!C352="","",100-'Input Sheet'!C352)</f>
        <v/>
      </c>
      <c r="I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0" s="6" t="str">
        <f t="shared" si="5"/>
        <v/>
      </c>
      <c r="K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0" s="6" t="str">
        <f>IF('Input Sheet'!F352=0, "NO",CONCATENATE('Input Sheet'!F352, IF('Input Sheet'!F352&gt;0,"% ","")))</f>
        <v>NO</v>
      </c>
      <c r="M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0" s="6" t="str">
        <f>CONCATENATE(M350, IF('Input Sheet'!J352="",""," siderite in "))</f>
        <v/>
      </c>
      <c r="O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0" s="6" t="str">
        <f>CONCATENATE(O350, IF('Input Sheet'!K352="",""," siderite in "))</f>
        <v/>
      </c>
    </row>
    <row r="351" spans="1:16" x14ac:dyDescent="0.25">
      <c r="A351" s="17" t="str">
        <f>IF('Input Sheet'!C353="","",CONCATENATE("Sample ", 'Input Sheet'!B353, "m: ", N351, H351, "% ", "Siltstone, ", P351, 'Input Sheet'!C353, "% ", J351, " Sandstone, ", L351, K351, " FLUOR in SST. ", "TG ", 'Input Sheet'!I353, "U"))</f>
        <v/>
      </c>
      <c r="B351" s="3" t="str">
        <f>IF('Input Sheet'!C353="","",CONCATENATE("Sample ", 'Input Sheet'!B353, "m: ", O351, I351, "% ", "Siltstone, ", Q351, 'Input Sheet'!C353, "% ", K351, " Sandstone "))</f>
        <v/>
      </c>
      <c r="C351" s="3" t="str">
        <f>IF('Input Sheet'!C353="","",CONCATENATE("Sample ", 'Input Sheet'!B353, "m: ", N351,, L351, K351, " FLUOR in SST. ", "TG ", 'Input Sheet'!I353, "U"))</f>
        <v/>
      </c>
      <c r="H351" s="6" t="str">
        <f>IF('Input Sheet'!C353="","",100-'Input Sheet'!C353)</f>
        <v/>
      </c>
      <c r="I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1" s="6" t="str">
        <f t="shared" si="5"/>
        <v/>
      </c>
      <c r="K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1" s="6" t="str">
        <f>IF('Input Sheet'!F353=0, "NO",CONCATENATE('Input Sheet'!F353, IF('Input Sheet'!F353&gt;0,"% ","")))</f>
        <v>NO</v>
      </c>
      <c r="M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1" s="6" t="str">
        <f>CONCATENATE(M351, IF('Input Sheet'!J353="",""," siderite in "))</f>
        <v/>
      </c>
      <c r="O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1" s="6" t="str">
        <f>CONCATENATE(O351, IF('Input Sheet'!K353="",""," siderite in "))</f>
        <v/>
      </c>
    </row>
    <row r="352" spans="1:16" x14ac:dyDescent="0.25">
      <c r="A352" s="17" t="str">
        <f>IF('Input Sheet'!C354="","",CONCATENATE("Sample ", 'Input Sheet'!B354, "m: ", N352, H352, "% ", "Siltstone, ", P352, 'Input Sheet'!C354, "% ", J352, " Sandstone, ", L352, K352, " FLUOR in SST. ", "TG ", 'Input Sheet'!I354, "U"))</f>
        <v/>
      </c>
      <c r="B352" s="3" t="str">
        <f>IF('Input Sheet'!C354="","",CONCATENATE("Sample ", 'Input Sheet'!B354, "m: ", O352, I352, "% ", "Siltstone, ", Q352, 'Input Sheet'!C354, "% ", K352, " Sandstone "))</f>
        <v/>
      </c>
      <c r="C352" s="3" t="str">
        <f>IF('Input Sheet'!C354="","",CONCATENATE("Sample ", 'Input Sheet'!B354, "m: ", N352,, L352, K352, " FLUOR in SST. ", "TG ", 'Input Sheet'!I354, "U"))</f>
        <v/>
      </c>
      <c r="H352" s="6" t="str">
        <f>IF('Input Sheet'!C354="","",100-'Input Sheet'!C354)</f>
        <v/>
      </c>
      <c r="I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2" s="6" t="str">
        <f t="shared" si="5"/>
        <v/>
      </c>
      <c r="K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2" s="6" t="str">
        <f>IF('Input Sheet'!F354=0, "NO",CONCATENATE('Input Sheet'!F354, IF('Input Sheet'!F354&gt;0,"% ","")))</f>
        <v>NO</v>
      </c>
      <c r="M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2" s="6" t="str">
        <f>CONCATENATE(M352, IF('Input Sheet'!J354="",""," siderite in "))</f>
        <v/>
      </c>
      <c r="O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2" s="6" t="str">
        <f>CONCATENATE(O352, IF('Input Sheet'!K354="",""," siderite in "))</f>
        <v/>
      </c>
    </row>
    <row r="353" spans="1:16" x14ac:dyDescent="0.25">
      <c r="A353" s="17" t="str">
        <f>IF('Input Sheet'!C355="","",CONCATENATE("Sample ", 'Input Sheet'!B355, "m: ", N353, H353, "% ", "Siltstone, ", P353, 'Input Sheet'!C355, "% ", J353, " Sandstone, ", L353, K353, " FLUOR in SST. ", "TG ", 'Input Sheet'!I355, "U"))</f>
        <v/>
      </c>
      <c r="B353" s="3" t="str">
        <f>IF('Input Sheet'!C355="","",CONCATENATE("Sample ", 'Input Sheet'!B355, "m: ", O353, I353, "% ", "Siltstone, ", Q353, 'Input Sheet'!C355, "% ", K353, " Sandstone "))</f>
        <v/>
      </c>
      <c r="C353" s="3" t="str">
        <f>IF('Input Sheet'!C355="","",CONCATENATE("Sample ", 'Input Sheet'!B355, "m: ", N353,, L353, K353, " FLUOR in SST. ", "TG ", 'Input Sheet'!I355, "U"))</f>
        <v/>
      </c>
      <c r="H353" s="6" t="str">
        <f>IF('Input Sheet'!C355="","",100-'Input Sheet'!C355)</f>
        <v/>
      </c>
      <c r="I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3" s="6" t="str">
        <f t="shared" si="5"/>
        <v/>
      </c>
      <c r="K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3" s="6" t="str">
        <f>IF('Input Sheet'!F355=0, "NO",CONCATENATE('Input Sheet'!F355, IF('Input Sheet'!F355&gt;0,"% ","")))</f>
        <v>NO</v>
      </c>
      <c r="M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3" s="6" t="str">
        <f>CONCATENATE(M353, IF('Input Sheet'!J355="",""," siderite in "))</f>
        <v/>
      </c>
      <c r="O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3" s="6" t="str">
        <f>CONCATENATE(O353, IF('Input Sheet'!K355="",""," siderite in "))</f>
        <v/>
      </c>
    </row>
    <row r="354" spans="1:16" x14ac:dyDescent="0.25">
      <c r="A354" s="17" t="str">
        <f>IF('Input Sheet'!C356="","",CONCATENATE("Sample ", 'Input Sheet'!B356, "m: ", N354, H354, "% ", "Siltstone, ", P354, 'Input Sheet'!C356, "% ", J354, " Sandstone, ", L354, K354, " FLUOR in SST. ", "TG ", 'Input Sheet'!I356, "U"))</f>
        <v/>
      </c>
      <c r="B354" s="3" t="str">
        <f>IF('Input Sheet'!C356="","",CONCATENATE("Sample ", 'Input Sheet'!B356, "m: ", O354, I354, "% ", "Siltstone, ", Q354, 'Input Sheet'!C356, "% ", K354, " Sandstone "))</f>
        <v/>
      </c>
      <c r="C354" s="3" t="str">
        <f>IF('Input Sheet'!C356="","",CONCATENATE("Sample ", 'Input Sheet'!B356, "m: ", N354,, L354, K354, " FLUOR in SST. ", "TG ", 'Input Sheet'!I356, "U"))</f>
        <v/>
      </c>
      <c r="H354" s="6" t="str">
        <f>IF('Input Sheet'!C356="","",100-'Input Sheet'!C356)</f>
        <v/>
      </c>
      <c r="I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4" s="6" t="str">
        <f t="shared" si="5"/>
        <v/>
      </c>
      <c r="K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4" s="6" t="str">
        <f>IF('Input Sheet'!F356=0, "NO",CONCATENATE('Input Sheet'!F356, IF('Input Sheet'!F356&gt;0,"% ","")))</f>
        <v>NO</v>
      </c>
      <c r="M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4" s="6" t="str">
        <f>CONCATENATE(M354, IF('Input Sheet'!J356="",""," siderite in "))</f>
        <v/>
      </c>
      <c r="O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4" s="6" t="str">
        <f>CONCATENATE(O354, IF('Input Sheet'!K356="",""," siderite in "))</f>
        <v/>
      </c>
    </row>
    <row r="355" spans="1:16" x14ac:dyDescent="0.25">
      <c r="A355" s="17" t="str">
        <f>IF('Input Sheet'!C357="","",CONCATENATE("Sample ", 'Input Sheet'!B357, "m: ", N355, H355, "% ", "Siltstone, ", P355, 'Input Sheet'!C357, "% ", J355, " Sandstone, ", L355, K355, " FLUOR in SST. ", "TG ", 'Input Sheet'!I357, "U"))</f>
        <v/>
      </c>
      <c r="B355" s="3" t="str">
        <f>IF('Input Sheet'!C357="","",CONCATENATE("Sample ", 'Input Sheet'!B357, "m: ", O355, I355, "% ", "Siltstone, ", Q355, 'Input Sheet'!C357, "% ", K355, " Sandstone "))</f>
        <v/>
      </c>
      <c r="C355" s="3" t="str">
        <f>IF('Input Sheet'!C357="","",CONCATENATE("Sample ", 'Input Sheet'!B357, "m: ", N355,, L355, K355, " FLUOR in SST. ", "TG ", 'Input Sheet'!I357, "U"))</f>
        <v/>
      </c>
      <c r="H355" s="6" t="str">
        <f>IF('Input Sheet'!C357="","",100-'Input Sheet'!C357)</f>
        <v/>
      </c>
      <c r="I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5" s="6" t="str">
        <f t="shared" si="5"/>
        <v/>
      </c>
      <c r="K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5" s="6" t="str">
        <f>IF('Input Sheet'!F357=0, "NO",CONCATENATE('Input Sheet'!F357, IF('Input Sheet'!F357&gt;0,"% ","")))</f>
        <v>NO</v>
      </c>
      <c r="M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5" s="6" t="str">
        <f>CONCATENATE(M355, IF('Input Sheet'!J357="",""," siderite in "))</f>
        <v/>
      </c>
      <c r="O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5" s="6" t="str">
        <f>CONCATENATE(O355, IF('Input Sheet'!K357="",""," siderite in "))</f>
        <v/>
      </c>
    </row>
    <row r="356" spans="1:16" x14ac:dyDescent="0.25">
      <c r="A356" s="17" t="str">
        <f>IF('Input Sheet'!C358="","",CONCATENATE("Sample ", 'Input Sheet'!B358, "m: ", N356, H356, "% ", "Siltstone, ", P356, 'Input Sheet'!C358, "% ", J356, " Sandstone, ", L356, K356, " FLUOR in SST. ", "TG ", 'Input Sheet'!I358, "U"))</f>
        <v/>
      </c>
      <c r="B356" s="3" t="str">
        <f>IF('Input Sheet'!C358="","",CONCATENATE("Sample ", 'Input Sheet'!B358, "m: ", O356, I356, "% ", "Siltstone, ", Q356, 'Input Sheet'!C358, "% ", K356, " Sandstone "))</f>
        <v/>
      </c>
      <c r="C356" s="3" t="str">
        <f>IF('Input Sheet'!C358="","",CONCATENATE("Sample ", 'Input Sheet'!B358, "m: ", N356,, L356, K356, " FLUOR in SST. ", "TG ", 'Input Sheet'!I358, "U"))</f>
        <v/>
      </c>
      <c r="H356" s="6" t="str">
        <f>IF('Input Sheet'!C358="","",100-'Input Sheet'!C358)</f>
        <v/>
      </c>
      <c r="I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6" s="6" t="str">
        <f t="shared" si="5"/>
        <v/>
      </c>
      <c r="K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6" s="6" t="str">
        <f>IF('Input Sheet'!F358=0, "NO",CONCATENATE('Input Sheet'!F358, IF('Input Sheet'!F358&gt;0,"% ","")))</f>
        <v>NO</v>
      </c>
      <c r="M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6" s="6" t="str">
        <f>CONCATENATE(M356, IF('Input Sheet'!J358="",""," siderite in "))</f>
        <v/>
      </c>
      <c r="O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6" s="6" t="str">
        <f>CONCATENATE(O356, IF('Input Sheet'!K358="",""," siderite in "))</f>
        <v/>
      </c>
    </row>
    <row r="357" spans="1:16" x14ac:dyDescent="0.25">
      <c r="A357" s="17" t="str">
        <f>IF('Input Sheet'!C359="","",CONCATENATE("Sample ", 'Input Sheet'!B359, "m: ", N357, H357, "% ", "Siltstone, ", P357, 'Input Sheet'!C359, "% ", J357, " Sandstone, ", L357, K357, " FLUOR in SST. ", "TG ", 'Input Sheet'!I359, "U"))</f>
        <v/>
      </c>
      <c r="B357" s="3" t="str">
        <f>IF('Input Sheet'!C359="","",CONCATENATE("Sample ", 'Input Sheet'!B359, "m: ", O357, I357, "% ", "Siltstone, ", Q357, 'Input Sheet'!C359, "% ", K357, " Sandstone "))</f>
        <v/>
      </c>
      <c r="C357" s="3" t="str">
        <f>IF('Input Sheet'!C359="","",CONCATENATE("Sample ", 'Input Sheet'!B359, "m: ", N357,, L357, K357, " FLUOR in SST. ", "TG ", 'Input Sheet'!I359, "U"))</f>
        <v/>
      </c>
      <c r="H357" s="6" t="str">
        <f>IF('Input Sheet'!C359="","",100-'Input Sheet'!C359)</f>
        <v/>
      </c>
      <c r="I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7" s="6" t="str">
        <f t="shared" si="5"/>
        <v/>
      </c>
      <c r="K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7" s="6" t="str">
        <f>IF('Input Sheet'!F359=0, "NO",CONCATENATE('Input Sheet'!F359, IF('Input Sheet'!F359&gt;0,"% ","")))</f>
        <v>NO</v>
      </c>
      <c r="M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7" s="6" t="str">
        <f>CONCATENATE(M357, IF('Input Sheet'!J359="",""," siderite in "))</f>
        <v/>
      </c>
      <c r="O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7" s="6" t="str">
        <f>CONCATENATE(O357, IF('Input Sheet'!K359="",""," siderite in "))</f>
        <v/>
      </c>
    </row>
    <row r="358" spans="1:16" x14ac:dyDescent="0.25">
      <c r="A358" s="17" t="str">
        <f>IF('Input Sheet'!C360="","",CONCATENATE("Sample ", 'Input Sheet'!B360, "m: ", N358, H358, "% ", "Siltstone, ", P358, 'Input Sheet'!C360, "% ", J358, " Sandstone, ", L358, K358, " FLUOR in SST. ", "TG ", 'Input Sheet'!I360, "U"))</f>
        <v/>
      </c>
      <c r="B358" s="3" t="str">
        <f>IF('Input Sheet'!C360="","",CONCATENATE("Sample ", 'Input Sheet'!B360, "m: ", O358, I358, "% ", "Siltstone, ", Q358, 'Input Sheet'!C360, "% ", K358, " Sandstone "))</f>
        <v/>
      </c>
      <c r="C358" s="3" t="str">
        <f>IF('Input Sheet'!C360="","",CONCATENATE("Sample ", 'Input Sheet'!B360, "m: ", N358,, L358, K358, " FLUOR in SST. ", "TG ", 'Input Sheet'!I360, "U"))</f>
        <v/>
      </c>
      <c r="H358" s="6" t="str">
        <f>IF('Input Sheet'!C360="","",100-'Input Sheet'!C360)</f>
        <v/>
      </c>
      <c r="I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8" s="6" t="str">
        <f t="shared" si="5"/>
        <v/>
      </c>
      <c r="K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8" s="6" t="str">
        <f>IF('Input Sheet'!F360=0, "NO",CONCATENATE('Input Sheet'!F360, IF('Input Sheet'!F360&gt;0,"% ","")))</f>
        <v>NO</v>
      </c>
      <c r="M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8" s="6" t="str">
        <f>CONCATENATE(M358, IF('Input Sheet'!J360="",""," siderite in "))</f>
        <v/>
      </c>
      <c r="O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8" s="6" t="str">
        <f>CONCATENATE(O358, IF('Input Sheet'!K360="",""," siderite in "))</f>
        <v/>
      </c>
    </row>
    <row r="359" spans="1:16" x14ac:dyDescent="0.25">
      <c r="A359" s="17" t="str">
        <f>IF('Input Sheet'!C361="","",CONCATENATE("Sample ", 'Input Sheet'!B361, "m: ", N359, H359, "% ", "Siltstone, ", P359, 'Input Sheet'!C361, "% ", J359, " Sandstone, ", L359, K359, " FLUOR in SST. ", "TG ", 'Input Sheet'!I361, "U"))</f>
        <v/>
      </c>
      <c r="B359" s="3" t="str">
        <f>IF('Input Sheet'!C361="","",CONCATENATE("Sample ", 'Input Sheet'!B361, "m: ", O359, I359, "% ", "Siltstone, ", Q359, 'Input Sheet'!C361, "% ", K359, " Sandstone "))</f>
        <v/>
      </c>
      <c r="C359" s="3" t="str">
        <f>IF('Input Sheet'!C361="","",CONCATENATE("Sample ", 'Input Sheet'!B361, "m: ", N359,, L359, K359, " FLUOR in SST. ", "TG ", 'Input Sheet'!I361, "U"))</f>
        <v/>
      </c>
      <c r="H359" s="6" t="str">
        <f>IF('Input Sheet'!C361="","",100-'Input Sheet'!C361)</f>
        <v/>
      </c>
      <c r="I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59" s="6" t="str">
        <f t="shared" si="5"/>
        <v/>
      </c>
      <c r="K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59" s="6" t="str">
        <f>IF('Input Sheet'!F361=0, "NO",CONCATENATE('Input Sheet'!F361, IF('Input Sheet'!F361&gt;0,"% ","")))</f>
        <v>NO</v>
      </c>
      <c r="M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59" s="6" t="str">
        <f>CONCATENATE(M359, IF('Input Sheet'!J361="",""," siderite in "))</f>
        <v/>
      </c>
      <c r="O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59" s="6" t="str">
        <f>CONCATENATE(O359, IF('Input Sheet'!K361="",""," siderite in "))</f>
        <v/>
      </c>
    </row>
    <row r="360" spans="1:16" x14ac:dyDescent="0.25">
      <c r="A360" s="17" t="str">
        <f>IF('Input Sheet'!C362="","",CONCATENATE("Sample ", 'Input Sheet'!B362, "m: ", N360, H360, "% ", "Siltstone, ", P360, 'Input Sheet'!C362, "% ", J360, " Sandstone, ", L360, K360, " FLUOR in SST. ", "TG ", 'Input Sheet'!I362, "U"))</f>
        <v/>
      </c>
      <c r="B360" s="3" t="str">
        <f>IF('Input Sheet'!C362="","",CONCATENATE("Sample ", 'Input Sheet'!B362, "m: ", O360, I360, "% ", "Siltstone, ", Q360, 'Input Sheet'!C362, "% ", K360, " Sandstone "))</f>
        <v/>
      </c>
      <c r="C360" s="3" t="str">
        <f>IF('Input Sheet'!C362="","",CONCATENATE("Sample ", 'Input Sheet'!B362, "m: ", N360,, L360, K360, " FLUOR in SST. ", "TG ", 'Input Sheet'!I362, "U"))</f>
        <v/>
      </c>
      <c r="H360" s="6" t="str">
        <f>IF('Input Sheet'!C362="","",100-'Input Sheet'!C362)</f>
        <v/>
      </c>
      <c r="I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0" s="6" t="str">
        <f t="shared" si="5"/>
        <v/>
      </c>
      <c r="K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0" s="6" t="str">
        <f>IF('Input Sheet'!F362=0, "NO",CONCATENATE('Input Sheet'!F362, IF('Input Sheet'!F362&gt;0,"% ","")))</f>
        <v>NO</v>
      </c>
      <c r="M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0" s="6" t="str">
        <f>CONCATENATE(M360, IF('Input Sheet'!J362="",""," siderite in "))</f>
        <v/>
      </c>
      <c r="O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0" s="6" t="str">
        <f>CONCATENATE(O360, IF('Input Sheet'!K362="",""," siderite in "))</f>
        <v/>
      </c>
    </row>
    <row r="361" spans="1:16" x14ac:dyDescent="0.25">
      <c r="A361" s="17" t="str">
        <f>IF('Input Sheet'!C363="","",CONCATENATE("Sample ", 'Input Sheet'!B363, "m: ", N361, H361, "% ", "Siltstone, ", P361, 'Input Sheet'!C363, "% ", J361, " Sandstone, ", L361, K361, " FLUOR in SST. ", "TG ", 'Input Sheet'!I363, "U"))</f>
        <v/>
      </c>
      <c r="B361" s="3" t="str">
        <f>IF('Input Sheet'!C363="","",CONCATENATE("Sample ", 'Input Sheet'!B363, "m: ", O361, I361, "% ", "Siltstone, ", Q361, 'Input Sheet'!C363, "% ", K361, " Sandstone "))</f>
        <v/>
      </c>
      <c r="C361" s="3" t="str">
        <f>IF('Input Sheet'!C363="","",CONCATENATE("Sample ", 'Input Sheet'!B363, "m: ", N361,, L361, K361, " FLUOR in SST. ", "TG ", 'Input Sheet'!I363, "U"))</f>
        <v/>
      </c>
      <c r="H361" s="6" t="str">
        <f>IF('Input Sheet'!C363="","",100-'Input Sheet'!C363)</f>
        <v/>
      </c>
      <c r="I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1" s="6" t="str">
        <f t="shared" si="5"/>
        <v/>
      </c>
      <c r="K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1" s="6" t="str">
        <f>IF('Input Sheet'!F363=0, "NO",CONCATENATE('Input Sheet'!F363, IF('Input Sheet'!F363&gt;0,"% ","")))</f>
        <v>NO</v>
      </c>
      <c r="M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1" s="6" t="str">
        <f>CONCATENATE(M361, IF('Input Sheet'!J363="",""," siderite in "))</f>
        <v/>
      </c>
      <c r="O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1" s="6" t="str">
        <f>CONCATENATE(O361, IF('Input Sheet'!K363="",""," siderite in "))</f>
        <v/>
      </c>
    </row>
    <row r="362" spans="1:16" x14ac:dyDescent="0.25">
      <c r="A362" s="17" t="str">
        <f>IF('Input Sheet'!C364="","",CONCATENATE("Sample ", 'Input Sheet'!B364, "m: ", N362, H362, "% ", "Siltstone, ", P362, 'Input Sheet'!C364, "% ", J362, " Sandstone, ", L362, K362, " FLUOR in SST. ", "TG ", 'Input Sheet'!I364, "U"))</f>
        <v/>
      </c>
      <c r="B362" s="3" t="str">
        <f>IF('Input Sheet'!C364="","",CONCATENATE("Sample ", 'Input Sheet'!B364, "m: ", O362, I362, "% ", "Siltstone, ", Q362, 'Input Sheet'!C364, "% ", K362, " Sandstone "))</f>
        <v/>
      </c>
      <c r="C362" s="3" t="str">
        <f>IF('Input Sheet'!C364="","",CONCATENATE("Sample ", 'Input Sheet'!B364, "m: ", N362,, L362, K362, " FLUOR in SST. ", "TG ", 'Input Sheet'!I364, "U"))</f>
        <v/>
      </c>
      <c r="H362" s="6" t="str">
        <f>IF('Input Sheet'!C364="","",100-'Input Sheet'!C364)</f>
        <v/>
      </c>
      <c r="I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2" s="6" t="str">
        <f t="shared" si="5"/>
        <v/>
      </c>
      <c r="K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2" s="6" t="str">
        <f>IF('Input Sheet'!F364=0, "NO",CONCATENATE('Input Sheet'!F364, IF('Input Sheet'!F364&gt;0,"% ","")))</f>
        <v>NO</v>
      </c>
      <c r="M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2" s="6" t="str">
        <f>CONCATENATE(M362, IF('Input Sheet'!J364="",""," siderite in "))</f>
        <v/>
      </c>
      <c r="O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2" s="6" t="str">
        <f>CONCATENATE(O362, IF('Input Sheet'!K364="",""," siderite in "))</f>
        <v/>
      </c>
    </row>
    <row r="363" spans="1:16" x14ac:dyDescent="0.25">
      <c r="A363" s="17" t="str">
        <f>IF('Input Sheet'!C365="","",CONCATENATE("Sample ", 'Input Sheet'!B365, "m: ", N363, H363, "% ", "Siltstone, ", P363, 'Input Sheet'!C365, "% ", J363, " Sandstone, ", L363, K363, " FLUOR in SST. ", "TG ", 'Input Sheet'!I365, "U"))</f>
        <v/>
      </c>
      <c r="B363" s="3" t="str">
        <f>IF('Input Sheet'!C365="","",CONCATENATE("Sample ", 'Input Sheet'!B365, "m: ", O363, I363, "% ", "Siltstone, ", Q363, 'Input Sheet'!C365, "% ", K363, " Sandstone "))</f>
        <v/>
      </c>
      <c r="C363" s="3" t="str">
        <f>IF('Input Sheet'!C365="","",CONCATENATE("Sample ", 'Input Sheet'!B365, "m: ", N363,, L363, K363, " FLUOR in SST. ", "TG ", 'Input Sheet'!I365, "U"))</f>
        <v/>
      </c>
      <c r="H363" s="6" t="str">
        <f>IF('Input Sheet'!C365="","",100-'Input Sheet'!C365)</f>
        <v/>
      </c>
      <c r="I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3" s="6" t="str">
        <f t="shared" si="5"/>
        <v/>
      </c>
      <c r="K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3" s="6" t="str">
        <f>IF('Input Sheet'!F365=0, "NO",CONCATENATE('Input Sheet'!F365, IF('Input Sheet'!F365&gt;0,"% ","")))</f>
        <v>NO</v>
      </c>
      <c r="M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3" s="6" t="str">
        <f>CONCATENATE(M363, IF('Input Sheet'!J365="",""," siderite in "))</f>
        <v/>
      </c>
      <c r="O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3" s="6" t="str">
        <f>CONCATENATE(O363, IF('Input Sheet'!K365="",""," siderite in "))</f>
        <v/>
      </c>
    </row>
    <row r="364" spans="1:16" x14ac:dyDescent="0.25">
      <c r="A364" s="17" t="str">
        <f>IF('Input Sheet'!C366="","",CONCATENATE("Sample ", 'Input Sheet'!B366, "m: ", N364, H364, "% ", "Siltstone, ", P364, 'Input Sheet'!C366, "% ", J364, " Sandstone, ", L364, K364, " FLUOR in SST. ", "TG ", 'Input Sheet'!I366, "U"))</f>
        <v/>
      </c>
      <c r="B364" s="3" t="str">
        <f>IF('Input Sheet'!C366="","",CONCATENATE("Sample ", 'Input Sheet'!B366, "m: ", O364, I364, "% ", "Siltstone, ", Q364, 'Input Sheet'!C366, "% ", K364, " Sandstone "))</f>
        <v/>
      </c>
      <c r="C364" s="3" t="str">
        <f>IF('Input Sheet'!C366="","",CONCATENATE("Sample ", 'Input Sheet'!B366, "m: ", N364,, L364, K364, " FLUOR in SST. ", "TG ", 'Input Sheet'!I366, "U"))</f>
        <v/>
      </c>
      <c r="H364" s="6" t="str">
        <f>IF('Input Sheet'!C366="","",100-'Input Sheet'!C366)</f>
        <v/>
      </c>
      <c r="I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4" s="6" t="str">
        <f t="shared" si="5"/>
        <v/>
      </c>
      <c r="K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4" s="6" t="str">
        <f>IF('Input Sheet'!F366=0, "NO",CONCATENATE('Input Sheet'!F366, IF('Input Sheet'!F366&gt;0,"% ","")))</f>
        <v>NO</v>
      </c>
      <c r="M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4" s="6" t="str">
        <f>CONCATENATE(M364, IF('Input Sheet'!J366="",""," siderite in "))</f>
        <v/>
      </c>
      <c r="O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4" s="6" t="str">
        <f>CONCATENATE(O364, IF('Input Sheet'!K366="",""," siderite in "))</f>
        <v/>
      </c>
    </row>
    <row r="365" spans="1:16" x14ac:dyDescent="0.25">
      <c r="A365" s="17" t="str">
        <f>IF('Input Sheet'!C367="","",CONCATENATE("Sample ", 'Input Sheet'!B367, "m: ", N365, H365, "% ", "Siltstone, ", P365, 'Input Sheet'!C367, "% ", J365, " Sandstone, ", L365, K365, " FLUOR in SST. ", "TG ", 'Input Sheet'!I367, "U"))</f>
        <v/>
      </c>
      <c r="B365" s="3" t="str">
        <f>IF('Input Sheet'!C367="","",CONCATENATE("Sample ", 'Input Sheet'!B367, "m: ", O365, I365, "% ", "Siltstone, ", Q365, 'Input Sheet'!C367, "% ", K365, " Sandstone "))</f>
        <v/>
      </c>
      <c r="C365" s="3" t="str">
        <f>IF('Input Sheet'!C367="","",CONCATENATE("Sample ", 'Input Sheet'!B367, "m: ", N365,, L365, K365, " FLUOR in SST. ", "TG ", 'Input Sheet'!I367, "U"))</f>
        <v/>
      </c>
      <c r="H365" s="6" t="str">
        <f>IF('Input Sheet'!C367="","",100-'Input Sheet'!C367)</f>
        <v/>
      </c>
      <c r="I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5" s="6" t="str">
        <f t="shared" si="5"/>
        <v/>
      </c>
      <c r="K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5" s="6" t="str">
        <f>IF('Input Sheet'!F367=0, "NO",CONCATENATE('Input Sheet'!F367, IF('Input Sheet'!F367&gt;0,"% ","")))</f>
        <v>NO</v>
      </c>
      <c r="M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5" s="6" t="str">
        <f>CONCATENATE(M365, IF('Input Sheet'!J367="",""," siderite in "))</f>
        <v/>
      </c>
      <c r="O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5" s="6" t="str">
        <f>CONCATENATE(O365, IF('Input Sheet'!K367="",""," siderite in "))</f>
        <v/>
      </c>
    </row>
    <row r="366" spans="1:16" x14ac:dyDescent="0.25">
      <c r="A366" s="17" t="str">
        <f>IF('Input Sheet'!C368="","",CONCATENATE("Sample ", 'Input Sheet'!B368, "m: ", N366, H366, "% ", "Siltstone, ", P366, 'Input Sheet'!C368, "% ", J366, " Sandstone, ", L366, K366, " FLUOR in SST. ", "TG ", 'Input Sheet'!I368, "U"))</f>
        <v/>
      </c>
      <c r="B366" s="3" t="str">
        <f>IF('Input Sheet'!C368="","",CONCATENATE("Sample ", 'Input Sheet'!B368, "m: ", O366, I366, "% ", "Siltstone, ", Q366, 'Input Sheet'!C368, "% ", K366, " Sandstone "))</f>
        <v/>
      </c>
      <c r="C366" s="3" t="str">
        <f>IF('Input Sheet'!C368="","",CONCATENATE("Sample ", 'Input Sheet'!B368, "m: ", N366,, L366, K366, " FLUOR in SST. ", "TG ", 'Input Sheet'!I368, "U"))</f>
        <v/>
      </c>
      <c r="H366" s="6" t="str">
        <f>IF('Input Sheet'!C368="","",100-'Input Sheet'!C368)</f>
        <v/>
      </c>
      <c r="I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6" s="6" t="str">
        <f t="shared" si="5"/>
        <v/>
      </c>
      <c r="K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6" s="6" t="str">
        <f>IF('Input Sheet'!F368=0, "NO",CONCATENATE('Input Sheet'!F368, IF('Input Sheet'!F368&gt;0,"% ","")))</f>
        <v>NO</v>
      </c>
      <c r="M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6" s="6" t="str">
        <f>CONCATENATE(M366, IF('Input Sheet'!J368="",""," siderite in "))</f>
        <v/>
      </c>
      <c r="O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6" s="6" t="str">
        <f>CONCATENATE(O366, IF('Input Sheet'!K368="",""," siderite in "))</f>
        <v/>
      </c>
    </row>
    <row r="367" spans="1:16" x14ac:dyDescent="0.25">
      <c r="A367" s="17" t="str">
        <f>IF('Input Sheet'!C369="","",CONCATENATE("Sample ", 'Input Sheet'!B369, "m: ", N367, H367, "% ", "Siltstone, ", P367, 'Input Sheet'!C369, "% ", J367, " Sandstone, ", L367, K367, " FLUOR in SST. ", "TG ", 'Input Sheet'!I369, "U"))</f>
        <v/>
      </c>
      <c r="B367" s="3" t="str">
        <f>IF('Input Sheet'!C369="","",CONCATENATE("Sample ", 'Input Sheet'!B369, "m: ", O367, I367, "% ", "Siltstone, ", Q367, 'Input Sheet'!C369, "% ", K367, " Sandstone "))</f>
        <v/>
      </c>
      <c r="C367" s="3" t="str">
        <f>IF('Input Sheet'!C369="","",CONCATENATE("Sample ", 'Input Sheet'!B369, "m: ", N367,, L367, K367, " FLUOR in SST. ", "TG ", 'Input Sheet'!I369, "U"))</f>
        <v/>
      </c>
      <c r="H367" s="6" t="str">
        <f>IF('Input Sheet'!C369="","",100-'Input Sheet'!C369)</f>
        <v/>
      </c>
      <c r="I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7" s="6" t="str">
        <f t="shared" si="5"/>
        <v/>
      </c>
      <c r="K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7" s="6" t="str">
        <f>IF('Input Sheet'!F369=0, "NO",CONCATENATE('Input Sheet'!F369, IF('Input Sheet'!F369&gt;0,"% ","")))</f>
        <v>NO</v>
      </c>
      <c r="M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7" s="6" t="str">
        <f>CONCATENATE(M367, IF('Input Sheet'!J369="",""," siderite in "))</f>
        <v/>
      </c>
      <c r="O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7" s="6" t="str">
        <f>CONCATENATE(O367, IF('Input Sheet'!K369="",""," siderite in "))</f>
        <v/>
      </c>
    </row>
    <row r="368" spans="1:16" x14ac:dyDescent="0.25">
      <c r="A368" s="17" t="str">
        <f>IF('Input Sheet'!C370="","",CONCATENATE("Sample ", 'Input Sheet'!B370, "m: ", N368, H368, "% ", "Siltstone, ", P368, 'Input Sheet'!C370, "% ", J368, " Sandstone, ", L368, K368, " FLUOR in SST. ", "TG ", 'Input Sheet'!I370, "U"))</f>
        <v/>
      </c>
      <c r="B368" s="3" t="str">
        <f>IF('Input Sheet'!C370="","",CONCATENATE("Sample ", 'Input Sheet'!B370, "m: ", O368, I368, "% ", "Siltstone, ", Q368, 'Input Sheet'!C370, "% ", K368, " Sandstone "))</f>
        <v/>
      </c>
      <c r="C368" s="3" t="str">
        <f>IF('Input Sheet'!C370="","",CONCATENATE("Sample ", 'Input Sheet'!B370, "m: ", N368,, L368, K368, " FLUOR in SST. ", "TG ", 'Input Sheet'!I370, "U"))</f>
        <v/>
      </c>
      <c r="H368" s="6" t="str">
        <f>IF('Input Sheet'!C370="","",100-'Input Sheet'!C370)</f>
        <v/>
      </c>
      <c r="I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8" s="6" t="str">
        <f t="shared" si="5"/>
        <v/>
      </c>
      <c r="K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8" s="6" t="str">
        <f>IF('Input Sheet'!F370=0, "NO",CONCATENATE('Input Sheet'!F370, IF('Input Sheet'!F370&gt;0,"% ","")))</f>
        <v>NO</v>
      </c>
      <c r="M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8" s="6" t="str">
        <f>CONCATENATE(M368, IF('Input Sheet'!J370="",""," siderite in "))</f>
        <v/>
      </c>
      <c r="O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8" s="6" t="str">
        <f>CONCATENATE(O368, IF('Input Sheet'!K370="",""," siderite in "))</f>
        <v/>
      </c>
    </row>
    <row r="369" spans="1:16" x14ac:dyDescent="0.25">
      <c r="A369" s="17" t="str">
        <f>IF('Input Sheet'!C371="","",CONCATENATE("Sample ", 'Input Sheet'!B371, "m: ", N369, H369, "% ", "Siltstone, ", P369, 'Input Sheet'!C371, "% ", J369, " Sandstone, ", L369, K369, " FLUOR in SST. ", "TG ", 'Input Sheet'!I371, "U"))</f>
        <v/>
      </c>
      <c r="B369" s="3" t="str">
        <f>IF('Input Sheet'!C371="","",CONCATENATE("Sample ", 'Input Sheet'!B371, "m: ", O369, I369, "% ", "Siltstone, ", Q369, 'Input Sheet'!C371, "% ", K369, " Sandstone "))</f>
        <v/>
      </c>
      <c r="C369" s="3" t="str">
        <f>IF('Input Sheet'!C371="","",CONCATENATE("Sample ", 'Input Sheet'!B371, "m: ", N369,, L369, K369, " FLUOR in SST. ", "TG ", 'Input Sheet'!I371, "U"))</f>
        <v/>
      </c>
      <c r="H369" s="6" t="str">
        <f>IF('Input Sheet'!C371="","",100-'Input Sheet'!C371)</f>
        <v/>
      </c>
      <c r="I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69" s="6" t="str">
        <f t="shared" si="5"/>
        <v/>
      </c>
      <c r="K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69" s="6" t="str">
        <f>IF('Input Sheet'!F371=0, "NO",CONCATENATE('Input Sheet'!F371, IF('Input Sheet'!F371&gt;0,"% ","")))</f>
        <v>NO</v>
      </c>
      <c r="M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69" s="6" t="str">
        <f>CONCATENATE(M369, IF('Input Sheet'!J371="",""," siderite in "))</f>
        <v/>
      </c>
      <c r="O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69" s="6" t="str">
        <f>CONCATENATE(O369, IF('Input Sheet'!K371="",""," siderite in "))</f>
        <v/>
      </c>
    </row>
    <row r="370" spans="1:16" x14ac:dyDescent="0.25">
      <c r="A370" s="17" t="str">
        <f>IF('Input Sheet'!C372="","",CONCATENATE("Sample ", 'Input Sheet'!B372, "m: ", N370, H370, "% ", "Siltstone, ", P370, 'Input Sheet'!C372, "% ", J370, " Sandstone, ", L370, K370, " FLUOR in SST. ", "TG ", 'Input Sheet'!I372, "U"))</f>
        <v/>
      </c>
      <c r="B370" s="3" t="str">
        <f>IF('Input Sheet'!C372="","",CONCATENATE("Sample ", 'Input Sheet'!B372, "m: ", O370, I370, "% ", "Siltstone, ", Q370, 'Input Sheet'!C372, "% ", K370, " Sandstone "))</f>
        <v/>
      </c>
      <c r="C370" s="3" t="str">
        <f>IF('Input Sheet'!C372="","",CONCATENATE("Sample ", 'Input Sheet'!B372, "m: ", N370,, L370, K370, " FLUOR in SST. ", "TG ", 'Input Sheet'!I372, "U"))</f>
        <v/>
      </c>
      <c r="H370" s="6" t="str">
        <f>IF('Input Sheet'!C372="","",100-'Input Sheet'!C372)</f>
        <v/>
      </c>
      <c r="I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0" s="6" t="str">
        <f t="shared" si="5"/>
        <v/>
      </c>
      <c r="K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0" s="6" t="str">
        <f>IF('Input Sheet'!F372=0, "NO",CONCATENATE('Input Sheet'!F372, IF('Input Sheet'!F372&gt;0,"% ","")))</f>
        <v>NO</v>
      </c>
      <c r="M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0" s="6" t="str">
        <f>CONCATENATE(M370, IF('Input Sheet'!J372="",""," siderite in "))</f>
        <v/>
      </c>
      <c r="O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0" s="6" t="str">
        <f>CONCATENATE(O370, IF('Input Sheet'!K372="",""," siderite in "))</f>
        <v/>
      </c>
    </row>
    <row r="371" spans="1:16" x14ac:dyDescent="0.25">
      <c r="A371" s="17" t="str">
        <f>IF('Input Sheet'!C373="","",CONCATENATE("Sample ", 'Input Sheet'!B373, "m: ", N371, H371, "% ", "Siltstone, ", P371, 'Input Sheet'!C373, "% ", J371, " Sandstone, ", L371, K371, " FLUOR in SST. ", "TG ", 'Input Sheet'!I373, "U"))</f>
        <v/>
      </c>
      <c r="B371" s="3" t="str">
        <f>IF('Input Sheet'!C373="","",CONCATENATE("Sample ", 'Input Sheet'!B373, "m: ", O371, I371, "% ", "Siltstone, ", Q371, 'Input Sheet'!C373, "% ", K371, " Sandstone "))</f>
        <v/>
      </c>
      <c r="C371" s="3" t="str">
        <f>IF('Input Sheet'!C373="","",CONCATENATE("Sample ", 'Input Sheet'!B373, "m: ", N371,, L371, K371, " FLUOR in SST. ", "TG ", 'Input Sheet'!I373, "U"))</f>
        <v/>
      </c>
      <c r="H371" s="6" t="str">
        <f>IF('Input Sheet'!C373="","",100-'Input Sheet'!C373)</f>
        <v/>
      </c>
      <c r="I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1" s="6" t="str">
        <f t="shared" si="5"/>
        <v/>
      </c>
      <c r="K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1" s="6" t="str">
        <f>IF('Input Sheet'!F373=0, "NO",CONCATENATE('Input Sheet'!F373, IF('Input Sheet'!F373&gt;0,"% ","")))</f>
        <v>NO</v>
      </c>
      <c r="M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1" s="6" t="str">
        <f>CONCATENATE(M371, IF('Input Sheet'!J373="",""," siderite in "))</f>
        <v/>
      </c>
      <c r="O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1" s="6" t="str">
        <f>CONCATENATE(O371, IF('Input Sheet'!K373="",""," siderite in "))</f>
        <v/>
      </c>
    </row>
    <row r="372" spans="1:16" x14ac:dyDescent="0.25">
      <c r="A372" s="17" t="str">
        <f>IF('Input Sheet'!C374="","",CONCATENATE("Sample ", 'Input Sheet'!B374, "m: ", N372, H372, "% ", "Siltstone, ", P372, 'Input Sheet'!C374, "% ", J372, " Sandstone, ", L372, K372, " FLUOR in SST. ", "TG ", 'Input Sheet'!I374, "U"))</f>
        <v/>
      </c>
      <c r="B372" s="3" t="str">
        <f>IF('Input Sheet'!C374="","",CONCATENATE("Sample ", 'Input Sheet'!B374, "m: ", O372, I372, "% ", "Siltstone, ", Q372, 'Input Sheet'!C374, "% ", K372, " Sandstone "))</f>
        <v/>
      </c>
      <c r="C372" s="3" t="str">
        <f>IF('Input Sheet'!C374="","",CONCATENATE("Sample ", 'Input Sheet'!B374, "m: ", N372,, L372, K372, " FLUOR in SST. ", "TG ", 'Input Sheet'!I374, "U"))</f>
        <v/>
      </c>
      <c r="H372" s="6" t="str">
        <f>IF('Input Sheet'!C374="","",100-'Input Sheet'!C374)</f>
        <v/>
      </c>
      <c r="I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2" s="6" t="str">
        <f t="shared" si="5"/>
        <v/>
      </c>
      <c r="K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2" s="6" t="str">
        <f>IF('Input Sheet'!F374=0, "NO",CONCATENATE('Input Sheet'!F374, IF('Input Sheet'!F374&gt;0,"% ","")))</f>
        <v>NO</v>
      </c>
      <c r="M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2" s="6" t="str">
        <f>CONCATENATE(M372, IF('Input Sheet'!J374="",""," siderite in "))</f>
        <v/>
      </c>
      <c r="O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2" s="6" t="str">
        <f>CONCATENATE(O372, IF('Input Sheet'!K374="",""," siderite in "))</f>
        <v/>
      </c>
    </row>
    <row r="373" spans="1:16" x14ac:dyDescent="0.25">
      <c r="A373" s="17" t="str">
        <f>IF('Input Sheet'!C375="","",CONCATENATE("Sample ", 'Input Sheet'!B375, "m: ", N373, H373, "% ", "Siltstone, ", P373, 'Input Sheet'!C375, "% ", J373, " Sandstone, ", L373, K373, " FLUOR in SST. ", "TG ", 'Input Sheet'!I375, "U"))</f>
        <v/>
      </c>
      <c r="B373" s="3" t="str">
        <f>IF('Input Sheet'!C375="","",CONCATENATE("Sample ", 'Input Sheet'!B375, "m: ", O373, I373, "% ", "Siltstone, ", Q373, 'Input Sheet'!C375, "% ", K373, " Sandstone "))</f>
        <v/>
      </c>
      <c r="C373" s="3" t="str">
        <f>IF('Input Sheet'!C375="","",CONCATENATE("Sample ", 'Input Sheet'!B375, "m: ", N373,, L373, K373, " FLUOR in SST. ", "TG ", 'Input Sheet'!I375, "U"))</f>
        <v/>
      </c>
      <c r="H373" s="6" t="str">
        <f>IF('Input Sheet'!C375="","",100-'Input Sheet'!C375)</f>
        <v/>
      </c>
      <c r="I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3" s="6" t="str">
        <f t="shared" si="5"/>
        <v/>
      </c>
      <c r="K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3" s="6" t="str">
        <f>IF('Input Sheet'!F375=0, "NO",CONCATENATE('Input Sheet'!F375, IF('Input Sheet'!F375&gt;0,"% ","")))</f>
        <v>NO</v>
      </c>
      <c r="M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3" s="6" t="str">
        <f>CONCATENATE(M373, IF('Input Sheet'!J375="",""," siderite in "))</f>
        <v/>
      </c>
      <c r="O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3" s="6" t="str">
        <f>CONCATENATE(O373, IF('Input Sheet'!K375="",""," siderite in "))</f>
        <v/>
      </c>
    </row>
    <row r="374" spans="1:16" x14ac:dyDescent="0.25">
      <c r="A374" s="17" t="str">
        <f>IF('Input Sheet'!C376="","",CONCATENATE("Sample ", 'Input Sheet'!B376, "m: ", N374, H374, "% ", "Siltstone, ", P374, 'Input Sheet'!C376, "% ", J374, " Sandstone, ", L374, K374, " FLUOR in SST. ", "TG ", 'Input Sheet'!I376, "U"))</f>
        <v/>
      </c>
      <c r="B374" s="3" t="str">
        <f>IF('Input Sheet'!C376="","",CONCATENATE("Sample ", 'Input Sheet'!B376, "m: ", O374, I374, "% ", "Siltstone, ", Q374, 'Input Sheet'!C376, "% ", K374, " Sandstone "))</f>
        <v/>
      </c>
      <c r="C374" s="3" t="str">
        <f>IF('Input Sheet'!C376="","",CONCATENATE("Sample ", 'Input Sheet'!B376, "m: ", N374,, L374, K374, " FLUOR in SST. ", "TG ", 'Input Sheet'!I376, "U"))</f>
        <v/>
      </c>
      <c r="H374" s="6" t="str">
        <f>IF('Input Sheet'!C376="","",100-'Input Sheet'!C376)</f>
        <v/>
      </c>
      <c r="I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4" s="6" t="str">
        <f t="shared" si="5"/>
        <v/>
      </c>
      <c r="K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4" s="6" t="str">
        <f>IF('Input Sheet'!F376=0, "NO",CONCATENATE('Input Sheet'!F376, IF('Input Sheet'!F376&gt;0,"% ","")))</f>
        <v>NO</v>
      </c>
      <c r="M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4" s="6" t="str">
        <f>CONCATENATE(M374, IF('Input Sheet'!J376="",""," siderite in "))</f>
        <v/>
      </c>
      <c r="O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4" s="6" t="str">
        <f>CONCATENATE(O374, IF('Input Sheet'!K376="",""," siderite in "))</f>
        <v/>
      </c>
    </row>
    <row r="375" spans="1:16" x14ac:dyDescent="0.25">
      <c r="A375" s="17" t="str">
        <f>IF('Input Sheet'!C377="","",CONCATENATE("Sample ", 'Input Sheet'!B377, "m: ", N375, H375, "% ", "Siltstone, ", P375, 'Input Sheet'!C377, "% ", J375, " Sandstone, ", L375, K375, " FLUOR in SST. ", "TG ", 'Input Sheet'!I377, "U"))</f>
        <v/>
      </c>
      <c r="B375" s="3" t="str">
        <f>IF('Input Sheet'!C377="","",CONCATENATE("Sample ", 'Input Sheet'!B377, "m: ", O375, I375, "% ", "Siltstone, ", Q375, 'Input Sheet'!C377, "% ", K375, " Sandstone "))</f>
        <v/>
      </c>
      <c r="C375" s="3" t="str">
        <f>IF('Input Sheet'!C377="","",CONCATENATE("Sample ", 'Input Sheet'!B377, "m: ", N375,, L375, K375, " FLUOR in SST. ", "TG ", 'Input Sheet'!I377, "U"))</f>
        <v/>
      </c>
      <c r="H375" s="6" t="str">
        <f>IF('Input Sheet'!C377="","",100-'Input Sheet'!C377)</f>
        <v/>
      </c>
      <c r="I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5" s="6" t="str">
        <f t="shared" si="5"/>
        <v/>
      </c>
      <c r="K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5" s="6" t="str">
        <f>IF('Input Sheet'!F377=0, "NO",CONCATENATE('Input Sheet'!F377, IF('Input Sheet'!F377&gt;0,"% ","")))</f>
        <v>NO</v>
      </c>
      <c r="M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5" s="6" t="str">
        <f>CONCATENATE(M375, IF('Input Sheet'!J377="",""," siderite in "))</f>
        <v/>
      </c>
      <c r="O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5" s="6" t="str">
        <f>CONCATENATE(O375, IF('Input Sheet'!K377="",""," siderite in "))</f>
        <v/>
      </c>
    </row>
    <row r="376" spans="1:16" x14ac:dyDescent="0.25">
      <c r="A376" s="17" t="str">
        <f>IF('Input Sheet'!C378="","",CONCATENATE("Sample ", 'Input Sheet'!B378, "m: ", N376, H376, "% ", "Siltstone, ", P376, 'Input Sheet'!C378, "% ", J376, " Sandstone, ", L376, K376, " FLUOR in SST. ", "TG ", 'Input Sheet'!I378, "U"))</f>
        <v/>
      </c>
      <c r="B376" s="3" t="str">
        <f>IF('Input Sheet'!C378="","",CONCATENATE("Sample ", 'Input Sheet'!B378, "m: ", O376, I376, "% ", "Siltstone, ", Q376, 'Input Sheet'!C378, "% ", K376, " Sandstone "))</f>
        <v/>
      </c>
      <c r="C376" s="3" t="str">
        <f>IF('Input Sheet'!C378="","",CONCATENATE("Sample ", 'Input Sheet'!B378, "m: ", N376,, L376, K376, " FLUOR in SST. ", "TG ", 'Input Sheet'!I378, "U"))</f>
        <v/>
      </c>
      <c r="H376" s="6" t="str">
        <f>IF('Input Sheet'!C378="","",100-'Input Sheet'!C378)</f>
        <v/>
      </c>
      <c r="I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6" s="6" t="str">
        <f t="shared" si="5"/>
        <v/>
      </c>
      <c r="K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6" s="6" t="str">
        <f>IF('Input Sheet'!F378=0, "NO",CONCATENATE('Input Sheet'!F378, IF('Input Sheet'!F378&gt;0,"% ","")))</f>
        <v>NO</v>
      </c>
      <c r="M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6" s="6" t="str">
        <f>CONCATENATE(M376, IF('Input Sheet'!J378="",""," siderite in "))</f>
        <v/>
      </c>
      <c r="O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6" s="6" t="str">
        <f>CONCATENATE(O376, IF('Input Sheet'!K378="",""," siderite in "))</f>
        <v/>
      </c>
    </row>
    <row r="377" spans="1:16" x14ac:dyDescent="0.25">
      <c r="A377" s="17" t="str">
        <f>IF('Input Sheet'!C379="","",CONCATENATE("Sample ", 'Input Sheet'!B379, "m: ", N377, H377, "% ", "Siltstone, ", P377, 'Input Sheet'!C379, "% ", J377, " Sandstone, ", L377, K377, " FLUOR in SST. ", "TG ", 'Input Sheet'!I379, "U"))</f>
        <v/>
      </c>
      <c r="B377" s="3" t="str">
        <f>IF('Input Sheet'!C379="","",CONCATENATE("Sample ", 'Input Sheet'!B379, "m: ", O377, I377, "% ", "Siltstone, ", Q377, 'Input Sheet'!C379, "% ", K377, " Sandstone "))</f>
        <v/>
      </c>
      <c r="C377" s="3" t="str">
        <f>IF('Input Sheet'!C379="","",CONCATENATE("Sample ", 'Input Sheet'!B379, "m: ", N377,, L377, K377, " FLUOR in SST. ", "TG ", 'Input Sheet'!I379, "U"))</f>
        <v/>
      </c>
      <c r="H377" s="6" t="str">
        <f>IF('Input Sheet'!C379="","",100-'Input Sheet'!C379)</f>
        <v/>
      </c>
      <c r="I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7" s="6" t="str">
        <f t="shared" si="5"/>
        <v/>
      </c>
      <c r="K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7" s="6" t="str">
        <f>IF('Input Sheet'!F379=0, "NO",CONCATENATE('Input Sheet'!F379, IF('Input Sheet'!F379&gt;0,"% ","")))</f>
        <v>NO</v>
      </c>
      <c r="M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7" s="6" t="str">
        <f>CONCATENATE(M377, IF('Input Sheet'!J379="",""," siderite in "))</f>
        <v/>
      </c>
      <c r="O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7" s="6" t="str">
        <f>CONCATENATE(O377, IF('Input Sheet'!K379="",""," siderite in "))</f>
        <v/>
      </c>
    </row>
    <row r="378" spans="1:16" x14ac:dyDescent="0.25">
      <c r="A378" s="17" t="str">
        <f>IF('Input Sheet'!C380="","",CONCATENATE("Sample ", 'Input Sheet'!B380, "m: ", N378, H378, "% ", "Siltstone, ", P378, 'Input Sheet'!C380, "% ", J378, " Sandstone, ", L378, K378, " FLUOR in SST. ", "TG ", 'Input Sheet'!I380, "U"))</f>
        <v/>
      </c>
      <c r="B378" s="3" t="str">
        <f>IF('Input Sheet'!C380="","",CONCATENATE("Sample ", 'Input Sheet'!B380, "m: ", O378, I378, "% ", "Siltstone, ", Q378, 'Input Sheet'!C380, "% ", K378, " Sandstone "))</f>
        <v/>
      </c>
      <c r="C378" s="3" t="str">
        <f>IF('Input Sheet'!C380="","",CONCATENATE("Sample ", 'Input Sheet'!B380, "m: ", N378,, L378, K378, " FLUOR in SST. ", "TG ", 'Input Sheet'!I380, "U"))</f>
        <v/>
      </c>
      <c r="H378" s="6" t="str">
        <f>IF('Input Sheet'!C380="","",100-'Input Sheet'!C380)</f>
        <v/>
      </c>
      <c r="I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8" s="6" t="str">
        <f t="shared" si="5"/>
        <v/>
      </c>
      <c r="K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8" s="6" t="str">
        <f>IF('Input Sheet'!F380=0, "NO",CONCATENATE('Input Sheet'!F380, IF('Input Sheet'!F380&gt;0,"% ","")))</f>
        <v>NO</v>
      </c>
      <c r="M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8" s="6" t="str">
        <f>CONCATENATE(M378, IF('Input Sheet'!J380="",""," siderite in "))</f>
        <v/>
      </c>
      <c r="O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8" s="6" t="str">
        <f>CONCATENATE(O378, IF('Input Sheet'!K380="",""," siderite in "))</f>
        <v/>
      </c>
    </row>
    <row r="379" spans="1:16" x14ac:dyDescent="0.25">
      <c r="A379" s="17" t="str">
        <f>IF('Input Sheet'!C381="","",CONCATENATE("Sample ", 'Input Sheet'!B381, "m: ", N379, H379, "% ", "Siltstone, ", P379, 'Input Sheet'!C381, "% ", J379, " Sandstone, ", L379, K379, " FLUOR in SST. ", "TG ", 'Input Sheet'!I381, "U"))</f>
        <v/>
      </c>
      <c r="B379" s="3" t="str">
        <f>IF('Input Sheet'!C381="","",CONCATENATE("Sample ", 'Input Sheet'!B381, "m: ", O379, I379, "% ", "Siltstone, ", Q379, 'Input Sheet'!C381, "% ", K379, " Sandstone "))</f>
        <v/>
      </c>
      <c r="C379" s="3" t="str">
        <f>IF('Input Sheet'!C381="","",CONCATENATE("Sample ", 'Input Sheet'!B381, "m: ", N379,, L379, K379, " FLUOR in SST. ", "TG ", 'Input Sheet'!I381, "U"))</f>
        <v/>
      </c>
      <c r="H379" s="6" t="str">
        <f>IF('Input Sheet'!C381="","",100-'Input Sheet'!C381)</f>
        <v/>
      </c>
      <c r="I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79" s="6" t="str">
        <f t="shared" si="5"/>
        <v/>
      </c>
      <c r="K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79" s="6" t="str">
        <f>IF('Input Sheet'!F381=0, "NO",CONCATENATE('Input Sheet'!F381, IF('Input Sheet'!F381&gt;0,"% ","")))</f>
        <v>NO</v>
      </c>
      <c r="M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79" s="6" t="str">
        <f>CONCATENATE(M379, IF('Input Sheet'!J381="",""," siderite in "))</f>
        <v/>
      </c>
      <c r="O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79" s="6" t="str">
        <f>CONCATENATE(O379, IF('Input Sheet'!K381="",""," siderite in "))</f>
        <v/>
      </c>
    </row>
    <row r="380" spans="1:16" x14ac:dyDescent="0.25">
      <c r="A380" s="17" t="str">
        <f>IF('Input Sheet'!C382="","",CONCATENATE("Sample ", 'Input Sheet'!B382, "m: ", N380, H380, "% ", "Siltstone, ", P380, 'Input Sheet'!C382, "% ", J380, " Sandstone, ", L380, K380, " FLUOR in SST. ", "TG ", 'Input Sheet'!I382, "U"))</f>
        <v/>
      </c>
      <c r="B380" s="3" t="str">
        <f>IF('Input Sheet'!C382="","",CONCATENATE("Sample ", 'Input Sheet'!B382, "m: ", O380, I380, "% ", "Siltstone, ", Q380, 'Input Sheet'!C382, "% ", K380, " Sandstone "))</f>
        <v/>
      </c>
      <c r="C380" s="3" t="str">
        <f>IF('Input Sheet'!C382="","",CONCATENATE("Sample ", 'Input Sheet'!B382, "m: ", N380,, L380, K380, " FLUOR in SST. ", "TG ", 'Input Sheet'!I382, "U"))</f>
        <v/>
      </c>
      <c r="H380" s="6" t="str">
        <f>IF('Input Sheet'!C382="","",100-'Input Sheet'!C382)</f>
        <v/>
      </c>
      <c r="I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0" s="6" t="str">
        <f t="shared" si="5"/>
        <v/>
      </c>
      <c r="K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0" s="6" t="str">
        <f>IF('Input Sheet'!F382=0, "NO",CONCATENATE('Input Sheet'!F382, IF('Input Sheet'!F382&gt;0,"% ","")))</f>
        <v>NO</v>
      </c>
      <c r="M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0" s="6" t="str">
        <f>CONCATENATE(M380, IF('Input Sheet'!J382="",""," siderite in "))</f>
        <v/>
      </c>
      <c r="O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0" s="6" t="str">
        <f>CONCATENATE(O380, IF('Input Sheet'!K382="",""," siderite in "))</f>
        <v/>
      </c>
    </row>
    <row r="381" spans="1:16" x14ac:dyDescent="0.25">
      <c r="A381" s="17" t="str">
        <f>IF('Input Sheet'!C383="","",CONCATENATE("Sample ", 'Input Sheet'!B383, "m: ", N381, H381, "% ", "Siltstone, ", P381, 'Input Sheet'!C383, "% ", J381, " Sandstone, ", L381, K381, " FLUOR in SST. ", "TG ", 'Input Sheet'!I383, "U"))</f>
        <v/>
      </c>
      <c r="B381" s="3" t="str">
        <f>IF('Input Sheet'!C383="","",CONCATENATE("Sample ", 'Input Sheet'!B383, "m: ", O381, I381, "% ", "Siltstone, ", Q381, 'Input Sheet'!C383, "% ", K381, " Sandstone "))</f>
        <v/>
      </c>
      <c r="C381" s="3" t="str">
        <f>IF('Input Sheet'!C383="","",CONCATENATE("Sample ", 'Input Sheet'!B383, "m: ", N381,, L381, K381, " FLUOR in SST. ", "TG ", 'Input Sheet'!I383, "U"))</f>
        <v/>
      </c>
      <c r="H381" s="6" t="str">
        <f>IF('Input Sheet'!C383="","",100-'Input Sheet'!C383)</f>
        <v/>
      </c>
      <c r="I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1" s="6" t="str">
        <f t="shared" si="5"/>
        <v/>
      </c>
      <c r="K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1" s="6" t="str">
        <f>IF('Input Sheet'!F383=0, "NO",CONCATENATE('Input Sheet'!F383, IF('Input Sheet'!F383&gt;0,"% ","")))</f>
        <v>NO</v>
      </c>
      <c r="M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1" s="6" t="str">
        <f>CONCATENATE(M381, IF('Input Sheet'!J383="",""," siderite in "))</f>
        <v/>
      </c>
      <c r="O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1" s="6" t="str">
        <f>CONCATENATE(O381, IF('Input Sheet'!K383="",""," siderite in "))</f>
        <v/>
      </c>
    </row>
    <row r="382" spans="1:16" x14ac:dyDescent="0.25">
      <c r="A382" s="17" t="str">
        <f>IF('Input Sheet'!C384="","",CONCATENATE("Sample ", 'Input Sheet'!B384, "m: ", N382, H382, "% ", "Siltstone, ", P382, 'Input Sheet'!C384, "% ", J382, " Sandstone, ", L382, K382, " FLUOR in SST. ", "TG ", 'Input Sheet'!I384, "U"))</f>
        <v/>
      </c>
      <c r="B382" s="3" t="str">
        <f>IF('Input Sheet'!C384="","",CONCATENATE("Sample ", 'Input Sheet'!B384, "m: ", O382, I382, "% ", "Siltstone, ", Q382, 'Input Sheet'!C384, "% ", K382, " Sandstone "))</f>
        <v/>
      </c>
      <c r="C382" s="3" t="str">
        <f>IF('Input Sheet'!C384="","",CONCATENATE("Sample ", 'Input Sheet'!B384, "m: ", N382,, L382, K382, " FLUOR in SST. ", "TG ", 'Input Sheet'!I384, "U"))</f>
        <v/>
      </c>
      <c r="H382" s="6" t="str">
        <f>IF('Input Sheet'!C384="","",100-'Input Sheet'!C384)</f>
        <v/>
      </c>
      <c r="I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2" s="6" t="str">
        <f t="shared" si="5"/>
        <v/>
      </c>
      <c r="K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2" s="6" t="str">
        <f>IF('Input Sheet'!F384=0, "NO",CONCATENATE('Input Sheet'!F384, IF('Input Sheet'!F384&gt;0,"% ","")))</f>
        <v>NO</v>
      </c>
      <c r="M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2" s="6" t="str">
        <f>CONCATENATE(M382, IF('Input Sheet'!J384="",""," siderite in "))</f>
        <v/>
      </c>
      <c r="O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2" s="6" t="str">
        <f>CONCATENATE(O382, IF('Input Sheet'!K384="",""," siderite in "))</f>
        <v/>
      </c>
    </row>
    <row r="383" spans="1:16" x14ac:dyDescent="0.25">
      <c r="A383" s="17" t="str">
        <f>IF('Input Sheet'!C385="","",CONCATENATE("Sample ", 'Input Sheet'!B385, "m: ", N383, H383, "% ", "Siltstone, ", P383, 'Input Sheet'!C385, "% ", J383, " Sandstone, ", L383, K383, " FLUOR in SST. ", "TG ", 'Input Sheet'!I385, "U"))</f>
        <v/>
      </c>
      <c r="B383" s="3" t="str">
        <f>IF('Input Sheet'!C385="","",CONCATENATE("Sample ", 'Input Sheet'!B385, "m: ", O383, I383, "% ", "Siltstone, ", Q383, 'Input Sheet'!C385, "% ", K383, " Sandstone "))</f>
        <v/>
      </c>
      <c r="C383" s="3" t="str">
        <f>IF('Input Sheet'!C385="","",CONCATENATE("Sample ", 'Input Sheet'!B385, "m: ", N383,, L383, K383, " FLUOR in SST. ", "TG ", 'Input Sheet'!I385, "U"))</f>
        <v/>
      </c>
      <c r="H383" s="6" t="str">
        <f>IF('Input Sheet'!C385="","",100-'Input Sheet'!C385)</f>
        <v/>
      </c>
      <c r="I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3" s="6" t="str">
        <f t="shared" si="5"/>
        <v/>
      </c>
      <c r="K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3" s="6" t="str">
        <f>IF('Input Sheet'!F385=0, "NO",CONCATENATE('Input Sheet'!F385, IF('Input Sheet'!F385&gt;0,"% ","")))</f>
        <v>NO</v>
      </c>
      <c r="M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3" s="6" t="str">
        <f>CONCATENATE(M383, IF('Input Sheet'!J385="",""," siderite in "))</f>
        <v/>
      </c>
      <c r="O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3" s="6" t="str">
        <f>CONCATENATE(O383, IF('Input Sheet'!K385="",""," siderite in "))</f>
        <v/>
      </c>
    </row>
    <row r="384" spans="1:16" x14ac:dyDescent="0.25">
      <c r="A384" s="17" t="str">
        <f>IF('Input Sheet'!C386="","",CONCATENATE("Sample ", 'Input Sheet'!B386, "m: ", N384, H384, "% ", "Siltstone, ", P384, 'Input Sheet'!C386, "% ", J384, " Sandstone, ", L384, K384, " FLUOR in SST. ", "TG ", 'Input Sheet'!I386, "U"))</f>
        <v/>
      </c>
      <c r="B384" s="3" t="str">
        <f>IF('Input Sheet'!C386="","",CONCATENATE("Sample ", 'Input Sheet'!B386, "m: ", O384, I384, "% ", "Siltstone, ", Q384, 'Input Sheet'!C386, "% ", K384, " Sandstone "))</f>
        <v/>
      </c>
      <c r="C384" s="3" t="str">
        <f>IF('Input Sheet'!C386="","",CONCATENATE("Sample ", 'Input Sheet'!B386, "m: ", N384,, L384, K384, " FLUOR in SST. ", "TG ", 'Input Sheet'!I386, "U"))</f>
        <v/>
      </c>
      <c r="H384" s="6" t="str">
        <f>IF('Input Sheet'!C386="","",100-'Input Sheet'!C386)</f>
        <v/>
      </c>
      <c r="I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4" s="6" t="str">
        <f t="shared" si="5"/>
        <v/>
      </c>
      <c r="K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4" s="6" t="str">
        <f>IF('Input Sheet'!F386=0, "NO",CONCATENATE('Input Sheet'!F386, IF('Input Sheet'!F386&gt;0,"% ","")))</f>
        <v>NO</v>
      </c>
      <c r="M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4" s="6" t="str">
        <f>CONCATENATE(M384, IF('Input Sheet'!J386="",""," siderite in "))</f>
        <v/>
      </c>
      <c r="O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4" s="6" t="str">
        <f>CONCATENATE(O384, IF('Input Sheet'!K386="",""," siderite in "))</f>
        <v/>
      </c>
    </row>
    <row r="385" spans="1:16" x14ac:dyDescent="0.25">
      <c r="A385" s="17" t="str">
        <f>IF('Input Sheet'!C387="","",CONCATENATE("Sample ", 'Input Sheet'!B387, "m: ", N385, H385, "% ", "Siltstone, ", P385, 'Input Sheet'!C387, "% ", J385, " Sandstone, ", L385, K385, " FLUOR in SST. ", "TG ", 'Input Sheet'!I387, "U"))</f>
        <v/>
      </c>
      <c r="B385" s="3" t="str">
        <f>IF('Input Sheet'!C387="","",CONCATENATE("Sample ", 'Input Sheet'!B387, "m: ", O385, I385, "% ", "Siltstone, ", Q385, 'Input Sheet'!C387, "% ", K385, " Sandstone "))</f>
        <v/>
      </c>
      <c r="C385" s="3" t="str">
        <f>IF('Input Sheet'!C387="","",CONCATENATE("Sample ", 'Input Sheet'!B387, "m: ", N385,, L385, K385, " FLUOR in SST. ", "TG ", 'Input Sheet'!I387, "U"))</f>
        <v/>
      </c>
      <c r="H385" s="6" t="str">
        <f>IF('Input Sheet'!C387="","",100-'Input Sheet'!C387)</f>
        <v/>
      </c>
      <c r="I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5" s="6" t="str">
        <f t="shared" si="5"/>
        <v/>
      </c>
      <c r="K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5" s="6" t="str">
        <f>IF('Input Sheet'!F387=0, "NO",CONCATENATE('Input Sheet'!F387, IF('Input Sheet'!F387&gt;0,"% ","")))</f>
        <v>NO</v>
      </c>
      <c r="M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5" s="6" t="str">
        <f>CONCATENATE(M385, IF('Input Sheet'!J387="",""," siderite in "))</f>
        <v/>
      </c>
      <c r="O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5" s="6" t="str">
        <f>CONCATENATE(O385, IF('Input Sheet'!K387="",""," siderite in "))</f>
        <v/>
      </c>
    </row>
    <row r="386" spans="1:16" x14ac:dyDescent="0.25">
      <c r="A386" s="17" t="str">
        <f>IF('Input Sheet'!C388="","",CONCATENATE("Sample ", 'Input Sheet'!B388, "m: ", N386, H386, "% ", "Siltstone, ", P386, 'Input Sheet'!C388, "% ", J386, " Sandstone, ", L386, K386, " FLUOR in SST. ", "TG ", 'Input Sheet'!I388, "U"))</f>
        <v/>
      </c>
      <c r="B386" s="3" t="str">
        <f>IF('Input Sheet'!C388="","",CONCATENATE("Sample ", 'Input Sheet'!B388, "m: ", O386, I386, "% ", "Siltstone, ", Q386, 'Input Sheet'!C388, "% ", K386, " Sandstone "))</f>
        <v/>
      </c>
      <c r="C386" s="3" t="str">
        <f>IF('Input Sheet'!C388="","",CONCATENATE("Sample ", 'Input Sheet'!B388, "m: ", N386,, L386, K386, " FLUOR in SST. ", "TG ", 'Input Sheet'!I388, "U"))</f>
        <v/>
      </c>
      <c r="H386" s="6" t="str">
        <f>IF('Input Sheet'!C388="","",100-'Input Sheet'!C388)</f>
        <v/>
      </c>
      <c r="I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6" s="6" t="str">
        <f t="shared" ref="J386:J449" si="6">SUBSTITUTE(I386, "veryfine", "very fine")</f>
        <v/>
      </c>
      <c r="K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6" s="6" t="str">
        <f>IF('Input Sheet'!F388=0, "NO",CONCATENATE('Input Sheet'!F388, IF('Input Sheet'!F388&gt;0,"% ","")))</f>
        <v>NO</v>
      </c>
      <c r="M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6" s="6" t="str">
        <f>CONCATENATE(M386, IF('Input Sheet'!J388="",""," siderite in "))</f>
        <v/>
      </c>
      <c r="O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6" s="6" t="str">
        <f>CONCATENATE(O386, IF('Input Sheet'!K388="",""," siderite in "))</f>
        <v/>
      </c>
    </row>
    <row r="387" spans="1:16" x14ac:dyDescent="0.25">
      <c r="A387" s="17" t="str">
        <f>IF('Input Sheet'!C389="","",CONCATENATE("Sample ", 'Input Sheet'!B389, "m: ", N387, H387, "% ", "Siltstone, ", P387, 'Input Sheet'!C389, "% ", J387, " Sandstone, ", L387, K387, " FLUOR in SST. ", "TG ", 'Input Sheet'!I389, "U"))</f>
        <v/>
      </c>
      <c r="B387" s="3" t="str">
        <f>IF('Input Sheet'!C389="","",CONCATENATE("Sample ", 'Input Sheet'!B389, "m: ", O387, I387, "% ", "Siltstone, ", Q387, 'Input Sheet'!C389, "% ", K387, " Sandstone "))</f>
        <v/>
      </c>
      <c r="C387" s="3" t="str">
        <f>IF('Input Sheet'!C389="","",CONCATENATE("Sample ", 'Input Sheet'!B389, "m: ", N387,, L387, K387, " FLUOR in SST. ", "TG ", 'Input Sheet'!I389, "U"))</f>
        <v/>
      </c>
      <c r="H387" s="6" t="str">
        <f>IF('Input Sheet'!C389="","",100-'Input Sheet'!C389)</f>
        <v/>
      </c>
      <c r="I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7" s="6" t="str">
        <f t="shared" si="6"/>
        <v/>
      </c>
      <c r="K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7" s="6" t="str">
        <f>IF('Input Sheet'!F389=0, "NO",CONCATENATE('Input Sheet'!F389, IF('Input Sheet'!F389&gt;0,"% ","")))</f>
        <v>NO</v>
      </c>
      <c r="M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7" s="6" t="str">
        <f>CONCATENATE(M387, IF('Input Sheet'!J389="",""," siderite in "))</f>
        <v/>
      </c>
      <c r="O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7" s="6" t="str">
        <f>CONCATENATE(O387, IF('Input Sheet'!K389="",""," siderite in "))</f>
        <v/>
      </c>
    </row>
    <row r="388" spans="1:16" x14ac:dyDescent="0.25">
      <c r="A388" s="17" t="str">
        <f>IF('Input Sheet'!C390="","",CONCATENATE("Sample ", 'Input Sheet'!B390, "m: ", N388, H388, "% ", "Siltstone, ", P388, 'Input Sheet'!C390, "% ", J388, " Sandstone, ", L388, K388, " FLUOR in SST. ", "TG ", 'Input Sheet'!I390, "U"))</f>
        <v/>
      </c>
      <c r="B388" s="3" t="str">
        <f>IF('Input Sheet'!C390="","",CONCATENATE("Sample ", 'Input Sheet'!B390, "m: ", O388, I388, "% ", "Siltstone, ", Q388, 'Input Sheet'!C390, "% ", K388, " Sandstone "))</f>
        <v/>
      </c>
      <c r="C388" s="3" t="str">
        <f>IF('Input Sheet'!C390="","",CONCATENATE("Sample ", 'Input Sheet'!B390, "m: ", N388,, L388, K388, " FLUOR in SST. ", "TG ", 'Input Sheet'!I390, "U"))</f>
        <v/>
      </c>
      <c r="H388" s="6" t="str">
        <f>IF('Input Sheet'!C390="","",100-'Input Sheet'!C390)</f>
        <v/>
      </c>
      <c r="I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8" s="6" t="str">
        <f t="shared" si="6"/>
        <v/>
      </c>
      <c r="K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8" s="6" t="str">
        <f>IF('Input Sheet'!F390=0, "NO",CONCATENATE('Input Sheet'!F390, IF('Input Sheet'!F390&gt;0,"% ","")))</f>
        <v>NO</v>
      </c>
      <c r="M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8" s="6" t="str">
        <f>CONCATENATE(M388, IF('Input Sheet'!J390="",""," siderite in "))</f>
        <v/>
      </c>
      <c r="O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8" s="6" t="str">
        <f>CONCATENATE(O388, IF('Input Sheet'!K390="",""," siderite in "))</f>
        <v/>
      </c>
    </row>
    <row r="389" spans="1:16" x14ac:dyDescent="0.25">
      <c r="A389" s="17" t="str">
        <f>IF('Input Sheet'!C391="","",CONCATENATE("Sample ", 'Input Sheet'!B391, "m: ", N389, H389, "% ", "Siltstone, ", P389, 'Input Sheet'!C391, "% ", J389, " Sandstone, ", L389, K389, " FLUOR in SST. ", "TG ", 'Input Sheet'!I391, "U"))</f>
        <v/>
      </c>
      <c r="B389" s="3" t="str">
        <f>IF('Input Sheet'!C391="","",CONCATENATE("Sample ", 'Input Sheet'!B391, "m: ", O389, I389, "% ", "Siltstone, ", Q389, 'Input Sheet'!C391, "% ", K389, " Sandstone "))</f>
        <v/>
      </c>
      <c r="C389" s="3" t="str">
        <f>IF('Input Sheet'!C391="","",CONCATENATE("Sample ", 'Input Sheet'!B391, "m: ", N389,, L389, K389, " FLUOR in SST. ", "TG ", 'Input Sheet'!I391, "U"))</f>
        <v/>
      </c>
      <c r="H389" s="6" t="str">
        <f>IF('Input Sheet'!C391="","",100-'Input Sheet'!C391)</f>
        <v/>
      </c>
      <c r="I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89" s="6" t="str">
        <f t="shared" si="6"/>
        <v/>
      </c>
      <c r="K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89" s="6" t="str">
        <f>IF('Input Sheet'!F391=0, "NO",CONCATENATE('Input Sheet'!F391, IF('Input Sheet'!F391&gt;0,"% ","")))</f>
        <v>NO</v>
      </c>
      <c r="M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89" s="6" t="str">
        <f>CONCATENATE(M389, IF('Input Sheet'!J391="",""," siderite in "))</f>
        <v/>
      </c>
      <c r="O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89" s="6" t="str">
        <f>CONCATENATE(O389, IF('Input Sheet'!K391="",""," siderite in "))</f>
        <v/>
      </c>
    </row>
    <row r="390" spans="1:16" x14ac:dyDescent="0.25">
      <c r="A390" s="17" t="str">
        <f>IF('Input Sheet'!C392="","",CONCATENATE("Sample ", 'Input Sheet'!B392, "m: ", N390, H390, "% ", "Siltstone, ", P390, 'Input Sheet'!C392, "% ", J390, " Sandstone, ", L390, K390, " FLUOR in SST. ", "TG ", 'Input Sheet'!I392, "U"))</f>
        <v/>
      </c>
      <c r="B390" s="3" t="str">
        <f>IF('Input Sheet'!C392="","",CONCATENATE("Sample ", 'Input Sheet'!B392, "m: ", O390, I390, "% ", "Siltstone, ", Q390, 'Input Sheet'!C392, "% ", K390, " Sandstone "))</f>
        <v/>
      </c>
      <c r="C390" s="3" t="str">
        <f>IF('Input Sheet'!C392="","",CONCATENATE("Sample ", 'Input Sheet'!B392, "m: ", N390,, L390, K390, " FLUOR in SST. ", "TG ", 'Input Sheet'!I392, "U"))</f>
        <v/>
      </c>
      <c r="H390" s="6" t="str">
        <f>IF('Input Sheet'!C392="","",100-'Input Sheet'!C392)</f>
        <v/>
      </c>
      <c r="I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0" s="6" t="str">
        <f t="shared" si="6"/>
        <v/>
      </c>
      <c r="K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0" s="6" t="str">
        <f>IF('Input Sheet'!F392=0, "NO",CONCATENATE('Input Sheet'!F392, IF('Input Sheet'!F392&gt;0,"% ","")))</f>
        <v>NO</v>
      </c>
      <c r="M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0" s="6" t="str">
        <f>CONCATENATE(M390, IF('Input Sheet'!J392="",""," siderite in "))</f>
        <v/>
      </c>
      <c r="O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0" s="6" t="str">
        <f>CONCATENATE(O390, IF('Input Sheet'!K392="",""," siderite in "))</f>
        <v/>
      </c>
    </row>
    <row r="391" spans="1:16" x14ac:dyDescent="0.25">
      <c r="A391" s="17" t="str">
        <f>IF('Input Sheet'!C393="","",CONCATENATE("Sample ", 'Input Sheet'!B393, "m: ", N391, H391, "% ", "Siltstone, ", P391, 'Input Sheet'!C393, "% ", J391, " Sandstone, ", L391, K391, " FLUOR in SST. ", "TG ", 'Input Sheet'!I393, "U"))</f>
        <v/>
      </c>
      <c r="B391" s="3" t="str">
        <f>IF('Input Sheet'!C393="","",CONCATENATE("Sample ", 'Input Sheet'!B393, "m: ", O391, I391, "% ", "Siltstone, ", Q391, 'Input Sheet'!C393, "% ", K391, " Sandstone "))</f>
        <v/>
      </c>
      <c r="C391" s="3" t="str">
        <f>IF('Input Sheet'!C393="","",CONCATENATE("Sample ", 'Input Sheet'!B393, "m: ", N391,, L391, K391, " FLUOR in SST. ", "TG ", 'Input Sheet'!I393, "U"))</f>
        <v/>
      </c>
      <c r="H391" s="6" t="str">
        <f>IF('Input Sheet'!C393="","",100-'Input Sheet'!C393)</f>
        <v/>
      </c>
      <c r="I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1" s="6" t="str">
        <f t="shared" si="6"/>
        <v/>
      </c>
      <c r="K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1" s="6" t="str">
        <f>IF('Input Sheet'!F393=0, "NO",CONCATENATE('Input Sheet'!F393, IF('Input Sheet'!F393&gt;0,"% ","")))</f>
        <v>NO</v>
      </c>
      <c r="M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1" s="6" t="str">
        <f>CONCATENATE(M391, IF('Input Sheet'!J393="",""," siderite in "))</f>
        <v/>
      </c>
      <c r="O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1" s="6" t="str">
        <f>CONCATENATE(O391, IF('Input Sheet'!K393="",""," siderite in "))</f>
        <v/>
      </c>
    </row>
    <row r="392" spans="1:16" x14ac:dyDescent="0.25">
      <c r="A392" s="17" t="str">
        <f>IF('Input Sheet'!C394="","",CONCATENATE("Sample ", 'Input Sheet'!B394, "m: ", N392, H392, "% ", "Siltstone, ", P392, 'Input Sheet'!C394, "% ", J392, " Sandstone, ", L392, K392, " FLUOR in SST. ", "TG ", 'Input Sheet'!I394, "U"))</f>
        <v/>
      </c>
      <c r="B392" s="3" t="str">
        <f>IF('Input Sheet'!C394="","",CONCATENATE("Sample ", 'Input Sheet'!B394, "m: ", O392, I392, "% ", "Siltstone, ", Q392, 'Input Sheet'!C394, "% ", K392, " Sandstone "))</f>
        <v/>
      </c>
      <c r="C392" s="3" t="str">
        <f>IF('Input Sheet'!C394="","",CONCATENATE("Sample ", 'Input Sheet'!B394, "m: ", N392,, L392, K392, " FLUOR in SST. ", "TG ", 'Input Sheet'!I394, "U"))</f>
        <v/>
      </c>
      <c r="H392" s="6" t="str">
        <f>IF('Input Sheet'!C394="","",100-'Input Sheet'!C394)</f>
        <v/>
      </c>
      <c r="I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2" s="6" t="str">
        <f t="shared" si="6"/>
        <v/>
      </c>
      <c r="K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2" s="6" t="str">
        <f>IF('Input Sheet'!F394=0, "NO",CONCATENATE('Input Sheet'!F394, IF('Input Sheet'!F394&gt;0,"% ","")))</f>
        <v>NO</v>
      </c>
      <c r="M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2" s="6" t="str">
        <f>CONCATENATE(M392, IF('Input Sheet'!J394="",""," siderite in "))</f>
        <v/>
      </c>
      <c r="O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2" s="6" t="str">
        <f>CONCATENATE(O392, IF('Input Sheet'!K394="",""," siderite in "))</f>
        <v/>
      </c>
    </row>
    <row r="393" spans="1:16" x14ac:dyDescent="0.25">
      <c r="A393" s="17" t="str">
        <f>IF('Input Sheet'!C395="","",CONCATENATE("Sample ", 'Input Sheet'!B395, "m: ", N393, H393, "% ", "Siltstone, ", P393, 'Input Sheet'!C395, "% ", J393, " Sandstone, ", L393, K393, " FLUOR in SST. ", "TG ", 'Input Sheet'!I395, "U"))</f>
        <v/>
      </c>
      <c r="B393" s="3" t="str">
        <f>IF('Input Sheet'!C395="","",CONCATENATE("Sample ", 'Input Sheet'!B395, "m: ", O393, I393, "% ", "Siltstone, ", Q393, 'Input Sheet'!C395, "% ", K393, " Sandstone "))</f>
        <v/>
      </c>
      <c r="C393" s="3" t="str">
        <f>IF('Input Sheet'!C395="","",CONCATENATE("Sample ", 'Input Sheet'!B395, "m: ", N393,, L393, K393, " FLUOR in SST. ", "TG ", 'Input Sheet'!I395, "U"))</f>
        <v/>
      </c>
      <c r="H393" s="6" t="str">
        <f>IF('Input Sheet'!C395="","",100-'Input Sheet'!C395)</f>
        <v/>
      </c>
      <c r="I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3" s="6" t="str">
        <f t="shared" si="6"/>
        <v/>
      </c>
      <c r="K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3" s="6" t="str">
        <f>IF('Input Sheet'!F395=0, "NO",CONCATENATE('Input Sheet'!F395, IF('Input Sheet'!F395&gt;0,"% ","")))</f>
        <v>NO</v>
      </c>
      <c r="M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3" s="6" t="str">
        <f>CONCATENATE(M393, IF('Input Sheet'!J395="",""," siderite in "))</f>
        <v/>
      </c>
      <c r="O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3" s="6" t="str">
        <f>CONCATENATE(O393, IF('Input Sheet'!K395="",""," siderite in "))</f>
        <v/>
      </c>
    </row>
    <row r="394" spans="1:16" x14ac:dyDescent="0.25">
      <c r="A394" s="17" t="str">
        <f>IF('Input Sheet'!C396="","",CONCATENATE("Sample ", 'Input Sheet'!B396, "m: ", N394, H394, "% ", "Siltstone, ", P394, 'Input Sheet'!C396, "% ", J394, " Sandstone, ", L394, K394, " FLUOR in SST. ", "TG ", 'Input Sheet'!I396, "U"))</f>
        <v/>
      </c>
      <c r="B394" s="3" t="str">
        <f>IF('Input Sheet'!C396="","",CONCATENATE("Sample ", 'Input Sheet'!B396, "m: ", O394, I394, "% ", "Siltstone, ", Q394, 'Input Sheet'!C396, "% ", K394, " Sandstone "))</f>
        <v/>
      </c>
      <c r="C394" s="3" t="str">
        <f>IF('Input Sheet'!C396="","",CONCATENATE("Sample ", 'Input Sheet'!B396, "m: ", N394,, L394, K394, " FLUOR in SST. ", "TG ", 'Input Sheet'!I396, "U"))</f>
        <v/>
      </c>
      <c r="H394" s="6" t="str">
        <f>IF('Input Sheet'!C396="","",100-'Input Sheet'!C396)</f>
        <v/>
      </c>
      <c r="I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4" s="6" t="str">
        <f t="shared" si="6"/>
        <v/>
      </c>
      <c r="K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4" s="6" t="str">
        <f>IF('Input Sheet'!F396=0, "NO",CONCATENATE('Input Sheet'!F396, IF('Input Sheet'!F396&gt;0,"% ","")))</f>
        <v>NO</v>
      </c>
      <c r="M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4" s="6" t="str">
        <f>CONCATENATE(M394, IF('Input Sheet'!J396="",""," siderite in "))</f>
        <v/>
      </c>
      <c r="O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4" s="6" t="str">
        <f>CONCATENATE(O394, IF('Input Sheet'!K396="",""," siderite in "))</f>
        <v/>
      </c>
    </row>
    <row r="395" spans="1:16" x14ac:dyDescent="0.25">
      <c r="A395" s="17" t="str">
        <f>IF('Input Sheet'!C397="","",CONCATENATE("Sample ", 'Input Sheet'!B397, "m: ", N395, H395, "% ", "Siltstone, ", P395, 'Input Sheet'!C397, "% ", J395, " Sandstone, ", L395, K395, " FLUOR in SST. ", "TG ", 'Input Sheet'!I397, "U"))</f>
        <v/>
      </c>
      <c r="B395" s="3" t="str">
        <f>IF('Input Sheet'!C397="","",CONCATENATE("Sample ", 'Input Sheet'!B397, "m: ", O395, I395, "% ", "Siltstone, ", Q395, 'Input Sheet'!C397, "% ", K395, " Sandstone "))</f>
        <v/>
      </c>
      <c r="C395" s="3" t="str">
        <f>IF('Input Sheet'!C397="","",CONCATENATE("Sample ", 'Input Sheet'!B397, "m: ", N395,, L395, K395, " FLUOR in SST. ", "TG ", 'Input Sheet'!I397, "U"))</f>
        <v/>
      </c>
      <c r="H395" s="6" t="str">
        <f>IF('Input Sheet'!C397="","",100-'Input Sheet'!C397)</f>
        <v/>
      </c>
      <c r="I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5" s="6" t="str">
        <f t="shared" si="6"/>
        <v/>
      </c>
      <c r="K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5" s="6" t="str">
        <f>IF('Input Sheet'!F397=0, "NO",CONCATENATE('Input Sheet'!F397, IF('Input Sheet'!F397&gt;0,"% ","")))</f>
        <v>NO</v>
      </c>
      <c r="M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5" s="6" t="str">
        <f>CONCATENATE(M395, IF('Input Sheet'!J397="",""," siderite in "))</f>
        <v/>
      </c>
      <c r="O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5" s="6" t="str">
        <f>CONCATENATE(O395, IF('Input Sheet'!K397="",""," siderite in "))</f>
        <v/>
      </c>
    </row>
    <row r="396" spans="1:16" x14ac:dyDescent="0.25">
      <c r="A396" s="17" t="str">
        <f>IF('Input Sheet'!C398="","",CONCATENATE("Sample ", 'Input Sheet'!B398, "m: ", N396, H396, "% ", "Siltstone, ", P396, 'Input Sheet'!C398, "% ", J396, " Sandstone, ", L396, K396, " FLUOR in SST. ", "TG ", 'Input Sheet'!I398, "U"))</f>
        <v/>
      </c>
      <c r="B396" s="3" t="str">
        <f>IF('Input Sheet'!C398="","",CONCATENATE("Sample ", 'Input Sheet'!B398, "m: ", O396, I396, "% ", "Siltstone, ", Q396, 'Input Sheet'!C398, "% ", K396, " Sandstone "))</f>
        <v/>
      </c>
      <c r="C396" s="3" t="str">
        <f>IF('Input Sheet'!C398="","",CONCATENATE("Sample ", 'Input Sheet'!B398, "m: ", N396,, L396, K396, " FLUOR in SST. ", "TG ", 'Input Sheet'!I398, "U"))</f>
        <v/>
      </c>
      <c r="H396" s="6" t="str">
        <f>IF('Input Sheet'!C398="","",100-'Input Sheet'!C398)</f>
        <v/>
      </c>
      <c r="I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6" s="6" t="str">
        <f t="shared" si="6"/>
        <v/>
      </c>
      <c r="K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6" s="6" t="str">
        <f>IF('Input Sheet'!F398=0, "NO",CONCATENATE('Input Sheet'!F398, IF('Input Sheet'!F398&gt;0,"% ","")))</f>
        <v>NO</v>
      </c>
      <c r="M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6" s="6" t="str">
        <f>CONCATENATE(M396, IF('Input Sheet'!J398="",""," siderite in "))</f>
        <v/>
      </c>
      <c r="O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6" s="6" t="str">
        <f>CONCATENATE(O396, IF('Input Sheet'!K398="",""," siderite in "))</f>
        <v/>
      </c>
    </row>
    <row r="397" spans="1:16" x14ac:dyDescent="0.25">
      <c r="A397" s="17" t="str">
        <f>IF('Input Sheet'!C399="","",CONCATENATE("Sample ", 'Input Sheet'!B399, "m: ", N397, H397, "% ", "Siltstone, ", P397, 'Input Sheet'!C399, "% ", J397, " Sandstone, ", L397, K397, " FLUOR in SST. ", "TG ", 'Input Sheet'!I399, "U"))</f>
        <v/>
      </c>
      <c r="B397" s="3" t="str">
        <f>IF('Input Sheet'!C399="","",CONCATENATE("Sample ", 'Input Sheet'!B399, "m: ", O397, I397, "% ", "Siltstone, ", Q397, 'Input Sheet'!C399, "% ", K397, " Sandstone "))</f>
        <v/>
      </c>
      <c r="C397" s="3" t="str">
        <f>IF('Input Sheet'!C399="","",CONCATENATE("Sample ", 'Input Sheet'!B399, "m: ", N397,, L397, K397, " FLUOR in SST. ", "TG ", 'Input Sheet'!I399, "U"))</f>
        <v/>
      </c>
      <c r="H397" s="6" t="str">
        <f>IF('Input Sheet'!C399="","",100-'Input Sheet'!C399)</f>
        <v/>
      </c>
      <c r="I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7" s="6" t="str">
        <f t="shared" si="6"/>
        <v/>
      </c>
      <c r="K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7" s="6" t="str">
        <f>IF('Input Sheet'!F399=0, "NO",CONCATENATE('Input Sheet'!F399, IF('Input Sheet'!F399&gt;0,"% ","")))</f>
        <v>NO</v>
      </c>
      <c r="M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7" s="6" t="str">
        <f>CONCATENATE(M397, IF('Input Sheet'!J399="",""," siderite in "))</f>
        <v/>
      </c>
      <c r="O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7" s="6" t="str">
        <f>CONCATENATE(O397, IF('Input Sheet'!K399="",""," siderite in "))</f>
        <v/>
      </c>
    </row>
    <row r="398" spans="1:16" x14ac:dyDescent="0.25">
      <c r="A398" s="17" t="str">
        <f>IF('Input Sheet'!C400="","",CONCATENATE("Sample ", 'Input Sheet'!B400, "m: ", N398, H398, "% ", "Siltstone, ", P398, 'Input Sheet'!C400, "% ", J398, " Sandstone, ", L398, K398, " FLUOR in SST. ", "TG ", 'Input Sheet'!I400, "U"))</f>
        <v/>
      </c>
      <c r="B398" s="3" t="str">
        <f>IF('Input Sheet'!C400="","",CONCATENATE("Sample ", 'Input Sheet'!B400, "m: ", O398, I398, "% ", "Siltstone, ", Q398, 'Input Sheet'!C400, "% ", K398, " Sandstone "))</f>
        <v/>
      </c>
      <c r="C398" s="3" t="str">
        <f>IF('Input Sheet'!C400="","",CONCATENATE("Sample ", 'Input Sheet'!B400, "m: ", N398,, L398, K398, " FLUOR in SST. ", "TG ", 'Input Sheet'!I400, "U"))</f>
        <v/>
      </c>
      <c r="H398" s="6" t="str">
        <f>IF('Input Sheet'!C400="","",100-'Input Sheet'!C400)</f>
        <v/>
      </c>
      <c r="I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8" s="6" t="str">
        <f t="shared" si="6"/>
        <v/>
      </c>
      <c r="K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8" s="6" t="str">
        <f>IF('Input Sheet'!F400=0, "NO",CONCATENATE('Input Sheet'!F400, IF('Input Sheet'!F400&gt;0,"% ","")))</f>
        <v>NO</v>
      </c>
      <c r="M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8" s="6" t="str">
        <f>CONCATENATE(M398, IF('Input Sheet'!J400="",""," siderite in "))</f>
        <v/>
      </c>
      <c r="O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8" s="6" t="str">
        <f>CONCATENATE(O398, IF('Input Sheet'!K400="",""," siderite in "))</f>
        <v/>
      </c>
    </row>
    <row r="399" spans="1:16" x14ac:dyDescent="0.25">
      <c r="A399" s="17" t="str">
        <f>IF('Input Sheet'!C401="","",CONCATENATE("Sample ", 'Input Sheet'!B401, "m: ", N399, H399, "% ", "Siltstone, ", P399, 'Input Sheet'!C401, "% ", J399, " Sandstone, ", L399, K399, " FLUOR in SST. ", "TG ", 'Input Sheet'!I401, "U"))</f>
        <v/>
      </c>
      <c r="B399" s="3" t="str">
        <f>IF('Input Sheet'!C401="","",CONCATENATE("Sample ", 'Input Sheet'!B401, "m: ", O399, I399, "% ", "Siltstone, ", Q399, 'Input Sheet'!C401, "% ", K399, " Sandstone "))</f>
        <v/>
      </c>
      <c r="C399" s="3" t="str">
        <f>IF('Input Sheet'!C401="","",CONCATENATE("Sample ", 'Input Sheet'!B401, "m: ", N399,, L399, K399, " FLUOR in SST. ", "TG ", 'Input Sheet'!I401, "U"))</f>
        <v/>
      </c>
      <c r="H399" s="6" t="str">
        <f>IF('Input Sheet'!C401="","",100-'Input Sheet'!C401)</f>
        <v/>
      </c>
      <c r="I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399" s="6" t="str">
        <f t="shared" si="6"/>
        <v/>
      </c>
      <c r="K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399" s="6" t="str">
        <f>IF('Input Sheet'!F401=0, "NO",CONCATENATE('Input Sheet'!F401, IF('Input Sheet'!F401&gt;0,"% ","")))</f>
        <v>NO</v>
      </c>
      <c r="M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399" s="6" t="str">
        <f>CONCATENATE(M399, IF('Input Sheet'!J401="",""," siderite in "))</f>
        <v/>
      </c>
      <c r="O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399" s="6" t="str">
        <f>CONCATENATE(O399, IF('Input Sheet'!K401="",""," siderite in "))</f>
        <v/>
      </c>
    </row>
    <row r="400" spans="1:16" x14ac:dyDescent="0.25">
      <c r="A400" s="17" t="str">
        <f>IF('Input Sheet'!C402="","",CONCATENATE("Sample ", 'Input Sheet'!B402, "m: ", N400, H400, "% ", "Siltstone, ", P400, 'Input Sheet'!C402, "% ", J400, " Sandstone, ", L400, K400, " FLUOR in SST. ", "TG ", 'Input Sheet'!I402, "U"))</f>
        <v/>
      </c>
      <c r="B400" s="3" t="str">
        <f>IF('Input Sheet'!C402="","",CONCATENATE("Sample ", 'Input Sheet'!B402, "m: ", O400, I400, "% ", "Siltstone, ", Q400, 'Input Sheet'!C402, "% ", K400, " Sandstone "))</f>
        <v/>
      </c>
      <c r="C400" s="3" t="str">
        <f>IF('Input Sheet'!C402="","",CONCATENATE("Sample ", 'Input Sheet'!B402, "m: ", N400,, L400, K400, " FLUOR in SST. ", "TG ", 'Input Sheet'!I402, "U"))</f>
        <v/>
      </c>
      <c r="H400" s="6" t="str">
        <f>IF('Input Sheet'!C402="","",100-'Input Sheet'!C402)</f>
        <v/>
      </c>
      <c r="I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0" s="6" t="str">
        <f t="shared" si="6"/>
        <v/>
      </c>
      <c r="K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0" s="6" t="str">
        <f>IF('Input Sheet'!F402=0, "NO",CONCATENATE('Input Sheet'!F402, IF('Input Sheet'!F402&gt;0,"% ","")))</f>
        <v>NO</v>
      </c>
      <c r="M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0" s="6" t="str">
        <f>CONCATENATE(M400, IF('Input Sheet'!J402="",""," siderite in "))</f>
        <v/>
      </c>
      <c r="O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0" s="6" t="str">
        <f>CONCATENATE(O400, IF('Input Sheet'!K402="",""," siderite in "))</f>
        <v/>
      </c>
    </row>
    <row r="401" spans="1:16" x14ac:dyDescent="0.25">
      <c r="A401" s="17" t="str">
        <f>IF('Input Sheet'!C403="","",CONCATENATE("Sample ", 'Input Sheet'!B403, "m: ", N401, H401, "% ", "Siltstone, ", P401, 'Input Sheet'!C403, "% ", J401, " Sandstone, ", L401, K401, " FLUOR in SST. ", "TG ", 'Input Sheet'!I403, "U"))</f>
        <v/>
      </c>
      <c r="B401" s="3" t="str">
        <f>IF('Input Sheet'!C403="","",CONCATENATE("Sample ", 'Input Sheet'!B403, "m: ", O401, I401, "% ", "Siltstone, ", Q401, 'Input Sheet'!C403, "% ", K401, " Sandstone "))</f>
        <v/>
      </c>
      <c r="C401" s="3" t="str">
        <f>IF('Input Sheet'!C403="","",CONCATENATE("Sample ", 'Input Sheet'!B403, "m: ", N401,, L401, K401, " FLUOR in SST. ", "TG ", 'Input Sheet'!I403, "U"))</f>
        <v/>
      </c>
      <c r="H401" s="6" t="str">
        <f>IF('Input Sheet'!C403="","",100-'Input Sheet'!C403)</f>
        <v/>
      </c>
      <c r="I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1" s="6" t="str">
        <f t="shared" si="6"/>
        <v/>
      </c>
      <c r="K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1" s="6" t="str">
        <f>IF('Input Sheet'!F403=0, "NO",CONCATENATE('Input Sheet'!F403, IF('Input Sheet'!F403&gt;0,"% ","")))</f>
        <v>NO</v>
      </c>
      <c r="M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1" s="6" t="str">
        <f>CONCATENATE(M401, IF('Input Sheet'!J403="",""," siderite in "))</f>
        <v/>
      </c>
      <c r="O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1" s="6" t="str">
        <f>CONCATENATE(O401, IF('Input Sheet'!K403="",""," siderite in "))</f>
        <v/>
      </c>
    </row>
    <row r="402" spans="1:16" x14ac:dyDescent="0.25">
      <c r="A402" s="17" t="str">
        <f>IF('Input Sheet'!C404="","",CONCATENATE("Sample ", 'Input Sheet'!B404, "m: ", N402, H402, "% ", "Siltstone, ", P402, 'Input Sheet'!C404, "% ", J402, " Sandstone, ", L402, K402, " FLUOR in SST. ", "TG ", 'Input Sheet'!I404, "U"))</f>
        <v/>
      </c>
      <c r="B402" s="3" t="str">
        <f>IF('Input Sheet'!C404="","",CONCATENATE("Sample ", 'Input Sheet'!B404, "m: ", O402, I402, "% ", "Siltstone, ", Q402, 'Input Sheet'!C404, "% ", K402, " Sandstone "))</f>
        <v/>
      </c>
      <c r="C402" s="3" t="str">
        <f>IF('Input Sheet'!C404="","",CONCATENATE("Sample ", 'Input Sheet'!B404, "m: ", N402,, L402, K402, " FLUOR in SST. ", "TG ", 'Input Sheet'!I404, "U"))</f>
        <v/>
      </c>
      <c r="H402" s="6" t="str">
        <f>IF('Input Sheet'!C404="","",100-'Input Sheet'!C404)</f>
        <v/>
      </c>
      <c r="I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2" s="6" t="str">
        <f t="shared" si="6"/>
        <v/>
      </c>
      <c r="K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2" s="6" t="str">
        <f>IF('Input Sheet'!F404=0, "NO",CONCATENATE('Input Sheet'!F404, IF('Input Sheet'!F404&gt;0,"% ","")))</f>
        <v>NO</v>
      </c>
      <c r="M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2" s="6" t="str">
        <f>CONCATENATE(M402, IF('Input Sheet'!J404="",""," siderite in "))</f>
        <v/>
      </c>
      <c r="O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2" s="6" t="str">
        <f>CONCATENATE(O402, IF('Input Sheet'!K404="",""," siderite in "))</f>
        <v/>
      </c>
    </row>
    <row r="403" spans="1:16" x14ac:dyDescent="0.25">
      <c r="A403" s="17" t="str">
        <f>IF('Input Sheet'!C405="","",CONCATENATE("Sample ", 'Input Sheet'!B405, "m: ", N403, H403, "% ", "Siltstone, ", P403, 'Input Sheet'!C405, "% ", J403, " Sandstone, ", L403, K403, " FLUOR in SST. ", "TG ", 'Input Sheet'!I405, "U"))</f>
        <v/>
      </c>
      <c r="B403" s="3" t="str">
        <f>IF('Input Sheet'!C405="","",CONCATENATE("Sample ", 'Input Sheet'!B405, "m: ", O403, I403, "% ", "Siltstone, ", Q403, 'Input Sheet'!C405, "% ", K403, " Sandstone "))</f>
        <v/>
      </c>
      <c r="C403" s="3" t="str">
        <f>IF('Input Sheet'!C405="","",CONCATENATE("Sample ", 'Input Sheet'!B405, "m: ", N403,, L403, K403, " FLUOR in SST. ", "TG ", 'Input Sheet'!I405, "U"))</f>
        <v/>
      </c>
      <c r="H403" s="6" t="str">
        <f>IF('Input Sheet'!C405="","",100-'Input Sheet'!C405)</f>
        <v/>
      </c>
      <c r="I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3" s="6" t="str">
        <f t="shared" si="6"/>
        <v/>
      </c>
      <c r="K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3" s="6" t="str">
        <f>IF('Input Sheet'!F405=0, "NO",CONCATENATE('Input Sheet'!F405, IF('Input Sheet'!F405&gt;0,"% ","")))</f>
        <v>NO</v>
      </c>
      <c r="M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3" s="6" t="str">
        <f>CONCATENATE(M403, IF('Input Sheet'!J405="",""," siderite in "))</f>
        <v/>
      </c>
      <c r="O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3" s="6" t="str">
        <f>CONCATENATE(O403, IF('Input Sheet'!K405="",""," siderite in "))</f>
        <v/>
      </c>
    </row>
    <row r="404" spans="1:16" x14ac:dyDescent="0.25">
      <c r="A404" s="17" t="str">
        <f>IF('Input Sheet'!C406="","",CONCATENATE("Sample ", 'Input Sheet'!B406, "m: ", N404, H404, "% ", "Siltstone, ", P404, 'Input Sheet'!C406, "% ", J404, " Sandstone, ", L404, K404, " FLUOR in SST. ", "TG ", 'Input Sheet'!I406, "U"))</f>
        <v/>
      </c>
      <c r="B404" s="3" t="str">
        <f>IF('Input Sheet'!C406="","",CONCATENATE("Sample ", 'Input Sheet'!B406, "m: ", O404, I404, "% ", "Siltstone, ", Q404, 'Input Sheet'!C406, "% ", K404, " Sandstone "))</f>
        <v/>
      </c>
      <c r="C404" s="3" t="str">
        <f>IF('Input Sheet'!C406="","",CONCATENATE("Sample ", 'Input Sheet'!B406, "m: ", N404,, L404, K404, " FLUOR in SST. ", "TG ", 'Input Sheet'!I406, "U"))</f>
        <v/>
      </c>
      <c r="H404" s="6" t="str">
        <f>IF('Input Sheet'!C406="","",100-'Input Sheet'!C406)</f>
        <v/>
      </c>
      <c r="I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4" s="6" t="str">
        <f t="shared" si="6"/>
        <v/>
      </c>
      <c r="K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4" s="6" t="str">
        <f>IF('Input Sheet'!F406=0, "NO",CONCATENATE('Input Sheet'!F406, IF('Input Sheet'!F406&gt;0,"% ","")))</f>
        <v>NO</v>
      </c>
      <c r="M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4" s="6" t="str">
        <f>CONCATENATE(M404, IF('Input Sheet'!J406="",""," siderite in "))</f>
        <v/>
      </c>
      <c r="O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4" s="6" t="str">
        <f>CONCATENATE(O404, IF('Input Sheet'!K406="",""," siderite in "))</f>
        <v/>
      </c>
    </row>
    <row r="405" spans="1:16" x14ac:dyDescent="0.25">
      <c r="A405" s="17" t="str">
        <f>IF('Input Sheet'!C407="","",CONCATENATE("Sample ", 'Input Sheet'!B407, "m: ", N405, H405, "% ", "Siltstone, ", P405, 'Input Sheet'!C407, "% ", J405, " Sandstone, ", L405, K405, " FLUOR in SST. ", "TG ", 'Input Sheet'!I407, "U"))</f>
        <v/>
      </c>
      <c r="B405" s="3" t="str">
        <f>IF('Input Sheet'!C407="","",CONCATENATE("Sample ", 'Input Sheet'!B407, "m: ", O405, I405, "% ", "Siltstone, ", Q405, 'Input Sheet'!C407, "% ", K405, " Sandstone "))</f>
        <v/>
      </c>
      <c r="C405" s="3" t="str">
        <f>IF('Input Sheet'!C407="","",CONCATENATE("Sample ", 'Input Sheet'!B407, "m: ", N405,, L405, K405, " FLUOR in SST. ", "TG ", 'Input Sheet'!I407, "U"))</f>
        <v/>
      </c>
      <c r="H405" s="6" t="str">
        <f>IF('Input Sheet'!C407="","",100-'Input Sheet'!C407)</f>
        <v/>
      </c>
      <c r="I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5" s="6" t="str">
        <f t="shared" si="6"/>
        <v/>
      </c>
      <c r="K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5" s="6" t="str">
        <f>IF('Input Sheet'!F407=0, "NO",CONCATENATE('Input Sheet'!F407, IF('Input Sheet'!F407&gt;0,"% ","")))</f>
        <v>NO</v>
      </c>
      <c r="M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5" s="6" t="str">
        <f>CONCATENATE(M405, IF('Input Sheet'!J407="",""," siderite in "))</f>
        <v/>
      </c>
      <c r="O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5" s="6" t="str">
        <f>CONCATENATE(O405, IF('Input Sheet'!K407="",""," siderite in "))</f>
        <v/>
      </c>
    </row>
    <row r="406" spans="1:16" x14ac:dyDescent="0.25">
      <c r="A406" s="17" t="str">
        <f>IF('Input Sheet'!C408="","",CONCATENATE("Sample ", 'Input Sheet'!B408, "m: ", N406, H406, "% ", "Siltstone, ", P406, 'Input Sheet'!C408, "% ", J406, " Sandstone, ", L406, K406, " FLUOR in SST. ", "TG ", 'Input Sheet'!I408, "U"))</f>
        <v/>
      </c>
      <c r="B406" s="3" t="str">
        <f>IF('Input Sheet'!C408="","",CONCATENATE("Sample ", 'Input Sheet'!B408, "m: ", O406, I406, "% ", "Siltstone, ", Q406, 'Input Sheet'!C408, "% ", K406, " Sandstone "))</f>
        <v/>
      </c>
      <c r="C406" s="3" t="str">
        <f>IF('Input Sheet'!C408="","",CONCATENATE("Sample ", 'Input Sheet'!B408, "m: ", N406,, L406, K406, " FLUOR in SST. ", "TG ", 'Input Sheet'!I408, "U"))</f>
        <v/>
      </c>
      <c r="H406" s="6" t="str">
        <f>IF('Input Sheet'!C408="","",100-'Input Sheet'!C408)</f>
        <v/>
      </c>
      <c r="I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6" s="6" t="str">
        <f t="shared" si="6"/>
        <v/>
      </c>
      <c r="K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6" s="6" t="str">
        <f>IF('Input Sheet'!F408=0, "NO",CONCATENATE('Input Sheet'!F408, IF('Input Sheet'!F408&gt;0,"% ","")))</f>
        <v>NO</v>
      </c>
      <c r="M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6" s="6" t="str">
        <f>CONCATENATE(M406, IF('Input Sheet'!J408="",""," siderite in "))</f>
        <v/>
      </c>
      <c r="O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6" s="6" t="str">
        <f>CONCATENATE(O406, IF('Input Sheet'!K408="",""," siderite in "))</f>
        <v/>
      </c>
    </row>
    <row r="407" spans="1:16" x14ac:dyDescent="0.25">
      <c r="A407" s="17" t="str">
        <f>IF('Input Sheet'!C409="","",CONCATENATE("Sample ", 'Input Sheet'!B409, "m: ", N407, H407, "% ", "Siltstone, ", P407, 'Input Sheet'!C409, "% ", J407, " Sandstone, ", L407, K407, " FLUOR in SST. ", "TG ", 'Input Sheet'!I409, "U"))</f>
        <v/>
      </c>
      <c r="B407" s="3" t="str">
        <f>IF('Input Sheet'!C409="","",CONCATENATE("Sample ", 'Input Sheet'!B409, "m: ", O407, I407, "% ", "Siltstone, ", Q407, 'Input Sheet'!C409, "% ", K407, " Sandstone "))</f>
        <v/>
      </c>
      <c r="C407" s="3" t="str">
        <f>IF('Input Sheet'!C409="","",CONCATENATE("Sample ", 'Input Sheet'!B409, "m: ", N407,, L407, K407, " FLUOR in SST. ", "TG ", 'Input Sheet'!I409, "U"))</f>
        <v/>
      </c>
      <c r="H407" s="6" t="str">
        <f>IF('Input Sheet'!C409="","",100-'Input Sheet'!C409)</f>
        <v/>
      </c>
      <c r="I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7" s="6" t="str">
        <f t="shared" si="6"/>
        <v/>
      </c>
      <c r="K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7" s="6" t="str">
        <f>IF('Input Sheet'!F409=0, "NO",CONCATENATE('Input Sheet'!F409, IF('Input Sheet'!F409&gt;0,"% ","")))</f>
        <v>NO</v>
      </c>
      <c r="M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7" s="6" t="str">
        <f>CONCATENATE(M407, IF('Input Sheet'!J409="",""," siderite in "))</f>
        <v/>
      </c>
      <c r="O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7" s="6" t="str">
        <f>CONCATENATE(O407, IF('Input Sheet'!K409="",""," siderite in "))</f>
        <v/>
      </c>
    </row>
    <row r="408" spans="1:16" x14ac:dyDescent="0.25">
      <c r="A408" s="17" t="str">
        <f>IF('Input Sheet'!C410="","",CONCATENATE("Sample ", 'Input Sheet'!B410, "m: ", N408, H408, "% ", "Siltstone, ", P408, 'Input Sheet'!C410, "% ", J408, " Sandstone, ", L408, K408, " FLUOR in SST. ", "TG ", 'Input Sheet'!I410, "U"))</f>
        <v/>
      </c>
      <c r="B408" s="3" t="str">
        <f>IF('Input Sheet'!C410="","",CONCATENATE("Sample ", 'Input Sheet'!B410, "m: ", O408, I408, "% ", "Siltstone, ", Q408, 'Input Sheet'!C410, "% ", K408, " Sandstone "))</f>
        <v/>
      </c>
      <c r="C408" s="3" t="str">
        <f>IF('Input Sheet'!C410="","",CONCATENATE("Sample ", 'Input Sheet'!B410, "m: ", N408,, L408, K408, " FLUOR in SST. ", "TG ", 'Input Sheet'!I410, "U"))</f>
        <v/>
      </c>
      <c r="H408" s="6" t="str">
        <f>IF('Input Sheet'!C410="","",100-'Input Sheet'!C410)</f>
        <v/>
      </c>
      <c r="I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8" s="6" t="str">
        <f t="shared" si="6"/>
        <v/>
      </c>
      <c r="K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8" s="6" t="str">
        <f>IF('Input Sheet'!F410=0, "NO",CONCATENATE('Input Sheet'!F410, IF('Input Sheet'!F410&gt;0,"% ","")))</f>
        <v>NO</v>
      </c>
      <c r="M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8" s="6" t="str">
        <f>CONCATENATE(M408, IF('Input Sheet'!J410="",""," siderite in "))</f>
        <v/>
      </c>
      <c r="O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8" s="6" t="str">
        <f>CONCATENATE(O408, IF('Input Sheet'!K410="",""," siderite in "))</f>
        <v/>
      </c>
    </row>
    <row r="409" spans="1:16" x14ac:dyDescent="0.25">
      <c r="A409" s="17" t="str">
        <f>IF('Input Sheet'!C411="","",CONCATENATE("Sample ", 'Input Sheet'!B411, "m: ", N409, H409, "% ", "Siltstone, ", P409, 'Input Sheet'!C411, "% ", J409, " Sandstone, ", L409, K409, " FLUOR in SST. ", "TG ", 'Input Sheet'!I411, "U"))</f>
        <v/>
      </c>
      <c r="B409" s="3" t="str">
        <f>IF('Input Sheet'!C411="","",CONCATENATE("Sample ", 'Input Sheet'!B411, "m: ", O409, I409, "% ", "Siltstone, ", Q409, 'Input Sheet'!C411, "% ", K409, " Sandstone "))</f>
        <v/>
      </c>
      <c r="C409" s="3" t="str">
        <f>IF('Input Sheet'!C411="","",CONCATENATE("Sample ", 'Input Sheet'!B411, "m: ", N409,, L409, K409, " FLUOR in SST. ", "TG ", 'Input Sheet'!I411, "U"))</f>
        <v/>
      </c>
      <c r="H409" s="6" t="str">
        <f>IF('Input Sheet'!C411="","",100-'Input Sheet'!C411)</f>
        <v/>
      </c>
      <c r="I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09" s="6" t="str">
        <f t="shared" si="6"/>
        <v/>
      </c>
      <c r="K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09" s="6" t="str">
        <f>IF('Input Sheet'!F411=0, "NO",CONCATENATE('Input Sheet'!F411, IF('Input Sheet'!F411&gt;0,"% ","")))</f>
        <v>NO</v>
      </c>
      <c r="M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09" s="6" t="str">
        <f>CONCATENATE(M409, IF('Input Sheet'!J411="",""," siderite in "))</f>
        <v/>
      </c>
      <c r="O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09" s="6" t="str">
        <f>CONCATENATE(O409, IF('Input Sheet'!K411="",""," siderite in "))</f>
        <v/>
      </c>
    </row>
    <row r="410" spans="1:16" x14ac:dyDescent="0.25">
      <c r="A410" s="17" t="str">
        <f>IF('Input Sheet'!C412="","",CONCATENATE("Sample ", 'Input Sheet'!B412, "m: ", N410, H410, "% ", "Siltstone, ", P410, 'Input Sheet'!C412, "% ", J410, " Sandstone, ", L410, K410, " FLUOR in SST. ", "TG ", 'Input Sheet'!I412, "U"))</f>
        <v/>
      </c>
      <c r="B410" s="3" t="str">
        <f>IF('Input Sheet'!C412="","",CONCATENATE("Sample ", 'Input Sheet'!B412, "m: ", O410, I410, "% ", "Siltstone, ", Q410, 'Input Sheet'!C412, "% ", K410, " Sandstone "))</f>
        <v/>
      </c>
      <c r="C410" s="3" t="str">
        <f>IF('Input Sheet'!C412="","",CONCATENATE("Sample ", 'Input Sheet'!B412, "m: ", N410,, L410, K410, " FLUOR in SST. ", "TG ", 'Input Sheet'!I412, "U"))</f>
        <v/>
      </c>
      <c r="H410" s="6" t="str">
        <f>IF('Input Sheet'!C412="","",100-'Input Sheet'!C412)</f>
        <v/>
      </c>
      <c r="I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0" s="6" t="str">
        <f t="shared" si="6"/>
        <v/>
      </c>
      <c r="K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0" s="6" t="str">
        <f>IF('Input Sheet'!F412=0, "NO",CONCATENATE('Input Sheet'!F412, IF('Input Sheet'!F412&gt;0,"% ","")))</f>
        <v>NO</v>
      </c>
      <c r="M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0" s="6" t="str">
        <f>CONCATENATE(M410, IF('Input Sheet'!J412="",""," siderite in "))</f>
        <v/>
      </c>
      <c r="O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0" s="6" t="str">
        <f>CONCATENATE(O410, IF('Input Sheet'!K412="",""," siderite in "))</f>
        <v/>
      </c>
    </row>
    <row r="411" spans="1:16" x14ac:dyDescent="0.25">
      <c r="A411" s="17" t="str">
        <f>IF('Input Sheet'!C413="","",CONCATENATE("Sample ", 'Input Sheet'!B413, "m: ", N411, H411, "% ", "Siltstone, ", P411, 'Input Sheet'!C413, "% ", J411, " Sandstone, ", L411, K411, " FLUOR in SST. ", "TG ", 'Input Sheet'!I413, "U"))</f>
        <v/>
      </c>
      <c r="B411" s="3" t="str">
        <f>IF('Input Sheet'!C413="","",CONCATENATE("Sample ", 'Input Sheet'!B413, "m: ", O411, I411, "% ", "Siltstone, ", Q411, 'Input Sheet'!C413, "% ", K411, " Sandstone "))</f>
        <v/>
      </c>
      <c r="C411" s="3" t="str">
        <f>IF('Input Sheet'!C413="","",CONCATENATE("Sample ", 'Input Sheet'!B413, "m: ", N411,, L411, K411, " FLUOR in SST. ", "TG ", 'Input Sheet'!I413, "U"))</f>
        <v/>
      </c>
      <c r="H411" s="6" t="str">
        <f>IF('Input Sheet'!C413="","",100-'Input Sheet'!C413)</f>
        <v/>
      </c>
      <c r="I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1" s="6" t="str">
        <f t="shared" si="6"/>
        <v/>
      </c>
      <c r="K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1" s="6" t="str">
        <f>IF('Input Sheet'!F413=0, "NO",CONCATENATE('Input Sheet'!F413, IF('Input Sheet'!F413&gt;0,"% ","")))</f>
        <v>NO</v>
      </c>
      <c r="M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1" s="6" t="str">
        <f>CONCATENATE(M411, IF('Input Sheet'!J413="",""," siderite in "))</f>
        <v/>
      </c>
      <c r="O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1" s="6" t="str">
        <f>CONCATENATE(O411, IF('Input Sheet'!K413="",""," siderite in "))</f>
        <v/>
      </c>
    </row>
    <row r="412" spans="1:16" x14ac:dyDescent="0.25">
      <c r="A412" s="17" t="str">
        <f>IF('Input Sheet'!C414="","",CONCATENATE("Sample ", 'Input Sheet'!B414, "m: ", N412, H412, "% ", "Siltstone, ", P412, 'Input Sheet'!C414, "% ", J412, " Sandstone, ", L412, K412, " FLUOR in SST. ", "TG ", 'Input Sheet'!I414, "U"))</f>
        <v/>
      </c>
      <c r="B412" s="3" t="str">
        <f>IF('Input Sheet'!C414="","",CONCATENATE("Sample ", 'Input Sheet'!B414, "m: ", O412, I412, "% ", "Siltstone, ", Q412, 'Input Sheet'!C414, "% ", K412, " Sandstone "))</f>
        <v/>
      </c>
      <c r="C412" s="3" t="str">
        <f>IF('Input Sheet'!C414="","",CONCATENATE("Sample ", 'Input Sheet'!B414, "m: ", N412,, L412, K412, " FLUOR in SST. ", "TG ", 'Input Sheet'!I414, "U"))</f>
        <v/>
      </c>
      <c r="H412" s="6" t="str">
        <f>IF('Input Sheet'!C414="","",100-'Input Sheet'!C414)</f>
        <v/>
      </c>
      <c r="I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2" s="6" t="str">
        <f t="shared" si="6"/>
        <v/>
      </c>
      <c r="K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2" s="6" t="str">
        <f>IF('Input Sheet'!F414=0, "NO",CONCATENATE('Input Sheet'!F414, IF('Input Sheet'!F414&gt;0,"% ","")))</f>
        <v>NO</v>
      </c>
      <c r="M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2" s="6" t="str">
        <f>CONCATENATE(M412, IF('Input Sheet'!J414="",""," siderite in "))</f>
        <v/>
      </c>
      <c r="O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2" s="6" t="str">
        <f>CONCATENATE(O412, IF('Input Sheet'!K414="",""," siderite in "))</f>
        <v/>
      </c>
    </row>
    <row r="413" spans="1:16" x14ac:dyDescent="0.25">
      <c r="A413" s="17" t="str">
        <f>IF('Input Sheet'!C415="","",CONCATENATE("Sample ", 'Input Sheet'!B415, "m: ", N413, H413, "% ", "Siltstone, ", P413, 'Input Sheet'!C415, "% ", J413, " Sandstone, ", L413, K413, " FLUOR in SST. ", "TG ", 'Input Sheet'!I415, "U"))</f>
        <v/>
      </c>
      <c r="B413" s="3" t="str">
        <f>IF('Input Sheet'!C415="","",CONCATENATE("Sample ", 'Input Sheet'!B415, "m: ", O413, I413, "% ", "Siltstone, ", Q413, 'Input Sheet'!C415, "% ", K413, " Sandstone "))</f>
        <v/>
      </c>
      <c r="C413" s="3" t="str">
        <f>IF('Input Sheet'!C415="","",CONCATENATE("Sample ", 'Input Sheet'!B415, "m: ", N413,, L413, K413, " FLUOR in SST. ", "TG ", 'Input Sheet'!I415, "U"))</f>
        <v/>
      </c>
      <c r="H413" s="6" t="str">
        <f>IF('Input Sheet'!C415="","",100-'Input Sheet'!C415)</f>
        <v/>
      </c>
      <c r="I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3" s="6" t="str">
        <f t="shared" si="6"/>
        <v/>
      </c>
      <c r="K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3" s="6" t="str">
        <f>IF('Input Sheet'!F415=0, "NO",CONCATENATE('Input Sheet'!F415, IF('Input Sheet'!F415&gt;0,"% ","")))</f>
        <v>NO</v>
      </c>
      <c r="M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3" s="6" t="str">
        <f>CONCATENATE(M413, IF('Input Sheet'!J415="",""," siderite in "))</f>
        <v/>
      </c>
      <c r="O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3" s="6" t="str">
        <f>CONCATENATE(O413, IF('Input Sheet'!K415="",""," siderite in "))</f>
        <v/>
      </c>
    </row>
    <row r="414" spans="1:16" x14ac:dyDescent="0.25">
      <c r="A414" s="17" t="str">
        <f>IF('Input Sheet'!C416="","",CONCATENATE("Sample ", 'Input Sheet'!B416, "m: ", N414, H414, "% ", "Siltstone, ", P414, 'Input Sheet'!C416, "% ", J414, " Sandstone, ", L414, K414, " FLUOR in SST. ", "TG ", 'Input Sheet'!I416, "U"))</f>
        <v/>
      </c>
      <c r="B414" s="3" t="str">
        <f>IF('Input Sheet'!C416="","",CONCATENATE("Sample ", 'Input Sheet'!B416, "m: ", O414, I414, "% ", "Siltstone, ", Q414, 'Input Sheet'!C416, "% ", K414, " Sandstone "))</f>
        <v/>
      </c>
      <c r="C414" s="3" t="str">
        <f>IF('Input Sheet'!C416="","",CONCATENATE("Sample ", 'Input Sheet'!B416, "m: ", N414,, L414, K414, " FLUOR in SST. ", "TG ", 'Input Sheet'!I416, "U"))</f>
        <v/>
      </c>
      <c r="H414" s="6" t="str">
        <f>IF('Input Sheet'!C416="","",100-'Input Sheet'!C416)</f>
        <v/>
      </c>
      <c r="I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4" s="6" t="str">
        <f t="shared" si="6"/>
        <v/>
      </c>
      <c r="K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4" s="6" t="str">
        <f>IF('Input Sheet'!F416=0, "NO",CONCATENATE('Input Sheet'!F416, IF('Input Sheet'!F416&gt;0,"% ","")))</f>
        <v>NO</v>
      </c>
      <c r="M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4" s="6" t="str">
        <f>CONCATENATE(M414, IF('Input Sheet'!J416="",""," siderite in "))</f>
        <v/>
      </c>
      <c r="O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4" s="6" t="str">
        <f>CONCATENATE(O414, IF('Input Sheet'!K416="",""," siderite in "))</f>
        <v/>
      </c>
    </row>
    <row r="415" spans="1:16" x14ac:dyDescent="0.25">
      <c r="A415" s="17" t="str">
        <f>IF('Input Sheet'!C417="","",CONCATENATE("Sample ", 'Input Sheet'!B417, "m: ", N415, H415, "% ", "Siltstone, ", P415, 'Input Sheet'!C417, "% ", J415, " Sandstone, ", L415, K415, " FLUOR in SST. ", "TG ", 'Input Sheet'!I417, "U"))</f>
        <v/>
      </c>
      <c r="B415" s="3" t="str">
        <f>IF('Input Sheet'!C417="","",CONCATENATE("Sample ", 'Input Sheet'!B417, "m: ", O415, I415, "% ", "Siltstone, ", Q415, 'Input Sheet'!C417, "% ", K415, " Sandstone "))</f>
        <v/>
      </c>
      <c r="C415" s="3" t="str">
        <f>IF('Input Sheet'!C417="","",CONCATENATE("Sample ", 'Input Sheet'!B417, "m: ", N415,, L415, K415, " FLUOR in SST. ", "TG ", 'Input Sheet'!I417, "U"))</f>
        <v/>
      </c>
      <c r="H415" s="6" t="str">
        <f>IF('Input Sheet'!C417="","",100-'Input Sheet'!C417)</f>
        <v/>
      </c>
      <c r="I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5" s="6" t="str">
        <f t="shared" si="6"/>
        <v/>
      </c>
      <c r="K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5" s="6" t="str">
        <f>IF('Input Sheet'!F417=0, "NO",CONCATENATE('Input Sheet'!F417, IF('Input Sheet'!F417&gt;0,"% ","")))</f>
        <v>NO</v>
      </c>
      <c r="M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5" s="6" t="str">
        <f>CONCATENATE(M415, IF('Input Sheet'!J417="",""," siderite in "))</f>
        <v/>
      </c>
      <c r="O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5" s="6" t="str">
        <f>CONCATENATE(O415, IF('Input Sheet'!K417="",""," siderite in "))</f>
        <v/>
      </c>
    </row>
    <row r="416" spans="1:16" x14ac:dyDescent="0.25">
      <c r="A416" s="17" t="str">
        <f>IF('Input Sheet'!C418="","",CONCATENATE("Sample ", 'Input Sheet'!B418, "m: ", N416, H416, "% ", "Siltstone, ", P416, 'Input Sheet'!C418, "% ", J416, " Sandstone, ", L416, K416, " FLUOR in SST. ", "TG ", 'Input Sheet'!I418, "U"))</f>
        <v/>
      </c>
      <c r="B416" s="3" t="str">
        <f>IF('Input Sheet'!C418="","",CONCATENATE("Sample ", 'Input Sheet'!B418, "m: ", O416, I416, "% ", "Siltstone, ", Q416, 'Input Sheet'!C418, "% ", K416, " Sandstone "))</f>
        <v/>
      </c>
      <c r="C416" s="3" t="str">
        <f>IF('Input Sheet'!C418="","",CONCATENATE("Sample ", 'Input Sheet'!B418, "m: ", N416,, L416, K416, " FLUOR in SST. ", "TG ", 'Input Sheet'!I418, "U"))</f>
        <v/>
      </c>
      <c r="H416" s="6" t="str">
        <f>IF('Input Sheet'!C418="","",100-'Input Sheet'!C418)</f>
        <v/>
      </c>
      <c r="I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6" s="6" t="str">
        <f t="shared" si="6"/>
        <v/>
      </c>
      <c r="K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6" s="6" t="str">
        <f>IF('Input Sheet'!F418=0, "NO",CONCATENATE('Input Sheet'!F418, IF('Input Sheet'!F418&gt;0,"% ","")))</f>
        <v>NO</v>
      </c>
      <c r="M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6" s="6" t="str">
        <f>CONCATENATE(M416, IF('Input Sheet'!J418="",""," siderite in "))</f>
        <v/>
      </c>
      <c r="O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6" s="6" t="str">
        <f>CONCATENATE(O416, IF('Input Sheet'!K418="",""," siderite in "))</f>
        <v/>
      </c>
    </row>
    <row r="417" spans="1:16" x14ac:dyDescent="0.25">
      <c r="A417" s="17" t="str">
        <f>IF('Input Sheet'!C419="","",CONCATENATE("Sample ", 'Input Sheet'!B419, "m: ", N417, H417, "% ", "Siltstone, ", P417, 'Input Sheet'!C419, "% ", J417, " Sandstone, ", L417, K417, " FLUOR in SST. ", "TG ", 'Input Sheet'!I419, "U"))</f>
        <v/>
      </c>
      <c r="B417" s="3" t="str">
        <f>IF('Input Sheet'!C419="","",CONCATENATE("Sample ", 'Input Sheet'!B419, "m: ", O417, I417, "% ", "Siltstone, ", Q417, 'Input Sheet'!C419, "% ", K417, " Sandstone "))</f>
        <v/>
      </c>
      <c r="C417" s="3" t="str">
        <f>IF('Input Sheet'!C419="","",CONCATENATE("Sample ", 'Input Sheet'!B419, "m: ", N417,, L417, K417, " FLUOR in SST. ", "TG ", 'Input Sheet'!I419, "U"))</f>
        <v/>
      </c>
      <c r="H417" s="6" t="str">
        <f>IF('Input Sheet'!C419="","",100-'Input Sheet'!C419)</f>
        <v/>
      </c>
      <c r="I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7" s="6" t="str">
        <f t="shared" si="6"/>
        <v/>
      </c>
      <c r="K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7" s="6" t="str">
        <f>IF('Input Sheet'!F419=0, "NO",CONCATENATE('Input Sheet'!F419, IF('Input Sheet'!F419&gt;0,"% ","")))</f>
        <v>NO</v>
      </c>
      <c r="M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7" s="6" t="str">
        <f>CONCATENATE(M417, IF('Input Sheet'!J419="",""," siderite in "))</f>
        <v/>
      </c>
      <c r="O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7" s="6" t="str">
        <f>CONCATENATE(O417, IF('Input Sheet'!K419="",""," siderite in "))</f>
        <v/>
      </c>
    </row>
    <row r="418" spans="1:16" x14ac:dyDescent="0.25">
      <c r="A418" s="17" t="str">
        <f>IF('Input Sheet'!C420="","",CONCATENATE("Sample ", 'Input Sheet'!B420, "m: ", N418, H418, "% ", "Siltstone, ", P418, 'Input Sheet'!C420, "% ", J418, " Sandstone, ", L418, K418, " FLUOR in SST. ", "TG ", 'Input Sheet'!I420, "U"))</f>
        <v/>
      </c>
      <c r="B418" s="3" t="str">
        <f>IF('Input Sheet'!C420="","",CONCATENATE("Sample ", 'Input Sheet'!B420, "m: ", O418, I418, "% ", "Siltstone, ", Q418, 'Input Sheet'!C420, "% ", K418, " Sandstone "))</f>
        <v/>
      </c>
      <c r="C418" s="3" t="str">
        <f>IF('Input Sheet'!C420="","",CONCATENATE("Sample ", 'Input Sheet'!B420, "m: ", N418,, L418, K418, " FLUOR in SST. ", "TG ", 'Input Sheet'!I420, "U"))</f>
        <v/>
      </c>
      <c r="H418" s="6" t="str">
        <f>IF('Input Sheet'!C420="","",100-'Input Sheet'!C420)</f>
        <v/>
      </c>
      <c r="I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8" s="6" t="str">
        <f t="shared" si="6"/>
        <v/>
      </c>
      <c r="K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8" s="6" t="str">
        <f>IF('Input Sheet'!F420=0, "NO",CONCATENATE('Input Sheet'!F420, IF('Input Sheet'!F420&gt;0,"% ","")))</f>
        <v>NO</v>
      </c>
      <c r="M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8" s="6" t="str">
        <f>CONCATENATE(M418, IF('Input Sheet'!J420="",""," siderite in "))</f>
        <v/>
      </c>
      <c r="O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8" s="6" t="str">
        <f>CONCATENATE(O418, IF('Input Sheet'!K420="",""," siderite in "))</f>
        <v/>
      </c>
    </row>
    <row r="419" spans="1:16" x14ac:dyDescent="0.25">
      <c r="A419" s="17" t="str">
        <f>IF('Input Sheet'!C421="","",CONCATENATE("Sample ", 'Input Sheet'!B421, "m: ", N419, H419, "% ", "Siltstone, ", P419, 'Input Sheet'!C421, "% ", J419, " Sandstone, ", L419, K419, " FLUOR in SST. ", "TG ", 'Input Sheet'!I421, "U"))</f>
        <v/>
      </c>
      <c r="B419" s="3" t="str">
        <f>IF('Input Sheet'!C421="","",CONCATENATE("Sample ", 'Input Sheet'!B421, "m: ", O419, I419, "% ", "Siltstone, ", Q419, 'Input Sheet'!C421, "% ", K419, " Sandstone "))</f>
        <v/>
      </c>
      <c r="C419" s="3" t="str">
        <f>IF('Input Sheet'!C421="","",CONCATENATE("Sample ", 'Input Sheet'!B421, "m: ", N419,, L419, K419, " FLUOR in SST. ", "TG ", 'Input Sheet'!I421, "U"))</f>
        <v/>
      </c>
      <c r="H419" s="6" t="str">
        <f>IF('Input Sheet'!C421="","",100-'Input Sheet'!C421)</f>
        <v/>
      </c>
      <c r="I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19" s="6" t="str">
        <f t="shared" si="6"/>
        <v/>
      </c>
      <c r="K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19" s="6" t="str">
        <f>IF('Input Sheet'!F421=0, "NO",CONCATENATE('Input Sheet'!F421, IF('Input Sheet'!F421&gt;0,"% ","")))</f>
        <v>NO</v>
      </c>
      <c r="M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19" s="6" t="str">
        <f>CONCATENATE(M419, IF('Input Sheet'!J421="",""," siderite in "))</f>
        <v/>
      </c>
      <c r="O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19" s="6" t="str">
        <f>CONCATENATE(O419, IF('Input Sheet'!K421="",""," siderite in "))</f>
        <v/>
      </c>
    </row>
    <row r="420" spans="1:16" x14ac:dyDescent="0.25">
      <c r="A420" s="17" t="str">
        <f>IF('Input Sheet'!C422="","",CONCATENATE("Sample ", 'Input Sheet'!B422, "m: ", N420, H420, "% ", "Siltstone, ", P420, 'Input Sheet'!C422, "% ", J420, " Sandstone, ", L420, K420, " FLUOR in SST. ", "TG ", 'Input Sheet'!I422, "U"))</f>
        <v/>
      </c>
      <c r="B420" s="3" t="str">
        <f>IF('Input Sheet'!C422="","",CONCATENATE("Sample ", 'Input Sheet'!B422, "m: ", O420, I420, "% ", "Siltstone, ", Q420, 'Input Sheet'!C422, "% ", K420, " Sandstone "))</f>
        <v/>
      </c>
      <c r="C420" s="3" t="str">
        <f>IF('Input Sheet'!C422="","",CONCATENATE("Sample ", 'Input Sheet'!B422, "m: ", N420,, L420, K420, " FLUOR in SST. ", "TG ", 'Input Sheet'!I422, "U"))</f>
        <v/>
      </c>
      <c r="H420" s="6" t="str">
        <f>IF('Input Sheet'!C422="","",100-'Input Sheet'!C422)</f>
        <v/>
      </c>
      <c r="I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0" s="6" t="str">
        <f t="shared" si="6"/>
        <v/>
      </c>
      <c r="K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0" s="6" t="str">
        <f>IF('Input Sheet'!F422=0, "NO",CONCATENATE('Input Sheet'!F422, IF('Input Sheet'!F422&gt;0,"% ","")))</f>
        <v>NO</v>
      </c>
      <c r="M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0" s="6" t="str">
        <f>CONCATENATE(M420, IF('Input Sheet'!J422="",""," siderite in "))</f>
        <v/>
      </c>
      <c r="O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0" s="6" t="str">
        <f>CONCATENATE(O420, IF('Input Sheet'!K422="",""," siderite in "))</f>
        <v/>
      </c>
    </row>
    <row r="421" spans="1:16" x14ac:dyDescent="0.25">
      <c r="A421" s="17" t="str">
        <f>IF('Input Sheet'!C423="","",CONCATENATE("Sample ", 'Input Sheet'!B423, "m: ", N421, H421, "% ", "Siltstone, ", P421, 'Input Sheet'!C423, "% ", J421, " Sandstone, ", L421, K421, " FLUOR in SST. ", "TG ", 'Input Sheet'!I423, "U"))</f>
        <v/>
      </c>
      <c r="B421" s="3" t="str">
        <f>IF('Input Sheet'!C423="","",CONCATENATE("Sample ", 'Input Sheet'!B423, "m: ", O421, I421, "% ", "Siltstone, ", Q421, 'Input Sheet'!C423, "% ", K421, " Sandstone "))</f>
        <v/>
      </c>
      <c r="C421" s="3" t="str">
        <f>IF('Input Sheet'!C423="","",CONCATENATE("Sample ", 'Input Sheet'!B423, "m: ", N421,, L421, K421, " FLUOR in SST. ", "TG ", 'Input Sheet'!I423, "U"))</f>
        <v/>
      </c>
      <c r="H421" s="6" t="str">
        <f>IF('Input Sheet'!C423="","",100-'Input Sheet'!C423)</f>
        <v/>
      </c>
      <c r="I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1" s="6" t="str">
        <f t="shared" si="6"/>
        <v/>
      </c>
      <c r="K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1" s="6" t="str">
        <f>IF('Input Sheet'!F423=0, "NO",CONCATENATE('Input Sheet'!F423, IF('Input Sheet'!F423&gt;0,"% ","")))</f>
        <v>NO</v>
      </c>
      <c r="M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1" s="6" t="str">
        <f>CONCATENATE(M421, IF('Input Sheet'!J423="",""," siderite in "))</f>
        <v/>
      </c>
      <c r="O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1" s="6" t="str">
        <f>CONCATENATE(O421, IF('Input Sheet'!K423="",""," siderite in "))</f>
        <v/>
      </c>
    </row>
    <row r="422" spans="1:16" x14ac:dyDescent="0.25">
      <c r="A422" s="17" t="str">
        <f>IF('Input Sheet'!C424="","",CONCATENATE("Sample ", 'Input Sheet'!B424, "m: ", N422, H422, "% ", "Siltstone, ", P422, 'Input Sheet'!C424, "% ", J422, " Sandstone, ", L422, K422, " FLUOR in SST. ", "TG ", 'Input Sheet'!I424, "U"))</f>
        <v/>
      </c>
      <c r="B422" s="3" t="str">
        <f>IF('Input Sheet'!C424="","",CONCATENATE("Sample ", 'Input Sheet'!B424, "m: ", O422, I422, "% ", "Siltstone, ", Q422, 'Input Sheet'!C424, "% ", K422, " Sandstone "))</f>
        <v/>
      </c>
      <c r="C422" s="3" t="str">
        <f>IF('Input Sheet'!C424="","",CONCATENATE("Sample ", 'Input Sheet'!B424, "m: ", N422,, L422, K422, " FLUOR in SST. ", "TG ", 'Input Sheet'!I424, "U"))</f>
        <v/>
      </c>
      <c r="H422" s="6" t="str">
        <f>IF('Input Sheet'!C424="","",100-'Input Sheet'!C424)</f>
        <v/>
      </c>
      <c r="I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2" s="6" t="str">
        <f t="shared" si="6"/>
        <v/>
      </c>
      <c r="K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2" s="6" t="str">
        <f>IF('Input Sheet'!F424=0, "NO",CONCATENATE('Input Sheet'!F424, IF('Input Sheet'!F424&gt;0,"% ","")))</f>
        <v>NO</v>
      </c>
      <c r="M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2" s="6" t="str">
        <f>CONCATENATE(M422, IF('Input Sheet'!J424="",""," siderite in "))</f>
        <v/>
      </c>
      <c r="O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2" s="6" t="str">
        <f>CONCATENATE(O422, IF('Input Sheet'!K424="",""," siderite in "))</f>
        <v/>
      </c>
    </row>
    <row r="423" spans="1:16" x14ac:dyDescent="0.25">
      <c r="A423" s="17" t="str">
        <f>IF('Input Sheet'!C425="","",CONCATENATE("Sample ", 'Input Sheet'!B425, "m: ", N423, H423, "% ", "Siltstone, ", P423, 'Input Sheet'!C425, "% ", J423, " Sandstone, ", L423, K423, " FLUOR in SST. ", "TG ", 'Input Sheet'!I425, "U"))</f>
        <v/>
      </c>
      <c r="B423" s="3" t="str">
        <f>IF('Input Sheet'!C425="","",CONCATENATE("Sample ", 'Input Sheet'!B425, "m: ", O423, I423, "% ", "Siltstone, ", Q423, 'Input Sheet'!C425, "% ", K423, " Sandstone "))</f>
        <v/>
      </c>
      <c r="C423" s="3" t="str">
        <f>IF('Input Sheet'!C425="","",CONCATENATE("Sample ", 'Input Sheet'!B425, "m: ", N423,, L423, K423, " FLUOR in SST. ", "TG ", 'Input Sheet'!I425, "U"))</f>
        <v/>
      </c>
      <c r="H423" s="6" t="str">
        <f>IF('Input Sheet'!C425="","",100-'Input Sheet'!C425)</f>
        <v/>
      </c>
      <c r="I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3" s="6" t="str">
        <f t="shared" si="6"/>
        <v/>
      </c>
      <c r="K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3" s="6" t="str">
        <f>IF('Input Sheet'!F425=0, "NO",CONCATENATE('Input Sheet'!F425, IF('Input Sheet'!F425&gt;0,"% ","")))</f>
        <v>NO</v>
      </c>
      <c r="M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3" s="6" t="str">
        <f>CONCATENATE(M423, IF('Input Sheet'!J425="",""," siderite in "))</f>
        <v/>
      </c>
      <c r="O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3" s="6" t="str">
        <f>CONCATENATE(O423, IF('Input Sheet'!K425="",""," siderite in "))</f>
        <v/>
      </c>
    </row>
    <row r="424" spans="1:16" x14ac:dyDescent="0.25">
      <c r="A424" s="17" t="str">
        <f>IF('Input Sheet'!C426="","",CONCATENATE("Sample ", 'Input Sheet'!B426, "m: ", N424, H424, "% ", "Siltstone, ", P424, 'Input Sheet'!C426, "% ", J424, " Sandstone, ", L424, K424, " FLUOR in SST. ", "TG ", 'Input Sheet'!I426, "U"))</f>
        <v/>
      </c>
      <c r="B424" s="3" t="str">
        <f>IF('Input Sheet'!C426="","",CONCATENATE("Sample ", 'Input Sheet'!B426, "m: ", O424, I424, "% ", "Siltstone, ", Q424, 'Input Sheet'!C426, "% ", K424, " Sandstone "))</f>
        <v/>
      </c>
      <c r="C424" s="3" t="str">
        <f>IF('Input Sheet'!C426="","",CONCATENATE("Sample ", 'Input Sheet'!B426, "m: ", N424,, L424, K424, " FLUOR in SST. ", "TG ", 'Input Sheet'!I426, "U"))</f>
        <v/>
      </c>
      <c r="H424" s="6" t="str">
        <f>IF('Input Sheet'!C426="","",100-'Input Sheet'!C426)</f>
        <v/>
      </c>
      <c r="I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4" s="6" t="str">
        <f t="shared" si="6"/>
        <v/>
      </c>
      <c r="K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4" s="6" t="str">
        <f>IF('Input Sheet'!F426=0, "NO",CONCATENATE('Input Sheet'!F426, IF('Input Sheet'!F426&gt;0,"% ","")))</f>
        <v>NO</v>
      </c>
      <c r="M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4" s="6" t="str">
        <f>CONCATENATE(M424, IF('Input Sheet'!J426="",""," siderite in "))</f>
        <v/>
      </c>
      <c r="O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4" s="6" t="str">
        <f>CONCATENATE(O424, IF('Input Sheet'!K426="",""," siderite in "))</f>
        <v/>
      </c>
    </row>
    <row r="425" spans="1:16" x14ac:dyDescent="0.25">
      <c r="A425" s="17" t="str">
        <f>IF('Input Sheet'!C427="","",CONCATENATE("Sample ", 'Input Sheet'!B427, "m: ", N425, H425, "% ", "Siltstone, ", P425, 'Input Sheet'!C427, "% ", J425, " Sandstone, ", L425, K425, " FLUOR in SST. ", "TG ", 'Input Sheet'!I427, "U"))</f>
        <v/>
      </c>
      <c r="B425" s="3" t="str">
        <f>IF('Input Sheet'!C427="","",CONCATENATE("Sample ", 'Input Sheet'!B427, "m: ", O425, I425, "% ", "Siltstone, ", Q425, 'Input Sheet'!C427, "% ", K425, " Sandstone "))</f>
        <v/>
      </c>
      <c r="C425" s="3" t="str">
        <f>IF('Input Sheet'!C427="","",CONCATENATE("Sample ", 'Input Sheet'!B427, "m: ", N425,, L425, K425, " FLUOR in SST. ", "TG ", 'Input Sheet'!I427, "U"))</f>
        <v/>
      </c>
      <c r="H425" s="6" t="str">
        <f>IF('Input Sheet'!C427="","",100-'Input Sheet'!C427)</f>
        <v/>
      </c>
      <c r="I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5" s="6" t="str">
        <f t="shared" si="6"/>
        <v/>
      </c>
      <c r="K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5" s="6" t="str">
        <f>IF('Input Sheet'!F427=0, "NO",CONCATENATE('Input Sheet'!F427, IF('Input Sheet'!F427&gt;0,"% ","")))</f>
        <v>NO</v>
      </c>
      <c r="M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5" s="6" t="str">
        <f>CONCATENATE(M425, IF('Input Sheet'!J427="",""," siderite in "))</f>
        <v/>
      </c>
      <c r="O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5" s="6" t="str">
        <f>CONCATENATE(O425, IF('Input Sheet'!K427="",""," siderite in "))</f>
        <v/>
      </c>
    </row>
    <row r="426" spans="1:16" x14ac:dyDescent="0.25">
      <c r="A426" s="17" t="str">
        <f>IF('Input Sheet'!C428="","",CONCATENATE("Sample ", 'Input Sheet'!B428, "m: ", N426, H426, "% ", "Siltstone, ", P426, 'Input Sheet'!C428, "% ", J426, " Sandstone, ", L426, K426, " FLUOR in SST. ", "TG ", 'Input Sheet'!I428, "U"))</f>
        <v/>
      </c>
      <c r="B426" s="3" t="str">
        <f>IF('Input Sheet'!C428="","",CONCATENATE("Sample ", 'Input Sheet'!B428, "m: ", O426, I426, "% ", "Siltstone, ", Q426, 'Input Sheet'!C428, "% ", K426, " Sandstone "))</f>
        <v/>
      </c>
      <c r="C426" s="3" t="str">
        <f>IF('Input Sheet'!C428="","",CONCATENATE("Sample ", 'Input Sheet'!B428, "m: ", N426,, L426, K426, " FLUOR in SST. ", "TG ", 'Input Sheet'!I428, "U"))</f>
        <v/>
      </c>
      <c r="H426" s="6" t="str">
        <f>IF('Input Sheet'!C428="","",100-'Input Sheet'!C428)</f>
        <v/>
      </c>
      <c r="I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6" s="6" t="str">
        <f t="shared" si="6"/>
        <v/>
      </c>
      <c r="K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6" s="6" t="str">
        <f>IF('Input Sheet'!F428=0, "NO",CONCATENATE('Input Sheet'!F428, IF('Input Sheet'!F428&gt;0,"% ","")))</f>
        <v>NO</v>
      </c>
      <c r="M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6" s="6" t="str">
        <f>CONCATENATE(M426, IF('Input Sheet'!J428="",""," siderite in "))</f>
        <v/>
      </c>
      <c r="O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6" s="6" t="str">
        <f>CONCATENATE(O426, IF('Input Sheet'!K428="",""," siderite in "))</f>
        <v/>
      </c>
    </row>
    <row r="427" spans="1:16" x14ac:dyDescent="0.25">
      <c r="A427" s="17" t="str">
        <f>IF('Input Sheet'!C429="","",CONCATENATE("Sample ", 'Input Sheet'!B429, "m: ", N427, H427, "% ", "Siltstone, ", P427, 'Input Sheet'!C429, "% ", J427, " Sandstone, ", L427, K427, " FLUOR in SST. ", "TG ", 'Input Sheet'!I429, "U"))</f>
        <v/>
      </c>
      <c r="B427" s="3" t="str">
        <f>IF('Input Sheet'!C429="","",CONCATENATE("Sample ", 'Input Sheet'!B429, "m: ", O427, I427, "% ", "Siltstone, ", Q427, 'Input Sheet'!C429, "% ", K427, " Sandstone "))</f>
        <v/>
      </c>
      <c r="C427" s="3" t="str">
        <f>IF('Input Sheet'!C429="","",CONCATENATE("Sample ", 'Input Sheet'!B429, "m: ", N427,, L427, K427, " FLUOR in SST. ", "TG ", 'Input Sheet'!I429, "U"))</f>
        <v/>
      </c>
      <c r="H427" s="6" t="str">
        <f>IF('Input Sheet'!C429="","",100-'Input Sheet'!C429)</f>
        <v/>
      </c>
      <c r="I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7" s="6" t="str">
        <f t="shared" si="6"/>
        <v/>
      </c>
      <c r="K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7" s="6" t="str">
        <f>IF('Input Sheet'!F429=0, "NO",CONCATENATE('Input Sheet'!F429, IF('Input Sheet'!F429&gt;0,"% ","")))</f>
        <v>NO</v>
      </c>
      <c r="M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7" s="6" t="str">
        <f>CONCATENATE(M427, IF('Input Sheet'!J429="",""," siderite in "))</f>
        <v/>
      </c>
      <c r="O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7" s="6" t="str">
        <f>CONCATENATE(O427, IF('Input Sheet'!K429="",""," siderite in "))</f>
        <v/>
      </c>
    </row>
    <row r="428" spans="1:16" x14ac:dyDescent="0.25">
      <c r="A428" s="17" t="str">
        <f>IF('Input Sheet'!C430="","",CONCATENATE("Sample ", 'Input Sheet'!B430, "m: ", N428, H428, "% ", "Siltstone, ", P428, 'Input Sheet'!C430, "% ", J428, " Sandstone, ", L428, K428, " FLUOR in SST. ", "TG ", 'Input Sheet'!I430, "U"))</f>
        <v/>
      </c>
      <c r="B428" s="3" t="str">
        <f>IF('Input Sheet'!C430="","",CONCATENATE("Sample ", 'Input Sheet'!B430, "m: ", O428, I428, "% ", "Siltstone, ", Q428, 'Input Sheet'!C430, "% ", K428, " Sandstone "))</f>
        <v/>
      </c>
      <c r="C428" s="3" t="str">
        <f>IF('Input Sheet'!C430="","",CONCATENATE("Sample ", 'Input Sheet'!B430, "m: ", N428,, L428, K428, " FLUOR in SST. ", "TG ", 'Input Sheet'!I430, "U"))</f>
        <v/>
      </c>
      <c r="H428" s="6" t="str">
        <f>IF('Input Sheet'!C430="","",100-'Input Sheet'!C430)</f>
        <v/>
      </c>
      <c r="I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8" s="6" t="str">
        <f t="shared" si="6"/>
        <v/>
      </c>
      <c r="K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8" s="6" t="str">
        <f>IF('Input Sheet'!F430=0, "NO",CONCATENATE('Input Sheet'!F430, IF('Input Sheet'!F430&gt;0,"% ","")))</f>
        <v>NO</v>
      </c>
      <c r="M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8" s="6" t="str">
        <f>CONCATENATE(M428, IF('Input Sheet'!J430="",""," siderite in "))</f>
        <v/>
      </c>
      <c r="O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8" s="6" t="str">
        <f>CONCATENATE(O428, IF('Input Sheet'!K430="",""," siderite in "))</f>
        <v/>
      </c>
    </row>
    <row r="429" spans="1:16" x14ac:dyDescent="0.25">
      <c r="A429" s="17" t="str">
        <f>IF('Input Sheet'!C431="","",CONCATENATE("Sample ", 'Input Sheet'!B431, "m: ", N429, H429, "% ", "Siltstone, ", P429, 'Input Sheet'!C431, "% ", J429, " Sandstone, ", L429, K429, " FLUOR in SST. ", "TG ", 'Input Sheet'!I431, "U"))</f>
        <v/>
      </c>
      <c r="B429" s="3" t="str">
        <f>IF('Input Sheet'!C431="","",CONCATENATE("Sample ", 'Input Sheet'!B431, "m: ", O429, I429, "% ", "Siltstone, ", Q429, 'Input Sheet'!C431, "% ", K429, " Sandstone "))</f>
        <v/>
      </c>
      <c r="C429" s="3" t="str">
        <f>IF('Input Sheet'!C431="","",CONCATENATE("Sample ", 'Input Sheet'!B431, "m: ", N429,, L429, K429, " FLUOR in SST. ", "TG ", 'Input Sheet'!I431, "U"))</f>
        <v/>
      </c>
      <c r="H429" s="6" t="str">
        <f>IF('Input Sheet'!C431="","",100-'Input Sheet'!C431)</f>
        <v/>
      </c>
      <c r="I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29" s="6" t="str">
        <f t="shared" si="6"/>
        <v/>
      </c>
      <c r="K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29" s="6" t="str">
        <f>IF('Input Sheet'!F431=0, "NO",CONCATENATE('Input Sheet'!F431, IF('Input Sheet'!F431&gt;0,"% ","")))</f>
        <v>NO</v>
      </c>
      <c r="M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29" s="6" t="str">
        <f>CONCATENATE(M429, IF('Input Sheet'!J431="",""," siderite in "))</f>
        <v/>
      </c>
      <c r="O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29" s="6" t="str">
        <f>CONCATENATE(O429, IF('Input Sheet'!K431="",""," siderite in "))</f>
        <v/>
      </c>
    </row>
    <row r="430" spans="1:16" x14ac:dyDescent="0.25">
      <c r="A430" s="17" t="str">
        <f>IF('Input Sheet'!C432="","",CONCATENATE("Sample ", 'Input Sheet'!B432, "m: ", N430, H430, "% ", "Siltstone, ", P430, 'Input Sheet'!C432, "% ", J430, " Sandstone, ", L430, K430, " FLUOR in SST. ", "TG ", 'Input Sheet'!I432, "U"))</f>
        <v/>
      </c>
      <c r="B430" s="3" t="str">
        <f>IF('Input Sheet'!C432="","",CONCATENATE("Sample ", 'Input Sheet'!B432, "m: ", O430, I430, "% ", "Siltstone, ", Q430, 'Input Sheet'!C432, "% ", K430, " Sandstone "))</f>
        <v/>
      </c>
      <c r="C430" s="3" t="str">
        <f>IF('Input Sheet'!C432="","",CONCATENATE("Sample ", 'Input Sheet'!B432, "m: ", N430,, L430, K430, " FLUOR in SST. ", "TG ", 'Input Sheet'!I432, "U"))</f>
        <v/>
      </c>
      <c r="H430" s="6" t="str">
        <f>IF('Input Sheet'!C432="","",100-'Input Sheet'!C432)</f>
        <v/>
      </c>
      <c r="I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0" s="6" t="str">
        <f t="shared" si="6"/>
        <v/>
      </c>
      <c r="K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0" s="6" t="str">
        <f>IF('Input Sheet'!F432=0, "NO",CONCATENATE('Input Sheet'!F432, IF('Input Sheet'!F432&gt;0,"% ","")))</f>
        <v>NO</v>
      </c>
      <c r="M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0" s="6" t="str">
        <f>CONCATENATE(M430, IF('Input Sheet'!J432="",""," siderite in "))</f>
        <v/>
      </c>
      <c r="O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0" s="6" t="str">
        <f>CONCATENATE(O430, IF('Input Sheet'!K432="",""," siderite in "))</f>
        <v/>
      </c>
    </row>
    <row r="431" spans="1:16" x14ac:dyDescent="0.25">
      <c r="A431" s="17" t="str">
        <f>IF('Input Sheet'!C433="","",CONCATENATE("Sample ", 'Input Sheet'!B433, "m: ", N431, H431, "% ", "Siltstone, ", P431, 'Input Sheet'!C433, "% ", J431, " Sandstone, ", L431, K431, " FLUOR in SST. ", "TG ", 'Input Sheet'!I433, "U"))</f>
        <v/>
      </c>
      <c r="B431" s="3" t="str">
        <f>IF('Input Sheet'!C433="","",CONCATENATE("Sample ", 'Input Sheet'!B433, "m: ", O431, I431, "% ", "Siltstone, ", Q431, 'Input Sheet'!C433, "% ", K431, " Sandstone "))</f>
        <v/>
      </c>
      <c r="C431" s="3" t="str">
        <f>IF('Input Sheet'!C433="","",CONCATENATE("Sample ", 'Input Sheet'!B433, "m: ", N431,, L431, K431, " FLUOR in SST. ", "TG ", 'Input Sheet'!I433, "U"))</f>
        <v/>
      </c>
      <c r="H431" s="6" t="str">
        <f>IF('Input Sheet'!C433="","",100-'Input Sheet'!C433)</f>
        <v/>
      </c>
      <c r="I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1" s="6" t="str">
        <f t="shared" si="6"/>
        <v/>
      </c>
      <c r="K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1" s="6" t="str">
        <f>IF('Input Sheet'!F433=0, "NO",CONCATENATE('Input Sheet'!F433, IF('Input Sheet'!F433&gt;0,"% ","")))</f>
        <v>NO</v>
      </c>
      <c r="M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1" s="6" t="str">
        <f>CONCATENATE(M431, IF('Input Sheet'!J433="",""," siderite in "))</f>
        <v/>
      </c>
      <c r="O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1" s="6" t="str">
        <f>CONCATENATE(O431, IF('Input Sheet'!K433="",""," siderite in "))</f>
        <v/>
      </c>
    </row>
    <row r="432" spans="1:16" x14ac:dyDescent="0.25">
      <c r="A432" s="17" t="str">
        <f>IF('Input Sheet'!C434="","",CONCATENATE("Sample ", 'Input Sheet'!B434, "m: ", N432, H432, "% ", "Siltstone, ", P432, 'Input Sheet'!C434, "% ", J432, " Sandstone, ", L432, K432, " FLUOR in SST. ", "TG ", 'Input Sheet'!I434, "U"))</f>
        <v/>
      </c>
      <c r="B432" s="3" t="str">
        <f>IF('Input Sheet'!C434="","",CONCATENATE("Sample ", 'Input Sheet'!B434, "m: ", O432, I432, "% ", "Siltstone, ", Q432, 'Input Sheet'!C434, "% ", K432, " Sandstone "))</f>
        <v/>
      </c>
      <c r="C432" s="3" t="str">
        <f>IF('Input Sheet'!C434="","",CONCATENATE("Sample ", 'Input Sheet'!B434, "m: ", N432,, L432, K432, " FLUOR in SST. ", "TG ", 'Input Sheet'!I434, "U"))</f>
        <v/>
      </c>
      <c r="H432" s="6" t="str">
        <f>IF('Input Sheet'!C434="","",100-'Input Sheet'!C434)</f>
        <v/>
      </c>
      <c r="I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2" s="6" t="str">
        <f t="shared" si="6"/>
        <v/>
      </c>
      <c r="K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2" s="6" t="str">
        <f>IF('Input Sheet'!F434=0, "NO",CONCATENATE('Input Sheet'!F434, IF('Input Sheet'!F434&gt;0,"% ","")))</f>
        <v>NO</v>
      </c>
      <c r="M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2" s="6" t="str">
        <f>CONCATENATE(M432, IF('Input Sheet'!J434="",""," siderite in "))</f>
        <v/>
      </c>
      <c r="O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2" s="6" t="str">
        <f>CONCATENATE(O432, IF('Input Sheet'!K434="",""," siderite in "))</f>
        <v/>
      </c>
    </row>
    <row r="433" spans="1:16" x14ac:dyDescent="0.25">
      <c r="A433" s="17" t="str">
        <f>IF('Input Sheet'!C435="","",CONCATENATE("Sample ", 'Input Sheet'!B435, "m: ", N433, H433, "% ", "Siltstone, ", P433, 'Input Sheet'!C435, "% ", J433, " Sandstone, ", L433, K433, " FLUOR in SST. ", "TG ", 'Input Sheet'!I435, "U"))</f>
        <v/>
      </c>
      <c r="B433" s="3" t="str">
        <f>IF('Input Sheet'!C435="","",CONCATENATE("Sample ", 'Input Sheet'!B435, "m: ", O433, I433, "% ", "Siltstone, ", Q433, 'Input Sheet'!C435, "% ", K433, " Sandstone "))</f>
        <v/>
      </c>
      <c r="C433" s="3" t="str">
        <f>IF('Input Sheet'!C435="","",CONCATENATE("Sample ", 'Input Sheet'!B435, "m: ", N433,, L433, K433, " FLUOR in SST. ", "TG ", 'Input Sheet'!I435, "U"))</f>
        <v/>
      </c>
      <c r="H433" s="6" t="str">
        <f>IF('Input Sheet'!C435="","",100-'Input Sheet'!C435)</f>
        <v/>
      </c>
      <c r="I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3" s="6" t="str">
        <f t="shared" si="6"/>
        <v/>
      </c>
      <c r="K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3" s="6" t="str">
        <f>IF('Input Sheet'!F435=0, "NO",CONCATENATE('Input Sheet'!F435, IF('Input Sheet'!F435&gt;0,"% ","")))</f>
        <v>NO</v>
      </c>
      <c r="M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3" s="6" t="str">
        <f>CONCATENATE(M433, IF('Input Sheet'!J435="",""," siderite in "))</f>
        <v/>
      </c>
      <c r="O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3" s="6" t="str">
        <f>CONCATENATE(O433, IF('Input Sheet'!K435="",""," siderite in "))</f>
        <v/>
      </c>
    </row>
    <row r="434" spans="1:16" x14ac:dyDescent="0.25">
      <c r="A434" s="17" t="str">
        <f>IF('Input Sheet'!C436="","",CONCATENATE("Sample ", 'Input Sheet'!B436, "m: ", N434, H434, "% ", "Siltstone, ", P434, 'Input Sheet'!C436, "% ", J434, " Sandstone, ", L434, K434, " FLUOR in SST. ", "TG ", 'Input Sheet'!I436, "U"))</f>
        <v/>
      </c>
      <c r="B434" s="3" t="str">
        <f>IF('Input Sheet'!C436="","",CONCATENATE("Sample ", 'Input Sheet'!B436, "m: ", O434, I434, "% ", "Siltstone, ", Q434, 'Input Sheet'!C436, "% ", K434, " Sandstone "))</f>
        <v/>
      </c>
      <c r="C434" s="3" t="str">
        <f>IF('Input Sheet'!C436="","",CONCATENATE("Sample ", 'Input Sheet'!B436, "m: ", N434,, L434, K434, " FLUOR in SST. ", "TG ", 'Input Sheet'!I436, "U"))</f>
        <v/>
      </c>
      <c r="H434" s="6" t="str">
        <f>IF('Input Sheet'!C436="","",100-'Input Sheet'!C436)</f>
        <v/>
      </c>
      <c r="I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4" s="6" t="str">
        <f t="shared" si="6"/>
        <v/>
      </c>
      <c r="K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4" s="6" t="str">
        <f>IF('Input Sheet'!F436=0, "NO",CONCATENATE('Input Sheet'!F436, IF('Input Sheet'!F436&gt;0,"% ","")))</f>
        <v>NO</v>
      </c>
      <c r="M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4" s="6" t="str">
        <f>CONCATENATE(M434, IF('Input Sheet'!J436="",""," siderite in "))</f>
        <v/>
      </c>
      <c r="O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4" s="6" t="str">
        <f>CONCATENATE(O434, IF('Input Sheet'!K436="",""," siderite in "))</f>
        <v/>
      </c>
    </row>
    <row r="435" spans="1:16" x14ac:dyDescent="0.25">
      <c r="A435" s="17" t="str">
        <f>IF('Input Sheet'!C437="","",CONCATENATE("Sample ", 'Input Sheet'!B437, "m: ", N435, H435, "% ", "Siltstone, ", P435, 'Input Sheet'!C437, "% ", J435, " Sandstone, ", L435, K435, " FLUOR in SST. ", "TG ", 'Input Sheet'!I437, "U"))</f>
        <v/>
      </c>
      <c r="B435" s="3" t="str">
        <f>IF('Input Sheet'!C437="","",CONCATENATE("Sample ", 'Input Sheet'!B437, "m: ", O435, I435, "% ", "Siltstone, ", Q435, 'Input Sheet'!C437, "% ", K435, " Sandstone "))</f>
        <v/>
      </c>
      <c r="C435" s="3" t="str">
        <f>IF('Input Sheet'!C437="","",CONCATENATE("Sample ", 'Input Sheet'!B437, "m: ", N435,, L435, K435, " FLUOR in SST. ", "TG ", 'Input Sheet'!I437, "U"))</f>
        <v/>
      </c>
      <c r="H435" s="6" t="str">
        <f>IF('Input Sheet'!C437="","",100-'Input Sheet'!C437)</f>
        <v/>
      </c>
      <c r="I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5" s="6" t="str">
        <f t="shared" si="6"/>
        <v/>
      </c>
      <c r="K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5" s="6" t="str">
        <f>IF('Input Sheet'!F437=0, "NO",CONCATENATE('Input Sheet'!F437, IF('Input Sheet'!F437&gt;0,"% ","")))</f>
        <v>NO</v>
      </c>
      <c r="M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5" s="6" t="str">
        <f>CONCATENATE(M435, IF('Input Sheet'!J437="",""," siderite in "))</f>
        <v/>
      </c>
      <c r="O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5" s="6" t="str">
        <f>CONCATENATE(O435, IF('Input Sheet'!K437="",""," siderite in "))</f>
        <v/>
      </c>
    </row>
    <row r="436" spans="1:16" x14ac:dyDescent="0.25">
      <c r="A436" s="17" t="str">
        <f>IF('Input Sheet'!C438="","",CONCATENATE("Sample ", 'Input Sheet'!B438, "m: ", N436, H436, "% ", "Siltstone, ", P436, 'Input Sheet'!C438, "% ", J436, " Sandstone, ", L436, K436, " FLUOR in SST. ", "TG ", 'Input Sheet'!I438, "U"))</f>
        <v/>
      </c>
      <c r="B436" s="3" t="str">
        <f>IF('Input Sheet'!C438="","",CONCATENATE("Sample ", 'Input Sheet'!B438, "m: ", O436, I436, "% ", "Siltstone, ", Q436, 'Input Sheet'!C438, "% ", K436, " Sandstone "))</f>
        <v/>
      </c>
      <c r="C436" s="3" t="str">
        <f>IF('Input Sheet'!C438="","",CONCATENATE("Sample ", 'Input Sheet'!B438, "m: ", N436,, L436, K436, " FLUOR in SST. ", "TG ", 'Input Sheet'!I438, "U"))</f>
        <v/>
      </c>
      <c r="H436" s="6" t="str">
        <f>IF('Input Sheet'!C438="","",100-'Input Sheet'!C438)</f>
        <v/>
      </c>
      <c r="I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6" s="6" t="str">
        <f t="shared" si="6"/>
        <v/>
      </c>
      <c r="K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6" s="6" t="str">
        <f>IF('Input Sheet'!F438=0, "NO",CONCATENATE('Input Sheet'!F438, IF('Input Sheet'!F438&gt;0,"% ","")))</f>
        <v>NO</v>
      </c>
      <c r="M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6" s="6" t="str">
        <f>CONCATENATE(M436, IF('Input Sheet'!J438="",""," siderite in "))</f>
        <v/>
      </c>
      <c r="O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6" s="6" t="str">
        <f>CONCATENATE(O436, IF('Input Sheet'!K438="",""," siderite in "))</f>
        <v/>
      </c>
    </row>
    <row r="437" spans="1:16" x14ac:dyDescent="0.25">
      <c r="A437" s="17" t="str">
        <f>IF('Input Sheet'!C439="","",CONCATENATE("Sample ", 'Input Sheet'!B439, "m: ", N437, H437, "% ", "Siltstone, ", P437, 'Input Sheet'!C439, "% ", J437, " Sandstone, ", L437, K437, " FLUOR in SST. ", "TG ", 'Input Sheet'!I439, "U"))</f>
        <v/>
      </c>
      <c r="B437" s="3" t="str">
        <f>IF('Input Sheet'!C439="","",CONCATENATE("Sample ", 'Input Sheet'!B439, "m: ", O437, I437, "% ", "Siltstone, ", Q437, 'Input Sheet'!C439, "% ", K437, " Sandstone "))</f>
        <v/>
      </c>
      <c r="C437" s="3" t="str">
        <f>IF('Input Sheet'!C439="","",CONCATENATE("Sample ", 'Input Sheet'!B439, "m: ", N437,, L437, K437, " FLUOR in SST. ", "TG ", 'Input Sheet'!I439, "U"))</f>
        <v/>
      </c>
      <c r="H437" s="6" t="str">
        <f>IF('Input Sheet'!C439="","",100-'Input Sheet'!C439)</f>
        <v/>
      </c>
      <c r="I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7" s="6" t="str">
        <f t="shared" si="6"/>
        <v/>
      </c>
      <c r="K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7" s="6" t="str">
        <f>IF('Input Sheet'!F439=0, "NO",CONCATENATE('Input Sheet'!F439, IF('Input Sheet'!F439&gt;0,"% ","")))</f>
        <v>NO</v>
      </c>
      <c r="M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7" s="6" t="str">
        <f>CONCATENATE(M437, IF('Input Sheet'!J439="",""," siderite in "))</f>
        <v/>
      </c>
      <c r="O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7" s="6" t="str">
        <f>CONCATENATE(O437, IF('Input Sheet'!K439="",""," siderite in "))</f>
        <v/>
      </c>
    </row>
    <row r="438" spans="1:16" x14ac:dyDescent="0.25">
      <c r="A438" s="17" t="str">
        <f>IF('Input Sheet'!C440="","",CONCATENATE("Sample ", 'Input Sheet'!B440, "m: ", N438, H438, "% ", "Siltstone, ", P438, 'Input Sheet'!C440, "% ", J438, " Sandstone, ", L438, K438, " FLUOR in SST. ", "TG ", 'Input Sheet'!I440, "U"))</f>
        <v/>
      </c>
      <c r="B438" s="3" t="str">
        <f>IF('Input Sheet'!C440="","",CONCATENATE("Sample ", 'Input Sheet'!B440, "m: ", O438, I438, "% ", "Siltstone, ", Q438, 'Input Sheet'!C440, "% ", K438, " Sandstone "))</f>
        <v/>
      </c>
      <c r="C438" s="3" t="str">
        <f>IF('Input Sheet'!C440="","",CONCATENATE("Sample ", 'Input Sheet'!B440, "m: ", N438,, L438, K438, " FLUOR in SST. ", "TG ", 'Input Sheet'!I440, "U"))</f>
        <v/>
      </c>
      <c r="H438" s="6" t="str">
        <f>IF('Input Sheet'!C440="","",100-'Input Sheet'!C440)</f>
        <v/>
      </c>
      <c r="I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8" s="6" t="str">
        <f t="shared" si="6"/>
        <v/>
      </c>
      <c r="K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8" s="6" t="str">
        <f>IF('Input Sheet'!F440=0, "NO",CONCATENATE('Input Sheet'!F440, IF('Input Sheet'!F440&gt;0,"% ","")))</f>
        <v>NO</v>
      </c>
      <c r="M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8" s="6" t="str">
        <f>CONCATENATE(M438, IF('Input Sheet'!J440="",""," siderite in "))</f>
        <v/>
      </c>
      <c r="O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8" s="6" t="str">
        <f>CONCATENATE(O438, IF('Input Sheet'!K440="",""," siderite in "))</f>
        <v/>
      </c>
    </row>
    <row r="439" spans="1:16" x14ac:dyDescent="0.25">
      <c r="A439" s="17" t="str">
        <f>IF('Input Sheet'!C441="","",CONCATENATE("Sample ", 'Input Sheet'!B441, "m: ", N439, H439, "% ", "Siltstone, ", P439, 'Input Sheet'!C441, "% ", J439, " Sandstone, ", L439, K439, " FLUOR in SST. ", "TG ", 'Input Sheet'!I441, "U"))</f>
        <v/>
      </c>
      <c r="B439" s="3" t="str">
        <f>IF('Input Sheet'!C441="","",CONCATENATE("Sample ", 'Input Sheet'!B441, "m: ", O439, I439, "% ", "Siltstone, ", Q439, 'Input Sheet'!C441, "% ", K439, " Sandstone "))</f>
        <v/>
      </c>
      <c r="C439" s="3" t="str">
        <f>IF('Input Sheet'!C441="","",CONCATENATE("Sample ", 'Input Sheet'!B441, "m: ", N439,, L439, K439, " FLUOR in SST. ", "TG ", 'Input Sheet'!I441, "U"))</f>
        <v/>
      </c>
      <c r="H439" s="6" t="str">
        <f>IF('Input Sheet'!C441="","",100-'Input Sheet'!C441)</f>
        <v/>
      </c>
      <c r="I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39" s="6" t="str">
        <f t="shared" si="6"/>
        <v/>
      </c>
      <c r="K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39" s="6" t="str">
        <f>IF('Input Sheet'!F441=0, "NO",CONCATENATE('Input Sheet'!F441, IF('Input Sheet'!F441&gt;0,"% ","")))</f>
        <v>NO</v>
      </c>
      <c r="M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39" s="6" t="str">
        <f>CONCATENATE(M439, IF('Input Sheet'!J441="",""," siderite in "))</f>
        <v/>
      </c>
      <c r="O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39" s="6" t="str">
        <f>CONCATENATE(O439, IF('Input Sheet'!K441="",""," siderite in "))</f>
        <v/>
      </c>
    </row>
    <row r="440" spans="1:16" x14ac:dyDescent="0.25">
      <c r="A440" s="17" t="str">
        <f>IF('Input Sheet'!C442="","",CONCATENATE("Sample ", 'Input Sheet'!B442, "m: ", N440, H440, "% ", "Siltstone, ", P440, 'Input Sheet'!C442, "% ", J440, " Sandstone, ", L440, K440, " FLUOR in SST. ", "TG ", 'Input Sheet'!I442, "U"))</f>
        <v/>
      </c>
      <c r="B440" s="3" t="str">
        <f>IF('Input Sheet'!C442="","",CONCATENATE("Sample ", 'Input Sheet'!B442, "m: ", O440, I440, "% ", "Siltstone, ", Q440, 'Input Sheet'!C442, "% ", K440, " Sandstone "))</f>
        <v/>
      </c>
      <c r="C440" s="3" t="str">
        <f>IF('Input Sheet'!C442="","",CONCATENATE("Sample ", 'Input Sheet'!B442, "m: ", N440,, L440, K440, " FLUOR in SST. ", "TG ", 'Input Sheet'!I442, "U"))</f>
        <v/>
      </c>
      <c r="H440" s="6" t="str">
        <f>IF('Input Sheet'!C442="","",100-'Input Sheet'!C442)</f>
        <v/>
      </c>
      <c r="I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0" s="6" t="str">
        <f t="shared" si="6"/>
        <v/>
      </c>
      <c r="K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0" s="6" t="str">
        <f>IF('Input Sheet'!F442=0, "NO",CONCATENATE('Input Sheet'!F442, IF('Input Sheet'!F442&gt;0,"% ","")))</f>
        <v>NO</v>
      </c>
      <c r="M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0" s="6" t="str">
        <f>CONCATENATE(M440, IF('Input Sheet'!J442="",""," siderite in "))</f>
        <v/>
      </c>
      <c r="O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0" s="6" t="str">
        <f>CONCATENATE(O440, IF('Input Sheet'!K442="",""," siderite in "))</f>
        <v/>
      </c>
    </row>
    <row r="441" spans="1:16" x14ac:dyDescent="0.25">
      <c r="A441" s="17" t="str">
        <f>IF('Input Sheet'!C443="","",CONCATENATE("Sample ", 'Input Sheet'!B443, "m: ", N441, H441, "% ", "Siltstone, ", P441, 'Input Sheet'!C443, "% ", J441, " Sandstone, ", L441, K441, " FLUOR in SST. ", "TG ", 'Input Sheet'!I443, "U"))</f>
        <v/>
      </c>
      <c r="B441" s="3" t="str">
        <f>IF('Input Sheet'!C443="","",CONCATENATE("Sample ", 'Input Sheet'!B443, "m: ", O441, I441, "% ", "Siltstone, ", Q441, 'Input Sheet'!C443, "% ", K441, " Sandstone "))</f>
        <v/>
      </c>
      <c r="C441" s="3" t="str">
        <f>IF('Input Sheet'!C443="","",CONCATENATE("Sample ", 'Input Sheet'!B443, "m: ", N441,, L441, K441, " FLUOR in SST. ", "TG ", 'Input Sheet'!I443, "U"))</f>
        <v/>
      </c>
      <c r="H441" s="6" t="str">
        <f>IF('Input Sheet'!C443="","",100-'Input Sheet'!C443)</f>
        <v/>
      </c>
      <c r="I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1" s="6" t="str">
        <f t="shared" si="6"/>
        <v/>
      </c>
      <c r="K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1" s="6" t="str">
        <f>IF('Input Sheet'!F443=0, "NO",CONCATENATE('Input Sheet'!F443, IF('Input Sheet'!F443&gt;0,"% ","")))</f>
        <v>NO</v>
      </c>
      <c r="M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1" s="6" t="str">
        <f>CONCATENATE(M441, IF('Input Sheet'!J443="",""," siderite in "))</f>
        <v/>
      </c>
      <c r="O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1" s="6" t="str">
        <f>CONCATENATE(O441, IF('Input Sheet'!K443="",""," siderite in "))</f>
        <v/>
      </c>
    </row>
    <row r="442" spans="1:16" x14ac:dyDescent="0.25">
      <c r="A442" s="17" t="str">
        <f>IF('Input Sheet'!C444="","",CONCATENATE("Sample ", 'Input Sheet'!B444, "m: ", N442, H442, "% ", "Siltstone, ", P442, 'Input Sheet'!C444, "% ", J442, " Sandstone, ", L442, K442, " FLUOR in SST. ", "TG ", 'Input Sheet'!I444, "U"))</f>
        <v/>
      </c>
      <c r="B442" s="3" t="str">
        <f>IF('Input Sheet'!C444="","",CONCATENATE("Sample ", 'Input Sheet'!B444, "m: ", O442, I442, "% ", "Siltstone, ", Q442, 'Input Sheet'!C444, "% ", K442, " Sandstone "))</f>
        <v/>
      </c>
      <c r="C442" s="3" t="str">
        <f>IF('Input Sheet'!C444="","",CONCATENATE("Sample ", 'Input Sheet'!B444, "m: ", N442,, L442, K442, " FLUOR in SST. ", "TG ", 'Input Sheet'!I444, "U"))</f>
        <v/>
      </c>
      <c r="H442" s="6" t="str">
        <f>IF('Input Sheet'!C444="","",100-'Input Sheet'!C444)</f>
        <v/>
      </c>
      <c r="I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2" s="6" t="str">
        <f t="shared" si="6"/>
        <v/>
      </c>
      <c r="K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2" s="6" t="str">
        <f>IF('Input Sheet'!F444=0, "NO",CONCATENATE('Input Sheet'!F444, IF('Input Sheet'!F444&gt;0,"% ","")))</f>
        <v>NO</v>
      </c>
      <c r="M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2" s="6" t="str">
        <f>CONCATENATE(M442, IF('Input Sheet'!J444="",""," siderite in "))</f>
        <v/>
      </c>
      <c r="O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2" s="6" t="str">
        <f>CONCATENATE(O442, IF('Input Sheet'!K444="",""," siderite in "))</f>
        <v/>
      </c>
    </row>
    <row r="443" spans="1:16" x14ac:dyDescent="0.25">
      <c r="A443" s="17" t="str">
        <f>IF('Input Sheet'!C445="","",CONCATENATE("Sample ", 'Input Sheet'!B445, "m: ", N443, H443, "% ", "Siltstone, ", P443, 'Input Sheet'!C445, "% ", J443, " Sandstone, ", L443, K443, " FLUOR in SST. ", "TG ", 'Input Sheet'!I445, "U"))</f>
        <v/>
      </c>
      <c r="B443" s="3" t="str">
        <f>IF('Input Sheet'!C445="","",CONCATENATE("Sample ", 'Input Sheet'!B445, "m: ", O443, I443, "% ", "Siltstone, ", Q443, 'Input Sheet'!C445, "% ", K443, " Sandstone "))</f>
        <v/>
      </c>
      <c r="C443" s="3" t="str">
        <f>IF('Input Sheet'!C445="","",CONCATENATE("Sample ", 'Input Sheet'!B445, "m: ", N443,, L443, K443, " FLUOR in SST. ", "TG ", 'Input Sheet'!I445, "U"))</f>
        <v/>
      </c>
      <c r="H443" s="6" t="str">
        <f>IF('Input Sheet'!C445="","",100-'Input Sheet'!C445)</f>
        <v/>
      </c>
      <c r="I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3" s="6" t="str">
        <f t="shared" si="6"/>
        <v/>
      </c>
      <c r="K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3" s="6" t="str">
        <f>IF('Input Sheet'!F445=0, "NO",CONCATENATE('Input Sheet'!F445, IF('Input Sheet'!F445&gt;0,"% ","")))</f>
        <v>NO</v>
      </c>
      <c r="M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3" s="6" t="str">
        <f>CONCATENATE(M443, IF('Input Sheet'!J445="",""," siderite in "))</f>
        <v/>
      </c>
      <c r="O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3" s="6" t="str">
        <f>CONCATENATE(O443, IF('Input Sheet'!K445="",""," siderite in "))</f>
        <v/>
      </c>
    </row>
    <row r="444" spans="1:16" x14ac:dyDescent="0.25">
      <c r="A444" s="17" t="str">
        <f>IF('Input Sheet'!C446="","",CONCATENATE("Sample ", 'Input Sheet'!B446, "m: ", N444, H444, "% ", "Siltstone, ", P444, 'Input Sheet'!C446, "% ", J444, " Sandstone, ", L444, K444, " FLUOR in SST. ", "TG ", 'Input Sheet'!I446, "U"))</f>
        <v/>
      </c>
      <c r="B444" s="3" t="str">
        <f>IF('Input Sheet'!C446="","",CONCATENATE("Sample ", 'Input Sheet'!B446, "m: ", O444, I444, "% ", "Siltstone, ", Q444, 'Input Sheet'!C446, "% ", K444, " Sandstone "))</f>
        <v/>
      </c>
      <c r="C444" s="3" t="str">
        <f>IF('Input Sheet'!C446="","",CONCATENATE("Sample ", 'Input Sheet'!B446, "m: ", N444,, L444, K444, " FLUOR in SST. ", "TG ", 'Input Sheet'!I446, "U"))</f>
        <v/>
      </c>
      <c r="H444" s="6" t="str">
        <f>IF('Input Sheet'!C446="","",100-'Input Sheet'!C446)</f>
        <v/>
      </c>
      <c r="I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4" s="6" t="str">
        <f t="shared" si="6"/>
        <v/>
      </c>
      <c r="K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4" s="6" t="str">
        <f>IF('Input Sheet'!F446=0, "NO",CONCATENATE('Input Sheet'!F446, IF('Input Sheet'!F446&gt;0,"% ","")))</f>
        <v>NO</v>
      </c>
      <c r="M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4" s="6" t="str">
        <f>CONCATENATE(M444, IF('Input Sheet'!J446="",""," siderite in "))</f>
        <v/>
      </c>
      <c r="O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4" s="6" t="str">
        <f>CONCATENATE(O444, IF('Input Sheet'!K446="",""," siderite in "))</f>
        <v/>
      </c>
    </row>
    <row r="445" spans="1:16" x14ac:dyDescent="0.25">
      <c r="A445" s="17" t="str">
        <f>IF('Input Sheet'!C447="","",CONCATENATE("Sample ", 'Input Sheet'!B447, "m: ", N445, H445, "% ", "Siltstone, ", P445, 'Input Sheet'!C447, "% ", J445, " Sandstone, ", L445, K445, " FLUOR in SST. ", "TG ", 'Input Sheet'!I447, "U"))</f>
        <v/>
      </c>
      <c r="B445" s="3" t="str">
        <f>IF('Input Sheet'!C447="","",CONCATENATE("Sample ", 'Input Sheet'!B447, "m: ", O445, I445, "% ", "Siltstone, ", Q445, 'Input Sheet'!C447, "% ", K445, " Sandstone "))</f>
        <v/>
      </c>
      <c r="C445" s="3" t="str">
        <f>IF('Input Sheet'!C447="","",CONCATENATE("Sample ", 'Input Sheet'!B447, "m: ", N445,, L445, K445, " FLUOR in SST. ", "TG ", 'Input Sheet'!I447, "U"))</f>
        <v/>
      </c>
      <c r="H445" s="6" t="str">
        <f>IF('Input Sheet'!C447="","",100-'Input Sheet'!C447)</f>
        <v/>
      </c>
      <c r="I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5" s="6" t="str">
        <f t="shared" si="6"/>
        <v/>
      </c>
      <c r="K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5" s="6" t="str">
        <f>IF('Input Sheet'!F447=0, "NO",CONCATENATE('Input Sheet'!F447, IF('Input Sheet'!F447&gt;0,"% ","")))</f>
        <v>NO</v>
      </c>
      <c r="M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5" s="6" t="str">
        <f>CONCATENATE(M445, IF('Input Sheet'!J447="",""," siderite in "))</f>
        <v/>
      </c>
      <c r="O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5" s="6" t="str">
        <f>CONCATENATE(O445, IF('Input Sheet'!K447="",""," siderite in "))</f>
        <v/>
      </c>
    </row>
    <row r="446" spans="1:16" x14ac:dyDescent="0.25">
      <c r="A446" s="17" t="str">
        <f>IF('Input Sheet'!C448="","",CONCATENATE("Sample ", 'Input Sheet'!B448, "m: ", N446, H446, "% ", "Siltstone, ", P446, 'Input Sheet'!C448, "% ", J446, " Sandstone, ", L446, K446, " FLUOR in SST. ", "TG ", 'Input Sheet'!I448, "U"))</f>
        <v/>
      </c>
      <c r="B446" s="3" t="str">
        <f>IF('Input Sheet'!C448="","",CONCATENATE("Sample ", 'Input Sheet'!B448, "m: ", O446, I446, "% ", "Siltstone, ", Q446, 'Input Sheet'!C448, "% ", K446, " Sandstone "))</f>
        <v/>
      </c>
      <c r="C446" s="3" t="str">
        <f>IF('Input Sheet'!C448="","",CONCATENATE("Sample ", 'Input Sheet'!B448, "m: ", N446,, L446, K446, " FLUOR in SST. ", "TG ", 'Input Sheet'!I448, "U"))</f>
        <v/>
      </c>
      <c r="H446" s="6" t="str">
        <f>IF('Input Sheet'!C448="","",100-'Input Sheet'!C448)</f>
        <v/>
      </c>
      <c r="I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6" s="6" t="str">
        <f t="shared" si="6"/>
        <v/>
      </c>
      <c r="K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6" s="6" t="str">
        <f>IF('Input Sheet'!F448=0, "NO",CONCATENATE('Input Sheet'!F448, IF('Input Sheet'!F448&gt;0,"% ","")))</f>
        <v>NO</v>
      </c>
      <c r="M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6" s="6" t="str">
        <f>CONCATENATE(M446, IF('Input Sheet'!J448="",""," siderite in "))</f>
        <v/>
      </c>
      <c r="O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6" s="6" t="str">
        <f>CONCATENATE(O446, IF('Input Sheet'!K448="",""," siderite in "))</f>
        <v/>
      </c>
    </row>
    <row r="447" spans="1:16" x14ac:dyDescent="0.25">
      <c r="A447" s="17" t="str">
        <f>IF('Input Sheet'!C449="","",CONCATENATE("Sample ", 'Input Sheet'!B449, "m: ", N447, H447, "% ", "Siltstone, ", P447, 'Input Sheet'!C449, "% ", J447, " Sandstone, ", L447, K447, " FLUOR in SST. ", "TG ", 'Input Sheet'!I449, "U"))</f>
        <v/>
      </c>
      <c r="B447" s="3" t="str">
        <f>IF('Input Sheet'!C449="","",CONCATENATE("Sample ", 'Input Sheet'!B449, "m: ", O447, I447, "% ", "Siltstone, ", Q447, 'Input Sheet'!C449, "% ", K447, " Sandstone "))</f>
        <v/>
      </c>
      <c r="C447" s="3" t="str">
        <f>IF('Input Sheet'!C449="","",CONCATENATE("Sample ", 'Input Sheet'!B449, "m: ", N447,, L447, K447, " FLUOR in SST. ", "TG ", 'Input Sheet'!I449, "U"))</f>
        <v/>
      </c>
      <c r="H447" s="6" t="str">
        <f>IF('Input Sheet'!C449="","",100-'Input Sheet'!C449)</f>
        <v/>
      </c>
      <c r="I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7" s="6" t="str">
        <f t="shared" si="6"/>
        <v/>
      </c>
      <c r="K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7" s="6" t="str">
        <f>IF('Input Sheet'!F449=0, "NO",CONCATENATE('Input Sheet'!F449, IF('Input Sheet'!F449&gt;0,"% ","")))</f>
        <v>NO</v>
      </c>
      <c r="M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7" s="6" t="str">
        <f>CONCATENATE(M447, IF('Input Sheet'!J449="",""," siderite in "))</f>
        <v/>
      </c>
      <c r="O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7" s="6" t="str">
        <f>CONCATENATE(O447, IF('Input Sheet'!K449="",""," siderite in "))</f>
        <v/>
      </c>
    </row>
    <row r="448" spans="1:16" x14ac:dyDescent="0.25">
      <c r="A448" s="17" t="str">
        <f>IF('Input Sheet'!C450="","",CONCATENATE("Sample ", 'Input Sheet'!B450, "m: ", N448, H448, "% ", "Siltstone, ", P448, 'Input Sheet'!C450, "% ", J448, " Sandstone, ", L448, K448, " FLUOR in SST. ", "TG ", 'Input Sheet'!I450, "U"))</f>
        <v/>
      </c>
      <c r="B448" s="3" t="str">
        <f>IF('Input Sheet'!C450="","",CONCATENATE("Sample ", 'Input Sheet'!B450, "m: ", O448, I448, "% ", "Siltstone, ", Q448, 'Input Sheet'!C450, "% ", K448, " Sandstone "))</f>
        <v/>
      </c>
      <c r="C448" s="3" t="str">
        <f>IF('Input Sheet'!C450="","",CONCATENATE("Sample ", 'Input Sheet'!B450, "m: ", N448,, L448, K448, " FLUOR in SST. ", "TG ", 'Input Sheet'!I450, "U"))</f>
        <v/>
      </c>
      <c r="H448" s="6" t="str">
        <f>IF('Input Sheet'!C450="","",100-'Input Sheet'!C450)</f>
        <v/>
      </c>
      <c r="I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8" s="6" t="str">
        <f t="shared" si="6"/>
        <v/>
      </c>
      <c r="K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8" s="6" t="str">
        <f>IF('Input Sheet'!F450=0, "NO",CONCATENATE('Input Sheet'!F450, IF('Input Sheet'!F450&gt;0,"% ","")))</f>
        <v>NO</v>
      </c>
      <c r="M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8" s="6" t="str">
        <f>CONCATENATE(M448, IF('Input Sheet'!J450="",""," siderite in "))</f>
        <v/>
      </c>
      <c r="O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8" s="6" t="str">
        <f>CONCATENATE(O448, IF('Input Sheet'!K450="",""," siderite in "))</f>
        <v/>
      </c>
    </row>
    <row r="449" spans="1:16" x14ac:dyDescent="0.25">
      <c r="A449" s="17" t="str">
        <f>IF('Input Sheet'!C451="","",CONCATENATE("Sample ", 'Input Sheet'!B451, "m: ", N449, H449, "% ", "Siltstone, ", P449, 'Input Sheet'!C451, "% ", J449, " Sandstone, ", L449, K449, " FLUOR in SST. ", "TG ", 'Input Sheet'!I451, "U"))</f>
        <v/>
      </c>
      <c r="B449" s="3" t="str">
        <f>IF('Input Sheet'!C451="","",CONCATENATE("Sample ", 'Input Sheet'!B451, "m: ", O449, I449, "% ", "Siltstone, ", Q449, 'Input Sheet'!C451, "% ", K449, " Sandstone "))</f>
        <v/>
      </c>
      <c r="C449" s="3" t="str">
        <f>IF('Input Sheet'!C451="","",CONCATENATE("Sample ", 'Input Sheet'!B451, "m: ", N449,, L449, K449, " FLUOR in SST. ", "TG ", 'Input Sheet'!I451, "U"))</f>
        <v/>
      </c>
      <c r="H449" s="6" t="str">
        <f>IF('Input Sheet'!C451="","",100-'Input Sheet'!C451)</f>
        <v/>
      </c>
      <c r="I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49" s="6" t="str">
        <f t="shared" si="6"/>
        <v/>
      </c>
      <c r="K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49" s="6" t="str">
        <f>IF('Input Sheet'!F451=0, "NO",CONCATENATE('Input Sheet'!F451, IF('Input Sheet'!F451&gt;0,"% ","")))</f>
        <v>NO</v>
      </c>
      <c r="M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49" s="6" t="str">
        <f>CONCATENATE(M449, IF('Input Sheet'!J451="",""," siderite in "))</f>
        <v/>
      </c>
      <c r="O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49" s="6" t="str">
        <f>CONCATENATE(O449, IF('Input Sheet'!K451="",""," siderite in "))</f>
        <v/>
      </c>
    </row>
    <row r="450" spans="1:16" x14ac:dyDescent="0.25">
      <c r="A450" s="17" t="str">
        <f>IF('Input Sheet'!C452="","",CONCATENATE("Sample ", 'Input Sheet'!B452, "m: ", N450, H450, "% ", "Siltstone, ", P450, 'Input Sheet'!C452, "% ", J450, " Sandstone, ", L450, K450, " FLUOR in SST. ", "TG ", 'Input Sheet'!I452, "U"))</f>
        <v/>
      </c>
      <c r="B450" s="3" t="str">
        <f>IF('Input Sheet'!C452="","",CONCATENATE("Sample ", 'Input Sheet'!B452, "m: ", O450, I450, "% ", "Siltstone, ", Q450, 'Input Sheet'!C452, "% ", K450, " Sandstone "))</f>
        <v/>
      </c>
      <c r="C450" s="3" t="str">
        <f>IF('Input Sheet'!C452="","",CONCATENATE("Sample ", 'Input Sheet'!B452, "m: ", N450,, L450, K450, " FLUOR in SST. ", "TG ", 'Input Sheet'!I452, "U"))</f>
        <v/>
      </c>
      <c r="H450" s="6" t="str">
        <f>IF('Input Sheet'!C452="","",100-'Input Sheet'!C452)</f>
        <v/>
      </c>
      <c r="I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0" s="6" t="str">
        <f t="shared" ref="J450:J513" si="7">SUBSTITUTE(I450, "veryfine", "very fine")</f>
        <v/>
      </c>
      <c r="K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0" s="6" t="str">
        <f>IF('Input Sheet'!F452=0, "NO",CONCATENATE('Input Sheet'!F452, IF('Input Sheet'!F452&gt;0,"% ","")))</f>
        <v>NO</v>
      </c>
      <c r="M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0" s="6" t="str">
        <f>CONCATENATE(M450, IF('Input Sheet'!J452="",""," siderite in "))</f>
        <v/>
      </c>
      <c r="O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0" s="6" t="str">
        <f>CONCATENATE(O450, IF('Input Sheet'!K452="",""," siderite in "))</f>
        <v/>
      </c>
    </row>
    <row r="451" spans="1:16" x14ac:dyDescent="0.25">
      <c r="A451" s="17" t="str">
        <f>IF('Input Sheet'!C453="","",CONCATENATE("Sample ", 'Input Sheet'!B453, "m: ", N451, H451, "% ", "Siltstone, ", P451, 'Input Sheet'!C453, "% ", J451, " Sandstone, ", L451, K451, " FLUOR in SST. ", "TG ", 'Input Sheet'!I453, "U"))</f>
        <v/>
      </c>
      <c r="B451" s="3" t="str">
        <f>IF('Input Sheet'!C453="","",CONCATENATE("Sample ", 'Input Sheet'!B453, "m: ", O451, I451, "% ", "Siltstone, ", Q451, 'Input Sheet'!C453, "% ", K451, " Sandstone "))</f>
        <v/>
      </c>
      <c r="C451" s="3" t="str">
        <f>IF('Input Sheet'!C453="","",CONCATENATE("Sample ", 'Input Sheet'!B453, "m: ", N451,, L451, K451, " FLUOR in SST. ", "TG ", 'Input Sheet'!I453, "U"))</f>
        <v/>
      </c>
      <c r="H451" s="6" t="str">
        <f>IF('Input Sheet'!C453="","",100-'Input Sheet'!C453)</f>
        <v/>
      </c>
      <c r="I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1" s="6" t="str">
        <f t="shared" si="7"/>
        <v/>
      </c>
      <c r="K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1" s="6" t="str">
        <f>IF('Input Sheet'!F453=0, "NO",CONCATENATE('Input Sheet'!F453, IF('Input Sheet'!F453&gt;0,"% ","")))</f>
        <v>NO</v>
      </c>
      <c r="M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1" s="6" t="str">
        <f>CONCATENATE(M451, IF('Input Sheet'!J453="",""," siderite in "))</f>
        <v/>
      </c>
      <c r="O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1" s="6" t="str">
        <f>CONCATENATE(O451, IF('Input Sheet'!K453="",""," siderite in "))</f>
        <v/>
      </c>
    </row>
    <row r="452" spans="1:16" x14ac:dyDescent="0.25">
      <c r="A452" s="17" t="str">
        <f>IF('Input Sheet'!C454="","",CONCATENATE("Sample ", 'Input Sheet'!B454, "m: ", N452, H452, "% ", "Siltstone, ", P452, 'Input Sheet'!C454, "% ", J452, " Sandstone, ", L452, K452, " FLUOR in SST. ", "TG ", 'Input Sheet'!I454, "U"))</f>
        <v/>
      </c>
      <c r="B452" s="3" t="str">
        <f>IF('Input Sheet'!C454="","",CONCATENATE("Sample ", 'Input Sheet'!B454, "m: ", O452, I452, "% ", "Siltstone, ", Q452, 'Input Sheet'!C454, "% ", K452, " Sandstone "))</f>
        <v/>
      </c>
      <c r="C452" s="3" t="str">
        <f>IF('Input Sheet'!C454="","",CONCATENATE("Sample ", 'Input Sheet'!B454, "m: ", N452,, L452, K452, " FLUOR in SST. ", "TG ", 'Input Sheet'!I454, "U"))</f>
        <v/>
      </c>
      <c r="H452" s="6" t="str">
        <f>IF('Input Sheet'!C454="","",100-'Input Sheet'!C454)</f>
        <v/>
      </c>
      <c r="I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2" s="6" t="str">
        <f t="shared" si="7"/>
        <v/>
      </c>
      <c r="K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2" s="6" t="str">
        <f>IF('Input Sheet'!F454=0, "NO",CONCATENATE('Input Sheet'!F454, IF('Input Sheet'!F454&gt;0,"% ","")))</f>
        <v>NO</v>
      </c>
      <c r="M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2" s="6" t="str">
        <f>CONCATENATE(M452, IF('Input Sheet'!J454="",""," siderite in "))</f>
        <v/>
      </c>
      <c r="O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2" s="6" t="str">
        <f>CONCATENATE(O452, IF('Input Sheet'!K454="",""," siderite in "))</f>
        <v/>
      </c>
    </row>
    <row r="453" spans="1:16" x14ac:dyDescent="0.25">
      <c r="A453" s="17" t="str">
        <f>IF('Input Sheet'!C455="","",CONCATENATE("Sample ", 'Input Sheet'!B455, "m: ", N453, H453, "% ", "Siltstone, ", P453, 'Input Sheet'!C455, "% ", J453, " Sandstone, ", L453, K453, " FLUOR in SST. ", "TG ", 'Input Sheet'!I455, "U"))</f>
        <v/>
      </c>
      <c r="B453" s="3" t="str">
        <f>IF('Input Sheet'!C455="","",CONCATENATE("Sample ", 'Input Sheet'!B455, "m: ", O453, I453, "% ", "Siltstone, ", Q453, 'Input Sheet'!C455, "% ", K453, " Sandstone "))</f>
        <v/>
      </c>
      <c r="C453" s="3" t="str">
        <f>IF('Input Sheet'!C455="","",CONCATENATE("Sample ", 'Input Sheet'!B455, "m: ", N453,, L453, K453, " FLUOR in SST. ", "TG ", 'Input Sheet'!I455, "U"))</f>
        <v/>
      </c>
      <c r="H453" s="6" t="str">
        <f>IF('Input Sheet'!C455="","",100-'Input Sheet'!C455)</f>
        <v/>
      </c>
      <c r="I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3" s="6" t="str">
        <f t="shared" si="7"/>
        <v/>
      </c>
      <c r="K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3" s="6" t="str">
        <f>IF('Input Sheet'!F455=0, "NO",CONCATENATE('Input Sheet'!F455, IF('Input Sheet'!F455&gt;0,"% ","")))</f>
        <v>NO</v>
      </c>
      <c r="M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3" s="6" t="str">
        <f>CONCATENATE(M453, IF('Input Sheet'!J455="",""," siderite in "))</f>
        <v/>
      </c>
      <c r="O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3" s="6" t="str">
        <f>CONCATENATE(O453, IF('Input Sheet'!K455="",""," siderite in "))</f>
        <v/>
      </c>
    </row>
    <row r="454" spans="1:16" x14ac:dyDescent="0.25">
      <c r="A454" s="17" t="str">
        <f>IF('Input Sheet'!C456="","",CONCATENATE("Sample ", 'Input Sheet'!B456, "m: ", N454, H454, "% ", "Siltstone, ", P454, 'Input Sheet'!C456, "% ", J454, " Sandstone, ", L454, K454, " FLUOR in SST. ", "TG ", 'Input Sheet'!I456, "U"))</f>
        <v/>
      </c>
      <c r="B454" s="3" t="str">
        <f>IF('Input Sheet'!C456="","",CONCATENATE("Sample ", 'Input Sheet'!B456, "m: ", O454, I454, "% ", "Siltstone, ", Q454, 'Input Sheet'!C456, "% ", K454, " Sandstone "))</f>
        <v/>
      </c>
      <c r="C454" s="3" t="str">
        <f>IF('Input Sheet'!C456="","",CONCATENATE("Sample ", 'Input Sheet'!B456, "m: ", N454,, L454, K454, " FLUOR in SST. ", "TG ", 'Input Sheet'!I456, "U"))</f>
        <v/>
      </c>
      <c r="H454" s="6" t="str">
        <f>IF('Input Sheet'!C456="","",100-'Input Sheet'!C456)</f>
        <v/>
      </c>
      <c r="I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4" s="6" t="str">
        <f t="shared" si="7"/>
        <v/>
      </c>
      <c r="K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4" s="6" t="str">
        <f>IF('Input Sheet'!F456=0, "NO",CONCATENATE('Input Sheet'!F456, IF('Input Sheet'!F456&gt;0,"% ","")))</f>
        <v>NO</v>
      </c>
      <c r="M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4" s="6" t="str">
        <f>CONCATENATE(M454, IF('Input Sheet'!J456="",""," siderite in "))</f>
        <v/>
      </c>
      <c r="O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4" s="6" t="str">
        <f>CONCATENATE(O454, IF('Input Sheet'!K456="",""," siderite in "))</f>
        <v/>
      </c>
    </row>
    <row r="455" spans="1:16" x14ac:dyDescent="0.25">
      <c r="A455" s="17" t="str">
        <f>IF('Input Sheet'!C457="","",CONCATENATE("Sample ", 'Input Sheet'!B457, "m: ", N455, H455, "% ", "Siltstone, ", P455, 'Input Sheet'!C457, "% ", J455, " Sandstone, ", L455, K455, " FLUOR in SST. ", "TG ", 'Input Sheet'!I457, "U"))</f>
        <v/>
      </c>
      <c r="B455" s="3" t="str">
        <f>IF('Input Sheet'!C457="","",CONCATENATE("Sample ", 'Input Sheet'!B457, "m: ", O455, I455, "% ", "Siltstone, ", Q455, 'Input Sheet'!C457, "% ", K455, " Sandstone "))</f>
        <v/>
      </c>
      <c r="C455" s="3" t="str">
        <f>IF('Input Sheet'!C457="","",CONCATENATE("Sample ", 'Input Sheet'!B457, "m: ", N455,, L455, K455, " FLUOR in SST. ", "TG ", 'Input Sheet'!I457, "U"))</f>
        <v/>
      </c>
      <c r="H455" s="6" t="str">
        <f>IF('Input Sheet'!C457="","",100-'Input Sheet'!C457)</f>
        <v/>
      </c>
      <c r="I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5" s="6" t="str">
        <f t="shared" si="7"/>
        <v/>
      </c>
      <c r="K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5" s="6" t="str">
        <f>IF('Input Sheet'!F457=0, "NO",CONCATENATE('Input Sheet'!F457, IF('Input Sheet'!F457&gt;0,"% ","")))</f>
        <v>NO</v>
      </c>
      <c r="M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5" s="6" t="str">
        <f>CONCATENATE(M455, IF('Input Sheet'!J457="",""," siderite in "))</f>
        <v/>
      </c>
      <c r="O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5" s="6" t="str">
        <f>CONCATENATE(O455, IF('Input Sheet'!K457="",""," siderite in "))</f>
        <v/>
      </c>
    </row>
    <row r="456" spans="1:16" x14ac:dyDescent="0.25">
      <c r="A456" s="17" t="str">
        <f>IF('Input Sheet'!C458="","",CONCATENATE("Sample ", 'Input Sheet'!B458, "m: ", N456, H456, "% ", "Siltstone, ", P456, 'Input Sheet'!C458, "% ", J456, " Sandstone, ", L456, K456, " FLUOR in SST. ", "TG ", 'Input Sheet'!I458, "U"))</f>
        <v/>
      </c>
      <c r="B456" s="3" t="str">
        <f>IF('Input Sheet'!C458="","",CONCATENATE("Sample ", 'Input Sheet'!B458, "m: ", O456, I456, "% ", "Siltstone, ", Q456, 'Input Sheet'!C458, "% ", K456, " Sandstone "))</f>
        <v/>
      </c>
      <c r="C456" s="3" t="str">
        <f>IF('Input Sheet'!C458="","",CONCATENATE("Sample ", 'Input Sheet'!B458, "m: ", N456,, L456, K456, " FLUOR in SST. ", "TG ", 'Input Sheet'!I458, "U"))</f>
        <v/>
      </c>
      <c r="H456" s="6" t="str">
        <f>IF('Input Sheet'!C458="","",100-'Input Sheet'!C458)</f>
        <v/>
      </c>
      <c r="I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6" s="6" t="str">
        <f t="shared" si="7"/>
        <v/>
      </c>
      <c r="K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6" s="6" t="str">
        <f>IF('Input Sheet'!F458=0, "NO",CONCATENATE('Input Sheet'!F458, IF('Input Sheet'!F458&gt;0,"% ","")))</f>
        <v>NO</v>
      </c>
      <c r="M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6" s="6" t="str">
        <f>CONCATENATE(M456, IF('Input Sheet'!J458="",""," siderite in "))</f>
        <v/>
      </c>
      <c r="O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6" s="6" t="str">
        <f>CONCATENATE(O456, IF('Input Sheet'!K458="",""," siderite in "))</f>
        <v/>
      </c>
    </row>
    <row r="457" spans="1:16" x14ac:dyDescent="0.25">
      <c r="A457" s="17" t="str">
        <f>IF('Input Sheet'!C459="","",CONCATENATE("Sample ", 'Input Sheet'!B459, "m: ", N457, H457, "% ", "Siltstone, ", P457, 'Input Sheet'!C459, "% ", J457, " Sandstone, ", L457, K457, " FLUOR in SST. ", "TG ", 'Input Sheet'!I459, "U"))</f>
        <v/>
      </c>
      <c r="B457" s="3" t="str">
        <f>IF('Input Sheet'!C459="","",CONCATENATE("Sample ", 'Input Sheet'!B459, "m: ", O457, I457, "% ", "Siltstone, ", Q457, 'Input Sheet'!C459, "% ", K457, " Sandstone "))</f>
        <v/>
      </c>
      <c r="C457" s="3" t="str">
        <f>IF('Input Sheet'!C459="","",CONCATENATE("Sample ", 'Input Sheet'!B459, "m: ", N457,, L457, K457, " FLUOR in SST. ", "TG ", 'Input Sheet'!I459, "U"))</f>
        <v/>
      </c>
      <c r="H457" s="6" t="str">
        <f>IF('Input Sheet'!C459="","",100-'Input Sheet'!C459)</f>
        <v/>
      </c>
      <c r="I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7" s="6" t="str">
        <f t="shared" si="7"/>
        <v/>
      </c>
      <c r="K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7" s="6" t="str">
        <f>IF('Input Sheet'!F459=0, "NO",CONCATENATE('Input Sheet'!F459, IF('Input Sheet'!F459&gt;0,"% ","")))</f>
        <v>NO</v>
      </c>
      <c r="M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7" s="6" t="str">
        <f>CONCATENATE(M457, IF('Input Sheet'!J459="",""," siderite in "))</f>
        <v/>
      </c>
      <c r="O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7" s="6" t="str">
        <f>CONCATENATE(O457, IF('Input Sheet'!K459="",""," siderite in "))</f>
        <v/>
      </c>
    </row>
    <row r="458" spans="1:16" x14ac:dyDescent="0.25">
      <c r="A458" s="17" t="str">
        <f>IF('Input Sheet'!C460="","",CONCATENATE("Sample ", 'Input Sheet'!B460, "m: ", N458, H458, "% ", "Siltstone, ", P458, 'Input Sheet'!C460, "% ", J458, " Sandstone, ", L458, K458, " FLUOR in SST. ", "TG ", 'Input Sheet'!I460, "U"))</f>
        <v/>
      </c>
      <c r="B458" s="3" t="str">
        <f>IF('Input Sheet'!C460="","",CONCATENATE("Sample ", 'Input Sheet'!B460, "m: ", O458, I458, "% ", "Siltstone, ", Q458, 'Input Sheet'!C460, "% ", K458, " Sandstone "))</f>
        <v/>
      </c>
      <c r="C458" s="3" t="str">
        <f>IF('Input Sheet'!C460="","",CONCATENATE("Sample ", 'Input Sheet'!B460, "m: ", N458,, L458, K458, " FLUOR in SST. ", "TG ", 'Input Sheet'!I460, "U"))</f>
        <v/>
      </c>
      <c r="H458" s="6" t="str">
        <f>IF('Input Sheet'!C460="","",100-'Input Sheet'!C460)</f>
        <v/>
      </c>
      <c r="I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8" s="6" t="str">
        <f t="shared" si="7"/>
        <v/>
      </c>
      <c r="K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8" s="6" t="str">
        <f>IF('Input Sheet'!F460=0, "NO",CONCATENATE('Input Sheet'!F460, IF('Input Sheet'!F460&gt;0,"% ","")))</f>
        <v>NO</v>
      </c>
      <c r="M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8" s="6" t="str">
        <f>CONCATENATE(M458, IF('Input Sheet'!J460="",""," siderite in "))</f>
        <v/>
      </c>
      <c r="O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8" s="6" t="str">
        <f>CONCATENATE(O458, IF('Input Sheet'!K460="",""," siderite in "))</f>
        <v/>
      </c>
    </row>
    <row r="459" spans="1:16" x14ac:dyDescent="0.25">
      <c r="A459" s="17" t="str">
        <f>IF('Input Sheet'!C461="","",CONCATENATE("Sample ", 'Input Sheet'!B461, "m: ", N459, H459, "% ", "Siltstone, ", P459, 'Input Sheet'!C461, "% ", J459, " Sandstone, ", L459, K459, " FLUOR in SST. ", "TG ", 'Input Sheet'!I461, "U"))</f>
        <v/>
      </c>
      <c r="B459" s="3" t="str">
        <f>IF('Input Sheet'!C461="","",CONCATENATE("Sample ", 'Input Sheet'!B461, "m: ", O459, I459, "% ", "Siltstone, ", Q459, 'Input Sheet'!C461, "% ", K459, " Sandstone "))</f>
        <v/>
      </c>
      <c r="C459" s="3" t="str">
        <f>IF('Input Sheet'!C461="","",CONCATENATE("Sample ", 'Input Sheet'!B461, "m: ", N459,, L459, K459, " FLUOR in SST. ", "TG ", 'Input Sheet'!I461, "U"))</f>
        <v/>
      </c>
      <c r="H459" s="6" t="str">
        <f>IF('Input Sheet'!C461="","",100-'Input Sheet'!C461)</f>
        <v/>
      </c>
      <c r="I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59" s="6" t="str">
        <f t="shared" si="7"/>
        <v/>
      </c>
      <c r="K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59" s="6" t="str">
        <f>IF('Input Sheet'!F461=0, "NO",CONCATENATE('Input Sheet'!F461, IF('Input Sheet'!F461&gt;0,"% ","")))</f>
        <v>NO</v>
      </c>
      <c r="M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59" s="6" t="str">
        <f>CONCATENATE(M459, IF('Input Sheet'!J461="",""," siderite in "))</f>
        <v/>
      </c>
      <c r="O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59" s="6" t="str">
        <f>CONCATENATE(O459, IF('Input Sheet'!K461="",""," siderite in "))</f>
        <v/>
      </c>
    </row>
    <row r="460" spans="1:16" x14ac:dyDescent="0.25">
      <c r="A460" s="17" t="str">
        <f>IF('Input Sheet'!C462="","",CONCATENATE("Sample ", 'Input Sheet'!B462, "m: ", N460, H460, "% ", "Siltstone, ", P460, 'Input Sheet'!C462, "% ", J460, " Sandstone, ", L460, K460, " FLUOR in SST. ", "TG ", 'Input Sheet'!I462, "U"))</f>
        <v/>
      </c>
      <c r="B460" s="3" t="str">
        <f>IF('Input Sheet'!C462="","",CONCATENATE("Sample ", 'Input Sheet'!B462, "m: ", O460, I460, "% ", "Siltstone, ", Q460, 'Input Sheet'!C462, "% ", K460, " Sandstone "))</f>
        <v/>
      </c>
      <c r="C460" s="3" t="str">
        <f>IF('Input Sheet'!C462="","",CONCATENATE("Sample ", 'Input Sheet'!B462, "m: ", N460,, L460, K460, " FLUOR in SST. ", "TG ", 'Input Sheet'!I462, "U"))</f>
        <v/>
      </c>
      <c r="H460" s="6" t="str">
        <f>IF('Input Sheet'!C462="","",100-'Input Sheet'!C462)</f>
        <v/>
      </c>
      <c r="I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0" s="6" t="str">
        <f t="shared" si="7"/>
        <v/>
      </c>
      <c r="K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0" s="6" t="str">
        <f>IF('Input Sheet'!F462=0, "NO",CONCATENATE('Input Sheet'!F462, IF('Input Sheet'!F462&gt;0,"% ","")))</f>
        <v>NO</v>
      </c>
      <c r="M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0" s="6" t="str">
        <f>CONCATENATE(M460, IF('Input Sheet'!J462="",""," siderite in "))</f>
        <v/>
      </c>
      <c r="O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0" s="6" t="str">
        <f>CONCATENATE(O460, IF('Input Sheet'!K462="",""," siderite in "))</f>
        <v/>
      </c>
    </row>
    <row r="461" spans="1:16" x14ac:dyDescent="0.25">
      <c r="A461" s="17" t="str">
        <f>IF('Input Sheet'!C463="","",CONCATENATE("Sample ", 'Input Sheet'!B463, "m: ", N461, H461, "% ", "Siltstone, ", P461, 'Input Sheet'!C463, "% ", J461, " Sandstone, ", L461, K461, " FLUOR in SST. ", "TG ", 'Input Sheet'!I463, "U"))</f>
        <v/>
      </c>
      <c r="B461" s="3" t="str">
        <f>IF('Input Sheet'!C463="","",CONCATENATE("Sample ", 'Input Sheet'!B463, "m: ", O461, I461, "% ", "Siltstone, ", Q461, 'Input Sheet'!C463, "% ", K461, " Sandstone "))</f>
        <v/>
      </c>
      <c r="C461" s="3" t="str">
        <f>IF('Input Sheet'!C463="","",CONCATENATE("Sample ", 'Input Sheet'!B463, "m: ", N461,, L461, K461, " FLUOR in SST. ", "TG ", 'Input Sheet'!I463, "U"))</f>
        <v/>
      </c>
      <c r="H461" s="6" t="str">
        <f>IF('Input Sheet'!C463="","",100-'Input Sheet'!C463)</f>
        <v/>
      </c>
      <c r="I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1" s="6" t="str">
        <f t="shared" si="7"/>
        <v/>
      </c>
      <c r="K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1" s="6" t="str">
        <f>IF('Input Sheet'!F463=0, "NO",CONCATENATE('Input Sheet'!F463, IF('Input Sheet'!F463&gt;0,"% ","")))</f>
        <v>NO</v>
      </c>
      <c r="M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1" s="6" t="str">
        <f>CONCATENATE(M461, IF('Input Sheet'!J463="",""," siderite in "))</f>
        <v/>
      </c>
      <c r="O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1" s="6" t="str">
        <f>CONCATENATE(O461, IF('Input Sheet'!K463="",""," siderite in "))</f>
        <v/>
      </c>
    </row>
    <row r="462" spans="1:16" x14ac:dyDescent="0.25">
      <c r="A462" s="17" t="str">
        <f>IF('Input Sheet'!C464="","",CONCATENATE("Sample ", 'Input Sheet'!B464, "m: ", N462, H462, "% ", "Siltstone, ", P462, 'Input Sheet'!C464, "% ", J462, " Sandstone, ", L462, K462, " FLUOR in SST. ", "TG ", 'Input Sheet'!I464, "U"))</f>
        <v/>
      </c>
      <c r="B462" s="3" t="str">
        <f>IF('Input Sheet'!C464="","",CONCATENATE("Sample ", 'Input Sheet'!B464, "m: ", O462, I462, "% ", "Siltstone, ", Q462, 'Input Sheet'!C464, "% ", K462, " Sandstone "))</f>
        <v/>
      </c>
      <c r="C462" s="3" t="str">
        <f>IF('Input Sheet'!C464="","",CONCATENATE("Sample ", 'Input Sheet'!B464, "m: ", N462,, L462, K462, " FLUOR in SST. ", "TG ", 'Input Sheet'!I464, "U"))</f>
        <v/>
      </c>
      <c r="H462" s="6" t="str">
        <f>IF('Input Sheet'!C464="","",100-'Input Sheet'!C464)</f>
        <v/>
      </c>
      <c r="I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2" s="6" t="str">
        <f t="shared" si="7"/>
        <v/>
      </c>
      <c r="K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2" s="6" t="str">
        <f>IF('Input Sheet'!F464=0, "NO",CONCATENATE('Input Sheet'!F464, IF('Input Sheet'!F464&gt;0,"% ","")))</f>
        <v>NO</v>
      </c>
      <c r="M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2" s="6" t="str">
        <f>CONCATENATE(M462, IF('Input Sheet'!J464="",""," siderite in "))</f>
        <v/>
      </c>
      <c r="O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2" s="6" t="str">
        <f>CONCATENATE(O462, IF('Input Sheet'!K464="",""," siderite in "))</f>
        <v/>
      </c>
    </row>
    <row r="463" spans="1:16" x14ac:dyDescent="0.25">
      <c r="A463" s="17" t="str">
        <f>IF('Input Sheet'!C465="","",CONCATENATE("Sample ", 'Input Sheet'!B465, "m: ", N463, H463, "% ", "Siltstone, ", P463, 'Input Sheet'!C465, "% ", J463, " Sandstone, ", L463, K463, " FLUOR in SST. ", "TG ", 'Input Sheet'!I465, "U"))</f>
        <v/>
      </c>
      <c r="B463" s="3" t="str">
        <f>IF('Input Sheet'!C465="","",CONCATENATE("Sample ", 'Input Sheet'!B465, "m: ", O463, I463, "% ", "Siltstone, ", Q463, 'Input Sheet'!C465, "% ", K463, " Sandstone "))</f>
        <v/>
      </c>
      <c r="C463" s="3" t="str">
        <f>IF('Input Sheet'!C465="","",CONCATENATE("Sample ", 'Input Sheet'!B465, "m: ", N463,, L463, K463, " FLUOR in SST. ", "TG ", 'Input Sheet'!I465, "U"))</f>
        <v/>
      </c>
      <c r="H463" s="6" t="str">
        <f>IF('Input Sheet'!C465="","",100-'Input Sheet'!C465)</f>
        <v/>
      </c>
      <c r="I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3" s="6" t="str">
        <f t="shared" si="7"/>
        <v/>
      </c>
      <c r="K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3" s="6" t="str">
        <f>IF('Input Sheet'!F465=0, "NO",CONCATENATE('Input Sheet'!F465, IF('Input Sheet'!F465&gt;0,"% ","")))</f>
        <v>NO</v>
      </c>
      <c r="M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3" s="6" t="str">
        <f>CONCATENATE(M463, IF('Input Sheet'!J465="",""," siderite in "))</f>
        <v/>
      </c>
      <c r="O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3" s="6" t="str">
        <f>CONCATENATE(O463, IF('Input Sheet'!K465="",""," siderite in "))</f>
        <v/>
      </c>
    </row>
    <row r="464" spans="1:16" x14ac:dyDescent="0.25">
      <c r="A464" s="17" t="str">
        <f>IF('Input Sheet'!C466="","",CONCATENATE("Sample ", 'Input Sheet'!B466, "m: ", N464, H464, "% ", "Siltstone, ", P464, 'Input Sheet'!C466, "% ", J464, " Sandstone, ", L464, K464, " FLUOR in SST. ", "TG ", 'Input Sheet'!I466, "U"))</f>
        <v/>
      </c>
      <c r="B464" s="3" t="str">
        <f>IF('Input Sheet'!C466="","",CONCATENATE("Sample ", 'Input Sheet'!B466, "m: ", O464, I464, "% ", "Siltstone, ", Q464, 'Input Sheet'!C466, "% ", K464, " Sandstone "))</f>
        <v/>
      </c>
      <c r="C464" s="3" t="str">
        <f>IF('Input Sheet'!C466="","",CONCATENATE("Sample ", 'Input Sheet'!B466, "m: ", N464,, L464, K464, " FLUOR in SST. ", "TG ", 'Input Sheet'!I466, "U"))</f>
        <v/>
      </c>
      <c r="H464" s="6" t="str">
        <f>IF('Input Sheet'!C466="","",100-'Input Sheet'!C466)</f>
        <v/>
      </c>
      <c r="I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4" s="6" t="str">
        <f t="shared" si="7"/>
        <v/>
      </c>
      <c r="K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4" s="6" t="str">
        <f>IF('Input Sheet'!F466=0, "NO",CONCATENATE('Input Sheet'!F466, IF('Input Sheet'!F466&gt;0,"% ","")))</f>
        <v>NO</v>
      </c>
      <c r="M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4" s="6" t="str">
        <f>CONCATENATE(M464, IF('Input Sheet'!J466="",""," siderite in "))</f>
        <v/>
      </c>
      <c r="O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4" s="6" t="str">
        <f>CONCATENATE(O464, IF('Input Sheet'!K466="",""," siderite in "))</f>
        <v/>
      </c>
    </row>
    <row r="465" spans="1:16" x14ac:dyDescent="0.25">
      <c r="A465" s="17" t="str">
        <f>IF('Input Sheet'!C467="","",CONCATENATE("Sample ", 'Input Sheet'!B467, "m: ", N465, H465, "% ", "Siltstone, ", P465, 'Input Sheet'!C467, "% ", J465, " Sandstone, ", L465, K465, " FLUOR in SST. ", "TG ", 'Input Sheet'!I467, "U"))</f>
        <v/>
      </c>
      <c r="B465" s="3" t="str">
        <f>IF('Input Sheet'!C467="","",CONCATENATE("Sample ", 'Input Sheet'!B467, "m: ", O465, I465, "% ", "Siltstone, ", Q465, 'Input Sheet'!C467, "% ", K465, " Sandstone "))</f>
        <v/>
      </c>
      <c r="C465" s="3" t="str">
        <f>IF('Input Sheet'!C467="","",CONCATENATE("Sample ", 'Input Sheet'!B467, "m: ", N465,, L465, K465, " FLUOR in SST. ", "TG ", 'Input Sheet'!I467, "U"))</f>
        <v/>
      </c>
      <c r="H465" s="6" t="str">
        <f>IF('Input Sheet'!C467="","",100-'Input Sheet'!C467)</f>
        <v/>
      </c>
      <c r="I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5" s="6" t="str">
        <f t="shared" si="7"/>
        <v/>
      </c>
      <c r="K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5" s="6" t="str">
        <f>IF('Input Sheet'!F467=0, "NO",CONCATENATE('Input Sheet'!F467, IF('Input Sheet'!F467&gt;0,"% ","")))</f>
        <v>NO</v>
      </c>
      <c r="M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5" s="6" t="str">
        <f>CONCATENATE(M465, IF('Input Sheet'!J467="",""," siderite in "))</f>
        <v/>
      </c>
      <c r="O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5" s="6" t="str">
        <f>CONCATENATE(O465, IF('Input Sheet'!K467="",""," siderite in "))</f>
        <v/>
      </c>
    </row>
    <row r="466" spans="1:16" x14ac:dyDescent="0.25">
      <c r="A466" s="17" t="str">
        <f>IF('Input Sheet'!C468="","",CONCATENATE("Sample ", 'Input Sheet'!B468, "m: ", N466, H466, "% ", "Siltstone, ", P466, 'Input Sheet'!C468, "% ", J466, " Sandstone, ", L466, K466, " FLUOR in SST. ", "TG ", 'Input Sheet'!I468, "U"))</f>
        <v/>
      </c>
      <c r="B466" s="3" t="str">
        <f>IF('Input Sheet'!C468="","",CONCATENATE("Sample ", 'Input Sheet'!B468, "m: ", O466, I466, "% ", "Siltstone, ", Q466, 'Input Sheet'!C468, "% ", K466, " Sandstone "))</f>
        <v/>
      </c>
      <c r="C466" s="3" t="str">
        <f>IF('Input Sheet'!C468="","",CONCATENATE("Sample ", 'Input Sheet'!B468, "m: ", N466,, L466, K466, " FLUOR in SST. ", "TG ", 'Input Sheet'!I468, "U"))</f>
        <v/>
      </c>
      <c r="H466" s="6" t="str">
        <f>IF('Input Sheet'!C468="","",100-'Input Sheet'!C468)</f>
        <v/>
      </c>
      <c r="I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6" s="6" t="str">
        <f t="shared" si="7"/>
        <v/>
      </c>
      <c r="K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6" s="6" t="str">
        <f>IF('Input Sheet'!F468=0, "NO",CONCATENATE('Input Sheet'!F468, IF('Input Sheet'!F468&gt;0,"% ","")))</f>
        <v>NO</v>
      </c>
      <c r="M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6" s="6" t="str">
        <f>CONCATENATE(M466, IF('Input Sheet'!J468="",""," siderite in "))</f>
        <v/>
      </c>
      <c r="O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6" s="6" t="str">
        <f>CONCATENATE(O466, IF('Input Sheet'!K468="",""," siderite in "))</f>
        <v/>
      </c>
    </row>
    <row r="467" spans="1:16" x14ac:dyDescent="0.25">
      <c r="A467" s="17" t="str">
        <f>IF('Input Sheet'!C469="","",CONCATENATE("Sample ", 'Input Sheet'!B469, "m: ", N467, H467, "% ", "Siltstone, ", P467, 'Input Sheet'!C469, "% ", J467, " Sandstone, ", L467, K467, " FLUOR in SST. ", "TG ", 'Input Sheet'!I469, "U"))</f>
        <v/>
      </c>
      <c r="B467" s="3" t="str">
        <f>IF('Input Sheet'!C469="","",CONCATENATE("Sample ", 'Input Sheet'!B469, "m: ", O467, I467, "% ", "Siltstone, ", Q467, 'Input Sheet'!C469, "% ", K467, " Sandstone "))</f>
        <v/>
      </c>
      <c r="C467" s="3" t="str">
        <f>IF('Input Sheet'!C469="","",CONCATENATE("Sample ", 'Input Sheet'!B469, "m: ", N467,, L467, K467, " FLUOR in SST. ", "TG ", 'Input Sheet'!I469, "U"))</f>
        <v/>
      </c>
      <c r="H467" s="6" t="str">
        <f>IF('Input Sheet'!C469="","",100-'Input Sheet'!C469)</f>
        <v/>
      </c>
      <c r="I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7" s="6" t="str">
        <f t="shared" si="7"/>
        <v/>
      </c>
      <c r="K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7" s="6" t="str">
        <f>IF('Input Sheet'!F469=0, "NO",CONCATENATE('Input Sheet'!F469, IF('Input Sheet'!F469&gt;0,"% ","")))</f>
        <v>NO</v>
      </c>
      <c r="M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7" s="6" t="str">
        <f>CONCATENATE(M467, IF('Input Sheet'!J469="",""," siderite in "))</f>
        <v/>
      </c>
      <c r="O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7" s="6" t="str">
        <f>CONCATENATE(O467, IF('Input Sheet'!K469="",""," siderite in "))</f>
        <v/>
      </c>
    </row>
    <row r="468" spans="1:16" x14ac:dyDescent="0.25">
      <c r="A468" s="17" t="str">
        <f>IF('Input Sheet'!C470="","",CONCATENATE("Sample ", 'Input Sheet'!B470, "m: ", N468, H468, "% ", "Siltstone, ", P468, 'Input Sheet'!C470, "% ", J468, " Sandstone, ", L468, K468, " FLUOR in SST. ", "TG ", 'Input Sheet'!I470, "U"))</f>
        <v/>
      </c>
      <c r="B468" s="3" t="str">
        <f>IF('Input Sheet'!C470="","",CONCATENATE("Sample ", 'Input Sheet'!B470, "m: ", O468, I468, "% ", "Siltstone, ", Q468, 'Input Sheet'!C470, "% ", K468, " Sandstone "))</f>
        <v/>
      </c>
      <c r="C468" s="3" t="str">
        <f>IF('Input Sheet'!C470="","",CONCATENATE("Sample ", 'Input Sheet'!B470, "m: ", N468,, L468, K468, " FLUOR in SST. ", "TG ", 'Input Sheet'!I470, "U"))</f>
        <v/>
      </c>
      <c r="H468" s="6" t="str">
        <f>IF('Input Sheet'!C470="","",100-'Input Sheet'!C470)</f>
        <v/>
      </c>
      <c r="I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8" s="6" t="str">
        <f t="shared" si="7"/>
        <v/>
      </c>
      <c r="K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8" s="6" t="str">
        <f>IF('Input Sheet'!F470=0, "NO",CONCATENATE('Input Sheet'!F470, IF('Input Sheet'!F470&gt;0,"% ","")))</f>
        <v>NO</v>
      </c>
      <c r="M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8" s="6" t="str">
        <f>CONCATENATE(M468, IF('Input Sheet'!J470="",""," siderite in "))</f>
        <v/>
      </c>
      <c r="O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8" s="6" t="str">
        <f>CONCATENATE(O468, IF('Input Sheet'!K470="",""," siderite in "))</f>
        <v/>
      </c>
    </row>
    <row r="469" spans="1:16" x14ac:dyDescent="0.25">
      <c r="A469" s="17" t="str">
        <f>IF('Input Sheet'!C471="","",CONCATENATE("Sample ", 'Input Sheet'!B471, "m: ", N469, H469, "% ", "Siltstone, ", P469, 'Input Sheet'!C471, "% ", J469, " Sandstone, ", L469, K469, " FLUOR in SST. ", "TG ", 'Input Sheet'!I471, "U"))</f>
        <v/>
      </c>
      <c r="B469" s="3" t="str">
        <f>IF('Input Sheet'!C471="","",CONCATENATE("Sample ", 'Input Sheet'!B471, "m: ", O469, I469, "% ", "Siltstone, ", Q469, 'Input Sheet'!C471, "% ", K469, " Sandstone "))</f>
        <v/>
      </c>
      <c r="C469" s="3" t="str">
        <f>IF('Input Sheet'!C471="","",CONCATENATE("Sample ", 'Input Sheet'!B471, "m: ", N469,, L469, K469, " FLUOR in SST. ", "TG ", 'Input Sheet'!I471, "U"))</f>
        <v/>
      </c>
      <c r="H469" s="6" t="str">
        <f>IF('Input Sheet'!C471="","",100-'Input Sheet'!C471)</f>
        <v/>
      </c>
      <c r="I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69" s="6" t="str">
        <f t="shared" si="7"/>
        <v/>
      </c>
      <c r="K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69" s="6" t="str">
        <f>IF('Input Sheet'!F471=0, "NO",CONCATENATE('Input Sheet'!F471, IF('Input Sheet'!F471&gt;0,"% ","")))</f>
        <v>NO</v>
      </c>
      <c r="M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69" s="6" t="str">
        <f>CONCATENATE(M469, IF('Input Sheet'!J471="",""," siderite in "))</f>
        <v/>
      </c>
      <c r="O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69" s="6" t="str">
        <f>CONCATENATE(O469, IF('Input Sheet'!K471="",""," siderite in "))</f>
        <v/>
      </c>
    </row>
    <row r="470" spans="1:16" x14ac:dyDescent="0.25">
      <c r="A470" s="17" t="str">
        <f>IF('Input Sheet'!C472="","",CONCATENATE("Sample ", 'Input Sheet'!B472, "m: ", N470, H470, "% ", "Siltstone, ", P470, 'Input Sheet'!C472, "% ", J470, " Sandstone, ", L470, K470, " FLUOR in SST. ", "TG ", 'Input Sheet'!I472, "U"))</f>
        <v/>
      </c>
      <c r="B470" s="3" t="str">
        <f>IF('Input Sheet'!C472="","",CONCATENATE("Sample ", 'Input Sheet'!B472, "m: ", O470, I470, "% ", "Siltstone, ", Q470, 'Input Sheet'!C472, "% ", K470, " Sandstone "))</f>
        <v/>
      </c>
      <c r="C470" s="3" t="str">
        <f>IF('Input Sheet'!C472="","",CONCATENATE("Sample ", 'Input Sheet'!B472, "m: ", N470,, L470, K470, " FLUOR in SST. ", "TG ", 'Input Sheet'!I472, "U"))</f>
        <v/>
      </c>
      <c r="H470" s="6" t="str">
        <f>IF('Input Sheet'!C472="","",100-'Input Sheet'!C472)</f>
        <v/>
      </c>
      <c r="I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0" s="6" t="str">
        <f t="shared" si="7"/>
        <v/>
      </c>
      <c r="K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0" s="6" t="str">
        <f>IF('Input Sheet'!F472=0, "NO",CONCATENATE('Input Sheet'!F472, IF('Input Sheet'!F472&gt;0,"% ","")))</f>
        <v>NO</v>
      </c>
      <c r="M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0" s="6" t="str">
        <f>CONCATENATE(M470, IF('Input Sheet'!J472="",""," siderite in "))</f>
        <v/>
      </c>
      <c r="O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0" s="6" t="str">
        <f>CONCATENATE(O470, IF('Input Sheet'!K472="",""," siderite in "))</f>
        <v/>
      </c>
    </row>
    <row r="471" spans="1:16" x14ac:dyDescent="0.25">
      <c r="A471" s="17" t="str">
        <f>IF('Input Sheet'!C473="","",CONCATENATE("Sample ", 'Input Sheet'!B473, "m: ", N471, H471, "% ", "Siltstone, ", P471, 'Input Sheet'!C473, "% ", J471, " Sandstone, ", L471, K471, " FLUOR in SST. ", "TG ", 'Input Sheet'!I473, "U"))</f>
        <v/>
      </c>
      <c r="B471" s="3" t="str">
        <f>IF('Input Sheet'!C473="","",CONCATENATE("Sample ", 'Input Sheet'!B473, "m: ", O471, I471, "% ", "Siltstone, ", Q471, 'Input Sheet'!C473, "% ", K471, " Sandstone "))</f>
        <v/>
      </c>
      <c r="C471" s="3" t="str">
        <f>IF('Input Sheet'!C473="","",CONCATENATE("Sample ", 'Input Sheet'!B473, "m: ", N471,, L471, K471, " FLUOR in SST. ", "TG ", 'Input Sheet'!I473, "U"))</f>
        <v/>
      </c>
      <c r="H471" s="6" t="str">
        <f>IF('Input Sheet'!C473="","",100-'Input Sheet'!C473)</f>
        <v/>
      </c>
      <c r="I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1" s="6" t="str">
        <f t="shared" si="7"/>
        <v/>
      </c>
      <c r="K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1" s="6" t="str">
        <f>IF('Input Sheet'!F473=0, "NO",CONCATENATE('Input Sheet'!F473, IF('Input Sheet'!F473&gt;0,"% ","")))</f>
        <v>NO</v>
      </c>
      <c r="M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1" s="6" t="str">
        <f>CONCATENATE(M471, IF('Input Sheet'!J473="",""," siderite in "))</f>
        <v/>
      </c>
      <c r="O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1" s="6" t="str">
        <f>CONCATENATE(O471, IF('Input Sheet'!K473="",""," siderite in "))</f>
        <v/>
      </c>
    </row>
    <row r="472" spans="1:16" x14ac:dyDescent="0.25">
      <c r="A472" s="17" t="str">
        <f>IF('Input Sheet'!C474="","",CONCATENATE("Sample ", 'Input Sheet'!B474, "m: ", N472, H472, "% ", "Siltstone, ", P472, 'Input Sheet'!C474, "% ", J472, " Sandstone, ", L472, K472, " FLUOR in SST. ", "TG ", 'Input Sheet'!I474, "U"))</f>
        <v/>
      </c>
      <c r="B472" s="3" t="str">
        <f>IF('Input Sheet'!C474="","",CONCATENATE("Sample ", 'Input Sheet'!B474, "m: ", O472, I472, "% ", "Siltstone, ", Q472, 'Input Sheet'!C474, "% ", K472, " Sandstone "))</f>
        <v/>
      </c>
      <c r="C472" s="3" t="str">
        <f>IF('Input Sheet'!C474="","",CONCATENATE("Sample ", 'Input Sheet'!B474, "m: ", N472,, L472, K472, " FLUOR in SST. ", "TG ", 'Input Sheet'!I474, "U"))</f>
        <v/>
      </c>
      <c r="H472" s="6" t="str">
        <f>IF('Input Sheet'!C474="","",100-'Input Sheet'!C474)</f>
        <v/>
      </c>
      <c r="I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2" s="6" t="str">
        <f t="shared" si="7"/>
        <v/>
      </c>
      <c r="K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2" s="6" t="str">
        <f>IF('Input Sheet'!F474=0, "NO",CONCATENATE('Input Sheet'!F474, IF('Input Sheet'!F474&gt;0,"% ","")))</f>
        <v>NO</v>
      </c>
      <c r="M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2" s="6" t="str">
        <f>CONCATENATE(M472, IF('Input Sheet'!J474="",""," siderite in "))</f>
        <v/>
      </c>
      <c r="O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2" s="6" t="str">
        <f>CONCATENATE(O472, IF('Input Sheet'!K474="",""," siderite in "))</f>
        <v/>
      </c>
    </row>
    <row r="473" spans="1:16" x14ac:dyDescent="0.25">
      <c r="A473" s="17" t="str">
        <f>IF('Input Sheet'!C475="","",CONCATENATE("Sample ", 'Input Sheet'!B475, "m: ", N473, H473, "% ", "Siltstone, ", P473, 'Input Sheet'!C475, "% ", J473, " Sandstone, ", L473, K473, " FLUOR in SST. ", "TG ", 'Input Sheet'!I475, "U"))</f>
        <v/>
      </c>
      <c r="B473" s="3" t="str">
        <f>IF('Input Sheet'!C475="","",CONCATENATE("Sample ", 'Input Sheet'!B475, "m: ", O473, I473, "% ", "Siltstone, ", Q473, 'Input Sheet'!C475, "% ", K473, " Sandstone "))</f>
        <v/>
      </c>
      <c r="C473" s="3" t="str">
        <f>IF('Input Sheet'!C475="","",CONCATENATE("Sample ", 'Input Sheet'!B475, "m: ", N473,, L473, K473, " FLUOR in SST. ", "TG ", 'Input Sheet'!I475, "U"))</f>
        <v/>
      </c>
      <c r="H473" s="6" t="str">
        <f>IF('Input Sheet'!C475="","",100-'Input Sheet'!C475)</f>
        <v/>
      </c>
      <c r="I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3" s="6" t="str">
        <f t="shared" si="7"/>
        <v/>
      </c>
      <c r="K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3" s="6" t="str">
        <f>IF('Input Sheet'!F475=0, "NO",CONCATENATE('Input Sheet'!F475, IF('Input Sheet'!F475&gt;0,"% ","")))</f>
        <v>NO</v>
      </c>
      <c r="M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3" s="6" t="str">
        <f>CONCATENATE(M473, IF('Input Sheet'!J475="",""," siderite in "))</f>
        <v/>
      </c>
      <c r="O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3" s="6" t="str">
        <f>CONCATENATE(O473, IF('Input Sheet'!K475="",""," siderite in "))</f>
        <v/>
      </c>
    </row>
    <row r="474" spans="1:16" x14ac:dyDescent="0.25">
      <c r="A474" s="17" t="str">
        <f>IF('Input Sheet'!C476="","",CONCATENATE("Sample ", 'Input Sheet'!B476, "m: ", N474, H474, "% ", "Siltstone, ", P474, 'Input Sheet'!C476, "% ", J474, " Sandstone, ", L474, K474, " FLUOR in SST. ", "TG ", 'Input Sheet'!I476, "U"))</f>
        <v/>
      </c>
      <c r="B474" s="3" t="str">
        <f>IF('Input Sheet'!C476="","",CONCATENATE("Sample ", 'Input Sheet'!B476, "m: ", O474, I474, "% ", "Siltstone, ", Q474, 'Input Sheet'!C476, "% ", K474, " Sandstone "))</f>
        <v/>
      </c>
      <c r="C474" s="3" t="str">
        <f>IF('Input Sheet'!C476="","",CONCATENATE("Sample ", 'Input Sheet'!B476, "m: ", N474,, L474, K474, " FLUOR in SST. ", "TG ", 'Input Sheet'!I476, "U"))</f>
        <v/>
      </c>
      <c r="H474" s="6" t="str">
        <f>IF('Input Sheet'!C476="","",100-'Input Sheet'!C476)</f>
        <v/>
      </c>
      <c r="I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4" s="6" t="str">
        <f t="shared" si="7"/>
        <v/>
      </c>
      <c r="K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4" s="6" t="str">
        <f>IF('Input Sheet'!F476=0, "NO",CONCATENATE('Input Sheet'!F476, IF('Input Sheet'!F476&gt;0,"% ","")))</f>
        <v>NO</v>
      </c>
      <c r="M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4" s="6" t="str">
        <f>CONCATENATE(M474, IF('Input Sheet'!J476="",""," siderite in "))</f>
        <v/>
      </c>
      <c r="O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4" s="6" t="str">
        <f>CONCATENATE(O474, IF('Input Sheet'!K476="",""," siderite in "))</f>
        <v/>
      </c>
    </row>
    <row r="475" spans="1:16" x14ac:dyDescent="0.25">
      <c r="A475" s="17" t="str">
        <f>IF('Input Sheet'!C477="","",CONCATENATE("Sample ", 'Input Sheet'!B477, "m: ", N475, H475, "% ", "Siltstone, ", P475, 'Input Sheet'!C477, "% ", J475, " Sandstone, ", L475, K475, " FLUOR in SST. ", "TG ", 'Input Sheet'!I477, "U"))</f>
        <v/>
      </c>
      <c r="B475" s="3" t="str">
        <f>IF('Input Sheet'!C477="","",CONCATENATE("Sample ", 'Input Sheet'!B477, "m: ", O475, I475, "% ", "Siltstone, ", Q475, 'Input Sheet'!C477, "% ", K475, " Sandstone "))</f>
        <v/>
      </c>
      <c r="C475" s="3" t="str">
        <f>IF('Input Sheet'!C477="","",CONCATENATE("Sample ", 'Input Sheet'!B477, "m: ", N475,, L475, K475, " FLUOR in SST. ", "TG ", 'Input Sheet'!I477, "U"))</f>
        <v/>
      </c>
      <c r="H475" s="6" t="str">
        <f>IF('Input Sheet'!C477="","",100-'Input Sheet'!C477)</f>
        <v/>
      </c>
      <c r="I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5" s="6" t="str">
        <f t="shared" si="7"/>
        <v/>
      </c>
      <c r="K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5" s="6" t="str">
        <f>IF('Input Sheet'!F477=0, "NO",CONCATENATE('Input Sheet'!F477, IF('Input Sheet'!F477&gt;0,"% ","")))</f>
        <v>NO</v>
      </c>
      <c r="M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5" s="6" t="str">
        <f>CONCATENATE(M475, IF('Input Sheet'!J477="",""," siderite in "))</f>
        <v/>
      </c>
      <c r="O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5" s="6" t="str">
        <f>CONCATENATE(O475, IF('Input Sheet'!K477="",""," siderite in "))</f>
        <v/>
      </c>
    </row>
    <row r="476" spans="1:16" x14ac:dyDescent="0.25">
      <c r="A476" s="17" t="str">
        <f>IF('Input Sheet'!C478="","",CONCATENATE("Sample ", 'Input Sheet'!B478, "m: ", N476, H476, "% ", "Siltstone, ", P476, 'Input Sheet'!C478, "% ", J476, " Sandstone, ", L476, K476, " FLUOR in SST. ", "TG ", 'Input Sheet'!I478, "U"))</f>
        <v/>
      </c>
      <c r="B476" s="3" t="str">
        <f>IF('Input Sheet'!C478="","",CONCATENATE("Sample ", 'Input Sheet'!B478, "m: ", O476, I476, "% ", "Siltstone, ", Q476, 'Input Sheet'!C478, "% ", K476, " Sandstone "))</f>
        <v/>
      </c>
      <c r="C476" s="3" t="str">
        <f>IF('Input Sheet'!C478="","",CONCATENATE("Sample ", 'Input Sheet'!B478, "m: ", N476,, L476, K476, " FLUOR in SST. ", "TG ", 'Input Sheet'!I478, "U"))</f>
        <v/>
      </c>
      <c r="H476" s="6" t="str">
        <f>IF('Input Sheet'!C478="","",100-'Input Sheet'!C478)</f>
        <v/>
      </c>
      <c r="I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6" s="6" t="str">
        <f t="shared" si="7"/>
        <v/>
      </c>
      <c r="K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6" s="6" t="str">
        <f>IF('Input Sheet'!F478=0, "NO",CONCATENATE('Input Sheet'!F478, IF('Input Sheet'!F478&gt;0,"% ","")))</f>
        <v>NO</v>
      </c>
      <c r="M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6" s="6" t="str">
        <f>CONCATENATE(M476, IF('Input Sheet'!J478="",""," siderite in "))</f>
        <v/>
      </c>
      <c r="O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6" s="6" t="str">
        <f>CONCATENATE(O476, IF('Input Sheet'!K478="",""," siderite in "))</f>
        <v/>
      </c>
    </row>
    <row r="477" spans="1:16" x14ac:dyDescent="0.25">
      <c r="A477" s="17" t="str">
        <f>IF('Input Sheet'!C479="","",CONCATENATE("Sample ", 'Input Sheet'!B479, "m: ", N477, H477, "% ", "Siltstone, ", P477, 'Input Sheet'!C479, "% ", J477, " Sandstone, ", L477, K477, " FLUOR in SST. ", "TG ", 'Input Sheet'!I479, "U"))</f>
        <v/>
      </c>
      <c r="B477" s="3" t="str">
        <f>IF('Input Sheet'!C479="","",CONCATENATE("Sample ", 'Input Sheet'!B479, "m: ", O477, I477, "% ", "Siltstone, ", Q477, 'Input Sheet'!C479, "% ", K477, " Sandstone "))</f>
        <v/>
      </c>
      <c r="C477" s="3" t="str">
        <f>IF('Input Sheet'!C479="","",CONCATENATE("Sample ", 'Input Sheet'!B479, "m: ", N477,, L477, K477, " FLUOR in SST. ", "TG ", 'Input Sheet'!I479, "U"))</f>
        <v/>
      </c>
      <c r="H477" s="6" t="str">
        <f>IF('Input Sheet'!C479="","",100-'Input Sheet'!C479)</f>
        <v/>
      </c>
      <c r="I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7" s="6" t="str">
        <f t="shared" si="7"/>
        <v/>
      </c>
      <c r="K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7" s="6" t="str">
        <f>IF('Input Sheet'!F479=0, "NO",CONCATENATE('Input Sheet'!F479, IF('Input Sheet'!F479&gt;0,"% ","")))</f>
        <v>NO</v>
      </c>
      <c r="M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7" s="6" t="str">
        <f>CONCATENATE(M477, IF('Input Sheet'!J479="",""," siderite in "))</f>
        <v/>
      </c>
      <c r="O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7" s="6" t="str">
        <f>CONCATENATE(O477, IF('Input Sheet'!K479="",""," siderite in "))</f>
        <v/>
      </c>
    </row>
    <row r="478" spans="1:16" x14ac:dyDescent="0.25">
      <c r="A478" s="17" t="str">
        <f>IF('Input Sheet'!C480="","",CONCATENATE("Sample ", 'Input Sheet'!B480, "m: ", N478, H478, "% ", "Siltstone, ", P478, 'Input Sheet'!C480, "% ", J478, " Sandstone, ", L478, K478, " FLUOR in SST. ", "TG ", 'Input Sheet'!I480, "U"))</f>
        <v/>
      </c>
      <c r="B478" s="3" t="str">
        <f>IF('Input Sheet'!C480="","",CONCATENATE("Sample ", 'Input Sheet'!B480, "m: ", O478, I478, "% ", "Siltstone, ", Q478, 'Input Sheet'!C480, "% ", K478, " Sandstone "))</f>
        <v/>
      </c>
      <c r="C478" s="3" t="str">
        <f>IF('Input Sheet'!C480="","",CONCATENATE("Sample ", 'Input Sheet'!B480, "m: ", N478,, L478, K478, " FLUOR in SST. ", "TG ", 'Input Sheet'!I480, "U"))</f>
        <v/>
      </c>
      <c r="H478" s="6" t="str">
        <f>IF('Input Sheet'!C480="","",100-'Input Sheet'!C480)</f>
        <v/>
      </c>
      <c r="I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8" s="6" t="str">
        <f t="shared" si="7"/>
        <v/>
      </c>
      <c r="K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8" s="6" t="str">
        <f>IF('Input Sheet'!F480=0, "NO",CONCATENATE('Input Sheet'!F480, IF('Input Sheet'!F480&gt;0,"% ","")))</f>
        <v>NO</v>
      </c>
      <c r="M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8" s="6" t="str">
        <f>CONCATENATE(M478, IF('Input Sheet'!J480="",""," siderite in "))</f>
        <v/>
      </c>
      <c r="O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8" s="6" t="str">
        <f>CONCATENATE(O478, IF('Input Sheet'!K480="",""," siderite in "))</f>
        <v/>
      </c>
    </row>
    <row r="479" spans="1:16" x14ac:dyDescent="0.25">
      <c r="A479" s="17" t="str">
        <f>IF('Input Sheet'!C481="","",CONCATENATE("Sample ", 'Input Sheet'!B481, "m: ", N479, H479, "% ", "Siltstone, ", P479, 'Input Sheet'!C481, "% ", J479, " Sandstone, ", L479, K479, " FLUOR in SST. ", "TG ", 'Input Sheet'!I481, "U"))</f>
        <v/>
      </c>
      <c r="B479" s="3" t="str">
        <f>IF('Input Sheet'!C481="","",CONCATENATE("Sample ", 'Input Sheet'!B481, "m: ", O479, I479, "% ", "Siltstone, ", Q479, 'Input Sheet'!C481, "% ", K479, " Sandstone "))</f>
        <v/>
      </c>
      <c r="C479" s="3" t="str">
        <f>IF('Input Sheet'!C481="","",CONCATENATE("Sample ", 'Input Sheet'!B481, "m: ", N479,, L479, K479, " FLUOR in SST. ", "TG ", 'Input Sheet'!I481, "U"))</f>
        <v/>
      </c>
      <c r="H479" s="6" t="str">
        <f>IF('Input Sheet'!C481="","",100-'Input Sheet'!C481)</f>
        <v/>
      </c>
      <c r="I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79" s="6" t="str">
        <f t="shared" si="7"/>
        <v/>
      </c>
      <c r="K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79" s="6" t="str">
        <f>IF('Input Sheet'!F481=0, "NO",CONCATENATE('Input Sheet'!F481, IF('Input Sheet'!F481&gt;0,"% ","")))</f>
        <v>NO</v>
      </c>
      <c r="M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79" s="6" t="str">
        <f>CONCATENATE(M479, IF('Input Sheet'!J481="",""," siderite in "))</f>
        <v/>
      </c>
      <c r="O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79" s="6" t="str">
        <f>CONCATENATE(O479, IF('Input Sheet'!K481="",""," siderite in "))</f>
        <v/>
      </c>
    </row>
    <row r="480" spans="1:16" x14ac:dyDescent="0.25">
      <c r="A480" s="17" t="str">
        <f>IF('Input Sheet'!C482="","",CONCATENATE("Sample ", 'Input Sheet'!B482, "m: ", N480, H480, "% ", "Siltstone, ", P480, 'Input Sheet'!C482, "% ", J480, " Sandstone, ", L480, K480, " FLUOR in SST. ", "TG ", 'Input Sheet'!I482, "U"))</f>
        <v/>
      </c>
      <c r="B480" s="3" t="str">
        <f>IF('Input Sheet'!C482="","",CONCATENATE("Sample ", 'Input Sheet'!B482, "m: ", O480, I480, "% ", "Siltstone, ", Q480, 'Input Sheet'!C482, "% ", K480, " Sandstone "))</f>
        <v/>
      </c>
      <c r="C480" s="3" t="str">
        <f>IF('Input Sheet'!C482="","",CONCATENATE("Sample ", 'Input Sheet'!B482, "m: ", N480,, L480, K480, " FLUOR in SST. ", "TG ", 'Input Sheet'!I482, "U"))</f>
        <v/>
      </c>
      <c r="H480" s="6" t="str">
        <f>IF('Input Sheet'!C482="","",100-'Input Sheet'!C482)</f>
        <v/>
      </c>
      <c r="I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0" s="6" t="str">
        <f t="shared" si="7"/>
        <v/>
      </c>
      <c r="K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0" s="6" t="str">
        <f>IF('Input Sheet'!F482=0, "NO",CONCATENATE('Input Sheet'!F482, IF('Input Sheet'!F482&gt;0,"% ","")))</f>
        <v>NO</v>
      </c>
      <c r="M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0" s="6" t="str">
        <f>CONCATENATE(M480, IF('Input Sheet'!J482="",""," siderite in "))</f>
        <v/>
      </c>
      <c r="O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0" s="6" t="str">
        <f>CONCATENATE(O480, IF('Input Sheet'!K482="",""," siderite in "))</f>
        <v/>
      </c>
    </row>
    <row r="481" spans="1:16" x14ac:dyDescent="0.25">
      <c r="A481" s="17" t="str">
        <f>IF('Input Sheet'!C483="","",CONCATENATE("Sample ", 'Input Sheet'!B483, "m: ", N481, H481, "% ", "Siltstone, ", P481, 'Input Sheet'!C483, "% ", J481, " Sandstone, ", L481, K481, " FLUOR in SST. ", "TG ", 'Input Sheet'!I483, "U"))</f>
        <v/>
      </c>
      <c r="B481" s="3" t="str">
        <f>IF('Input Sheet'!C483="","",CONCATENATE("Sample ", 'Input Sheet'!B483, "m: ", O481, I481, "% ", "Siltstone, ", Q481, 'Input Sheet'!C483, "% ", K481, " Sandstone "))</f>
        <v/>
      </c>
      <c r="C481" s="3" t="str">
        <f>IF('Input Sheet'!C483="","",CONCATENATE("Sample ", 'Input Sheet'!B483, "m: ", N481,, L481, K481, " FLUOR in SST. ", "TG ", 'Input Sheet'!I483, "U"))</f>
        <v/>
      </c>
      <c r="H481" s="6" t="str">
        <f>IF('Input Sheet'!C483="","",100-'Input Sheet'!C483)</f>
        <v/>
      </c>
      <c r="I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1" s="6" t="str">
        <f t="shared" si="7"/>
        <v/>
      </c>
      <c r="K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1" s="6" t="str">
        <f>IF('Input Sheet'!F483=0, "NO",CONCATENATE('Input Sheet'!F483, IF('Input Sheet'!F483&gt;0,"% ","")))</f>
        <v>NO</v>
      </c>
      <c r="M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1" s="6" t="str">
        <f>CONCATENATE(M481, IF('Input Sheet'!J483="",""," siderite in "))</f>
        <v/>
      </c>
      <c r="O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1" s="6" t="str">
        <f>CONCATENATE(O481, IF('Input Sheet'!K483="",""," siderite in "))</f>
        <v/>
      </c>
    </row>
    <row r="482" spans="1:16" x14ac:dyDescent="0.25">
      <c r="A482" s="17" t="str">
        <f>IF('Input Sheet'!C484="","",CONCATENATE("Sample ", 'Input Sheet'!B484, "m: ", N482, H482, "% ", "Siltstone, ", P482, 'Input Sheet'!C484, "% ", J482, " Sandstone, ", L482, K482, " FLUOR in SST. ", "TG ", 'Input Sheet'!I484, "U"))</f>
        <v/>
      </c>
      <c r="B482" s="3" t="str">
        <f>IF('Input Sheet'!C484="","",CONCATENATE("Sample ", 'Input Sheet'!B484, "m: ", O482, I482, "% ", "Siltstone, ", Q482, 'Input Sheet'!C484, "% ", K482, " Sandstone "))</f>
        <v/>
      </c>
      <c r="C482" s="3" t="str">
        <f>IF('Input Sheet'!C484="","",CONCATENATE("Sample ", 'Input Sheet'!B484, "m: ", N482,, L482, K482, " FLUOR in SST. ", "TG ", 'Input Sheet'!I484, "U"))</f>
        <v/>
      </c>
      <c r="H482" s="6" t="str">
        <f>IF('Input Sheet'!C484="","",100-'Input Sheet'!C484)</f>
        <v/>
      </c>
      <c r="I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2" s="6" t="str">
        <f t="shared" si="7"/>
        <v/>
      </c>
      <c r="K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2" s="6" t="str">
        <f>IF('Input Sheet'!F484=0, "NO",CONCATENATE('Input Sheet'!F484, IF('Input Sheet'!F484&gt;0,"% ","")))</f>
        <v>NO</v>
      </c>
      <c r="M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2" s="6" t="str">
        <f>CONCATENATE(M482, IF('Input Sheet'!J484="",""," siderite in "))</f>
        <v/>
      </c>
      <c r="O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2" s="6" t="str">
        <f>CONCATENATE(O482, IF('Input Sheet'!K484="",""," siderite in "))</f>
        <v/>
      </c>
    </row>
    <row r="483" spans="1:16" x14ac:dyDescent="0.25">
      <c r="A483" s="17" t="str">
        <f>IF('Input Sheet'!C485="","",CONCATENATE("Sample ", 'Input Sheet'!B485, "m: ", N483, H483, "% ", "Siltstone, ", P483, 'Input Sheet'!C485, "% ", J483, " Sandstone, ", L483, K483, " FLUOR in SST. ", "TG ", 'Input Sheet'!I485, "U"))</f>
        <v/>
      </c>
      <c r="B483" s="3" t="str">
        <f>IF('Input Sheet'!C485="","",CONCATENATE("Sample ", 'Input Sheet'!B485, "m: ", O483, I483, "% ", "Siltstone, ", Q483, 'Input Sheet'!C485, "% ", K483, " Sandstone "))</f>
        <v/>
      </c>
      <c r="C483" s="3" t="str">
        <f>IF('Input Sheet'!C485="","",CONCATENATE("Sample ", 'Input Sheet'!B485, "m: ", N483,, L483, K483, " FLUOR in SST. ", "TG ", 'Input Sheet'!I485, "U"))</f>
        <v/>
      </c>
      <c r="H483" s="6" t="str">
        <f>IF('Input Sheet'!C485="","",100-'Input Sheet'!C485)</f>
        <v/>
      </c>
      <c r="I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3" s="6" t="str">
        <f t="shared" si="7"/>
        <v/>
      </c>
      <c r="K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3" s="6" t="str">
        <f>IF('Input Sheet'!F485=0, "NO",CONCATENATE('Input Sheet'!F485, IF('Input Sheet'!F485&gt;0,"% ","")))</f>
        <v>NO</v>
      </c>
      <c r="M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3" s="6" t="str">
        <f>CONCATENATE(M483, IF('Input Sheet'!J485="",""," siderite in "))</f>
        <v/>
      </c>
      <c r="O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3" s="6" t="str">
        <f>CONCATENATE(O483, IF('Input Sheet'!K485="",""," siderite in "))</f>
        <v/>
      </c>
    </row>
    <row r="484" spans="1:16" x14ac:dyDescent="0.25">
      <c r="A484" s="17" t="str">
        <f>IF('Input Sheet'!C486="","",CONCATENATE("Sample ", 'Input Sheet'!B486, "m: ", N484, H484, "% ", "Siltstone, ", P484, 'Input Sheet'!C486, "% ", J484, " Sandstone, ", L484, K484, " FLUOR in SST. ", "TG ", 'Input Sheet'!I486, "U"))</f>
        <v/>
      </c>
      <c r="B484" s="3" t="str">
        <f>IF('Input Sheet'!C486="","",CONCATENATE("Sample ", 'Input Sheet'!B486, "m: ", O484, I484, "% ", "Siltstone, ", Q484, 'Input Sheet'!C486, "% ", K484, " Sandstone "))</f>
        <v/>
      </c>
      <c r="C484" s="3" t="str">
        <f>IF('Input Sheet'!C486="","",CONCATENATE("Sample ", 'Input Sheet'!B486, "m: ", N484,, L484, K484, " FLUOR in SST. ", "TG ", 'Input Sheet'!I486, "U"))</f>
        <v/>
      </c>
      <c r="H484" s="6" t="str">
        <f>IF('Input Sheet'!C486="","",100-'Input Sheet'!C486)</f>
        <v/>
      </c>
      <c r="I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4" s="6" t="str">
        <f t="shared" si="7"/>
        <v/>
      </c>
      <c r="K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4" s="6" t="str">
        <f>IF('Input Sheet'!F486=0, "NO",CONCATENATE('Input Sheet'!F486, IF('Input Sheet'!F486&gt;0,"% ","")))</f>
        <v>NO</v>
      </c>
      <c r="M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4" s="6" t="str">
        <f>CONCATENATE(M484, IF('Input Sheet'!J486="",""," siderite in "))</f>
        <v/>
      </c>
      <c r="O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4" s="6" t="str">
        <f>CONCATENATE(O484, IF('Input Sheet'!K486="",""," siderite in "))</f>
        <v/>
      </c>
    </row>
    <row r="485" spans="1:16" x14ac:dyDescent="0.25">
      <c r="A485" s="17" t="str">
        <f>IF('Input Sheet'!C487="","",CONCATENATE("Sample ", 'Input Sheet'!B487, "m: ", N485, H485, "% ", "Siltstone, ", P485, 'Input Sheet'!C487, "% ", J485, " Sandstone, ", L485, K485, " FLUOR in SST. ", "TG ", 'Input Sheet'!I487, "U"))</f>
        <v/>
      </c>
      <c r="B485" s="3" t="str">
        <f>IF('Input Sheet'!C487="","",CONCATENATE("Sample ", 'Input Sheet'!B487, "m: ", O485, I485, "% ", "Siltstone, ", Q485, 'Input Sheet'!C487, "% ", K485, " Sandstone "))</f>
        <v/>
      </c>
      <c r="C485" s="3" t="str">
        <f>IF('Input Sheet'!C487="","",CONCATENATE("Sample ", 'Input Sheet'!B487, "m: ", N485,, L485, K485, " FLUOR in SST. ", "TG ", 'Input Sheet'!I487, "U"))</f>
        <v/>
      </c>
      <c r="H485" s="6" t="str">
        <f>IF('Input Sheet'!C487="","",100-'Input Sheet'!C487)</f>
        <v/>
      </c>
      <c r="I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5" s="6" t="str">
        <f t="shared" si="7"/>
        <v/>
      </c>
      <c r="K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5" s="6" t="str">
        <f>IF('Input Sheet'!F487=0, "NO",CONCATENATE('Input Sheet'!F487, IF('Input Sheet'!F487&gt;0,"% ","")))</f>
        <v>NO</v>
      </c>
      <c r="M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5" s="6" t="str">
        <f>CONCATENATE(M485, IF('Input Sheet'!J487="",""," siderite in "))</f>
        <v/>
      </c>
      <c r="O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5" s="6" t="str">
        <f>CONCATENATE(O485, IF('Input Sheet'!K487="",""," siderite in "))</f>
        <v/>
      </c>
    </row>
    <row r="486" spans="1:16" x14ac:dyDescent="0.25">
      <c r="A486" s="17" t="str">
        <f>IF('Input Sheet'!C488="","",CONCATENATE("Sample ", 'Input Sheet'!B488, "m: ", N486, H486, "% ", "Siltstone, ", P486, 'Input Sheet'!C488, "% ", J486, " Sandstone, ", L486, K486, " FLUOR in SST. ", "TG ", 'Input Sheet'!I488, "U"))</f>
        <v/>
      </c>
      <c r="B486" s="3" t="str">
        <f>IF('Input Sheet'!C488="","",CONCATENATE("Sample ", 'Input Sheet'!B488, "m: ", O486, I486, "% ", "Siltstone, ", Q486, 'Input Sheet'!C488, "% ", K486, " Sandstone "))</f>
        <v/>
      </c>
      <c r="C486" s="3" t="str">
        <f>IF('Input Sheet'!C488="","",CONCATENATE("Sample ", 'Input Sheet'!B488, "m: ", N486,, L486, K486, " FLUOR in SST. ", "TG ", 'Input Sheet'!I488, "U"))</f>
        <v/>
      </c>
      <c r="H486" s="6" t="str">
        <f>IF('Input Sheet'!C488="","",100-'Input Sheet'!C488)</f>
        <v/>
      </c>
      <c r="I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6" s="6" t="str">
        <f t="shared" si="7"/>
        <v/>
      </c>
      <c r="K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6" s="6" t="str">
        <f>IF('Input Sheet'!F488=0, "NO",CONCATENATE('Input Sheet'!F488, IF('Input Sheet'!F488&gt;0,"% ","")))</f>
        <v>NO</v>
      </c>
      <c r="M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6" s="6" t="str">
        <f>CONCATENATE(M486, IF('Input Sheet'!J488="",""," siderite in "))</f>
        <v/>
      </c>
      <c r="O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6" s="6" t="str">
        <f>CONCATENATE(O486, IF('Input Sheet'!K488="",""," siderite in "))</f>
        <v/>
      </c>
    </row>
    <row r="487" spans="1:16" x14ac:dyDescent="0.25">
      <c r="A487" s="17" t="str">
        <f>IF('Input Sheet'!C489="","",CONCATENATE("Sample ", 'Input Sheet'!B489, "m: ", N487, H487, "% ", "Siltstone, ", P487, 'Input Sheet'!C489, "% ", J487, " Sandstone, ", L487, K487, " FLUOR in SST. ", "TG ", 'Input Sheet'!I489, "U"))</f>
        <v/>
      </c>
      <c r="B487" s="3" t="str">
        <f>IF('Input Sheet'!C489="","",CONCATENATE("Sample ", 'Input Sheet'!B489, "m: ", O487, I487, "% ", "Siltstone, ", Q487, 'Input Sheet'!C489, "% ", K487, " Sandstone "))</f>
        <v/>
      </c>
      <c r="C487" s="3" t="str">
        <f>IF('Input Sheet'!C489="","",CONCATENATE("Sample ", 'Input Sheet'!B489, "m: ", N487,, L487, K487, " FLUOR in SST. ", "TG ", 'Input Sheet'!I489, "U"))</f>
        <v/>
      </c>
      <c r="H487" s="6" t="str">
        <f>IF('Input Sheet'!C489="","",100-'Input Sheet'!C489)</f>
        <v/>
      </c>
      <c r="I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7" s="6" t="str">
        <f t="shared" si="7"/>
        <v/>
      </c>
      <c r="K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7" s="6" t="str">
        <f>IF('Input Sheet'!F489=0, "NO",CONCATENATE('Input Sheet'!F489, IF('Input Sheet'!F489&gt;0,"% ","")))</f>
        <v>NO</v>
      </c>
      <c r="M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7" s="6" t="str">
        <f>CONCATENATE(M487, IF('Input Sheet'!J489="",""," siderite in "))</f>
        <v/>
      </c>
      <c r="O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7" s="6" t="str">
        <f>CONCATENATE(O487, IF('Input Sheet'!K489="",""," siderite in "))</f>
        <v/>
      </c>
    </row>
    <row r="488" spans="1:16" x14ac:dyDescent="0.25">
      <c r="A488" s="17" t="str">
        <f>IF('Input Sheet'!C490="","",CONCATENATE("Sample ", 'Input Sheet'!B490, "m: ", N488, H488, "% ", "Siltstone, ", P488, 'Input Sheet'!C490, "% ", J488, " Sandstone, ", L488, K488, " FLUOR in SST. ", "TG ", 'Input Sheet'!I490, "U"))</f>
        <v/>
      </c>
      <c r="B488" s="3" t="str">
        <f>IF('Input Sheet'!C490="","",CONCATENATE("Sample ", 'Input Sheet'!B490, "m: ", O488, I488, "% ", "Siltstone, ", Q488, 'Input Sheet'!C490, "% ", K488, " Sandstone "))</f>
        <v/>
      </c>
      <c r="C488" s="3" t="str">
        <f>IF('Input Sheet'!C490="","",CONCATENATE("Sample ", 'Input Sheet'!B490, "m: ", N488,, L488, K488, " FLUOR in SST. ", "TG ", 'Input Sheet'!I490, "U"))</f>
        <v/>
      </c>
      <c r="H488" s="6" t="str">
        <f>IF('Input Sheet'!C490="","",100-'Input Sheet'!C490)</f>
        <v/>
      </c>
      <c r="I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8" s="6" t="str">
        <f t="shared" si="7"/>
        <v/>
      </c>
      <c r="K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8" s="6" t="str">
        <f>IF('Input Sheet'!F490=0, "NO",CONCATENATE('Input Sheet'!F490, IF('Input Sheet'!F490&gt;0,"% ","")))</f>
        <v>NO</v>
      </c>
      <c r="M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8" s="6" t="str">
        <f>CONCATENATE(M488, IF('Input Sheet'!J490="",""," siderite in "))</f>
        <v/>
      </c>
      <c r="O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8" s="6" t="str">
        <f>CONCATENATE(O488, IF('Input Sheet'!K490="",""," siderite in "))</f>
        <v/>
      </c>
    </row>
    <row r="489" spans="1:16" x14ac:dyDescent="0.25">
      <c r="A489" s="17" t="str">
        <f>IF('Input Sheet'!C491="","",CONCATENATE("Sample ", 'Input Sheet'!B491, "m: ", N489, H489, "% ", "Siltstone, ", P489, 'Input Sheet'!C491, "% ", J489, " Sandstone, ", L489, K489, " FLUOR in SST. ", "TG ", 'Input Sheet'!I491, "U"))</f>
        <v/>
      </c>
      <c r="B489" s="3" t="str">
        <f>IF('Input Sheet'!C491="","",CONCATENATE("Sample ", 'Input Sheet'!B491, "m: ", O489, I489, "% ", "Siltstone, ", Q489, 'Input Sheet'!C491, "% ", K489, " Sandstone "))</f>
        <v/>
      </c>
      <c r="C489" s="3" t="str">
        <f>IF('Input Sheet'!C491="","",CONCATENATE("Sample ", 'Input Sheet'!B491, "m: ", N489,, L489, K489, " FLUOR in SST. ", "TG ", 'Input Sheet'!I491, "U"))</f>
        <v/>
      </c>
      <c r="H489" s="6" t="str">
        <f>IF('Input Sheet'!C491="","",100-'Input Sheet'!C491)</f>
        <v/>
      </c>
      <c r="I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89" s="6" t="str">
        <f t="shared" si="7"/>
        <v/>
      </c>
      <c r="K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89" s="6" t="str">
        <f>IF('Input Sheet'!F491=0, "NO",CONCATENATE('Input Sheet'!F491, IF('Input Sheet'!F491&gt;0,"% ","")))</f>
        <v>NO</v>
      </c>
      <c r="M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89" s="6" t="str">
        <f>CONCATENATE(M489, IF('Input Sheet'!J491="",""," siderite in "))</f>
        <v/>
      </c>
      <c r="O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89" s="6" t="str">
        <f>CONCATENATE(O489, IF('Input Sheet'!K491="",""," siderite in "))</f>
        <v/>
      </c>
    </row>
    <row r="490" spans="1:16" x14ac:dyDescent="0.25">
      <c r="A490" s="17" t="str">
        <f>IF('Input Sheet'!C492="","",CONCATENATE("Sample ", 'Input Sheet'!B492, "m: ", N490, H490, "% ", "Siltstone, ", P490, 'Input Sheet'!C492, "% ", J490, " Sandstone, ", L490, K490, " FLUOR in SST. ", "TG ", 'Input Sheet'!I492, "U"))</f>
        <v/>
      </c>
      <c r="B490" s="3" t="str">
        <f>IF('Input Sheet'!C492="","",CONCATENATE("Sample ", 'Input Sheet'!B492, "m: ", O490, I490, "% ", "Siltstone, ", Q490, 'Input Sheet'!C492, "% ", K490, " Sandstone "))</f>
        <v/>
      </c>
      <c r="C490" s="3" t="str">
        <f>IF('Input Sheet'!C492="","",CONCATENATE("Sample ", 'Input Sheet'!B492, "m: ", N490,, L490, K490, " FLUOR in SST. ", "TG ", 'Input Sheet'!I492, "U"))</f>
        <v/>
      </c>
      <c r="H490" s="6" t="str">
        <f>IF('Input Sheet'!C492="","",100-'Input Sheet'!C492)</f>
        <v/>
      </c>
      <c r="I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0" s="6" t="str">
        <f t="shared" si="7"/>
        <v/>
      </c>
      <c r="K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0" s="6" t="str">
        <f>IF('Input Sheet'!F492=0, "NO",CONCATENATE('Input Sheet'!F492, IF('Input Sheet'!F492&gt;0,"% ","")))</f>
        <v>NO</v>
      </c>
      <c r="M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0" s="6" t="str">
        <f>CONCATENATE(M490, IF('Input Sheet'!J492="",""," siderite in "))</f>
        <v/>
      </c>
      <c r="O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0" s="6" t="str">
        <f>CONCATENATE(O490, IF('Input Sheet'!K492="",""," siderite in "))</f>
        <v/>
      </c>
    </row>
    <row r="491" spans="1:16" x14ac:dyDescent="0.25">
      <c r="A491" s="17" t="str">
        <f>IF('Input Sheet'!C493="","",CONCATENATE("Sample ", 'Input Sheet'!B493, "m: ", N491, H491, "% ", "Siltstone, ", P491, 'Input Sheet'!C493, "% ", J491, " Sandstone, ", L491, K491, " FLUOR in SST. ", "TG ", 'Input Sheet'!I493, "U"))</f>
        <v/>
      </c>
      <c r="B491" s="3" t="str">
        <f>IF('Input Sheet'!C493="","",CONCATENATE("Sample ", 'Input Sheet'!B493, "m: ", O491, I491, "% ", "Siltstone, ", Q491, 'Input Sheet'!C493, "% ", K491, " Sandstone "))</f>
        <v/>
      </c>
      <c r="C491" s="3" t="str">
        <f>IF('Input Sheet'!C493="","",CONCATENATE("Sample ", 'Input Sheet'!B493, "m: ", N491,, L491, K491, " FLUOR in SST. ", "TG ", 'Input Sheet'!I493, "U"))</f>
        <v/>
      </c>
      <c r="H491" s="6" t="str">
        <f>IF('Input Sheet'!C493="","",100-'Input Sheet'!C493)</f>
        <v/>
      </c>
      <c r="I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1" s="6" t="str">
        <f t="shared" si="7"/>
        <v/>
      </c>
      <c r="K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1" s="6" t="str">
        <f>IF('Input Sheet'!F493=0, "NO",CONCATENATE('Input Sheet'!F493, IF('Input Sheet'!F493&gt;0,"% ","")))</f>
        <v>NO</v>
      </c>
      <c r="M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1" s="6" t="str">
        <f>CONCATENATE(M491, IF('Input Sheet'!J493="",""," siderite in "))</f>
        <v/>
      </c>
      <c r="O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1" s="6" t="str">
        <f>CONCATENATE(O491, IF('Input Sheet'!K493="",""," siderite in "))</f>
        <v/>
      </c>
    </row>
    <row r="492" spans="1:16" x14ac:dyDescent="0.25">
      <c r="A492" s="17" t="str">
        <f>IF('Input Sheet'!C494="","",CONCATENATE("Sample ", 'Input Sheet'!B494, "m: ", N492, H492, "% ", "Siltstone, ", P492, 'Input Sheet'!C494, "% ", J492, " Sandstone, ", L492, K492, " FLUOR in SST. ", "TG ", 'Input Sheet'!I494, "U"))</f>
        <v/>
      </c>
      <c r="B492" s="3" t="str">
        <f>IF('Input Sheet'!C494="","",CONCATENATE("Sample ", 'Input Sheet'!B494, "m: ", O492, I492, "% ", "Siltstone, ", Q492, 'Input Sheet'!C494, "% ", K492, " Sandstone "))</f>
        <v/>
      </c>
      <c r="C492" s="3" t="str">
        <f>IF('Input Sheet'!C494="","",CONCATENATE("Sample ", 'Input Sheet'!B494, "m: ", N492,, L492, K492, " FLUOR in SST. ", "TG ", 'Input Sheet'!I494, "U"))</f>
        <v/>
      </c>
      <c r="H492" s="6" t="str">
        <f>IF('Input Sheet'!C494="","",100-'Input Sheet'!C494)</f>
        <v/>
      </c>
      <c r="I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2" s="6" t="str">
        <f t="shared" si="7"/>
        <v/>
      </c>
      <c r="K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2" s="6" t="str">
        <f>IF('Input Sheet'!F494=0, "NO",CONCATENATE('Input Sheet'!F494, IF('Input Sheet'!F494&gt;0,"% ","")))</f>
        <v>NO</v>
      </c>
      <c r="M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2" s="6" t="str">
        <f>CONCATENATE(M492, IF('Input Sheet'!J494="",""," siderite in "))</f>
        <v/>
      </c>
      <c r="O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2" s="6" t="str">
        <f>CONCATENATE(O492, IF('Input Sheet'!K494="",""," siderite in "))</f>
        <v/>
      </c>
    </row>
    <row r="493" spans="1:16" x14ac:dyDescent="0.25">
      <c r="A493" s="17" t="str">
        <f>IF('Input Sheet'!C495="","",CONCATENATE("Sample ", 'Input Sheet'!B495, "m: ", N493, H493, "% ", "Siltstone, ", P493, 'Input Sheet'!C495, "% ", J493, " Sandstone, ", L493, K493, " FLUOR in SST. ", "TG ", 'Input Sheet'!I495, "U"))</f>
        <v/>
      </c>
      <c r="B493" s="3" t="str">
        <f>IF('Input Sheet'!C495="","",CONCATENATE("Sample ", 'Input Sheet'!B495, "m: ", O493, I493, "% ", "Siltstone, ", Q493, 'Input Sheet'!C495, "% ", K493, " Sandstone "))</f>
        <v/>
      </c>
      <c r="C493" s="3" t="str">
        <f>IF('Input Sheet'!C495="","",CONCATENATE("Sample ", 'Input Sheet'!B495, "m: ", N493,, L493, K493, " FLUOR in SST. ", "TG ", 'Input Sheet'!I495, "U"))</f>
        <v/>
      </c>
      <c r="H493" s="6" t="str">
        <f>IF('Input Sheet'!C495="","",100-'Input Sheet'!C495)</f>
        <v/>
      </c>
      <c r="I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3" s="6" t="str">
        <f t="shared" si="7"/>
        <v/>
      </c>
      <c r="K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3" s="6" t="str">
        <f>IF('Input Sheet'!F495=0, "NO",CONCATENATE('Input Sheet'!F495, IF('Input Sheet'!F495&gt;0,"% ","")))</f>
        <v>NO</v>
      </c>
      <c r="M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3" s="6" t="str">
        <f>CONCATENATE(M493, IF('Input Sheet'!J495="",""," siderite in "))</f>
        <v/>
      </c>
      <c r="O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3" s="6" t="str">
        <f>CONCATENATE(O493, IF('Input Sheet'!K495="",""," siderite in "))</f>
        <v/>
      </c>
    </row>
    <row r="494" spans="1:16" x14ac:dyDescent="0.25">
      <c r="A494" s="17" t="str">
        <f>IF('Input Sheet'!C496="","",CONCATENATE("Sample ", 'Input Sheet'!B496, "m: ", N494, H494, "% ", "Siltstone, ", P494, 'Input Sheet'!C496, "% ", J494, " Sandstone, ", L494, K494, " FLUOR in SST. ", "TG ", 'Input Sheet'!I496, "U"))</f>
        <v/>
      </c>
      <c r="B494" s="3" t="str">
        <f>IF('Input Sheet'!C496="","",CONCATENATE("Sample ", 'Input Sheet'!B496, "m: ", O494, I494, "% ", "Siltstone, ", Q494, 'Input Sheet'!C496, "% ", K494, " Sandstone "))</f>
        <v/>
      </c>
      <c r="C494" s="3" t="str">
        <f>IF('Input Sheet'!C496="","",CONCATENATE("Sample ", 'Input Sheet'!B496, "m: ", N494,, L494, K494, " FLUOR in SST. ", "TG ", 'Input Sheet'!I496, "U"))</f>
        <v/>
      </c>
      <c r="H494" s="6" t="str">
        <f>IF('Input Sheet'!C496="","",100-'Input Sheet'!C496)</f>
        <v/>
      </c>
      <c r="I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4" s="6" t="str">
        <f t="shared" si="7"/>
        <v/>
      </c>
      <c r="K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4" s="6" t="str">
        <f>IF('Input Sheet'!F496=0, "NO",CONCATENATE('Input Sheet'!F496, IF('Input Sheet'!F496&gt;0,"% ","")))</f>
        <v>NO</v>
      </c>
      <c r="M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4" s="6" t="str">
        <f>CONCATENATE(M494, IF('Input Sheet'!J496="",""," siderite in "))</f>
        <v/>
      </c>
      <c r="O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4" s="6" t="str">
        <f>CONCATENATE(O494, IF('Input Sheet'!K496="",""," siderite in "))</f>
        <v/>
      </c>
    </row>
    <row r="495" spans="1:16" x14ac:dyDescent="0.25">
      <c r="A495" s="17" t="str">
        <f>IF('Input Sheet'!C497="","",CONCATENATE("Sample ", 'Input Sheet'!B497, "m: ", N495, H495, "% ", "Siltstone, ", P495, 'Input Sheet'!C497, "% ", J495, " Sandstone, ", L495, K495, " FLUOR in SST. ", "TG ", 'Input Sheet'!I497, "U"))</f>
        <v/>
      </c>
      <c r="B495" s="3" t="str">
        <f>IF('Input Sheet'!C497="","",CONCATENATE("Sample ", 'Input Sheet'!B497, "m: ", O495, I495, "% ", "Siltstone, ", Q495, 'Input Sheet'!C497, "% ", K495, " Sandstone "))</f>
        <v/>
      </c>
      <c r="C495" s="3" t="str">
        <f>IF('Input Sheet'!C497="","",CONCATENATE("Sample ", 'Input Sheet'!B497, "m: ", N495,, L495, K495, " FLUOR in SST. ", "TG ", 'Input Sheet'!I497, "U"))</f>
        <v/>
      </c>
      <c r="H495" s="6" t="str">
        <f>IF('Input Sheet'!C497="","",100-'Input Sheet'!C497)</f>
        <v/>
      </c>
      <c r="I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5" s="6" t="str">
        <f t="shared" si="7"/>
        <v/>
      </c>
      <c r="K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5" s="6" t="str">
        <f>IF('Input Sheet'!F497=0, "NO",CONCATENATE('Input Sheet'!F497, IF('Input Sheet'!F497&gt;0,"% ","")))</f>
        <v>NO</v>
      </c>
      <c r="M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5" s="6" t="str">
        <f>CONCATENATE(M495, IF('Input Sheet'!J497="",""," siderite in "))</f>
        <v/>
      </c>
      <c r="O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5" s="6" t="str">
        <f>CONCATENATE(O495, IF('Input Sheet'!K497="",""," siderite in "))</f>
        <v/>
      </c>
    </row>
    <row r="496" spans="1:16" x14ac:dyDescent="0.25">
      <c r="A496" s="17" t="str">
        <f>IF('Input Sheet'!C498="","",CONCATENATE("Sample ", 'Input Sheet'!B498, "m: ", N496, H496, "% ", "Siltstone, ", P496, 'Input Sheet'!C498, "% ", J496, " Sandstone, ", L496, K496, " FLUOR in SST. ", "TG ", 'Input Sheet'!I498, "U"))</f>
        <v/>
      </c>
      <c r="B496" s="3" t="str">
        <f>IF('Input Sheet'!C498="","",CONCATENATE("Sample ", 'Input Sheet'!B498, "m: ", O496, I496, "% ", "Siltstone, ", Q496, 'Input Sheet'!C498, "% ", K496, " Sandstone "))</f>
        <v/>
      </c>
      <c r="C496" s="3" t="str">
        <f>IF('Input Sheet'!C498="","",CONCATENATE("Sample ", 'Input Sheet'!B498, "m: ", N496,, L496, K496, " FLUOR in SST. ", "TG ", 'Input Sheet'!I498, "U"))</f>
        <v/>
      </c>
      <c r="H496" s="6" t="str">
        <f>IF('Input Sheet'!C498="","",100-'Input Sheet'!C498)</f>
        <v/>
      </c>
      <c r="I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6" s="6" t="str">
        <f t="shared" si="7"/>
        <v/>
      </c>
      <c r="K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6" s="6" t="str">
        <f>IF('Input Sheet'!F498=0, "NO",CONCATENATE('Input Sheet'!F498, IF('Input Sheet'!F498&gt;0,"% ","")))</f>
        <v>NO</v>
      </c>
      <c r="M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6" s="6" t="str">
        <f>CONCATENATE(M496, IF('Input Sheet'!J498="",""," siderite in "))</f>
        <v/>
      </c>
      <c r="O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6" s="6" t="str">
        <f>CONCATENATE(O496, IF('Input Sheet'!K498="",""," siderite in "))</f>
        <v/>
      </c>
    </row>
    <row r="497" spans="1:16" x14ac:dyDescent="0.25">
      <c r="A497" s="17" t="str">
        <f>IF('Input Sheet'!C499="","",CONCATENATE("Sample ", 'Input Sheet'!B499, "m: ", N497, H497, "% ", "Siltstone, ", P497, 'Input Sheet'!C499, "% ", J497, " Sandstone, ", L497, K497, " FLUOR in SST. ", "TG ", 'Input Sheet'!I499, "U"))</f>
        <v/>
      </c>
      <c r="B497" s="3" t="str">
        <f>IF('Input Sheet'!C499="","",CONCATENATE("Sample ", 'Input Sheet'!B499, "m: ", O497, I497, "% ", "Siltstone, ", Q497, 'Input Sheet'!C499, "% ", K497, " Sandstone "))</f>
        <v/>
      </c>
      <c r="C497" s="3" t="str">
        <f>IF('Input Sheet'!C499="","",CONCATENATE("Sample ", 'Input Sheet'!B499, "m: ", N497,, L497, K497, " FLUOR in SST. ", "TG ", 'Input Sheet'!I499, "U"))</f>
        <v/>
      </c>
      <c r="H497" s="6" t="str">
        <f>IF('Input Sheet'!C499="","",100-'Input Sheet'!C499)</f>
        <v/>
      </c>
      <c r="I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7" s="6" t="str">
        <f t="shared" si="7"/>
        <v/>
      </c>
      <c r="K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7" s="6" t="str">
        <f>IF('Input Sheet'!F499=0, "NO",CONCATENATE('Input Sheet'!F499, IF('Input Sheet'!F499&gt;0,"% ","")))</f>
        <v>NO</v>
      </c>
      <c r="M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7" s="6" t="str">
        <f>CONCATENATE(M497, IF('Input Sheet'!J499="",""," siderite in "))</f>
        <v/>
      </c>
      <c r="O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7" s="6" t="str">
        <f>CONCATENATE(O497, IF('Input Sheet'!K499="",""," siderite in "))</f>
        <v/>
      </c>
    </row>
    <row r="498" spans="1:16" x14ac:dyDescent="0.25">
      <c r="A498" s="17" t="str">
        <f>IF('Input Sheet'!C500="","",CONCATENATE("Sample ", 'Input Sheet'!B500, "m: ", N498, H498, "% ", "Siltstone, ", P498, 'Input Sheet'!C500, "% ", J498, " Sandstone, ", L498, K498, " FLUOR in SST. ", "TG ", 'Input Sheet'!I500, "U"))</f>
        <v/>
      </c>
      <c r="B498" s="3" t="str">
        <f>IF('Input Sheet'!C500="","",CONCATENATE("Sample ", 'Input Sheet'!B500, "m: ", O498, I498, "% ", "Siltstone, ", Q498, 'Input Sheet'!C500, "% ", K498, " Sandstone "))</f>
        <v/>
      </c>
      <c r="C498" s="3" t="str">
        <f>IF('Input Sheet'!C500="","",CONCATENATE("Sample ", 'Input Sheet'!B500, "m: ", N498,, L498, K498, " FLUOR in SST. ", "TG ", 'Input Sheet'!I500, "U"))</f>
        <v/>
      </c>
      <c r="H498" s="6" t="str">
        <f>IF('Input Sheet'!C500="","",100-'Input Sheet'!C500)</f>
        <v/>
      </c>
      <c r="I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8" s="6" t="str">
        <f t="shared" si="7"/>
        <v/>
      </c>
      <c r="K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8" s="6" t="str">
        <f>IF('Input Sheet'!F500=0, "NO",CONCATENATE('Input Sheet'!F500, IF('Input Sheet'!F500&gt;0,"% ","")))</f>
        <v>NO</v>
      </c>
      <c r="M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8" s="6" t="str">
        <f>CONCATENATE(M498, IF('Input Sheet'!J500="",""," siderite in "))</f>
        <v/>
      </c>
      <c r="O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8" s="6" t="str">
        <f>CONCATENATE(O498, IF('Input Sheet'!K500="",""," siderite in "))</f>
        <v/>
      </c>
    </row>
    <row r="499" spans="1:16" x14ac:dyDescent="0.25">
      <c r="A499" s="17" t="str">
        <f>IF('Input Sheet'!C501="","",CONCATENATE("Sample ", 'Input Sheet'!B501, "m: ", N499, H499, "% ", "Siltstone, ", P499, 'Input Sheet'!C501, "% ", J499, " Sandstone, ", L499, K499, " FLUOR in SST. ", "TG ", 'Input Sheet'!I501, "U"))</f>
        <v/>
      </c>
      <c r="B499" s="3" t="str">
        <f>IF('Input Sheet'!C501="","",CONCATENATE("Sample ", 'Input Sheet'!B501, "m: ", O499, I499, "% ", "Siltstone, ", Q499, 'Input Sheet'!C501, "% ", K499, " Sandstone "))</f>
        <v/>
      </c>
      <c r="C499" s="3" t="str">
        <f>IF('Input Sheet'!C501="","",CONCATENATE("Sample ", 'Input Sheet'!B501, "m: ", N499,, L499, K499, " FLUOR in SST. ", "TG ", 'Input Sheet'!I501, "U"))</f>
        <v/>
      </c>
      <c r="H499" s="6" t="str">
        <f>IF('Input Sheet'!C501="","",100-'Input Sheet'!C501)</f>
        <v/>
      </c>
      <c r="I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499" s="6" t="str">
        <f t="shared" si="7"/>
        <v/>
      </c>
      <c r="K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499" s="6" t="str">
        <f>IF('Input Sheet'!F501=0, "NO",CONCATENATE('Input Sheet'!F501, IF('Input Sheet'!F501&gt;0,"% ","")))</f>
        <v>NO</v>
      </c>
      <c r="M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499" s="6" t="str">
        <f>CONCATENATE(M499, IF('Input Sheet'!J501="",""," siderite in "))</f>
        <v/>
      </c>
      <c r="O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499" s="6" t="str">
        <f>CONCATENATE(O499, IF('Input Sheet'!K501="",""," siderite in "))</f>
        <v/>
      </c>
    </row>
    <row r="500" spans="1:16" x14ac:dyDescent="0.25">
      <c r="A500" s="17" t="str">
        <f>IF('Input Sheet'!C502="","",CONCATENATE("Sample ", 'Input Sheet'!B502, "m: ", N500, H500, "% ", "Siltstone, ", P500, 'Input Sheet'!C502, "% ", J500, " Sandstone, ", L500, K500, " FLUOR in SST. ", "TG ", 'Input Sheet'!I502, "U"))</f>
        <v/>
      </c>
      <c r="B500" s="3" t="str">
        <f>IF('Input Sheet'!C502="","",CONCATENATE("Sample ", 'Input Sheet'!B502, "m: ", O500, I500, "% ", "Siltstone, ", Q500, 'Input Sheet'!C502, "% ", K500, " Sandstone "))</f>
        <v/>
      </c>
      <c r="C500" s="3" t="str">
        <f>IF('Input Sheet'!C502="","",CONCATENATE("Sample ", 'Input Sheet'!B502, "m: ", N500,, L500, K500, " FLUOR in SST. ", "TG ", 'Input Sheet'!I502, "U"))</f>
        <v/>
      </c>
      <c r="H500" s="6" t="str">
        <f>IF('Input Sheet'!C502="","",100-'Input Sheet'!C502)</f>
        <v/>
      </c>
      <c r="I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0" s="6" t="str">
        <f t="shared" si="7"/>
        <v/>
      </c>
      <c r="K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0" s="6" t="str">
        <f>IF('Input Sheet'!F502=0, "NO",CONCATENATE('Input Sheet'!F502, IF('Input Sheet'!F502&gt;0,"% ","")))</f>
        <v>NO</v>
      </c>
      <c r="M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0" s="6" t="str">
        <f>CONCATENATE(M500, IF('Input Sheet'!J502="",""," siderite in "))</f>
        <v/>
      </c>
      <c r="O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0" s="6" t="str">
        <f>CONCATENATE(O500, IF('Input Sheet'!K502="",""," siderite in "))</f>
        <v/>
      </c>
    </row>
    <row r="501" spans="1:16" x14ac:dyDescent="0.25">
      <c r="A501" s="17" t="str">
        <f>IF('Input Sheet'!C503="","",CONCATENATE("Sample ", 'Input Sheet'!B503, "m: ", N501, H501, "% ", "Siltstone, ", P501, 'Input Sheet'!C503, "% ", J501, " Sandstone, ", L501, K501, " FLUOR in SST. ", "TG ", 'Input Sheet'!I503, "U"))</f>
        <v/>
      </c>
      <c r="B501" s="3" t="str">
        <f>IF('Input Sheet'!C503="","",CONCATENATE("Sample ", 'Input Sheet'!B503, "m: ", O501, I501, "% ", "Siltstone, ", Q501, 'Input Sheet'!C503, "% ", K501, " Sandstone "))</f>
        <v/>
      </c>
      <c r="C501" s="3" t="str">
        <f>IF('Input Sheet'!C503="","",CONCATENATE("Sample ", 'Input Sheet'!B503, "m: ", N501,, L501, K501, " FLUOR in SST. ", "TG ", 'Input Sheet'!I503, "U"))</f>
        <v/>
      </c>
      <c r="H501" s="6" t="str">
        <f>IF('Input Sheet'!C503="","",100-'Input Sheet'!C503)</f>
        <v/>
      </c>
      <c r="I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1" s="6" t="str">
        <f t="shared" si="7"/>
        <v/>
      </c>
      <c r="K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1" s="6" t="str">
        <f>IF('Input Sheet'!F503=0, "NO",CONCATENATE('Input Sheet'!F503, IF('Input Sheet'!F503&gt;0,"% ","")))</f>
        <v>NO</v>
      </c>
      <c r="M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1" s="6" t="str">
        <f>CONCATENATE(M501, IF('Input Sheet'!J503="",""," siderite in "))</f>
        <v/>
      </c>
      <c r="O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1" s="6" t="str">
        <f>CONCATENATE(O501, IF('Input Sheet'!K503="",""," siderite in "))</f>
        <v/>
      </c>
    </row>
    <row r="502" spans="1:16" x14ac:dyDescent="0.25">
      <c r="A502" s="17" t="str">
        <f>IF('Input Sheet'!C504="","",CONCATENATE("Sample ", 'Input Sheet'!B504, "m: ", N502, H502, "% ", "Siltstone, ", P502, 'Input Sheet'!C504, "% ", J502, " Sandstone, ", L502, K502, " FLUOR in SST. ", "TG ", 'Input Sheet'!I504, "U"))</f>
        <v/>
      </c>
      <c r="B502" s="3" t="str">
        <f>IF('Input Sheet'!C504="","",CONCATENATE("Sample ", 'Input Sheet'!B504, "m: ", O502, I502, "% ", "Siltstone, ", Q502, 'Input Sheet'!C504, "% ", K502, " Sandstone "))</f>
        <v/>
      </c>
      <c r="C502" s="3" t="str">
        <f>IF('Input Sheet'!C504="","",CONCATENATE("Sample ", 'Input Sheet'!B504, "m: ", N502,, L502, K502, " FLUOR in SST. ", "TG ", 'Input Sheet'!I504, "U"))</f>
        <v/>
      </c>
      <c r="H502" s="6" t="str">
        <f>IF('Input Sheet'!C504="","",100-'Input Sheet'!C504)</f>
        <v/>
      </c>
      <c r="I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2" s="6" t="str">
        <f t="shared" si="7"/>
        <v/>
      </c>
      <c r="K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2" s="6" t="str">
        <f>IF('Input Sheet'!F504=0, "NO",CONCATENATE('Input Sheet'!F504, IF('Input Sheet'!F504&gt;0,"% ","")))</f>
        <v>NO</v>
      </c>
      <c r="M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2" s="6" t="str">
        <f>CONCATENATE(M502, IF('Input Sheet'!J504="",""," siderite in "))</f>
        <v/>
      </c>
      <c r="O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2" s="6" t="str">
        <f>CONCATENATE(O502, IF('Input Sheet'!K504="",""," siderite in "))</f>
        <v/>
      </c>
    </row>
    <row r="503" spans="1:16" x14ac:dyDescent="0.25">
      <c r="A503" s="17" t="str">
        <f>IF('Input Sheet'!C505="","",CONCATENATE("Sample ", 'Input Sheet'!B505, "m: ", N503, H503, "% ", "Siltstone, ", P503, 'Input Sheet'!C505, "% ", J503, " Sandstone, ", L503, K503, " FLUOR in SST. ", "TG ", 'Input Sheet'!I505, "U"))</f>
        <v/>
      </c>
      <c r="B503" s="3" t="str">
        <f>IF('Input Sheet'!C505="","",CONCATENATE("Sample ", 'Input Sheet'!B505, "m: ", O503, I503, "% ", "Siltstone, ", Q503, 'Input Sheet'!C505, "% ", K503, " Sandstone "))</f>
        <v/>
      </c>
      <c r="C503" s="3" t="str">
        <f>IF('Input Sheet'!C505="","",CONCATENATE("Sample ", 'Input Sheet'!B505, "m: ", N503,, L503, K503, " FLUOR in SST. ", "TG ", 'Input Sheet'!I505, "U"))</f>
        <v/>
      </c>
      <c r="H503" s="6" t="str">
        <f>IF('Input Sheet'!C505="","",100-'Input Sheet'!C505)</f>
        <v/>
      </c>
      <c r="I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3" s="6" t="str">
        <f t="shared" si="7"/>
        <v/>
      </c>
      <c r="K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3" s="6" t="str">
        <f>IF('Input Sheet'!F505=0, "NO",CONCATENATE('Input Sheet'!F505, IF('Input Sheet'!F505&gt;0,"% ","")))</f>
        <v>NO</v>
      </c>
      <c r="M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3" s="6" t="str">
        <f>CONCATENATE(M503, IF('Input Sheet'!J505="",""," siderite in "))</f>
        <v/>
      </c>
      <c r="O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3" s="6" t="str">
        <f>CONCATENATE(O503, IF('Input Sheet'!K505="",""," siderite in "))</f>
        <v/>
      </c>
    </row>
    <row r="504" spans="1:16" x14ac:dyDescent="0.25">
      <c r="A504" s="17" t="str">
        <f>IF('Input Sheet'!C506="","",CONCATENATE("Sample ", 'Input Sheet'!B506, "m: ", N504, H504, "% ", "Siltstone, ", P504, 'Input Sheet'!C506, "% ", J504, " Sandstone, ", L504, K504, " FLUOR in SST. ", "TG ", 'Input Sheet'!I506, "U"))</f>
        <v/>
      </c>
      <c r="B504" s="3" t="str">
        <f>IF('Input Sheet'!C506="","",CONCATENATE("Sample ", 'Input Sheet'!B506, "m: ", O504, I504, "% ", "Siltstone, ", Q504, 'Input Sheet'!C506, "% ", K504, " Sandstone "))</f>
        <v/>
      </c>
      <c r="C504" s="3" t="str">
        <f>IF('Input Sheet'!C506="","",CONCATENATE("Sample ", 'Input Sheet'!B506, "m: ", N504,, L504, K504, " FLUOR in SST. ", "TG ", 'Input Sheet'!I506, "U"))</f>
        <v/>
      </c>
      <c r="H504" s="6" t="str">
        <f>IF('Input Sheet'!C506="","",100-'Input Sheet'!C506)</f>
        <v/>
      </c>
      <c r="I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4" s="6" t="str">
        <f t="shared" si="7"/>
        <v/>
      </c>
      <c r="K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4" s="6" t="str">
        <f>IF('Input Sheet'!F506=0, "NO",CONCATENATE('Input Sheet'!F506, IF('Input Sheet'!F506&gt;0,"% ","")))</f>
        <v>NO</v>
      </c>
      <c r="M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4" s="6" t="str">
        <f>CONCATENATE(M504, IF('Input Sheet'!J506="",""," siderite in "))</f>
        <v/>
      </c>
      <c r="O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4" s="6" t="str">
        <f>CONCATENATE(O504, IF('Input Sheet'!K506="",""," siderite in "))</f>
        <v/>
      </c>
    </row>
    <row r="505" spans="1:16" x14ac:dyDescent="0.25">
      <c r="A505" s="17" t="str">
        <f>IF('Input Sheet'!C507="","",CONCATENATE("Sample ", 'Input Sheet'!B507, "m: ", N505, H505, "% ", "Siltstone, ", P505, 'Input Sheet'!C507, "% ", J505, " Sandstone, ", L505, K505, " FLUOR in SST. ", "TG ", 'Input Sheet'!I507, "U"))</f>
        <v/>
      </c>
      <c r="B505" s="3" t="str">
        <f>IF('Input Sheet'!C507="","",CONCATENATE("Sample ", 'Input Sheet'!B507, "m: ", O505, I505, "% ", "Siltstone, ", Q505, 'Input Sheet'!C507, "% ", K505, " Sandstone "))</f>
        <v/>
      </c>
      <c r="C505" s="3" t="str">
        <f>IF('Input Sheet'!C507="","",CONCATENATE("Sample ", 'Input Sheet'!B507, "m: ", N505,, L505, K505, " FLUOR in SST. ", "TG ", 'Input Sheet'!I507, "U"))</f>
        <v/>
      </c>
      <c r="H505" s="6" t="str">
        <f>IF('Input Sheet'!C507="","",100-'Input Sheet'!C507)</f>
        <v/>
      </c>
      <c r="I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5" s="6" t="str">
        <f t="shared" si="7"/>
        <v/>
      </c>
      <c r="K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5" s="6" t="str">
        <f>IF('Input Sheet'!F507=0, "NO",CONCATENATE('Input Sheet'!F507, IF('Input Sheet'!F507&gt;0,"% ","")))</f>
        <v>NO</v>
      </c>
      <c r="M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5" s="6" t="str">
        <f>CONCATENATE(M505, IF('Input Sheet'!J507="",""," siderite in "))</f>
        <v/>
      </c>
      <c r="O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5" s="6" t="str">
        <f>CONCATENATE(O505, IF('Input Sheet'!K507="",""," siderite in "))</f>
        <v/>
      </c>
    </row>
    <row r="506" spans="1:16" x14ac:dyDescent="0.25">
      <c r="A506" s="17" t="str">
        <f>IF('Input Sheet'!C508="","",CONCATENATE("Sample ", 'Input Sheet'!B508, "m: ", N506, H506, "% ", "Siltstone, ", P506, 'Input Sheet'!C508, "% ", J506, " Sandstone, ", L506, K506, " FLUOR in SST. ", "TG ", 'Input Sheet'!I508, "U"))</f>
        <v/>
      </c>
      <c r="B506" s="3" t="str">
        <f>IF('Input Sheet'!C508="","",CONCATENATE("Sample ", 'Input Sheet'!B508, "m: ", O506, I506, "% ", "Siltstone, ", Q506, 'Input Sheet'!C508, "% ", K506, " Sandstone "))</f>
        <v/>
      </c>
      <c r="C506" s="3" t="str">
        <f>IF('Input Sheet'!C508="","",CONCATENATE("Sample ", 'Input Sheet'!B508, "m: ", N506,, L506, K506, " FLUOR in SST. ", "TG ", 'Input Sheet'!I508, "U"))</f>
        <v/>
      </c>
      <c r="H506" s="6" t="str">
        <f>IF('Input Sheet'!C508="","",100-'Input Sheet'!C508)</f>
        <v/>
      </c>
      <c r="I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6" s="6" t="str">
        <f t="shared" si="7"/>
        <v/>
      </c>
      <c r="K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6" s="6" t="str">
        <f>IF('Input Sheet'!F508=0, "NO",CONCATENATE('Input Sheet'!F508, IF('Input Sheet'!F508&gt;0,"% ","")))</f>
        <v>NO</v>
      </c>
      <c r="M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6" s="6" t="str">
        <f>CONCATENATE(M506, IF('Input Sheet'!J508="",""," siderite in "))</f>
        <v/>
      </c>
      <c r="O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6" s="6" t="str">
        <f>CONCATENATE(O506, IF('Input Sheet'!K508="",""," siderite in "))</f>
        <v/>
      </c>
    </row>
    <row r="507" spans="1:16" x14ac:dyDescent="0.25">
      <c r="A507" s="17" t="str">
        <f>IF('Input Sheet'!C509="","",CONCATENATE("Sample ", 'Input Sheet'!B509, "m: ", N507, H507, "% ", "Siltstone, ", P507, 'Input Sheet'!C509, "% ", J507, " Sandstone, ", L507, K507, " FLUOR in SST. ", "TG ", 'Input Sheet'!I509, "U"))</f>
        <v/>
      </c>
      <c r="B507" s="3" t="str">
        <f>IF('Input Sheet'!C509="","",CONCATENATE("Sample ", 'Input Sheet'!B509, "m: ", O507, I507, "% ", "Siltstone, ", Q507, 'Input Sheet'!C509, "% ", K507, " Sandstone "))</f>
        <v/>
      </c>
      <c r="C507" s="3" t="str">
        <f>IF('Input Sheet'!C509="","",CONCATENATE("Sample ", 'Input Sheet'!B509, "m: ", N507,, L507, K507, " FLUOR in SST. ", "TG ", 'Input Sheet'!I509, "U"))</f>
        <v/>
      </c>
      <c r="H507" s="6" t="str">
        <f>IF('Input Sheet'!C509="","",100-'Input Sheet'!C509)</f>
        <v/>
      </c>
      <c r="I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7" s="6" t="str">
        <f t="shared" si="7"/>
        <v/>
      </c>
      <c r="K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7" s="6" t="str">
        <f>IF('Input Sheet'!F509=0, "NO",CONCATENATE('Input Sheet'!F509, IF('Input Sheet'!F509&gt;0,"% ","")))</f>
        <v>NO</v>
      </c>
      <c r="M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7" s="6" t="str">
        <f>CONCATENATE(M507, IF('Input Sheet'!J509="",""," siderite in "))</f>
        <v/>
      </c>
      <c r="O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7" s="6" t="str">
        <f>CONCATENATE(O507, IF('Input Sheet'!K509="",""," siderite in "))</f>
        <v/>
      </c>
    </row>
    <row r="508" spans="1:16" x14ac:dyDescent="0.25">
      <c r="A508" s="17" t="str">
        <f>IF('Input Sheet'!C510="","",CONCATENATE("Sample ", 'Input Sheet'!B510, "m: ", N508, H508, "% ", "Siltstone, ", P508, 'Input Sheet'!C510, "% ", J508, " Sandstone, ", L508, K508, " FLUOR in SST. ", "TG ", 'Input Sheet'!I510, "U"))</f>
        <v/>
      </c>
      <c r="B508" s="3" t="str">
        <f>IF('Input Sheet'!C510="","",CONCATENATE("Sample ", 'Input Sheet'!B510, "m: ", O508, I508, "% ", "Siltstone, ", Q508, 'Input Sheet'!C510, "% ", K508, " Sandstone "))</f>
        <v/>
      </c>
      <c r="C508" s="3" t="str">
        <f>IF('Input Sheet'!C510="","",CONCATENATE("Sample ", 'Input Sheet'!B510, "m: ", N508,, L508, K508, " FLUOR in SST. ", "TG ", 'Input Sheet'!I510, "U"))</f>
        <v/>
      </c>
      <c r="H508" s="6" t="str">
        <f>IF('Input Sheet'!C510="","",100-'Input Sheet'!C510)</f>
        <v/>
      </c>
      <c r="I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8" s="6" t="str">
        <f t="shared" si="7"/>
        <v/>
      </c>
      <c r="K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8" s="6" t="str">
        <f>IF('Input Sheet'!F510=0, "NO",CONCATENATE('Input Sheet'!F510, IF('Input Sheet'!F510&gt;0,"% ","")))</f>
        <v>NO</v>
      </c>
      <c r="M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8" s="6" t="str">
        <f>CONCATENATE(M508, IF('Input Sheet'!J510="",""," siderite in "))</f>
        <v/>
      </c>
      <c r="O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8" s="6" t="str">
        <f>CONCATENATE(O508, IF('Input Sheet'!K510="",""," siderite in "))</f>
        <v/>
      </c>
    </row>
    <row r="509" spans="1:16" x14ac:dyDescent="0.25">
      <c r="A509" s="17" t="str">
        <f>IF('Input Sheet'!C511="","",CONCATENATE("Sample ", 'Input Sheet'!B511, "m: ", N509, H509, "% ", "Siltstone, ", P509, 'Input Sheet'!C511, "% ", J509, " Sandstone, ", L509, K509, " FLUOR in SST. ", "TG ", 'Input Sheet'!I511, "U"))</f>
        <v/>
      </c>
      <c r="B509" s="3" t="str">
        <f>IF('Input Sheet'!C511="","",CONCATENATE("Sample ", 'Input Sheet'!B511, "m: ", O509, I509, "% ", "Siltstone, ", Q509, 'Input Sheet'!C511, "% ", K509, " Sandstone "))</f>
        <v/>
      </c>
      <c r="C509" s="3" t="str">
        <f>IF('Input Sheet'!C511="","",CONCATENATE("Sample ", 'Input Sheet'!B511, "m: ", N509,, L509, K509, " FLUOR in SST. ", "TG ", 'Input Sheet'!I511, "U"))</f>
        <v/>
      </c>
      <c r="H509" s="6" t="str">
        <f>IF('Input Sheet'!C511="","",100-'Input Sheet'!C511)</f>
        <v/>
      </c>
      <c r="I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09" s="6" t="str">
        <f t="shared" si="7"/>
        <v/>
      </c>
      <c r="K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09" s="6" t="str">
        <f>IF('Input Sheet'!F511=0, "NO",CONCATENATE('Input Sheet'!F511, IF('Input Sheet'!F511&gt;0,"% ","")))</f>
        <v>NO</v>
      </c>
      <c r="M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09" s="6" t="str">
        <f>CONCATENATE(M509, IF('Input Sheet'!J511="",""," siderite in "))</f>
        <v/>
      </c>
      <c r="O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09" s="6" t="str">
        <f>CONCATENATE(O509, IF('Input Sheet'!K511="",""," siderite in "))</f>
        <v/>
      </c>
    </row>
    <row r="510" spans="1:16" x14ac:dyDescent="0.25">
      <c r="A510" s="17" t="str">
        <f>IF('Input Sheet'!C512="","",CONCATENATE("Sample ", 'Input Sheet'!B512, "m: ", N510, H510, "% ", "Siltstone, ", P510, 'Input Sheet'!C512, "% ", J510, " Sandstone, ", L510, K510, " FLUOR in SST. ", "TG ", 'Input Sheet'!I512, "U"))</f>
        <v/>
      </c>
      <c r="B510" s="3" t="str">
        <f>IF('Input Sheet'!C512="","",CONCATENATE("Sample ", 'Input Sheet'!B512, "m: ", O510, I510, "% ", "Siltstone, ", Q510, 'Input Sheet'!C512, "% ", K510, " Sandstone "))</f>
        <v/>
      </c>
      <c r="C510" s="3" t="str">
        <f>IF('Input Sheet'!C512="","",CONCATENATE("Sample ", 'Input Sheet'!B512, "m: ", N510,, L510, K510, " FLUOR in SST. ", "TG ", 'Input Sheet'!I512, "U"))</f>
        <v/>
      </c>
      <c r="H510" s="6" t="str">
        <f>IF('Input Sheet'!C512="","",100-'Input Sheet'!C512)</f>
        <v/>
      </c>
      <c r="I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0" s="6" t="str">
        <f t="shared" si="7"/>
        <v/>
      </c>
      <c r="K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0" s="6" t="str">
        <f>IF('Input Sheet'!F512=0, "NO",CONCATENATE('Input Sheet'!F512, IF('Input Sheet'!F512&gt;0,"% ","")))</f>
        <v>NO</v>
      </c>
      <c r="M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0" s="6" t="str">
        <f>CONCATENATE(M510, IF('Input Sheet'!J512="",""," siderite in "))</f>
        <v/>
      </c>
      <c r="O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0" s="6" t="str">
        <f>CONCATENATE(O510, IF('Input Sheet'!K512="",""," siderite in "))</f>
        <v/>
      </c>
    </row>
    <row r="511" spans="1:16" x14ac:dyDescent="0.25">
      <c r="A511" s="17" t="str">
        <f>IF('Input Sheet'!C513="","",CONCATENATE("Sample ", 'Input Sheet'!B513, "m: ", N511, H511, "% ", "Siltstone, ", P511, 'Input Sheet'!C513, "% ", J511, " Sandstone, ", L511, K511, " FLUOR in SST. ", "TG ", 'Input Sheet'!I513, "U"))</f>
        <v/>
      </c>
      <c r="B511" s="3" t="str">
        <f>IF('Input Sheet'!C513="","",CONCATENATE("Sample ", 'Input Sheet'!B513, "m: ", O511, I511, "% ", "Siltstone, ", Q511, 'Input Sheet'!C513, "% ", K511, " Sandstone "))</f>
        <v/>
      </c>
      <c r="C511" s="3" t="str">
        <f>IF('Input Sheet'!C513="","",CONCATENATE("Sample ", 'Input Sheet'!B513, "m: ", N511,, L511, K511, " FLUOR in SST. ", "TG ", 'Input Sheet'!I513, "U"))</f>
        <v/>
      </c>
      <c r="H511" s="6" t="str">
        <f>IF('Input Sheet'!C513="","",100-'Input Sheet'!C513)</f>
        <v/>
      </c>
      <c r="I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1" s="6" t="str">
        <f t="shared" si="7"/>
        <v/>
      </c>
      <c r="K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1" s="6" t="str">
        <f>IF('Input Sheet'!F513=0, "NO",CONCATENATE('Input Sheet'!F513, IF('Input Sheet'!F513&gt;0,"% ","")))</f>
        <v>NO</v>
      </c>
      <c r="M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1" s="6" t="str">
        <f>CONCATENATE(M511, IF('Input Sheet'!J513="",""," siderite in "))</f>
        <v/>
      </c>
      <c r="O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1" s="6" t="str">
        <f>CONCATENATE(O511, IF('Input Sheet'!K513="",""," siderite in "))</f>
        <v/>
      </c>
    </row>
    <row r="512" spans="1:16" x14ac:dyDescent="0.25">
      <c r="A512" s="17" t="str">
        <f>IF('Input Sheet'!C514="","",CONCATENATE("Sample ", 'Input Sheet'!B514, "m: ", N512, H512, "% ", "Siltstone, ", P512, 'Input Sheet'!C514, "% ", J512, " Sandstone, ", L512, K512, " FLUOR in SST. ", "TG ", 'Input Sheet'!I514, "U"))</f>
        <v/>
      </c>
      <c r="B512" s="3" t="str">
        <f>IF('Input Sheet'!C514="","",CONCATENATE("Sample ", 'Input Sheet'!B514, "m: ", O512, I512, "% ", "Siltstone, ", Q512, 'Input Sheet'!C514, "% ", K512, " Sandstone "))</f>
        <v/>
      </c>
      <c r="C512" s="3" t="str">
        <f>IF('Input Sheet'!C514="","",CONCATENATE("Sample ", 'Input Sheet'!B514, "m: ", N512,, L512, K512, " FLUOR in SST. ", "TG ", 'Input Sheet'!I514, "U"))</f>
        <v/>
      </c>
      <c r="H512" s="6" t="str">
        <f>IF('Input Sheet'!C514="","",100-'Input Sheet'!C514)</f>
        <v/>
      </c>
      <c r="I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2" s="6" t="str">
        <f t="shared" si="7"/>
        <v/>
      </c>
      <c r="K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2" s="6" t="str">
        <f>IF('Input Sheet'!F514=0, "NO",CONCATENATE('Input Sheet'!F514, IF('Input Sheet'!F514&gt;0,"% ","")))</f>
        <v>NO</v>
      </c>
      <c r="M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2" s="6" t="str">
        <f>CONCATENATE(M512, IF('Input Sheet'!J514="",""," siderite in "))</f>
        <v/>
      </c>
      <c r="O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2" s="6" t="str">
        <f>CONCATENATE(O512, IF('Input Sheet'!K514="",""," siderite in "))</f>
        <v/>
      </c>
    </row>
    <row r="513" spans="1:16" x14ac:dyDescent="0.25">
      <c r="A513" s="17" t="str">
        <f>IF('Input Sheet'!C515="","",CONCATENATE("Sample ", 'Input Sheet'!B515, "m: ", N513, H513, "% ", "Siltstone, ", P513, 'Input Sheet'!C515, "% ", J513, " Sandstone, ", L513, K513, " FLUOR in SST. ", "TG ", 'Input Sheet'!I515, "U"))</f>
        <v/>
      </c>
      <c r="B513" s="3" t="str">
        <f>IF('Input Sheet'!C515="","",CONCATENATE("Sample ", 'Input Sheet'!B515, "m: ", O513, I513, "% ", "Siltstone, ", Q513, 'Input Sheet'!C515, "% ", K513, " Sandstone "))</f>
        <v/>
      </c>
      <c r="C513" s="3" t="str">
        <f>IF('Input Sheet'!C515="","",CONCATENATE("Sample ", 'Input Sheet'!B515, "m: ", N513,, L513, K513, " FLUOR in SST. ", "TG ", 'Input Sheet'!I515, "U"))</f>
        <v/>
      </c>
      <c r="H513" s="6" t="str">
        <f>IF('Input Sheet'!C515="","",100-'Input Sheet'!C515)</f>
        <v/>
      </c>
      <c r="I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3" s="6" t="str">
        <f t="shared" si="7"/>
        <v/>
      </c>
      <c r="K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3" s="6" t="str">
        <f>IF('Input Sheet'!F515=0, "NO",CONCATENATE('Input Sheet'!F515, IF('Input Sheet'!F515&gt;0,"% ","")))</f>
        <v>NO</v>
      </c>
      <c r="M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3" s="6" t="str">
        <f>CONCATENATE(M513, IF('Input Sheet'!J515="",""," siderite in "))</f>
        <v/>
      </c>
      <c r="O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3" s="6" t="str">
        <f>CONCATENATE(O513, IF('Input Sheet'!K515="",""," siderite in "))</f>
        <v/>
      </c>
    </row>
    <row r="514" spans="1:16" x14ac:dyDescent="0.25">
      <c r="A514" s="17" t="str">
        <f>IF('Input Sheet'!C516="","",CONCATENATE("Sample ", 'Input Sheet'!B516, "m: ", N514, H514, "% ", "Siltstone, ", P514, 'Input Sheet'!C516, "% ", J514, " Sandstone, ", L514, K514, " FLUOR in SST. ", "TG ", 'Input Sheet'!I516, "U"))</f>
        <v/>
      </c>
      <c r="B514" s="3" t="str">
        <f>IF('Input Sheet'!C516="","",CONCATENATE("Sample ", 'Input Sheet'!B516, "m: ", O514, I514, "% ", "Siltstone, ", Q514, 'Input Sheet'!C516, "% ", K514, " Sandstone "))</f>
        <v/>
      </c>
      <c r="C514" s="3" t="str">
        <f>IF('Input Sheet'!C516="","",CONCATENATE("Sample ", 'Input Sheet'!B516, "m: ", N514,, L514, K514, " FLUOR in SST. ", "TG ", 'Input Sheet'!I516, "U"))</f>
        <v/>
      </c>
      <c r="H514" s="6" t="str">
        <f>IF('Input Sheet'!C516="","",100-'Input Sheet'!C516)</f>
        <v/>
      </c>
      <c r="I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4" s="6" t="str">
        <f t="shared" ref="J514:J577" si="8">SUBSTITUTE(I514, "veryfine", "very fine")</f>
        <v/>
      </c>
      <c r="K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4" s="6" t="str">
        <f>IF('Input Sheet'!F516=0, "NO",CONCATENATE('Input Sheet'!F516, IF('Input Sheet'!F516&gt;0,"% ","")))</f>
        <v>NO</v>
      </c>
      <c r="M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4" s="6" t="str">
        <f>CONCATENATE(M514, IF('Input Sheet'!J516="",""," siderite in "))</f>
        <v/>
      </c>
      <c r="O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4" s="6" t="str">
        <f>CONCATENATE(O514, IF('Input Sheet'!K516="",""," siderite in "))</f>
        <v/>
      </c>
    </row>
    <row r="515" spans="1:16" x14ac:dyDescent="0.25">
      <c r="A515" s="17" t="str">
        <f>IF('Input Sheet'!C517="","",CONCATENATE("Sample ", 'Input Sheet'!B517, "m: ", N515, H515, "% ", "Siltstone, ", P515, 'Input Sheet'!C517, "% ", J515, " Sandstone, ", L515, K515, " FLUOR in SST. ", "TG ", 'Input Sheet'!I517, "U"))</f>
        <v/>
      </c>
      <c r="B515" s="3" t="str">
        <f>IF('Input Sheet'!C517="","",CONCATENATE("Sample ", 'Input Sheet'!B517, "m: ", O515, I515, "% ", "Siltstone, ", Q515, 'Input Sheet'!C517, "% ", K515, " Sandstone "))</f>
        <v/>
      </c>
      <c r="C515" s="3" t="str">
        <f>IF('Input Sheet'!C517="","",CONCATENATE("Sample ", 'Input Sheet'!B517, "m: ", N515,, L515, K515, " FLUOR in SST. ", "TG ", 'Input Sheet'!I517, "U"))</f>
        <v/>
      </c>
      <c r="H515" s="6" t="str">
        <f>IF('Input Sheet'!C517="","",100-'Input Sheet'!C517)</f>
        <v/>
      </c>
      <c r="I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5" s="6" t="str">
        <f t="shared" si="8"/>
        <v/>
      </c>
      <c r="K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5" s="6" t="str">
        <f>IF('Input Sheet'!F517=0, "NO",CONCATENATE('Input Sheet'!F517, IF('Input Sheet'!F517&gt;0,"% ","")))</f>
        <v>NO</v>
      </c>
      <c r="M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5" s="6" t="str">
        <f>CONCATENATE(M515, IF('Input Sheet'!J517="",""," siderite in "))</f>
        <v/>
      </c>
      <c r="O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5" s="6" t="str">
        <f>CONCATENATE(O515, IF('Input Sheet'!K517="",""," siderite in "))</f>
        <v/>
      </c>
    </row>
    <row r="516" spans="1:16" x14ac:dyDescent="0.25">
      <c r="A516" s="17" t="str">
        <f>IF('Input Sheet'!C518="","",CONCATENATE("Sample ", 'Input Sheet'!B518, "m: ", N516, H516, "% ", "Siltstone, ", P516, 'Input Sheet'!C518, "% ", J516, " Sandstone, ", L516, K516, " FLUOR in SST. ", "TG ", 'Input Sheet'!I518, "U"))</f>
        <v/>
      </c>
      <c r="B516" s="3" t="str">
        <f>IF('Input Sheet'!C518="","",CONCATENATE("Sample ", 'Input Sheet'!B518, "m: ", O516, I516, "% ", "Siltstone, ", Q516, 'Input Sheet'!C518, "% ", K516, " Sandstone "))</f>
        <v/>
      </c>
      <c r="C516" s="3" t="str">
        <f>IF('Input Sheet'!C518="","",CONCATENATE("Sample ", 'Input Sheet'!B518, "m: ", N516,, L516, K516, " FLUOR in SST. ", "TG ", 'Input Sheet'!I518, "U"))</f>
        <v/>
      </c>
      <c r="H516" s="6" t="str">
        <f>IF('Input Sheet'!C518="","",100-'Input Sheet'!C518)</f>
        <v/>
      </c>
      <c r="I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6" s="6" t="str">
        <f t="shared" si="8"/>
        <v/>
      </c>
      <c r="K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6" s="6" t="str">
        <f>IF('Input Sheet'!F518=0, "NO",CONCATENATE('Input Sheet'!F518, IF('Input Sheet'!F518&gt;0,"% ","")))</f>
        <v>NO</v>
      </c>
      <c r="M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6" s="6" t="str">
        <f>CONCATENATE(M516, IF('Input Sheet'!J518="",""," siderite in "))</f>
        <v/>
      </c>
      <c r="O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6" s="6" t="str">
        <f>CONCATENATE(O516, IF('Input Sheet'!K518="",""," siderite in "))</f>
        <v/>
      </c>
    </row>
    <row r="517" spans="1:16" x14ac:dyDescent="0.25">
      <c r="A517" s="17" t="str">
        <f>IF('Input Sheet'!C519="","",CONCATENATE("Sample ", 'Input Sheet'!B519, "m: ", N517, H517, "% ", "Siltstone, ", P517, 'Input Sheet'!C519, "% ", J517, " Sandstone, ", L517, K517, " FLUOR in SST. ", "TG ", 'Input Sheet'!I519, "U"))</f>
        <v/>
      </c>
      <c r="B517" s="3" t="str">
        <f>IF('Input Sheet'!C519="","",CONCATENATE("Sample ", 'Input Sheet'!B519, "m: ", O517, I517, "% ", "Siltstone, ", Q517, 'Input Sheet'!C519, "% ", K517, " Sandstone "))</f>
        <v/>
      </c>
      <c r="C517" s="3" t="str">
        <f>IF('Input Sheet'!C519="","",CONCATENATE("Sample ", 'Input Sheet'!B519, "m: ", N517,, L517, K517, " FLUOR in SST. ", "TG ", 'Input Sheet'!I519, "U"))</f>
        <v/>
      </c>
      <c r="H517" s="6" t="str">
        <f>IF('Input Sheet'!C519="","",100-'Input Sheet'!C519)</f>
        <v/>
      </c>
      <c r="I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7" s="6" t="str">
        <f t="shared" si="8"/>
        <v/>
      </c>
      <c r="K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7" s="6" t="str">
        <f>IF('Input Sheet'!F519=0, "NO",CONCATENATE('Input Sheet'!F519, IF('Input Sheet'!F519&gt;0,"% ","")))</f>
        <v>NO</v>
      </c>
      <c r="M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7" s="6" t="str">
        <f>CONCATENATE(M517, IF('Input Sheet'!J519="",""," siderite in "))</f>
        <v/>
      </c>
      <c r="O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7" s="6" t="str">
        <f>CONCATENATE(O517, IF('Input Sheet'!K519="",""," siderite in "))</f>
        <v/>
      </c>
    </row>
    <row r="518" spans="1:16" x14ac:dyDescent="0.25">
      <c r="A518" s="17" t="str">
        <f>IF('Input Sheet'!C520="","",CONCATENATE("Sample ", 'Input Sheet'!B520, "m: ", N518, H518, "% ", "Siltstone, ", P518, 'Input Sheet'!C520, "% ", J518, " Sandstone, ", L518, K518, " FLUOR in SST. ", "TG ", 'Input Sheet'!I520, "U"))</f>
        <v/>
      </c>
      <c r="B518" s="3" t="str">
        <f>IF('Input Sheet'!C520="","",CONCATENATE("Sample ", 'Input Sheet'!B520, "m: ", O518, I518, "% ", "Siltstone, ", Q518, 'Input Sheet'!C520, "% ", K518, " Sandstone "))</f>
        <v/>
      </c>
      <c r="C518" s="3" t="str">
        <f>IF('Input Sheet'!C520="","",CONCATENATE("Sample ", 'Input Sheet'!B520, "m: ", N518,, L518, K518, " FLUOR in SST. ", "TG ", 'Input Sheet'!I520, "U"))</f>
        <v/>
      </c>
      <c r="H518" s="6" t="str">
        <f>IF('Input Sheet'!C520="","",100-'Input Sheet'!C520)</f>
        <v/>
      </c>
      <c r="I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8" s="6" t="str">
        <f t="shared" si="8"/>
        <v/>
      </c>
      <c r="K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8" s="6" t="str">
        <f>IF('Input Sheet'!F520=0, "NO",CONCATENATE('Input Sheet'!F520, IF('Input Sheet'!F520&gt;0,"% ","")))</f>
        <v>NO</v>
      </c>
      <c r="M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8" s="6" t="str">
        <f>CONCATENATE(M518, IF('Input Sheet'!J520="",""," siderite in "))</f>
        <v/>
      </c>
      <c r="O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8" s="6" t="str">
        <f>CONCATENATE(O518, IF('Input Sheet'!K520="",""," siderite in "))</f>
        <v/>
      </c>
    </row>
    <row r="519" spans="1:16" x14ac:dyDescent="0.25">
      <c r="A519" s="17" t="str">
        <f>IF('Input Sheet'!C521="","",CONCATENATE("Sample ", 'Input Sheet'!B521, "m: ", N519, H519, "% ", "Siltstone, ", P519, 'Input Sheet'!C521, "% ", J519, " Sandstone, ", L519, K519, " FLUOR in SST. ", "TG ", 'Input Sheet'!I521, "U"))</f>
        <v/>
      </c>
      <c r="B519" s="3" t="str">
        <f>IF('Input Sheet'!C521="","",CONCATENATE("Sample ", 'Input Sheet'!B521, "m: ", O519, I519, "% ", "Siltstone, ", Q519, 'Input Sheet'!C521, "% ", K519, " Sandstone "))</f>
        <v/>
      </c>
      <c r="C519" s="3" t="str">
        <f>IF('Input Sheet'!C521="","",CONCATENATE("Sample ", 'Input Sheet'!B521, "m: ", N519,, L519, K519, " FLUOR in SST. ", "TG ", 'Input Sheet'!I521, "U"))</f>
        <v/>
      </c>
      <c r="H519" s="6" t="str">
        <f>IF('Input Sheet'!C521="","",100-'Input Sheet'!C521)</f>
        <v/>
      </c>
      <c r="I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19" s="6" t="str">
        <f t="shared" si="8"/>
        <v/>
      </c>
      <c r="K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19" s="6" t="str">
        <f>IF('Input Sheet'!F521=0, "NO",CONCATENATE('Input Sheet'!F521, IF('Input Sheet'!F521&gt;0,"% ","")))</f>
        <v>NO</v>
      </c>
      <c r="M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19" s="6" t="str">
        <f>CONCATENATE(M519, IF('Input Sheet'!J521="",""," siderite in "))</f>
        <v/>
      </c>
      <c r="O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19" s="6" t="str">
        <f>CONCATENATE(O519, IF('Input Sheet'!K521="",""," siderite in "))</f>
        <v/>
      </c>
    </row>
    <row r="520" spans="1:16" x14ac:dyDescent="0.25">
      <c r="A520" s="17" t="str">
        <f>IF('Input Sheet'!C522="","",CONCATENATE("Sample ", 'Input Sheet'!B522, "m: ", N520, H520, "% ", "Siltstone, ", P520, 'Input Sheet'!C522, "% ", J520, " Sandstone, ", L520, K520, " FLUOR in SST. ", "TG ", 'Input Sheet'!I522, "U"))</f>
        <v/>
      </c>
      <c r="B520" s="3" t="str">
        <f>IF('Input Sheet'!C522="","",CONCATENATE("Sample ", 'Input Sheet'!B522, "m: ", O520, I520, "% ", "Siltstone, ", Q520, 'Input Sheet'!C522, "% ", K520, " Sandstone "))</f>
        <v/>
      </c>
      <c r="C520" s="3" t="str">
        <f>IF('Input Sheet'!C522="","",CONCATENATE("Sample ", 'Input Sheet'!B522, "m: ", N520,, L520, K520, " FLUOR in SST. ", "TG ", 'Input Sheet'!I522, "U"))</f>
        <v/>
      </c>
      <c r="H520" s="6" t="str">
        <f>IF('Input Sheet'!C522="","",100-'Input Sheet'!C522)</f>
        <v/>
      </c>
      <c r="I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0" s="6" t="str">
        <f t="shared" si="8"/>
        <v/>
      </c>
      <c r="K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0" s="6" t="str">
        <f>IF('Input Sheet'!F522=0, "NO",CONCATENATE('Input Sheet'!F522, IF('Input Sheet'!F522&gt;0,"% ","")))</f>
        <v>NO</v>
      </c>
      <c r="M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0" s="6" t="str">
        <f>CONCATENATE(M520, IF('Input Sheet'!J522="",""," siderite in "))</f>
        <v/>
      </c>
      <c r="O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0" s="6" t="str">
        <f>CONCATENATE(O520, IF('Input Sheet'!K522="",""," siderite in "))</f>
        <v/>
      </c>
    </row>
    <row r="521" spans="1:16" x14ac:dyDescent="0.25">
      <c r="A521" s="17" t="str">
        <f>IF('Input Sheet'!C523="","",CONCATENATE("Sample ", 'Input Sheet'!B523, "m: ", N521, H521, "% ", "Siltstone, ", P521, 'Input Sheet'!C523, "% ", J521, " Sandstone, ", L521, K521, " FLUOR in SST. ", "TG ", 'Input Sheet'!I523, "U"))</f>
        <v/>
      </c>
      <c r="B521" s="3" t="str">
        <f>IF('Input Sheet'!C523="","",CONCATENATE("Sample ", 'Input Sheet'!B523, "m: ", O521, I521, "% ", "Siltstone, ", Q521, 'Input Sheet'!C523, "% ", K521, " Sandstone "))</f>
        <v/>
      </c>
      <c r="C521" s="3" t="str">
        <f>IF('Input Sheet'!C523="","",CONCATENATE("Sample ", 'Input Sheet'!B523, "m: ", N521,, L521, K521, " FLUOR in SST. ", "TG ", 'Input Sheet'!I523, "U"))</f>
        <v/>
      </c>
      <c r="H521" s="6" t="str">
        <f>IF('Input Sheet'!C523="","",100-'Input Sheet'!C523)</f>
        <v/>
      </c>
      <c r="I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1" s="6" t="str">
        <f t="shared" si="8"/>
        <v/>
      </c>
      <c r="K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1" s="6" t="str">
        <f>IF('Input Sheet'!F523=0, "NO",CONCATENATE('Input Sheet'!F523, IF('Input Sheet'!F523&gt;0,"% ","")))</f>
        <v>NO</v>
      </c>
      <c r="M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1" s="6" t="str">
        <f>CONCATENATE(M521, IF('Input Sheet'!J523="",""," siderite in "))</f>
        <v/>
      </c>
      <c r="O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1" s="6" t="str">
        <f>CONCATENATE(O521, IF('Input Sheet'!K523="",""," siderite in "))</f>
        <v/>
      </c>
    </row>
    <row r="522" spans="1:16" x14ac:dyDescent="0.25">
      <c r="A522" s="17" t="str">
        <f>IF('Input Sheet'!C524="","",CONCATENATE("Sample ", 'Input Sheet'!B524, "m: ", N522, H522, "% ", "Siltstone, ", P522, 'Input Sheet'!C524, "% ", J522, " Sandstone, ", L522, K522, " FLUOR in SST. ", "TG ", 'Input Sheet'!I524, "U"))</f>
        <v/>
      </c>
      <c r="B522" s="3" t="str">
        <f>IF('Input Sheet'!C524="","",CONCATENATE("Sample ", 'Input Sheet'!B524, "m: ", O522, I522, "% ", "Siltstone, ", Q522, 'Input Sheet'!C524, "% ", K522, " Sandstone "))</f>
        <v/>
      </c>
      <c r="C522" s="3" t="str">
        <f>IF('Input Sheet'!C524="","",CONCATENATE("Sample ", 'Input Sheet'!B524, "m: ", N522,, L522, K522, " FLUOR in SST. ", "TG ", 'Input Sheet'!I524, "U"))</f>
        <v/>
      </c>
      <c r="H522" s="6" t="str">
        <f>IF('Input Sheet'!C524="","",100-'Input Sheet'!C524)</f>
        <v/>
      </c>
      <c r="I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2" s="6" t="str">
        <f t="shared" si="8"/>
        <v/>
      </c>
      <c r="K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2" s="6" t="str">
        <f>IF('Input Sheet'!F524=0, "NO",CONCATENATE('Input Sheet'!F524, IF('Input Sheet'!F524&gt;0,"% ","")))</f>
        <v>NO</v>
      </c>
      <c r="M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2" s="6" t="str">
        <f>CONCATENATE(M522, IF('Input Sheet'!J524="",""," siderite in "))</f>
        <v/>
      </c>
      <c r="O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2" s="6" t="str">
        <f>CONCATENATE(O522, IF('Input Sheet'!K524="",""," siderite in "))</f>
        <v/>
      </c>
    </row>
    <row r="523" spans="1:16" x14ac:dyDescent="0.25">
      <c r="A523" s="17" t="str">
        <f>IF('Input Sheet'!C525="","",CONCATENATE("Sample ", 'Input Sheet'!B525, "m: ", N523, H523, "% ", "Siltstone, ", P523, 'Input Sheet'!C525, "% ", J523, " Sandstone, ", L523, K523, " FLUOR in SST. ", "TG ", 'Input Sheet'!I525, "U"))</f>
        <v/>
      </c>
      <c r="B523" s="3" t="str">
        <f>IF('Input Sheet'!C525="","",CONCATENATE("Sample ", 'Input Sheet'!B525, "m: ", O523, I523, "% ", "Siltstone, ", Q523, 'Input Sheet'!C525, "% ", K523, " Sandstone "))</f>
        <v/>
      </c>
      <c r="C523" s="3" t="str">
        <f>IF('Input Sheet'!C525="","",CONCATENATE("Sample ", 'Input Sheet'!B525, "m: ", N523,, L523, K523, " FLUOR in SST. ", "TG ", 'Input Sheet'!I525, "U"))</f>
        <v/>
      </c>
      <c r="H523" s="6" t="str">
        <f>IF('Input Sheet'!C525="","",100-'Input Sheet'!C525)</f>
        <v/>
      </c>
      <c r="I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3" s="6" t="str">
        <f t="shared" si="8"/>
        <v/>
      </c>
      <c r="K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3" s="6" t="str">
        <f>IF('Input Sheet'!F525=0, "NO",CONCATENATE('Input Sheet'!F525, IF('Input Sheet'!F525&gt;0,"% ","")))</f>
        <v>NO</v>
      </c>
      <c r="M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3" s="6" t="str">
        <f>CONCATENATE(M523, IF('Input Sheet'!J525="",""," siderite in "))</f>
        <v/>
      </c>
      <c r="O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3" s="6" t="str">
        <f>CONCATENATE(O523, IF('Input Sheet'!K525="",""," siderite in "))</f>
        <v/>
      </c>
    </row>
    <row r="524" spans="1:16" x14ac:dyDescent="0.25">
      <c r="A524" s="17" t="str">
        <f>IF('Input Sheet'!C526="","",CONCATENATE("Sample ", 'Input Sheet'!B526, "m: ", N524, H524, "% ", "Siltstone, ", P524, 'Input Sheet'!C526, "% ", J524, " Sandstone, ", L524, K524, " FLUOR in SST. ", "TG ", 'Input Sheet'!I526, "U"))</f>
        <v/>
      </c>
      <c r="B524" s="3" t="str">
        <f>IF('Input Sheet'!C526="","",CONCATENATE("Sample ", 'Input Sheet'!B526, "m: ", O524, I524, "% ", "Siltstone, ", Q524, 'Input Sheet'!C526, "% ", K524, " Sandstone "))</f>
        <v/>
      </c>
      <c r="C524" s="3" t="str">
        <f>IF('Input Sheet'!C526="","",CONCATENATE("Sample ", 'Input Sheet'!B526, "m: ", N524,, L524, K524, " FLUOR in SST. ", "TG ", 'Input Sheet'!I526, "U"))</f>
        <v/>
      </c>
      <c r="H524" s="6" t="str">
        <f>IF('Input Sheet'!C526="","",100-'Input Sheet'!C526)</f>
        <v/>
      </c>
      <c r="I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4" s="6" t="str">
        <f t="shared" si="8"/>
        <v/>
      </c>
      <c r="K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4" s="6" t="str">
        <f>IF('Input Sheet'!F526=0, "NO",CONCATENATE('Input Sheet'!F526, IF('Input Sheet'!F526&gt;0,"% ","")))</f>
        <v>NO</v>
      </c>
      <c r="M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4" s="6" t="str">
        <f>CONCATENATE(M524, IF('Input Sheet'!J526="",""," siderite in "))</f>
        <v/>
      </c>
      <c r="O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4" s="6" t="str">
        <f>CONCATENATE(O524, IF('Input Sheet'!K526="",""," siderite in "))</f>
        <v/>
      </c>
    </row>
    <row r="525" spans="1:16" x14ac:dyDescent="0.25">
      <c r="A525" s="17" t="str">
        <f>IF('Input Sheet'!C527="","",CONCATENATE("Sample ", 'Input Sheet'!B527, "m: ", N525, H525, "% ", "Siltstone, ", P525, 'Input Sheet'!C527, "% ", J525, " Sandstone, ", L525, K525, " FLUOR in SST. ", "TG ", 'Input Sheet'!I527, "U"))</f>
        <v/>
      </c>
      <c r="B525" s="3" t="str">
        <f>IF('Input Sheet'!C527="","",CONCATENATE("Sample ", 'Input Sheet'!B527, "m: ", O525, I525, "% ", "Siltstone, ", Q525, 'Input Sheet'!C527, "% ", K525, " Sandstone "))</f>
        <v/>
      </c>
      <c r="C525" s="3" t="str">
        <f>IF('Input Sheet'!C527="","",CONCATENATE("Sample ", 'Input Sheet'!B527, "m: ", N525,, L525, K525, " FLUOR in SST. ", "TG ", 'Input Sheet'!I527, "U"))</f>
        <v/>
      </c>
      <c r="H525" s="6" t="str">
        <f>IF('Input Sheet'!C527="","",100-'Input Sheet'!C527)</f>
        <v/>
      </c>
      <c r="I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5" s="6" t="str">
        <f t="shared" si="8"/>
        <v/>
      </c>
      <c r="K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5" s="6" t="str">
        <f>IF('Input Sheet'!F527=0, "NO",CONCATENATE('Input Sheet'!F527, IF('Input Sheet'!F527&gt;0,"% ","")))</f>
        <v>NO</v>
      </c>
      <c r="M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5" s="6" t="str">
        <f>CONCATENATE(M525, IF('Input Sheet'!J527="",""," siderite in "))</f>
        <v/>
      </c>
      <c r="O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5" s="6" t="str">
        <f>CONCATENATE(O525, IF('Input Sheet'!K527="",""," siderite in "))</f>
        <v/>
      </c>
    </row>
    <row r="526" spans="1:16" x14ac:dyDescent="0.25">
      <c r="A526" s="17" t="str">
        <f>IF('Input Sheet'!C528="","",CONCATENATE("Sample ", 'Input Sheet'!B528, "m: ", N526, H526, "% ", "Siltstone, ", P526, 'Input Sheet'!C528, "% ", J526, " Sandstone, ", L526, K526, " FLUOR in SST. ", "TG ", 'Input Sheet'!I528, "U"))</f>
        <v/>
      </c>
      <c r="B526" s="3" t="str">
        <f>IF('Input Sheet'!C528="","",CONCATENATE("Sample ", 'Input Sheet'!B528, "m: ", O526, I526, "% ", "Siltstone, ", Q526, 'Input Sheet'!C528, "% ", K526, " Sandstone "))</f>
        <v/>
      </c>
      <c r="C526" s="3" t="str">
        <f>IF('Input Sheet'!C528="","",CONCATENATE("Sample ", 'Input Sheet'!B528, "m: ", N526,, L526, K526, " FLUOR in SST. ", "TG ", 'Input Sheet'!I528, "U"))</f>
        <v/>
      </c>
      <c r="H526" s="6" t="str">
        <f>IF('Input Sheet'!C528="","",100-'Input Sheet'!C528)</f>
        <v/>
      </c>
      <c r="I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6" s="6" t="str">
        <f t="shared" si="8"/>
        <v/>
      </c>
      <c r="K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6" s="6" t="str">
        <f>IF('Input Sheet'!F528=0, "NO",CONCATENATE('Input Sheet'!F528, IF('Input Sheet'!F528&gt;0,"% ","")))</f>
        <v>NO</v>
      </c>
      <c r="M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6" s="6" t="str">
        <f>CONCATENATE(M526, IF('Input Sheet'!J528="",""," siderite in "))</f>
        <v/>
      </c>
      <c r="O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6" s="6" t="str">
        <f>CONCATENATE(O526, IF('Input Sheet'!K528="",""," siderite in "))</f>
        <v/>
      </c>
    </row>
    <row r="527" spans="1:16" x14ac:dyDescent="0.25">
      <c r="A527" s="17" t="str">
        <f>IF('Input Sheet'!C529="","",CONCATENATE("Sample ", 'Input Sheet'!B529, "m: ", N527, H527, "% ", "Siltstone, ", P527, 'Input Sheet'!C529, "% ", J527, " Sandstone, ", L527, K527, " FLUOR in SST. ", "TG ", 'Input Sheet'!I529, "U"))</f>
        <v/>
      </c>
      <c r="B527" s="3" t="str">
        <f>IF('Input Sheet'!C529="","",CONCATENATE("Sample ", 'Input Sheet'!B529, "m: ", O527, I527, "% ", "Siltstone, ", Q527, 'Input Sheet'!C529, "% ", K527, " Sandstone "))</f>
        <v/>
      </c>
      <c r="C527" s="3" t="str">
        <f>IF('Input Sheet'!C529="","",CONCATENATE("Sample ", 'Input Sheet'!B529, "m: ", N527,, L527, K527, " FLUOR in SST. ", "TG ", 'Input Sheet'!I529, "U"))</f>
        <v/>
      </c>
      <c r="H527" s="6" t="str">
        <f>IF('Input Sheet'!C529="","",100-'Input Sheet'!C529)</f>
        <v/>
      </c>
      <c r="I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7" s="6" t="str">
        <f t="shared" si="8"/>
        <v/>
      </c>
      <c r="K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7" s="6" t="str">
        <f>IF('Input Sheet'!F529=0, "NO",CONCATENATE('Input Sheet'!F529, IF('Input Sheet'!F529&gt;0,"% ","")))</f>
        <v>NO</v>
      </c>
      <c r="M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7" s="6" t="str">
        <f>CONCATENATE(M527, IF('Input Sheet'!J529="",""," siderite in "))</f>
        <v/>
      </c>
      <c r="O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7" s="6" t="str">
        <f>CONCATENATE(O527, IF('Input Sheet'!K529="",""," siderite in "))</f>
        <v/>
      </c>
    </row>
    <row r="528" spans="1:16" x14ac:dyDescent="0.25">
      <c r="A528" s="17" t="str">
        <f>IF('Input Sheet'!C530="","",CONCATENATE("Sample ", 'Input Sheet'!B530, "m: ", N528, H528, "% ", "Siltstone, ", P528, 'Input Sheet'!C530, "% ", J528, " Sandstone, ", L528, K528, " FLUOR in SST. ", "TG ", 'Input Sheet'!I530, "U"))</f>
        <v/>
      </c>
      <c r="B528" s="3" t="str">
        <f>IF('Input Sheet'!C530="","",CONCATENATE("Sample ", 'Input Sheet'!B530, "m: ", O528, I528, "% ", "Siltstone, ", Q528, 'Input Sheet'!C530, "% ", K528, " Sandstone "))</f>
        <v/>
      </c>
      <c r="C528" s="3" t="str">
        <f>IF('Input Sheet'!C530="","",CONCATENATE("Sample ", 'Input Sheet'!B530, "m: ", N528,, L528, K528, " FLUOR in SST. ", "TG ", 'Input Sheet'!I530, "U"))</f>
        <v/>
      </c>
      <c r="H528" s="6" t="str">
        <f>IF('Input Sheet'!C530="","",100-'Input Sheet'!C530)</f>
        <v/>
      </c>
      <c r="I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8" s="6" t="str">
        <f t="shared" si="8"/>
        <v/>
      </c>
      <c r="K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8" s="6" t="str">
        <f>IF('Input Sheet'!F530=0, "NO",CONCATENATE('Input Sheet'!F530, IF('Input Sheet'!F530&gt;0,"% ","")))</f>
        <v>NO</v>
      </c>
      <c r="M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8" s="6" t="str">
        <f>CONCATENATE(M528, IF('Input Sheet'!J530="",""," siderite in "))</f>
        <v/>
      </c>
      <c r="O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8" s="6" t="str">
        <f>CONCATENATE(O528, IF('Input Sheet'!K530="",""," siderite in "))</f>
        <v/>
      </c>
    </row>
    <row r="529" spans="1:16" x14ac:dyDescent="0.25">
      <c r="A529" s="17" t="str">
        <f>IF('Input Sheet'!C531="","",CONCATENATE("Sample ", 'Input Sheet'!B531, "m: ", N529, H529, "% ", "Siltstone, ", P529, 'Input Sheet'!C531, "% ", J529, " Sandstone, ", L529, K529, " FLUOR in SST. ", "TG ", 'Input Sheet'!I531, "U"))</f>
        <v/>
      </c>
      <c r="B529" s="3" t="str">
        <f>IF('Input Sheet'!C531="","",CONCATENATE("Sample ", 'Input Sheet'!B531, "m: ", O529, I529, "% ", "Siltstone, ", Q529, 'Input Sheet'!C531, "% ", K529, " Sandstone "))</f>
        <v/>
      </c>
      <c r="C529" s="3" t="str">
        <f>IF('Input Sheet'!C531="","",CONCATENATE("Sample ", 'Input Sheet'!B531, "m: ", N529,, L529, K529, " FLUOR in SST. ", "TG ", 'Input Sheet'!I531, "U"))</f>
        <v/>
      </c>
      <c r="H529" s="6" t="str">
        <f>IF('Input Sheet'!C531="","",100-'Input Sheet'!C531)</f>
        <v/>
      </c>
      <c r="I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29" s="6" t="str">
        <f t="shared" si="8"/>
        <v/>
      </c>
      <c r="K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29" s="6" t="str">
        <f>IF('Input Sheet'!F531=0, "NO",CONCATENATE('Input Sheet'!F531, IF('Input Sheet'!F531&gt;0,"% ","")))</f>
        <v>NO</v>
      </c>
      <c r="M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29" s="6" t="str">
        <f>CONCATENATE(M529, IF('Input Sheet'!J531="",""," siderite in "))</f>
        <v/>
      </c>
      <c r="O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29" s="6" t="str">
        <f>CONCATENATE(O529, IF('Input Sheet'!K531="",""," siderite in "))</f>
        <v/>
      </c>
    </row>
    <row r="530" spans="1:16" x14ac:dyDescent="0.25">
      <c r="A530" s="17" t="str">
        <f>IF('Input Sheet'!C532="","",CONCATENATE("Sample ", 'Input Sheet'!B532, "m: ", N530, H530, "% ", "Siltstone, ", P530, 'Input Sheet'!C532, "% ", J530, " Sandstone, ", L530, K530, " FLUOR in SST. ", "TG ", 'Input Sheet'!I532, "U"))</f>
        <v/>
      </c>
      <c r="B530" s="3" t="str">
        <f>IF('Input Sheet'!C532="","",CONCATENATE("Sample ", 'Input Sheet'!B532, "m: ", O530, I530, "% ", "Siltstone, ", Q530, 'Input Sheet'!C532, "% ", K530, " Sandstone "))</f>
        <v/>
      </c>
      <c r="C530" s="3" t="str">
        <f>IF('Input Sheet'!C532="","",CONCATENATE("Sample ", 'Input Sheet'!B532, "m: ", N530,, L530, K530, " FLUOR in SST. ", "TG ", 'Input Sheet'!I532, "U"))</f>
        <v/>
      </c>
      <c r="H530" s="6" t="str">
        <f>IF('Input Sheet'!C532="","",100-'Input Sheet'!C532)</f>
        <v/>
      </c>
      <c r="I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0" s="6" t="str">
        <f t="shared" si="8"/>
        <v/>
      </c>
      <c r="K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0" s="6" t="str">
        <f>IF('Input Sheet'!F532=0, "NO",CONCATENATE('Input Sheet'!F532, IF('Input Sheet'!F532&gt;0,"% ","")))</f>
        <v>NO</v>
      </c>
      <c r="M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0" s="6" t="str">
        <f>CONCATENATE(M530, IF('Input Sheet'!J532="",""," siderite in "))</f>
        <v/>
      </c>
      <c r="O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0" s="6" t="str">
        <f>CONCATENATE(O530, IF('Input Sheet'!K532="",""," siderite in "))</f>
        <v/>
      </c>
    </row>
    <row r="531" spans="1:16" x14ac:dyDescent="0.25">
      <c r="A531" s="17" t="str">
        <f>IF('Input Sheet'!C533="","",CONCATENATE("Sample ", 'Input Sheet'!B533, "m: ", N531, H531, "% ", "Siltstone, ", P531, 'Input Sheet'!C533, "% ", J531, " Sandstone, ", L531, K531, " FLUOR in SST. ", "TG ", 'Input Sheet'!I533, "U"))</f>
        <v/>
      </c>
      <c r="B531" s="3" t="str">
        <f>IF('Input Sheet'!C533="","",CONCATENATE("Sample ", 'Input Sheet'!B533, "m: ", O531, I531, "% ", "Siltstone, ", Q531, 'Input Sheet'!C533, "% ", K531, " Sandstone "))</f>
        <v/>
      </c>
      <c r="C531" s="3" t="str">
        <f>IF('Input Sheet'!C533="","",CONCATENATE("Sample ", 'Input Sheet'!B533, "m: ", N531,, L531, K531, " FLUOR in SST. ", "TG ", 'Input Sheet'!I533, "U"))</f>
        <v/>
      </c>
      <c r="H531" s="6" t="str">
        <f>IF('Input Sheet'!C533="","",100-'Input Sheet'!C533)</f>
        <v/>
      </c>
      <c r="I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1" s="6" t="str">
        <f t="shared" si="8"/>
        <v/>
      </c>
      <c r="K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1" s="6" t="str">
        <f>IF('Input Sheet'!F533=0, "NO",CONCATENATE('Input Sheet'!F533, IF('Input Sheet'!F533&gt;0,"% ","")))</f>
        <v>NO</v>
      </c>
      <c r="M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1" s="6" t="str">
        <f>CONCATENATE(M531, IF('Input Sheet'!J533="",""," siderite in "))</f>
        <v/>
      </c>
      <c r="O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1" s="6" t="str">
        <f>CONCATENATE(O531, IF('Input Sheet'!K533="",""," siderite in "))</f>
        <v/>
      </c>
    </row>
    <row r="532" spans="1:16" x14ac:dyDescent="0.25">
      <c r="A532" s="17" t="str">
        <f>IF('Input Sheet'!C534="","",CONCATENATE("Sample ", 'Input Sheet'!B534, "m: ", N532, H532, "% ", "Siltstone, ", P532, 'Input Sheet'!C534, "% ", J532, " Sandstone, ", L532, K532, " FLUOR in SST. ", "TG ", 'Input Sheet'!I534, "U"))</f>
        <v/>
      </c>
      <c r="B532" s="3" t="str">
        <f>IF('Input Sheet'!C534="","",CONCATENATE("Sample ", 'Input Sheet'!B534, "m: ", O532, I532, "% ", "Siltstone, ", Q532, 'Input Sheet'!C534, "% ", K532, " Sandstone "))</f>
        <v/>
      </c>
      <c r="C532" s="3" t="str">
        <f>IF('Input Sheet'!C534="","",CONCATENATE("Sample ", 'Input Sheet'!B534, "m: ", N532,, L532, K532, " FLUOR in SST. ", "TG ", 'Input Sheet'!I534, "U"))</f>
        <v/>
      </c>
      <c r="H532" s="6" t="str">
        <f>IF('Input Sheet'!C534="","",100-'Input Sheet'!C534)</f>
        <v/>
      </c>
      <c r="I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2" s="6" t="str">
        <f t="shared" si="8"/>
        <v/>
      </c>
      <c r="K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2" s="6" t="str">
        <f>IF('Input Sheet'!F534=0, "NO",CONCATENATE('Input Sheet'!F534, IF('Input Sheet'!F534&gt;0,"% ","")))</f>
        <v>NO</v>
      </c>
      <c r="M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2" s="6" t="str">
        <f>CONCATENATE(M532, IF('Input Sheet'!J534="",""," siderite in "))</f>
        <v/>
      </c>
      <c r="O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2" s="6" t="str">
        <f>CONCATENATE(O532, IF('Input Sheet'!K534="",""," siderite in "))</f>
        <v/>
      </c>
    </row>
    <row r="533" spans="1:16" x14ac:dyDescent="0.25">
      <c r="A533" s="17" t="str">
        <f>IF('Input Sheet'!C535="","",CONCATENATE("Sample ", 'Input Sheet'!B535, "m: ", N533, H533, "% ", "Siltstone, ", P533, 'Input Sheet'!C535, "% ", J533, " Sandstone, ", L533, K533, " FLUOR in SST. ", "TG ", 'Input Sheet'!I535, "U"))</f>
        <v/>
      </c>
      <c r="B533" s="3" t="str">
        <f>IF('Input Sheet'!C535="","",CONCATENATE("Sample ", 'Input Sheet'!B535, "m: ", O533, I533, "% ", "Siltstone, ", Q533, 'Input Sheet'!C535, "% ", K533, " Sandstone "))</f>
        <v/>
      </c>
      <c r="C533" s="3" t="str">
        <f>IF('Input Sheet'!C535="","",CONCATENATE("Sample ", 'Input Sheet'!B535, "m: ", N533,, L533, K533, " FLUOR in SST. ", "TG ", 'Input Sheet'!I535, "U"))</f>
        <v/>
      </c>
      <c r="H533" s="6" t="str">
        <f>IF('Input Sheet'!C535="","",100-'Input Sheet'!C535)</f>
        <v/>
      </c>
      <c r="I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3" s="6" t="str">
        <f t="shared" si="8"/>
        <v/>
      </c>
      <c r="K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3" s="6" t="str">
        <f>IF('Input Sheet'!F535=0, "NO",CONCATENATE('Input Sheet'!F535, IF('Input Sheet'!F535&gt;0,"% ","")))</f>
        <v>NO</v>
      </c>
      <c r="M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3" s="6" t="str">
        <f>CONCATENATE(M533, IF('Input Sheet'!J535="",""," siderite in "))</f>
        <v/>
      </c>
      <c r="O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3" s="6" t="str">
        <f>CONCATENATE(O533, IF('Input Sheet'!K535="",""," siderite in "))</f>
        <v/>
      </c>
    </row>
    <row r="534" spans="1:16" x14ac:dyDescent="0.25">
      <c r="A534" s="17" t="str">
        <f>IF('Input Sheet'!C536="","",CONCATENATE("Sample ", 'Input Sheet'!B536, "m: ", N534, H534, "% ", "Siltstone, ", P534, 'Input Sheet'!C536, "% ", J534, " Sandstone, ", L534, K534, " FLUOR in SST. ", "TG ", 'Input Sheet'!I536, "U"))</f>
        <v/>
      </c>
      <c r="B534" s="3" t="str">
        <f>IF('Input Sheet'!C536="","",CONCATENATE("Sample ", 'Input Sheet'!B536, "m: ", O534, I534, "% ", "Siltstone, ", Q534, 'Input Sheet'!C536, "% ", K534, " Sandstone "))</f>
        <v/>
      </c>
      <c r="C534" s="3" t="str">
        <f>IF('Input Sheet'!C536="","",CONCATENATE("Sample ", 'Input Sheet'!B536, "m: ", N534,, L534, K534, " FLUOR in SST. ", "TG ", 'Input Sheet'!I536, "U"))</f>
        <v/>
      </c>
      <c r="H534" s="6" t="str">
        <f>IF('Input Sheet'!C536="","",100-'Input Sheet'!C536)</f>
        <v/>
      </c>
      <c r="I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4" s="6" t="str">
        <f t="shared" si="8"/>
        <v/>
      </c>
      <c r="K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4" s="6" t="str">
        <f>IF('Input Sheet'!F536=0, "NO",CONCATENATE('Input Sheet'!F536, IF('Input Sheet'!F536&gt;0,"% ","")))</f>
        <v>NO</v>
      </c>
      <c r="M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4" s="6" t="str">
        <f>CONCATENATE(M534, IF('Input Sheet'!J536="",""," siderite in "))</f>
        <v/>
      </c>
      <c r="O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4" s="6" t="str">
        <f>CONCATENATE(O534, IF('Input Sheet'!K536="",""," siderite in "))</f>
        <v/>
      </c>
    </row>
    <row r="535" spans="1:16" x14ac:dyDescent="0.25">
      <c r="A535" s="17" t="str">
        <f>IF('Input Sheet'!C537="","",CONCATENATE("Sample ", 'Input Sheet'!B537, "m: ", N535, H535, "% ", "Siltstone, ", P535, 'Input Sheet'!C537, "% ", J535, " Sandstone, ", L535, K535, " FLUOR in SST. ", "TG ", 'Input Sheet'!I537, "U"))</f>
        <v/>
      </c>
      <c r="B535" s="3" t="str">
        <f>IF('Input Sheet'!C537="","",CONCATENATE("Sample ", 'Input Sheet'!B537, "m: ", O535, I535, "% ", "Siltstone, ", Q535, 'Input Sheet'!C537, "% ", K535, " Sandstone "))</f>
        <v/>
      </c>
      <c r="C535" s="3" t="str">
        <f>IF('Input Sheet'!C537="","",CONCATENATE("Sample ", 'Input Sheet'!B537, "m: ", N535,, L535, K535, " FLUOR in SST. ", "TG ", 'Input Sheet'!I537, "U"))</f>
        <v/>
      </c>
      <c r="H535" s="6" t="str">
        <f>IF('Input Sheet'!C537="","",100-'Input Sheet'!C537)</f>
        <v/>
      </c>
      <c r="I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5" s="6" t="str">
        <f t="shared" si="8"/>
        <v/>
      </c>
      <c r="K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5" s="6" t="str">
        <f>IF('Input Sheet'!F537=0, "NO",CONCATENATE('Input Sheet'!F537, IF('Input Sheet'!F537&gt;0,"% ","")))</f>
        <v>NO</v>
      </c>
      <c r="M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5" s="6" t="str">
        <f>CONCATENATE(M535, IF('Input Sheet'!J537="",""," siderite in "))</f>
        <v/>
      </c>
      <c r="O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5" s="6" t="str">
        <f>CONCATENATE(O535, IF('Input Sheet'!K537="",""," siderite in "))</f>
        <v/>
      </c>
    </row>
    <row r="536" spans="1:16" x14ac:dyDescent="0.25">
      <c r="A536" s="17" t="str">
        <f>IF('Input Sheet'!C538="","",CONCATENATE("Sample ", 'Input Sheet'!B538, "m: ", N536, H536, "% ", "Siltstone, ", P536, 'Input Sheet'!C538, "% ", J536, " Sandstone, ", L536, K536, " FLUOR in SST. ", "TG ", 'Input Sheet'!I538, "U"))</f>
        <v/>
      </c>
      <c r="B536" s="3" t="str">
        <f>IF('Input Sheet'!C538="","",CONCATENATE("Sample ", 'Input Sheet'!B538, "m: ", O536, I536, "% ", "Siltstone, ", Q536, 'Input Sheet'!C538, "% ", K536, " Sandstone "))</f>
        <v/>
      </c>
      <c r="C536" s="3" t="str">
        <f>IF('Input Sheet'!C538="","",CONCATENATE("Sample ", 'Input Sheet'!B538, "m: ", N536,, L536, K536, " FLUOR in SST. ", "TG ", 'Input Sheet'!I538, "U"))</f>
        <v/>
      </c>
      <c r="H536" s="6" t="str">
        <f>IF('Input Sheet'!C538="","",100-'Input Sheet'!C538)</f>
        <v/>
      </c>
      <c r="I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6" s="6" t="str">
        <f t="shared" si="8"/>
        <v/>
      </c>
      <c r="K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6" s="6" t="str">
        <f>IF('Input Sheet'!F538=0, "NO",CONCATENATE('Input Sheet'!F538, IF('Input Sheet'!F538&gt;0,"% ","")))</f>
        <v>NO</v>
      </c>
      <c r="M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6" s="6" t="str">
        <f>CONCATENATE(M536, IF('Input Sheet'!J538="",""," siderite in "))</f>
        <v/>
      </c>
      <c r="O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6" s="6" t="str">
        <f>CONCATENATE(O536, IF('Input Sheet'!K538="",""," siderite in "))</f>
        <v/>
      </c>
    </row>
    <row r="537" spans="1:16" x14ac:dyDescent="0.25">
      <c r="A537" s="17" t="str">
        <f>IF('Input Sheet'!C539="","",CONCATENATE("Sample ", 'Input Sheet'!B539, "m: ", N537, H537, "% ", "Siltstone, ", P537, 'Input Sheet'!C539, "% ", J537, " Sandstone, ", L537, K537, " FLUOR in SST. ", "TG ", 'Input Sheet'!I539, "U"))</f>
        <v/>
      </c>
      <c r="B537" s="3" t="str">
        <f>IF('Input Sheet'!C539="","",CONCATENATE("Sample ", 'Input Sheet'!B539, "m: ", O537, I537, "% ", "Siltstone, ", Q537, 'Input Sheet'!C539, "% ", K537, " Sandstone "))</f>
        <v/>
      </c>
      <c r="C537" s="3" t="str">
        <f>IF('Input Sheet'!C539="","",CONCATENATE("Sample ", 'Input Sheet'!B539, "m: ", N537,, L537, K537, " FLUOR in SST. ", "TG ", 'Input Sheet'!I539, "U"))</f>
        <v/>
      </c>
      <c r="H537" s="6" t="str">
        <f>IF('Input Sheet'!C539="","",100-'Input Sheet'!C539)</f>
        <v/>
      </c>
      <c r="I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7" s="6" t="str">
        <f t="shared" si="8"/>
        <v/>
      </c>
      <c r="K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7" s="6" t="str">
        <f>IF('Input Sheet'!F539=0, "NO",CONCATENATE('Input Sheet'!F539, IF('Input Sheet'!F539&gt;0,"% ","")))</f>
        <v>NO</v>
      </c>
      <c r="M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7" s="6" t="str">
        <f>CONCATENATE(M537, IF('Input Sheet'!J539="",""," siderite in "))</f>
        <v/>
      </c>
      <c r="O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7" s="6" t="str">
        <f>CONCATENATE(O537, IF('Input Sheet'!K539="",""," siderite in "))</f>
        <v/>
      </c>
    </row>
    <row r="538" spans="1:16" x14ac:dyDescent="0.25">
      <c r="A538" s="17" t="str">
        <f>IF('Input Sheet'!C540="","",CONCATENATE("Sample ", 'Input Sheet'!B540, "m: ", N538, H538, "% ", "Siltstone, ", P538, 'Input Sheet'!C540, "% ", J538, " Sandstone, ", L538, K538, " FLUOR in SST. ", "TG ", 'Input Sheet'!I540, "U"))</f>
        <v/>
      </c>
      <c r="B538" s="3" t="str">
        <f>IF('Input Sheet'!C540="","",CONCATENATE("Sample ", 'Input Sheet'!B540, "m: ", O538, I538, "% ", "Siltstone, ", Q538, 'Input Sheet'!C540, "% ", K538, " Sandstone "))</f>
        <v/>
      </c>
      <c r="C538" s="3" t="str">
        <f>IF('Input Sheet'!C540="","",CONCATENATE("Sample ", 'Input Sheet'!B540, "m: ", N538,, L538, K538, " FLUOR in SST. ", "TG ", 'Input Sheet'!I540, "U"))</f>
        <v/>
      </c>
      <c r="H538" s="6" t="str">
        <f>IF('Input Sheet'!C540="","",100-'Input Sheet'!C540)</f>
        <v/>
      </c>
      <c r="I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8" s="6" t="str">
        <f t="shared" si="8"/>
        <v/>
      </c>
      <c r="K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8" s="6" t="str">
        <f>IF('Input Sheet'!F540=0, "NO",CONCATENATE('Input Sheet'!F540, IF('Input Sheet'!F540&gt;0,"% ","")))</f>
        <v>NO</v>
      </c>
      <c r="M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8" s="6" t="str">
        <f>CONCATENATE(M538, IF('Input Sheet'!J540="",""," siderite in "))</f>
        <v/>
      </c>
      <c r="O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8" s="6" t="str">
        <f>CONCATENATE(O538, IF('Input Sheet'!K540="",""," siderite in "))</f>
        <v/>
      </c>
    </row>
    <row r="539" spans="1:16" x14ac:dyDescent="0.25">
      <c r="A539" s="17" t="str">
        <f>IF('Input Sheet'!C541="","",CONCATENATE("Sample ", 'Input Sheet'!B541, "m: ", N539, H539, "% ", "Siltstone, ", P539, 'Input Sheet'!C541, "% ", J539, " Sandstone, ", L539, K539, " FLUOR in SST. ", "TG ", 'Input Sheet'!I541, "U"))</f>
        <v/>
      </c>
      <c r="B539" s="3" t="str">
        <f>IF('Input Sheet'!C541="","",CONCATENATE("Sample ", 'Input Sheet'!B541, "m: ", O539, I539, "% ", "Siltstone, ", Q539, 'Input Sheet'!C541, "% ", K539, " Sandstone "))</f>
        <v/>
      </c>
      <c r="C539" s="3" t="str">
        <f>IF('Input Sheet'!C541="","",CONCATENATE("Sample ", 'Input Sheet'!B541, "m: ", N539,, L539, K539, " FLUOR in SST. ", "TG ", 'Input Sheet'!I541, "U"))</f>
        <v/>
      </c>
      <c r="H539" s="6" t="str">
        <f>IF('Input Sheet'!C541="","",100-'Input Sheet'!C541)</f>
        <v/>
      </c>
      <c r="I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39" s="6" t="str">
        <f t="shared" si="8"/>
        <v/>
      </c>
      <c r="K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39" s="6" t="str">
        <f>IF('Input Sheet'!F541=0, "NO",CONCATENATE('Input Sheet'!F541, IF('Input Sheet'!F541&gt;0,"% ","")))</f>
        <v>NO</v>
      </c>
      <c r="M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39" s="6" t="str">
        <f>CONCATENATE(M539, IF('Input Sheet'!J541="",""," siderite in "))</f>
        <v/>
      </c>
      <c r="O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39" s="6" t="str">
        <f>CONCATENATE(O539, IF('Input Sheet'!K541="",""," siderite in "))</f>
        <v/>
      </c>
    </row>
    <row r="540" spans="1:16" x14ac:dyDescent="0.25">
      <c r="A540" s="17" t="str">
        <f>IF('Input Sheet'!C542="","",CONCATENATE("Sample ", 'Input Sheet'!B542, "m: ", N540, H540, "% ", "Siltstone, ", P540, 'Input Sheet'!C542, "% ", J540, " Sandstone, ", L540, K540, " FLUOR in SST. ", "TG ", 'Input Sheet'!I542, "U"))</f>
        <v/>
      </c>
      <c r="B540" s="3" t="str">
        <f>IF('Input Sheet'!C542="","",CONCATENATE("Sample ", 'Input Sheet'!B542, "m: ", O540, I540, "% ", "Siltstone, ", Q540, 'Input Sheet'!C542, "% ", K540, " Sandstone "))</f>
        <v/>
      </c>
      <c r="C540" s="3" t="str">
        <f>IF('Input Sheet'!C542="","",CONCATENATE("Sample ", 'Input Sheet'!B542, "m: ", N540,, L540, K540, " FLUOR in SST. ", "TG ", 'Input Sheet'!I542, "U"))</f>
        <v/>
      </c>
      <c r="H540" s="6" t="str">
        <f>IF('Input Sheet'!C542="","",100-'Input Sheet'!C542)</f>
        <v/>
      </c>
      <c r="I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0" s="6" t="str">
        <f t="shared" si="8"/>
        <v/>
      </c>
      <c r="K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0" s="6" t="str">
        <f>IF('Input Sheet'!F542=0, "NO",CONCATENATE('Input Sheet'!F542, IF('Input Sheet'!F542&gt;0,"% ","")))</f>
        <v>NO</v>
      </c>
      <c r="M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0" s="6" t="str">
        <f>CONCATENATE(M540, IF('Input Sheet'!J542="",""," siderite in "))</f>
        <v/>
      </c>
      <c r="O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0" s="6" t="str">
        <f>CONCATENATE(O540, IF('Input Sheet'!K542="",""," siderite in "))</f>
        <v/>
      </c>
    </row>
    <row r="541" spans="1:16" x14ac:dyDescent="0.25">
      <c r="A541" s="17" t="str">
        <f>IF('Input Sheet'!C543="","",CONCATENATE("Sample ", 'Input Sheet'!B543, "m: ", N541, H541, "% ", "Siltstone, ", P541, 'Input Sheet'!C543, "% ", J541, " Sandstone, ", L541, K541, " FLUOR in SST. ", "TG ", 'Input Sheet'!I543, "U"))</f>
        <v/>
      </c>
      <c r="B541" s="3" t="str">
        <f>IF('Input Sheet'!C543="","",CONCATENATE("Sample ", 'Input Sheet'!B543, "m: ", O541, I541, "% ", "Siltstone, ", Q541, 'Input Sheet'!C543, "% ", K541, " Sandstone "))</f>
        <v/>
      </c>
      <c r="C541" s="3" t="str">
        <f>IF('Input Sheet'!C543="","",CONCATENATE("Sample ", 'Input Sheet'!B543, "m: ", N541,, L541, K541, " FLUOR in SST. ", "TG ", 'Input Sheet'!I543, "U"))</f>
        <v/>
      </c>
      <c r="H541" s="6" t="str">
        <f>IF('Input Sheet'!C543="","",100-'Input Sheet'!C543)</f>
        <v/>
      </c>
      <c r="I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1" s="6" t="str">
        <f t="shared" si="8"/>
        <v/>
      </c>
      <c r="K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1" s="6" t="str">
        <f>IF('Input Sheet'!F543=0, "NO",CONCATENATE('Input Sheet'!F543, IF('Input Sheet'!F543&gt;0,"% ","")))</f>
        <v>NO</v>
      </c>
      <c r="M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1" s="6" t="str">
        <f>CONCATENATE(M541, IF('Input Sheet'!J543="",""," siderite in "))</f>
        <v/>
      </c>
      <c r="O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1" s="6" t="str">
        <f>CONCATENATE(O541, IF('Input Sheet'!K543="",""," siderite in "))</f>
        <v/>
      </c>
    </row>
    <row r="542" spans="1:16" x14ac:dyDescent="0.25">
      <c r="A542" s="17" t="str">
        <f>IF('Input Sheet'!C544="","",CONCATENATE("Sample ", 'Input Sheet'!B544, "m: ", N542, H542, "% ", "Siltstone, ", P542, 'Input Sheet'!C544, "% ", J542, " Sandstone, ", L542, K542, " FLUOR in SST. ", "TG ", 'Input Sheet'!I544, "U"))</f>
        <v/>
      </c>
      <c r="B542" s="3" t="str">
        <f>IF('Input Sheet'!C544="","",CONCATENATE("Sample ", 'Input Sheet'!B544, "m: ", O542, I542, "% ", "Siltstone, ", Q542, 'Input Sheet'!C544, "% ", K542, " Sandstone "))</f>
        <v/>
      </c>
      <c r="C542" s="3" t="str">
        <f>IF('Input Sheet'!C544="","",CONCATENATE("Sample ", 'Input Sheet'!B544, "m: ", N542,, L542, K542, " FLUOR in SST. ", "TG ", 'Input Sheet'!I544, "U"))</f>
        <v/>
      </c>
      <c r="H542" s="6" t="str">
        <f>IF('Input Sheet'!C544="","",100-'Input Sheet'!C544)</f>
        <v/>
      </c>
      <c r="I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2" s="6" t="str">
        <f t="shared" si="8"/>
        <v/>
      </c>
      <c r="K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2" s="6" t="str">
        <f>IF('Input Sheet'!F544=0, "NO",CONCATENATE('Input Sheet'!F544, IF('Input Sheet'!F544&gt;0,"% ","")))</f>
        <v>NO</v>
      </c>
      <c r="M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2" s="6" t="str">
        <f>CONCATENATE(M542, IF('Input Sheet'!J544="",""," siderite in "))</f>
        <v/>
      </c>
      <c r="O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2" s="6" t="str">
        <f>CONCATENATE(O542, IF('Input Sheet'!K544="",""," siderite in "))</f>
        <v/>
      </c>
    </row>
    <row r="543" spans="1:16" x14ac:dyDescent="0.25">
      <c r="A543" s="17" t="str">
        <f>IF('Input Sheet'!C545="","",CONCATENATE("Sample ", 'Input Sheet'!B545, "m: ", N543, H543, "% ", "Siltstone, ", P543, 'Input Sheet'!C545, "% ", J543, " Sandstone, ", L543, K543, " FLUOR in SST. ", "TG ", 'Input Sheet'!I545, "U"))</f>
        <v/>
      </c>
      <c r="B543" s="3" t="str">
        <f>IF('Input Sheet'!C545="","",CONCATENATE("Sample ", 'Input Sheet'!B545, "m: ", O543, I543, "% ", "Siltstone, ", Q543, 'Input Sheet'!C545, "% ", K543, " Sandstone "))</f>
        <v/>
      </c>
      <c r="C543" s="3" t="str">
        <f>IF('Input Sheet'!C545="","",CONCATENATE("Sample ", 'Input Sheet'!B545, "m: ", N543,, L543, K543, " FLUOR in SST. ", "TG ", 'Input Sheet'!I545, "U"))</f>
        <v/>
      </c>
      <c r="H543" s="6" t="str">
        <f>IF('Input Sheet'!C545="","",100-'Input Sheet'!C545)</f>
        <v/>
      </c>
      <c r="I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3" s="6" t="str">
        <f t="shared" si="8"/>
        <v/>
      </c>
      <c r="K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3" s="6" t="str">
        <f>IF('Input Sheet'!F545=0, "NO",CONCATENATE('Input Sheet'!F545, IF('Input Sheet'!F545&gt;0,"% ","")))</f>
        <v>NO</v>
      </c>
      <c r="M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3" s="6" t="str">
        <f>CONCATENATE(M543, IF('Input Sheet'!J545="",""," siderite in "))</f>
        <v/>
      </c>
      <c r="O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3" s="6" t="str">
        <f>CONCATENATE(O543, IF('Input Sheet'!K545="",""," siderite in "))</f>
        <v/>
      </c>
    </row>
    <row r="544" spans="1:16" x14ac:dyDescent="0.25">
      <c r="A544" s="17" t="str">
        <f>IF('Input Sheet'!C546="","",CONCATENATE("Sample ", 'Input Sheet'!B546, "m: ", N544, H544, "% ", "Siltstone, ", P544, 'Input Sheet'!C546, "% ", J544, " Sandstone, ", L544, K544, " FLUOR in SST. ", "TG ", 'Input Sheet'!I546, "U"))</f>
        <v/>
      </c>
      <c r="B544" s="3" t="str">
        <f>IF('Input Sheet'!C546="","",CONCATENATE("Sample ", 'Input Sheet'!B546, "m: ", O544, I544, "% ", "Siltstone, ", Q544, 'Input Sheet'!C546, "% ", K544, " Sandstone "))</f>
        <v/>
      </c>
      <c r="C544" s="3" t="str">
        <f>IF('Input Sheet'!C546="","",CONCATENATE("Sample ", 'Input Sheet'!B546, "m: ", N544,, L544, K544, " FLUOR in SST. ", "TG ", 'Input Sheet'!I546, "U"))</f>
        <v/>
      </c>
      <c r="H544" s="6" t="str">
        <f>IF('Input Sheet'!C546="","",100-'Input Sheet'!C546)</f>
        <v/>
      </c>
      <c r="I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4" s="6" t="str">
        <f t="shared" si="8"/>
        <v/>
      </c>
      <c r="K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4" s="6" t="str">
        <f>IF('Input Sheet'!F546=0, "NO",CONCATENATE('Input Sheet'!F546, IF('Input Sheet'!F546&gt;0,"% ","")))</f>
        <v>NO</v>
      </c>
      <c r="M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4" s="6" t="str">
        <f>CONCATENATE(M544, IF('Input Sheet'!J546="",""," siderite in "))</f>
        <v/>
      </c>
      <c r="O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4" s="6" t="str">
        <f>CONCATENATE(O544, IF('Input Sheet'!K546="",""," siderite in "))</f>
        <v/>
      </c>
    </row>
    <row r="545" spans="1:16" x14ac:dyDescent="0.25">
      <c r="A545" s="17" t="str">
        <f>IF('Input Sheet'!C547="","",CONCATENATE("Sample ", 'Input Sheet'!B547, "m: ", N545, H545, "% ", "Siltstone, ", P545, 'Input Sheet'!C547, "% ", J545, " Sandstone, ", L545, K545, " FLUOR in SST. ", "TG ", 'Input Sheet'!I547, "U"))</f>
        <v/>
      </c>
      <c r="B545" s="3" t="str">
        <f>IF('Input Sheet'!C547="","",CONCATENATE("Sample ", 'Input Sheet'!B547, "m: ", O545, I545, "% ", "Siltstone, ", Q545, 'Input Sheet'!C547, "% ", K545, " Sandstone "))</f>
        <v/>
      </c>
      <c r="C545" s="3" t="str">
        <f>IF('Input Sheet'!C547="","",CONCATENATE("Sample ", 'Input Sheet'!B547, "m: ", N545,, L545, K545, " FLUOR in SST. ", "TG ", 'Input Sheet'!I547, "U"))</f>
        <v/>
      </c>
      <c r="H545" s="6" t="str">
        <f>IF('Input Sheet'!C547="","",100-'Input Sheet'!C547)</f>
        <v/>
      </c>
      <c r="I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5" s="6" t="str">
        <f t="shared" si="8"/>
        <v/>
      </c>
      <c r="K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5" s="6" t="str">
        <f>IF('Input Sheet'!F547=0, "NO",CONCATENATE('Input Sheet'!F547, IF('Input Sheet'!F547&gt;0,"% ","")))</f>
        <v>NO</v>
      </c>
      <c r="M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5" s="6" t="str">
        <f>CONCATENATE(M545, IF('Input Sheet'!J547="",""," siderite in "))</f>
        <v/>
      </c>
      <c r="O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5" s="6" t="str">
        <f>CONCATENATE(O545, IF('Input Sheet'!K547="",""," siderite in "))</f>
        <v/>
      </c>
    </row>
    <row r="546" spans="1:16" x14ac:dyDescent="0.25">
      <c r="A546" s="17" t="str">
        <f>IF('Input Sheet'!C548="","",CONCATENATE("Sample ", 'Input Sheet'!B548, "m: ", N546, H546, "% ", "Siltstone, ", P546, 'Input Sheet'!C548, "% ", J546, " Sandstone, ", L546, K546, " FLUOR in SST. ", "TG ", 'Input Sheet'!I548, "U"))</f>
        <v/>
      </c>
      <c r="B546" s="3" t="str">
        <f>IF('Input Sheet'!C548="","",CONCATENATE("Sample ", 'Input Sheet'!B548, "m: ", O546, I546, "% ", "Siltstone, ", Q546, 'Input Sheet'!C548, "% ", K546, " Sandstone "))</f>
        <v/>
      </c>
      <c r="C546" s="3" t="str">
        <f>IF('Input Sheet'!C548="","",CONCATENATE("Sample ", 'Input Sheet'!B548, "m: ", N546,, L546, K546, " FLUOR in SST. ", "TG ", 'Input Sheet'!I548, "U"))</f>
        <v/>
      </c>
      <c r="H546" s="6" t="str">
        <f>IF('Input Sheet'!C548="","",100-'Input Sheet'!C548)</f>
        <v/>
      </c>
      <c r="I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6" s="6" t="str">
        <f t="shared" si="8"/>
        <v/>
      </c>
      <c r="K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6" s="6" t="str">
        <f>IF('Input Sheet'!F548=0, "NO",CONCATENATE('Input Sheet'!F548, IF('Input Sheet'!F548&gt;0,"% ","")))</f>
        <v>NO</v>
      </c>
      <c r="M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6" s="6" t="str">
        <f>CONCATENATE(M546, IF('Input Sheet'!J548="",""," siderite in "))</f>
        <v/>
      </c>
      <c r="O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6" s="6" t="str">
        <f>CONCATENATE(O546, IF('Input Sheet'!K548="",""," siderite in "))</f>
        <v/>
      </c>
    </row>
    <row r="547" spans="1:16" x14ac:dyDescent="0.25">
      <c r="A547" s="17" t="str">
        <f>IF('Input Sheet'!C549="","",CONCATENATE("Sample ", 'Input Sheet'!B549, "m: ", N547, H547, "% ", "Siltstone, ", P547, 'Input Sheet'!C549, "% ", J547, " Sandstone, ", L547, K547, " FLUOR in SST. ", "TG ", 'Input Sheet'!I549, "U"))</f>
        <v/>
      </c>
      <c r="B547" s="3" t="str">
        <f>IF('Input Sheet'!C549="","",CONCATENATE("Sample ", 'Input Sheet'!B549, "m: ", O547, I547, "% ", "Siltstone, ", Q547, 'Input Sheet'!C549, "% ", K547, " Sandstone "))</f>
        <v/>
      </c>
      <c r="C547" s="3" t="str">
        <f>IF('Input Sheet'!C549="","",CONCATENATE("Sample ", 'Input Sheet'!B549, "m: ", N547,, L547, K547, " FLUOR in SST. ", "TG ", 'Input Sheet'!I549, "U"))</f>
        <v/>
      </c>
      <c r="H547" s="6" t="str">
        <f>IF('Input Sheet'!C549="","",100-'Input Sheet'!C549)</f>
        <v/>
      </c>
      <c r="I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7" s="6" t="str">
        <f t="shared" si="8"/>
        <v/>
      </c>
      <c r="K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7" s="6" t="str">
        <f>IF('Input Sheet'!F549=0, "NO",CONCATENATE('Input Sheet'!F549, IF('Input Sheet'!F549&gt;0,"% ","")))</f>
        <v>NO</v>
      </c>
      <c r="M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7" s="6" t="str">
        <f>CONCATENATE(M547, IF('Input Sheet'!J549="",""," siderite in "))</f>
        <v/>
      </c>
      <c r="O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7" s="6" t="str">
        <f>CONCATENATE(O547, IF('Input Sheet'!K549="",""," siderite in "))</f>
        <v/>
      </c>
    </row>
    <row r="548" spans="1:16" x14ac:dyDescent="0.25">
      <c r="A548" s="17" t="str">
        <f>IF('Input Sheet'!C550="","",CONCATENATE("Sample ", 'Input Sheet'!B550, "m: ", N548, H548, "% ", "Siltstone, ", P548, 'Input Sheet'!C550, "% ", J548, " Sandstone, ", L548, K548, " FLUOR in SST. ", "TG ", 'Input Sheet'!I550, "U"))</f>
        <v/>
      </c>
      <c r="B548" s="3" t="str">
        <f>IF('Input Sheet'!C550="","",CONCATENATE("Sample ", 'Input Sheet'!B550, "m: ", O548, I548, "% ", "Siltstone, ", Q548, 'Input Sheet'!C550, "% ", K548, " Sandstone "))</f>
        <v/>
      </c>
      <c r="C548" s="3" t="str">
        <f>IF('Input Sheet'!C550="","",CONCATENATE("Sample ", 'Input Sheet'!B550, "m: ", N548,, L548, K548, " FLUOR in SST. ", "TG ", 'Input Sheet'!I550, "U"))</f>
        <v/>
      </c>
      <c r="H548" s="6" t="str">
        <f>IF('Input Sheet'!C550="","",100-'Input Sheet'!C550)</f>
        <v/>
      </c>
      <c r="I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8" s="6" t="str">
        <f t="shared" si="8"/>
        <v/>
      </c>
      <c r="K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8" s="6" t="str">
        <f>IF('Input Sheet'!F550=0, "NO",CONCATENATE('Input Sheet'!F550, IF('Input Sheet'!F550&gt;0,"% ","")))</f>
        <v>NO</v>
      </c>
      <c r="M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8" s="6" t="str">
        <f>CONCATENATE(M548, IF('Input Sheet'!J550="",""," siderite in "))</f>
        <v/>
      </c>
      <c r="O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8" s="6" t="str">
        <f>CONCATENATE(O548, IF('Input Sheet'!K550="",""," siderite in "))</f>
        <v/>
      </c>
    </row>
    <row r="549" spans="1:16" x14ac:dyDescent="0.25">
      <c r="A549" s="17" t="str">
        <f>IF('Input Sheet'!C551="","",CONCATENATE("Sample ", 'Input Sheet'!B551, "m: ", N549, H549, "% ", "Siltstone, ", P549, 'Input Sheet'!C551, "% ", J549, " Sandstone, ", L549, K549, " FLUOR in SST. ", "TG ", 'Input Sheet'!I551, "U"))</f>
        <v/>
      </c>
      <c r="B549" s="3" t="str">
        <f>IF('Input Sheet'!C551="","",CONCATENATE("Sample ", 'Input Sheet'!B551, "m: ", O549, I549, "% ", "Siltstone, ", Q549, 'Input Sheet'!C551, "% ", K549, " Sandstone "))</f>
        <v/>
      </c>
      <c r="C549" s="3" t="str">
        <f>IF('Input Sheet'!C551="","",CONCATENATE("Sample ", 'Input Sheet'!B551, "m: ", N549,, L549, K549, " FLUOR in SST. ", "TG ", 'Input Sheet'!I551, "U"))</f>
        <v/>
      </c>
      <c r="H549" s="6" t="str">
        <f>IF('Input Sheet'!C551="","",100-'Input Sheet'!C551)</f>
        <v/>
      </c>
      <c r="I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49" s="6" t="str">
        <f t="shared" si="8"/>
        <v/>
      </c>
      <c r="K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49" s="6" t="str">
        <f>IF('Input Sheet'!F551=0, "NO",CONCATENATE('Input Sheet'!F551, IF('Input Sheet'!F551&gt;0,"% ","")))</f>
        <v>NO</v>
      </c>
      <c r="M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49" s="6" t="str">
        <f>CONCATENATE(M549, IF('Input Sheet'!J551="",""," siderite in "))</f>
        <v/>
      </c>
      <c r="O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49" s="6" t="str">
        <f>CONCATENATE(O549, IF('Input Sheet'!K551="",""," siderite in "))</f>
        <v/>
      </c>
    </row>
    <row r="550" spans="1:16" x14ac:dyDescent="0.25">
      <c r="A550" s="17" t="str">
        <f>IF('Input Sheet'!C552="","",CONCATENATE("Sample ", 'Input Sheet'!B552, "m: ", N550, H550, "% ", "Siltstone, ", P550, 'Input Sheet'!C552, "% ", J550, " Sandstone, ", L550, K550, " FLUOR in SST. ", "TG ", 'Input Sheet'!I552, "U"))</f>
        <v/>
      </c>
      <c r="B550" s="3" t="str">
        <f>IF('Input Sheet'!C552="","",CONCATENATE("Sample ", 'Input Sheet'!B552, "m: ", O550, I550, "% ", "Siltstone, ", Q550, 'Input Sheet'!C552, "% ", K550, " Sandstone "))</f>
        <v/>
      </c>
      <c r="C550" s="3" t="str">
        <f>IF('Input Sheet'!C552="","",CONCATENATE("Sample ", 'Input Sheet'!B552, "m: ", N550,, L550, K550, " FLUOR in SST. ", "TG ", 'Input Sheet'!I552, "U"))</f>
        <v/>
      </c>
      <c r="H550" s="6" t="str">
        <f>IF('Input Sheet'!C552="","",100-'Input Sheet'!C552)</f>
        <v/>
      </c>
      <c r="I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0" s="6" t="str">
        <f t="shared" si="8"/>
        <v/>
      </c>
      <c r="K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0" s="6" t="str">
        <f>IF('Input Sheet'!F552=0, "NO",CONCATENATE('Input Sheet'!F552, IF('Input Sheet'!F552&gt;0,"% ","")))</f>
        <v>NO</v>
      </c>
      <c r="M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0" s="6" t="str">
        <f>CONCATENATE(M550, IF('Input Sheet'!J552="",""," siderite in "))</f>
        <v/>
      </c>
      <c r="O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0" s="6" t="str">
        <f>CONCATENATE(O550, IF('Input Sheet'!K552="",""," siderite in "))</f>
        <v/>
      </c>
    </row>
    <row r="551" spans="1:16" x14ac:dyDescent="0.25">
      <c r="A551" s="17" t="str">
        <f>IF('Input Sheet'!C553="","",CONCATENATE("Sample ", 'Input Sheet'!B553, "m: ", N551, H551, "% ", "Siltstone, ", P551, 'Input Sheet'!C553, "% ", J551, " Sandstone, ", L551, K551, " FLUOR in SST. ", "TG ", 'Input Sheet'!I553, "U"))</f>
        <v/>
      </c>
      <c r="B551" s="3" t="str">
        <f>IF('Input Sheet'!C553="","",CONCATENATE("Sample ", 'Input Sheet'!B553, "m: ", O551, I551, "% ", "Siltstone, ", Q551, 'Input Sheet'!C553, "% ", K551, " Sandstone "))</f>
        <v/>
      </c>
      <c r="C551" s="3" t="str">
        <f>IF('Input Sheet'!C553="","",CONCATENATE("Sample ", 'Input Sheet'!B553, "m: ", N551,, L551, K551, " FLUOR in SST. ", "TG ", 'Input Sheet'!I553, "U"))</f>
        <v/>
      </c>
      <c r="H551" s="6" t="str">
        <f>IF('Input Sheet'!C553="","",100-'Input Sheet'!C553)</f>
        <v/>
      </c>
      <c r="I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1" s="6" t="str">
        <f t="shared" si="8"/>
        <v/>
      </c>
      <c r="K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1" s="6" t="str">
        <f>IF('Input Sheet'!F553=0, "NO",CONCATENATE('Input Sheet'!F553, IF('Input Sheet'!F553&gt;0,"% ","")))</f>
        <v>NO</v>
      </c>
      <c r="M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1" s="6" t="str">
        <f>CONCATENATE(M551, IF('Input Sheet'!J553="",""," siderite in "))</f>
        <v/>
      </c>
      <c r="O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1" s="6" t="str">
        <f>CONCATENATE(O551, IF('Input Sheet'!K553="",""," siderite in "))</f>
        <v/>
      </c>
    </row>
    <row r="552" spans="1:16" x14ac:dyDescent="0.25">
      <c r="A552" s="17" t="str">
        <f>IF('Input Sheet'!C554="","",CONCATENATE("Sample ", 'Input Sheet'!B554, "m: ", N552, H552, "% ", "Siltstone, ", P552, 'Input Sheet'!C554, "% ", J552, " Sandstone, ", L552, K552, " FLUOR in SST. ", "TG ", 'Input Sheet'!I554, "U"))</f>
        <v/>
      </c>
      <c r="B552" s="3" t="str">
        <f>IF('Input Sheet'!C554="","",CONCATENATE("Sample ", 'Input Sheet'!B554, "m: ", O552, I552, "% ", "Siltstone, ", Q552, 'Input Sheet'!C554, "% ", K552, " Sandstone "))</f>
        <v/>
      </c>
      <c r="C552" s="3" t="str">
        <f>IF('Input Sheet'!C554="","",CONCATENATE("Sample ", 'Input Sheet'!B554, "m: ", N552,, L552, K552, " FLUOR in SST. ", "TG ", 'Input Sheet'!I554, "U"))</f>
        <v/>
      </c>
      <c r="H552" s="6" t="str">
        <f>IF('Input Sheet'!C554="","",100-'Input Sheet'!C554)</f>
        <v/>
      </c>
      <c r="I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2" s="6" t="str">
        <f t="shared" si="8"/>
        <v/>
      </c>
      <c r="K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2" s="6" t="str">
        <f>IF('Input Sheet'!F554=0, "NO",CONCATENATE('Input Sheet'!F554, IF('Input Sheet'!F554&gt;0,"% ","")))</f>
        <v>NO</v>
      </c>
      <c r="M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2" s="6" t="str">
        <f>CONCATENATE(M552, IF('Input Sheet'!J554="",""," siderite in "))</f>
        <v/>
      </c>
      <c r="O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2" s="6" t="str">
        <f>CONCATENATE(O552, IF('Input Sheet'!K554="",""," siderite in "))</f>
        <v/>
      </c>
    </row>
    <row r="553" spans="1:16" x14ac:dyDescent="0.25">
      <c r="A553" s="17" t="str">
        <f>IF('Input Sheet'!C555="","",CONCATENATE("Sample ", 'Input Sheet'!B555, "m: ", N553, H553, "% ", "Siltstone, ", P553, 'Input Sheet'!C555, "% ", J553, " Sandstone, ", L553, K553, " FLUOR in SST. ", "TG ", 'Input Sheet'!I555, "U"))</f>
        <v/>
      </c>
      <c r="B553" s="3" t="str">
        <f>IF('Input Sheet'!C555="","",CONCATENATE("Sample ", 'Input Sheet'!B555, "m: ", O553, I553, "% ", "Siltstone, ", Q553, 'Input Sheet'!C555, "% ", K553, " Sandstone "))</f>
        <v/>
      </c>
      <c r="C553" s="3" t="str">
        <f>IF('Input Sheet'!C555="","",CONCATENATE("Sample ", 'Input Sheet'!B555, "m: ", N553,, L553, K553, " FLUOR in SST. ", "TG ", 'Input Sheet'!I555, "U"))</f>
        <v/>
      </c>
      <c r="H553" s="6" t="str">
        <f>IF('Input Sheet'!C555="","",100-'Input Sheet'!C555)</f>
        <v/>
      </c>
      <c r="I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3" s="6" t="str">
        <f t="shared" si="8"/>
        <v/>
      </c>
      <c r="K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3" s="6" t="str">
        <f>IF('Input Sheet'!F555=0, "NO",CONCATENATE('Input Sheet'!F555, IF('Input Sheet'!F555&gt;0,"% ","")))</f>
        <v>NO</v>
      </c>
      <c r="M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3" s="6" t="str">
        <f>CONCATENATE(M553, IF('Input Sheet'!J555="",""," siderite in "))</f>
        <v/>
      </c>
      <c r="O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3" s="6" t="str">
        <f>CONCATENATE(O553, IF('Input Sheet'!K555="",""," siderite in "))</f>
        <v/>
      </c>
    </row>
    <row r="554" spans="1:16" x14ac:dyDescent="0.25">
      <c r="A554" s="17" t="str">
        <f>IF('Input Sheet'!C556="","",CONCATENATE("Sample ", 'Input Sheet'!B556, "m: ", N554, H554, "% ", "Siltstone, ", P554, 'Input Sheet'!C556, "% ", J554, " Sandstone, ", L554, K554, " FLUOR in SST. ", "TG ", 'Input Sheet'!I556, "U"))</f>
        <v/>
      </c>
      <c r="B554" s="3" t="str">
        <f>IF('Input Sheet'!C556="","",CONCATENATE("Sample ", 'Input Sheet'!B556, "m: ", O554, I554, "% ", "Siltstone, ", Q554, 'Input Sheet'!C556, "% ", K554, " Sandstone "))</f>
        <v/>
      </c>
      <c r="C554" s="3" t="str">
        <f>IF('Input Sheet'!C556="","",CONCATENATE("Sample ", 'Input Sheet'!B556, "m: ", N554,, L554, K554, " FLUOR in SST. ", "TG ", 'Input Sheet'!I556, "U"))</f>
        <v/>
      </c>
      <c r="H554" s="6" t="str">
        <f>IF('Input Sheet'!C556="","",100-'Input Sheet'!C556)</f>
        <v/>
      </c>
      <c r="I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4" s="6" t="str">
        <f t="shared" si="8"/>
        <v/>
      </c>
      <c r="K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4" s="6" t="str">
        <f>IF('Input Sheet'!F556=0, "NO",CONCATENATE('Input Sheet'!F556, IF('Input Sheet'!F556&gt;0,"% ","")))</f>
        <v>NO</v>
      </c>
      <c r="M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4" s="6" t="str">
        <f>CONCATENATE(M554, IF('Input Sheet'!J556="",""," siderite in "))</f>
        <v/>
      </c>
      <c r="O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4" s="6" t="str">
        <f>CONCATENATE(O554, IF('Input Sheet'!K556="",""," siderite in "))</f>
        <v/>
      </c>
    </row>
    <row r="555" spans="1:16" x14ac:dyDescent="0.25">
      <c r="A555" s="17" t="str">
        <f>IF('Input Sheet'!C557="","",CONCATENATE("Sample ", 'Input Sheet'!B557, "m: ", N555, H555, "% ", "Siltstone, ", P555, 'Input Sheet'!C557, "% ", J555, " Sandstone, ", L555, K555, " FLUOR in SST. ", "TG ", 'Input Sheet'!I557, "U"))</f>
        <v/>
      </c>
      <c r="B555" s="3" t="str">
        <f>IF('Input Sheet'!C557="","",CONCATENATE("Sample ", 'Input Sheet'!B557, "m: ", O555, I555, "% ", "Siltstone, ", Q555, 'Input Sheet'!C557, "% ", K555, " Sandstone "))</f>
        <v/>
      </c>
      <c r="C555" s="3" t="str">
        <f>IF('Input Sheet'!C557="","",CONCATENATE("Sample ", 'Input Sheet'!B557, "m: ", N555,, L555, K555, " FLUOR in SST. ", "TG ", 'Input Sheet'!I557, "U"))</f>
        <v/>
      </c>
      <c r="H555" s="6" t="str">
        <f>IF('Input Sheet'!C557="","",100-'Input Sheet'!C557)</f>
        <v/>
      </c>
      <c r="I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5" s="6" t="str">
        <f t="shared" si="8"/>
        <v/>
      </c>
      <c r="K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5" s="6" t="str">
        <f>IF('Input Sheet'!F557=0, "NO",CONCATENATE('Input Sheet'!F557, IF('Input Sheet'!F557&gt;0,"% ","")))</f>
        <v>NO</v>
      </c>
      <c r="M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5" s="6" t="str">
        <f>CONCATENATE(M555, IF('Input Sheet'!J557="",""," siderite in "))</f>
        <v/>
      </c>
      <c r="O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5" s="6" t="str">
        <f>CONCATENATE(O555, IF('Input Sheet'!K557="",""," siderite in "))</f>
        <v/>
      </c>
    </row>
    <row r="556" spans="1:16" x14ac:dyDescent="0.25">
      <c r="A556" s="17" t="str">
        <f>IF('Input Sheet'!C558="","",CONCATENATE("Sample ", 'Input Sheet'!B558, "m: ", N556, H556, "% ", "Siltstone, ", P556, 'Input Sheet'!C558, "% ", J556, " Sandstone, ", L556, K556, " FLUOR in SST. ", "TG ", 'Input Sheet'!I558, "U"))</f>
        <v/>
      </c>
      <c r="B556" s="3" t="str">
        <f>IF('Input Sheet'!C558="","",CONCATENATE("Sample ", 'Input Sheet'!B558, "m: ", O556, I556, "% ", "Siltstone, ", Q556, 'Input Sheet'!C558, "% ", K556, " Sandstone "))</f>
        <v/>
      </c>
      <c r="C556" s="3" t="str">
        <f>IF('Input Sheet'!C558="","",CONCATENATE("Sample ", 'Input Sheet'!B558, "m: ", N556,, L556, K556, " FLUOR in SST. ", "TG ", 'Input Sheet'!I558, "U"))</f>
        <v/>
      </c>
      <c r="H556" s="6" t="str">
        <f>IF('Input Sheet'!C558="","",100-'Input Sheet'!C558)</f>
        <v/>
      </c>
      <c r="I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6" s="6" t="str">
        <f t="shared" si="8"/>
        <v/>
      </c>
      <c r="K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6" s="6" t="str">
        <f>IF('Input Sheet'!F558=0, "NO",CONCATENATE('Input Sheet'!F558, IF('Input Sheet'!F558&gt;0,"% ","")))</f>
        <v>NO</v>
      </c>
      <c r="M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6" s="6" t="str">
        <f>CONCATENATE(M556, IF('Input Sheet'!J558="",""," siderite in "))</f>
        <v/>
      </c>
      <c r="O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6" s="6" t="str">
        <f>CONCATENATE(O556, IF('Input Sheet'!K558="",""," siderite in "))</f>
        <v/>
      </c>
    </row>
    <row r="557" spans="1:16" x14ac:dyDescent="0.25">
      <c r="A557" s="17" t="str">
        <f>IF('Input Sheet'!C559="","",CONCATENATE("Sample ", 'Input Sheet'!B559, "m: ", N557, H557, "% ", "Siltstone, ", P557, 'Input Sheet'!C559, "% ", J557, " Sandstone, ", L557, K557, " FLUOR in SST. ", "TG ", 'Input Sheet'!I559, "U"))</f>
        <v/>
      </c>
      <c r="B557" s="3" t="str">
        <f>IF('Input Sheet'!C559="","",CONCATENATE("Sample ", 'Input Sheet'!B559, "m: ", O557, I557, "% ", "Siltstone, ", Q557, 'Input Sheet'!C559, "% ", K557, " Sandstone "))</f>
        <v/>
      </c>
      <c r="C557" s="3" t="str">
        <f>IF('Input Sheet'!C559="","",CONCATENATE("Sample ", 'Input Sheet'!B559, "m: ", N557,, L557, K557, " FLUOR in SST. ", "TG ", 'Input Sheet'!I559, "U"))</f>
        <v/>
      </c>
      <c r="H557" s="6" t="str">
        <f>IF('Input Sheet'!C559="","",100-'Input Sheet'!C559)</f>
        <v/>
      </c>
      <c r="I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7" s="6" t="str">
        <f t="shared" si="8"/>
        <v/>
      </c>
      <c r="K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7" s="6" t="str">
        <f>IF('Input Sheet'!F559=0, "NO",CONCATENATE('Input Sheet'!F559, IF('Input Sheet'!F559&gt;0,"% ","")))</f>
        <v>NO</v>
      </c>
      <c r="M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7" s="6" t="str">
        <f>CONCATENATE(M557, IF('Input Sheet'!J559="",""," siderite in "))</f>
        <v/>
      </c>
      <c r="O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7" s="6" t="str">
        <f>CONCATENATE(O557, IF('Input Sheet'!K559="",""," siderite in "))</f>
        <v/>
      </c>
    </row>
    <row r="558" spans="1:16" x14ac:dyDescent="0.25">
      <c r="A558" s="17" t="str">
        <f>IF('Input Sheet'!C560="","",CONCATENATE("Sample ", 'Input Sheet'!B560, "m: ", N558, H558, "% ", "Siltstone, ", P558, 'Input Sheet'!C560, "% ", J558, " Sandstone, ", L558, K558, " FLUOR in SST. ", "TG ", 'Input Sheet'!I560, "U"))</f>
        <v/>
      </c>
      <c r="B558" s="3" t="str">
        <f>IF('Input Sheet'!C560="","",CONCATENATE("Sample ", 'Input Sheet'!B560, "m: ", O558, I558, "% ", "Siltstone, ", Q558, 'Input Sheet'!C560, "% ", K558, " Sandstone "))</f>
        <v/>
      </c>
      <c r="C558" s="3" t="str">
        <f>IF('Input Sheet'!C560="","",CONCATENATE("Sample ", 'Input Sheet'!B560, "m: ", N558,, L558, K558, " FLUOR in SST. ", "TG ", 'Input Sheet'!I560, "U"))</f>
        <v/>
      </c>
      <c r="H558" s="6" t="str">
        <f>IF('Input Sheet'!C560="","",100-'Input Sheet'!C560)</f>
        <v/>
      </c>
      <c r="I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8" s="6" t="str">
        <f t="shared" si="8"/>
        <v/>
      </c>
      <c r="K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8" s="6" t="str">
        <f>IF('Input Sheet'!F560=0, "NO",CONCATENATE('Input Sheet'!F560, IF('Input Sheet'!F560&gt;0,"% ","")))</f>
        <v>NO</v>
      </c>
      <c r="M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8" s="6" t="str">
        <f>CONCATENATE(M558, IF('Input Sheet'!J560="",""," siderite in "))</f>
        <v/>
      </c>
      <c r="O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8" s="6" t="str">
        <f>CONCATENATE(O558, IF('Input Sheet'!K560="",""," siderite in "))</f>
        <v/>
      </c>
    </row>
    <row r="559" spans="1:16" x14ac:dyDescent="0.25">
      <c r="A559" s="17" t="str">
        <f>IF('Input Sheet'!C561="","",CONCATENATE("Sample ", 'Input Sheet'!B561, "m: ", N559, H559, "% ", "Siltstone, ", P559, 'Input Sheet'!C561, "% ", J559, " Sandstone, ", L559, K559, " FLUOR in SST. ", "TG ", 'Input Sheet'!I561, "U"))</f>
        <v/>
      </c>
      <c r="B559" s="3" t="str">
        <f>IF('Input Sheet'!C561="","",CONCATENATE("Sample ", 'Input Sheet'!B561, "m: ", O559, I559, "% ", "Siltstone, ", Q559, 'Input Sheet'!C561, "% ", K559, " Sandstone "))</f>
        <v/>
      </c>
      <c r="C559" s="3" t="str">
        <f>IF('Input Sheet'!C561="","",CONCATENATE("Sample ", 'Input Sheet'!B561, "m: ", N559,, L559, K559, " FLUOR in SST. ", "TG ", 'Input Sheet'!I561, "U"))</f>
        <v/>
      </c>
      <c r="H559" s="6" t="str">
        <f>IF('Input Sheet'!C561="","",100-'Input Sheet'!C561)</f>
        <v/>
      </c>
      <c r="I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59" s="6" t="str">
        <f t="shared" si="8"/>
        <v/>
      </c>
      <c r="K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59" s="6" t="str">
        <f>IF('Input Sheet'!F561=0, "NO",CONCATENATE('Input Sheet'!F561, IF('Input Sheet'!F561&gt;0,"% ","")))</f>
        <v>NO</v>
      </c>
      <c r="M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59" s="6" t="str">
        <f>CONCATENATE(M559, IF('Input Sheet'!J561="",""," siderite in "))</f>
        <v/>
      </c>
      <c r="O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59" s="6" t="str">
        <f>CONCATENATE(O559, IF('Input Sheet'!K561="",""," siderite in "))</f>
        <v/>
      </c>
    </row>
    <row r="560" spans="1:16" x14ac:dyDescent="0.25">
      <c r="A560" s="17" t="str">
        <f>IF('Input Sheet'!C562="","",CONCATENATE("Sample ", 'Input Sheet'!B562, "m: ", N560, H560, "% ", "Siltstone, ", P560, 'Input Sheet'!C562, "% ", J560, " Sandstone, ", L560, K560, " FLUOR in SST. ", "TG ", 'Input Sheet'!I562, "U"))</f>
        <v/>
      </c>
      <c r="B560" s="3" t="str">
        <f>IF('Input Sheet'!C562="","",CONCATENATE("Sample ", 'Input Sheet'!B562, "m: ", O560, I560, "% ", "Siltstone, ", Q560, 'Input Sheet'!C562, "% ", K560, " Sandstone "))</f>
        <v/>
      </c>
      <c r="C560" s="3" t="str">
        <f>IF('Input Sheet'!C562="","",CONCATENATE("Sample ", 'Input Sheet'!B562, "m: ", N560,, L560, K560, " FLUOR in SST. ", "TG ", 'Input Sheet'!I562, "U"))</f>
        <v/>
      </c>
      <c r="H560" s="6" t="str">
        <f>IF('Input Sheet'!C562="","",100-'Input Sheet'!C562)</f>
        <v/>
      </c>
      <c r="I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0" s="6" t="str">
        <f t="shared" si="8"/>
        <v/>
      </c>
      <c r="K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0" s="6" t="str">
        <f>IF('Input Sheet'!F562=0, "NO",CONCATENATE('Input Sheet'!F562, IF('Input Sheet'!F562&gt;0,"% ","")))</f>
        <v>NO</v>
      </c>
      <c r="M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0" s="6" t="str">
        <f>CONCATENATE(M560, IF('Input Sheet'!J562="",""," siderite in "))</f>
        <v/>
      </c>
      <c r="O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0" s="6" t="str">
        <f>CONCATENATE(O560, IF('Input Sheet'!K562="",""," siderite in "))</f>
        <v/>
      </c>
    </row>
    <row r="561" spans="1:16" x14ac:dyDescent="0.25">
      <c r="A561" s="17" t="str">
        <f>IF('Input Sheet'!C563="","",CONCATENATE("Sample ", 'Input Sheet'!B563, "m: ", N561, H561, "% ", "Siltstone, ", P561, 'Input Sheet'!C563, "% ", J561, " Sandstone, ", L561, K561, " FLUOR in SST. ", "TG ", 'Input Sheet'!I563, "U"))</f>
        <v/>
      </c>
      <c r="B561" s="3" t="str">
        <f>IF('Input Sheet'!C563="","",CONCATENATE("Sample ", 'Input Sheet'!B563, "m: ", O561, I561, "% ", "Siltstone, ", Q561, 'Input Sheet'!C563, "% ", K561, " Sandstone "))</f>
        <v/>
      </c>
      <c r="C561" s="3" t="str">
        <f>IF('Input Sheet'!C563="","",CONCATENATE("Sample ", 'Input Sheet'!B563, "m: ", N561,, L561, K561, " FLUOR in SST. ", "TG ", 'Input Sheet'!I563, "U"))</f>
        <v/>
      </c>
      <c r="H561" s="6" t="str">
        <f>IF('Input Sheet'!C563="","",100-'Input Sheet'!C563)</f>
        <v/>
      </c>
      <c r="I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1" s="6" t="str">
        <f t="shared" si="8"/>
        <v/>
      </c>
      <c r="K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1" s="6" t="str">
        <f>IF('Input Sheet'!F563=0, "NO",CONCATENATE('Input Sheet'!F563, IF('Input Sheet'!F563&gt;0,"% ","")))</f>
        <v>NO</v>
      </c>
      <c r="M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1" s="6" t="str">
        <f>CONCATENATE(M561, IF('Input Sheet'!J563="",""," siderite in "))</f>
        <v/>
      </c>
      <c r="O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1" s="6" t="str">
        <f>CONCATENATE(O561, IF('Input Sheet'!K563="",""," siderite in "))</f>
        <v/>
      </c>
    </row>
    <row r="562" spans="1:16" x14ac:dyDescent="0.25">
      <c r="A562" s="17" t="str">
        <f>IF('Input Sheet'!C564="","",CONCATENATE("Sample ", 'Input Sheet'!B564, "m: ", N562, H562, "% ", "Siltstone, ", P562, 'Input Sheet'!C564, "% ", J562, " Sandstone, ", L562, K562, " FLUOR in SST. ", "TG ", 'Input Sheet'!I564, "U"))</f>
        <v/>
      </c>
      <c r="B562" s="3" t="str">
        <f>IF('Input Sheet'!C564="","",CONCATENATE("Sample ", 'Input Sheet'!B564, "m: ", O562, I562, "% ", "Siltstone, ", Q562, 'Input Sheet'!C564, "% ", K562, " Sandstone "))</f>
        <v/>
      </c>
      <c r="C562" s="3" t="str">
        <f>IF('Input Sheet'!C564="","",CONCATENATE("Sample ", 'Input Sheet'!B564, "m: ", N562,, L562, K562, " FLUOR in SST. ", "TG ", 'Input Sheet'!I564, "U"))</f>
        <v/>
      </c>
      <c r="H562" s="6" t="str">
        <f>IF('Input Sheet'!C564="","",100-'Input Sheet'!C564)</f>
        <v/>
      </c>
      <c r="I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2" s="6" t="str">
        <f t="shared" si="8"/>
        <v/>
      </c>
      <c r="K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2" s="6" t="str">
        <f>IF('Input Sheet'!F564=0, "NO",CONCATENATE('Input Sheet'!F564, IF('Input Sheet'!F564&gt;0,"% ","")))</f>
        <v>NO</v>
      </c>
      <c r="M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2" s="6" t="str">
        <f>CONCATENATE(M562, IF('Input Sheet'!J564="",""," siderite in "))</f>
        <v/>
      </c>
      <c r="O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2" s="6" t="str">
        <f>CONCATENATE(O562, IF('Input Sheet'!K564="",""," siderite in "))</f>
        <v/>
      </c>
    </row>
    <row r="563" spans="1:16" x14ac:dyDescent="0.25">
      <c r="A563" s="17" t="str">
        <f>IF('Input Sheet'!C565="","",CONCATENATE("Sample ", 'Input Sheet'!B565, "m: ", N563, H563, "% ", "Siltstone, ", P563, 'Input Sheet'!C565, "% ", J563, " Sandstone, ", L563, K563, " FLUOR in SST. ", "TG ", 'Input Sheet'!I565, "U"))</f>
        <v/>
      </c>
      <c r="B563" s="3" t="str">
        <f>IF('Input Sheet'!C565="","",CONCATENATE("Sample ", 'Input Sheet'!B565, "m: ", O563, I563, "% ", "Siltstone, ", Q563, 'Input Sheet'!C565, "% ", K563, " Sandstone "))</f>
        <v/>
      </c>
      <c r="C563" s="3" t="str">
        <f>IF('Input Sheet'!C565="","",CONCATENATE("Sample ", 'Input Sheet'!B565, "m: ", N563,, L563, K563, " FLUOR in SST. ", "TG ", 'Input Sheet'!I565, "U"))</f>
        <v/>
      </c>
      <c r="H563" s="6" t="str">
        <f>IF('Input Sheet'!C565="","",100-'Input Sheet'!C565)</f>
        <v/>
      </c>
      <c r="I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3" s="6" t="str">
        <f t="shared" si="8"/>
        <v/>
      </c>
      <c r="K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3" s="6" t="str">
        <f>IF('Input Sheet'!F565=0, "NO",CONCATENATE('Input Sheet'!F565, IF('Input Sheet'!F565&gt;0,"% ","")))</f>
        <v>NO</v>
      </c>
      <c r="M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3" s="6" t="str">
        <f>CONCATENATE(M563, IF('Input Sheet'!J565="",""," siderite in "))</f>
        <v/>
      </c>
      <c r="O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3" s="6" t="str">
        <f>CONCATENATE(O563, IF('Input Sheet'!K565="",""," siderite in "))</f>
        <v/>
      </c>
    </row>
    <row r="564" spans="1:16" x14ac:dyDescent="0.25">
      <c r="A564" s="17" t="str">
        <f>IF('Input Sheet'!C566="","",CONCATENATE("Sample ", 'Input Sheet'!B566, "m: ", N564, H564, "% ", "Siltstone, ", P564, 'Input Sheet'!C566, "% ", J564, " Sandstone, ", L564, K564, " FLUOR in SST. ", "TG ", 'Input Sheet'!I566, "U"))</f>
        <v/>
      </c>
      <c r="B564" s="3" t="str">
        <f>IF('Input Sheet'!C566="","",CONCATENATE("Sample ", 'Input Sheet'!B566, "m: ", O564, I564, "% ", "Siltstone, ", Q564, 'Input Sheet'!C566, "% ", K564, " Sandstone "))</f>
        <v/>
      </c>
      <c r="C564" s="3" t="str">
        <f>IF('Input Sheet'!C566="","",CONCATENATE("Sample ", 'Input Sheet'!B566, "m: ", N564,, L564, K564, " FLUOR in SST. ", "TG ", 'Input Sheet'!I566, "U"))</f>
        <v/>
      </c>
      <c r="H564" s="6" t="str">
        <f>IF('Input Sheet'!C566="","",100-'Input Sheet'!C566)</f>
        <v/>
      </c>
      <c r="I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4" s="6" t="str">
        <f t="shared" si="8"/>
        <v/>
      </c>
      <c r="K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4" s="6" t="str">
        <f>IF('Input Sheet'!F566=0, "NO",CONCATENATE('Input Sheet'!F566, IF('Input Sheet'!F566&gt;0,"% ","")))</f>
        <v>NO</v>
      </c>
      <c r="M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4" s="6" t="str">
        <f>CONCATENATE(M564, IF('Input Sheet'!J566="",""," siderite in "))</f>
        <v/>
      </c>
      <c r="O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4" s="6" t="str">
        <f>CONCATENATE(O564, IF('Input Sheet'!K566="",""," siderite in "))</f>
        <v/>
      </c>
    </row>
    <row r="565" spans="1:16" x14ac:dyDescent="0.25">
      <c r="A565" s="17" t="str">
        <f>IF('Input Sheet'!C567="","",CONCATENATE("Sample ", 'Input Sheet'!B567, "m: ", N565, H565, "% ", "Siltstone, ", P565, 'Input Sheet'!C567, "% ", J565, " Sandstone, ", L565, K565, " FLUOR in SST. ", "TG ", 'Input Sheet'!I567, "U"))</f>
        <v/>
      </c>
      <c r="B565" s="3" t="str">
        <f>IF('Input Sheet'!C567="","",CONCATENATE("Sample ", 'Input Sheet'!B567, "m: ", O565, I565, "% ", "Siltstone, ", Q565, 'Input Sheet'!C567, "% ", K565, " Sandstone "))</f>
        <v/>
      </c>
      <c r="C565" s="3" t="str">
        <f>IF('Input Sheet'!C567="","",CONCATENATE("Sample ", 'Input Sheet'!B567, "m: ", N565,, L565, K565, " FLUOR in SST. ", "TG ", 'Input Sheet'!I567, "U"))</f>
        <v/>
      </c>
      <c r="H565" s="6" t="str">
        <f>IF('Input Sheet'!C567="","",100-'Input Sheet'!C567)</f>
        <v/>
      </c>
      <c r="I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5" s="6" t="str">
        <f t="shared" si="8"/>
        <v/>
      </c>
      <c r="K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5" s="6" t="str">
        <f>IF('Input Sheet'!F567=0, "NO",CONCATENATE('Input Sheet'!F567, IF('Input Sheet'!F567&gt;0,"% ","")))</f>
        <v>NO</v>
      </c>
      <c r="M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5" s="6" t="str">
        <f>CONCATENATE(M565, IF('Input Sheet'!J567="",""," siderite in "))</f>
        <v/>
      </c>
      <c r="O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5" s="6" t="str">
        <f>CONCATENATE(O565, IF('Input Sheet'!K567="",""," siderite in "))</f>
        <v/>
      </c>
    </row>
    <row r="566" spans="1:16" x14ac:dyDescent="0.25">
      <c r="A566" s="17" t="str">
        <f>IF('Input Sheet'!C568="","",CONCATENATE("Sample ", 'Input Sheet'!B568, "m: ", N566, H566, "% ", "Siltstone, ", P566, 'Input Sheet'!C568, "% ", J566, " Sandstone, ", L566, K566, " FLUOR in SST. ", "TG ", 'Input Sheet'!I568, "U"))</f>
        <v/>
      </c>
      <c r="B566" s="3" t="str">
        <f>IF('Input Sheet'!C568="","",CONCATENATE("Sample ", 'Input Sheet'!B568, "m: ", O566, I566, "% ", "Siltstone, ", Q566, 'Input Sheet'!C568, "% ", K566, " Sandstone "))</f>
        <v/>
      </c>
      <c r="C566" s="3" t="str">
        <f>IF('Input Sheet'!C568="","",CONCATENATE("Sample ", 'Input Sheet'!B568, "m: ", N566,, L566, K566, " FLUOR in SST. ", "TG ", 'Input Sheet'!I568, "U"))</f>
        <v/>
      </c>
      <c r="H566" s="6" t="str">
        <f>IF('Input Sheet'!C568="","",100-'Input Sheet'!C568)</f>
        <v/>
      </c>
      <c r="I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6" s="6" t="str">
        <f t="shared" si="8"/>
        <v/>
      </c>
      <c r="K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6" s="6" t="str">
        <f>IF('Input Sheet'!F568=0, "NO",CONCATENATE('Input Sheet'!F568, IF('Input Sheet'!F568&gt;0,"% ","")))</f>
        <v>NO</v>
      </c>
      <c r="M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6" s="6" t="str">
        <f>CONCATENATE(M566, IF('Input Sheet'!J568="",""," siderite in "))</f>
        <v/>
      </c>
      <c r="O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6" s="6" t="str">
        <f>CONCATENATE(O566, IF('Input Sheet'!K568="",""," siderite in "))</f>
        <v/>
      </c>
    </row>
    <row r="567" spans="1:16" x14ac:dyDescent="0.25">
      <c r="A567" s="17" t="str">
        <f>IF('Input Sheet'!C569="","",CONCATENATE("Sample ", 'Input Sheet'!B569, "m: ", N567, H567, "% ", "Siltstone, ", P567, 'Input Sheet'!C569, "% ", J567, " Sandstone, ", L567, K567, " FLUOR in SST. ", "TG ", 'Input Sheet'!I569, "U"))</f>
        <v/>
      </c>
      <c r="B567" s="3" t="str">
        <f>IF('Input Sheet'!C569="","",CONCATENATE("Sample ", 'Input Sheet'!B569, "m: ", O567, I567, "% ", "Siltstone, ", Q567, 'Input Sheet'!C569, "% ", K567, " Sandstone "))</f>
        <v/>
      </c>
      <c r="C567" s="3" t="str">
        <f>IF('Input Sheet'!C569="","",CONCATENATE("Sample ", 'Input Sheet'!B569, "m: ", N567,, L567, K567, " FLUOR in SST. ", "TG ", 'Input Sheet'!I569, "U"))</f>
        <v/>
      </c>
      <c r="H567" s="6" t="str">
        <f>IF('Input Sheet'!C569="","",100-'Input Sheet'!C569)</f>
        <v/>
      </c>
      <c r="I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7" s="6" t="str">
        <f t="shared" si="8"/>
        <v/>
      </c>
      <c r="K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7" s="6" t="str">
        <f>IF('Input Sheet'!F569=0, "NO",CONCATENATE('Input Sheet'!F569, IF('Input Sheet'!F569&gt;0,"% ","")))</f>
        <v>NO</v>
      </c>
      <c r="M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7" s="6" t="str">
        <f>CONCATENATE(M567, IF('Input Sheet'!J569="",""," siderite in "))</f>
        <v/>
      </c>
      <c r="O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7" s="6" t="str">
        <f>CONCATENATE(O567, IF('Input Sheet'!K569="",""," siderite in "))</f>
        <v/>
      </c>
    </row>
    <row r="568" spans="1:16" x14ac:dyDescent="0.25">
      <c r="A568" s="17" t="str">
        <f>IF('Input Sheet'!C570="","",CONCATENATE("Sample ", 'Input Sheet'!B570, "m: ", N568, H568, "% ", "Siltstone, ", P568, 'Input Sheet'!C570, "% ", J568, " Sandstone, ", L568, K568, " FLUOR in SST. ", "TG ", 'Input Sheet'!I570, "U"))</f>
        <v/>
      </c>
      <c r="B568" s="3" t="str">
        <f>IF('Input Sheet'!C570="","",CONCATENATE("Sample ", 'Input Sheet'!B570, "m: ", O568, I568, "% ", "Siltstone, ", Q568, 'Input Sheet'!C570, "% ", K568, " Sandstone "))</f>
        <v/>
      </c>
      <c r="C568" s="3" t="str">
        <f>IF('Input Sheet'!C570="","",CONCATENATE("Sample ", 'Input Sheet'!B570, "m: ", N568,, L568, K568, " FLUOR in SST. ", "TG ", 'Input Sheet'!I570, "U"))</f>
        <v/>
      </c>
      <c r="H568" s="6" t="str">
        <f>IF('Input Sheet'!C570="","",100-'Input Sheet'!C570)</f>
        <v/>
      </c>
      <c r="I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8" s="6" t="str">
        <f t="shared" si="8"/>
        <v/>
      </c>
      <c r="K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8" s="6" t="str">
        <f>IF('Input Sheet'!F570=0, "NO",CONCATENATE('Input Sheet'!F570, IF('Input Sheet'!F570&gt;0,"% ","")))</f>
        <v>NO</v>
      </c>
      <c r="M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8" s="6" t="str">
        <f>CONCATENATE(M568, IF('Input Sheet'!J570="",""," siderite in "))</f>
        <v/>
      </c>
      <c r="O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8" s="6" t="str">
        <f>CONCATENATE(O568, IF('Input Sheet'!K570="",""," siderite in "))</f>
        <v/>
      </c>
    </row>
    <row r="569" spans="1:16" x14ac:dyDescent="0.25">
      <c r="A569" s="17" t="str">
        <f>IF('Input Sheet'!C571="","",CONCATENATE("Sample ", 'Input Sheet'!B571, "m: ", N569, H569, "% ", "Siltstone, ", P569, 'Input Sheet'!C571, "% ", J569, " Sandstone, ", L569, K569, " FLUOR in SST. ", "TG ", 'Input Sheet'!I571, "U"))</f>
        <v/>
      </c>
      <c r="B569" s="3" t="str">
        <f>IF('Input Sheet'!C571="","",CONCATENATE("Sample ", 'Input Sheet'!B571, "m: ", O569, I569, "% ", "Siltstone, ", Q569, 'Input Sheet'!C571, "% ", K569, " Sandstone "))</f>
        <v/>
      </c>
      <c r="C569" s="3" t="str">
        <f>IF('Input Sheet'!C571="","",CONCATENATE("Sample ", 'Input Sheet'!B571, "m: ", N569,, L569, K569, " FLUOR in SST. ", "TG ", 'Input Sheet'!I571, "U"))</f>
        <v/>
      </c>
      <c r="H569" s="6" t="str">
        <f>IF('Input Sheet'!C571="","",100-'Input Sheet'!C571)</f>
        <v/>
      </c>
      <c r="I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69" s="6" t="str">
        <f t="shared" si="8"/>
        <v/>
      </c>
      <c r="K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69" s="6" t="str">
        <f>IF('Input Sheet'!F571=0, "NO",CONCATENATE('Input Sheet'!F571, IF('Input Sheet'!F571&gt;0,"% ","")))</f>
        <v>NO</v>
      </c>
      <c r="M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69" s="6" t="str">
        <f>CONCATENATE(M569, IF('Input Sheet'!J571="",""," siderite in "))</f>
        <v/>
      </c>
      <c r="O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69" s="6" t="str">
        <f>CONCATENATE(O569, IF('Input Sheet'!K571="",""," siderite in "))</f>
        <v/>
      </c>
    </row>
    <row r="570" spans="1:16" x14ac:dyDescent="0.25">
      <c r="A570" s="17" t="str">
        <f>IF('Input Sheet'!C572="","",CONCATENATE("Sample ", 'Input Sheet'!B572, "m: ", N570, H570, "% ", "Siltstone, ", P570, 'Input Sheet'!C572, "% ", J570, " Sandstone, ", L570, K570, " FLUOR in SST. ", "TG ", 'Input Sheet'!I572, "U"))</f>
        <v/>
      </c>
      <c r="B570" s="3" t="str">
        <f>IF('Input Sheet'!C572="","",CONCATENATE("Sample ", 'Input Sheet'!B572, "m: ", O570, I570, "% ", "Siltstone, ", Q570, 'Input Sheet'!C572, "% ", K570, " Sandstone "))</f>
        <v/>
      </c>
      <c r="C570" s="3" t="str">
        <f>IF('Input Sheet'!C572="","",CONCATENATE("Sample ", 'Input Sheet'!B572, "m: ", N570,, L570, K570, " FLUOR in SST. ", "TG ", 'Input Sheet'!I572, "U"))</f>
        <v/>
      </c>
      <c r="H570" s="6" t="str">
        <f>IF('Input Sheet'!C572="","",100-'Input Sheet'!C572)</f>
        <v/>
      </c>
      <c r="I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0" s="6" t="str">
        <f t="shared" si="8"/>
        <v/>
      </c>
      <c r="K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0" s="6" t="str">
        <f>IF('Input Sheet'!F572=0, "NO",CONCATENATE('Input Sheet'!F572, IF('Input Sheet'!F572&gt;0,"% ","")))</f>
        <v>NO</v>
      </c>
      <c r="M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0" s="6" t="str">
        <f>CONCATENATE(M570, IF('Input Sheet'!J572="",""," siderite in "))</f>
        <v/>
      </c>
      <c r="O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0" s="6" t="str">
        <f>CONCATENATE(O570, IF('Input Sheet'!K572="",""," siderite in "))</f>
        <v/>
      </c>
    </row>
    <row r="571" spans="1:16" x14ac:dyDescent="0.25">
      <c r="A571" s="17" t="str">
        <f>IF('Input Sheet'!C573="","",CONCATENATE("Sample ", 'Input Sheet'!B573, "m: ", N571, H571, "% ", "Siltstone, ", P571, 'Input Sheet'!C573, "% ", J571, " Sandstone, ", L571, K571, " FLUOR in SST. ", "TG ", 'Input Sheet'!I573, "U"))</f>
        <v/>
      </c>
      <c r="B571" s="3" t="str">
        <f>IF('Input Sheet'!C573="","",CONCATENATE("Sample ", 'Input Sheet'!B573, "m: ", O571, I571, "% ", "Siltstone, ", Q571, 'Input Sheet'!C573, "% ", K571, " Sandstone "))</f>
        <v/>
      </c>
      <c r="C571" s="3" t="str">
        <f>IF('Input Sheet'!C573="","",CONCATENATE("Sample ", 'Input Sheet'!B573, "m: ", N571,, L571, K571, " FLUOR in SST. ", "TG ", 'Input Sheet'!I573, "U"))</f>
        <v/>
      </c>
      <c r="H571" s="6" t="str">
        <f>IF('Input Sheet'!C573="","",100-'Input Sheet'!C573)</f>
        <v/>
      </c>
      <c r="I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1" s="6" t="str">
        <f t="shared" si="8"/>
        <v/>
      </c>
      <c r="K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1" s="6" t="str">
        <f>IF('Input Sheet'!F573=0, "NO",CONCATENATE('Input Sheet'!F573, IF('Input Sheet'!F573&gt;0,"% ","")))</f>
        <v>NO</v>
      </c>
      <c r="M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1" s="6" t="str">
        <f>CONCATENATE(M571, IF('Input Sheet'!J573="",""," siderite in "))</f>
        <v/>
      </c>
      <c r="O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1" s="6" t="str">
        <f>CONCATENATE(O571, IF('Input Sheet'!K573="",""," siderite in "))</f>
        <v/>
      </c>
    </row>
    <row r="572" spans="1:16" x14ac:dyDescent="0.25">
      <c r="A572" s="17" t="str">
        <f>IF('Input Sheet'!C574="","",CONCATENATE("Sample ", 'Input Sheet'!B574, "m: ", N572, H572, "% ", "Siltstone, ", P572, 'Input Sheet'!C574, "% ", J572, " Sandstone, ", L572, K572, " FLUOR in SST. ", "TG ", 'Input Sheet'!I574, "U"))</f>
        <v/>
      </c>
      <c r="B572" s="3" t="str">
        <f>IF('Input Sheet'!C574="","",CONCATENATE("Sample ", 'Input Sheet'!B574, "m: ", O572, I572, "% ", "Siltstone, ", Q572, 'Input Sheet'!C574, "% ", K572, " Sandstone "))</f>
        <v/>
      </c>
      <c r="C572" s="3" t="str">
        <f>IF('Input Sheet'!C574="","",CONCATENATE("Sample ", 'Input Sheet'!B574, "m: ", N572,, L572, K572, " FLUOR in SST. ", "TG ", 'Input Sheet'!I574, "U"))</f>
        <v/>
      </c>
      <c r="H572" s="6" t="str">
        <f>IF('Input Sheet'!C574="","",100-'Input Sheet'!C574)</f>
        <v/>
      </c>
      <c r="I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2" s="6" t="str">
        <f t="shared" si="8"/>
        <v/>
      </c>
      <c r="K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2" s="6" t="str">
        <f>IF('Input Sheet'!F574=0, "NO",CONCATENATE('Input Sheet'!F574, IF('Input Sheet'!F574&gt;0,"% ","")))</f>
        <v>NO</v>
      </c>
      <c r="M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2" s="6" t="str">
        <f>CONCATENATE(M572, IF('Input Sheet'!J574="",""," siderite in "))</f>
        <v/>
      </c>
      <c r="O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2" s="6" t="str">
        <f>CONCATENATE(O572, IF('Input Sheet'!K574="",""," siderite in "))</f>
        <v/>
      </c>
    </row>
    <row r="573" spans="1:16" x14ac:dyDescent="0.25">
      <c r="A573" s="17" t="str">
        <f>IF('Input Sheet'!C575="","",CONCATENATE("Sample ", 'Input Sheet'!B575, "m: ", N573, H573, "% ", "Siltstone, ", P573, 'Input Sheet'!C575, "% ", J573, " Sandstone, ", L573, K573, " FLUOR in SST. ", "TG ", 'Input Sheet'!I575, "U"))</f>
        <v/>
      </c>
      <c r="B573" s="3" t="str">
        <f>IF('Input Sheet'!C575="","",CONCATENATE("Sample ", 'Input Sheet'!B575, "m: ", O573, I573, "% ", "Siltstone, ", Q573, 'Input Sheet'!C575, "% ", K573, " Sandstone "))</f>
        <v/>
      </c>
      <c r="C573" s="3" t="str">
        <f>IF('Input Sheet'!C575="","",CONCATENATE("Sample ", 'Input Sheet'!B575, "m: ", N573,, L573, K573, " FLUOR in SST. ", "TG ", 'Input Sheet'!I575, "U"))</f>
        <v/>
      </c>
      <c r="H573" s="6" t="str">
        <f>IF('Input Sheet'!C575="","",100-'Input Sheet'!C575)</f>
        <v/>
      </c>
      <c r="I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3" s="6" t="str">
        <f t="shared" si="8"/>
        <v/>
      </c>
      <c r="K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3" s="6" t="str">
        <f>IF('Input Sheet'!F575=0, "NO",CONCATENATE('Input Sheet'!F575, IF('Input Sheet'!F575&gt;0,"% ","")))</f>
        <v>NO</v>
      </c>
      <c r="M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3" s="6" t="str">
        <f>CONCATENATE(M573, IF('Input Sheet'!J575="",""," siderite in "))</f>
        <v/>
      </c>
      <c r="O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3" s="6" t="str">
        <f>CONCATENATE(O573, IF('Input Sheet'!K575="",""," siderite in "))</f>
        <v/>
      </c>
    </row>
    <row r="574" spans="1:16" x14ac:dyDescent="0.25">
      <c r="A574" s="17" t="str">
        <f>IF('Input Sheet'!C576="","",CONCATENATE("Sample ", 'Input Sheet'!B576, "m: ", N574, H574, "% ", "Siltstone, ", P574, 'Input Sheet'!C576, "% ", J574, " Sandstone, ", L574, K574, " FLUOR in SST. ", "TG ", 'Input Sheet'!I576, "U"))</f>
        <v/>
      </c>
      <c r="B574" s="3" t="str">
        <f>IF('Input Sheet'!C576="","",CONCATENATE("Sample ", 'Input Sheet'!B576, "m: ", O574, I574, "% ", "Siltstone, ", Q574, 'Input Sheet'!C576, "% ", K574, " Sandstone "))</f>
        <v/>
      </c>
      <c r="C574" s="3" t="str">
        <f>IF('Input Sheet'!C576="","",CONCATENATE("Sample ", 'Input Sheet'!B576, "m: ", N574,, L574, K574, " FLUOR in SST. ", "TG ", 'Input Sheet'!I576, "U"))</f>
        <v/>
      </c>
      <c r="H574" s="6" t="str">
        <f>IF('Input Sheet'!C576="","",100-'Input Sheet'!C576)</f>
        <v/>
      </c>
      <c r="I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4" s="6" t="str">
        <f t="shared" si="8"/>
        <v/>
      </c>
      <c r="K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4" s="6" t="str">
        <f>IF('Input Sheet'!F576=0, "NO",CONCATENATE('Input Sheet'!F576, IF('Input Sheet'!F576&gt;0,"% ","")))</f>
        <v>NO</v>
      </c>
      <c r="M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4" s="6" t="str">
        <f>CONCATENATE(M574, IF('Input Sheet'!J576="",""," siderite in "))</f>
        <v/>
      </c>
      <c r="O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4" s="6" t="str">
        <f>CONCATENATE(O574, IF('Input Sheet'!K576="",""," siderite in "))</f>
        <v/>
      </c>
    </row>
    <row r="575" spans="1:16" x14ac:dyDescent="0.25">
      <c r="A575" s="17" t="str">
        <f>IF('Input Sheet'!C577="","",CONCATENATE("Sample ", 'Input Sheet'!B577, "m: ", N575, H575, "% ", "Siltstone, ", P575, 'Input Sheet'!C577, "% ", J575, " Sandstone, ", L575, K575, " FLUOR in SST. ", "TG ", 'Input Sheet'!I577, "U"))</f>
        <v/>
      </c>
      <c r="B575" s="3" t="str">
        <f>IF('Input Sheet'!C577="","",CONCATENATE("Sample ", 'Input Sheet'!B577, "m: ", O575, I575, "% ", "Siltstone, ", Q575, 'Input Sheet'!C577, "% ", K575, " Sandstone "))</f>
        <v/>
      </c>
      <c r="C575" s="3" t="str">
        <f>IF('Input Sheet'!C577="","",CONCATENATE("Sample ", 'Input Sheet'!B577, "m: ", N575,, L575, K575, " FLUOR in SST. ", "TG ", 'Input Sheet'!I577, "U"))</f>
        <v/>
      </c>
      <c r="H575" s="6" t="str">
        <f>IF('Input Sheet'!C577="","",100-'Input Sheet'!C577)</f>
        <v/>
      </c>
      <c r="I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5" s="6" t="str">
        <f t="shared" si="8"/>
        <v/>
      </c>
      <c r="K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5" s="6" t="str">
        <f>IF('Input Sheet'!F577=0, "NO",CONCATENATE('Input Sheet'!F577, IF('Input Sheet'!F577&gt;0,"% ","")))</f>
        <v>NO</v>
      </c>
      <c r="M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5" s="6" t="str">
        <f>CONCATENATE(M575, IF('Input Sheet'!J577="",""," siderite in "))</f>
        <v/>
      </c>
      <c r="O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5" s="6" t="str">
        <f>CONCATENATE(O575, IF('Input Sheet'!K577="",""," siderite in "))</f>
        <v/>
      </c>
    </row>
    <row r="576" spans="1:16" x14ac:dyDescent="0.25">
      <c r="A576" s="17" t="str">
        <f>IF('Input Sheet'!C578="","",CONCATENATE("Sample ", 'Input Sheet'!B578, "m: ", N576, H576, "% ", "Siltstone, ", P576, 'Input Sheet'!C578, "% ", J576, " Sandstone, ", L576, K576, " FLUOR in SST. ", "TG ", 'Input Sheet'!I578, "U"))</f>
        <v/>
      </c>
      <c r="B576" s="3" t="str">
        <f>IF('Input Sheet'!C578="","",CONCATENATE("Sample ", 'Input Sheet'!B578, "m: ", O576, I576, "% ", "Siltstone, ", Q576, 'Input Sheet'!C578, "% ", K576, " Sandstone "))</f>
        <v/>
      </c>
      <c r="C576" s="3" t="str">
        <f>IF('Input Sheet'!C578="","",CONCATENATE("Sample ", 'Input Sheet'!B578, "m: ", N576,, L576, K576, " FLUOR in SST. ", "TG ", 'Input Sheet'!I578, "U"))</f>
        <v/>
      </c>
      <c r="H576" s="6" t="str">
        <f>IF('Input Sheet'!C578="","",100-'Input Sheet'!C578)</f>
        <v/>
      </c>
      <c r="I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6" s="6" t="str">
        <f t="shared" si="8"/>
        <v/>
      </c>
      <c r="K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6" s="6" t="str">
        <f>IF('Input Sheet'!F578=0, "NO",CONCATENATE('Input Sheet'!F578, IF('Input Sheet'!F578&gt;0,"% ","")))</f>
        <v>NO</v>
      </c>
      <c r="M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6" s="6" t="str">
        <f>CONCATENATE(M576, IF('Input Sheet'!J578="",""," siderite in "))</f>
        <v/>
      </c>
      <c r="O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6" s="6" t="str">
        <f>CONCATENATE(O576, IF('Input Sheet'!K578="",""," siderite in "))</f>
        <v/>
      </c>
    </row>
    <row r="577" spans="1:16" x14ac:dyDescent="0.25">
      <c r="A577" s="17" t="str">
        <f>IF('Input Sheet'!C579="","",CONCATENATE("Sample ", 'Input Sheet'!B579, "m: ", N577, H577, "% ", "Siltstone, ", P577, 'Input Sheet'!C579, "% ", J577, " Sandstone, ", L577, K577, " FLUOR in SST. ", "TG ", 'Input Sheet'!I579, "U"))</f>
        <v/>
      </c>
      <c r="B577" s="3" t="str">
        <f>IF('Input Sheet'!C579="","",CONCATENATE("Sample ", 'Input Sheet'!B579, "m: ", O577, I577, "% ", "Siltstone, ", Q577, 'Input Sheet'!C579, "% ", K577, " Sandstone "))</f>
        <v/>
      </c>
      <c r="C577" s="3" t="str">
        <f>IF('Input Sheet'!C579="","",CONCATENATE("Sample ", 'Input Sheet'!B579, "m: ", N577,, L577, K577, " FLUOR in SST. ", "TG ", 'Input Sheet'!I579, "U"))</f>
        <v/>
      </c>
      <c r="H577" s="6" t="str">
        <f>IF('Input Sheet'!C579="","",100-'Input Sheet'!C579)</f>
        <v/>
      </c>
      <c r="I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7" s="6" t="str">
        <f t="shared" si="8"/>
        <v/>
      </c>
      <c r="K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7" s="6" t="str">
        <f>IF('Input Sheet'!F579=0, "NO",CONCATENATE('Input Sheet'!F579, IF('Input Sheet'!F579&gt;0,"% ","")))</f>
        <v>NO</v>
      </c>
      <c r="M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7" s="6" t="str">
        <f>CONCATENATE(M577, IF('Input Sheet'!J579="",""," siderite in "))</f>
        <v/>
      </c>
      <c r="O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7" s="6" t="str">
        <f>CONCATENATE(O577, IF('Input Sheet'!K579="",""," siderite in "))</f>
        <v/>
      </c>
    </row>
    <row r="578" spans="1:16" x14ac:dyDescent="0.25">
      <c r="A578" s="17" t="str">
        <f>IF('Input Sheet'!C580="","",CONCATENATE("Sample ", 'Input Sheet'!B580, "m: ", N578, H578, "% ", "Siltstone, ", P578, 'Input Sheet'!C580, "% ", J578, " Sandstone, ", L578, K578, " FLUOR in SST. ", "TG ", 'Input Sheet'!I580, "U"))</f>
        <v/>
      </c>
      <c r="B578" s="3" t="str">
        <f>IF('Input Sheet'!C580="","",CONCATENATE("Sample ", 'Input Sheet'!B580, "m: ", O578, I578, "% ", "Siltstone, ", Q578, 'Input Sheet'!C580, "% ", K578, " Sandstone "))</f>
        <v/>
      </c>
      <c r="C578" s="3" t="str">
        <f>IF('Input Sheet'!C580="","",CONCATENATE("Sample ", 'Input Sheet'!B580, "m: ", N578,, L578, K578, " FLUOR in SST. ", "TG ", 'Input Sheet'!I580, "U"))</f>
        <v/>
      </c>
      <c r="H578" s="6" t="str">
        <f>IF('Input Sheet'!C580="","",100-'Input Sheet'!C580)</f>
        <v/>
      </c>
      <c r="I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8" s="6" t="str">
        <f t="shared" ref="J578:J641" si="9">SUBSTITUTE(I578, "veryfine", "very fine")</f>
        <v/>
      </c>
      <c r="K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8" s="6" t="str">
        <f>IF('Input Sheet'!F580=0, "NO",CONCATENATE('Input Sheet'!F580, IF('Input Sheet'!F580&gt;0,"% ","")))</f>
        <v>NO</v>
      </c>
      <c r="M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8" s="6" t="str">
        <f>CONCATENATE(M578, IF('Input Sheet'!J580="",""," siderite in "))</f>
        <v/>
      </c>
      <c r="O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8" s="6" t="str">
        <f>CONCATENATE(O578, IF('Input Sheet'!K580="",""," siderite in "))</f>
        <v/>
      </c>
    </row>
    <row r="579" spans="1:16" x14ac:dyDescent="0.25">
      <c r="A579" s="17" t="str">
        <f>IF('Input Sheet'!C581="","",CONCATENATE("Sample ", 'Input Sheet'!B581, "m: ", N579, H579, "% ", "Siltstone, ", P579, 'Input Sheet'!C581, "% ", J579, " Sandstone, ", L579, K579, " FLUOR in SST. ", "TG ", 'Input Sheet'!I581, "U"))</f>
        <v/>
      </c>
      <c r="B579" s="3" t="str">
        <f>IF('Input Sheet'!C581="","",CONCATENATE("Sample ", 'Input Sheet'!B581, "m: ", O579, I579, "% ", "Siltstone, ", Q579, 'Input Sheet'!C581, "% ", K579, " Sandstone "))</f>
        <v/>
      </c>
      <c r="C579" s="3" t="str">
        <f>IF('Input Sheet'!C581="","",CONCATENATE("Sample ", 'Input Sheet'!B581, "m: ", N579,, L579, K579, " FLUOR in SST. ", "TG ", 'Input Sheet'!I581, "U"))</f>
        <v/>
      </c>
      <c r="H579" s="6" t="str">
        <f>IF('Input Sheet'!C581="","",100-'Input Sheet'!C581)</f>
        <v/>
      </c>
      <c r="I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79" s="6" t="str">
        <f t="shared" si="9"/>
        <v/>
      </c>
      <c r="K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79" s="6" t="str">
        <f>IF('Input Sheet'!F581=0, "NO",CONCATENATE('Input Sheet'!F581, IF('Input Sheet'!F581&gt;0,"% ","")))</f>
        <v>NO</v>
      </c>
      <c r="M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79" s="6" t="str">
        <f>CONCATENATE(M579, IF('Input Sheet'!J581="",""," siderite in "))</f>
        <v/>
      </c>
      <c r="O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79" s="6" t="str">
        <f>CONCATENATE(O579, IF('Input Sheet'!K581="",""," siderite in "))</f>
        <v/>
      </c>
    </row>
    <row r="580" spans="1:16" x14ac:dyDescent="0.25">
      <c r="A580" s="17" t="str">
        <f>IF('Input Sheet'!C582="","",CONCATENATE("Sample ", 'Input Sheet'!B582, "m: ", N580, H580, "% ", "Siltstone, ", P580, 'Input Sheet'!C582, "% ", J580, " Sandstone, ", L580, K580, " FLUOR in SST. ", "TG ", 'Input Sheet'!I582, "U"))</f>
        <v/>
      </c>
      <c r="B580" s="3" t="str">
        <f>IF('Input Sheet'!C582="","",CONCATENATE("Sample ", 'Input Sheet'!B582, "m: ", O580, I580, "% ", "Siltstone, ", Q580, 'Input Sheet'!C582, "% ", K580, " Sandstone "))</f>
        <v/>
      </c>
      <c r="C580" s="3" t="str">
        <f>IF('Input Sheet'!C582="","",CONCATENATE("Sample ", 'Input Sheet'!B582, "m: ", N580,, L580, K580, " FLUOR in SST. ", "TG ", 'Input Sheet'!I582, "U"))</f>
        <v/>
      </c>
      <c r="H580" s="6" t="str">
        <f>IF('Input Sheet'!C582="","",100-'Input Sheet'!C582)</f>
        <v/>
      </c>
      <c r="I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0" s="6" t="str">
        <f t="shared" si="9"/>
        <v/>
      </c>
      <c r="K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0" s="6" t="str">
        <f>IF('Input Sheet'!F582=0, "NO",CONCATENATE('Input Sheet'!F582, IF('Input Sheet'!F582&gt;0,"% ","")))</f>
        <v>NO</v>
      </c>
      <c r="M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0" s="6" t="str">
        <f>CONCATENATE(M580, IF('Input Sheet'!J582="",""," siderite in "))</f>
        <v/>
      </c>
      <c r="O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0" s="6" t="str">
        <f>CONCATENATE(O580, IF('Input Sheet'!K582="",""," siderite in "))</f>
        <v/>
      </c>
    </row>
    <row r="581" spans="1:16" x14ac:dyDescent="0.25">
      <c r="A581" s="17" t="str">
        <f>IF('Input Sheet'!C583="","",CONCATENATE("Sample ", 'Input Sheet'!B583, "m: ", N581, H581, "% ", "Siltstone, ", P581, 'Input Sheet'!C583, "% ", J581, " Sandstone, ", L581, K581, " FLUOR in SST. ", "TG ", 'Input Sheet'!I583, "U"))</f>
        <v/>
      </c>
      <c r="B581" s="3" t="str">
        <f>IF('Input Sheet'!C583="","",CONCATENATE("Sample ", 'Input Sheet'!B583, "m: ", O581, I581, "% ", "Siltstone, ", Q581, 'Input Sheet'!C583, "% ", K581, " Sandstone "))</f>
        <v/>
      </c>
      <c r="C581" s="3" t="str">
        <f>IF('Input Sheet'!C583="","",CONCATENATE("Sample ", 'Input Sheet'!B583, "m: ", N581,, L581, K581, " FLUOR in SST. ", "TG ", 'Input Sheet'!I583, "U"))</f>
        <v/>
      </c>
      <c r="H581" s="6" t="str">
        <f>IF('Input Sheet'!C583="","",100-'Input Sheet'!C583)</f>
        <v/>
      </c>
      <c r="I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1" s="6" t="str">
        <f t="shared" si="9"/>
        <v/>
      </c>
      <c r="K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1" s="6" t="str">
        <f>IF('Input Sheet'!F583=0, "NO",CONCATENATE('Input Sheet'!F583, IF('Input Sheet'!F583&gt;0,"% ","")))</f>
        <v>NO</v>
      </c>
      <c r="M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1" s="6" t="str">
        <f>CONCATENATE(M581, IF('Input Sheet'!J583="",""," siderite in "))</f>
        <v/>
      </c>
      <c r="O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1" s="6" t="str">
        <f>CONCATENATE(O581, IF('Input Sheet'!K583="",""," siderite in "))</f>
        <v/>
      </c>
    </row>
    <row r="582" spans="1:16" x14ac:dyDescent="0.25">
      <c r="A582" s="17" t="str">
        <f>IF('Input Sheet'!C584="","",CONCATENATE("Sample ", 'Input Sheet'!B584, "m: ", N582, H582, "% ", "Siltstone, ", P582, 'Input Sheet'!C584, "% ", J582, " Sandstone, ", L582, K582, " FLUOR in SST. ", "TG ", 'Input Sheet'!I584, "U"))</f>
        <v/>
      </c>
      <c r="B582" s="3" t="str">
        <f>IF('Input Sheet'!C584="","",CONCATENATE("Sample ", 'Input Sheet'!B584, "m: ", O582, I582, "% ", "Siltstone, ", Q582, 'Input Sheet'!C584, "% ", K582, " Sandstone "))</f>
        <v/>
      </c>
      <c r="C582" s="3" t="str">
        <f>IF('Input Sheet'!C584="","",CONCATENATE("Sample ", 'Input Sheet'!B584, "m: ", N582,, L582, K582, " FLUOR in SST. ", "TG ", 'Input Sheet'!I584, "U"))</f>
        <v/>
      </c>
      <c r="H582" s="6" t="str">
        <f>IF('Input Sheet'!C584="","",100-'Input Sheet'!C584)</f>
        <v/>
      </c>
      <c r="I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2" s="6" t="str">
        <f t="shared" si="9"/>
        <v/>
      </c>
      <c r="K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2" s="6" t="str">
        <f>IF('Input Sheet'!F584=0, "NO",CONCATENATE('Input Sheet'!F584, IF('Input Sheet'!F584&gt;0,"% ","")))</f>
        <v>NO</v>
      </c>
      <c r="M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2" s="6" t="str">
        <f>CONCATENATE(M582, IF('Input Sheet'!J584="",""," siderite in "))</f>
        <v/>
      </c>
      <c r="O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2" s="6" t="str">
        <f>CONCATENATE(O582, IF('Input Sheet'!K584="",""," siderite in "))</f>
        <v/>
      </c>
    </row>
    <row r="583" spans="1:16" x14ac:dyDescent="0.25">
      <c r="A583" s="17" t="str">
        <f>IF('Input Sheet'!C585="","",CONCATENATE("Sample ", 'Input Sheet'!B585, "m: ", N583, H583, "% ", "Siltstone, ", P583, 'Input Sheet'!C585, "% ", J583, " Sandstone, ", L583, K583, " FLUOR in SST. ", "TG ", 'Input Sheet'!I585, "U"))</f>
        <v/>
      </c>
      <c r="B583" s="3" t="str">
        <f>IF('Input Sheet'!C585="","",CONCATENATE("Sample ", 'Input Sheet'!B585, "m: ", O583, I583, "% ", "Siltstone, ", Q583, 'Input Sheet'!C585, "% ", K583, " Sandstone "))</f>
        <v/>
      </c>
      <c r="C583" s="3" t="str">
        <f>IF('Input Sheet'!C585="","",CONCATENATE("Sample ", 'Input Sheet'!B585, "m: ", N583,, L583, K583, " FLUOR in SST. ", "TG ", 'Input Sheet'!I585, "U"))</f>
        <v/>
      </c>
      <c r="H583" s="6" t="str">
        <f>IF('Input Sheet'!C585="","",100-'Input Sheet'!C585)</f>
        <v/>
      </c>
      <c r="I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3" s="6" t="str">
        <f t="shared" si="9"/>
        <v/>
      </c>
      <c r="K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3" s="6" t="str">
        <f>IF('Input Sheet'!F585=0, "NO",CONCATENATE('Input Sheet'!F585, IF('Input Sheet'!F585&gt;0,"% ","")))</f>
        <v>NO</v>
      </c>
      <c r="M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3" s="6" t="str">
        <f>CONCATENATE(M583, IF('Input Sheet'!J585="",""," siderite in "))</f>
        <v/>
      </c>
      <c r="O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3" s="6" t="str">
        <f>CONCATENATE(O583, IF('Input Sheet'!K585="",""," siderite in "))</f>
        <v/>
      </c>
    </row>
    <row r="584" spans="1:16" x14ac:dyDescent="0.25">
      <c r="A584" s="17" t="str">
        <f>IF('Input Sheet'!C586="","",CONCATENATE("Sample ", 'Input Sheet'!B586, "m: ", N584, H584, "% ", "Siltstone, ", P584, 'Input Sheet'!C586, "% ", J584, " Sandstone, ", L584, K584, " FLUOR in SST. ", "TG ", 'Input Sheet'!I586, "U"))</f>
        <v/>
      </c>
      <c r="B584" s="3" t="str">
        <f>IF('Input Sheet'!C586="","",CONCATENATE("Sample ", 'Input Sheet'!B586, "m: ", O584, I584, "% ", "Siltstone, ", Q584, 'Input Sheet'!C586, "% ", K584, " Sandstone "))</f>
        <v/>
      </c>
      <c r="C584" s="3" t="str">
        <f>IF('Input Sheet'!C586="","",CONCATENATE("Sample ", 'Input Sheet'!B586, "m: ", N584,, L584, K584, " FLUOR in SST. ", "TG ", 'Input Sheet'!I586, "U"))</f>
        <v/>
      </c>
      <c r="H584" s="6" t="str">
        <f>IF('Input Sheet'!C586="","",100-'Input Sheet'!C586)</f>
        <v/>
      </c>
      <c r="I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4" s="6" t="str">
        <f t="shared" si="9"/>
        <v/>
      </c>
      <c r="K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4" s="6" t="str">
        <f>IF('Input Sheet'!F586=0, "NO",CONCATENATE('Input Sheet'!F586, IF('Input Sheet'!F586&gt;0,"% ","")))</f>
        <v>NO</v>
      </c>
      <c r="M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4" s="6" t="str">
        <f>CONCATENATE(M584, IF('Input Sheet'!J586="",""," siderite in "))</f>
        <v/>
      </c>
      <c r="O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4" s="6" t="str">
        <f>CONCATENATE(O584, IF('Input Sheet'!K586="",""," siderite in "))</f>
        <v/>
      </c>
    </row>
    <row r="585" spans="1:16" x14ac:dyDescent="0.25">
      <c r="A585" s="17" t="str">
        <f>IF('Input Sheet'!C587="","",CONCATENATE("Sample ", 'Input Sheet'!B587, "m: ", N585, H585, "% ", "Siltstone, ", P585, 'Input Sheet'!C587, "% ", J585, " Sandstone, ", L585, K585, " FLUOR in SST. ", "TG ", 'Input Sheet'!I587, "U"))</f>
        <v/>
      </c>
      <c r="B585" s="3" t="str">
        <f>IF('Input Sheet'!C587="","",CONCATENATE("Sample ", 'Input Sheet'!B587, "m: ", O585, I585, "% ", "Siltstone, ", Q585, 'Input Sheet'!C587, "% ", K585, " Sandstone "))</f>
        <v/>
      </c>
      <c r="C585" s="3" t="str">
        <f>IF('Input Sheet'!C587="","",CONCATENATE("Sample ", 'Input Sheet'!B587, "m: ", N585,, L585, K585, " FLUOR in SST. ", "TG ", 'Input Sheet'!I587, "U"))</f>
        <v/>
      </c>
      <c r="H585" s="6" t="str">
        <f>IF('Input Sheet'!C587="","",100-'Input Sheet'!C587)</f>
        <v/>
      </c>
      <c r="I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5" s="6" t="str">
        <f t="shared" si="9"/>
        <v/>
      </c>
      <c r="K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5" s="6" t="str">
        <f>IF('Input Sheet'!F587=0, "NO",CONCATENATE('Input Sheet'!F587, IF('Input Sheet'!F587&gt;0,"% ","")))</f>
        <v>NO</v>
      </c>
      <c r="M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5" s="6" t="str">
        <f>CONCATENATE(M585, IF('Input Sheet'!J587="",""," siderite in "))</f>
        <v/>
      </c>
      <c r="O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5" s="6" t="str">
        <f>CONCATENATE(O585, IF('Input Sheet'!K587="",""," siderite in "))</f>
        <v/>
      </c>
    </row>
    <row r="586" spans="1:16" x14ac:dyDescent="0.25">
      <c r="A586" s="17" t="str">
        <f>IF('Input Sheet'!C588="","",CONCATENATE("Sample ", 'Input Sheet'!B588, "m: ", N586, H586, "% ", "Siltstone, ", P586, 'Input Sheet'!C588, "% ", J586, " Sandstone, ", L586, K586, " FLUOR in SST. ", "TG ", 'Input Sheet'!I588, "U"))</f>
        <v/>
      </c>
      <c r="B586" s="3" t="str">
        <f>IF('Input Sheet'!C588="","",CONCATENATE("Sample ", 'Input Sheet'!B588, "m: ", O586, I586, "% ", "Siltstone, ", Q586, 'Input Sheet'!C588, "% ", K586, " Sandstone "))</f>
        <v/>
      </c>
      <c r="C586" s="3" t="str">
        <f>IF('Input Sheet'!C588="","",CONCATENATE("Sample ", 'Input Sheet'!B588, "m: ", N586,, L586, K586, " FLUOR in SST. ", "TG ", 'Input Sheet'!I588, "U"))</f>
        <v/>
      </c>
      <c r="H586" s="6" t="str">
        <f>IF('Input Sheet'!C588="","",100-'Input Sheet'!C588)</f>
        <v/>
      </c>
      <c r="I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6" s="6" t="str">
        <f t="shared" si="9"/>
        <v/>
      </c>
      <c r="K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6" s="6" t="str">
        <f>IF('Input Sheet'!F588=0, "NO",CONCATENATE('Input Sheet'!F588, IF('Input Sheet'!F588&gt;0,"% ","")))</f>
        <v>NO</v>
      </c>
      <c r="M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6" s="6" t="str">
        <f>CONCATENATE(M586, IF('Input Sheet'!J588="",""," siderite in "))</f>
        <v/>
      </c>
      <c r="O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6" s="6" t="str">
        <f>CONCATENATE(O586, IF('Input Sheet'!K588="",""," siderite in "))</f>
        <v/>
      </c>
    </row>
    <row r="587" spans="1:16" x14ac:dyDescent="0.25">
      <c r="A587" s="17" t="str">
        <f>IF('Input Sheet'!C589="","",CONCATENATE("Sample ", 'Input Sheet'!B589, "m: ", N587, H587, "% ", "Siltstone, ", P587, 'Input Sheet'!C589, "% ", J587, " Sandstone, ", L587, K587, " FLUOR in SST. ", "TG ", 'Input Sheet'!I589, "U"))</f>
        <v/>
      </c>
      <c r="B587" s="3" t="str">
        <f>IF('Input Sheet'!C589="","",CONCATENATE("Sample ", 'Input Sheet'!B589, "m: ", O587, I587, "% ", "Siltstone, ", Q587, 'Input Sheet'!C589, "% ", K587, " Sandstone "))</f>
        <v/>
      </c>
      <c r="C587" s="3" t="str">
        <f>IF('Input Sheet'!C589="","",CONCATENATE("Sample ", 'Input Sheet'!B589, "m: ", N587,, L587, K587, " FLUOR in SST. ", "TG ", 'Input Sheet'!I589, "U"))</f>
        <v/>
      </c>
      <c r="H587" s="6" t="str">
        <f>IF('Input Sheet'!C589="","",100-'Input Sheet'!C589)</f>
        <v/>
      </c>
      <c r="I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7" s="6" t="str">
        <f t="shared" si="9"/>
        <v/>
      </c>
      <c r="K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7" s="6" t="str">
        <f>IF('Input Sheet'!F589=0, "NO",CONCATENATE('Input Sheet'!F589, IF('Input Sheet'!F589&gt;0,"% ","")))</f>
        <v>NO</v>
      </c>
      <c r="M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7" s="6" t="str">
        <f>CONCATENATE(M587, IF('Input Sheet'!J589="",""," siderite in "))</f>
        <v/>
      </c>
      <c r="O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7" s="6" t="str">
        <f>CONCATENATE(O587, IF('Input Sheet'!K589="",""," siderite in "))</f>
        <v/>
      </c>
    </row>
    <row r="588" spans="1:16" x14ac:dyDescent="0.25">
      <c r="A588" s="17" t="str">
        <f>IF('Input Sheet'!C590="","",CONCATENATE("Sample ", 'Input Sheet'!B590, "m: ", N588, H588, "% ", "Siltstone, ", P588, 'Input Sheet'!C590, "% ", J588, " Sandstone, ", L588, K588, " FLUOR in SST. ", "TG ", 'Input Sheet'!I590, "U"))</f>
        <v/>
      </c>
      <c r="B588" s="3" t="str">
        <f>IF('Input Sheet'!C590="","",CONCATENATE("Sample ", 'Input Sheet'!B590, "m: ", O588, I588, "% ", "Siltstone, ", Q588, 'Input Sheet'!C590, "% ", K588, " Sandstone "))</f>
        <v/>
      </c>
      <c r="C588" s="3" t="str">
        <f>IF('Input Sheet'!C590="","",CONCATENATE("Sample ", 'Input Sheet'!B590, "m: ", N588,, L588, K588, " FLUOR in SST. ", "TG ", 'Input Sheet'!I590, "U"))</f>
        <v/>
      </c>
      <c r="H588" s="6" t="str">
        <f>IF('Input Sheet'!C590="","",100-'Input Sheet'!C590)</f>
        <v/>
      </c>
      <c r="I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8" s="6" t="str">
        <f t="shared" si="9"/>
        <v/>
      </c>
      <c r="K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8" s="6" t="str">
        <f>IF('Input Sheet'!F590=0, "NO",CONCATENATE('Input Sheet'!F590, IF('Input Sheet'!F590&gt;0,"% ","")))</f>
        <v>NO</v>
      </c>
      <c r="M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8" s="6" t="str">
        <f>CONCATENATE(M588, IF('Input Sheet'!J590="",""," siderite in "))</f>
        <v/>
      </c>
      <c r="O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8" s="6" t="str">
        <f>CONCATENATE(O588, IF('Input Sheet'!K590="",""," siderite in "))</f>
        <v/>
      </c>
    </row>
    <row r="589" spans="1:16" x14ac:dyDescent="0.25">
      <c r="A589" s="17" t="str">
        <f>IF('Input Sheet'!C591="","",CONCATENATE("Sample ", 'Input Sheet'!B591, "m: ", N589, H589, "% ", "Siltstone, ", P589, 'Input Sheet'!C591, "% ", J589, " Sandstone, ", L589, K589, " FLUOR in SST. ", "TG ", 'Input Sheet'!I591, "U"))</f>
        <v/>
      </c>
      <c r="B589" s="3" t="str">
        <f>IF('Input Sheet'!C591="","",CONCATENATE("Sample ", 'Input Sheet'!B591, "m: ", O589, I589, "% ", "Siltstone, ", Q589, 'Input Sheet'!C591, "% ", K589, " Sandstone "))</f>
        <v/>
      </c>
      <c r="C589" s="3" t="str">
        <f>IF('Input Sheet'!C591="","",CONCATENATE("Sample ", 'Input Sheet'!B591, "m: ", N589,, L589, K589, " FLUOR in SST. ", "TG ", 'Input Sheet'!I591, "U"))</f>
        <v/>
      </c>
      <c r="H589" s="6" t="str">
        <f>IF('Input Sheet'!C591="","",100-'Input Sheet'!C591)</f>
        <v/>
      </c>
      <c r="I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89" s="6" t="str">
        <f t="shared" si="9"/>
        <v/>
      </c>
      <c r="K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89" s="6" t="str">
        <f>IF('Input Sheet'!F591=0, "NO",CONCATENATE('Input Sheet'!F591, IF('Input Sheet'!F591&gt;0,"% ","")))</f>
        <v>NO</v>
      </c>
      <c r="M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89" s="6" t="str">
        <f>CONCATENATE(M589, IF('Input Sheet'!J591="",""," siderite in "))</f>
        <v/>
      </c>
      <c r="O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89" s="6" t="str">
        <f>CONCATENATE(O589, IF('Input Sheet'!K591="",""," siderite in "))</f>
        <v/>
      </c>
    </row>
    <row r="590" spans="1:16" x14ac:dyDescent="0.25">
      <c r="A590" s="17" t="str">
        <f>IF('Input Sheet'!C592="","",CONCATENATE("Sample ", 'Input Sheet'!B592, "m: ", N590, H590, "% ", "Siltstone, ", P590, 'Input Sheet'!C592, "% ", J590, " Sandstone, ", L590, K590, " FLUOR in SST. ", "TG ", 'Input Sheet'!I592, "U"))</f>
        <v/>
      </c>
      <c r="B590" s="3" t="str">
        <f>IF('Input Sheet'!C592="","",CONCATENATE("Sample ", 'Input Sheet'!B592, "m: ", O590, I590, "% ", "Siltstone, ", Q590, 'Input Sheet'!C592, "% ", K590, " Sandstone "))</f>
        <v/>
      </c>
      <c r="C590" s="3" t="str">
        <f>IF('Input Sheet'!C592="","",CONCATENATE("Sample ", 'Input Sheet'!B592, "m: ", N590,, L590, K590, " FLUOR in SST. ", "TG ", 'Input Sheet'!I592, "U"))</f>
        <v/>
      </c>
      <c r="H590" s="6" t="str">
        <f>IF('Input Sheet'!C592="","",100-'Input Sheet'!C592)</f>
        <v/>
      </c>
      <c r="I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0" s="6" t="str">
        <f t="shared" si="9"/>
        <v/>
      </c>
      <c r="K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0" s="6" t="str">
        <f>IF('Input Sheet'!F592=0, "NO",CONCATENATE('Input Sheet'!F592, IF('Input Sheet'!F592&gt;0,"% ","")))</f>
        <v>NO</v>
      </c>
      <c r="M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0" s="6" t="str">
        <f>CONCATENATE(M590, IF('Input Sheet'!J592="",""," siderite in "))</f>
        <v/>
      </c>
      <c r="O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0" s="6" t="str">
        <f>CONCATENATE(O590, IF('Input Sheet'!K592="",""," siderite in "))</f>
        <v/>
      </c>
    </row>
    <row r="591" spans="1:16" x14ac:dyDescent="0.25">
      <c r="A591" s="17" t="str">
        <f>IF('Input Sheet'!C593="","",CONCATENATE("Sample ", 'Input Sheet'!B593, "m: ", N591, H591, "% ", "Siltstone, ", P591, 'Input Sheet'!C593, "% ", J591, " Sandstone, ", L591, K591, " FLUOR in SST. ", "TG ", 'Input Sheet'!I593, "U"))</f>
        <v/>
      </c>
      <c r="B591" s="3" t="str">
        <f>IF('Input Sheet'!C593="","",CONCATENATE("Sample ", 'Input Sheet'!B593, "m: ", O591, I591, "% ", "Siltstone, ", Q591, 'Input Sheet'!C593, "% ", K591, " Sandstone "))</f>
        <v/>
      </c>
      <c r="C591" s="3" t="str">
        <f>IF('Input Sheet'!C593="","",CONCATENATE("Sample ", 'Input Sheet'!B593, "m: ", N591,, L591, K591, " FLUOR in SST. ", "TG ", 'Input Sheet'!I593, "U"))</f>
        <v/>
      </c>
      <c r="H591" s="6" t="str">
        <f>IF('Input Sheet'!C593="","",100-'Input Sheet'!C593)</f>
        <v/>
      </c>
      <c r="I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1" s="6" t="str">
        <f t="shared" si="9"/>
        <v/>
      </c>
      <c r="K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1" s="6" t="str">
        <f>IF('Input Sheet'!F593=0, "NO",CONCATENATE('Input Sheet'!F593, IF('Input Sheet'!F593&gt;0,"% ","")))</f>
        <v>NO</v>
      </c>
      <c r="M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1" s="6" t="str">
        <f>CONCATENATE(M591, IF('Input Sheet'!J593="",""," siderite in "))</f>
        <v/>
      </c>
      <c r="O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1" s="6" t="str">
        <f>CONCATENATE(O591, IF('Input Sheet'!K593="",""," siderite in "))</f>
        <v/>
      </c>
    </row>
    <row r="592" spans="1:16" x14ac:dyDescent="0.25">
      <c r="A592" s="17" t="str">
        <f>IF('Input Sheet'!C594="","",CONCATENATE("Sample ", 'Input Sheet'!B594, "m: ", N592, H592, "% ", "Siltstone, ", P592, 'Input Sheet'!C594, "% ", J592, " Sandstone, ", L592, K592, " FLUOR in SST. ", "TG ", 'Input Sheet'!I594, "U"))</f>
        <v/>
      </c>
      <c r="B592" s="3" t="str">
        <f>IF('Input Sheet'!C594="","",CONCATENATE("Sample ", 'Input Sheet'!B594, "m: ", O592, I592, "% ", "Siltstone, ", Q592, 'Input Sheet'!C594, "% ", K592, " Sandstone "))</f>
        <v/>
      </c>
      <c r="C592" s="3" t="str">
        <f>IF('Input Sheet'!C594="","",CONCATENATE("Sample ", 'Input Sheet'!B594, "m: ", N592,, L592, K592, " FLUOR in SST. ", "TG ", 'Input Sheet'!I594, "U"))</f>
        <v/>
      </c>
      <c r="H592" s="6" t="str">
        <f>IF('Input Sheet'!C594="","",100-'Input Sheet'!C594)</f>
        <v/>
      </c>
      <c r="I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2" s="6" t="str">
        <f t="shared" si="9"/>
        <v/>
      </c>
      <c r="K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2" s="6" t="str">
        <f>IF('Input Sheet'!F594=0, "NO",CONCATENATE('Input Sheet'!F594, IF('Input Sheet'!F594&gt;0,"% ","")))</f>
        <v>NO</v>
      </c>
      <c r="M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2" s="6" t="str">
        <f>CONCATENATE(M592, IF('Input Sheet'!J594="",""," siderite in "))</f>
        <v/>
      </c>
      <c r="O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2" s="6" t="str">
        <f>CONCATENATE(O592, IF('Input Sheet'!K594="",""," siderite in "))</f>
        <v/>
      </c>
    </row>
    <row r="593" spans="1:16" x14ac:dyDescent="0.25">
      <c r="A593" s="17" t="str">
        <f>IF('Input Sheet'!C595="","",CONCATENATE("Sample ", 'Input Sheet'!B595, "m: ", N593, H593, "% ", "Siltstone, ", P593, 'Input Sheet'!C595, "% ", J593, " Sandstone, ", L593, K593, " FLUOR in SST. ", "TG ", 'Input Sheet'!I595, "U"))</f>
        <v/>
      </c>
      <c r="B593" s="3" t="str">
        <f>IF('Input Sheet'!C595="","",CONCATENATE("Sample ", 'Input Sheet'!B595, "m: ", O593, I593, "% ", "Siltstone, ", Q593, 'Input Sheet'!C595, "% ", K593, " Sandstone "))</f>
        <v/>
      </c>
      <c r="C593" s="3" t="str">
        <f>IF('Input Sheet'!C595="","",CONCATENATE("Sample ", 'Input Sheet'!B595, "m: ", N593,, L593, K593, " FLUOR in SST. ", "TG ", 'Input Sheet'!I595, "U"))</f>
        <v/>
      </c>
      <c r="H593" s="6" t="str">
        <f>IF('Input Sheet'!C595="","",100-'Input Sheet'!C595)</f>
        <v/>
      </c>
      <c r="I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3" s="6" t="str">
        <f t="shared" si="9"/>
        <v/>
      </c>
      <c r="K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3" s="6" t="str">
        <f>IF('Input Sheet'!F595=0, "NO",CONCATENATE('Input Sheet'!F595, IF('Input Sheet'!F595&gt;0,"% ","")))</f>
        <v>NO</v>
      </c>
      <c r="M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3" s="6" t="str">
        <f>CONCATENATE(M593, IF('Input Sheet'!J595="",""," siderite in "))</f>
        <v/>
      </c>
      <c r="O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3" s="6" t="str">
        <f>CONCATENATE(O593, IF('Input Sheet'!K595="",""," siderite in "))</f>
        <v/>
      </c>
    </row>
    <row r="594" spans="1:16" x14ac:dyDescent="0.25">
      <c r="A594" s="17" t="str">
        <f>IF('Input Sheet'!C596="","",CONCATENATE("Sample ", 'Input Sheet'!B596, "m: ", N594, H594, "% ", "Siltstone, ", P594, 'Input Sheet'!C596, "% ", J594, " Sandstone, ", L594, K594, " FLUOR in SST. ", "TG ", 'Input Sheet'!I596, "U"))</f>
        <v/>
      </c>
      <c r="B594" s="3" t="str">
        <f>IF('Input Sheet'!C596="","",CONCATENATE("Sample ", 'Input Sheet'!B596, "m: ", O594, I594, "% ", "Siltstone, ", Q594, 'Input Sheet'!C596, "% ", K594, " Sandstone "))</f>
        <v/>
      </c>
      <c r="C594" s="3" t="str">
        <f>IF('Input Sheet'!C596="","",CONCATENATE("Sample ", 'Input Sheet'!B596, "m: ", N594,, L594, K594, " FLUOR in SST. ", "TG ", 'Input Sheet'!I596, "U"))</f>
        <v/>
      </c>
      <c r="H594" s="6" t="str">
        <f>IF('Input Sheet'!C596="","",100-'Input Sheet'!C596)</f>
        <v/>
      </c>
      <c r="I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4" s="6" t="str">
        <f t="shared" si="9"/>
        <v/>
      </c>
      <c r="K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4" s="6" t="str">
        <f>IF('Input Sheet'!F596=0, "NO",CONCATENATE('Input Sheet'!F596, IF('Input Sheet'!F596&gt;0,"% ","")))</f>
        <v>NO</v>
      </c>
      <c r="M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4" s="6" t="str">
        <f>CONCATENATE(M594, IF('Input Sheet'!J596="",""," siderite in "))</f>
        <v/>
      </c>
      <c r="O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4" s="6" t="str">
        <f>CONCATENATE(O594, IF('Input Sheet'!K596="",""," siderite in "))</f>
        <v/>
      </c>
    </row>
    <row r="595" spans="1:16" x14ac:dyDescent="0.25">
      <c r="A595" s="17" t="str">
        <f>IF('Input Sheet'!C597="","",CONCATENATE("Sample ", 'Input Sheet'!B597, "m: ", N595, H595, "% ", "Siltstone, ", P595, 'Input Sheet'!C597, "% ", J595, " Sandstone, ", L595, K595, " FLUOR in SST. ", "TG ", 'Input Sheet'!I597, "U"))</f>
        <v/>
      </c>
      <c r="B595" s="3" t="str">
        <f>IF('Input Sheet'!C597="","",CONCATENATE("Sample ", 'Input Sheet'!B597, "m: ", O595, I595, "% ", "Siltstone, ", Q595, 'Input Sheet'!C597, "% ", K595, " Sandstone "))</f>
        <v/>
      </c>
      <c r="C595" s="3" t="str">
        <f>IF('Input Sheet'!C597="","",CONCATENATE("Sample ", 'Input Sheet'!B597, "m: ", N595,, L595, K595, " FLUOR in SST. ", "TG ", 'Input Sheet'!I597, "U"))</f>
        <v/>
      </c>
      <c r="H595" s="6" t="str">
        <f>IF('Input Sheet'!C597="","",100-'Input Sheet'!C597)</f>
        <v/>
      </c>
      <c r="I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5" s="6" t="str">
        <f t="shared" si="9"/>
        <v/>
      </c>
      <c r="K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5" s="6" t="str">
        <f>IF('Input Sheet'!F597=0, "NO",CONCATENATE('Input Sheet'!F597, IF('Input Sheet'!F597&gt;0,"% ","")))</f>
        <v>NO</v>
      </c>
      <c r="M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5" s="6" t="str">
        <f>CONCATENATE(M595, IF('Input Sheet'!J597="",""," siderite in "))</f>
        <v/>
      </c>
      <c r="O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5" s="6" t="str">
        <f>CONCATENATE(O595, IF('Input Sheet'!K597="",""," siderite in "))</f>
        <v/>
      </c>
    </row>
    <row r="596" spans="1:16" x14ac:dyDescent="0.25">
      <c r="A596" s="17" t="str">
        <f>IF('Input Sheet'!C598="","",CONCATENATE("Sample ", 'Input Sheet'!B598, "m: ", N596, H596, "% ", "Siltstone, ", P596, 'Input Sheet'!C598, "% ", J596, " Sandstone, ", L596, K596, " FLUOR in SST. ", "TG ", 'Input Sheet'!I598, "U"))</f>
        <v/>
      </c>
      <c r="B596" s="3" t="str">
        <f>IF('Input Sheet'!C598="","",CONCATENATE("Sample ", 'Input Sheet'!B598, "m: ", O596, I596, "% ", "Siltstone, ", Q596, 'Input Sheet'!C598, "% ", K596, " Sandstone "))</f>
        <v/>
      </c>
      <c r="C596" s="3" t="str">
        <f>IF('Input Sheet'!C598="","",CONCATENATE("Sample ", 'Input Sheet'!B598, "m: ", N596,, L596, K596, " FLUOR in SST. ", "TG ", 'Input Sheet'!I598, "U"))</f>
        <v/>
      </c>
      <c r="H596" s="6" t="str">
        <f>IF('Input Sheet'!C598="","",100-'Input Sheet'!C598)</f>
        <v/>
      </c>
      <c r="I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6" s="6" t="str">
        <f t="shared" si="9"/>
        <v/>
      </c>
      <c r="K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6" s="6" t="str">
        <f>IF('Input Sheet'!F598=0, "NO",CONCATENATE('Input Sheet'!F598, IF('Input Sheet'!F598&gt;0,"% ","")))</f>
        <v>NO</v>
      </c>
      <c r="M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6" s="6" t="str">
        <f>CONCATENATE(M596, IF('Input Sheet'!J598="",""," siderite in "))</f>
        <v/>
      </c>
      <c r="O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6" s="6" t="str">
        <f>CONCATENATE(O596, IF('Input Sheet'!K598="",""," siderite in "))</f>
        <v/>
      </c>
    </row>
    <row r="597" spans="1:16" x14ac:dyDescent="0.25">
      <c r="A597" s="17" t="str">
        <f>IF('Input Sheet'!C599="","",CONCATENATE("Sample ", 'Input Sheet'!B599, "m: ", N597, H597, "% ", "Siltstone, ", P597, 'Input Sheet'!C599, "% ", J597, " Sandstone, ", L597, K597, " FLUOR in SST. ", "TG ", 'Input Sheet'!I599, "U"))</f>
        <v/>
      </c>
      <c r="B597" s="3" t="str">
        <f>IF('Input Sheet'!C599="","",CONCATENATE("Sample ", 'Input Sheet'!B599, "m: ", O597, I597, "% ", "Siltstone, ", Q597, 'Input Sheet'!C599, "% ", K597, " Sandstone "))</f>
        <v/>
      </c>
      <c r="C597" s="3" t="str">
        <f>IF('Input Sheet'!C599="","",CONCATENATE("Sample ", 'Input Sheet'!B599, "m: ", N597,, L597, K597, " FLUOR in SST. ", "TG ", 'Input Sheet'!I599, "U"))</f>
        <v/>
      </c>
      <c r="H597" s="6" t="str">
        <f>IF('Input Sheet'!C599="","",100-'Input Sheet'!C599)</f>
        <v/>
      </c>
      <c r="I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7" s="6" t="str">
        <f t="shared" si="9"/>
        <v/>
      </c>
      <c r="K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7" s="6" t="str">
        <f>IF('Input Sheet'!F599=0, "NO",CONCATENATE('Input Sheet'!F599, IF('Input Sheet'!F599&gt;0,"% ","")))</f>
        <v>NO</v>
      </c>
      <c r="M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7" s="6" t="str">
        <f>CONCATENATE(M597, IF('Input Sheet'!J599="",""," siderite in "))</f>
        <v/>
      </c>
      <c r="O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7" s="6" t="str">
        <f>CONCATENATE(O597, IF('Input Sheet'!K599="",""," siderite in "))</f>
        <v/>
      </c>
    </row>
    <row r="598" spans="1:16" x14ac:dyDescent="0.25">
      <c r="A598" s="17" t="str">
        <f>IF('Input Sheet'!C600="","",CONCATENATE("Sample ", 'Input Sheet'!B600, "m: ", N598, H598, "% ", "Siltstone, ", P598, 'Input Sheet'!C600, "% ", J598, " Sandstone, ", L598, K598, " FLUOR in SST. ", "TG ", 'Input Sheet'!I600, "U"))</f>
        <v/>
      </c>
      <c r="B598" s="3" t="str">
        <f>IF('Input Sheet'!C600="","",CONCATENATE("Sample ", 'Input Sheet'!B600, "m: ", O598, I598, "% ", "Siltstone, ", Q598, 'Input Sheet'!C600, "% ", K598, " Sandstone "))</f>
        <v/>
      </c>
      <c r="C598" s="3" t="str">
        <f>IF('Input Sheet'!C600="","",CONCATENATE("Sample ", 'Input Sheet'!B600, "m: ", N598,, L598, K598, " FLUOR in SST. ", "TG ", 'Input Sheet'!I600, "U"))</f>
        <v/>
      </c>
      <c r="H598" s="6" t="str">
        <f>IF('Input Sheet'!C600="","",100-'Input Sheet'!C600)</f>
        <v/>
      </c>
      <c r="I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8" s="6" t="str">
        <f t="shared" si="9"/>
        <v/>
      </c>
      <c r="K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8" s="6" t="str">
        <f>IF('Input Sheet'!F600=0, "NO",CONCATENATE('Input Sheet'!F600, IF('Input Sheet'!F600&gt;0,"% ","")))</f>
        <v>NO</v>
      </c>
      <c r="M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8" s="6" t="str">
        <f>CONCATENATE(M598, IF('Input Sheet'!J600="",""," siderite in "))</f>
        <v/>
      </c>
      <c r="O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8" s="6" t="str">
        <f>CONCATENATE(O598, IF('Input Sheet'!K600="",""," siderite in "))</f>
        <v/>
      </c>
    </row>
    <row r="599" spans="1:16" x14ac:dyDescent="0.25">
      <c r="A599" s="17" t="str">
        <f>IF('Input Sheet'!C601="","",CONCATENATE("Sample ", 'Input Sheet'!B601, "m: ", N599, H599, "% ", "Siltstone, ", P599, 'Input Sheet'!C601, "% ", J599, " Sandstone, ", L599, K599, " FLUOR in SST. ", "TG ", 'Input Sheet'!I601, "U"))</f>
        <v/>
      </c>
      <c r="B599" s="3" t="str">
        <f>IF('Input Sheet'!C601="","",CONCATENATE("Sample ", 'Input Sheet'!B601, "m: ", O599, I599, "% ", "Siltstone, ", Q599, 'Input Sheet'!C601, "% ", K599, " Sandstone "))</f>
        <v/>
      </c>
      <c r="C599" s="3" t="str">
        <f>IF('Input Sheet'!C601="","",CONCATENATE("Sample ", 'Input Sheet'!B601, "m: ", N599,, L599, K599, " FLUOR in SST. ", "TG ", 'Input Sheet'!I601, "U"))</f>
        <v/>
      </c>
      <c r="H599" s="6" t="str">
        <f>IF('Input Sheet'!C601="","",100-'Input Sheet'!C601)</f>
        <v/>
      </c>
      <c r="I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599" s="6" t="str">
        <f t="shared" si="9"/>
        <v/>
      </c>
      <c r="K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599" s="6" t="str">
        <f>IF('Input Sheet'!F601=0, "NO",CONCATENATE('Input Sheet'!F601, IF('Input Sheet'!F601&gt;0,"% ","")))</f>
        <v>NO</v>
      </c>
      <c r="M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599" s="6" t="str">
        <f>CONCATENATE(M599, IF('Input Sheet'!J601="",""," siderite in "))</f>
        <v/>
      </c>
      <c r="O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599" s="6" t="str">
        <f>CONCATENATE(O599, IF('Input Sheet'!K601="",""," siderite in "))</f>
        <v/>
      </c>
    </row>
    <row r="600" spans="1:16" x14ac:dyDescent="0.25">
      <c r="A600" s="17" t="str">
        <f>IF('Input Sheet'!C602="","",CONCATENATE("Sample ", 'Input Sheet'!B602, "m: ", N600, H600, "% ", "Siltstone, ", P600, 'Input Sheet'!C602, "% ", J600, " Sandstone, ", L600, K600, " FLUOR in SST. ", "TG ", 'Input Sheet'!I602, "U"))</f>
        <v/>
      </c>
      <c r="B600" s="3" t="str">
        <f>IF('Input Sheet'!C602="","",CONCATENATE("Sample ", 'Input Sheet'!B602, "m: ", O600, I600, "% ", "Siltstone, ", Q600, 'Input Sheet'!C602, "% ", K600, " Sandstone "))</f>
        <v/>
      </c>
      <c r="C600" s="3" t="str">
        <f>IF('Input Sheet'!C602="","",CONCATENATE("Sample ", 'Input Sheet'!B602, "m: ", N600,, L600, K600, " FLUOR in SST. ", "TG ", 'Input Sheet'!I602, "U"))</f>
        <v/>
      </c>
      <c r="H600" s="6" t="str">
        <f>IF('Input Sheet'!C602="","",100-'Input Sheet'!C602)</f>
        <v/>
      </c>
      <c r="I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0" s="6" t="str">
        <f t="shared" si="9"/>
        <v/>
      </c>
      <c r="K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0" s="6" t="str">
        <f>IF('Input Sheet'!F602=0, "NO",CONCATENATE('Input Sheet'!F602, IF('Input Sheet'!F602&gt;0,"% ","")))</f>
        <v>NO</v>
      </c>
      <c r="M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0" s="6" t="str">
        <f>CONCATENATE(M600, IF('Input Sheet'!J602="",""," siderite in "))</f>
        <v/>
      </c>
      <c r="O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0" s="6" t="str">
        <f>CONCATENATE(O600, IF('Input Sheet'!K602="",""," siderite in "))</f>
        <v/>
      </c>
    </row>
    <row r="601" spans="1:16" x14ac:dyDescent="0.25">
      <c r="A601" s="17" t="str">
        <f>IF('Input Sheet'!C603="","",CONCATENATE("Sample ", 'Input Sheet'!B603, "m: ", N601, H601, "% ", "Siltstone, ", P601, 'Input Sheet'!C603, "% ", J601, " Sandstone, ", L601, K601, " FLUOR in SST. ", "TG ", 'Input Sheet'!I603, "U"))</f>
        <v/>
      </c>
      <c r="B601" s="3" t="str">
        <f>IF('Input Sheet'!C603="","",CONCATENATE("Sample ", 'Input Sheet'!B603, "m: ", O601, I601, "% ", "Siltstone, ", Q601, 'Input Sheet'!C603, "% ", K601, " Sandstone "))</f>
        <v/>
      </c>
      <c r="C601" s="3" t="str">
        <f>IF('Input Sheet'!C603="","",CONCATENATE("Sample ", 'Input Sheet'!B603, "m: ", N601,, L601, K601, " FLUOR in SST. ", "TG ", 'Input Sheet'!I603, "U"))</f>
        <v/>
      </c>
      <c r="H601" s="6" t="str">
        <f>IF('Input Sheet'!C603="","",100-'Input Sheet'!C603)</f>
        <v/>
      </c>
      <c r="I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1" s="6" t="str">
        <f t="shared" si="9"/>
        <v/>
      </c>
      <c r="K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1" s="6" t="str">
        <f>IF('Input Sheet'!F603=0, "NO",CONCATENATE('Input Sheet'!F603, IF('Input Sheet'!F603&gt;0,"% ","")))</f>
        <v>NO</v>
      </c>
      <c r="M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1" s="6" t="str">
        <f>CONCATENATE(M601, IF('Input Sheet'!J603="",""," siderite in "))</f>
        <v/>
      </c>
      <c r="O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1" s="6" t="str">
        <f>CONCATENATE(O601, IF('Input Sheet'!K603="",""," siderite in "))</f>
        <v/>
      </c>
    </row>
    <row r="602" spans="1:16" x14ac:dyDescent="0.25">
      <c r="A602" s="17" t="str">
        <f>IF('Input Sheet'!C604="","",CONCATENATE("Sample ", 'Input Sheet'!B604, "m: ", N602, H602, "% ", "Siltstone, ", P602, 'Input Sheet'!C604, "% ", J602, " Sandstone, ", L602, K602, " FLUOR in SST. ", "TG ", 'Input Sheet'!I604, "U"))</f>
        <v/>
      </c>
      <c r="B602" s="3" t="str">
        <f>IF('Input Sheet'!C604="","",CONCATENATE("Sample ", 'Input Sheet'!B604, "m: ", O602, I602, "% ", "Siltstone, ", Q602, 'Input Sheet'!C604, "% ", K602, " Sandstone "))</f>
        <v/>
      </c>
      <c r="C602" s="3" t="str">
        <f>IF('Input Sheet'!C604="","",CONCATENATE("Sample ", 'Input Sheet'!B604, "m: ", N602,, L602, K602, " FLUOR in SST. ", "TG ", 'Input Sheet'!I604, "U"))</f>
        <v/>
      </c>
      <c r="H602" s="6" t="str">
        <f>IF('Input Sheet'!C604="","",100-'Input Sheet'!C604)</f>
        <v/>
      </c>
      <c r="I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2" s="6" t="str">
        <f t="shared" si="9"/>
        <v/>
      </c>
      <c r="K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2" s="6" t="str">
        <f>IF('Input Sheet'!F604=0, "NO",CONCATENATE('Input Sheet'!F604, IF('Input Sheet'!F604&gt;0,"% ","")))</f>
        <v>NO</v>
      </c>
      <c r="M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2" s="6" t="str">
        <f>CONCATENATE(M602, IF('Input Sheet'!J604="",""," siderite in "))</f>
        <v/>
      </c>
      <c r="O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2" s="6" t="str">
        <f>CONCATENATE(O602, IF('Input Sheet'!K604="",""," siderite in "))</f>
        <v/>
      </c>
    </row>
    <row r="603" spans="1:16" x14ac:dyDescent="0.25">
      <c r="A603" s="17" t="str">
        <f>IF('Input Sheet'!C605="","",CONCATENATE("Sample ", 'Input Sheet'!B605, "m: ", N603, H603, "% ", "Siltstone, ", P603, 'Input Sheet'!C605, "% ", J603, " Sandstone, ", L603, K603, " FLUOR in SST. ", "TG ", 'Input Sheet'!I605, "U"))</f>
        <v/>
      </c>
      <c r="B603" s="3" t="str">
        <f>IF('Input Sheet'!C605="","",CONCATENATE("Sample ", 'Input Sheet'!B605, "m: ", O603, I603, "% ", "Siltstone, ", Q603, 'Input Sheet'!C605, "% ", K603, " Sandstone "))</f>
        <v/>
      </c>
      <c r="C603" s="3" t="str">
        <f>IF('Input Sheet'!C605="","",CONCATENATE("Sample ", 'Input Sheet'!B605, "m: ", N603,, L603, K603, " FLUOR in SST. ", "TG ", 'Input Sheet'!I605, "U"))</f>
        <v/>
      </c>
      <c r="H603" s="6" t="str">
        <f>IF('Input Sheet'!C605="","",100-'Input Sheet'!C605)</f>
        <v/>
      </c>
      <c r="I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3" s="6" t="str">
        <f t="shared" si="9"/>
        <v/>
      </c>
      <c r="K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3" s="6" t="str">
        <f>IF('Input Sheet'!F605=0, "NO",CONCATENATE('Input Sheet'!F605, IF('Input Sheet'!F605&gt;0,"% ","")))</f>
        <v>NO</v>
      </c>
      <c r="M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3" s="6" t="str">
        <f>CONCATENATE(M603, IF('Input Sheet'!J605="",""," siderite in "))</f>
        <v/>
      </c>
      <c r="O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3" s="6" t="str">
        <f>CONCATENATE(O603, IF('Input Sheet'!K605="",""," siderite in "))</f>
        <v/>
      </c>
    </row>
    <row r="604" spans="1:16" x14ac:dyDescent="0.25">
      <c r="A604" s="17" t="str">
        <f>IF('Input Sheet'!C606="","",CONCATENATE("Sample ", 'Input Sheet'!B606, "m: ", N604, H604, "% ", "Siltstone, ", P604, 'Input Sheet'!C606, "% ", J604, " Sandstone, ", L604, K604, " FLUOR in SST. ", "TG ", 'Input Sheet'!I606, "U"))</f>
        <v/>
      </c>
      <c r="B604" s="3" t="str">
        <f>IF('Input Sheet'!C606="","",CONCATENATE("Sample ", 'Input Sheet'!B606, "m: ", O604, I604, "% ", "Siltstone, ", Q604, 'Input Sheet'!C606, "% ", K604, " Sandstone "))</f>
        <v/>
      </c>
      <c r="C604" s="3" t="str">
        <f>IF('Input Sheet'!C606="","",CONCATENATE("Sample ", 'Input Sheet'!B606, "m: ", N604,, L604, K604, " FLUOR in SST. ", "TG ", 'Input Sheet'!I606, "U"))</f>
        <v/>
      </c>
      <c r="H604" s="6" t="str">
        <f>IF('Input Sheet'!C606="","",100-'Input Sheet'!C606)</f>
        <v/>
      </c>
      <c r="I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4" s="6" t="str">
        <f t="shared" si="9"/>
        <v/>
      </c>
      <c r="K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4" s="6" t="str">
        <f>IF('Input Sheet'!F606=0, "NO",CONCATENATE('Input Sheet'!F606, IF('Input Sheet'!F606&gt;0,"% ","")))</f>
        <v>NO</v>
      </c>
      <c r="M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4" s="6" t="str">
        <f>CONCATENATE(M604, IF('Input Sheet'!J606="",""," siderite in "))</f>
        <v/>
      </c>
      <c r="O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4" s="6" t="str">
        <f>CONCATENATE(O604, IF('Input Sheet'!K606="",""," siderite in "))</f>
        <v/>
      </c>
    </row>
    <row r="605" spans="1:16" x14ac:dyDescent="0.25">
      <c r="A605" s="17" t="str">
        <f>IF('Input Sheet'!C607="","",CONCATENATE("Sample ", 'Input Sheet'!B607, "m: ", N605, H605, "% ", "Siltstone, ", P605, 'Input Sheet'!C607, "% ", J605, " Sandstone, ", L605, K605, " FLUOR in SST. ", "TG ", 'Input Sheet'!I607, "U"))</f>
        <v/>
      </c>
      <c r="B605" s="3" t="str">
        <f>IF('Input Sheet'!C607="","",CONCATENATE("Sample ", 'Input Sheet'!B607, "m: ", O605, I605, "% ", "Siltstone, ", Q605, 'Input Sheet'!C607, "% ", K605, " Sandstone "))</f>
        <v/>
      </c>
      <c r="C605" s="3" t="str">
        <f>IF('Input Sheet'!C607="","",CONCATENATE("Sample ", 'Input Sheet'!B607, "m: ", N605,, L605, K605, " FLUOR in SST. ", "TG ", 'Input Sheet'!I607, "U"))</f>
        <v/>
      </c>
      <c r="H605" s="6" t="str">
        <f>IF('Input Sheet'!C607="","",100-'Input Sheet'!C607)</f>
        <v/>
      </c>
      <c r="I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5" s="6" t="str">
        <f t="shared" si="9"/>
        <v/>
      </c>
      <c r="K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5" s="6" t="str">
        <f>IF('Input Sheet'!F607=0, "NO",CONCATENATE('Input Sheet'!F607, IF('Input Sheet'!F607&gt;0,"% ","")))</f>
        <v>NO</v>
      </c>
      <c r="M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5" s="6" t="str">
        <f>CONCATENATE(M605, IF('Input Sheet'!J607="",""," siderite in "))</f>
        <v/>
      </c>
      <c r="O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5" s="6" t="str">
        <f>CONCATENATE(O605, IF('Input Sheet'!K607="",""," siderite in "))</f>
        <v/>
      </c>
    </row>
    <row r="606" spans="1:16" x14ac:dyDescent="0.25">
      <c r="A606" s="17" t="str">
        <f>IF('Input Sheet'!C608="","",CONCATENATE("Sample ", 'Input Sheet'!B608, "m: ", N606, H606, "% ", "Siltstone, ", P606, 'Input Sheet'!C608, "% ", J606, " Sandstone, ", L606, K606, " FLUOR in SST. ", "TG ", 'Input Sheet'!I608, "U"))</f>
        <v/>
      </c>
      <c r="B606" s="3" t="str">
        <f>IF('Input Sheet'!C608="","",CONCATENATE("Sample ", 'Input Sheet'!B608, "m: ", O606, I606, "% ", "Siltstone, ", Q606, 'Input Sheet'!C608, "% ", K606, " Sandstone "))</f>
        <v/>
      </c>
      <c r="C606" s="3" t="str">
        <f>IF('Input Sheet'!C608="","",CONCATENATE("Sample ", 'Input Sheet'!B608, "m: ", N606,, L606, K606, " FLUOR in SST. ", "TG ", 'Input Sheet'!I608, "U"))</f>
        <v/>
      </c>
      <c r="H606" s="6" t="str">
        <f>IF('Input Sheet'!C608="","",100-'Input Sheet'!C608)</f>
        <v/>
      </c>
      <c r="I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6" s="6" t="str">
        <f t="shared" si="9"/>
        <v/>
      </c>
      <c r="K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6" s="6" t="str">
        <f>IF('Input Sheet'!F608=0, "NO",CONCATENATE('Input Sheet'!F608, IF('Input Sheet'!F608&gt;0,"% ","")))</f>
        <v>NO</v>
      </c>
      <c r="M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6" s="6" t="str">
        <f>CONCATENATE(M606, IF('Input Sheet'!J608="",""," siderite in "))</f>
        <v/>
      </c>
      <c r="O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6" s="6" t="str">
        <f>CONCATENATE(O606, IF('Input Sheet'!K608="",""," siderite in "))</f>
        <v/>
      </c>
    </row>
    <row r="607" spans="1:16" x14ac:dyDescent="0.25">
      <c r="A607" s="17" t="str">
        <f>IF('Input Sheet'!C609="","",CONCATENATE("Sample ", 'Input Sheet'!B609, "m: ", N607, H607, "% ", "Siltstone, ", P607, 'Input Sheet'!C609, "% ", J607, " Sandstone, ", L607, K607, " FLUOR in SST. ", "TG ", 'Input Sheet'!I609, "U"))</f>
        <v/>
      </c>
      <c r="B607" s="3" t="str">
        <f>IF('Input Sheet'!C609="","",CONCATENATE("Sample ", 'Input Sheet'!B609, "m: ", O607, I607, "% ", "Siltstone, ", Q607, 'Input Sheet'!C609, "% ", K607, " Sandstone "))</f>
        <v/>
      </c>
      <c r="C607" s="3" t="str">
        <f>IF('Input Sheet'!C609="","",CONCATENATE("Sample ", 'Input Sheet'!B609, "m: ", N607,, L607, K607, " FLUOR in SST. ", "TG ", 'Input Sheet'!I609, "U"))</f>
        <v/>
      </c>
      <c r="H607" s="6" t="str">
        <f>IF('Input Sheet'!C609="","",100-'Input Sheet'!C609)</f>
        <v/>
      </c>
      <c r="I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7" s="6" t="str">
        <f t="shared" si="9"/>
        <v/>
      </c>
      <c r="K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7" s="6" t="str">
        <f>IF('Input Sheet'!F609=0, "NO",CONCATENATE('Input Sheet'!F609, IF('Input Sheet'!F609&gt;0,"% ","")))</f>
        <v>NO</v>
      </c>
      <c r="M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7" s="6" t="str">
        <f>CONCATENATE(M607, IF('Input Sheet'!J609="",""," siderite in "))</f>
        <v/>
      </c>
      <c r="O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7" s="6" t="str">
        <f>CONCATENATE(O607, IF('Input Sheet'!K609="",""," siderite in "))</f>
        <v/>
      </c>
    </row>
    <row r="608" spans="1:16" x14ac:dyDescent="0.25">
      <c r="A608" s="17" t="str">
        <f>IF('Input Sheet'!C610="","",CONCATENATE("Sample ", 'Input Sheet'!B610, "m: ", N608, H608, "% ", "Siltstone, ", P608, 'Input Sheet'!C610, "% ", J608, " Sandstone, ", L608, K608, " FLUOR in SST. ", "TG ", 'Input Sheet'!I610, "U"))</f>
        <v/>
      </c>
      <c r="B608" s="3" t="str">
        <f>IF('Input Sheet'!C610="","",CONCATENATE("Sample ", 'Input Sheet'!B610, "m: ", O608, I608, "% ", "Siltstone, ", Q608, 'Input Sheet'!C610, "% ", K608, " Sandstone "))</f>
        <v/>
      </c>
      <c r="C608" s="3" t="str">
        <f>IF('Input Sheet'!C610="","",CONCATENATE("Sample ", 'Input Sheet'!B610, "m: ", N608,, L608, K608, " FLUOR in SST. ", "TG ", 'Input Sheet'!I610, "U"))</f>
        <v/>
      </c>
      <c r="H608" s="6" t="str">
        <f>IF('Input Sheet'!C610="","",100-'Input Sheet'!C610)</f>
        <v/>
      </c>
      <c r="I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8" s="6" t="str">
        <f t="shared" si="9"/>
        <v/>
      </c>
      <c r="K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8" s="6" t="str">
        <f>IF('Input Sheet'!F610=0, "NO",CONCATENATE('Input Sheet'!F610, IF('Input Sheet'!F610&gt;0,"% ","")))</f>
        <v>NO</v>
      </c>
      <c r="M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8" s="6" t="str">
        <f>CONCATENATE(M608, IF('Input Sheet'!J610="",""," siderite in "))</f>
        <v/>
      </c>
      <c r="O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8" s="6" t="str">
        <f>CONCATENATE(O608, IF('Input Sheet'!K610="",""," siderite in "))</f>
        <v/>
      </c>
    </row>
    <row r="609" spans="1:16" x14ac:dyDescent="0.25">
      <c r="A609" s="17" t="str">
        <f>IF('Input Sheet'!C611="","",CONCATENATE("Sample ", 'Input Sheet'!B611, "m: ", N609, H609, "% ", "Siltstone, ", P609, 'Input Sheet'!C611, "% ", J609, " Sandstone, ", L609, K609, " FLUOR in SST. ", "TG ", 'Input Sheet'!I611, "U"))</f>
        <v/>
      </c>
      <c r="B609" s="3" t="str">
        <f>IF('Input Sheet'!C611="","",CONCATENATE("Sample ", 'Input Sheet'!B611, "m: ", O609, I609, "% ", "Siltstone, ", Q609, 'Input Sheet'!C611, "% ", K609, " Sandstone "))</f>
        <v/>
      </c>
      <c r="C609" s="3" t="str">
        <f>IF('Input Sheet'!C611="","",CONCATENATE("Sample ", 'Input Sheet'!B611, "m: ", N609,, L609, K609, " FLUOR in SST. ", "TG ", 'Input Sheet'!I611, "U"))</f>
        <v/>
      </c>
      <c r="H609" s="6" t="str">
        <f>IF('Input Sheet'!C611="","",100-'Input Sheet'!C611)</f>
        <v/>
      </c>
      <c r="I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09" s="6" t="str">
        <f t="shared" si="9"/>
        <v/>
      </c>
      <c r="K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09" s="6" t="str">
        <f>IF('Input Sheet'!F611=0, "NO",CONCATENATE('Input Sheet'!F611, IF('Input Sheet'!F611&gt;0,"% ","")))</f>
        <v>NO</v>
      </c>
      <c r="M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09" s="6" t="str">
        <f>CONCATENATE(M609, IF('Input Sheet'!J611="",""," siderite in "))</f>
        <v/>
      </c>
      <c r="O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09" s="6" t="str">
        <f>CONCATENATE(O609, IF('Input Sheet'!K611="",""," siderite in "))</f>
        <v/>
      </c>
    </row>
    <row r="610" spans="1:16" x14ac:dyDescent="0.25">
      <c r="A610" s="17" t="str">
        <f>IF('Input Sheet'!C612="","",CONCATENATE("Sample ", 'Input Sheet'!B612, "m: ", N610, H610, "% ", "Siltstone, ", P610, 'Input Sheet'!C612, "% ", J610, " Sandstone, ", L610, K610, " FLUOR in SST. ", "TG ", 'Input Sheet'!I612, "U"))</f>
        <v/>
      </c>
      <c r="B610" s="3" t="str">
        <f>IF('Input Sheet'!C612="","",CONCATENATE("Sample ", 'Input Sheet'!B612, "m: ", O610, I610, "% ", "Siltstone, ", Q610, 'Input Sheet'!C612, "% ", K610, " Sandstone "))</f>
        <v/>
      </c>
      <c r="C610" s="3" t="str">
        <f>IF('Input Sheet'!C612="","",CONCATENATE("Sample ", 'Input Sheet'!B612, "m: ", N610,, L610, K610, " FLUOR in SST. ", "TG ", 'Input Sheet'!I612, "U"))</f>
        <v/>
      </c>
      <c r="H610" s="6" t="str">
        <f>IF('Input Sheet'!C612="","",100-'Input Sheet'!C612)</f>
        <v/>
      </c>
      <c r="I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0" s="6" t="str">
        <f t="shared" si="9"/>
        <v/>
      </c>
      <c r="K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0" s="6" t="str">
        <f>IF('Input Sheet'!F612=0, "NO",CONCATENATE('Input Sheet'!F612, IF('Input Sheet'!F612&gt;0,"% ","")))</f>
        <v>NO</v>
      </c>
      <c r="M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0" s="6" t="str">
        <f>CONCATENATE(M610, IF('Input Sheet'!J612="",""," siderite in "))</f>
        <v/>
      </c>
      <c r="O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0" s="6" t="str">
        <f>CONCATENATE(O610, IF('Input Sheet'!K612="",""," siderite in "))</f>
        <v/>
      </c>
    </row>
    <row r="611" spans="1:16" x14ac:dyDescent="0.25">
      <c r="A611" s="17" t="str">
        <f>IF('Input Sheet'!C613="","",CONCATENATE("Sample ", 'Input Sheet'!B613, "m: ", N611, H611, "% ", "Siltstone, ", P611, 'Input Sheet'!C613, "% ", J611, " Sandstone, ", L611, K611, " FLUOR in SST. ", "TG ", 'Input Sheet'!I613, "U"))</f>
        <v/>
      </c>
      <c r="B611" s="3" t="str">
        <f>IF('Input Sheet'!C613="","",CONCATENATE("Sample ", 'Input Sheet'!B613, "m: ", O611, I611, "% ", "Siltstone, ", Q611, 'Input Sheet'!C613, "% ", K611, " Sandstone "))</f>
        <v/>
      </c>
      <c r="C611" s="3" t="str">
        <f>IF('Input Sheet'!C613="","",CONCATENATE("Sample ", 'Input Sheet'!B613, "m: ", N611,, L611, K611, " FLUOR in SST. ", "TG ", 'Input Sheet'!I613, "U"))</f>
        <v/>
      </c>
      <c r="H611" s="6" t="str">
        <f>IF('Input Sheet'!C613="","",100-'Input Sheet'!C613)</f>
        <v/>
      </c>
      <c r="I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1" s="6" t="str">
        <f t="shared" si="9"/>
        <v/>
      </c>
      <c r="K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1" s="6" t="str">
        <f>IF('Input Sheet'!F613=0, "NO",CONCATENATE('Input Sheet'!F613, IF('Input Sheet'!F613&gt;0,"% ","")))</f>
        <v>NO</v>
      </c>
      <c r="M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1" s="6" t="str">
        <f>CONCATENATE(M611, IF('Input Sheet'!J613="",""," siderite in "))</f>
        <v/>
      </c>
      <c r="O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1" s="6" t="str">
        <f>CONCATENATE(O611, IF('Input Sheet'!K613="",""," siderite in "))</f>
        <v/>
      </c>
    </row>
    <row r="612" spans="1:16" x14ac:dyDescent="0.25">
      <c r="A612" s="17" t="str">
        <f>IF('Input Sheet'!C614="","",CONCATENATE("Sample ", 'Input Sheet'!B614, "m: ", N612, H612, "% ", "Siltstone, ", P612, 'Input Sheet'!C614, "% ", J612, " Sandstone, ", L612, K612, " FLUOR in SST. ", "TG ", 'Input Sheet'!I614, "U"))</f>
        <v/>
      </c>
      <c r="B612" s="3" t="str">
        <f>IF('Input Sheet'!C614="","",CONCATENATE("Sample ", 'Input Sheet'!B614, "m: ", O612, I612, "% ", "Siltstone, ", Q612, 'Input Sheet'!C614, "% ", K612, " Sandstone "))</f>
        <v/>
      </c>
      <c r="C612" s="3" t="str">
        <f>IF('Input Sheet'!C614="","",CONCATENATE("Sample ", 'Input Sheet'!B614, "m: ", N612,, L612, K612, " FLUOR in SST. ", "TG ", 'Input Sheet'!I614, "U"))</f>
        <v/>
      </c>
      <c r="H612" s="6" t="str">
        <f>IF('Input Sheet'!C614="","",100-'Input Sheet'!C614)</f>
        <v/>
      </c>
      <c r="I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2" s="6" t="str">
        <f t="shared" si="9"/>
        <v/>
      </c>
      <c r="K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2" s="6" t="str">
        <f>IF('Input Sheet'!F614=0, "NO",CONCATENATE('Input Sheet'!F614, IF('Input Sheet'!F614&gt;0,"% ","")))</f>
        <v>NO</v>
      </c>
      <c r="M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2" s="6" t="str">
        <f>CONCATENATE(M612, IF('Input Sheet'!J614="",""," siderite in "))</f>
        <v/>
      </c>
      <c r="O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2" s="6" t="str">
        <f>CONCATENATE(O612, IF('Input Sheet'!K614="",""," siderite in "))</f>
        <v/>
      </c>
    </row>
    <row r="613" spans="1:16" x14ac:dyDescent="0.25">
      <c r="A613" s="17" t="str">
        <f>IF('Input Sheet'!C615="","",CONCATENATE("Sample ", 'Input Sheet'!B615, "m: ", N613, H613, "% ", "Siltstone, ", P613, 'Input Sheet'!C615, "% ", J613, " Sandstone, ", L613, K613, " FLUOR in SST. ", "TG ", 'Input Sheet'!I615, "U"))</f>
        <v/>
      </c>
      <c r="B613" s="3" t="str">
        <f>IF('Input Sheet'!C615="","",CONCATENATE("Sample ", 'Input Sheet'!B615, "m: ", O613, I613, "% ", "Siltstone, ", Q613, 'Input Sheet'!C615, "% ", K613, " Sandstone "))</f>
        <v/>
      </c>
      <c r="C613" s="3" t="str">
        <f>IF('Input Sheet'!C615="","",CONCATENATE("Sample ", 'Input Sheet'!B615, "m: ", N613,, L613, K613, " FLUOR in SST. ", "TG ", 'Input Sheet'!I615, "U"))</f>
        <v/>
      </c>
      <c r="H613" s="6" t="str">
        <f>IF('Input Sheet'!C615="","",100-'Input Sheet'!C615)</f>
        <v/>
      </c>
      <c r="I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3" s="6" t="str">
        <f t="shared" si="9"/>
        <v/>
      </c>
      <c r="K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3" s="6" t="str">
        <f>IF('Input Sheet'!F615=0, "NO",CONCATENATE('Input Sheet'!F615, IF('Input Sheet'!F615&gt;0,"% ","")))</f>
        <v>NO</v>
      </c>
      <c r="M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3" s="6" t="str">
        <f>CONCATENATE(M613, IF('Input Sheet'!J615="",""," siderite in "))</f>
        <v/>
      </c>
      <c r="O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3" s="6" t="str">
        <f>CONCATENATE(O613, IF('Input Sheet'!K615="",""," siderite in "))</f>
        <v/>
      </c>
    </row>
    <row r="614" spans="1:16" x14ac:dyDescent="0.25">
      <c r="A614" s="17" t="str">
        <f>IF('Input Sheet'!C616="","",CONCATENATE("Sample ", 'Input Sheet'!B616, "m: ", N614, H614, "% ", "Siltstone, ", P614, 'Input Sheet'!C616, "% ", J614, " Sandstone, ", L614, K614, " FLUOR in SST. ", "TG ", 'Input Sheet'!I616, "U"))</f>
        <v/>
      </c>
      <c r="B614" s="3" t="str">
        <f>IF('Input Sheet'!C616="","",CONCATENATE("Sample ", 'Input Sheet'!B616, "m: ", O614, I614, "% ", "Siltstone, ", Q614, 'Input Sheet'!C616, "% ", K614, " Sandstone "))</f>
        <v/>
      </c>
      <c r="C614" s="3" t="str">
        <f>IF('Input Sheet'!C616="","",CONCATENATE("Sample ", 'Input Sheet'!B616, "m: ", N614,, L614, K614, " FLUOR in SST. ", "TG ", 'Input Sheet'!I616, "U"))</f>
        <v/>
      </c>
      <c r="H614" s="6" t="str">
        <f>IF('Input Sheet'!C616="","",100-'Input Sheet'!C616)</f>
        <v/>
      </c>
      <c r="I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4" s="6" t="str">
        <f t="shared" si="9"/>
        <v/>
      </c>
      <c r="K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4" s="6" t="str">
        <f>IF('Input Sheet'!F616=0, "NO",CONCATENATE('Input Sheet'!F616, IF('Input Sheet'!F616&gt;0,"% ","")))</f>
        <v>NO</v>
      </c>
      <c r="M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4" s="6" t="str">
        <f>CONCATENATE(M614, IF('Input Sheet'!J616="",""," siderite in "))</f>
        <v/>
      </c>
      <c r="O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4" s="6" t="str">
        <f>CONCATENATE(O614, IF('Input Sheet'!K616="",""," siderite in "))</f>
        <v/>
      </c>
    </row>
    <row r="615" spans="1:16" x14ac:dyDescent="0.25">
      <c r="A615" s="17" t="str">
        <f>IF('Input Sheet'!C617="","",CONCATENATE("Sample ", 'Input Sheet'!B617, "m: ", N615, H615, "% ", "Siltstone, ", P615, 'Input Sheet'!C617, "% ", J615, " Sandstone, ", L615, K615, " FLUOR in SST. ", "TG ", 'Input Sheet'!I617, "U"))</f>
        <v/>
      </c>
      <c r="B615" s="3" t="str">
        <f>IF('Input Sheet'!C617="","",CONCATENATE("Sample ", 'Input Sheet'!B617, "m: ", O615, I615, "% ", "Siltstone, ", Q615, 'Input Sheet'!C617, "% ", K615, " Sandstone "))</f>
        <v/>
      </c>
      <c r="C615" s="3" t="str">
        <f>IF('Input Sheet'!C617="","",CONCATENATE("Sample ", 'Input Sheet'!B617, "m: ", N615,, L615, K615, " FLUOR in SST. ", "TG ", 'Input Sheet'!I617, "U"))</f>
        <v/>
      </c>
      <c r="H615" s="6" t="str">
        <f>IF('Input Sheet'!C617="","",100-'Input Sheet'!C617)</f>
        <v/>
      </c>
      <c r="I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5" s="6" t="str">
        <f t="shared" si="9"/>
        <v/>
      </c>
      <c r="K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5" s="6" t="str">
        <f>IF('Input Sheet'!F617=0, "NO",CONCATENATE('Input Sheet'!F617, IF('Input Sheet'!F617&gt;0,"% ","")))</f>
        <v>NO</v>
      </c>
      <c r="M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5" s="6" t="str">
        <f>CONCATENATE(M615, IF('Input Sheet'!J617="",""," siderite in "))</f>
        <v/>
      </c>
      <c r="O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5" s="6" t="str">
        <f>CONCATENATE(O615, IF('Input Sheet'!K617="",""," siderite in "))</f>
        <v/>
      </c>
    </row>
    <row r="616" spans="1:16" x14ac:dyDescent="0.25">
      <c r="A616" s="17" t="str">
        <f>IF('Input Sheet'!C618="","",CONCATENATE("Sample ", 'Input Sheet'!B618, "m: ", N616, H616, "% ", "Siltstone, ", P616, 'Input Sheet'!C618, "% ", J616, " Sandstone, ", L616, K616, " FLUOR in SST. ", "TG ", 'Input Sheet'!I618, "U"))</f>
        <v/>
      </c>
      <c r="B616" s="3" t="str">
        <f>IF('Input Sheet'!C618="","",CONCATENATE("Sample ", 'Input Sheet'!B618, "m: ", O616, I616, "% ", "Siltstone, ", Q616, 'Input Sheet'!C618, "% ", K616, " Sandstone "))</f>
        <v/>
      </c>
      <c r="C616" s="3" t="str">
        <f>IF('Input Sheet'!C618="","",CONCATENATE("Sample ", 'Input Sheet'!B618, "m: ", N616,, L616, K616, " FLUOR in SST. ", "TG ", 'Input Sheet'!I618, "U"))</f>
        <v/>
      </c>
      <c r="H616" s="6" t="str">
        <f>IF('Input Sheet'!C618="","",100-'Input Sheet'!C618)</f>
        <v/>
      </c>
      <c r="I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6" s="6" t="str">
        <f t="shared" si="9"/>
        <v/>
      </c>
      <c r="K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6" s="6" t="str">
        <f>IF('Input Sheet'!F618=0, "NO",CONCATENATE('Input Sheet'!F618, IF('Input Sheet'!F618&gt;0,"% ","")))</f>
        <v>NO</v>
      </c>
      <c r="M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6" s="6" t="str">
        <f>CONCATENATE(M616, IF('Input Sheet'!J618="",""," siderite in "))</f>
        <v/>
      </c>
      <c r="O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6" s="6" t="str">
        <f>CONCATENATE(O616, IF('Input Sheet'!K618="",""," siderite in "))</f>
        <v/>
      </c>
    </row>
    <row r="617" spans="1:16" x14ac:dyDescent="0.25">
      <c r="A617" s="17" t="str">
        <f>IF('Input Sheet'!C619="","",CONCATENATE("Sample ", 'Input Sheet'!B619, "m: ", N617, H617, "% ", "Siltstone, ", P617, 'Input Sheet'!C619, "% ", J617, " Sandstone, ", L617, K617, " FLUOR in SST. ", "TG ", 'Input Sheet'!I619, "U"))</f>
        <v/>
      </c>
      <c r="B617" s="3" t="str">
        <f>IF('Input Sheet'!C619="","",CONCATENATE("Sample ", 'Input Sheet'!B619, "m: ", O617, I617, "% ", "Siltstone, ", Q617, 'Input Sheet'!C619, "% ", K617, " Sandstone "))</f>
        <v/>
      </c>
      <c r="C617" s="3" t="str">
        <f>IF('Input Sheet'!C619="","",CONCATENATE("Sample ", 'Input Sheet'!B619, "m: ", N617,, L617, K617, " FLUOR in SST. ", "TG ", 'Input Sheet'!I619, "U"))</f>
        <v/>
      </c>
      <c r="H617" s="6" t="str">
        <f>IF('Input Sheet'!C619="","",100-'Input Sheet'!C619)</f>
        <v/>
      </c>
      <c r="I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7" s="6" t="str">
        <f t="shared" si="9"/>
        <v/>
      </c>
      <c r="K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7" s="6" t="str">
        <f>IF('Input Sheet'!F619=0, "NO",CONCATENATE('Input Sheet'!F619, IF('Input Sheet'!F619&gt;0,"% ","")))</f>
        <v>NO</v>
      </c>
      <c r="M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7" s="6" t="str">
        <f>CONCATENATE(M617, IF('Input Sheet'!J619="",""," siderite in "))</f>
        <v/>
      </c>
      <c r="O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7" s="6" t="str">
        <f>CONCATENATE(O617, IF('Input Sheet'!K619="",""," siderite in "))</f>
        <v/>
      </c>
    </row>
    <row r="618" spans="1:16" x14ac:dyDescent="0.25">
      <c r="A618" s="17" t="str">
        <f>IF('Input Sheet'!C620="","",CONCATENATE("Sample ", 'Input Sheet'!B620, "m: ", N618, H618, "% ", "Siltstone, ", P618, 'Input Sheet'!C620, "% ", J618, " Sandstone, ", L618, K618, " FLUOR in SST. ", "TG ", 'Input Sheet'!I620, "U"))</f>
        <v/>
      </c>
      <c r="B618" s="3" t="str">
        <f>IF('Input Sheet'!C620="","",CONCATENATE("Sample ", 'Input Sheet'!B620, "m: ", O618, I618, "% ", "Siltstone, ", Q618, 'Input Sheet'!C620, "% ", K618, " Sandstone "))</f>
        <v/>
      </c>
      <c r="C618" s="3" t="str">
        <f>IF('Input Sheet'!C620="","",CONCATENATE("Sample ", 'Input Sheet'!B620, "m: ", N618,, L618, K618, " FLUOR in SST. ", "TG ", 'Input Sheet'!I620, "U"))</f>
        <v/>
      </c>
      <c r="H618" s="6" t="str">
        <f>IF('Input Sheet'!C620="","",100-'Input Sheet'!C620)</f>
        <v/>
      </c>
      <c r="I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8" s="6" t="str">
        <f t="shared" si="9"/>
        <v/>
      </c>
      <c r="K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8" s="6" t="str">
        <f>IF('Input Sheet'!F620=0, "NO",CONCATENATE('Input Sheet'!F620, IF('Input Sheet'!F620&gt;0,"% ","")))</f>
        <v>NO</v>
      </c>
      <c r="M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8" s="6" t="str">
        <f>CONCATENATE(M618, IF('Input Sheet'!J620="",""," siderite in "))</f>
        <v/>
      </c>
      <c r="O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8" s="6" t="str">
        <f>CONCATENATE(O618, IF('Input Sheet'!K620="",""," siderite in "))</f>
        <v/>
      </c>
    </row>
    <row r="619" spans="1:16" x14ac:dyDescent="0.25">
      <c r="A619" s="17" t="str">
        <f>IF('Input Sheet'!C621="","",CONCATENATE("Sample ", 'Input Sheet'!B621, "m: ", N619, H619, "% ", "Siltstone, ", P619, 'Input Sheet'!C621, "% ", J619, " Sandstone, ", L619, K619, " FLUOR in SST. ", "TG ", 'Input Sheet'!I621, "U"))</f>
        <v/>
      </c>
      <c r="B619" s="3" t="str">
        <f>IF('Input Sheet'!C621="","",CONCATENATE("Sample ", 'Input Sheet'!B621, "m: ", O619, I619, "% ", "Siltstone, ", Q619, 'Input Sheet'!C621, "% ", K619, " Sandstone "))</f>
        <v/>
      </c>
      <c r="C619" s="3" t="str">
        <f>IF('Input Sheet'!C621="","",CONCATENATE("Sample ", 'Input Sheet'!B621, "m: ", N619,, L619, K619, " FLUOR in SST. ", "TG ", 'Input Sheet'!I621, "U"))</f>
        <v/>
      </c>
      <c r="H619" s="6" t="str">
        <f>IF('Input Sheet'!C621="","",100-'Input Sheet'!C621)</f>
        <v/>
      </c>
      <c r="I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19" s="6" t="str">
        <f t="shared" si="9"/>
        <v/>
      </c>
      <c r="K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19" s="6" t="str">
        <f>IF('Input Sheet'!F621=0, "NO",CONCATENATE('Input Sheet'!F621, IF('Input Sheet'!F621&gt;0,"% ","")))</f>
        <v>NO</v>
      </c>
      <c r="M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19" s="6" t="str">
        <f>CONCATENATE(M619, IF('Input Sheet'!J621="",""," siderite in "))</f>
        <v/>
      </c>
      <c r="O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19" s="6" t="str">
        <f>CONCATENATE(O619, IF('Input Sheet'!K621="",""," siderite in "))</f>
        <v/>
      </c>
    </row>
    <row r="620" spans="1:16" x14ac:dyDescent="0.25">
      <c r="A620" s="17" t="str">
        <f>IF('Input Sheet'!C622="","",CONCATENATE("Sample ", 'Input Sheet'!B622, "m: ", N620, H620, "% ", "Siltstone, ", P620, 'Input Sheet'!C622, "% ", J620, " Sandstone, ", L620, K620, " FLUOR in SST. ", "TG ", 'Input Sheet'!I622, "U"))</f>
        <v/>
      </c>
      <c r="B620" s="3" t="str">
        <f>IF('Input Sheet'!C622="","",CONCATENATE("Sample ", 'Input Sheet'!B622, "m: ", O620, I620, "% ", "Siltstone, ", Q620, 'Input Sheet'!C622, "% ", K620, " Sandstone "))</f>
        <v/>
      </c>
      <c r="C620" s="3" t="str">
        <f>IF('Input Sheet'!C622="","",CONCATENATE("Sample ", 'Input Sheet'!B622, "m: ", N620,, L620, K620, " FLUOR in SST. ", "TG ", 'Input Sheet'!I622, "U"))</f>
        <v/>
      </c>
      <c r="H620" s="6" t="str">
        <f>IF('Input Sheet'!C622="","",100-'Input Sheet'!C622)</f>
        <v/>
      </c>
      <c r="I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0" s="6" t="str">
        <f t="shared" si="9"/>
        <v/>
      </c>
      <c r="K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0" s="6" t="str">
        <f>IF('Input Sheet'!F622=0, "NO",CONCATENATE('Input Sheet'!F622, IF('Input Sheet'!F622&gt;0,"% ","")))</f>
        <v>NO</v>
      </c>
      <c r="M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0" s="6" t="str">
        <f>CONCATENATE(M620, IF('Input Sheet'!J622="",""," siderite in "))</f>
        <v/>
      </c>
      <c r="O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0" s="6" t="str">
        <f>CONCATENATE(O620, IF('Input Sheet'!K622="",""," siderite in "))</f>
        <v/>
      </c>
    </row>
    <row r="621" spans="1:16" x14ac:dyDescent="0.25">
      <c r="A621" s="17" t="str">
        <f>IF('Input Sheet'!C623="","",CONCATENATE("Sample ", 'Input Sheet'!B623, "m: ", N621, H621, "% ", "Siltstone, ", P621, 'Input Sheet'!C623, "% ", J621, " Sandstone, ", L621, K621, " FLUOR in SST. ", "TG ", 'Input Sheet'!I623, "U"))</f>
        <v/>
      </c>
      <c r="B621" s="3" t="str">
        <f>IF('Input Sheet'!C623="","",CONCATENATE("Sample ", 'Input Sheet'!B623, "m: ", O621, I621, "% ", "Siltstone, ", Q621, 'Input Sheet'!C623, "% ", K621, " Sandstone "))</f>
        <v/>
      </c>
      <c r="C621" s="3" t="str">
        <f>IF('Input Sheet'!C623="","",CONCATENATE("Sample ", 'Input Sheet'!B623, "m: ", N621,, L621, K621, " FLUOR in SST. ", "TG ", 'Input Sheet'!I623, "U"))</f>
        <v/>
      </c>
      <c r="H621" s="6" t="str">
        <f>IF('Input Sheet'!C623="","",100-'Input Sheet'!C623)</f>
        <v/>
      </c>
      <c r="I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1" s="6" t="str">
        <f t="shared" si="9"/>
        <v/>
      </c>
      <c r="K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1" s="6" t="str">
        <f>IF('Input Sheet'!F623=0, "NO",CONCATENATE('Input Sheet'!F623, IF('Input Sheet'!F623&gt;0,"% ","")))</f>
        <v>NO</v>
      </c>
      <c r="M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1" s="6" t="str">
        <f>CONCATENATE(M621, IF('Input Sheet'!J623="",""," siderite in "))</f>
        <v/>
      </c>
      <c r="O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1" s="6" t="str">
        <f>CONCATENATE(O621, IF('Input Sheet'!K623="",""," siderite in "))</f>
        <v/>
      </c>
    </row>
    <row r="622" spans="1:16" x14ac:dyDescent="0.25">
      <c r="A622" s="17" t="str">
        <f>IF('Input Sheet'!C624="","",CONCATENATE("Sample ", 'Input Sheet'!B624, "m: ", N622, H622, "% ", "Siltstone, ", P622, 'Input Sheet'!C624, "% ", J622, " Sandstone, ", L622, K622, " FLUOR in SST. ", "TG ", 'Input Sheet'!I624, "U"))</f>
        <v/>
      </c>
      <c r="B622" s="3" t="str">
        <f>IF('Input Sheet'!C624="","",CONCATENATE("Sample ", 'Input Sheet'!B624, "m: ", O622, I622, "% ", "Siltstone, ", Q622, 'Input Sheet'!C624, "% ", K622, " Sandstone "))</f>
        <v/>
      </c>
      <c r="C622" s="3" t="str">
        <f>IF('Input Sheet'!C624="","",CONCATENATE("Sample ", 'Input Sheet'!B624, "m: ", N622,, L622, K622, " FLUOR in SST. ", "TG ", 'Input Sheet'!I624, "U"))</f>
        <v/>
      </c>
      <c r="H622" s="6" t="str">
        <f>IF('Input Sheet'!C624="","",100-'Input Sheet'!C624)</f>
        <v/>
      </c>
      <c r="I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2" s="6" t="str">
        <f t="shared" si="9"/>
        <v/>
      </c>
      <c r="K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2" s="6" t="str">
        <f>IF('Input Sheet'!F624=0, "NO",CONCATENATE('Input Sheet'!F624, IF('Input Sheet'!F624&gt;0,"% ","")))</f>
        <v>NO</v>
      </c>
      <c r="M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2" s="6" t="str">
        <f>CONCATENATE(M622, IF('Input Sheet'!J624="",""," siderite in "))</f>
        <v/>
      </c>
      <c r="O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2" s="6" t="str">
        <f>CONCATENATE(O622, IF('Input Sheet'!K624="",""," siderite in "))</f>
        <v/>
      </c>
    </row>
    <row r="623" spans="1:16" x14ac:dyDescent="0.25">
      <c r="A623" s="17" t="str">
        <f>IF('Input Sheet'!C625="","",CONCATENATE("Sample ", 'Input Sheet'!B625, "m: ", N623, H623, "% ", "Siltstone, ", P623, 'Input Sheet'!C625, "% ", J623, " Sandstone, ", L623, K623, " FLUOR in SST. ", "TG ", 'Input Sheet'!I625, "U"))</f>
        <v/>
      </c>
      <c r="B623" s="3" t="str">
        <f>IF('Input Sheet'!C625="","",CONCATENATE("Sample ", 'Input Sheet'!B625, "m: ", O623, I623, "% ", "Siltstone, ", Q623, 'Input Sheet'!C625, "% ", K623, " Sandstone "))</f>
        <v/>
      </c>
      <c r="C623" s="3" t="str">
        <f>IF('Input Sheet'!C625="","",CONCATENATE("Sample ", 'Input Sheet'!B625, "m: ", N623,, L623, K623, " FLUOR in SST. ", "TG ", 'Input Sheet'!I625, "U"))</f>
        <v/>
      </c>
      <c r="H623" s="6" t="str">
        <f>IF('Input Sheet'!C625="","",100-'Input Sheet'!C625)</f>
        <v/>
      </c>
      <c r="I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3" s="6" t="str">
        <f t="shared" si="9"/>
        <v/>
      </c>
      <c r="K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3" s="6" t="str">
        <f>IF('Input Sheet'!F625=0, "NO",CONCATENATE('Input Sheet'!F625, IF('Input Sheet'!F625&gt;0,"% ","")))</f>
        <v>NO</v>
      </c>
      <c r="M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3" s="6" t="str">
        <f>CONCATENATE(M623, IF('Input Sheet'!J625="",""," siderite in "))</f>
        <v/>
      </c>
      <c r="O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3" s="6" t="str">
        <f>CONCATENATE(O623, IF('Input Sheet'!K625="",""," siderite in "))</f>
        <v/>
      </c>
    </row>
    <row r="624" spans="1:16" x14ac:dyDescent="0.25">
      <c r="A624" s="17" t="str">
        <f>IF('Input Sheet'!C626="","",CONCATENATE("Sample ", 'Input Sheet'!B626, "m: ", N624, H624, "% ", "Siltstone, ", P624, 'Input Sheet'!C626, "% ", J624, " Sandstone, ", L624, K624, " FLUOR in SST. ", "TG ", 'Input Sheet'!I626, "U"))</f>
        <v/>
      </c>
      <c r="B624" s="3" t="str">
        <f>IF('Input Sheet'!C626="","",CONCATENATE("Sample ", 'Input Sheet'!B626, "m: ", O624, I624, "% ", "Siltstone, ", Q624, 'Input Sheet'!C626, "% ", K624, " Sandstone "))</f>
        <v/>
      </c>
      <c r="C624" s="3" t="str">
        <f>IF('Input Sheet'!C626="","",CONCATENATE("Sample ", 'Input Sheet'!B626, "m: ", N624,, L624, K624, " FLUOR in SST. ", "TG ", 'Input Sheet'!I626, "U"))</f>
        <v/>
      </c>
      <c r="H624" s="6" t="str">
        <f>IF('Input Sheet'!C626="","",100-'Input Sheet'!C626)</f>
        <v/>
      </c>
      <c r="I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4" s="6" t="str">
        <f t="shared" si="9"/>
        <v/>
      </c>
      <c r="K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4" s="6" t="str">
        <f>IF('Input Sheet'!F626=0, "NO",CONCATENATE('Input Sheet'!F626, IF('Input Sheet'!F626&gt;0,"% ","")))</f>
        <v>NO</v>
      </c>
      <c r="M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4" s="6" t="str">
        <f>CONCATENATE(M624, IF('Input Sheet'!J626="",""," siderite in "))</f>
        <v/>
      </c>
      <c r="O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4" s="6" t="str">
        <f>CONCATENATE(O624, IF('Input Sheet'!K626="",""," siderite in "))</f>
        <v/>
      </c>
    </row>
    <row r="625" spans="1:16" x14ac:dyDescent="0.25">
      <c r="A625" s="17" t="str">
        <f>IF('Input Sheet'!C627="","",CONCATENATE("Sample ", 'Input Sheet'!B627, "m: ", N625, H625, "% ", "Siltstone, ", P625, 'Input Sheet'!C627, "% ", J625, " Sandstone, ", L625, K625, " FLUOR in SST. ", "TG ", 'Input Sheet'!I627, "U"))</f>
        <v/>
      </c>
      <c r="B625" s="3" t="str">
        <f>IF('Input Sheet'!C627="","",CONCATENATE("Sample ", 'Input Sheet'!B627, "m: ", O625, I625, "% ", "Siltstone, ", Q625, 'Input Sheet'!C627, "% ", K625, " Sandstone "))</f>
        <v/>
      </c>
      <c r="C625" s="3" t="str">
        <f>IF('Input Sheet'!C627="","",CONCATENATE("Sample ", 'Input Sheet'!B627, "m: ", N625,, L625, K625, " FLUOR in SST. ", "TG ", 'Input Sheet'!I627, "U"))</f>
        <v/>
      </c>
      <c r="H625" s="6" t="str">
        <f>IF('Input Sheet'!C627="","",100-'Input Sheet'!C627)</f>
        <v/>
      </c>
      <c r="I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5" s="6" t="str">
        <f t="shared" si="9"/>
        <v/>
      </c>
      <c r="K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5" s="6" t="str">
        <f>IF('Input Sheet'!F627=0, "NO",CONCATENATE('Input Sheet'!F627, IF('Input Sheet'!F627&gt;0,"% ","")))</f>
        <v>NO</v>
      </c>
      <c r="M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5" s="6" t="str">
        <f>CONCATENATE(M625, IF('Input Sheet'!J627="",""," siderite in "))</f>
        <v/>
      </c>
      <c r="O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5" s="6" t="str">
        <f>CONCATENATE(O625, IF('Input Sheet'!K627="",""," siderite in "))</f>
        <v/>
      </c>
    </row>
    <row r="626" spans="1:16" x14ac:dyDescent="0.25">
      <c r="A626" s="17" t="str">
        <f>IF('Input Sheet'!C628="","",CONCATENATE("Sample ", 'Input Sheet'!B628, "m: ", N626, H626, "% ", "Siltstone, ", P626, 'Input Sheet'!C628, "% ", J626, " Sandstone, ", L626, K626, " FLUOR in SST. ", "TG ", 'Input Sheet'!I628, "U"))</f>
        <v/>
      </c>
      <c r="B626" s="3" t="str">
        <f>IF('Input Sheet'!C628="","",CONCATENATE("Sample ", 'Input Sheet'!B628, "m: ", O626, I626, "% ", "Siltstone, ", Q626, 'Input Sheet'!C628, "% ", K626, " Sandstone "))</f>
        <v/>
      </c>
      <c r="C626" s="3" t="str">
        <f>IF('Input Sheet'!C628="","",CONCATENATE("Sample ", 'Input Sheet'!B628, "m: ", N626,, L626, K626, " FLUOR in SST. ", "TG ", 'Input Sheet'!I628, "U"))</f>
        <v/>
      </c>
      <c r="H626" s="6" t="str">
        <f>IF('Input Sheet'!C628="","",100-'Input Sheet'!C628)</f>
        <v/>
      </c>
      <c r="I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6" s="6" t="str">
        <f t="shared" si="9"/>
        <v/>
      </c>
      <c r="K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6" s="6" t="str">
        <f>IF('Input Sheet'!F628=0, "NO",CONCATENATE('Input Sheet'!F628, IF('Input Sheet'!F628&gt;0,"% ","")))</f>
        <v>NO</v>
      </c>
      <c r="M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6" s="6" t="str">
        <f>CONCATENATE(M626, IF('Input Sheet'!J628="",""," siderite in "))</f>
        <v/>
      </c>
      <c r="O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6" s="6" t="str">
        <f>CONCATENATE(O626, IF('Input Sheet'!K628="",""," siderite in "))</f>
        <v/>
      </c>
    </row>
    <row r="627" spans="1:16" x14ac:dyDescent="0.25">
      <c r="A627" s="17" t="str">
        <f>IF('Input Sheet'!C629="","",CONCATENATE("Sample ", 'Input Sheet'!B629, "m: ", N627, H627, "% ", "Siltstone, ", P627, 'Input Sheet'!C629, "% ", J627, " Sandstone, ", L627, K627, " FLUOR in SST. ", "TG ", 'Input Sheet'!I629, "U"))</f>
        <v/>
      </c>
      <c r="B627" s="3" t="str">
        <f>IF('Input Sheet'!C629="","",CONCATENATE("Sample ", 'Input Sheet'!B629, "m: ", O627, I627, "% ", "Siltstone, ", Q627, 'Input Sheet'!C629, "% ", K627, " Sandstone "))</f>
        <v/>
      </c>
      <c r="C627" s="3" t="str">
        <f>IF('Input Sheet'!C629="","",CONCATENATE("Sample ", 'Input Sheet'!B629, "m: ", N627,, L627, K627, " FLUOR in SST. ", "TG ", 'Input Sheet'!I629, "U"))</f>
        <v/>
      </c>
      <c r="H627" s="6" t="str">
        <f>IF('Input Sheet'!C629="","",100-'Input Sheet'!C629)</f>
        <v/>
      </c>
      <c r="I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7" s="6" t="str">
        <f t="shared" si="9"/>
        <v/>
      </c>
      <c r="K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7" s="6" t="str">
        <f>IF('Input Sheet'!F629=0, "NO",CONCATENATE('Input Sheet'!F629, IF('Input Sheet'!F629&gt;0,"% ","")))</f>
        <v>NO</v>
      </c>
      <c r="M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7" s="6" t="str">
        <f>CONCATENATE(M627, IF('Input Sheet'!J629="",""," siderite in "))</f>
        <v/>
      </c>
      <c r="O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7" s="6" t="str">
        <f>CONCATENATE(O627, IF('Input Sheet'!K629="",""," siderite in "))</f>
        <v/>
      </c>
    </row>
    <row r="628" spans="1:16" x14ac:dyDescent="0.25">
      <c r="A628" s="17" t="str">
        <f>IF('Input Sheet'!C630="","",CONCATENATE("Sample ", 'Input Sheet'!B630, "m: ", N628, H628, "% ", "Siltstone, ", P628, 'Input Sheet'!C630, "% ", J628, " Sandstone, ", L628, K628, " FLUOR in SST. ", "TG ", 'Input Sheet'!I630, "U"))</f>
        <v/>
      </c>
      <c r="B628" s="3" t="str">
        <f>IF('Input Sheet'!C630="","",CONCATENATE("Sample ", 'Input Sheet'!B630, "m: ", O628, I628, "% ", "Siltstone, ", Q628, 'Input Sheet'!C630, "% ", K628, " Sandstone "))</f>
        <v/>
      </c>
      <c r="C628" s="3" t="str">
        <f>IF('Input Sheet'!C630="","",CONCATENATE("Sample ", 'Input Sheet'!B630, "m: ", N628,, L628, K628, " FLUOR in SST. ", "TG ", 'Input Sheet'!I630, "U"))</f>
        <v/>
      </c>
      <c r="H628" s="6" t="str">
        <f>IF('Input Sheet'!C630="","",100-'Input Sheet'!C630)</f>
        <v/>
      </c>
      <c r="I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8" s="6" t="str">
        <f t="shared" si="9"/>
        <v/>
      </c>
      <c r="K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8" s="6" t="str">
        <f>IF('Input Sheet'!F630=0, "NO",CONCATENATE('Input Sheet'!F630, IF('Input Sheet'!F630&gt;0,"% ","")))</f>
        <v>NO</v>
      </c>
      <c r="M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8" s="6" t="str">
        <f>CONCATENATE(M628, IF('Input Sheet'!J630="",""," siderite in "))</f>
        <v/>
      </c>
      <c r="O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8" s="6" t="str">
        <f>CONCATENATE(O628, IF('Input Sheet'!K630="",""," siderite in "))</f>
        <v/>
      </c>
    </row>
    <row r="629" spans="1:16" x14ac:dyDescent="0.25">
      <c r="A629" s="17" t="str">
        <f>IF('Input Sheet'!C631="","",CONCATENATE("Sample ", 'Input Sheet'!B631, "m: ", N629, H629, "% ", "Siltstone, ", P629, 'Input Sheet'!C631, "% ", J629, " Sandstone, ", L629, K629, " FLUOR in SST. ", "TG ", 'Input Sheet'!I631, "U"))</f>
        <v/>
      </c>
      <c r="B629" s="3" t="str">
        <f>IF('Input Sheet'!C631="","",CONCATENATE("Sample ", 'Input Sheet'!B631, "m: ", O629, I629, "% ", "Siltstone, ", Q629, 'Input Sheet'!C631, "% ", K629, " Sandstone "))</f>
        <v/>
      </c>
      <c r="C629" s="3" t="str">
        <f>IF('Input Sheet'!C631="","",CONCATENATE("Sample ", 'Input Sheet'!B631, "m: ", N629,, L629, K629, " FLUOR in SST. ", "TG ", 'Input Sheet'!I631, "U"))</f>
        <v/>
      </c>
      <c r="H629" s="6" t="str">
        <f>IF('Input Sheet'!C631="","",100-'Input Sheet'!C631)</f>
        <v/>
      </c>
      <c r="I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29" s="6" t="str">
        <f t="shared" si="9"/>
        <v/>
      </c>
      <c r="K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29" s="6" t="str">
        <f>IF('Input Sheet'!F631=0, "NO",CONCATENATE('Input Sheet'!F631, IF('Input Sheet'!F631&gt;0,"% ","")))</f>
        <v>NO</v>
      </c>
      <c r="M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29" s="6" t="str">
        <f>CONCATENATE(M629, IF('Input Sheet'!J631="",""," siderite in "))</f>
        <v/>
      </c>
      <c r="O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29" s="6" t="str">
        <f>CONCATENATE(O629, IF('Input Sheet'!K631="",""," siderite in "))</f>
        <v/>
      </c>
    </row>
    <row r="630" spans="1:16" x14ac:dyDescent="0.25">
      <c r="A630" s="17" t="str">
        <f>IF('Input Sheet'!C632="","",CONCATENATE("Sample ", 'Input Sheet'!B632, "m: ", N630, H630, "% ", "Siltstone, ", P630, 'Input Sheet'!C632, "% ", J630, " Sandstone, ", L630, K630, " FLUOR in SST. ", "TG ", 'Input Sheet'!I632, "U"))</f>
        <v/>
      </c>
      <c r="B630" s="3" t="str">
        <f>IF('Input Sheet'!C632="","",CONCATENATE("Sample ", 'Input Sheet'!B632, "m: ", O630, I630, "% ", "Siltstone, ", Q630, 'Input Sheet'!C632, "% ", K630, " Sandstone "))</f>
        <v/>
      </c>
      <c r="C630" s="3" t="str">
        <f>IF('Input Sheet'!C632="","",CONCATENATE("Sample ", 'Input Sheet'!B632, "m: ", N630,, L630, K630, " FLUOR in SST. ", "TG ", 'Input Sheet'!I632, "U"))</f>
        <v/>
      </c>
      <c r="H630" s="6" t="str">
        <f>IF('Input Sheet'!C632="","",100-'Input Sheet'!C632)</f>
        <v/>
      </c>
      <c r="I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0" s="6" t="str">
        <f t="shared" si="9"/>
        <v/>
      </c>
      <c r="K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0" s="6" t="str">
        <f>IF('Input Sheet'!F632=0, "NO",CONCATENATE('Input Sheet'!F632, IF('Input Sheet'!F632&gt;0,"% ","")))</f>
        <v>NO</v>
      </c>
      <c r="M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0" s="6" t="str">
        <f>CONCATENATE(M630, IF('Input Sheet'!J632="",""," siderite in "))</f>
        <v/>
      </c>
      <c r="O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0" s="6" t="str">
        <f>CONCATENATE(O630, IF('Input Sheet'!K632="",""," siderite in "))</f>
        <v/>
      </c>
    </row>
    <row r="631" spans="1:16" x14ac:dyDescent="0.25">
      <c r="A631" s="17" t="str">
        <f>IF('Input Sheet'!C633="","",CONCATENATE("Sample ", 'Input Sheet'!B633, "m: ", N631, H631, "% ", "Siltstone, ", P631, 'Input Sheet'!C633, "% ", J631, " Sandstone, ", L631, K631, " FLUOR in SST. ", "TG ", 'Input Sheet'!I633, "U"))</f>
        <v/>
      </c>
      <c r="B631" s="3" t="str">
        <f>IF('Input Sheet'!C633="","",CONCATENATE("Sample ", 'Input Sheet'!B633, "m: ", O631, I631, "% ", "Siltstone, ", Q631, 'Input Sheet'!C633, "% ", K631, " Sandstone "))</f>
        <v/>
      </c>
      <c r="C631" s="3" t="str">
        <f>IF('Input Sheet'!C633="","",CONCATENATE("Sample ", 'Input Sheet'!B633, "m: ", N631,, L631, K631, " FLUOR in SST. ", "TG ", 'Input Sheet'!I633, "U"))</f>
        <v/>
      </c>
      <c r="H631" s="6" t="str">
        <f>IF('Input Sheet'!C633="","",100-'Input Sheet'!C633)</f>
        <v/>
      </c>
      <c r="I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1" s="6" t="str">
        <f t="shared" si="9"/>
        <v/>
      </c>
      <c r="K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1" s="6" t="str">
        <f>IF('Input Sheet'!F633=0, "NO",CONCATENATE('Input Sheet'!F633, IF('Input Sheet'!F633&gt;0,"% ","")))</f>
        <v>NO</v>
      </c>
      <c r="M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1" s="6" t="str">
        <f>CONCATENATE(M631, IF('Input Sheet'!J633="",""," siderite in "))</f>
        <v/>
      </c>
      <c r="O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1" s="6" t="str">
        <f>CONCATENATE(O631, IF('Input Sheet'!K633="",""," siderite in "))</f>
        <v/>
      </c>
    </row>
    <row r="632" spans="1:16" x14ac:dyDescent="0.25">
      <c r="A632" s="17" t="str">
        <f>IF('Input Sheet'!C634="","",CONCATENATE("Sample ", 'Input Sheet'!B634, "m: ", N632, H632, "% ", "Siltstone, ", P632, 'Input Sheet'!C634, "% ", J632, " Sandstone, ", L632, K632, " FLUOR in SST. ", "TG ", 'Input Sheet'!I634, "U"))</f>
        <v/>
      </c>
      <c r="B632" s="3" t="str">
        <f>IF('Input Sheet'!C634="","",CONCATENATE("Sample ", 'Input Sheet'!B634, "m: ", O632, I632, "% ", "Siltstone, ", Q632, 'Input Sheet'!C634, "% ", K632, " Sandstone "))</f>
        <v/>
      </c>
      <c r="C632" s="3" t="str">
        <f>IF('Input Sheet'!C634="","",CONCATENATE("Sample ", 'Input Sheet'!B634, "m: ", N632,, L632, K632, " FLUOR in SST. ", "TG ", 'Input Sheet'!I634, "U"))</f>
        <v/>
      </c>
      <c r="H632" s="6" t="str">
        <f>IF('Input Sheet'!C634="","",100-'Input Sheet'!C634)</f>
        <v/>
      </c>
      <c r="I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2" s="6" t="str">
        <f t="shared" si="9"/>
        <v/>
      </c>
      <c r="K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2" s="6" t="str">
        <f>IF('Input Sheet'!F634=0, "NO",CONCATENATE('Input Sheet'!F634, IF('Input Sheet'!F634&gt;0,"% ","")))</f>
        <v>NO</v>
      </c>
      <c r="M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2" s="6" t="str">
        <f>CONCATENATE(M632, IF('Input Sheet'!J634="",""," siderite in "))</f>
        <v/>
      </c>
      <c r="O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2" s="6" t="str">
        <f>CONCATENATE(O632, IF('Input Sheet'!K634="",""," siderite in "))</f>
        <v/>
      </c>
    </row>
    <row r="633" spans="1:16" x14ac:dyDescent="0.25">
      <c r="A633" s="17" t="str">
        <f>IF('Input Sheet'!C635="","",CONCATENATE("Sample ", 'Input Sheet'!B635, "m: ", N633, H633, "% ", "Siltstone, ", P633, 'Input Sheet'!C635, "% ", J633, " Sandstone, ", L633, K633, " FLUOR in SST. ", "TG ", 'Input Sheet'!I635, "U"))</f>
        <v/>
      </c>
      <c r="B633" s="3" t="str">
        <f>IF('Input Sheet'!C635="","",CONCATENATE("Sample ", 'Input Sheet'!B635, "m: ", O633, I633, "% ", "Siltstone, ", Q633, 'Input Sheet'!C635, "% ", K633, " Sandstone "))</f>
        <v/>
      </c>
      <c r="C633" s="3" t="str">
        <f>IF('Input Sheet'!C635="","",CONCATENATE("Sample ", 'Input Sheet'!B635, "m: ", N633,, L633, K633, " FLUOR in SST. ", "TG ", 'Input Sheet'!I635, "U"))</f>
        <v/>
      </c>
      <c r="H633" s="6" t="str">
        <f>IF('Input Sheet'!C635="","",100-'Input Sheet'!C635)</f>
        <v/>
      </c>
      <c r="I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3" s="6" t="str">
        <f t="shared" si="9"/>
        <v/>
      </c>
      <c r="K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3" s="6" t="str">
        <f>IF('Input Sheet'!F635=0, "NO",CONCATENATE('Input Sheet'!F635, IF('Input Sheet'!F635&gt;0,"% ","")))</f>
        <v>NO</v>
      </c>
      <c r="M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3" s="6" t="str">
        <f>CONCATENATE(M633, IF('Input Sheet'!J635="",""," siderite in "))</f>
        <v/>
      </c>
      <c r="O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3" s="6" t="str">
        <f>CONCATENATE(O633, IF('Input Sheet'!K635="",""," siderite in "))</f>
        <v/>
      </c>
    </row>
    <row r="634" spans="1:16" x14ac:dyDescent="0.25">
      <c r="A634" s="17" t="str">
        <f>IF('Input Sheet'!C636="","",CONCATENATE("Sample ", 'Input Sheet'!B636, "m: ", N634, H634, "% ", "Siltstone, ", P634, 'Input Sheet'!C636, "% ", J634, " Sandstone, ", L634, K634, " FLUOR in SST. ", "TG ", 'Input Sheet'!I636, "U"))</f>
        <v/>
      </c>
      <c r="B634" s="3" t="str">
        <f>IF('Input Sheet'!C636="","",CONCATENATE("Sample ", 'Input Sheet'!B636, "m: ", O634, I634, "% ", "Siltstone, ", Q634, 'Input Sheet'!C636, "% ", K634, " Sandstone "))</f>
        <v/>
      </c>
      <c r="C634" s="3" t="str">
        <f>IF('Input Sheet'!C636="","",CONCATENATE("Sample ", 'Input Sheet'!B636, "m: ", N634,, L634, K634, " FLUOR in SST. ", "TG ", 'Input Sheet'!I636, "U"))</f>
        <v/>
      </c>
      <c r="H634" s="6" t="str">
        <f>IF('Input Sheet'!C636="","",100-'Input Sheet'!C636)</f>
        <v/>
      </c>
      <c r="I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4" s="6" t="str">
        <f t="shared" si="9"/>
        <v/>
      </c>
      <c r="K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4" s="6" t="str">
        <f>IF('Input Sheet'!F636=0, "NO",CONCATENATE('Input Sheet'!F636, IF('Input Sheet'!F636&gt;0,"% ","")))</f>
        <v>NO</v>
      </c>
      <c r="M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4" s="6" t="str">
        <f>CONCATENATE(M634, IF('Input Sheet'!J636="",""," siderite in "))</f>
        <v/>
      </c>
      <c r="O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4" s="6" t="str">
        <f>CONCATENATE(O634, IF('Input Sheet'!K636="",""," siderite in "))</f>
        <v/>
      </c>
    </row>
    <row r="635" spans="1:16" x14ac:dyDescent="0.25">
      <c r="A635" s="17" t="str">
        <f>IF('Input Sheet'!C637="","",CONCATENATE("Sample ", 'Input Sheet'!B637, "m: ", N635, H635, "% ", "Siltstone, ", P635, 'Input Sheet'!C637, "% ", J635, " Sandstone, ", L635, K635, " FLUOR in SST. ", "TG ", 'Input Sheet'!I637, "U"))</f>
        <v/>
      </c>
      <c r="B635" s="3" t="str">
        <f>IF('Input Sheet'!C637="","",CONCATENATE("Sample ", 'Input Sheet'!B637, "m: ", O635, I635, "% ", "Siltstone, ", Q635, 'Input Sheet'!C637, "% ", K635, " Sandstone "))</f>
        <v/>
      </c>
      <c r="C635" s="3" t="str">
        <f>IF('Input Sheet'!C637="","",CONCATENATE("Sample ", 'Input Sheet'!B637, "m: ", N635,, L635, K635, " FLUOR in SST. ", "TG ", 'Input Sheet'!I637, "U"))</f>
        <v/>
      </c>
      <c r="H635" s="6" t="str">
        <f>IF('Input Sheet'!C637="","",100-'Input Sheet'!C637)</f>
        <v/>
      </c>
      <c r="I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5" s="6" t="str">
        <f t="shared" si="9"/>
        <v/>
      </c>
      <c r="K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5" s="6" t="str">
        <f>IF('Input Sheet'!F637=0, "NO",CONCATENATE('Input Sheet'!F637, IF('Input Sheet'!F637&gt;0,"% ","")))</f>
        <v>NO</v>
      </c>
      <c r="M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5" s="6" t="str">
        <f>CONCATENATE(M635, IF('Input Sheet'!J637="",""," siderite in "))</f>
        <v/>
      </c>
      <c r="O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5" s="6" t="str">
        <f>CONCATENATE(O635, IF('Input Sheet'!K637="",""," siderite in "))</f>
        <v/>
      </c>
    </row>
    <row r="636" spans="1:16" x14ac:dyDescent="0.25">
      <c r="A636" s="17" t="str">
        <f>IF('Input Sheet'!C638="","",CONCATENATE("Sample ", 'Input Sheet'!B638, "m: ", N636, H636, "% ", "Siltstone, ", P636, 'Input Sheet'!C638, "% ", J636, " Sandstone, ", L636, K636, " FLUOR in SST. ", "TG ", 'Input Sheet'!I638, "U"))</f>
        <v/>
      </c>
      <c r="B636" s="3" t="str">
        <f>IF('Input Sheet'!C638="","",CONCATENATE("Sample ", 'Input Sheet'!B638, "m: ", O636, I636, "% ", "Siltstone, ", Q636, 'Input Sheet'!C638, "% ", K636, " Sandstone "))</f>
        <v/>
      </c>
      <c r="C636" s="3" t="str">
        <f>IF('Input Sheet'!C638="","",CONCATENATE("Sample ", 'Input Sheet'!B638, "m: ", N636,, L636, K636, " FLUOR in SST. ", "TG ", 'Input Sheet'!I638, "U"))</f>
        <v/>
      </c>
      <c r="H636" s="6" t="str">
        <f>IF('Input Sheet'!C638="","",100-'Input Sheet'!C638)</f>
        <v/>
      </c>
      <c r="I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6" s="6" t="str">
        <f t="shared" si="9"/>
        <v/>
      </c>
      <c r="K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6" s="6" t="str">
        <f>IF('Input Sheet'!F638=0, "NO",CONCATENATE('Input Sheet'!F638, IF('Input Sheet'!F638&gt;0,"% ","")))</f>
        <v>NO</v>
      </c>
      <c r="M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6" s="6" t="str">
        <f>CONCATENATE(M636, IF('Input Sheet'!J638="",""," siderite in "))</f>
        <v/>
      </c>
      <c r="O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6" s="6" t="str">
        <f>CONCATENATE(O636, IF('Input Sheet'!K638="",""," siderite in "))</f>
        <v/>
      </c>
    </row>
    <row r="637" spans="1:16" x14ac:dyDescent="0.25">
      <c r="A637" s="17" t="str">
        <f>IF('Input Sheet'!C639="","",CONCATENATE("Sample ", 'Input Sheet'!B639, "m: ", N637, H637, "% ", "Siltstone, ", P637, 'Input Sheet'!C639, "% ", J637, " Sandstone, ", L637, K637, " FLUOR in SST. ", "TG ", 'Input Sheet'!I639, "U"))</f>
        <v/>
      </c>
      <c r="B637" s="3" t="str">
        <f>IF('Input Sheet'!C639="","",CONCATENATE("Sample ", 'Input Sheet'!B639, "m: ", O637, I637, "% ", "Siltstone, ", Q637, 'Input Sheet'!C639, "% ", K637, " Sandstone "))</f>
        <v/>
      </c>
      <c r="C637" s="3" t="str">
        <f>IF('Input Sheet'!C639="","",CONCATENATE("Sample ", 'Input Sheet'!B639, "m: ", N637,, L637, K637, " FLUOR in SST. ", "TG ", 'Input Sheet'!I639, "U"))</f>
        <v/>
      </c>
      <c r="H637" s="6" t="str">
        <f>IF('Input Sheet'!C639="","",100-'Input Sheet'!C639)</f>
        <v/>
      </c>
      <c r="I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7" s="6" t="str">
        <f t="shared" si="9"/>
        <v/>
      </c>
      <c r="K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7" s="6" t="str">
        <f>IF('Input Sheet'!F639=0, "NO",CONCATENATE('Input Sheet'!F639, IF('Input Sheet'!F639&gt;0,"% ","")))</f>
        <v>NO</v>
      </c>
      <c r="M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7" s="6" t="str">
        <f>CONCATENATE(M637, IF('Input Sheet'!J639="",""," siderite in "))</f>
        <v/>
      </c>
      <c r="O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7" s="6" t="str">
        <f>CONCATENATE(O637, IF('Input Sheet'!K639="",""," siderite in "))</f>
        <v/>
      </c>
    </row>
    <row r="638" spans="1:16" x14ac:dyDescent="0.25">
      <c r="A638" s="17" t="str">
        <f>IF('Input Sheet'!C640="","",CONCATENATE("Sample ", 'Input Sheet'!B640, "m: ", N638, H638, "% ", "Siltstone, ", P638, 'Input Sheet'!C640, "% ", J638, " Sandstone, ", L638, K638, " FLUOR in SST. ", "TG ", 'Input Sheet'!I640, "U"))</f>
        <v/>
      </c>
      <c r="B638" s="3" t="str">
        <f>IF('Input Sheet'!C640="","",CONCATENATE("Sample ", 'Input Sheet'!B640, "m: ", O638, I638, "% ", "Siltstone, ", Q638, 'Input Sheet'!C640, "% ", K638, " Sandstone "))</f>
        <v/>
      </c>
      <c r="C638" s="3" t="str">
        <f>IF('Input Sheet'!C640="","",CONCATENATE("Sample ", 'Input Sheet'!B640, "m: ", N638,, L638, K638, " FLUOR in SST. ", "TG ", 'Input Sheet'!I640, "U"))</f>
        <v/>
      </c>
      <c r="H638" s="6" t="str">
        <f>IF('Input Sheet'!C640="","",100-'Input Sheet'!C640)</f>
        <v/>
      </c>
      <c r="I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8" s="6" t="str">
        <f t="shared" si="9"/>
        <v/>
      </c>
      <c r="K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8" s="6" t="str">
        <f>IF('Input Sheet'!F640=0, "NO",CONCATENATE('Input Sheet'!F640, IF('Input Sheet'!F640&gt;0,"% ","")))</f>
        <v>NO</v>
      </c>
      <c r="M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8" s="6" t="str">
        <f>CONCATENATE(M638, IF('Input Sheet'!J640="",""," siderite in "))</f>
        <v/>
      </c>
      <c r="O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8" s="6" t="str">
        <f>CONCATENATE(O638, IF('Input Sheet'!K640="",""," siderite in "))</f>
        <v/>
      </c>
    </row>
    <row r="639" spans="1:16" x14ac:dyDescent="0.25">
      <c r="A639" s="17" t="str">
        <f>IF('Input Sheet'!C641="","",CONCATENATE("Sample ", 'Input Sheet'!B641, "m: ", N639, H639, "% ", "Siltstone, ", P639, 'Input Sheet'!C641, "% ", J639, " Sandstone, ", L639, K639, " FLUOR in SST. ", "TG ", 'Input Sheet'!I641, "U"))</f>
        <v/>
      </c>
      <c r="B639" s="3" t="str">
        <f>IF('Input Sheet'!C641="","",CONCATENATE("Sample ", 'Input Sheet'!B641, "m: ", O639, I639, "% ", "Siltstone, ", Q639, 'Input Sheet'!C641, "% ", K639, " Sandstone "))</f>
        <v/>
      </c>
      <c r="C639" s="3" t="str">
        <f>IF('Input Sheet'!C641="","",CONCATENATE("Sample ", 'Input Sheet'!B641, "m: ", N639,, L639, K639, " FLUOR in SST. ", "TG ", 'Input Sheet'!I641, "U"))</f>
        <v/>
      </c>
      <c r="H639" s="6" t="str">
        <f>IF('Input Sheet'!C641="","",100-'Input Sheet'!C641)</f>
        <v/>
      </c>
      <c r="I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39" s="6" t="str">
        <f t="shared" si="9"/>
        <v/>
      </c>
      <c r="K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39" s="6" t="str">
        <f>IF('Input Sheet'!F641=0, "NO",CONCATENATE('Input Sheet'!F641, IF('Input Sheet'!F641&gt;0,"% ","")))</f>
        <v>NO</v>
      </c>
      <c r="M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39" s="6" t="str">
        <f>CONCATENATE(M639, IF('Input Sheet'!J641="",""," siderite in "))</f>
        <v/>
      </c>
      <c r="O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39" s="6" t="str">
        <f>CONCATENATE(O639, IF('Input Sheet'!K641="",""," siderite in "))</f>
        <v/>
      </c>
    </row>
    <row r="640" spans="1:16" x14ac:dyDescent="0.25">
      <c r="A640" s="17" t="str">
        <f>IF('Input Sheet'!C642="","",CONCATENATE("Sample ", 'Input Sheet'!B642, "m: ", N640, H640, "% ", "Siltstone, ", P640, 'Input Sheet'!C642, "% ", J640, " Sandstone, ", L640, K640, " FLUOR in SST. ", "TG ", 'Input Sheet'!I642, "U"))</f>
        <v/>
      </c>
      <c r="B640" s="3" t="str">
        <f>IF('Input Sheet'!C642="","",CONCATENATE("Sample ", 'Input Sheet'!B642, "m: ", O640, I640, "% ", "Siltstone, ", Q640, 'Input Sheet'!C642, "% ", K640, " Sandstone "))</f>
        <v/>
      </c>
      <c r="C640" s="3" t="str">
        <f>IF('Input Sheet'!C642="","",CONCATENATE("Sample ", 'Input Sheet'!B642, "m: ", N640,, L640, K640, " FLUOR in SST. ", "TG ", 'Input Sheet'!I642, "U"))</f>
        <v/>
      </c>
      <c r="H640" s="6" t="str">
        <f>IF('Input Sheet'!C642="","",100-'Input Sheet'!C642)</f>
        <v/>
      </c>
      <c r="I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0" s="6" t="str">
        <f t="shared" si="9"/>
        <v/>
      </c>
      <c r="K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0" s="6" t="str">
        <f>IF('Input Sheet'!F642=0, "NO",CONCATENATE('Input Sheet'!F642, IF('Input Sheet'!F642&gt;0,"% ","")))</f>
        <v>NO</v>
      </c>
      <c r="M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0" s="6" t="str">
        <f>CONCATENATE(M640, IF('Input Sheet'!J642="",""," siderite in "))</f>
        <v/>
      </c>
      <c r="O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0" s="6" t="str">
        <f>CONCATENATE(O640, IF('Input Sheet'!K642="",""," siderite in "))</f>
        <v/>
      </c>
    </row>
    <row r="641" spans="1:16" x14ac:dyDescent="0.25">
      <c r="A641" s="17" t="str">
        <f>IF('Input Sheet'!C643="","",CONCATENATE("Sample ", 'Input Sheet'!B643, "m: ", N641, H641, "% ", "Siltstone, ", P641, 'Input Sheet'!C643, "% ", J641, " Sandstone, ", L641, K641, " FLUOR in SST. ", "TG ", 'Input Sheet'!I643, "U"))</f>
        <v/>
      </c>
      <c r="B641" s="3" t="str">
        <f>IF('Input Sheet'!C643="","",CONCATENATE("Sample ", 'Input Sheet'!B643, "m: ", O641, I641, "% ", "Siltstone, ", Q641, 'Input Sheet'!C643, "% ", K641, " Sandstone "))</f>
        <v/>
      </c>
      <c r="C641" s="3" t="str">
        <f>IF('Input Sheet'!C643="","",CONCATENATE("Sample ", 'Input Sheet'!B643, "m: ", N641,, L641, K641, " FLUOR in SST. ", "TG ", 'Input Sheet'!I643, "U"))</f>
        <v/>
      </c>
      <c r="H641" s="6" t="str">
        <f>IF('Input Sheet'!C643="","",100-'Input Sheet'!C643)</f>
        <v/>
      </c>
      <c r="I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1" s="6" t="str">
        <f t="shared" si="9"/>
        <v/>
      </c>
      <c r="K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1" s="6" t="str">
        <f>IF('Input Sheet'!F643=0, "NO",CONCATENATE('Input Sheet'!F643, IF('Input Sheet'!F643&gt;0,"% ","")))</f>
        <v>NO</v>
      </c>
      <c r="M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1" s="6" t="str">
        <f>CONCATENATE(M641, IF('Input Sheet'!J643="",""," siderite in "))</f>
        <v/>
      </c>
      <c r="O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1" s="6" t="str">
        <f>CONCATENATE(O641, IF('Input Sheet'!K643="",""," siderite in "))</f>
        <v/>
      </c>
    </row>
    <row r="642" spans="1:16" x14ac:dyDescent="0.25">
      <c r="A642" s="17" t="str">
        <f>IF('Input Sheet'!C644="","",CONCATENATE("Sample ", 'Input Sheet'!B644, "m: ", N642, H642, "% ", "Siltstone, ", P642, 'Input Sheet'!C644, "% ", J642, " Sandstone, ", L642, K642, " FLUOR in SST. ", "TG ", 'Input Sheet'!I644, "U"))</f>
        <v/>
      </c>
      <c r="B642" s="3" t="str">
        <f>IF('Input Sheet'!C644="","",CONCATENATE("Sample ", 'Input Sheet'!B644, "m: ", O642, I642, "% ", "Siltstone, ", Q642, 'Input Sheet'!C644, "% ", K642, " Sandstone "))</f>
        <v/>
      </c>
      <c r="C642" s="3" t="str">
        <f>IF('Input Sheet'!C644="","",CONCATENATE("Sample ", 'Input Sheet'!B644, "m: ", N642,, L642, K642, " FLUOR in SST. ", "TG ", 'Input Sheet'!I644, "U"))</f>
        <v/>
      </c>
      <c r="H642" s="6" t="str">
        <f>IF('Input Sheet'!C644="","",100-'Input Sheet'!C644)</f>
        <v/>
      </c>
      <c r="I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2" s="6" t="str">
        <f t="shared" ref="J642:J705" si="10">SUBSTITUTE(I642, "veryfine", "very fine")</f>
        <v/>
      </c>
      <c r="K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2" s="6" t="str">
        <f>IF('Input Sheet'!F644=0, "NO",CONCATENATE('Input Sheet'!F644, IF('Input Sheet'!F644&gt;0,"% ","")))</f>
        <v>NO</v>
      </c>
      <c r="M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2" s="6" t="str">
        <f>CONCATENATE(M642, IF('Input Sheet'!J644="",""," siderite in "))</f>
        <v/>
      </c>
      <c r="O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2" s="6" t="str">
        <f>CONCATENATE(O642, IF('Input Sheet'!K644="",""," siderite in "))</f>
        <v/>
      </c>
    </row>
    <row r="643" spans="1:16" x14ac:dyDescent="0.25">
      <c r="A643" s="17" t="str">
        <f>IF('Input Sheet'!C645="","",CONCATENATE("Sample ", 'Input Sheet'!B645, "m: ", N643, H643, "% ", "Siltstone, ", P643, 'Input Sheet'!C645, "% ", J643, " Sandstone, ", L643, K643, " FLUOR in SST. ", "TG ", 'Input Sheet'!I645, "U"))</f>
        <v/>
      </c>
      <c r="B643" s="3" t="str">
        <f>IF('Input Sheet'!C645="","",CONCATENATE("Sample ", 'Input Sheet'!B645, "m: ", O643, I643, "% ", "Siltstone, ", Q643, 'Input Sheet'!C645, "% ", K643, " Sandstone "))</f>
        <v/>
      </c>
      <c r="C643" s="3" t="str">
        <f>IF('Input Sheet'!C645="","",CONCATENATE("Sample ", 'Input Sheet'!B645, "m: ", N643,, L643, K643, " FLUOR in SST. ", "TG ", 'Input Sheet'!I645, "U"))</f>
        <v/>
      </c>
      <c r="H643" s="6" t="str">
        <f>IF('Input Sheet'!C645="","",100-'Input Sheet'!C645)</f>
        <v/>
      </c>
      <c r="I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3" s="6" t="str">
        <f t="shared" si="10"/>
        <v/>
      </c>
      <c r="K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3" s="6" t="str">
        <f>IF('Input Sheet'!F645=0, "NO",CONCATENATE('Input Sheet'!F645, IF('Input Sheet'!F645&gt;0,"% ","")))</f>
        <v>NO</v>
      </c>
      <c r="M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3" s="6" t="str">
        <f>CONCATENATE(M643, IF('Input Sheet'!J645="",""," siderite in "))</f>
        <v/>
      </c>
      <c r="O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3" s="6" t="str">
        <f>CONCATENATE(O643, IF('Input Sheet'!K645="",""," siderite in "))</f>
        <v/>
      </c>
    </row>
    <row r="644" spans="1:16" x14ac:dyDescent="0.25">
      <c r="A644" s="17" t="str">
        <f>IF('Input Sheet'!C646="","",CONCATENATE("Sample ", 'Input Sheet'!B646, "m: ", N644, H644, "% ", "Siltstone, ", P644, 'Input Sheet'!C646, "% ", J644, " Sandstone, ", L644, K644, " FLUOR in SST. ", "TG ", 'Input Sheet'!I646, "U"))</f>
        <v/>
      </c>
      <c r="B644" s="3" t="str">
        <f>IF('Input Sheet'!C646="","",CONCATENATE("Sample ", 'Input Sheet'!B646, "m: ", O644, I644, "% ", "Siltstone, ", Q644, 'Input Sheet'!C646, "% ", K644, " Sandstone "))</f>
        <v/>
      </c>
      <c r="C644" s="3" t="str">
        <f>IF('Input Sheet'!C646="","",CONCATENATE("Sample ", 'Input Sheet'!B646, "m: ", N644,, L644, K644, " FLUOR in SST. ", "TG ", 'Input Sheet'!I646, "U"))</f>
        <v/>
      </c>
      <c r="H644" s="6" t="str">
        <f>IF('Input Sheet'!C646="","",100-'Input Sheet'!C646)</f>
        <v/>
      </c>
      <c r="I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4" s="6" t="str">
        <f t="shared" si="10"/>
        <v/>
      </c>
      <c r="K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4" s="6" t="str">
        <f>IF('Input Sheet'!F646=0, "NO",CONCATENATE('Input Sheet'!F646, IF('Input Sheet'!F646&gt;0,"% ","")))</f>
        <v>NO</v>
      </c>
      <c r="M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4" s="6" t="str">
        <f>CONCATENATE(M644, IF('Input Sheet'!J646="",""," siderite in "))</f>
        <v/>
      </c>
      <c r="O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4" s="6" t="str">
        <f>CONCATENATE(O644, IF('Input Sheet'!K646="",""," siderite in "))</f>
        <v/>
      </c>
    </row>
    <row r="645" spans="1:16" x14ac:dyDescent="0.25">
      <c r="A645" s="17" t="str">
        <f>IF('Input Sheet'!C647="","",CONCATENATE("Sample ", 'Input Sheet'!B647, "m: ", N645, H645, "% ", "Siltstone, ", P645, 'Input Sheet'!C647, "% ", J645, " Sandstone, ", L645, K645, " FLUOR in SST. ", "TG ", 'Input Sheet'!I647, "U"))</f>
        <v/>
      </c>
      <c r="B645" s="3" t="str">
        <f>IF('Input Sheet'!C647="","",CONCATENATE("Sample ", 'Input Sheet'!B647, "m: ", O645, I645, "% ", "Siltstone, ", Q645, 'Input Sheet'!C647, "% ", K645, " Sandstone "))</f>
        <v/>
      </c>
      <c r="C645" s="3" t="str">
        <f>IF('Input Sheet'!C647="","",CONCATENATE("Sample ", 'Input Sheet'!B647, "m: ", N645,, L645, K645, " FLUOR in SST. ", "TG ", 'Input Sheet'!I647, "U"))</f>
        <v/>
      </c>
      <c r="H645" s="6" t="str">
        <f>IF('Input Sheet'!C647="","",100-'Input Sheet'!C647)</f>
        <v/>
      </c>
      <c r="I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5" s="6" t="str">
        <f t="shared" si="10"/>
        <v/>
      </c>
      <c r="K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5" s="6" t="str">
        <f>IF('Input Sheet'!F647=0, "NO",CONCATENATE('Input Sheet'!F647, IF('Input Sheet'!F647&gt;0,"% ","")))</f>
        <v>NO</v>
      </c>
      <c r="M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5" s="6" t="str">
        <f>CONCATENATE(M645, IF('Input Sheet'!J647="",""," siderite in "))</f>
        <v/>
      </c>
      <c r="O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5" s="6" t="str">
        <f>CONCATENATE(O645, IF('Input Sheet'!K647="",""," siderite in "))</f>
        <v/>
      </c>
    </row>
    <row r="646" spans="1:16" x14ac:dyDescent="0.25">
      <c r="A646" s="17" t="str">
        <f>IF('Input Sheet'!C648="","",CONCATENATE("Sample ", 'Input Sheet'!B648, "m: ", N646, H646, "% ", "Siltstone, ", P646, 'Input Sheet'!C648, "% ", J646, " Sandstone, ", L646, K646, " FLUOR in SST. ", "TG ", 'Input Sheet'!I648, "U"))</f>
        <v/>
      </c>
      <c r="B646" s="3" t="str">
        <f>IF('Input Sheet'!C648="","",CONCATENATE("Sample ", 'Input Sheet'!B648, "m: ", O646, I646, "% ", "Siltstone, ", Q646, 'Input Sheet'!C648, "% ", K646, " Sandstone "))</f>
        <v/>
      </c>
      <c r="C646" s="3" t="str">
        <f>IF('Input Sheet'!C648="","",CONCATENATE("Sample ", 'Input Sheet'!B648, "m: ", N646,, L646, K646, " FLUOR in SST. ", "TG ", 'Input Sheet'!I648, "U"))</f>
        <v/>
      </c>
      <c r="H646" s="6" t="str">
        <f>IF('Input Sheet'!C648="","",100-'Input Sheet'!C648)</f>
        <v/>
      </c>
      <c r="I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6" s="6" t="str">
        <f t="shared" si="10"/>
        <v/>
      </c>
      <c r="K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6" s="6" t="str">
        <f>IF('Input Sheet'!F648=0, "NO",CONCATENATE('Input Sheet'!F648, IF('Input Sheet'!F648&gt;0,"% ","")))</f>
        <v>NO</v>
      </c>
      <c r="M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6" s="6" t="str">
        <f>CONCATENATE(M646, IF('Input Sheet'!J648="",""," siderite in "))</f>
        <v/>
      </c>
      <c r="O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6" s="6" t="str">
        <f>CONCATENATE(O646, IF('Input Sheet'!K648="",""," siderite in "))</f>
        <v/>
      </c>
    </row>
    <row r="647" spans="1:16" x14ac:dyDescent="0.25">
      <c r="A647" s="17" t="str">
        <f>IF('Input Sheet'!C649="","",CONCATENATE("Sample ", 'Input Sheet'!B649, "m: ", N647, H647, "% ", "Siltstone, ", P647, 'Input Sheet'!C649, "% ", J647, " Sandstone, ", L647, K647, " FLUOR in SST. ", "TG ", 'Input Sheet'!I649, "U"))</f>
        <v/>
      </c>
      <c r="B647" s="3" t="str">
        <f>IF('Input Sheet'!C649="","",CONCATENATE("Sample ", 'Input Sheet'!B649, "m: ", O647, I647, "% ", "Siltstone, ", Q647, 'Input Sheet'!C649, "% ", K647, " Sandstone "))</f>
        <v/>
      </c>
      <c r="C647" s="3" t="str">
        <f>IF('Input Sheet'!C649="","",CONCATENATE("Sample ", 'Input Sheet'!B649, "m: ", N647,, L647, K647, " FLUOR in SST. ", "TG ", 'Input Sheet'!I649, "U"))</f>
        <v/>
      </c>
      <c r="H647" s="6" t="str">
        <f>IF('Input Sheet'!C649="","",100-'Input Sheet'!C649)</f>
        <v/>
      </c>
      <c r="I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7" s="6" t="str">
        <f t="shared" si="10"/>
        <v/>
      </c>
      <c r="K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7" s="6" t="str">
        <f>IF('Input Sheet'!F649=0, "NO",CONCATENATE('Input Sheet'!F649, IF('Input Sheet'!F649&gt;0,"% ","")))</f>
        <v>NO</v>
      </c>
      <c r="M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7" s="6" t="str">
        <f>CONCATENATE(M647, IF('Input Sheet'!J649="",""," siderite in "))</f>
        <v/>
      </c>
      <c r="O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7" s="6" t="str">
        <f>CONCATENATE(O647, IF('Input Sheet'!K649="",""," siderite in "))</f>
        <v/>
      </c>
    </row>
    <row r="648" spans="1:16" x14ac:dyDescent="0.25">
      <c r="A648" s="17" t="str">
        <f>IF('Input Sheet'!C650="","",CONCATENATE("Sample ", 'Input Sheet'!B650, "m: ", N648, H648, "% ", "Siltstone, ", P648, 'Input Sheet'!C650, "% ", J648, " Sandstone, ", L648, K648, " FLUOR in SST. ", "TG ", 'Input Sheet'!I650, "U"))</f>
        <v/>
      </c>
      <c r="B648" s="3" t="str">
        <f>IF('Input Sheet'!C650="","",CONCATENATE("Sample ", 'Input Sheet'!B650, "m: ", O648, I648, "% ", "Siltstone, ", Q648, 'Input Sheet'!C650, "% ", K648, " Sandstone "))</f>
        <v/>
      </c>
      <c r="C648" s="3" t="str">
        <f>IF('Input Sheet'!C650="","",CONCATENATE("Sample ", 'Input Sheet'!B650, "m: ", N648,, L648, K648, " FLUOR in SST. ", "TG ", 'Input Sheet'!I650, "U"))</f>
        <v/>
      </c>
      <c r="H648" s="6" t="str">
        <f>IF('Input Sheet'!C650="","",100-'Input Sheet'!C650)</f>
        <v/>
      </c>
      <c r="I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8" s="6" t="str">
        <f t="shared" si="10"/>
        <v/>
      </c>
      <c r="K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8" s="6" t="str">
        <f>IF('Input Sheet'!F650=0, "NO",CONCATENATE('Input Sheet'!F650, IF('Input Sheet'!F650&gt;0,"% ","")))</f>
        <v>NO</v>
      </c>
      <c r="M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8" s="6" t="str">
        <f>CONCATENATE(M648, IF('Input Sheet'!J650="",""," siderite in "))</f>
        <v/>
      </c>
      <c r="O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8" s="6" t="str">
        <f>CONCATENATE(O648, IF('Input Sheet'!K650="",""," siderite in "))</f>
        <v/>
      </c>
    </row>
    <row r="649" spans="1:16" x14ac:dyDescent="0.25">
      <c r="A649" s="17" t="str">
        <f>IF('Input Sheet'!C651="","",CONCATENATE("Sample ", 'Input Sheet'!B651, "m: ", N649, H649, "% ", "Siltstone, ", P649, 'Input Sheet'!C651, "% ", J649, " Sandstone, ", L649, K649, " FLUOR in SST. ", "TG ", 'Input Sheet'!I651, "U"))</f>
        <v/>
      </c>
      <c r="B649" s="3" t="str">
        <f>IF('Input Sheet'!C651="","",CONCATENATE("Sample ", 'Input Sheet'!B651, "m: ", O649, I649, "% ", "Siltstone, ", Q649, 'Input Sheet'!C651, "% ", K649, " Sandstone "))</f>
        <v/>
      </c>
      <c r="C649" s="3" t="str">
        <f>IF('Input Sheet'!C651="","",CONCATENATE("Sample ", 'Input Sheet'!B651, "m: ", N649,, L649, K649, " FLUOR in SST. ", "TG ", 'Input Sheet'!I651, "U"))</f>
        <v/>
      </c>
      <c r="H649" s="6" t="str">
        <f>IF('Input Sheet'!C651="","",100-'Input Sheet'!C651)</f>
        <v/>
      </c>
      <c r="I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49" s="6" t="str">
        <f t="shared" si="10"/>
        <v/>
      </c>
      <c r="K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49" s="6" t="str">
        <f>IF('Input Sheet'!F651=0, "NO",CONCATENATE('Input Sheet'!F651, IF('Input Sheet'!F651&gt;0,"% ","")))</f>
        <v>NO</v>
      </c>
      <c r="M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49" s="6" t="str">
        <f>CONCATENATE(M649, IF('Input Sheet'!J651="",""," siderite in "))</f>
        <v/>
      </c>
      <c r="O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49" s="6" t="str">
        <f>CONCATENATE(O649, IF('Input Sheet'!K651="",""," siderite in "))</f>
        <v/>
      </c>
    </row>
    <row r="650" spans="1:16" x14ac:dyDescent="0.25">
      <c r="A650" s="17" t="str">
        <f>IF('Input Sheet'!C652="","",CONCATENATE("Sample ", 'Input Sheet'!B652, "m: ", N650, H650, "% ", "Siltstone, ", P650, 'Input Sheet'!C652, "% ", J650, " Sandstone, ", L650, K650, " FLUOR in SST. ", "TG ", 'Input Sheet'!I652, "U"))</f>
        <v/>
      </c>
      <c r="B650" s="3" t="str">
        <f>IF('Input Sheet'!C652="","",CONCATENATE("Sample ", 'Input Sheet'!B652, "m: ", O650, I650, "% ", "Siltstone, ", Q650, 'Input Sheet'!C652, "% ", K650, " Sandstone "))</f>
        <v/>
      </c>
      <c r="C650" s="3" t="str">
        <f>IF('Input Sheet'!C652="","",CONCATENATE("Sample ", 'Input Sheet'!B652, "m: ", N650,, L650, K650, " FLUOR in SST. ", "TG ", 'Input Sheet'!I652, "U"))</f>
        <v/>
      </c>
      <c r="H650" s="6" t="str">
        <f>IF('Input Sheet'!C652="","",100-'Input Sheet'!C652)</f>
        <v/>
      </c>
      <c r="I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0" s="6" t="str">
        <f t="shared" si="10"/>
        <v/>
      </c>
      <c r="K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0" s="6" t="str">
        <f>IF('Input Sheet'!F652=0, "NO",CONCATENATE('Input Sheet'!F652, IF('Input Sheet'!F652&gt;0,"% ","")))</f>
        <v>NO</v>
      </c>
      <c r="M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0" s="6" t="str">
        <f>CONCATENATE(M650, IF('Input Sheet'!J652="",""," siderite in "))</f>
        <v/>
      </c>
      <c r="O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0" s="6" t="str">
        <f>CONCATENATE(O650, IF('Input Sheet'!K652="",""," siderite in "))</f>
        <v/>
      </c>
    </row>
    <row r="651" spans="1:16" x14ac:dyDescent="0.25">
      <c r="A651" s="17" t="str">
        <f>IF('Input Sheet'!C653="","",CONCATENATE("Sample ", 'Input Sheet'!B653, "m: ", N651, H651, "% ", "Siltstone, ", P651, 'Input Sheet'!C653, "% ", J651, " Sandstone, ", L651, K651, " FLUOR in SST. ", "TG ", 'Input Sheet'!I653, "U"))</f>
        <v/>
      </c>
      <c r="B651" s="3" t="str">
        <f>IF('Input Sheet'!C653="","",CONCATENATE("Sample ", 'Input Sheet'!B653, "m: ", O651, I651, "% ", "Siltstone, ", Q651, 'Input Sheet'!C653, "% ", K651, " Sandstone "))</f>
        <v/>
      </c>
      <c r="C651" s="3" t="str">
        <f>IF('Input Sheet'!C653="","",CONCATENATE("Sample ", 'Input Sheet'!B653, "m: ", N651,, L651, K651, " FLUOR in SST. ", "TG ", 'Input Sheet'!I653, "U"))</f>
        <v/>
      </c>
      <c r="H651" s="6" t="str">
        <f>IF('Input Sheet'!C653="","",100-'Input Sheet'!C653)</f>
        <v/>
      </c>
      <c r="I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1" s="6" t="str">
        <f t="shared" si="10"/>
        <v/>
      </c>
      <c r="K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1" s="6" t="str">
        <f>IF('Input Sheet'!F653=0, "NO",CONCATENATE('Input Sheet'!F653, IF('Input Sheet'!F653&gt;0,"% ","")))</f>
        <v>NO</v>
      </c>
      <c r="M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1" s="6" t="str">
        <f>CONCATENATE(M651, IF('Input Sheet'!J653="",""," siderite in "))</f>
        <v/>
      </c>
      <c r="O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1" s="6" t="str">
        <f>CONCATENATE(O651, IF('Input Sheet'!K653="",""," siderite in "))</f>
        <v/>
      </c>
    </row>
    <row r="652" spans="1:16" x14ac:dyDescent="0.25">
      <c r="A652" s="17" t="str">
        <f>IF('Input Sheet'!C654="","",CONCATENATE("Sample ", 'Input Sheet'!B654, "m: ", N652, H652, "% ", "Siltstone, ", P652, 'Input Sheet'!C654, "% ", J652, " Sandstone, ", L652, K652, " FLUOR in SST. ", "TG ", 'Input Sheet'!I654, "U"))</f>
        <v/>
      </c>
      <c r="B652" s="3" t="str">
        <f>IF('Input Sheet'!C654="","",CONCATENATE("Sample ", 'Input Sheet'!B654, "m: ", O652, I652, "% ", "Siltstone, ", Q652, 'Input Sheet'!C654, "% ", K652, " Sandstone "))</f>
        <v/>
      </c>
      <c r="C652" s="3" t="str">
        <f>IF('Input Sheet'!C654="","",CONCATENATE("Sample ", 'Input Sheet'!B654, "m: ", N652,, L652, K652, " FLUOR in SST. ", "TG ", 'Input Sheet'!I654, "U"))</f>
        <v/>
      </c>
      <c r="H652" s="6" t="str">
        <f>IF('Input Sheet'!C654="","",100-'Input Sheet'!C654)</f>
        <v/>
      </c>
      <c r="I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2" s="6" t="str">
        <f t="shared" si="10"/>
        <v/>
      </c>
      <c r="K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2" s="6" t="str">
        <f>IF('Input Sheet'!F654=0, "NO",CONCATENATE('Input Sheet'!F654, IF('Input Sheet'!F654&gt;0,"% ","")))</f>
        <v>NO</v>
      </c>
      <c r="M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2" s="6" t="str">
        <f>CONCATENATE(M652, IF('Input Sheet'!J654="",""," siderite in "))</f>
        <v/>
      </c>
      <c r="O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2" s="6" t="str">
        <f>CONCATENATE(O652, IF('Input Sheet'!K654="",""," siderite in "))</f>
        <v/>
      </c>
    </row>
    <row r="653" spans="1:16" x14ac:dyDescent="0.25">
      <c r="A653" s="17" t="str">
        <f>IF('Input Sheet'!C655="","",CONCATENATE("Sample ", 'Input Sheet'!B655, "m: ", N653, H653, "% ", "Siltstone, ", P653, 'Input Sheet'!C655, "% ", J653, " Sandstone, ", L653, K653, " FLUOR in SST. ", "TG ", 'Input Sheet'!I655, "U"))</f>
        <v/>
      </c>
      <c r="B653" s="3" t="str">
        <f>IF('Input Sheet'!C655="","",CONCATENATE("Sample ", 'Input Sheet'!B655, "m: ", O653, I653, "% ", "Siltstone, ", Q653, 'Input Sheet'!C655, "% ", K653, " Sandstone "))</f>
        <v/>
      </c>
      <c r="C653" s="3" t="str">
        <f>IF('Input Sheet'!C655="","",CONCATENATE("Sample ", 'Input Sheet'!B655, "m: ", N653,, L653, K653, " FLUOR in SST. ", "TG ", 'Input Sheet'!I655, "U"))</f>
        <v/>
      </c>
      <c r="H653" s="6" t="str">
        <f>IF('Input Sheet'!C655="","",100-'Input Sheet'!C655)</f>
        <v/>
      </c>
      <c r="I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3" s="6" t="str">
        <f t="shared" si="10"/>
        <v/>
      </c>
      <c r="K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3" s="6" t="str">
        <f>IF('Input Sheet'!F655=0, "NO",CONCATENATE('Input Sheet'!F655, IF('Input Sheet'!F655&gt;0,"% ","")))</f>
        <v>NO</v>
      </c>
      <c r="M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3" s="6" t="str">
        <f>CONCATENATE(M653, IF('Input Sheet'!J655="",""," siderite in "))</f>
        <v/>
      </c>
      <c r="O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3" s="6" t="str">
        <f>CONCATENATE(O653, IF('Input Sheet'!K655="",""," siderite in "))</f>
        <v/>
      </c>
    </row>
    <row r="654" spans="1:16" x14ac:dyDescent="0.25">
      <c r="A654" s="17" t="str">
        <f>IF('Input Sheet'!C656="","",CONCATENATE("Sample ", 'Input Sheet'!B656, "m: ", N654, H654, "% ", "Siltstone, ", P654, 'Input Sheet'!C656, "% ", J654, " Sandstone, ", L654, K654, " FLUOR in SST. ", "TG ", 'Input Sheet'!I656, "U"))</f>
        <v/>
      </c>
      <c r="B654" s="3" t="str">
        <f>IF('Input Sheet'!C656="","",CONCATENATE("Sample ", 'Input Sheet'!B656, "m: ", O654, I654, "% ", "Siltstone, ", Q654, 'Input Sheet'!C656, "% ", K654, " Sandstone "))</f>
        <v/>
      </c>
      <c r="C654" s="3" t="str">
        <f>IF('Input Sheet'!C656="","",CONCATENATE("Sample ", 'Input Sheet'!B656, "m: ", N654,, L654, K654, " FLUOR in SST. ", "TG ", 'Input Sheet'!I656, "U"))</f>
        <v/>
      </c>
      <c r="H654" s="6" t="str">
        <f>IF('Input Sheet'!C656="","",100-'Input Sheet'!C656)</f>
        <v/>
      </c>
      <c r="I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4" s="6" t="str">
        <f t="shared" si="10"/>
        <v/>
      </c>
      <c r="K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4" s="6" t="str">
        <f>IF('Input Sheet'!F656=0, "NO",CONCATENATE('Input Sheet'!F656, IF('Input Sheet'!F656&gt;0,"% ","")))</f>
        <v>NO</v>
      </c>
      <c r="M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4" s="6" t="str">
        <f>CONCATENATE(M654, IF('Input Sheet'!J656="",""," siderite in "))</f>
        <v/>
      </c>
      <c r="O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4" s="6" t="str">
        <f>CONCATENATE(O654, IF('Input Sheet'!K656="",""," siderite in "))</f>
        <v/>
      </c>
    </row>
    <row r="655" spans="1:16" x14ac:dyDescent="0.25">
      <c r="A655" s="17" t="str">
        <f>IF('Input Sheet'!C657="","",CONCATENATE("Sample ", 'Input Sheet'!B657, "m: ", N655, H655, "% ", "Siltstone, ", P655, 'Input Sheet'!C657, "% ", J655, " Sandstone, ", L655, K655, " FLUOR in SST. ", "TG ", 'Input Sheet'!I657, "U"))</f>
        <v/>
      </c>
      <c r="B655" s="3" t="str">
        <f>IF('Input Sheet'!C657="","",CONCATENATE("Sample ", 'Input Sheet'!B657, "m: ", O655, I655, "% ", "Siltstone, ", Q655, 'Input Sheet'!C657, "% ", K655, " Sandstone "))</f>
        <v/>
      </c>
      <c r="C655" s="3" t="str">
        <f>IF('Input Sheet'!C657="","",CONCATENATE("Sample ", 'Input Sheet'!B657, "m: ", N655,, L655, K655, " FLUOR in SST. ", "TG ", 'Input Sheet'!I657, "U"))</f>
        <v/>
      </c>
      <c r="H655" s="6" t="str">
        <f>IF('Input Sheet'!C657="","",100-'Input Sheet'!C657)</f>
        <v/>
      </c>
      <c r="I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5" s="6" t="str">
        <f t="shared" si="10"/>
        <v/>
      </c>
      <c r="K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5" s="6" t="str">
        <f>IF('Input Sheet'!F657=0, "NO",CONCATENATE('Input Sheet'!F657, IF('Input Sheet'!F657&gt;0,"% ","")))</f>
        <v>NO</v>
      </c>
      <c r="M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5" s="6" t="str">
        <f>CONCATENATE(M655, IF('Input Sheet'!J657="",""," siderite in "))</f>
        <v/>
      </c>
      <c r="O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5" s="6" t="str">
        <f>CONCATENATE(O655, IF('Input Sheet'!K657="",""," siderite in "))</f>
        <v/>
      </c>
    </row>
    <row r="656" spans="1:16" x14ac:dyDescent="0.25">
      <c r="A656" s="17" t="str">
        <f>IF('Input Sheet'!C658="","",CONCATENATE("Sample ", 'Input Sheet'!B658, "m: ", N656, H656, "% ", "Siltstone, ", P656, 'Input Sheet'!C658, "% ", J656, " Sandstone, ", L656, K656, " FLUOR in SST. ", "TG ", 'Input Sheet'!I658, "U"))</f>
        <v/>
      </c>
      <c r="B656" s="3" t="str">
        <f>IF('Input Sheet'!C658="","",CONCATENATE("Sample ", 'Input Sheet'!B658, "m: ", O656, I656, "% ", "Siltstone, ", Q656, 'Input Sheet'!C658, "% ", K656, " Sandstone "))</f>
        <v/>
      </c>
      <c r="C656" s="3" t="str">
        <f>IF('Input Sheet'!C658="","",CONCATENATE("Sample ", 'Input Sheet'!B658, "m: ", N656,, L656, K656, " FLUOR in SST. ", "TG ", 'Input Sheet'!I658, "U"))</f>
        <v/>
      </c>
      <c r="H656" s="6" t="str">
        <f>IF('Input Sheet'!C658="","",100-'Input Sheet'!C658)</f>
        <v/>
      </c>
      <c r="I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6" s="6" t="str">
        <f t="shared" si="10"/>
        <v/>
      </c>
      <c r="K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6" s="6" t="str">
        <f>IF('Input Sheet'!F658=0, "NO",CONCATENATE('Input Sheet'!F658, IF('Input Sheet'!F658&gt;0,"% ","")))</f>
        <v>NO</v>
      </c>
      <c r="M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6" s="6" t="str">
        <f>CONCATENATE(M656, IF('Input Sheet'!J658="",""," siderite in "))</f>
        <v/>
      </c>
      <c r="O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6" s="6" t="str">
        <f>CONCATENATE(O656, IF('Input Sheet'!K658="",""," siderite in "))</f>
        <v/>
      </c>
    </row>
    <row r="657" spans="1:16" x14ac:dyDescent="0.25">
      <c r="A657" s="17" t="str">
        <f>IF('Input Sheet'!C659="","",CONCATENATE("Sample ", 'Input Sheet'!B659, "m: ", N657, H657, "% ", "Siltstone, ", P657, 'Input Sheet'!C659, "% ", J657, " Sandstone, ", L657, K657, " FLUOR in SST. ", "TG ", 'Input Sheet'!I659, "U"))</f>
        <v/>
      </c>
      <c r="B657" s="3" t="str">
        <f>IF('Input Sheet'!C659="","",CONCATENATE("Sample ", 'Input Sheet'!B659, "m: ", O657, I657, "% ", "Siltstone, ", Q657, 'Input Sheet'!C659, "% ", K657, " Sandstone "))</f>
        <v/>
      </c>
      <c r="C657" s="3" t="str">
        <f>IF('Input Sheet'!C659="","",CONCATENATE("Sample ", 'Input Sheet'!B659, "m: ", N657,, L657, K657, " FLUOR in SST. ", "TG ", 'Input Sheet'!I659, "U"))</f>
        <v/>
      </c>
      <c r="H657" s="6" t="str">
        <f>IF('Input Sheet'!C659="","",100-'Input Sheet'!C659)</f>
        <v/>
      </c>
      <c r="I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7" s="6" t="str">
        <f t="shared" si="10"/>
        <v/>
      </c>
      <c r="K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7" s="6" t="str">
        <f>IF('Input Sheet'!F659=0, "NO",CONCATENATE('Input Sheet'!F659, IF('Input Sheet'!F659&gt;0,"% ","")))</f>
        <v>NO</v>
      </c>
      <c r="M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7" s="6" t="str">
        <f>CONCATENATE(M657, IF('Input Sheet'!J659="",""," siderite in "))</f>
        <v/>
      </c>
      <c r="O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7" s="6" t="str">
        <f>CONCATENATE(O657, IF('Input Sheet'!K659="",""," siderite in "))</f>
        <v/>
      </c>
    </row>
    <row r="658" spans="1:16" x14ac:dyDescent="0.25">
      <c r="A658" s="17" t="str">
        <f>IF('Input Sheet'!C660="","",CONCATENATE("Sample ", 'Input Sheet'!B660, "m: ", N658, H658, "% ", "Siltstone, ", P658, 'Input Sheet'!C660, "% ", J658, " Sandstone, ", L658, K658, " FLUOR in SST. ", "TG ", 'Input Sheet'!I660, "U"))</f>
        <v/>
      </c>
      <c r="B658" s="3" t="str">
        <f>IF('Input Sheet'!C660="","",CONCATENATE("Sample ", 'Input Sheet'!B660, "m: ", O658, I658, "% ", "Siltstone, ", Q658, 'Input Sheet'!C660, "% ", K658, " Sandstone "))</f>
        <v/>
      </c>
      <c r="C658" s="3" t="str">
        <f>IF('Input Sheet'!C660="","",CONCATENATE("Sample ", 'Input Sheet'!B660, "m: ", N658,, L658, K658, " FLUOR in SST. ", "TG ", 'Input Sheet'!I660, "U"))</f>
        <v/>
      </c>
      <c r="H658" s="6" t="str">
        <f>IF('Input Sheet'!C660="","",100-'Input Sheet'!C660)</f>
        <v/>
      </c>
      <c r="I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8" s="6" t="str">
        <f t="shared" si="10"/>
        <v/>
      </c>
      <c r="K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8" s="6" t="str">
        <f>IF('Input Sheet'!F660=0, "NO",CONCATENATE('Input Sheet'!F660, IF('Input Sheet'!F660&gt;0,"% ","")))</f>
        <v>NO</v>
      </c>
      <c r="M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8" s="6" t="str">
        <f>CONCATENATE(M658, IF('Input Sheet'!J660="",""," siderite in "))</f>
        <v/>
      </c>
      <c r="O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8" s="6" t="str">
        <f>CONCATENATE(O658, IF('Input Sheet'!K660="",""," siderite in "))</f>
        <v/>
      </c>
    </row>
    <row r="659" spans="1:16" x14ac:dyDescent="0.25">
      <c r="A659" s="17" t="str">
        <f>IF('Input Sheet'!C661="","",CONCATENATE("Sample ", 'Input Sheet'!B661, "m: ", N659, H659, "% ", "Siltstone, ", P659, 'Input Sheet'!C661, "% ", J659, " Sandstone, ", L659, K659, " FLUOR in SST. ", "TG ", 'Input Sheet'!I661, "U"))</f>
        <v/>
      </c>
      <c r="B659" s="3" t="str">
        <f>IF('Input Sheet'!C661="","",CONCATENATE("Sample ", 'Input Sheet'!B661, "m: ", O659, I659, "% ", "Siltstone, ", Q659, 'Input Sheet'!C661, "% ", K659, " Sandstone "))</f>
        <v/>
      </c>
      <c r="C659" s="3" t="str">
        <f>IF('Input Sheet'!C661="","",CONCATENATE("Sample ", 'Input Sheet'!B661, "m: ", N659,, L659, K659, " FLUOR in SST. ", "TG ", 'Input Sheet'!I661, "U"))</f>
        <v/>
      </c>
      <c r="H659" s="6" t="str">
        <f>IF('Input Sheet'!C661="","",100-'Input Sheet'!C661)</f>
        <v/>
      </c>
      <c r="I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59" s="6" t="str">
        <f t="shared" si="10"/>
        <v/>
      </c>
      <c r="K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59" s="6" t="str">
        <f>IF('Input Sheet'!F661=0, "NO",CONCATENATE('Input Sheet'!F661, IF('Input Sheet'!F661&gt;0,"% ","")))</f>
        <v>NO</v>
      </c>
      <c r="M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59" s="6" t="str">
        <f>CONCATENATE(M659, IF('Input Sheet'!J661="",""," siderite in "))</f>
        <v/>
      </c>
      <c r="O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59" s="6" t="str">
        <f>CONCATENATE(O659, IF('Input Sheet'!K661="",""," siderite in "))</f>
        <v/>
      </c>
    </row>
    <row r="660" spans="1:16" x14ac:dyDescent="0.25">
      <c r="A660" s="17" t="str">
        <f>IF('Input Sheet'!C662="","",CONCATENATE("Sample ", 'Input Sheet'!B662, "m: ", N660, H660, "% ", "Siltstone, ", P660, 'Input Sheet'!C662, "% ", J660, " Sandstone, ", L660, K660, " FLUOR in SST. ", "TG ", 'Input Sheet'!I662, "U"))</f>
        <v/>
      </c>
      <c r="B660" s="3" t="str">
        <f>IF('Input Sheet'!C662="","",CONCATENATE("Sample ", 'Input Sheet'!B662, "m: ", O660, I660, "% ", "Siltstone, ", Q660, 'Input Sheet'!C662, "% ", K660, " Sandstone "))</f>
        <v/>
      </c>
      <c r="C660" s="3" t="str">
        <f>IF('Input Sheet'!C662="","",CONCATENATE("Sample ", 'Input Sheet'!B662, "m: ", N660,, L660, K660, " FLUOR in SST. ", "TG ", 'Input Sheet'!I662, "U"))</f>
        <v/>
      </c>
      <c r="H660" s="6" t="str">
        <f>IF('Input Sheet'!C662="","",100-'Input Sheet'!C662)</f>
        <v/>
      </c>
      <c r="I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0" s="6" t="str">
        <f t="shared" si="10"/>
        <v/>
      </c>
      <c r="K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0" s="6" t="str">
        <f>IF('Input Sheet'!F662=0, "NO",CONCATENATE('Input Sheet'!F662, IF('Input Sheet'!F662&gt;0,"% ","")))</f>
        <v>NO</v>
      </c>
      <c r="M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0" s="6" t="str">
        <f>CONCATENATE(M660, IF('Input Sheet'!J662="",""," siderite in "))</f>
        <v/>
      </c>
      <c r="O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0" s="6" t="str">
        <f>CONCATENATE(O660, IF('Input Sheet'!K662="",""," siderite in "))</f>
        <v/>
      </c>
    </row>
    <row r="661" spans="1:16" x14ac:dyDescent="0.25">
      <c r="A661" s="17" t="str">
        <f>IF('Input Sheet'!C663="","",CONCATENATE("Sample ", 'Input Sheet'!B663, "m: ", N661, H661, "% ", "Siltstone, ", P661, 'Input Sheet'!C663, "% ", J661, " Sandstone, ", L661, K661, " FLUOR in SST. ", "TG ", 'Input Sheet'!I663, "U"))</f>
        <v/>
      </c>
      <c r="B661" s="3" t="str">
        <f>IF('Input Sheet'!C663="","",CONCATENATE("Sample ", 'Input Sheet'!B663, "m: ", O661, I661, "% ", "Siltstone, ", Q661, 'Input Sheet'!C663, "% ", K661, " Sandstone "))</f>
        <v/>
      </c>
      <c r="C661" s="3" t="str">
        <f>IF('Input Sheet'!C663="","",CONCATENATE("Sample ", 'Input Sheet'!B663, "m: ", N661,, L661, K661, " FLUOR in SST. ", "TG ", 'Input Sheet'!I663, "U"))</f>
        <v/>
      </c>
      <c r="H661" s="6" t="str">
        <f>IF('Input Sheet'!C663="","",100-'Input Sheet'!C663)</f>
        <v/>
      </c>
      <c r="I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1" s="6" t="str">
        <f t="shared" si="10"/>
        <v/>
      </c>
      <c r="K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1" s="6" t="str">
        <f>IF('Input Sheet'!F663=0, "NO",CONCATENATE('Input Sheet'!F663, IF('Input Sheet'!F663&gt;0,"% ","")))</f>
        <v>NO</v>
      </c>
      <c r="M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1" s="6" t="str">
        <f>CONCATENATE(M661, IF('Input Sheet'!J663="",""," siderite in "))</f>
        <v/>
      </c>
      <c r="O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1" s="6" t="str">
        <f>CONCATENATE(O661, IF('Input Sheet'!K663="",""," siderite in "))</f>
        <v/>
      </c>
    </row>
    <row r="662" spans="1:16" x14ac:dyDescent="0.25">
      <c r="A662" s="17" t="str">
        <f>IF('Input Sheet'!C664="","",CONCATENATE("Sample ", 'Input Sheet'!B664, "m: ", N662, H662, "% ", "Siltstone, ", P662, 'Input Sheet'!C664, "% ", J662, " Sandstone, ", L662, K662, " FLUOR in SST. ", "TG ", 'Input Sheet'!I664, "U"))</f>
        <v/>
      </c>
      <c r="B662" s="3" t="str">
        <f>IF('Input Sheet'!C664="","",CONCATENATE("Sample ", 'Input Sheet'!B664, "m: ", O662, I662, "% ", "Siltstone, ", Q662, 'Input Sheet'!C664, "% ", K662, " Sandstone "))</f>
        <v/>
      </c>
      <c r="C662" s="3" t="str">
        <f>IF('Input Sheet'!C664="","",CONCATENATE("Sample ", 'Input Sheet'!B664, "m: ", N662,, L662, K662, " FLUOR in SST. ", "TG ", 'Input Sheet'!I664, "U"))</f>
        <v/>
      </c>
      <c r="H662" s="6" t="str">
        <f>IF('Input Sheet'!C664="","",100-'Input Sheet'!C664)</f>
        <v/>
      </c>
      <c r="I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2" s="6" t="str">
        <f t="shared" si="10"/>
        <v/>
      </c>
      <c r="K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2" s="6" t="str">
        <f>IF('Input Sheet'!F664=0, "NO",CONCATENATE('Input Sheet'!F664, IF('Input Sheet'!F664&gt;0,"% ","")))</f>
        <v>NO</v>
      </c>
      <c r="M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2" s="6" t="str">
        <f>CONCATENATE(M662, IF('Input Sheet'!J664="",""," siderite in "))</f>
        <v/>
      </c>
      <c r="O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2" s="6" t="str">
        <f>CONCATENATE(O662, IF('Input Sheet'!K664="",""," siderite in "))</f>
        <v/>
      </c>
    </row>
    <row r="663" spans="1:16" x14ac:dyDescent="0.25">
      <c r="A663" s="17" t="str">
        <f>IF('Input Sheet'!C665="","",CONCATENATE("Sample ", 'Input Sheet'!B665, "m: ", N663, H663, "% ", "Siltstone, ", P663, 'Input Sheet'!C665, "% ", J663, " Sandstone, ", L663, K663, " FLUOR in SST. ", "TG ", 'Input Sheet'!I665, "U"))</f>
        <v/>
      </c>
      <c r="B663" s="3" t="str">
        <f>IF('Input Sheet'!C665="","",CONCATENATE("Sample ", 'Input Sheet'!B665, "m: ", O663, I663, "% ", "Siltstone, ", Q663, 'Input Sheet'!C665, "% ", K663, " Sandstone "))</f>
        <v/>
      </c>
      <c r="C663" s="3" t="str">
        <f>IF('Input Sheet'!C665="","",CONCATENATE("Sample ", 'Input Sheet'!B665, "m: ", N663,, L663, K663, " FLUOR in SST. ", "TG ", 'Input Sheet'!I665, "U"))</f>
        <v/>
      </c>
      <c r="H663" s="6" t="str">
        <f>IF('Input Sheet'!C665="","",100-'Input Sheet'!C665)</f>
        <v/>
      </c>
      <c r="I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3" s="6" t="str">
        <f t="shared" si="10"/>
        <v/>
      </c>
      <c r="K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3" s="6" t="str">
        <f>IF('Input Sheet'!F665=0, "NO",CONCATENATE('Input Sheet'!F665, IF('Input Sheet'!F665&gt;0,"% ","")))</f>
        <v>NO</v>
      </c>
      <c r="M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3" s="6" t="str">
        <f>CONCATENATE(M663, IF('Input Sheet'!J665="",""," siderite in "))</f>
        <v/>
      </c>
      <c r="O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3" s="6" t="str">
        <f>CONCATENATE(O663, IF('Input Sheet'!K665="",""," siderite in "))</f>
        <v/>
      </c>
    </row>
    <row r="664" spans="1:16" x14ac:dyDescent="0.25">
      <c r="A664" s="17" t="str">
        <f>IF('Input Sheet'!C666="","",CONCATENATE("Sample ", 'Input Sheet'!B666, "m: ", N664, H664, "% ", "Siltstone, ", P664, 'Input Sheet'!C666, "% ", J664, " Sandstone, ", L664, K664, " FLUOR in SST. ", "TG ", 'Input Sheet'!I666, "U"))</f>
        <v/>
      </c>
      <c r="B664" s="3" t="str">
        <f>IF('Input Sheet'!C666="","",CONCATENATE("Sample ", 'Input Sheet'!B666, "m: ", O664, I664, "% ", "Siltstone, ", Q664, 'Input Sheet'!C666, "% ", K664, " Sandstone "))</f>
        <v/>
      </c>
      <c r="C664" s="3" t="str">
        <f>IF('Input Sheet'!C666="","",CONCATENATE("Sample ", 'Input Sheet'!B666, "m: ", N664,, L664, K664, " FLUOR in SST. ", "TG ", 'Input Sheet'!I666, "U"))</f>
        <v/>
      </c>
      <c r="H664" s="6" t="str">
        <f>IF('Input Sheet'!C666="","",100-'Input Sheet'!C666)</f>
        <v/>
      </c>
      <c r="I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4" s="6" t="str">
        <f t="shared" si="10"/>
        <v/>
      </c>
      <c r="K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4" s="6" t="str">
        <f>IF('Input Sheet'!F666=0, "NO",CONCATENATE('Input Sheet'!F666, IF('Input Sheet'!F666&gt;0,"% ","")))</f>
        <v>NO</v>
      </c>
      <c r="M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4" s="6" t="str">
        <f>CONCATENATE(M664, IF('Input Sheet'!J666="",""," siderite in "))</f>
        <v/>
      </c>
      <c r="O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4" s="6" t="str">
        <f>CONCATENATE(O664, IF('Input Sheet'!K666="",""," siderite in "))</f>
        <v/>
      </c>
    </row>
    <row r="665" spans="1:16" x14ac:dyDescent="0.25">
      <c r="A665" s="17" t="str">
        <f>IF('Input Sheet'!C667="","",CONCATENATE("Sample ", 'Input Sheet'!B667, "m: ", N665, H665, "% ", "Siltstone, ", P665, 'Input Sheet'!C667, "% ", J665, " Sandstone, ", L665, K665, " FLUOR in SST. ", "TG ", 'Input Sheet'!I667, "U"))</f>
        <v/>
      </c>
      <c r="B665" s="3" t="str">
        <f>IF('Input Sheet'!C667="","",CONCATENATE("Sample ", 'Input Sheet'!B667, "m: ", O665, I665, "% ", "Siltstone, ", Q665, 'Input Sheet'!C667, "% ", K665, " Sandstone "))</f>
        <v/>
      </c>
      <c r="C665" s="3" t="str">
        <f>IF('Input Sheet'!C667="","",CONCATENATE("Sample ", 'Input Sheet'!B667, "m: ", N665,, L665, K665, " FLUOR in SST. ", "TG ", 'Input Sheet'!I667, "U"))</f>
        <v/>
      </c>
      <c r="H665" s="6" t="str">
        <f>IF('Input Sheet'!C667="","",100-'Input Sheet'!C667)</f>
        <v/>
      </c>
      <c r="I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5" s="6" t="str">
        <f t="shared" si="10"/>
        <v/>
      </c>
      <c r="K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5" s="6" t="str">
        <f>IF('Input Sheet'!F667=0, "NO",CONCATENATE('Input Sheet'!F667, IF('Input Sheet'!F667&gt;0,"% ","")))</f>
        <v>NO</v>
      </c>
      <c r="M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5" s="6" t="str">
        <f>CONCATENATE(M665, IF('Input Sheet'!J667="",""," siderite in "))</f>
        <v/>
      </c>
      <c r="O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5" s="6" t="str">
        <f>CONCATENATE(O665, IF('Input Sheet'!K667="",""," siderite in "))</f>
        <v/>
      </c>
    </row>
    <row r="666" spans="1:16" x14ac:dyDescent="0.25">
      <c r="A666" s="17" t="str">
        <f>IF('Input Sheet'!C668="","",CONCATENATE("Sample ", 'Input Sheet'!B668, "m: ", N666, H666, "% ", "Siltstone, ", P666, 'Input Sheet'!C668, "% ", J666, " Sandstone, ", L666, K666, " FLUOR in SST. ", "TG ", 'Input Sheet'!I668, "U"))</f>
        <v/>
      </c>
      <c r="B666" s="3" t="str">
        <f>IF('Input Sheet'!C668="","",CONCATENATE("Sample ", 'Input Sheet'!B668, "m: ", O666, I666, "% ", "Siltstone, ", Q666, 'Input Sheet'!C668, "% ", K666, " Sandstone "))</f>
        <v/>
      </c>
      <c r="C666" s="3" t="str">
        <f>IF('Input Sheet'!C668="","",CONCATENATE("Sample ", 'Input Sheet'!B668, "m: ", N666,, L666, K666, " FLUOR in SST. ", "TG ", 'Input Sheet'!I668, "U"))</f>
        <v/>
      </c>
      <c r="H666" s="6" t="str">
        <f>IF('Input Sheet'!C668="","",100-'Input Sheet'!C668)</f>
        <v/>
      </c>
      <c r="I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6" s="6" t="str">
        <f t="shared" si="10"/>
        <v/>
      </c>
      <c r="K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6" s="6" t="str">
        <f>IF('Input Sheet'!F668=0, "NO",CONCATENATE('Input Sheet'!F668, IF('Input Sheet'!F668&gt;0,"% ","")))</f>
        <v>NO</v>
      </c>
      <c r="M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6" s="6" t="str">
        <f>CONCATENATE(M666, IF('Input Sheet'!J668="",""," siderite in "))</f>
        <v/>
      </c>
      <c r="O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6" s="6" t="str">
        <f>CONCATENATE(O666, IF('Input Sheet'!K668="",""," siderite in "))</f>
        <v/>
      </c>
    </row>
    <row r="667" spans="1:16" x14ac:dyDescent="0.25">
      <c r="A667" s="17" t="str">
        <f>IF('Input Sheet'!C669="","",CONCATENATE("Sample ", 'Input Sheet'!B669, "m: ", N667, H667, "% ", "Siltstone, ", P667, 'Input Sheet'!C669, "% ", J667, " Sandstone, ", L667, K667, " FLUOR in SST. ", "TG ", 'Input Sheet'!I669, "U"))</f>
        <v/>
      </c>
      <c r="B667" s="3" t="str">
        <f>IF('Input Sheet'!C669="","",CONCATENATE("Sample ", 'Input Sheet'!B669, "m: ", O667, I667, "% ", "Siltstone, ", Q667, 'Input Sheet'!C669, "% ", K667, " Sandstone "))</f>
        <v/>
      </c>
      <c r="C667" s="3" t="str">
        <f>IF('Input Sheet'!C669="","",CONCATENATE("Sample ", 'Input Sheet'!B669, "m: ", N667,, L667, K667, " FLUOR in SST. ", "TG ", 'Input Sheet'!I669, "U"))</f>
        <v/>
      </c>
      <c r="H667" s="6" t="str">
        <f>IF('Input Sheet'!C669="","",100-'Input Sheet'!C669)</f>
        <v/>
      </c>
      <c r="I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7" s="6" t="str">
        <f t="shared" si="10"/>
        <v/>
      </c>
      <c r="K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7" s="6" t="str">
        <f>IF('Input Sheet'!F669=0, "NO",CONCATENATE('Input Sheet'!F669, IF('Input Sheet'!F669&gt;0,"% ","")))</f>
        <v>NO</v>
      </c>
      <c r="M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7" s="6" t="str">
        <f>CONCATENATE(M667, IF('Input Sheet'!J669="",""," siderite in "))</f>
        <v/>
      </c>
      <c r="O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7" s="6" t="str">
        <f>CONCATENATE(O667, IF('Input Sheet'!K669="",""," siderite in "))</f>
        <v/>
      </c>
    </row>
    <row r="668" spans="1:16" x14ac:dyDescent="0.25">
      <c r="A668" s="17" t="str">
        <f>IF('Input Sheet'!C670="","",CONCATENATE("Sample ", 'Input Sheet'!B670, "m: ", N668, H668, "% ", "Siltstone, ", P668, 'Input Sheet'!C670, "% ", J668, " Sandstone, ", L668, K668, " FLUOR in SST. ", "TG ", 'Input Sheet'!I670, "U"))</f>
        <v/>
      </c>
      <c r="B668" s="3" t="str">
        <f>IF('Input Sheet'!C670="","",CONCATENATE("Sample ", 'Input Sheet'!B670, "m: ", O668, I668, "% ", "Siltstone, ", Q668, 'Input Sheet'!C670, "% ", K668, " Sandstone "))</f>
        <v/>
      </c>
      <c r="C668" s="3" t="str">
        <f>IF('Input Sheet'!C670="","",CONCATENATE("Sample ", 'Input Sheet'!B670, "m: ", N668,, L668, K668, " FLUOR in SST. ", "TG ", 'Input Sheet'!I670, "U"))</f>
        <v/>
      </c>
      <c r="H668" s="6" t="str">
        <f>IF('Input Sheet'!C670="","",100-'Input Sheet'!C670)</f>
        <v/>
      </c>
      <c r="I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8" s="6" t="str">
        <f t="shared" si="10"/>
        <v/>
      </c>
      <c r="K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8" s="6" t="str">
        <f>IF('Input Sheet'!F670=0, "NO",CONCATENATE('Input Sheet'!F670, IF('Input Sheet'!F670&gt;0,"% ","")))</f>
        <v>NO</v>
      </c>
      <c r="M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8" s="6" t="str">
        <f>CONCATENATE(M668, IF('Input Sheet'!J670="",""," siderite in "))</f>
        <v/>
      </c>
      <c r="O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8" s="6" t="str">
        <f>CONCATENATE(O668, IF('Input Sheet'!K670="",""," siderite in "))</f>
        <v/>
      </c>
    </row>
    <row r="669" spans="1:16" x14ac:dyDescent="0.25">
      <c r="A669" s="17" t="str">
        <f>IF('Input Sheet'!C671="","",CONCATENATE("Sample ", 'Input Sheet'!B671, "m: ", N669, H669, "% ", "Siltstone, ", P669, 'Input Sheet'!C671, "% ", J669, " Sandstone, ", L669, K669, " FLUOR in SST. ", "TG ", 'Input Sheet'!I671, "U"))</f>
        <v/>
      </c>
      <c r="B669" s="3" t="str">
        <f>IF('Input Sheet'!C671="","",CONCATENATE("Sample ", 'Input Sheet'!B671, "m: ", O669, I669, "% ", "Siltstone, ", Q669, 'Input Sheet'!C671, "% ", K669, " Sandstone "))</f>
        <v/>
      </c>
      <c r="C669" s="3" t="str">
        <f>IF('Input Sheet'!C671="","",CONCATENATE("Sample ", 'Input Sheet'!B671, "m: ", N669,, L669, K669, " FLUOR in SST. ", "TG ", 'Input Sheet'!I671, "U"))</f>
        <v/>
      </c>
      <c r="H669" s="6" t="str">
        <f>IF('Input Sheet'!C671="","",100-'Input Sheet'!C671)</f>
        <v/>
      </c>
      <c r="I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69" s="6" t="str">
        <f t="shared" si="10"/>
        <v/>
      </c>
      <c r="K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69" s="6" t="str">
        <f>IF('Input Sheet'!F671=0, "NO",CONCATENATE('Input Sheet'!F671, IF('Input Sheet'!F671&gt;0,"% ","")))</f>
        <v>NO</v>
      </c>
      <c r="M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69" s="6" t="str">
        <f>CONCATENATE(M669, IF('Input Sheet'!J671="",""," siderite in "))</f>
        <v/>
      </c>
      <c r="O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69" s="6" t="str">
        <f>CONCATENATE(O669, IF('Input Sheet'!K671="",""," siderite in "))</f>
        <v/>
      </c>
    </row>
    <row r="670" spans="1:16" x14ac:dyDescent="0.25">
      <c r="A670" s="17" t="str">
        <f>IF('Input Sheet'!C672="","",CONCATENATE("Sample ", 'Input Sheet'!B672, "m: ", N670, H670, "% ", "Siltstone, ", P670, 'Input Sheet'!C672, "% ", J670, " Sandstone, ", L670, K670, " FLUOR in SST. ", "TG ", 'Input Sheet'!I672, "U"))</f>
        <v/>
      </c>
      <c r="B670" s="3" t="str">
        <f>IF('Input Sheet'!C672="","",CONCATENATE("Sample ", 'Input Sheet'!B672, "m: ", O670, I670, "% ", "Siltstone, ", Q670, 'Input Sheet'!C672, "% ", K670, " Sandstone "))</f>
        <v/>
      </c>
      <c r="C670" s="3" t="str">
        <f>IF('Input Sheet'!C672="","",CONCATENATE("Sample ", 'Input Sheet'!B672, "m: ", N670,, L670, K670, " FLUOR in SST. ", "TG ", 'Input Sheet'!I672, "U"))</f>
        <v/>
      </c>
      <c r="H670" s="6" t="str">
        <f>IF('Input Sheet'!C672="","",100-'Input Sheet'!C672)</f>
        <v/>
      </c>
      <c r="I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0" s="6" t="str">
        <f t="shared" si="10"/>
        <v/>
      </c>
      <c r="K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0" s="6" t="str">
        <f>IF('Input Sheet'!F672=0, "NO",CONCATENATE('Input Sheet'!F672, IF('Input Sheet'!F672&gt;0,"% ","")))</f>
        <v>NO</v>
      </c>
      <c r="M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0" s="6" t="str">
        <f>CONCATENATE(M670, IF('Input Sheet'!J672="",""," siderite in "))</f>
        <v/>
      </c>
      <c r="O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0" s="6" t="str">
        <f>CONCATENATE(O670, IF('Input Sheet'!K672="",""," siderite in "))</f>
        <v/>
      </c>
    </row>
    <row r="671" spans="1:16" x14ac:dyDescent="0.25">
      <c r="A671" s="17" t="str">
        <f>IF('Input Sheet'!C673="","",CONCATENATE("Sample ", 'Input Sheet'!B673, "m: ", N671, H671, "% ", "Siltstone, ", P671, 'Input Sheet'!C673, "% ", J671, " Sandstone, ", L671, K671, " FLUOR in SST. ", "TG ", 'Input Sheet'!I673, "U"))</f>
        <v/>
      </c>
      <c r="B671" s="3" t="str">
        <f>IF('Input Sheet'!C673="","",CONCATENATE("Sample ", 'Input Sheet'!B673, "m: ", O671, I671, "% ", "Siltstone, ", Q671, 'Input Sheet'!C673, "% ", K671, " Sandstone "))</f>
        <v/>
      </c>
      <c r="C671" s="3" t="str">
        <f>IF('Input Sheet'!C673="","",CONCATENATE("Sample ", 'Input Sheet'!B673, "m: ", N671,, L671, K671, " FLUOR in SST. ", "TG ", 'Input Sheet'!I673, "U"))</f>
        <v/>
      </c>
      <c r="H671" s="6" t="str">
        <f>IF('Input Sheet'!C673="","",100-'Input Sheet'!C673)</f>
        <v/>
      </c>
      <c r="I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1" s="6" t="str">
        <f t="shared" si="10"/>
        <v/>
      </c>
      <c r="K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1" s="6" t="str">
        <f>IF('Input Sheet'!F673=0, "NO",CONCATENATE('Input Sheet'!F673, IF('Input Sheet'!F673&gt;0,"% ","")))</f>
        <v>NO</v>
      </c>
      <c r="M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1" s="6" t="str">
        <f>CONCATENATE(M671, IF('Input Sheet'!J673="",""," siderite in "))</f>
        <v/>
      </c>
      <c r="O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1" s="6" t="str">
        <f>CONCATENATE(O671, IF('Input Sheet'!K673="",""," siderite in "))</f>
        <v/>
      </c>
    </row>
    <row r="672" spans="1:16" x14ac:dyDescent="0.25">
      <c r="A672" s="17" t="str">
        <f>IF('Input Sheet'!C674="","",CONCATENATE("Sample ", 'Input Sheet'!B674, "m: ", N672, H672, "% ", "Siltstone, ", P672, 'Input Sheet'!C674, "% ", J672, " Sandstone, ", L672, K672, " FLUOR in SST. ", "TG ", 'Input Sheet'!I674, "U"))</f>
        <v/>
      </c>
      <c r="B672" s="3" t="str">
        <f>IF('Input Sheet'!C674="","",CONCATENATE("Sample ", 'Input Sheet'!B674, "m: ", O672, I672, "% ", "Siltstone, ", Q672, 'Input Sheet'!C674, "% ", K672, " Sandstone "))</f>
        <v/>
      </c>
      <c r="C672" s="3" t="str">
        <f>IF('Input Sheet'!C674="","",CONCATENATE("Sample ", 'Input Sheet'!B674, "m: ", N672,, L672, K672, " FLUOR in SST. ", "TG ", 'Input Sheet'!I674, "U"))</f>
        <v/>
      </c>
      <c r="H672" s="6" t="str">
        <f>IF('Input Sheet'!C674="","",100-'Input Sheet'!C674)</f>
        <v/>
      </c>
      <c r="I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2" s="6" t="str">
        <f t="shared" si="10"/>
        <v/>
      </c>
      <c r="K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2" s="6" t="str">
        <f>IF('Input Sheet'!F674=0, "NO",CONCATENATE('Input Sheet'!F674, IF('Input Sheet'!F674&gt;0,"% ","")))</f>
        <v>NO</v>
      </c>
      <c r="M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2" s="6" t="str">
        <f>CONCATENATE(M672, IF('Input Sheet'!J674="",""," siderite in "))</f>
        <v/>
      </c>
      <c r="O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2" s="6" t="str">
        <f>CONCATENATE(O672, IF('Input Sheet'!K674="",""," siderite in "))</f>
        <v/>
      </c>
    </row>
    <row r="673" spans="1:16" x14ac:dyDescent="0.25">
      <c r="A673" s="17" t="str">
        <f>IF('Input Sheet'!C675="","",CONCATENATE("Sample ", 'Input Sheet'!B675, "m: ", N673, H673, "% ", "Siltstone, ", P673, 'Input Sheet'!C675, "% ", J673, " Sandstone, ", L673, K673, " FLUOR in SST. ", "TG ", 'Input Sheet'!I675, "U"))</f>
        <v/>
      </c>
      <c r="B673" s="3" t="str">
        <f>IF('Input Sheet'!C675="","",CONCATENATE("Sample ", 'Input Sheet'!B675, "m: ", O673, I673, "% ", "Siltstone, ", Q673, 'Input Sheet'!C675, "% ", K673, " Sandstone "))</f>
        <v/>
      </c>
      <c r="C673" s="3" t="str">
        <f>IF('Input Sheet'!C675="","",CONCATENATE("Sample ", 'Input Sheet'!B675, "m: ", N673,, L673, K673, " FLUOR in SST. ", "TG ", 'Input Sheet'!I675, "U"))</f>
        <v/>
      </c>
      <c r="H673" s="6" t="str">
        <f>IF('Input Sheet'!C675="","",100-'Input Sheet'!C675)</f>
        <v/>
      </c>
      <c r="I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3" s="6" t="str">
        <f t="shared" si="10"/>
        <v/>
      </c>
      <c r="K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3" s="6" t="str">
        <f>IF('Input Sheet'!F675=0, "NO",CONCATENATE('Input Sheet'!F675, IF('Input Sheet'!F675&gt;0,"% ","")))</f>
        <v>NO</v>
      </c>
      <c r="M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3" s="6" t="str">
        <f>CONCATENATE(M673, IF('Input Sheet'!J675="",""," siderite in "))</f>
        <v/>
      </c>
      <c r="O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3" s="6" t="str">
        <f>CONCATENATE(O673, IF('Input Sheet'!K675="",""," siderite in "))</f>
        <v/>
      </c>
    </row>
    <row r="674" spans="1:16" x14ac:dyDescent="0.25">
      <c r="A674" s="17" t="str">
        <f>IF('Input Sheet'!C676="","",CONCATENATE("Sample ", 'Input Sheet'!B676, "m: ", N674, H674, "% ", "Siltstone, ", P674, 'Input Sheet'!C676, "% ", J674, " Sandstone, ", L674, K674, " FLUOR in SST. ", "TG ", 'Input Sheet'!I676, "U"))</f>
        <v/>
      </c>
      <c r="B674" s="3" t="str">
        <f>IF('Input Sheet'!C676="","",CONCATENATE("Sample ", 'Input Sheet'!B676, "m: ", O674, I674, "% ", "Siltstone, ", Q674, 'Input Sheet'!C676, "% ", K674, " Sandstone "))</f>
        <v/>
      </c>
      <c r="C674" s="3" t="str">
        <f>IF('Input Sheet'!C676="","",CONCATENATE("Sample ", 'Input Sheet'!B676, "m: ", N674,, L674, K674, " FLUOR in SST. ", "TG ", 'Input Sheet'!I676, "U"))</f>
        <v/>
      </c>
      <c r="H674" s="6" t="str">
        <f>IF('Input Sheet'!C676="","",100-'Input Sheet'!C676)</f>
        <v/>
      </c>
      <c r="I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4" s="6" t="str">
        <f t="shared" si="10"/>
        <v/>
      </c>
      <c r="K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4" s="6" t="str">
        <f>IF('Input Sheet'!F676=0, "NO",CONCATENATE('Input Sheet'!F676, IF('Input Sheet'!F676&gt;0,"% ","")))</f>
        <v>NO</v>
      </c>
      <c r="M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4" s="6" t="str">
        <f>CONCATENATE(M674, IF('Input Sheet'!J676="",""," siderite in "))</f>
        <v/>
      </c>
      <c r="O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4" s="6" t="str">
        <f>CONCATENATE(O674, IF('Input Sheet'!K676="",""," siderite in "))</f>
        <v/>
      </c>
    </row>
    <row r="675" spans="1:16" x14ac:dyDescent="0.25">
      <c r="A675" s="17" t="str">
        <f>IF('Input Sheet'!C677="","",CONCATENATE("Sample ", 'Input Sheet'!B677, "m: ", N675, H675, "% ", "Siltstone, ", P675, 'Input Sheet'!C677, "% ", J675, " Sandstone, ", L675, K675, " FLUOR in SST. ", "TG ", 'Input Sheet'!I677, "U"))</f>
        <v/>
      </c>
      <c r="B675" s="3" t="str">
        <f>IF('Input Sheet'!C677="","",CONCATENATE("Sample ", 'Input Sheet'!B677, "m: ", O675, I675, "% ", "Siltstone, ", Q675, 'Input Sheet'!C677, "% ", K675, " Sandstone "))</f>
        <v/>
      </c>
      <c r="C675" s="3" t="str">
        <f>IF('Input Sheet'!C677="","",CONCATENATE("Sample ", 'Input Sheet'!B677, "m: ", N675,, L675, K675, " FLUOR in SST. ", "TG ", 'Input Sheet'!I677, "U"))</f>
        <v/>
      </c>
      <c r="H675" s="6" t="str">
        <f>IF('Input Sheet'!C677="","",100-'Input Sheet'!C677)</f>
        <v/>
      </c>
      <c r="I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5" s="6" t="str">
        <f t="shared" si="10"/>
        <v/>
      </c>
      <c r="K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5" s="6" t="str">
        <f>IF('Input Sheet'!F677=0, "NO",CONCATENATE('Input Sheet'!F677, IF('Input Sheet'!F677&gt;0,"% ","")))</f>
        <v>NO</v>
      </c>
      <c r="M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5" s="6" t="str">
        <f>CONCATENATE(M675, IF('Input Sheet'!J677="",""," siderite in "))</f>
        <v/>
      </c>
      <c r="O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5" s="6" t="str">
        <f>CONCATENATE(O675, IF('Input Sheet'!K677="",""," siderite in "))</f>
        <v/>
      </c>
    </row>
    <row r="676" spans="1:16" x14ac:dyDescent="0.25">
      <c r="A676" s="17" t="str">
        <f>IF('Input Sheet'!C678="","",CONCATENATE("Sample ", 'Input Sheet'!B678, "m: ", N676, H676, "% ", "Siltstone, ", P676, 'Input Sheet'!C678, "% ", J676, " Sandstone, ", L676, K676, " FLUOR in SST. ", "TG ", 'Input Sheet'!I678, "U"))</f>
        <v/>
      </c>
      <c r="B676" s="3" t="str">
        <f>IF('Input Sheet'!C678="","",CONCATENATE("Sample ", 'Input Sheet'!B678, "m: ", O676, I676, "% ", "Siltstone, ", Q676, 'Input Sheet'!C678, "% ", K676, " Sandstone "))</f>
        <v/>
      </c>
      <c r="C676" s="3" t="str">
        <f>IF('Input Sheet'!C678="","",CONCATENATE("Sample ", 'Input Sheet'!B678, "m: ", N676,, L676, K676, " FLUOR in SST. ", "TG ", 'Input Sheet'!I678, "U"))</f>
        <v/>
      </c>
      <c r="H676" s="6" t="str">
        <f>IF('Input Sheet'!C678="","",100-'Input Sheet'!C678)</f>
        <v/>
      </c>
      <c r="I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6" s="6" t="str">
        <f t="shared" si="10"/>
        <v/>
      </c>
      <c r="K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6" s="6" t="str">
        <f>IF('Input Sheet'!F678=0, "NO",CONCATENATE('Input Sheet'!F678, IF('Input Sheet'!F678&gt;0,"% ","")))</f>
        <v>NO</v>
      </c>
      <c r="M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6" s="6" t="str">
        <f>CONCATENATE(M676, IF('Input Sheet'!J678="",""," siderite in "))</f>
        <v/>
      </c>
      <c r="O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6" s="6" t="str">
        <f>CONCATENATE(O676, IF('Input Sheet'!K678="",""," siderite in "))</f>
        <v/>
      </c>
    </row>
    <row r="677" spans="1:16" x14ac:dyDescent="0.25">
      <c r="A677" s="17" t="str">
        <f>IF('Input Sheet'!C679="","",CONCATENATE("Sample ", 'Input Sheet'!B679, "m: ", N677, H677, "% ", "Siltstone, ", P677, 'Input Sheet'!C679, "% ", J677, " Sandstone, ", L677, K677, " FLUOR in SST. ", "TG ", 'Input Sheet'!I679, "U"))</f>
        <v/>
      </c>
      <c r="B677" s="3" t="str">
        <f>IF('Input Sheet'!C679="","",CONCATENATE("Sample ", 'Input Sheet'!B679, "m: ", O677, I677, "% ", "Siltstone, ", Q677, 'Input Sheet'!C679, "% ", K677, " Sandstone "))</f>
        <v/>
      </c>
      <c r="C677" s="3" t="str">
        <f>IF('Input Sheet'!C679="","",CONCATENATE("Sample ", 'Input Sheet'!B679, "m: ", N677,, L677, K677, " FLUOR in SST. ", "TG ", 'Input Sheet'!I679, "U"))</f>
        <v/>
      </c>
      <c r="H677" s="6" t="str">
        <f>IF('Input Sheet'!C679="","",100-'Input Sheet'!C679)</f>
        <v/>
      </c>
      <c r="I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7" s="6" t="str">
        <f t="shared" si="10"/>
        <v/>
      </c>
      <c r="K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7" s="6" t="str">
        <f>IF('Input Sheet'!F679=0, "NO",CONCATENATE('Input Sheet'!F679, IF('Input Sheet'!F679&gt;0,"% ","")))</f>
        <v>NO</v>
      </c>
      <c r="M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7" s="6" t="str">
        <f>CONCATENATE(M677, IF('Input Sheet'!J679="",""," siderite in "))</f>
        <v/>
      </c>
      <c r="O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7" s="6" t="str">
        <f>CONCATENATE(O677, IF('Input Sheet'!K679="",""," siderite in "))</f>
        <v/>
      </c>
    </row>
    <row r="678" spans="1:16" x14ac:dyDescent="0.25">
      <c r="A678" s="17" t="str">
        <f>IF('Input Sheet'!C680="","",CONCATENATE("Sample ", 'Input Sheet'!B680, "m: ", N678, H678, "% ", "Siltstone, ", P678, 'Input Sheet'!C680, "% ", J678, " Sandstone, ", L678, K678, " FLUOR in SST. ", "TG ", 'Input Sheet'!I680, "U"))</f>
        <v/>
      </c>
      <c r="B678" s="3" t="str">
        <f>IF('Input Sheet'!C680="","",CONCATENATE("Sample ", 'Input Sheet'!B680, "m: ", O678, I678, "% ", "Siltstone, ", Q678, 'Input Sheet'!C680, "% ", K678, " Sandstone "))</f>
        <v/>
      </c>
      <c r="C678" s="3" t="str">
        <f>IF('Input Sheet'!C680="","",CONCATENATE("Sample ", 'Input Sheet'!B680, "m: ", N678,, L678, K678, " FLUOR in SST. ", "TG ", 'Input Sheet'!I680, "U"))</f>
        <v/>
      </c>
      <c r="H678" s="6" t="str">
        <f>IF('Input Sheet'!C680="","",100-'Input Sheet'!C680)</f>
        <v/>
      </c>
      <c r="I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8" s="6" t="str">
        <f t="shared" si="10"/>
        <v/>
      </c>
      <c r="K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8" s="6" t="str">
        <f>IF('Input Sheet'!F680=0, "NO",CONCATENATE('Input Sheet'!F680, IF('Input Sheet'!F680&gt;0,"% ","")))</f>
        <v>NO</v>
      </c>
      <c r="M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8" s="6" t="str">
        <f>CONCATENATE(M678, IF('Input Sheet'!J680="",""," siderite in "))</f>
        <v/>
      </c>
      <c r="O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8" s="6" t="str">
        <f>CONCATENATE(O678, IF('Input Sheet'!K680="",""," siderite in "))</f>
        <v/>
      </c>
    </row>
    <row r="679" spans="1:16" x14ac:dyDescent="0.25">
      <c r="A679" s="17" t="str">
        <f>IF('Input Sheet'!C681="","",CONCATENATE("Sample ", 'Input Sheet'!B681, "m: ", N679, H679, "% ", "Siltstone, ", P679, 'Input Sheet'!C681, "% ", J679, " Sandstone, ", L679, K679, " FLUOR in SST. ", "TG ", 'Input Sheet'!I681, "U"))</f>
        <v/>
      </c>
      <c r="B679" s="3" t="str">
        <f>IF('Input Sheet'!C681="","",CONCATENATE("Sample ", 'Input Sheet'!B681, "m: ", O679, I679, "% ", "Siltstone, ", Q679, 'Input Sheet'!C681, "% ", K679, " Sandstone "))</f>
        <v/>
      </c>
      <c r="C679" s="3" t="str">
        <f>IF('Input Sheet'!C681="","",CONCATENATE("Sample ", 'Input Sheet'!B681, "m: ", N679,, L679, K679, " FLUOR in SST. ", "TG ", 'Input Sheet'!I681, "U"))</f>
        <v/>
      </c>
      <c r="H679" s="6" t="str">
        <f>IF('Input Sheet'!C681="","",100-'Input Sheet'!C681)</f>
        <v/>
      </c>
      <c r="I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79" s="6" t="str">
        <f t="shared" si="10"/>
        <v/>
      </c>
      <c r="K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79" s="6" t="str">
        <f>IF('Input Sheet'!F681=0, "NO",CONCATENATE('Input Sheet'!F681, IF('Input Sheet'!F681&gt;0,"% ","")))</f>
        <v>NO</v>
      </c>
      <c r="M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79" s="6" t="str">
        <f>CONCATENATE(M679, IF('Input Sheet'!J681="",""," siderite in "))</f>
        <v/>
      </c>
      <c r="O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79" s="6" t="str">
        <f>CONCATENATE(O679, IF('Input Sheet'!K681="",""," siderite in "))</f>
        <v/>
      </c>
    </row>
    <row r="680" spans="1:16" x14ac:dyDescent="0.25">
      <c r="A680" s="17" t="str">
        <f>IF('Input Sheet'!C682="","",CONCATENATE("Sample ", 'Input Sheet'!B682, "m: ", N680, H680, "% ", "Siltstone, ", P680, 'Input Sheet'!C682, "% ", J680, " Sandstone, ", L680, K680, " FLUOR in SST. ", "TG ", 'Input Sheet'!I682, "U"))</f>
        <v/>
      </c>
      <c r="B680" s="3" t="str">
        <f>IF('Input Sheet'!C682="","",CONCATENATE("Sample ", 'Input Sheet'!B682, "m: ", O680, I680, "% ", "Siltstone, ", Q680, 'Input Sheet'!C682, "% ", K680, " Sandstone "))</f>
        <v/>
      </c>
      <c r="C680" s="3" t="str">
        <f>IF('Input Sheet'!C682="","",CONCATENATE("Sample ", 'Input Sheet'!B682, "m: ", N680,, L680, K680, " FLUOR in SST. ", "TG ", 'Input Sheet'!I682, "U"))</f>
        <v/>
      </c>
      <c r="H680" s="6" t="str">
        <f>IF('Input Sheet'!C682="","",100-'Input Sheet'!C682)</f>
        <v/>
      </c>
      <c r="I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0" s="6" t="str">
        <f t="shared" si="10"/>
        <v/>
      </c>
      <c r="K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0" s="6" t="str">
        <f>IF('Input Sheet'!F682=0, "NO",CONCATENATE('Input Sheet'!F682, IF('Input Sheet'!F682&gt;0,"% ","")))</f>
        <v>NO</v>
      </c>
      <c r="M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0" s="6" t="str">
        <f>CONCATENATE(M680, IF('Input Sheet'!J682="",""," siderite in "))</f>
        <v/>
      </c>
      <c r="O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0" s="6" t="str">
        <f>CONCATENATE(O680, IF('Input Sheet'!K682="",""," siderite in "))</f>
        <v/>
      </c>
    </row>
    <row r="681" spans="1:16" x14ac:dyDescent="0.25">
      <c r="A681" s="17" t="str">
        <f>IF('Input Sheet'!C683="","",CONCATENATE("Sample ", 'Input Sheet'!B683, "m: ", N681, H681, "% ", "Siltstone, ", P681, 'Input Sheet'!C683, "% ", J681, " Sandstone, ", L681, K681, " FLUOR in SST. ", "TG ", 'Input Sheet'!I683, "U"))</f>
        <v/>
      </c>
      <c r="B681" s="3" t="str">
        <f>IF('Input Sheet'!C683="","",CONCATENATE("Sample ", 'Input Sheet'!B683, "m: ", O681, I681, "% ", "Siltstone, ", Q681, 'Input Sheet'!C683, "% ", K681, " Sandstone "))</f>
        <v/>
      </c>
      <c r="C681" s="3" t="str">
        <f>IF('Input Sheet'!C683="","",CONCATENATE("Sample ", 'Input Sheet'!B683, "m: ", N681,, L681, K681, " FLUOR in SST. ", "TG ", 'Input Sheet'!I683, "U"))</f>
        <v/>
      </c>
      <c r="H681" s="6" t="str">
        <f>IF('Input Sheet'!C683="","",100-'Input Sheet'!C683)</f>
        <v/>
      </c>
      <c r="I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1" s="6" t="str">
        <f t="shared" si="10"/>
        <v/>
      </c>
      <c r="K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1" s="6" t="str">
        <f>IF('Input Sheet'!F683=0, "NO",CONCATENATE('Input Sheet'!F683, IF('Input Sheet'!F683&gt;0,"% ","")))</f>
        <v>NO</v>
      </c>
      <c r="M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1" s="6" t="str">
        <f>CONCATENATE(M681, IF('Input Sheet'!J683="",""," siderite in "))</f>
        <v/>
      </c>
      <c r="O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1" s="6" t="str">
        <f>CONCATENATE(O681, IF('Input Sheet'!K683="",""," siderite in "))</f>
        <v/>
      </c>
    </row>
    <row r="682" spans="1:16" x14ac:dyDescent="0.25">
      <c r="A682" s="17" t="str">
        <f>IF('Input Sheet'!C684="","",CONCATENATE("Sample ", 'Input Sheet'!B684, "m: ", N682, H682, "% ", "Siltstone, ", P682, 'Input Sheet'!C684, "% ", J682, " Sandstone, ", L682, K682, " FLUOR in SST. ", "TG ", 'Input Sheet'!I684, "U"))</f>
        <v/>
      </c>
      <c r="B682" s="3" t="str">
        <f>IF('Input Sheet'!C684="","",CONCATENATE("Sample ", 'Input Sheet'!B684, "m: ", O682, I682, "% ", "Siltstone, ", Q682, 'Input Sheet'!C684, "% ", K682, " Sandstone "))</f>
        <v/>
      </c>
      <c r="C682" s="3" t="str">
        <f>IF('Input Sheet'!C684="","",CONCATENATE("Sample ", 'Input Sheet'!B684, "m: ", N682,, L682, K682, " FLUOR in SST. ", "TG ", 'Input Sheet'!I684, "U"))</f>
        <v/>
      </c>
      <c r="H682" s="6" t="str">
        <f>IF('Input Sheet'!C684="","",100-'Input Sheet'!C684)</f>
        <v/>
      </c>
      <c r="I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2" s="6" t="str">
        <f t="shared" si="10"/>
        <v/>
      </c>
      <c r="K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2" s="6" t="str">
        <f>IF('Input Sheet'!F684=0, "NO",CONCATENATE('Input Sheet'!F684, IF('Input Sheet'!F684&gt;0,"% ","")))</f>
        <v>NO</v>
      </c>
      <c r="M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2" s="6" t="str">
        <f>CONCATENATE(M682, IF('Input Sheet'!J684="",""," siderite in "))</f>
        <v/>
      </c>
      <c r="O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2" s="6" t="str">
        <f>CONCATENATE(O682, IF('Input Sheet'!K684="",""," siderite in "))</f>
        <v/>
      </c>
    </row>
    <row r="683" spans="1:16" x14ac:dyDescent="0.25">
      <c r="A683" s="17" t="str">
        <f>IF('Input Sheet'!C685="","",CONCATENATE("Sample ", 'Input Sheet'!B685, "m: ", N683, H683, "% ", "Siltstone, ", P683, 'Input Sheet'!C685, "% ", J683, " Sandstone, ", L683, K683, " FLUOR in SST. ", "TG ", 'Input Sheet'!I685, "U"))</f>
        <v/>
      </c>
      <c r="B683" s="3" t="str">
        <f>IF('Input Sheet'!C685="","",CONCATENATE("Sample ", 'Input Sheet'!B685, "m: ", O683, I683, "% ", "Siltstone, ", Q683, 'Input Sheet'!C685, "% ", K683, " Sandstone "))</f>
        <v/>
      </c>
      <c r="C683" s="3" t="str">
        <f>IF('Input Sheet'!C685="","",CONCATENATE("Sample ", 'Input Sheet'!B685, "m: ", N683,, L683, K683, " FLUOR in SST. ", "TG ", 'Input Sheet'!I685, "U"))</f>
        <v/>
      </c>
      <c r="H683" s="6" t="str">
        <f>IF('Input Sheet'!C685="","",100-'Input Sheet'!C685)</f>
        <v/>
      </c>
      <c r="I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3" s="6" t="str">
        <f t="shared" si="10"/>
        <v/>
      </c>
      <c r="K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3" s="6" t="str">
        <f>IF('Input Sheet'!F685=0, "NO",CONCATENATE('Input Sheet'!F685, IF('Input Sheet'!F685&gt;0,"% ","")))</f>
        <v>NO</v>
      </c>
      <c r="M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3" s="6" t="str">
        <f>CONCATENATE(M683, IF('Input Sheet'!J685="",""," siderite in "))</f>
        <v/>
      </c>
      <c r="O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3" s="6" t="str">
        <f>CONCATENATE(O683, IF('Input Sheet'!K685="",""," siderite in "))</f>
        <v/>
      </c>
    </row>
    <row r="684" spans="1:16" x14ac:dyDescent="0.25">
      <c r="A684" s="17" t="str">
        <f>IF('Input Sheet'!C686="","",CONCATENATE("Sample ", 'Input Sheet'!B686, "m: ", N684, H684, "% ", "Siltstone, ", P684, 'Input Sheet'!C686, "% ", J684, " Sandstone, ", L684, K684, " FLUOR in SST. ", "TG ", 'Input Sheet'!I686, "U"))</f>
        <v/>
      </c>
      <c r="B684" s="3" t="str">
        <f>IF('Input Sheet'!C686="","",CONCATENATE("Sample ", 'Input Sheet'!B686, "m: ", O684, I684, "% ", "Siltstone, ", Q684, 'Input Sheet'!C686, "% ", K684, " Sandstone "))</f>
        <v/>
      </c>
      <c r="C684" s="3" t="str">
        <f>IF('Input Sheet'!C686="","",CONCATENATE("Sample ", 'Input Sheet'!B686, "m: ", N684,, L684, K684, " FLUOR in SST. ", "TG ", 'Input Sheet'!I686, "U"))</f>
        <v/>
      </c>
      <c r="H684" s="6" t="str">
        <f>IF('Input Sheet'!C686="","",100-'Input Sheet'!C686)</f>
        <v/>
      </c>
      <c r="I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4" s="6" t="str">
        <f t="shared" si="10"/>
        <v/>
      </c>
      <c r="K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4" s="6" t="str">
        <f>IF('Input Sheet'!F686=0, "NO",CONCATENATE('Input Sheet'!F686, IF('Input Sheet'!F686&gt;0,"% ","")))</f>
        <v>NO</v>
      </c>
      <c r="M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4" s="6" t="str">
        <f>CONCATENATE(M684, IF('Input Sheet'!J686="",""," siderite in "))</f>
        <v/>
      </c>
      <c r="O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4" s="6" t="str">
        <f>CONCATENATE(O684, IF('Input Sheet'!K686="",""," siderite in "))</f>
        <v/>
      </c>
    </row>
    <row r="685" spans="1:16" x14ac:dyDescent="0.25">
      <c r="A685" s="17" t="str">
        <f>IF('Input Sheet'!C687="","",CONCATENATE("Sample ", 'Input Sheet'!B687, "m: ", N685, H685, "% ", "Siltstone, ", P685, 'Input Sheet'!C687, "% ", J685, " Sandstone, ", L685, K685, " FLUOR in SST. ", "TG ", 'Input Sheet'!I687, "U"))</f>
        <v/>
      </c>
      <c r="B685" s="3" t="str">
        <f>IF('Input Sheet'!C687="","",CONCATENATE("Sample ", 'Input Sheet'!B687, "m: ", O685, I685, "% ", "Siltstone, ", Q685, 'Input Sheet'!C687, "% ", K685, " Sandstone "))</f>
        <v/>
      </c>
      <c r="C685" s="3" t="str">
        <f>IF('Input Sheet'!C687="","",CONCATENATE("Sample ", 'Input Sheet'!B687, "m: ", N685,, L685, K685, " FLUOR in SST. ", "TG ", 'Input Sheet'!I687, "U"))</f>
        <v/>
      </c>
      <c r="H685" s="6" t="str">
        <f>IF('Input Sheet'!C687="","",100-'Input Sheet'!C687)</f>
        <v/>
      </c>
      <c r="I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5" s="6" t="str">
        <f t="shared" si="10"/>
        <v/>
      </c>
      <c r="K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5" s="6" t="str">
        <f>IF('Input Sheet'!F687=0, "NO",CONCATENATE('Input Sheet'!F687, IF('Input Sheet'!F687&gt;0,"% ","")))</f>
        <v>NO</v>
      </c>
      <c r="M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5" s="6" t="str">
        <f>CONCATENATE(M685, IF('Input Sheet'!J687="",""," siderite in "))</f>
        <v/>
      </c>
      <c r="O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5" s="6" t="str">
        <f>CONCATENATE(O685, IF('Input Sheet'!K687="",""," siderite in "))</f>
        <v/>
      </c>
    </row>
    <row r="686" spans="1:16" x14ac:dyDescent="0.25">
      <c r="A686" s="17" t="str">
        <f>IF('Input Sheet'!C688="","",CONCATENATE("Sample ", 'Input Sheet'!B688, "m: ", N686, H686, "% ", "Siltstone, ", P686, 'Input Sheet'!C688, "% ", J686, " Sandstone, ", L686, K686, " FLUOR in SST. ", "TG ", 'Input Sheet'!I688, "U"))</f>
        <v/>
      </c>
      <c r="B686" s="3" t="str">
        <f>IF('Input Sheet'!C688="","",CONCATENATE("Sample ", 'Input Sheet'!B688, "m: ", O686, I686, "% ", "Siltstone, ", Q686, 'Input Sheet'!C688, "% ", K686, " Sandstone "))</f>
        <v/>
      </c>
      <c r="C686" s="3" t="str">
        <f>IF('Input Sheet'!C688="","",CONCATENATE("Sample ", 'Input Sheet'!B688, "m: ", N686,, L686, K686, " FLUOR in SST. ", "TG ", 'Input Sheet'!I688, "U"))</f>
        <v/>
      </c>
      <c r="H686" s="6" t="str">
        <f>IF('Input Sheet'!C688="","",100-'Input Sheet'!C688)</f>
        <v/>
      </c>
      <c r="I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6" s="6" t="str">
        <f t="shared" si="10"/>
        <v/>
      </c>
      <c r="K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6" s="6" t="str">
        <f>IF('Input Sheet'!F688=0, "NO",CONCATENATE('Input Sheet'!F688, IF('Input Sheet'!F688&gt;0,"% ","")))</f>
        <v>NO</v>
      </c>
      <c r="M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6" s="6" t="str">
        <f>CONCATENATE(M686, IF('Input Sheet'!J688="",""," siderite in "))</f>
        <v/>
      </c>
      <c r="O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6" s="6" t="str">
        <f>CONCATENATE(O686, IF('Input Sheet'!K688="",""," siderite in "))</f>
        <v/>
      </c>
    </row>
    <row r="687" spans="1:16" x14ac:dyDescent="0.25">
      <c r="A687" s="17" t="str">
        <f>IF('Input Sheet'!C689="","",CONCATENATE("Sample ", 'Input Sheet'!B689, "m: ", N687, H687, "% ", "Siltstone, ", P687, 'Input Sheet'!C689, "% ", J687, " Sandstone, ", L687, K687, " FLUOR in SST. ", "TG ", 'Input Sheet'!I689, "U"))</f>
        <v/>
      </c>
      <c r="B687" s="3" t="str">
        <f>IF('Input Sheet'!C689="","",CONCATENATE("Sample ", 'Input Sheet'!B689, "m: ", O687, I687, "% ", "Siltstone, ", Q687, 'Input Sheet'!C689, "% ", K687, " Sandstone "))</f>
        <v/>
      </c>
      <c r="C687" s="3" t="str">
        <f>IF('Input Sheet'!C689="","",CONCATENATE("Sample ", 'Input Sheet'!B689, "m: ", N687,, L687, K687, " FLUOR in SST. ", "TG ", 'Input Sheet'!I689, "U"))</f>
        <v/>
      </c>
      <c r="H687" s="6" t="str">
        <f>IF('Input Sheet'!C689="","",100-'Input Sheet'!C689)</f>
        <v/>
      </c>
      <c r="I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7" s="6" t="str">
        <f t="shared" si="10"/>
        <v/>
      </c>
      <c r="K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7" s="6" t="str">
        <f>IF('Input Sheet'!F689=0, "NO",CONCATENATE('Input Sheet'!F689, IF('Input Sheet'!F689&gt;0,"% ","")))</f>
        <v>NO</v>
      </c>
      <c r="M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7" s="6" t="str">
        <f>CONCATENATE(M687, IF('Input Sheet'!J689="",""," siderite in "))</f>
        <v/>
      </c>
      <c r="O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7" s="6" t="str">
        <f>CONCATENATE(O687, IF('Input Sheet'!K689="",""," siderite in "))</f>
        <v/>
      </c>
    </row>
    <row r="688" spans="1:16" x14ac:dyDescent="0.25">
      <c r="A688" s="17" t="str">
        <f>IF('Input Sheet'!C690="","",CONCATENATE("Sample ", 'Input Sheet'!B690, "m: ", N688, H688, "% ", "Siltstone, ", P688, 'Input Sheet'!C690, "% ", J688, " Sandstone, ", L688, K688, " FLUOR in SST. ", "TG ", 'Input Sheet'!I690, "U"))</f>
        <v/>
      </c>
      <c r="B688" s="3" t="str">
        <f>IF('Input Sheet'!C690="","",CONCATENATE("Sample ", 'Input Sheet'!B690, "m: ", O688, I688, "% ", "Siltstone, ", Q688, 'Input Sheet'!C690, "% ", K688, " Sandstone "))</f>
        <v/>
      </c>
      <c r="C688" s="3" t="str">
        <f>IF('Input Sheet'!C690="","",CONCATENATE("Sample ", 'Input Sheet'!B690, "m: ", N688,, L688, K688, " FLUOR in SST. ", "TG ", 'Input Sheet'!I690, "U"))</f>
        <v/>
      </c>
      <c r="H688" s="6" t="str">
        <f>IF('Input Sheet'!C690="","",100-'Input Sheet'!C690)</f>
        <v/>
      </c>
      <c r="I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8" s="6" t="str">
        <f t="shared" si="10"/>
        <v/>
      </c>
      <c r="K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8" s="6" t="str">
        <f>IF('Input Sheet'!F690=0, "NO",CONCATENATE('Input Sheet'!F690, IF('Input Sheet'!F690&gt;0,"% ","")))</f>
        <v>NO</v>
      </c>
      <c r="M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8" s="6" t="str">
        <f>CONCATENATE(M688, IF('Input Sheet'!J690="",""," siderite in "))</f>
        <v/>
      </c>
      <c r="O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8" s="6" t="str">
        <f>CONCATENATE(O688, IF('Input Sheet'!K690="",""," siderite in "))</f>
        <v/>
      </c>
    </row>
    <row r="689" spans="1:16" x14ac:dyDescent="0.25">
      <c r="A689" s="17" t="str">
        <f>IF('Input Sheet'!C691="","",CONCATENATE("Sample ", 'Input Sheet'!B691, "m: ", N689, H689, "% ", "Siltstone, ", P689, 'Input Sheet'!C691, "% ", J689, " Sandstone, ", L689, K689, " FLUOR in SST. ", "TG ", 'Input Sheet'!I691, "U"))</f>
        <v/>
      </c>
      <c r="B689" s="3" t="str">
        <f>IF('Input Sheet'!C691="","",CONCATENATE("Sample ", 'Input Sheet'!B691, "m: ", O689, I689, "% ", "Siltstone, ", Q689, 'Input Sheet'!C691, "% ", K689, " Sandstone "))</f>
        <v/>
      </c>
      <c r="C689" s="3" t="str">
        <f>IF('Input Sheet'!C691="","",CONCATENATE("Sample ", 'Input Sheet'!B691, "m: ", N689,, L689, K689, " FLUOR in SST. ", "TG ", 'Input Sheet'!I691, "U"))</f>
        <v/>
      </c>
      <c r="H689" s="6" t="str">
        <f>IF('Input Sheet'!C691="","",100-'Input Sheet'!C691)</f>
        <v/>
      </c>
      <c r="I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89" s="6" t="str">
        <f t="shared" si="10"/>
        <v/>
      </c>
      <c r="K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89" s="6" t="str">
        <f>IF('Input Sheet'!F691=0, "NO",CONCATENATE('Input Sheet'!F691, IF('Input Sheet'!F691&gt;0,"% ","")))</f>
        <v>NO</v>
      </c>
      <c r="M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89" s="6" t="str">
        <f>CONCATENATE(M689, IF('Input Sheet'!J691="",""," siderite in "))</f>
        <v/>
      </c>
      <c r="O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89" s="6" t="str">
        <f>CONCATENATE(O689, IF('Input Sheet'!K691="",""," siderite in "))</f>
        <v/>
      </c>
    </row>
    <row r="690" spans="1:16" x14ac:dyDescent="0.25">
      <c r="A690" s="17" t="str">
        <f>IF('Input Sheet'!C692="","",CONCATENATE("Sample ", 'Input Sheet'!B692, "m: ", N690, H690, "% ", "Siltstone, ", P690, 'Input Sheet'!C692, "% ", J690, " Sandstone, ", L690, K690, " FLUOR in SST. ", "TG ", 'Input Sheet'!I692, "U"))</f>
        <v/>
      </c>
      <c r="B690" s="3" t="str">
        <f>IF('Input Sheet'!C692="","",CONCATENATE("Sample ", 'Input Sheet'!B692, "m: ", O690, I690, "% ", "Siltstone, ", Q690, 'Input Sheet'!C692, "% ", K690, " Sandstone "))</f>
        <v/>
      </c>
      <c r="C690" s="3" t="str">
        <f>IF('Input Sheet'!C692="","",CONCATENATE("Sample ", 'Input Sheet'!B692, "m: ", N690,, L690, K690, " FLUOR in SST. ", "TG ", 'Input Sheet'!I692, "U"))</f>
        <v/>
      </c>
      <c r="H690" s="6" t="str">
        <f>IF('Input Sheet'!C692="","",100-'Input Sheet'!C692)</f>
        <v/>
      </c>
      <c r="I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0" s="6" t="str">
        <f t="shared" si="10"/>
        <v/>
      </c>
      <c r="K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0" s="6" t="str">
        <f>IF('Input Sheet'!F692=0, "NO",CONCATENATE('Input Sheet'!F692, IF('Input Sheet'!F692&gt;0,"% ","")))</f>
        <v>NO</v>
      </c>
      <c r="M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0" s="6" t="str">
        <f>CONCATENATE(M690, IF('Input Sheet'!J692="",""," siderite in "))</f>
        <v/>
      </c>
      <c r="O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0" s="6" t="str">
        <f>CONCATENATE(O690, IF('Input Sheet'!K692="",""," siderite in "))</f>
        <v/>
      </c>
    </row>
    <row r="691" spans="1:16" x14ac:dyDescent="0.25">
      <c r="A691" s="17" t="str">
        <f>IF('Input Sheet'!C693="","",CONCATENATE("Sample ", 'Input Sheet'!B693, "m: ", N691, H691, "% ", "Siltstone, ", P691, 'Input Sheet'!C693, "% ", J691, " Sandstone, ", L691, K691, " FLUOR in SST. ", "TG ", 'Input Sheet'!I693, "U"))</f>
        <v/>
      </c>
      <c r="B691" s="3" t="str">
        <f>IF('Input Sheet'!C693="","",CONCATENATE("Sample ", 'Input Sheet'!B693, "m: ", O691, I691, "% ", "Siltstone, ", Q691, 'Input Sheet'!C693, "% ", K691, " Sandstone "))</f>
        <v/>
      </c>
      <c r="C691" s="3" t="str">
        <f>IF('Input Sheet'!C693="","",CONCATENATE("Sample ", 'Input Sheet'!B693, "m: ", N691,, L691, K691, " FLUOR in SST. ", "TG ", 'Input Sheet'!I693, "U"))</f>
        <v/>
      </c>
      <c r="H691" s="6" t="str">
        <f>IF('Input Sheet'!C693="","",100-'Input Sheet'!C693)</f>
        <v/>
      </c>
      <c r="I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1" s="6" t="str">
        <f t="shared" si="10"/>
        <v/>
      </c>
      <c r="K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1" s="6" t="str">
        <f>IF('Input Sheet'!F693=0, "NO",CONCATENATE('Input Sheet'!F693, IF('Input Sheet'!F693&gt;0,"% ","")))</f>
        <v>NO</v>
      </c>
      <c r="M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1" s="6" t="str">
        <f>CONCATENATE(M691, IF('Input Sheet'!J693="",""," siderite in "))</f>
        <v/>
      </c>
      <c r="O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1" s="6" t="str">
        <f>CONCATENATE(O691, IF('Input Sheet'!K693="",""," siderite in "))</f>
        <v/>
      </c>
    </row>
    <row r="692" spans="1:16" x14ac:dyDescent="0.25">
      <c r="A692" s="17" t="str">
        <f>IF('Input Sheet'!C694="","",CONCATENATE("Sample ", 'Input Sheet'!B694, "m: ", N692, H692, "% ", "Siltstone, ", P692, 'Input Sheet'!C694, "% ", J692, " Sandstone, ", L692, K692, " FLUOR in SST. ", "TG ", 'Input Sheet'!I694, "U"))</f>
        <v/>
      </c>
      <c r="B692" s="3" t="str">
        <f>IF('Input Sheet'!C694="","",CONCATENATE("Sample ", 'Input Sheet'!B694, "m: ", O692, I692, "% ", "Siltstone, ", Q692, 'Input Sheet'!C694, "% ", K692, " Sandstone "))</f>
        <v/>
      </c>
      <c r="C692" s="3" t="str">
        <f>IF('Input Sheet'!C694="","",CONCATENATE("Sample ", 'Input Sheet'!B694, "m: ", N692,, L692, K692, " FLUOR in SST. ", "TG ", 'Input Sheet'!I694, "U"))</f>
        <v/>
      </c>
      <c r="H692" s="6" t="str">
        <f>IF('Input Sheet'!C694="","",100-'Input Sheet'!C694)</f>
        <v/>
      </c>
      <c r="I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2" s="6" t="str">
        <f t="shared" si="10"/>
        <v/>
      </c>
      <c r="K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2" s="6" t="str">
        <f>IF('Input Sheet'!F694=0, "NO",CONCATENATE('Input Sheet'!F694, IF('Input Sheet'!F694&gt;0,"% ","")))</f>
        <v>NO</v>
      </c>
      <c r="M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2" s="6" t="str">
        <f>CONCATENATE(M692, IF('Input Sheet'!J694="",""," siderite in "))</f>
        <v/>
      </c>
      <c r="O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2" s="6" t="str">
        <f>CONCATENATE(O692, IF('Input Sheet'!K694="",""," siderite in "))</f>
        <v/>
      </c>
    </row>
    <row r="693" spans="1:16" x14ac:dyDescent="0.25">
      <c r="A693" s="17" t="str">
        <f>IF('Input Sheet'!C695="","",CONCATENATE("Sample ", 'Input Sheet'!B695, "m: ", N693, H693, "% ", "Siltstone, ", P693, 'Input Sheet'!C695, "% ", J693, " Sandstone, ", L693, K693, " FLUOR in SST. ", "TG ", 'Input Sheet'!I695, "U"))</f>
        <v/>
      </c>
      <c r="B693" s="3" t="str">
        <f>IF('Input Sheet'!C695="","",CONCATENATE("Sample ", 'Input Sheet'!B695, "m: ", O693, I693, "% ", "Siltstone, ", Q693, 'Input Sheet'!C695, "% ", K693, " Sandstone "))</f>
        <v/>
      </c>
      <c r="C693" s="3" t="str">
        <f>IF('Input Sheet'!C695="","",CONCATENATE("Sample ", 'Input Sheet'!B695, "m: ", N693,, L693, K693, " FLUOR in SST. ", "TG ", 'Input Sheet'!I695, "U"))</f>
        <v/>
      </c>
      <c r="H693" s="6" t="str">
        <f>IF('Input Sheet'!C695="","",100-'Input Sheet'!C695)</f>
        <v/>
      </c>
      <c r="I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3" s="6" t="str">
        <f t="shared" si="10"/>
        <v/>
      </c>
      <c r="K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3" s="6" t="str">
        <f>IF('Input Sheet'!F695=0, "NO",CONCATENATE('Input Sheet'!F695, IF('Input Sheet'!F695&gt;0,"% ","")))</f>
        <v>NO</v>
      </c>
      <c r="M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3" s="6" t="str">
        <f>CONCATENATE(M693, IF('Input Sheet'!J695="",""," siderite in "))</f>
        <v/>
      </c>
      <c r="O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3" s="6" t="str">
        <f>CONCATENATE(O693, IF('Input Sheet'!K695="",""," siderite in "))</f>
        <v/>
      </c>
    </row>
    <row r="694" spans="1:16" x14ac:dyDescent="0.25">
      <c r="A694" s="17" t="str">
        <f>IF('Input Sheet'!C696="","",CONCATENATE("Sample ", 'Input Sheet'!B696, "m: ", N694, H694, "% ", "Siltstone, ", P694, 'Input Sheet'!C696, "% ", J694, " Sandstone, ", L694, K694, " FLUOR in SST. ", "TG ", 'Input Sheet'!I696, "U"))</f>
        <v/>
      </c>
      <c r="B694" s="3" t="str">
        <f>IF('Input Sheet'!C696="","",CONCATENATE("Sample ", 'Input Sheet'!B696, "m: ", O694, I694, "% ", "Siltstone, ", Q694, 'Input Sheet'!C696, "% ", K694, " Sandstone "))</f>
        <v/>
      </c>
      <c r="C694" s="3" t="str">
        <f>IF('Input Sheet'!C696="","",CONCATENATE("Sample ", 'Input Sheet'!B696, "m: ", N694,, L694, K694, " FLUOR in SST. ", "TG ", 'Input Sheet'!I696, "U"))</f>
        <v/>
      </c>
      <c r="H694" s="6" t="str">
        <f>IF('Input Sheet'!C696="","",100-'Input Sheet'!C696)</f>
        <v/>
      </c>
      <c r="I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4" s="6" t="str">
        <f t="shared" si="10"/>
        <v/>
      </c>
      <c r="K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4" s="6" t="str">
        <f>IF('Input Sheet'!F696=0, "NO",CONCATENATE('Input Sheet'!F696, IF('Input Sheet'!F696&gt;0,"% ","")))</f>
        <v>NO</v>
      </c>
      <c r="M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4" s="6" t="str">
        <f>CONCATENATE(M694, IF('Input Sheet'!J696="",""," siderite in "))</f>
        <v/>
      </c>
      <c r="O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4" s="6" t="str">
        <f>CONCATENATE(O694, IF('Input Sheet'!K696="",""," siderite in "))</f>
        <v/>
      </c>
    </row>
    <row r="695" spans="1:16" x14ac:dyDescent="0.25">
      <c r="A695" s="17" t="str">
        <f>IF('Input Sheet'!C697="","",CONCATENATE("Sample ", 'Input Sheet'!B697, "m: ", N695, H695, "% ", "Siltstone, ", P695, 'Input Sheet'!C697, "% ", J695, " Sandstone, ", L695, K695, " FLUOR in SST. ", "TG ", 'Input Sheet'!I697, "U"))</f>
        <v/>
      </c>
      <c r="B695" s="3" t="str">
        <f>IF('Input Sheet'!C697="","",CONCATENATE("Sample ", 'Input Sheet'!B697, "m: ", O695, I695, "% ", "Siltstone, ", Q695, 'Input Sheet'!C697, "% ", K695, " Sandstone "))</f>
        <v/>
      </c>
      <c r="C695" s="3" t="str">
        <f>IF('Input Sheet'!C697="","",CONCATENATE("Sample ", 'Input Sheet'!B697, "m: ", N695,, L695, K695, " FLUOR in SST. ", "TG ", 'Input Sheet'!I697, "U"))</f>
        <v/>
      </c>
      <c r="H695" s="6" t="str">
        <f>IF('Input Sheet'!C697="","",100-'Input Sheet'!C697)</f>
        <v/>
      </c>
      <c r="I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5" s="6" t="str">
        <f t="shared" si="10"/>
        <v/>
      </c>
      <c r="K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5" s="6" t="str">
        <f>IF('Input Sheet'!F697=0, "NO",CONCATENATE('Input Sheet'!F697, IF('Input Sheet'!F697&gt;0,"% ","")))</f>
        <v>NO</v>
      </c>
      <c r="M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5" s="6" t="str">
        <f>CONCATENATE(M695, IF('Input Sheet'!J697="",""," siderite in "))</f>
        <v/>
      </c>
      <c r="O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5" s="6" t="str">
        <f>CONCATENATE(O695, IF('Input Sheet'!K697="",""," siderite in "))</f>
        <v/>
      </c>
    </row>
    <row r="696" spans="1:16" x14ac:dyDescent="0.25">
      <c r="A696" s="17" t="str">
        <f>IF('Input Sheet'!C698="","",CONCATENATE("Sample ", 'Input Sheet'!B698, "m: ", N696, H696, "% ", "Siltstone, ", P696, 'Input Sheet'!C698, "% ", J696, " Sandstone, ", L696, K696, " FLUOR in SST. ", "TG ", 'Input Sheet'!I698, "U"))</f>
        <v/>
      </c>
      <c r="B696" s="3" t="str">
        <f>IF('Input Sheet'!C698="","",CONCATENATE("Sample ", 'Input Sheet'!B698, "m: ", O696, I696, "% ", "Siltstone, ", Q696, 'Input Sheet'!C698, "% ", K696, " Sandstone "))</f>
        <v/>
      </c>
      <c r="C696" s="3" t="str">
        <f>IF('Input Sheet'!C698="","",CONCATENATE("Sample ", 'Input Sheet'!B698, "m: ", N696,, L696, K696, " FLUOR in SST. ", "TG ", 'Input Sheet'!I698, "U"))</f>
        <v/>
      </c>
      <c r="H696" s="6" t="str">
        <f>IF('Input Sheet'!C698="","",100-'Input Sheet'!C698)</f>
        <v/>
      </c>
      <c r="I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6" s="6" t="str">
        <f t="shared" si="10"/>
        <v/>
      </c>
      <c r="K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6" s="6" t="str">
        <f>IF('Input Sheet'!F698=0, "NO",CONCATENATE('Input Sheet'!F698, IF('Input Sheet'!F698&gt;0,"% ","")))</f>
        <v>NO</v>
      </c>
      <c r="M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6" s="6" t="str">
        <f>CONCATENATE(M696, IF('Input Sheet'!J698="",""," siderite in "))</f>
        <v/>
      </c>
      <c r="O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6" s="6" t="str">
        <f>CONCATENATE(O696, IF('Input Sheet'!K698="",""," siderite in "))</f>
        <v/>
      </c>
    </row>
    <row r="697" spans="1:16" x14ac:dyDescent="0.25">
      <c r="A697" s="17" t="str">
        <f>IF('Input Sheet'!C699="","",CONCATENATE("Sample ", 'Input Sheet'!B699, "m: ", N697, H697, "% ", "Siltstone, ", P697, 'Input Sheet'!C699, "% ", J697, " Sandstone, ", L697, K697, " FLUOR in SST. ", "TG ", 'Input Sheet'!I699, "U"))</f>
        <v/>
      </c>
      <c r="B697" s="3" t="str">
        <f>IF('Input Sheet'!C699="","",CONCATENATE("Sample ", 'Input Sheet'!B699, "m: ", O697, I697, "% ", "Siltstone, ", Q697, 'Input Sheet'!C699, "% ", K697, " Sandstone "))</f>
        <v/>
      </c>
      <c r="C697" s="3" t="str">
        <f>IF('Input Sheet'!C699="","",CONCATENATE("Sample ", 'Input Sheet'!B699, "m: ", N697,, L697, K697, " FLUOR in SST. ", "TG ", 'Input Sheet'!I699, "U"))</f>
        <v/>
      </c>
      <c r="H697" s="6" t="str">
        <f>IF('Input Sheet'!C699="","",100-'Input Sheet'!C699)</f>
        <v/>
      </c>
      <c r="I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7" s="6" t="str">
        <f t="shared" si="10"/>
        <v/>
      </c>
      <c r="K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7" s="6" t="str">
        <f>IF('Input Sheet'!F699=0, "NO",CONCATENATE('Input Sheet'!F699, IF('Input Sheet'!F699&gt;0,"% ","")))</f>
        <v>NO</v>
      </c>
      <c r="M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7" s="6" t="str">
        <f>CONCATENATE(M697, IF('Input Sheet'!J699="",""," siderite in "))</f>
        <v/>
      </c>
      <c r="O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7" s="6" t="str">
        <f>CONCATENATE(O697, IF('Input Sheet'!K699="",""," siderite in "))</f>
        <v/>
      </c>
    </row>
    <row r="698" spans="1:16" x14ac:dyDescent="0.25">
      <c r="A698" s="17" t="str">
        <f>IF('Input Sheet'!C700="","",CONCATENATE("Sample ", 'Input Sheet'!B700, "m: ", N698, H698, "% ", "Siltstone, ", P698, 'Input Sheet'!C700, "% ", J698, " Sandstone, ", L698, K698, " FLUOR in SST. ", "TG ", 'Input Sheet'!I700, "U"))</f>
        <v/>
      </c>
      <c r="B698" s="3" t="str">
        <f>IF('Input Sheet'!C700="","",CONCATENATE("Sample ", 'Input Sheet'!B700, "m: ", O698, I698, "% ", "Siltstone, ", Q698, 'Input Sheet'!C700, "% ", K698, " Sandstone "))</f>
        <v/>
      </c>
      <c r="C698" s="3" t="str">
        <f>IF('Input Sheet'!C700="","",CONCATENATE("Sample ", 'Input Sheet'!B700, "m: ", N698,, L698, K698, " FLUOR in SST. ", "TG ", 'Input Sheet'!I700, "U"))</f>
        <v/>
      </c>
      <c r="H698" s="6" t="str">
        <f>IF('Input Sheet'!C700="","",100-'Input Sheet'!C700)</f>
        <v/>
      </c>
      <c r="I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8" s="6" t="str">
        <f t="shared" si="10"/>
        <v/>
      </c>
      <c r="K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8" s="6" t="str">
        <f>IF('Input Sheet'!F700=0, "NO",CONCATENATE('Input Sheet'!F700, IF('Input Sheet'!F700&gt;0,"% ","")))</f>
        <v>NO</v>
      </c>
      <c r="M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8" s="6" t="str">
        <f>CONCATENATE(M698, IF('Input Sheet'!J700="",""," siderite in "))</f>
        <v/>
      </c>
      <c r="O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8" s="6" t="str">
        <f>CONCATENATE(O698, IF('Input Sheet'!K700="",""," siderite in "))</f>
        <v/>
      </c>
    </row>
    <row r="699" spans="1:16" x14ac:dyDescent="0.25">
      <c r="A699" s="17" t="str">
        <f>IF('Input Sheet'!C701="","",CONCATENATE("Sample ", 'Input Sheet'!B701, "m: ", N699, H699, "% ", "Siltstone, ", P699, 'Input Sheet'!C701, "% ", J699, " Sandstone, ", L699, K699, " FLUOR in SST. ", "TG ", 'Input Sheet'!I701, "U"))</f>
        <v/>
      </c>
      <c r="B699" s="3" t="str">
        <f>IF('Input Sheet'!C701="","",CONCATENATE("Sample ", 'Input Sheet'!B701, "m: ", O699, I699, "% ", "Siltstone, ", Q699, 'Input Sheet'!C701, "% ", K699, " Sandstone "))</f>
        <v/>
      </c>
      <c r="C699" s="3" t="str">
        <f>IF('Input Sheet'!C701="","",CONCATENATE("Sample ", 'Input Sheet'!B701, "m: ", N699,, L699, K699, " FLUOR in SST. ", "TG ", 'Input Sheet'!I701, "U"))</f>
        <v/>
      </c>
      <c r="H699" s="6" t="str">
        <f>IF('Input Sheet'!C701="","",100-'Input Sheet'!C701)</f>
        <v/>
      </c>
      <c r="I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699" s="6" t="str">
        <f t="shared" si="10"/>
        <v/>
      </c>
      <c r="K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699" s="6" t="str">
        <f>IF('Input Sheet'!F701=0, "NO",CONCATENATE('Input Sheet'!F701, IF('Input Sheet'!F701&gt;0,"% ","")))</f>
        <v>NO</v>
      </c>
      <c r="M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699" s="6" t="str">
        <f>CONCATENATE(M699, IF('Input Sheet'!J701="",""," siderite in "))</f>
        <v/>
      </c>
      <c r="O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699" s="6" t="str">
        <f>CONCATENATE(O699, IF('Input Sheet'!K701="",""," siderite in "))</f>
        <v/>
      </c>
    </row>
    <row r="700" spans="1:16" x14ac:dyDescent="0.25">
      <c r="A700" s="17" t="str">
        <f>IF('Input Sheet'!C702="","",CONCATENATE("Sample ", 'Input Sheet'!B702, "m: ", N700, H700, "% ", "Siltstone, ", P700, 'Input Sheet'!C702, "% ", J700, " Sandstone, ", L700, K700, " FLUOR in SST. ", "TG ", 'Input Sheet'!I702, "U"))</f>
        <v/>
      </c>
      <c r="B700" s="3" t="str">
        <f>IF('Input Sheet'!C702="","",CONCATENATE("Sample ", 'Input Sheet'!B702, "m: ", O700, I700, "% ", "Siltstone, ", Q700, 'Input Sheet'!C702, "% ", K700, " Sandstone "))</f>
        <v/>
      </c>
      <c r="C700" s="3" t="str">
        <f>IF('Input Sheet'!C702="","",CONCATENATE("Sample ", 'Input Sheet'!B702, "m: ", N700,, L700, K700, " FLUOR in SST. ", "TG ", 'Input Sheet'!I702, "U"))</f>
        <v/>
      </c>
      <c r="H700" s="6" t="str">
        <f>IF('Input Sheet'!C702="","",100-'Input Sheet'!C702)</f>
        <v/>
      </c>
      <c r="I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0" s="6" t="str">
        <f t="shared" si="10"/>
        <v/>
      </c>
      <c r="K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0" s="6" t="str">
        <f>IF('Input Sheet'!F702=0, "NO",CONCATENATE('Input Sheet'!F702, IF('Input Sheet'!F702&gt;0,"% ","")))</f>
        <v>NO</v>
      </c>
      <c r="M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0" s="6" t="str">
        <f>CONCATENATE(M700, IF('Input Sheet'!J702="",""," siderite in "))</f>
        <v/>
      </c>
      <c r="O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0" s="6" t="str">
        <f>CONCATENATE(O700, IF('Input Sheet'!K702="",""," siderite in "))</f>
        <v/>
      </c>
    </row>
    <row r="701" spans="1:16" x14ac:dyDescent="0.25">
      <c r="A701" s="17" t="str">
        <f>IF('Input Sheet'!C703="","",CONCATENATE("Sample ", 'Input Sheet'!B703, "m: ", N701, H701, "% ", "Siltstone, ", P701, 'Input Sheet'!C703, "% ", J701, " Sandstone, ", L701, K701, " FLUOR in SST. ", "TG ", 'Input Sheet'!I703, "U"))</f>
        <v/>
      </c>
      <c r="B701" s="3" t="str">
        <f>IF('Input Sheet'!C703="","",CONCATENATE("Sample ", 'Input Sheet'!B703, "m: ", O701, I701, "% ", "Siltstone, ", Q701, 'Input Sheet'!C703, "% ", K701, " Sandstone "))</f>
        <v/>
      </c>
      <c r="C701" s="3" t="str">
        <f>IF('Input Sheet'!C703="","",CONCATENATE("Sample ", 'Input Sheet'!B703, "m: ", N701,, L701, K701, " FLUOR in SST. ", "TG ", 'Input Sheet'!I703, "U"))</f>
        <v/>
      </c>
      <c r="H701" s="6" t="str">
        <f>IF('Input Sheet'!C703="","",100-'Input Sheet'!C703)</f>
        <v/>
      </c>
      <c r="I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1" s="6" t="str">
        <f t="shared" si="10"/>
        <v/>
      </c>
      <c r="K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1" s="6" t="str">
        <f>IF('Input Sheet'!F703=0, "NO",CONCATENATE('Input Sheet'!F703, IF('Input Sheet'!F703&gt;0,"% ","")))</f>
        <v>NO</v>
      </c>
      <c r="M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1" s="6" t="str">
        <f>CONCATENATE(M701, IF('Input Sheet'!J703="",""," siderite in "))</f>
        <v/>
      </c>
      <c r="O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1" s="6" t="str">
        <f>CONCATENATE(O701, IF('Input Sheet'!K703="",""," siderite in "))</f>
        <v/>
      </c>
    </row>
    <row r="702" spans="1:16" x14ac:dyDescent="0.25">
      <c r="A702" s="17" t="str">
        <f>IF('Input Sheet'!C704="","",CONCATENATE("Sample ", 'Input Sheet'!B704, "m: ", N702, H702, "% ", "Siltstone, ", P702, 'Input Sheet'!C704, "% ", J702, " Sandstone, ", L702, K702, " FLUOR in SST. ", "TG ", 'Input Sheet'!I704, "U"))</f>
        <v/>
      </c>
      <c r="B702" s="3" t="str">
        <f>IF('Input Sheet'!C704="","",CONCATENATE("Sample ", 'Input Sheet'!B704, "m: ", O702, I702, "% ", "Siltstone, ", Q702, 'Input Sheet'!C704, "% ", K702, " Sandstone "))</f>
        <v/>
      </c>
      <c r="C702" s="3" t="str">
        <f>IF('Input Sheet'!C704="","",CONCATENATE("Sample ", 'Input Sheet'!B704, "m: ", N702,, L702, K702, " FLUOR in SST. ", "TG ", 'Input Sheet'!I704, "U"))</f>
        <v/>
      </c>
      <c r="H702" s="6" t="str">
        <f>IF('Input Sheet'!C704="","",100-'Input Sheet'!C704)</f>
        <v/>
      </c>
      <c r="I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2" s="6" t="str">
        <f t="shared" si="10"/>
        <v/>
      </c>
      <c r="K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2" s="6" t="str">
        <f>IF('Input Sheet'!F704=0, "NO",CONCATENATE('Input Sheet'!F704, IF('Input Sheet'!F704&gt;0,"% ","")))</f>
        <v>NO</v>
      </c>
      <c r="M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2" s="6" t="str">
        <f>CONCATENATE(M702, IF('Input Sheet'!J704="",""," siderite in "))</f>
        <v/>
      </c>
      <c r="O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2" s="6" t="str">
        <f>CONCATENATE(O702, IF('Input Sheet'!K704="",""," siderite in "))</f>
        <v/>
      </c>
    </row>
    <row r="703" spans="1:16" x14ac:dyDescent="0.25">
      <c r="A703" s="17" t="str">
        <f>IF('Input Sheet'!C705="","",CONCATENATE("Sample ", 'Input Sheet'!B705, "m: ", N703, H703, "% ", "Siltstone, ", P703, 'Input Sheet'!C705, "% ", J703, " Sandstone, ", L703, K703, " FLUOR in SST. ", "TG ", 'Input Sheet'!I705, "U"))</f>
        <v/>
      </c>
      <c r="B703" s="3" t="str">
        <f>IF('Input Sheet'!C705="","",CONCATENATE("Sample ", 'Input Sheet'!B705, "m: ", O703, I703, "% ", "Siltstone, ", Q703, 'Input Sheet'!C705, "% ", K703, " Sandstone "))</f>
        <v/>
      </c>
      <c r="C703" s="3" t="str">
        <f>IF('Input Sheet'!C705="","",CONCATENATE("Sample ", 'Input Sheet'!B705, "m: ", N703,, L703, K703, " FLUOR in SST. ", "TG ", 'Input Sheet'!I705, "U"))</f>
        <v/>
      </c>
      <c r="H703" s="6" t="str">
        <f>IF('Input Sheet'!C705="","",100-'Input Sheet'!C705)</f>
        <v/>
      </c>
      <c r="I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3" s="6" t="str">
        <f t="shared" si="10"/>
        <v/>
      </c>
      <c r="K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3" s="6" t="str">
        <f>IF('Input Sheet'!F705=0, "NO",CONCATENATE('Input Sheet'!F705, IF('Input Sheet'!F705&gt;0,"% ","")))</f>
        <v>NO</v>
      </c>
      <c r="M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3" s="6" t="str">
        <f>CONCATENATE(M703, IF('Input Sheet'!J705="",""," siderite in "))</f>
        <v/>
      </c>
      <c r="O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3" s="6" t="str">
        <f>CONCATENATE(O703, IF('Input Sheet'!K705="",""," siderite in "))</f>
        <v/>
      </c>
    </row>
    <row r="704" spans="1:16" x14ac:dyDescent="0.25">
      <c r="A704" s="17" t="str">
        <f>IF('Input Sheet'!C706="","",CONCATENATE("Sample ", 'Input Sheet'!B706, "m: ", N704, H704, "% ", "Siltstone, ", P704, 'Input Sheet'!C706, "% ", J704, " Sandstone, ", L704, K704, " FLUOR in SST. ", "TG ", 'Input Sheet'!I706, "U"))</f>
        <v/>
      </c>
      <c r="B704" s="3" t="str">
        <f>IF('Input Sheet'!C706="","",CONCATENATE("Sample ", 'Input Sheet'!B706, "m: ", O704, I704, "% ", "Siltstone, ", Q704, 'Input Sheet'!C706, "% ", K704, " Sandstone "))</f>
        <v/>
      </c>
      <c r="C704" s="3" t="str">
        <f>IF('Input Sheet'!C706="","",CONCATENATE("Sample ", 'Input Sheet'!B706, "m: ", N704,, L704, K704, " FLUOR in SST. ", "TG ", 'Input Sheet'!I706, "U"))</f>
        <v/>
      </c>
      <c r="H704" s="6" t="str">
        <f>IF('Input Sheet'!C706="","",100-'Input Sheet'!C706)</f>
        <v/>
      </c>
      <c r="I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4" s="6" t="str">
        <f t="shared" si="10"/>
        <v/>
      </c>
      <c r="K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4" s="6" t="str">
        <f>IF('Input Sheet'!F706=0, "NO",CONCATENATE('Input Sheet'!F706, IF('Input Sheet'!F706&gt;0,"% ","")))</f>
        <v>NO</v>
      </c>
      <c r="M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4" s="6" t="str">
        <f>CONCATENATE(M704, IF('Input Sheet'!J706="",""," siderite in "))</f>
        <v/>
      </c>
      <c r="O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4" s="6" t="str">
        <f>CONCATENATE(O704, IF('Input Sheet'!K706="",""," siderite in "))</f>
        <v/>
      </c>
    </row>
    <row r="705" spans="1:16" x14ac:dyDescent="0.25">
      <c r="A705" s="17" t="str">
        <f>IF('Input Sheet'!C707="","",CONCATENATE("Sample ", 'Input Sheet'!B707, "m: ", N705, H705, "% ", "Siltstone, ", P705, 'Input Sheet'!C707, "% ", J705, " Sandstone, ", L705, K705, " FLUOR in SST. ", "TG ", 'Input Sheet'!I707, "U"))</f>
        <v/>
      </c>
      <c r="B705" s="3" t="str">
        <f>IF('Input Sheet'!C707="","",CONCATENATE("Sample ", 'Input Sheet'!B707, "m: ", O705, I705, "% ", "Siltstone, ", Q705, 'Input Sheet'!C707, "% ", K705, " Sandstone "))</f>
        <v/>
      </c>
      <c r="C705" s="3" t="str">
        <f>IF('Input Sheet'!C707="","",CONCATENATE("Sample ", 'Input Sheet'!B707, "m: ", N705,, L705, K705, " FLUOR in SST. ", "TG ", 'Input Sheet'!I707, "U"))</f>
        <v/>
      </c>
      <c r="H705" s="6" t="str">
        <f>IF('Input Sheet'!C707="","",100-'Input Sheet'!C707)</f>
        <v/>
      </c>
      <c r="I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5" s="6" t="str">
        <f t="shared" si="10"/>
        <v/>
      </c>
      <c r="K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5" s="6" t="str">
        <f>IF('Input Sheet'!F707=0, "NO",CONCATENATE('Input Sheet'!F707, IF('Input Sheet'!F707&gt;0,"% ","")))</f>
        <v>NO</v>
      </c>
      <c r="M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5" s="6" t="str">
        <f>CONCATENATE(M705, IF('Input Sheet'!J707="",""," siderite in "))</f>
        <v/>
      </c>
      <c r="O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5" s="6" t="str">
        <f>CONCATENATE(O705, IF('Input Sheet'!K707="",""," siderite in "))</f>
        <v/>
      </c>
    </row>
    <row r="706" spans="1:16" x14ac:dyDescent="0.25">
      <c r="A706" s="17" t="str">
        <f>IF('Input Sheet'!C708="","",CONCATENATE("Sample ", 'Input Sheet'!B708, "m: ", N706, H706, "% ", "Siltstone, ", P706, 'Input Sheet'!C708, "% ", J706, " Sandstone, ", L706, K706, " FLUOR in SST. ", "TG ", 'Input Sheet'!I708, "U"))</f>
        <v/>
      </c>
      <c r="B706" s="3" t="str">
        <f>IF('Input Sheet'!C708="","",CONCATENATE("Sample ", 'Input Sheet'!B708, "m: ", O706, I706, "% ", "Siltstone, ", Q706, 'Input Sheet'!C708, "% ", K706, " Sandstone "))</f>
        <v/>
      </c>
      <c r="C706" s="3" t="str">
        <f>IF('Input Sheet'!C708="","",CONCATENATE("Sample ", 'Input Sheet'!B708, "m: ", N706,, L706, K706, " FLUOR in SST. ", "TG ", 'Input Sheet'!I708, "U"))</f>
        <v/>
      </c>
      <c r="H706" s="6" t="str">
        <f>IF('Input Sheet'!C708="","",100-'Input Sheet'!C708)</f>
        <v/>
      </c>
      <c r="I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6" s="6" t="str">
        <f t="shared" ref="J706:J769" si="11">SUBSTITUTE(I706, "veryfine", "very fine")</f>
        <v/>
      </c>
      <c r="K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6" s="6" t="str">
        <f>IF('Input Sheet'!F708=0, "NO",CONCATENATE('Input Sheet'!F708, IF('Input Sheet'!F708&gt;0,"% ","")))</f>
        <v>NO</v>
      </c>
      <c r="M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6" s="6" t="str">
        <f>CONCATENATE(M706, IF('Input Sheet'!J708="",""," siderite in "))</f>
        <v/>
      </c>
      <c r="O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6" s="6" t="str">
        <f>CONCATENATE(O706, IF('Input Sheet'!K708="",""," siderite in "))</f>
        <v/>
      </c>
    </row>
    <row r="707" spans="1:16" x14ac:dyDescent="0.25">
      <c r="A707" s="17" t="str">
        <f>IF('Input Sheet'!C709="","",CONCATENATE("Sample ", 'Input Sheet'!B709, "m: ", N707, H707, "% ", "Siltstone, ", P707, 'Input Sheet'!C709, "% ", J707, " Sandstone, ", L707, K707, " FLUOR in SST. ", "TG ", 'Input Sheet'!I709, "U"))</f>
        <v/>
      </c>
      <c r="B707" s="3" t="str">
        <f>IF('Input Sheet'!C709="","",CONCATENATE("Sample ", 'Input Sheet'!B709, "m: ", O707, I707, "% ", "Siltstone, ", Q707, 'Input Sheet'!C709, "% ", K707, " Sandstone "))</f>
        <v/>
      </c>
      <c r="C707" s="3" t="str">
        <f>IF('Input Sheet'!C709="","",CONCATENATE("Sample ", 'Input Sheet'!B709, "m: ", N707,, L707, K707, " FLUOR in SST. ", "TG ", 'Input Sheet'!I709, "U"))</f>
        <v/>
      </c>
      <c r="H707" s="6" t="str">
        <f>IF('Input Sheet'!C709="","",100-'Input Sheet'!C709)</f>
        <v/>
      </c>
      <c r="I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7" s="6" t="str">
        <f t="shared" si="11"/>
        <v/>
      </c>
      <c r="K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7" s="6" t="str">
        <f>IF('Input Sheet'!F709=0, "NO",CONCATENATE('Input Sheet'!F709, IF('Input Sheet'!F709&gt;0,"% ","")))</f>
        <v>NO</v>
      </c>
      <c r="M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7" s="6" t="str">
        <f>CONCATENATE(M707, IF('Input Sheet'!J709="",""," siderite in "))</f>
        <v/>
      </c>
      <c r="O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7" s="6" t="str">
        <f>CONCATENATE(O707, IF('Input Sheet'!K709="",""," siderite in "))</f>
        <v/>
      </c>
    </row>
    <row r="708" spans="1:16" x14ac:dyDescent="0.25">
      <c r="A708" s="17" t="str">
        <f>IF('Input Sheet'!C710="","",CONCATENATE("Sample ", 'Input Sheet'!B710, "m: ", N708, H708, "% ", "Siltstone, ", P708, 'Input Sheet'!C710, "% ", J708, " Sandstone, ", L708, K708, " FLUOR in SST. ", "TG ", 'Input Sheet'!I710, "U"))</f>
        <v/>
      </c>
      <c r="B708" s="3" t="str">
        <f>IF('Input Sheet'!C710="","",CONCATENATE("Sample ", 'Input Sheet'!B710, "m: ", O708, I708, "% ", "Siltstone, ", Q708, 'Input Sheet'!C710, "% ", K708, " Sandstone "))</f>
        <v/>
      </c>
      <c r="C708" s="3" t="str">
        <f>IF('Input Sheet'!C710="","",CONCATENATE("Sample ", 'Input Sheet'!B710, "m: ", N708,, L708, K708, " FLUOR in SST. ", "TG ", 'Input Sheet'!I710, "U"))</f>
        <v/>
      </c>
      <c r="H708" s="6" t="str">
        <f>IF('Input Sheet'!C710="","",100-'Input Sheet'!C710)</f>
        <v/>
      </c>
      <c r="I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8" s="6" t="str">
        <f t="shared" si="11"/>
        <v/>
      </c>
      <c r="K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8" s="6" t="str">
        <f>IF('Input Sheet'!F710=0, "NO",CONCATENATE('Input Sheet'!F710, IF('Input Sheet'!F710&gt;0,"% ","")))</f>
        <v>NO</v>
      </c>
      <c r="M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8" s="6" t="str">
        <f>CONCATENATE(M708, IF('Input Sheet'!J710="",""," siderite in "))</f>
        <v/>
      </c>
      <c r="O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8" s="6" t="str">
        <f>CONCATENATE(O708, IF('Input Sheet'!K710="",""," siderite in "))</f>
        <v/>
      </c>
    </row>
    <row r="709" spans="1:16" x14ac:dyDescent="0.25">
      <c r="A709" s="17" t="str">
        <f>IF('Input Sheet'!C711="","",CONCATENATE("Sample ", 'Input Sheet'!B711, "m: ", N709, H709, "% ", "Siltstone, ", P709, 'Input Sheet'!C711, "% ", J709, " Sandstone, ", L709, K709, " FLUOR in SST. ", "TG ", 'Input Sheet'!I711, "U"))</f>
        <v/>
      </c>
      <c r="B709" s="3" t="str">
        <f>IF('Input Sheet'!C711="","",CONCATENATE("Sample ", 'Input Sheet'!B711, "m: ", O709, I709, "% ", "Siltstone, ", Q709, 'Input Sheet'!C711, "% ", K709, " Sandstone "))</f>
        <v/>
      </c>
      <c r="C709" s="3" t="str">
        <f>IF('Input Sheet'!C711="","",CONCATENATE("Sample ", 'Input Sheet'!B711, "m: ", N709,, L709, K709, " FLUOR in SST. ", "TG ", 'Input Sheet'!I711, "U"))</f>
        <v/>
      </c>
      <c r="H709" s="6" t="str">
        <f>IF('Input Sheet'!C711="","",100-'Input Sheet'!C711)</f>
        <v/>
      </c>
      <c r="I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09" s="6" t="str">
        <f t="shared" si="11"/>
        <v/>
      </c>
      <c r="K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09" s="6" t="str">
        <f>IF('Input Sheet'!F711=0, "NO",CONCATENATE('Input Sheet'!F711, IF('Input Sheet'!F711&gt;0,"% ","")))</f>
        <v>NO</v>
      </c>
      <c r="M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09" s="6" t="str">
        <f>CONCATENATE(M709, IF('Input Sheet'!J711="",""," siderite in "))</f>
        <v/>
      </c>
      <c r="O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09" s="6" t="str">
        <f>CONCATENATE(O709, IF('Input Sheet'!K711="",""," siderite in "))</f>
        <v/>
      </c>
    </row>
    <row r="710" spans="1:16" x14ac:dyDescent="0.25">
      <c r="A710" s="17" t="str">
        <f>IF('Input Sheet'!C712="","",CONCATENATE("Sample ", 'Input Sheet'!B712, "m: ", N710, H710, "% ", "Siltstone, ", P710, 'Input Sheet'!C712, "% ", J710, " Sandstone, ", L710, K710, " FLUOR in SST. ", "TG ", 'Input Sheet'!I712, "U"))</f>
        <v/>
      </c>
      <c r="B710" s="3" t="str">
        <f>IF('Input Sheet'!C712="","",CONCATENATE("Sample ", 'Input Sheet'!B712, "m: ", O710, I710, "% ", "Siltstone, ", Q710, 'Input Sheet'!C712, "% ", K710, " Sandstone "))</f>
        <v/>
      </c>
      <c r="C710" s="3" t="str">
        <f>IF('Input Sheet'!C712="","",CONCATENATE("Sample ", 'Input Sheet'!B712, "m: ", N710,, L710, K710, " FLUOR in SST. ", "TG ", 'Input Sheet'!I712, "U"))</f>
        <v/>
      </c>
      <c r="H710" s="6" t="str">
        <f>IF('Input Sheet'!C712="","",100-'Input Sheet'!C712)</f>
        <v/>
      </c>
      <c r="I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0" s="6" t="str">
        <f t="shared" si="11"/>
        <v/>
      </c>
      <c r="K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0" s="6" t="str">
        <f>IF('Input Sheet'!F712=0, "NO",CONCATENATE('Input Sheet'!F712, IF('Input Sheet'!F712&gt;0,"% ","")))</f>
        <v>NO</v>
      </c>
      <c r="M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0" s="6" t="str">
        <f>CONCATENATE(M710, IF('Input Sheet'!J712="",""," siderite in "))</f>
        <v/>
      </c>
      <c r="O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0" s="6" t="str">
        <f>CONCATENATE(O710, IF('Input Sheet'!K712="",""," siderite in "))</f>
        <v/>
      </c>
    </row>
    <row r="711" spans="1:16" x14ac:dyDescent="0.25">
      <c r="A711" s="17" t="str">
        <f>IF('Input Sheet'!C713="","",CONCATENATE("Sample ", 'Input Sheet'!B713, "m: ", N711, H711, "% ", "Siltstone, ", P711, 'Input Sheet'!C713, "% ", J711, " Sandstone, ", L711, K711, " FLUOR in SST. ", "TG ", 'Input Sheet'!I713, "U"))</f>
        <v/>
      </c>
      <c r="B711" s="3" t="str">
        <f>IF('Input Sheet'!C713="","",CONCATENATE("Sample ", 'Input Sheet'!B713, "m: ", O711, I711, "% ", "Siltstone, ", Q711, 'Input Sheet'!C713, "% ", K711, " Sandstone "))</f>
        <v/>
      </c>
      <c r="C711" s="3" t="str">
        <f>IF('Input Sheet'!C713="","",CONCATENATE("Sample ", 'Input Sheet'!B713, "m: ", N711,, L711, K711, " FLUOR in SST. ", "TG ", 'Input Sheet'!I713, "U"))</f>
        <v/>
      </c>
      <c r="H711" s="6" t="str">
        <f>IF('Input Sheet'!C713="","",100-'Input Sheet'!C713)</f>
        <v/>
      </c>
      <c r="I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1" s="6" t="str">
        <f t="shared" si="11"/>
        <v/>
      </c>
      <c r="K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1" s="6" t="str">
        <f>IF('Input Sheet'!F713=0, "NO",CONCATENATE('Input Sheet'!F713, IF('Input Sheet'!F713&gt;0,"% ","")))</f>
        <v>NO</v>
      </c>
      <c r="M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1" s="6" t="str">
        <f>CONCATENATE(M711, IF('Input Sheet'!J713="",""," siderite in "))</f>
        <v/>
      </c>
      <c r="O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1" s="6" t="str">
        <f>CONCATENATE(O711, IF('Input Sheet'!K713="",""," siderite in "))</f>
        <v/>
      </c>
    </row>
    <row r="712" spans="1:16" x14ac:dyDescent="0.25">
      <c r="A712" s="17" t="str">
        <f>IF('Input Sheet'!C714="","",CONCATENATE("Sample ", 'Input Sheet'!B714, "m: ", N712, H712, "% ", "Siltstone, ", P712, 'Input Sheet'!C714, "% ", J712, " Sandstone, ", L712, K712, " FLUOR in SST. ", "TG ", 'Input Sheet'!I714, "U"))</f>
        <v/>
      </c>
      <c r="B712" s="3" t="str">
        <f>IF('Input Sheet'!C714="","",CONCATENATE("Sample ", 'Input Sheet'!B714, "m: ", O712, I712, "% ", "Siltstone, ", Q712, 'Input Sheet'!C714, "% ", K712, " Sandstone "))</f>
        <v/>
      </c>
      <c r="C712" s="3" t="str">
        <f>IF('Input Sheet'!C714="","",CONCATENATE("Sample ", 'Input Sheet'!B714, "m: ", N712,, L712, K712, " FLUOR in SST. ", "TG ", 'Input Sheet'!I714, "U"))</f>
        <v/>
      </c>
      <c r="H712" s="6" t="str">
        <f>IF('Input Sheet'!C714="","",100-'Input Sheet'!C714)</f>
        <v/>
      </c>
      <c r="I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2" s="6" t="str">
        <f t="shared" si="11"/>
        <v/>
      </c>
      <c r="K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2" s="6" t="str">
        <f>IF('Input Sheet'!F714=0, "NO",CONCATENATE('Input Sheet'!F714, IF('Input Sheet'!F714&gt;0,"% ","")))</f>
        <v>NO</v>
      </c>
      <c r="M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2" s="6" t="str">
        <f>CONCATENATE(M712, IF('Input Sheet'!J714="",""," siderite in "))</f>
        <v/>
      </c>
      <c r="O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2" s="6" t="str">
        <f>CONCATENATE(O712, IF('Input Sheet'!K714="",""," siderite in "))</f>
        <v/>
      </c>
    </row>
    <row r="713" spans="1:16" x14ac:dyDescent="0.25">
      <c r="A713" s="17" t="str">
        <f>IF('Input Sheet'!C715="","",CONCATENATE("Sample ", 'Input Sheet'!B715, "m: ", N713, H713, "% ", "Siltstone, ", P713, 'Input Sheet'!C715, "% ", J713, " Sandstone, ", L713, K713, " FLUOR in SST. ", "TG ", 'Input Sheet'!I715, "U"))</f>
        <v/>
      </c>
      <c r="B713" s="3" t="str">
        <f>IF('Input Sheet'!C715="","",CONCATENATE("Sample ", 'Input Sheet'!B715, "m: ", O713, I713, "% ", "Siltstone, ", Q713, 'Input Sheet'!C715, "% ", K713, " Sandstone "))</f>
        <v/>
      </c>
      <c r="C713" s="3" t="str">
        <f>IF('Input Sheet'!C715="","",CONCATENATE("Sample ", 'Input Sheet'!B715, "m: ", N713,, L713, K713, " FLUOR in SST. ", "TG ", 'Input Sheet'!I715, "U"))</f>
        <v/>
      </c>
      <c r="H713" s="6" t="str">
        <f>IF('Input Sheet'!C715="","",100-'Input Sheet'!C715)</f>
        <v/>
      </c>
      <c r="I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3" s="6" t="str">
        <f t="shared" si="11"/>
        <v/>
      </c>
      <c r="K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3" s="6" t="str">
        <f>IF('Input Sheet'!F715=0, "NO",CONCATENATE('Input Sheet'!F715, IF('Input Sheet'!F715&gt;0,"% ","")))</f>
        <v>NO</v>
      </c>
      <c r="M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3" s="6" t="str">
        <f>CONCATENATE(M713, IF('Input Sheet'!J715="",""," siderite in "))</f>
        <v/>
      </c>
      <c r="O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3" s="6" t="str">
        <f>CONCATENATE(O713, IF('Input Sheet'!K715="",""," siderite in "))</f>
        <v/>
      </c>
    </row>
    <row r="714" spans="1:16" x14ac:dyDescent="0.25">
      <c r="A714" s="17" t="str">
        <f>IF('Input Sheet'!C716="","",CONCATENATE("Sample ", 'Input Sheet'!B716, "m: ", N714, H714, "% ", "Siltstone, ", P714, 'Input Sheet'!C716, "% ", J714, " Sandstone, ", L714, K714, " FLUOR in SST. ", "TG ", 'Input Sheet'!I716, "U"))</f>
        <v/>
      </c>
      <c r="B714" s="3" t="str">
        <f>IF('Input Sheet'!C716="","",CONCATENATE("Sample ", 'Input Sheet'!B716, "m: ", O714, I714, "% ", "Siltstone, ", Q714, 'Input Sheet'!C716, "% ", K714, " Sandstone "))</f>
        <v/>
      </c>
      <c r="C714" s="3" t="str">
        <f>IF('Input Sheet'!C716="","",CONCATENATE("Sample ", 'Input Sheet'!B716, "m: ", N714,, L714, K714, " FLUOR in SST. ", "TG ", 'Input Sheet'!I716, "U"))</f>
        <v/>
      </c>
      <c r="H714" s="6" t="str">
        <f>IF('Input Sheet'!C716="","",100-'Input Sheet'!C716)</f>
        <v/>
      </c>
      <c r="I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4" s="6" t="str">
        <f t="shared" si="11"/>
        <v/>
      </c>
      <c r="K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4" s="6" t="str">
        <f>IF('Input Sheet'!F716=0, "NO",CONCATENATE('Input Sheet'!F716, IF('Input Sheet'!F716&gt;0,"% ","")))</f>
        <v>NO</v>
      </c>
      <c r="M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4" s="6" t="str">
        <f>CONCATENATE(M714, IF('Input Sheet'!J716="",""," siderite in "))</f>
        <v/>
      </c>
      <c r="O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4" s="6" t="str">
        <f>CONCATENATE(O714, IF('Input Sheet'!K716="",""," siderite in "))</f>
        <v/>
      </c>
    </row>
    <row r="715" spans="1:16" x14ac:dyDescent="0.25">
      <c r="A715" s="17" t="str">
        <f>IF('Input Sheet'!C717="","",CONCATENATE("Sample ", 'Input Sheet'!B717, "m: ", N715, H715, "% ", "Siltstone, ", P715, 'Input Sheet'!C717, "% ", J715, " Sandstone, ", L715, K715, " FLUOR in SST. ", "TG ", 'Input Sheet'!I717, "U"))</f>
        <v/>
      </c>
      <c r="B715" s="3" t="str">
        <f>IF('Input Sheet'!C717="","",CONCATENATE("Sample ", 'Input Sheet'!B717, "m: ", O715, I715, "% ", "Siltstone, ", Q715, 'Input Sheet'!C717, "% ", K715, " Sandstone "))</f>
        <v/>
      </c>
      <c r="C715" s="3" t="str">
        <f>IF('Input Sheet'!C717="","",CONCATENATE("Sample ", 'Input Sheet'!B717, "m: ", N715,, L715, K715, " FLUOR in SST. ", "TG ", 'Input Sheet'!I717, "U"))</f>
        <v/>
      </c>
      <c r="H715" s="6" t="str">
        <f>IF('Input Sheet'!C717="","",100-'Input Sheet'!C717)</f>
        <v/>
      </c>
      <c r="I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5" s="6" t="str">
        <f t="shared" si="11"/>
        <v/>
      </c>
      <c r="K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5" s="6" t="str">
        <f>IF('Input Sheet'!F717=0, "NO",CONCATENATE('Input Sheet'!F717, IF('Input Sheet'!F717&gt;0,"% ","")))</f>
        <v>NO</v>
      </c>
      <c r="M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5" s="6" t="str">
        <f>CONCATENATE(M715, IF('Input Sheet'!J717="",""," siderite in "))</f>
        <v/>
      </c>
      <c r="O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5" s="6" t="str">
        <f>CONCATENATE(O715, IF('Input Sheet'!K717="",""," siderite in "))</f>
        <v/>
      </c>
    </row>
    <row r="716" spans="1:16" x14ac:dyDescent="0.25">
      <c r="A716" s="17" t="str">
        <f>IF('Input Sheet'!C718="","",CONCATENATE("Sample ", 'Input Sheet'!B718, "m: ", N716, H716, "% ", "Siltstone, ", P716, 'Input Sheet'!C718, "% ", J716, " Sandstone, ", L716, K716, " FLUOR in SST. ", "TG ", 'Input Sheet'!I718, "U"))</f>
        <v/>
      </c>
      <c r="B716" s="3" t="str">
        <f>IF('Input Sheet'!C718="","",CONCATENATE("Sample ", 'Input Sheet'!B718, "m: ", O716, I716, "% ", "Siltstone, ", Q716, 'Input Sheet'!C718, "% ", K716, " Sandstone "))</f>
        <v/>
      </c>
      <c r="C716" s="3" t="str">
        <f>IF('Input Sheet'!C718="","",CONCATENATE("Sample ", 'Input Sheet'!B718, "m: ", N716,, L716, K716, " FLUOR in SST. ", "TG ", 'Input Sheet'!I718, "U"))</f>
        <v/>
      </c>
      <c r="H716" s="6" t="str">
        <f>IF('Input Sheet'!C718="","",100-'Input Sheet'!C718)</f>
        <v/>
      </c>
      <c r="I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6" s="6" t="str">
        <f t="shared" si="11"/>
        <v/>
      </c>
      <c r="K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6" s="6" t="str">
        <f>IF('Input Sheet'!F718=0, "NO",CONCATENATE('Input Sheet'!F718, IF('Input Sheet'!F718&gt;0,"% ","")))</f>
        <v>NO</v>
      </c>
      <c r="M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6" s="6" t="str">
        <f>CONCATENATE(M716, IF('Input Sheet'!J718="",""," siderite in "))</f>
        <v/>
      </c>
      <c r="O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6" s="6" t="str">
        <f>CONCATENATE(O716, IF('Input Sheet'!K718="",""," siderite in "))</f>
        <v/>
      </c>
    </row>
    <row r="717" spans="1:16" x14ac:dyDescent="0.25">
      <c r="A717" s="17" t="str">
        <f>IF('Input Sheet'!C719="","",CONCATENATE("Sample ", 'Input Sheet'!B719, "m: ", N717, H717, "% ", "Siltstone, ", P717, 'Input Sheet'!C719, "% ", J717, " Sandstone, ", L717, K717, " FLUOR in SST. ", "TG ", 'Input Sheet'!I719, "U"))</f>
        <v/>
      </c>
      <c r="B717" s="3" t="str">
        <f>IF('Input Sheet'!C719="","",CONCATENATE("Sample ", 'Input Sheet'!B719, "m: ", O717, I717, "% ", "Siltstone, ", Q717, 'Input Sheet'!C719, "% ", K717, " Sandstone "))</f>
        <v/>
      </c>
      <c r="C717" s="3" t="str">
        <f>IF('Input Sheet'!C719="","",CONCATENATE("Sample ", 'Input Sheet'!B719, "m: ", N717,, L717, K717, " FLUOR in SST. ", "TG ", 'Input Sheet'!I719, "U"))</f>
        <v/>
      </c>
      <c r="H717" s="6" t="str">
        <f>IF('Input Sheet'!C719="","",100-'Input Sheet'!C719)</f>
        <v/>
      </c>
      <c r="I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7" s="6" t="str">
        <f t="shared" si="11"/>
        <v/>
      </c>
      <c r="K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7" s="6" t="str">
        <f>IF('Input Sheet'!F719=0, "NO",CONCATENATE('Input Sheet'!F719, IF('Input Sheet'!F719&gt;0,"% ","")))</f>
        <v>NO</v>
      </c>
      <c r="M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7" s="6" t="str">
        <f>CONCATENATE(M717, IF('Input Sheet'!J719="",""," siderite in "))</f>
        <v/>
      </c>
      <c r="O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7" s="6" t="str">
        <f>CONCATENATE(O717, IF('Input Sheet'!K719="",""," siderite in "))</f>
        <v/>
      </c>
    </row>
    <row r="718" spans="1:16" x14ac:dyDescent="0.25">
      <c r="A718" s="17" t="str">
        <f>IF('Input Sheet'!C720="","",CONCATENATE("Sample ", 'Input Sheet'!B720, "m: ", N718, H718, "% ", "Siltstone, ", P718, 'Input Sheet'!C720, "% ", J718, " Sandstone, ", L718, K718, " FLUOR in SST. ", "TG ", 'Input Sheet'!I720, "U"))</f>
        <v/>
      </c>
      <c r="B718" s="3" t="str">
        <f>IF('Input Sheet'!C720="","",CONCATENATE("Sample ", 'Input Sheet'!B720, "m: ", O718, I718, "% ", "Siltstone, ", Q718, 'Input Sheet'!C720, "% ", K718, " Sandstone "))</f>
        <v/>
      </c>
      <c r="C718" s="3" t="str">
        <f>IF('Input Sheet'!C720="","",CONCATENATE("Sample ", 'Input Sheet'!B720, "m: ", N718,, L718, K718, " FLUOR in SST. ", "TG ", 'Input Sheet'!I720, "U"))</f>
        <v/>
      </c>
      <c r="H718" s="6" t="str">
        <f>IF('Input Sheet'!C720="","",100-'Input Sheet'!C720)</f>
        <v/>
      </c>
      <c r="I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8" s="6" t="str">
        <f t="shared" si="11"/>
        <v/>
      </c>
      <c r="K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8" s="6" t="str">
        <f>IF('Input Sheet'!F720=0, "NO",CONCATENATE('Input Sheet'!F720, IF('Input Sheet'!F720&gt;0,"% ","")))</f>
        <v>NO</v>
      </c>
      <c r="M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8" s="6" t="str">
        <f>CONCATENATE(M718, IF('Input Sheet'!J720="",""," siderite in "))</f>
        <v/>
      </c>
      <c r="O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8" s="6" t="str">
        <f>CONCATENATE(O718, IF('Input Sheet'!K720="",""," siderite in "))</f>
        <v/>
      </c>
    </row>
    <row r="719" spans="1:16" x14ac:dyDescent="0.25">
      <c r="A719" s="17" t="str">
        <f>IF('Input Sheet'!C721="","",CONCATENATE("Sample ", 'Input Sheet'!B721, "m: ", N719, H719, "% ", "Siltstone, ", P719, 'Input Sheet'!C721, "% ", J719, " Sandstone, ", L719, K719, " FLUOR in SST. ", "TG ", 'Input Sheet'!I721, "U"))</f>
        <v/>
      </c>
      <c r="B719" s="3" t="str">
        <f>IF('Input Sheet'!C721="","",CONCATENATE("Sample ", 'Input Sheet'!B721, "m: ", O719, I719, "% ", "Siltstone, ", Q719, 'Input Sheet'!C721, "% ", K719, " Sandstone "))</f>
        <v/>
      </c>
      <c r="C719" s="3" t="str">
        <f>IF('Input Sheet'!C721="","",CONCATENATE("Sample ", 'Input Sheet'!B721, "m: ", N719,, L719, K719, " FLUOR in SST. ", "TG ", 'Input Sheet'!I721, "U"))</f>
        <v/>
      </c>
      <c r="H719" s="6" t="str">
        <f>IF('Input Sheet'!C721="","",100-'Input Sheet'!C721)</f>
        <v/>
      </c>
      <c r="I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19" s="6" t="str">
        <f t="shared" si="11"/>
        <v/>
      </c>
      <c r="K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19" s="6" t="str">
        <f>IF('Input Sheet'!F721=0, "NO",CONCATENATE('Input Sheet'!F721, IF('Input Sheet'!F721&gt;0,"% ","")))</f>
        <v>NO</v>
      </c>
      <c r="M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19" s="6" t="str">
        <f>CONCATENATE(M719, IF('Input Sheet'!J721="",""," siderite in "))</f>
        <v/>
      </c>
      <c r="O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19" s="6" t="str">
        <f>CONCATENATE(O719, IF('Input Sheet'!K721="",""," siderite in "))</f>
        <v/>
      </c>
    </row>
    <row r="720" spans="1:16" x14ac:dyDescent="0.25">
      <c r="A720" s="17" t="str">
        <f>IF('Input Sheet'!C722="","",CONCATENATE("Sample ", 'Input Sheet'!B722, "m: ", N720, H720, "% ", "Siltstone, ", P720, 'Input Sheet'!C722, "% ", J720, " Sandstone, ", L720, K720, " FLUOR in SST. ", "TG ", 'Input Sheet'!I722, "U"))</f>
        <v/>
      </c>
      <c r="B720" s="3" t="str">
        <f>IF('Input Sheet'!C722="","",CONCATENATE("Sample ", 'Input Sheet'!B722, "m: ", O720, I720, "% ", "Siltstone, ", Q720, 'Input Sheet'!C722, "% ", K720, " Sandstone "))</f>
        <v/>
      </c>
      <c r="C720" s="3" t="str">
        <f>IF('Input Sheet'!C722="","",CONCATENATE("Sample ", 'Input Sheet'!B722, "m: ", N720,, L720, K720, " FLUOR in SST. ", "TG ", 'Input Sheet'!I722, "U"))</f>
        <v/>
      </c>
      <c r="H720" s="6" t="str">
        <f>IF('Input Sheet'!C722="","",100-'Input Sheet'!C722)</f>
        <v/>
      </c>
      <c r="I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0" s="6" t="str">
        <f t="shared" si="11"/>
        <v/>
      </c>
      <c r="K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0" s="6" t="str">
        <f>IF('Input Sheet'!F722=0, "NO",CONCATENATE('Input Sheet'!F722, IF('Input Sheet'!F722&gt;0,"% ","")))</f>
        <v>NO</v>
      </c>
      <c r="M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0" s="6" t="str">
        <f>CONCATENATE(M720, IF('Input Sheet'!J722="",""," siderite in "))</f>
        <v/>
      </c>
      <c r="O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0" s="6" t="str">
        <f>CONCATENATE(O720, IF('Input Sheet'!K722="",""," siderite in "))</f>
        <v/>
      </c>
    </row>
    <row r="721" spans="1:16" x14ac:dyDescent="0.25">
      <c r="A721" s="17" t="str">
        <f>IF('Input Sheet'!C723="","",CONCATENATE("Sample ", 'Input Sheet'!B723, "m: ", N721, H721, "% ", "Siltstone, ", P721, 'Input Sheet'!C723, "% ", J721, " Sandstone, ", L721, K721, " FLUOR in SST. ", "TG ", 'Input Sheet'!I723, "U"))</f>
        <v/>
      </c>
      <c r="B721" s="3" t="str">
        <f>IF('Input Sheet'!C723="","",CONCATENATE("Sample ", 'Input Sheet'!B723, "m: ", O721, I721, "% ", "Siltstone, ", Q721, 'Input Sheet'!C723, "% ", K721, " Sandstone "))</f>
        <v/>
      </c>
      <c r="C721" s="3" t="str">
        <f>IF('Input Sheet'!C723="","",CONCATENATE("Sample ", 'Input Sheet'!B723, "m: ", N721,, L721, K721, " FLUOR in SST. ", "TG ", 'Input Sheet'!I723, "U"))</f>
        <v/>
      </c>
      <c r="H721" s="6" t="str">
        <f>IF('Input Sheet'!C723="","",100-'Input Sheet'!C723)</f>
        <v/>
      </c>
      <c r="I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1" s="6" t="str">
        <f t="shared" si="11"/>
        <v/>
      </c>
      <c r="K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1" s="6" t="str">
        <f>IF('Input Sheet'!F723=0, "NO",CONCATENATE('Input Sheet'!F723, IF('Input Sheet'!F723&gt;0,"% ","")))</f>
        <v>NO</v>
      </c>
      <c r="M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1" s="6" t="str">
        <f>CONCATENATE(M721, IF('Input Sheet'!J723="",""," siderite in "))</f>
        <v/>
      </c>
      <c r="O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1" s="6" t="str">
        <f>CONCATENATE(O721, IF('Input Sheet'!K723="",""," siderite in "))</f>
        <v/>
      </c>
    </row>
    <row r="722" spans="1:16" x14ac:dyDescent="0.25">
      <c r="A722" s="17" t="str">
        <f>IF('Input Sheet'!C724="","",CONCATENATE("Sample ", 'Input Sheet'!B724, "m: ", N722, H722, "% ", "Siltstone, ", P722, 'Input Sheet'!C724, "% ", J722, " Sandstone, ", L722, K722, " FLUOR in SST. ", "TG ", 'Input Sheet'!I724, "U"))</f>
        <v/>
      </c>
      <c r="B722" s="3" t="str">
        <f>IF('Input Sheet'!C724="","",CONCATENATE("Sample ", 'Input Sheet'!B724, "m: ", O722, I722, "% ", "Siltstone, ", Q722, 'Input Sheet'!C724, "% ", K722, " Sandstone "))</f>
        <v/>
      </c>
      <c r="C722" s="3" t="str">
        <f>IF('Input Sheet'!C724="","",CONCATENATE("Sample ", 'Input Sheet'!B724, "m: ", N722,, L722, K722, " FLUOR in SST. ", "TG ", 'Input Sheet'!I724, "U"))</f>
        <v/>
      </c>
      <c r="H722" s="6" t="str">
        <f>IF('Input Sheet'!C724="","",100-'Input Sheet'!C724)</f>
        <v/>
      </c>
      <c r="I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2" s="6" t="str">
        <f t="shared" si="11"/>
        <v/>
      </c>
      <c r="K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2" s="6" t="str">
        <f>IF('Input Sheet'!F724=0, "NO",CONCATENATE('Input Sheet'!F724, IF('Input Sheet'!F724&gt;0,"% ","")))</f>
        <v>NO</v>
      </c>
      <c r="M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2" s="6" t="str">
        <f>CONCATENATE(M722, IF('Input Sheet'!J724="",""," siderite in "))</f>
        <v/>
      </c>
      <c r="O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2" s="6" t="str">
        <f>CONCATENATE(O722, IF('Input Sheet'!K724="",""," siderite in "))</f>
        <v/>
      </c>
    </row>
    <row r="723" spans="1:16" x14ac:dyDescent="0.25">
      <c r="A723" s="17" t="str">
        <f>IF('Input Sheet'!C725="","",CONCATENATE("Sample ", 'Input Sheet'!B725, "m: ", N723, H723, "% ", "Siltstone, ", P723, 'Input Sheet'!C725, "% ", J723, " Sandstone, ", L723, K723, " FLUOR in SST. ", "TG ", 'Input Sheet'!I725, "U"))</f>
        <v/>
      </c>
      <c r="B723" s="3" t="str">
        <f>IF('Input Sheet'!C725="","",CONCATENATE("Sample ", 'Input Sheet'!B725, "m: ", O723, I723, "% ", "Siltstone, ", Q723, 'Input Sheet'!C725, "% ", K723, " Sandstone "))</f>
        <v/>
      </c>
      <c r="C723" s="3" t="str">
        <f>IF('Input Sheet'!C725="","",CONCATENATE("Sample ", 'Input Sheet'!B725, "m: ", N723,, L723, K723, " FLUOR in SST. ", "TG ", 'Input Sheet'!I725, "U"))</f>
        <v/>
      </c>
      <c r="H723" s="6" t="str">
        <f>IF('Input Sheet'!C725="","",100-'Input Sheet'!C725)</f>
        <v/>
      </c>
      <c r="I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3" s="6" t="str">
        <f t="shared" si="11"/>
        <v/>
      </c>
      <c r="K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3" s="6" t="str">
        <f>IF('Input Sheet'!F725=0, "NO",CONCATENATE('Input Sheet'!F725, IF('Input Sheet'!F725&gt;0,"% ","")))</f>
        <v>NO</v>
      </c>
      <c r="M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3" s="6" t="str">
        <f>CONCATENATE(M723, IF('Input Sheet'!J725="",""," siderite in "))</f>
        <v/>
      </c>
      <c r="O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3" s="6" t="str">
        <f>CONCATENATE(O723, IF('Input Sheet'!K725="",""," siderite in "))</f>
        <v/>
      </c>
    </row>
    <row r="724" spans="1:16" x14ac:dyDescent="0.25">
      <c r="A724" s="17" t="str">
        <f>IF('Input Sheet'!C726="","",CONCATENATE("Sample ", 'Input Sheet'!B726, "m: ", N724, H724, "% ", "Siltstone, ", P724, 'Input Sheet'!C726, "% ", J724, " Sandstone, ", L724, K724, " FLUOR in SST. ", "TG ", 'Input Sheet'!I726, "U"))</f>
        <v/>
      </c>
      <c r="B724" s="3" t="str">
        <f>IF('Input Sheet'!C726="","",CONCATENATE("Sample ", 'Input Sheet'!B726, "m: ", O724, I724, "% ", "Siltstone, ", Q724, 'Input Sheet'!C726, "% ", K724, " Sandstone "))</f>
        <v/>
      </c>
      <c r="C724" s="3" t="str">
        <f>IF('Input Sheet'!C726="","",CONCATENATE("Sample ", 'Input Sheet'!B726, "m: ", N724,, L724, K724, " FLUOR in SST. ", "TG ", 'Input Sheet'!I726, "U"))</f>
        <v/>
      </c>
      <c r="H724" s="6" t="str">
        <f>IF('Input Sheet'!C726="","",100-'Input Sheet'!C726)</f>
        <v/>
      </c>
      <c r="I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4" s="6" t="str">
        <f t="shared" si="11"/>
        <v/>
      </c>
      <c r="K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4" s="6" t="str">
        <f>IF('Input Sheet'!F726=0, "NO",CONCATENATE('Input Sheet'!F726, IF('Input Sheet'!F726&gt;0,"% ","")))</f>
        <v>NO</v>
      </c>
      <c r="M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4" s="6" t="str">
        <f>CONCATENATE(M724, IF('Input Sheet'!J726="",""," siderite in "))</f>
        <v/>
      </c>
      <c r="O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4" s="6" t="str">
        <f>CONCATENATE(O724, IF('Input Sheet'!K726="",""," siderite in "))</f>
        <v/>
      </c>
    </row>
    <row r="725" spans="1:16" x14ac:dyDescent="0.25">
      <c r="A725" s="17" t="str">
        <f>IF('Input Sheet'!C727="","",CONCATENATE("Sample ", 'Input Sheet'!B727, "m: ", N725, H725, "% ", "Siltstone, ", P725, 'Input Sheet'!C727, "% ", J725, " Sandstone, ", L725, K725, " FLUOR in SST. ", "TG ", 'Input Sheet'!I727, "U"))</f>
        <v/>
      </c>
      <c r="B725" s="3" t="str">
        <f>IF('Input Sheet'!C727="","",CONCATENATE("Sample ", 'Input Sheet'!B727, "m: ", O725, I725, "% ", "Siltstone, ", Q725, 'Input Sheet'!C727, "% ", K725, " Sandstone "))</f>
        <v/>
      </c>
      <c r="C725" s="3" t="str">
        <f>IF('Input Sheet'!C727="","",CONCATENATE("Sample ", 'Input Sheet'!B727, "m: ", N725,, L725, K725, " FLUOR in SST. ", "TG ", 'Input Sheet'!I727, "U"))</f>
        <v/>
      </c>
      <c r="H725" s="6" t="str">
        <f>IF('Input Sheet'!C727="","",100-'Input Sheet'!C727)</f>
        <v/>
      </c>
      <c r="I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5" s="6" t="str">
        <f t="shared" si="11"/>
        <v/>
      </c>
      <c r="K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5" s="6" t="str">
        <f>IF('Input Sheet'!F727=0, "NO",CONCATENATE('Input Sheet'!F727, IF('Input Sheet'!F727&gt;0,"% ","")))</f>
        <v>NO</v>
      </c>
      <c r="M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5" s="6" t="str">
        <f>CONCATENATE(M725, IF('Input Sheet'!J727="",""," siderite in "))</f>
        <v/>
      </c>
      <c r="O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5" s="6" t="str">
        <f>CONCATENATE(O725, IF('Input Sheet'!K727="",""," siderite in "))</f>
        <v/>
      </c>
    </row>
    <row r="726" spans="1:16" x14ac:dyDescent="0.25">
      <c r="A726" s="17" t="str">
        <f>IF('Input Sheet'!C728="","",CONCATENATE("Sample ", 'Input Sheet'!B728, "m: ", N726, H726, "% ", "Siltstone, ", P726, 'Input Sheet'!C728, "% ", J726, " Sandstone, ", L726, K726, " FLUOR in SST. ", "TG ", 'Input Sheet'!I728, "U"))</f>
        <v/>
      </c>
      <c r="B726" s="3" t="str">
        <f>IF('Input Sheet'!C728="","",CONCATENATE("Sample ", 'Input Sheet'!B728, "m: ", O726, I726, "% ", "Siltstone, ", Q726, 'Input Sheet'!C728, "% ", K726, " Sandstone "))</f>
        <v/>
      </c>
      <c r="C726" s="3" t="str">
        <f>IF('Input Sheet'!C728="","",CONCATENATE("Sample ", 'Input Sheet'!B728, "m: ", N726,, L726, K726, " FLUOR in SST. ", "TG ", 'Input Sheet'!I728, "U"))</f>
        <v/>
      </c>
      <c r="H726" s="6" t="str">
        <f>IF('Input Sheet'!C728="","",100-'Input Sheet'!C728)</f>
        <v/>
      </c>
      <c r="I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6" s="6" t="str">
        <f t="shared" si="11"/>
        <v/>
      </c>
      <c r="K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6" s="6" t="str">
        <f>IF('Input Sheet'!F728=0, "NO",CONCATENATE('Input Sheet'!F728, IF('Input Sheet'!F728&gt;0,"% ","")))</f>
        <v>NO</v>
      </c>
      <c r="M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6" s="6" t="str">
        <f>CONCATENATE(M726, IF('Input Sheet'!J728="",""," siderite in "))</f>
        <v/>
      </c>
      <c r="O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6" s="6" t="str">
        <f>CONCATENATE(O726, IF('Input Sheet'!K728="",""," siderite in "))</f>
        <v/>
      </c>
    </row>
    <row r="727" spans="1:16" x14ac:dyDescent="0.25">
      <c r="A727" s="17" t="str">
        <f>IF('Input Sheet'!C729="","",CONCATENATE("Sample ", 'Input Sheet'!B729, "m: ", N727, H727, "% ", "Siltstone, ", P727, 'Input Sheet'!C729, "% ", J727, " Sandstone, ", L727, K727, " FLUOR in SST. ", "TG ", 'Input Sheet'!I729, "U"))</f>
        <v/>
      </c>
      <c r="B727" s="3" t="str">
        <f>IF('Input Sheet'!C729="","",CONCATENATE("Sample ", 'Input Sheet'!B729, "m: ", O727, I727, "% ", "Siltstone, ", Q727, 'Input Sheet'!C729, "% ", K727, " Sandstone "))</f>
        <v/>
      </c>
      <c r="C727" s="3" t="str">
        <f>IF('Input Sheet'!C729="","",CONCATENATE("Sample ", 'Input Sheet'!B729, "m: ", N727,, L727, K727, " FLUOR in SST. ", "TG ", 'Input Sheet'!I729, "U"))</f>
        <v/>
      </c>
      <c r="H727" s="6" t="str">
        <f>IF('Input Sheet'!C729="","",100-'Input Sheet'!C729)</f>
        <v/>
      </c>
      <c r="I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7" s="6" t="str">
        <f t="shared" si="11"/>
        <v/>
      </c>
      <c r="K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7" s="6" t="str">
        <f>IF('Input Sheet'!F729=0, "NO",CONCATENATE('Input Sheet'!F729, IF('Input Sheet'!F729&gt;0,"% ","")))</f>
        <v>NO</v>
      </c>
      <c r="M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7" s="6" t="str">
        <f>CONCATENATE(M727, IF('Input Sheet'!J729="",""," siderite in "))</f>
        <v/>
      </c>
      <c r="O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7" s="6" t="str">
        <f>CONCATENATE(O727, IF('Input Sheet'!K729="",""," siderite in "))</f>
        <v/>
      </c>
    </row>
    <row r="728" spans="1:16" x14ac:dyDescent="0.25">
      <c r="A728" s="17" t="str">
        <f>IF('Input Sheet'!C730="","",CONCATENATE("Sample ", 'Input Sheet'!B730, "m: ", N728, H728, "% ", "Siltstone, ", P728, 'Input Sheet'!C730, "% ", J728, " Sandstone, ", L728, K728, " FLUOR in SST. ", "TG ", 'Input Sheet'!I730, "U"))</f>
        <v/>
      </c>
      <c r="B728" s="3" t="str">
        <f>IF('Input Sheet'!C730="","",CONCATENATE("Sample ", 'Input Sheet'!B730, "m: ", O728, I728, "% ", "Siltstone, ", Q728, 'Input Sheet'!C730, "% ", K728, " Sandstone "))</f>
        <v/>
      </c>
      <c r="C728" s="3" t="str">
        <f>IF('Input Sheet'!C730="","",CONCATENATE("Sample ", 'Input Sheet'!B730, "m: ", N728,, L728, K728, " FLUOR in SST. ", "TG ", 'Input Sheet'!I730, "U"))</f>
        <v/>
      </c>
      <c r="H728" s="6" t="str">
        <f>IF('Input Sheet'!C730="","",100-'Input Sheet'!C730)</f>
        <v/>
      </c>
      <c r="I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8" s="6" t="str">
        <f t="shared" si="11"/>
        <v/>
      </c>
      <c r="K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8" s="6" t="str">
        <f>IF('Input Sheet'!F730=0, "NO",CONCATENATE('Input Sheet'!F730, IF('Input Sheet'!F730&gt;0,"% ","")))</f>
        <v>NO</v>
      </c>
      <c r="M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8" s="6" t="str">
        <f>CONCATENATE(M728, IF('Input Sheet'!J730="",""," siderite in "))</f>
        <v/>
      </c>
      <c r="O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8" s="6" t="str">
        <f>CONCATENATE(O728, IF('Input Sheet'!K730="",""," siderite in "))</f>
        <v/>
      </c>
    </row>
    <row r="729" spans="1:16" x14ac:dyDescent="0.25">
      <c r="A729" s="17" t="str">
        <f>IF('Input Sheet'!C731="","",CONCATENATE("Sample ", 'Input Sheet'!B731, "m: ", N729, H729, "% ", "Siltstone, ", P729, 'Input Sheet'!C731, "% ", J729, " Sandstone, ", L729, K729, " FLUOR in SST. ", "TG ", 'Input Sheet'!I731, "U"))</f>
        <v/>
      </c>
      <c r="B729" s="3" t="str">
        <f>IF('Input Sheet'!C731="","",CONCATENATE("Sample ", 'Input Sheet'!B731, "m: ", O729, I729, "% ", "Siltstone, ", Q729, 'Input Sheet'!C731, "% ", K729, " Sandstone "))</f>
        <v/>
      </c>
      <c r="C729" s="3" t="str">
        <f>IF('Input Sheet'!C731="","",CONCATENATE("Sample ", 'Input Sheet'!B731, "m: ", N729,, L729, K729, " FLUOR in SST. ", "TG ", 'Input Sheet'!I731, "U"))</f>
        <v/>
      </c>
      <c r="H729" s="6" t="str">
        <f>IF('Input Sheet'!C731="","",100-'Input Sheet'!C731)</f>
        <v/>
      </c>
      <c r="I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29" s="6" t="str">
        <f t="shared" si="11"/>
        <v/>
      </c>
      <c r="K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29" s="6" t="str">
        <f>IF('Input Sheet'!F731=0, "NO",CONCATENATE('Input Sheet'!F731, IF('Input Sheet'!F731&gt;0,"% ","")))</f>
        <v>NO</v>
      </c>
      <c r="M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29" s="6" t="str">
        <f>CONCATENATE(M729, IF('Input Sheet'!J731="",""," siderite in "))</f>
        <v/>
      </c>
      <c r="O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29" s="6" t="str">
        <f>CONCATENATE(O729, IF('Input Sheet'!K731="",""," siderite in "))</f>
        <v/>
      </c>
    </row>
    <row r="730" spans="1:16" x14ac:dyDescent="0.25">
      <c r="A730" s="17" t="str">
        <f>IF('Input Sheet'!C732="","",CONCATENATE("Sample ", 'Input Sheet'!B732, "m: ", N730, H730, "% ", "Siltstone, ", P730, 'Input Sheet'!C732, "% ", J730, " Sandstone, ", L730, K730, " FLUOR in SST. ", "TG ", 'Input Sheet'!I732, "U"))</f>
        <v/>
      </c>
      <c r="B730" s="3" t="str">
        <f>IF('Input Sheet'!C732="","",CONCATENATE("Sample ", 'Input Sheet'!B732, "m: ", O730, I730, "% ", "Siltstone, ", Q730, 'Input Sheet'!C732, "% ", K730, " Sandstone "))</f>
        <v/>
      </c>
      <c r="C730" s="3" t="str">
        <f>IF('Input Sheet'!C732="","",CONCATENATE("Sample ", 'Input Sheet'!B732, "m: ", N730,, L730, K730, " FLUOR in SST. ", "TG ", 'Input Sheet'!I732, "U"))</f>
        <v/>
      </c>
      <c r="H730" s="6" t="str">
        <f>IF('Input Sheet'!C732="","",100-'Input Sheet'!C732)</f>
        <v/>
      </c>
      <c r="I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0" s="6" t="str">
        <f t="shared" si="11"/>
        <v/>
      </c>
      <c r="K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0" s="6" t="str">
        <f>IF('Input Sheet'!F732=0, "NO",CONCATENATE('Input Sheet'!F732, IF('Input Sheet'!F732&gt;0,"% ","")))</f>
        <v>NO</v>
      </c>
      <c r="M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0" s="6" t="str">
        <f>CONCATENATE(M730, IF('Input Sheet'!J732="",""," siderite in "))</f>
        <v/>
      </c>
      <c r="O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0" s="6" t="str">
        <f>CONCATENATE(O730, IF('Input Sheet'!K732="",""," siderite in "))</f>
        <v/>
      </c>
    </row>
    <row r="731" spans="1:16" x14ac:dyDescent="0.25">
      <c r="A731" s="17" t="str">
        <f>IF('Input Sheet'!C733="","",CONCATENATE("Sample ", 'Input Sheet'!B733, "m: ", N731, H731, "% ", "Siltstone, ", P731, 'Input Sheet'!C733, "% ", J731, " Sandstone, ", L731, K731, " FLUOR in SST. ", "TG ", 'Input Sheet'!I733, "U"))</f>
        <v/>
      </c>
      <c r="B731" s="3" t="str">
        <f>IF('Input Sheet'!C733="","",CONCATENATE("Sample ", 'Input Sheet'!B733, "m: ", O731, I731, "% ", "Siltstone, ", Q731, 'Input Sheet'!C733, "% ", K731, " Sandstone "))</f>
        <v/>
      </c>
      <c r="C731" s="3" t="str">
        <f>IF('Input Sheet'!C733="","",CONCATENATE("Sample ", 'Input Sheet'!B733, "m: ", N731,, L731, K731, " FLUOR in SST. ", "TG ", 'Input Sheet'!I733, "U"))</f>
        <v/>
      </c>
      <c r="H731" s="6" t="str">
        <f>IF('Input Sheet'!C733="","",100-'Input Sheet'!C733)</f>
        <v/>
      </c>
      <c r="I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1" s="6" t="str">
        <f t="shared" si="11"/>
        <v/>
      </c>
      <c r="K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1" s="6" t="str">
        <f>IF('Input Sheet'!F733=0, "NO",CONCATENATE('Input Sheet'!F733, IF('Input Sheet'!F733&gt;0,"% ","")))</f>
        <v>NO</v>
      </c>
      <c r="M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1" s="6" t="str">
        <f>CONCATENATE(M731, IF('Input Sheet'!J733="",""," siderite in "))</f>
        <v/>
      </c>
      <c r="O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1" s="6" t="str">
        <f>CONCATENATE(O731, IF('Input Sheet'!K733="",""," siderite in "))</f>
        <v/>
      </c>
    </row>
    <row r="732" spans="1:16" x14ac:dyDescent="0.25">
      <c r="A732" s="17" t="str">
        <f>IF('Input Sheet'!C734="","",CONCATENATE("Sample ", 'Input Sheet'!B734, "m: ", N732, H732, "% ", "Siltstone, ", P732, 'Input Sheet'!C734, "% ", J732, " Sandstone, ", L732, K732, " FLUOR in SST. ", "TG ", 'Input Sheet'!I734, "U"))</f>
        <v/>
      </c>
      <c r="B732" s="3" t="str">
        <f>IF('Input Sheet'!C734="","",CONCATENATE("Sample ", 'Input Sheet'!B734, "m: ", O732, I732, "% ", "Siltstone, ", Q732, 'Input Sheet'!C734, "% ", K732, " Sandstone "))</f>
        <v/>
      </c>
      <c r="C732" s="3" t="str">
        <f>IF('Input Sheet'!C734="","",CONCATENATE("Sample ", 'Input Sheet'!B734, "m: ", N732,, L732, K732, " FLUOR in SST. ", "TG ", 'Input Sheet'!I734, "U"))</f>
        <v/>
      </c>
      <c r="H732" s="6" t="str">
        <f>IF('Input Sheet'!C734="","",100-'Input Sheet'!C734)</f>
        <v/>
      </c>
      <c r="I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2" s="6" t="str">
        <f t="shared" si="11"/>
        <v/>
      </c>
      <c r="K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2" s="6" t="str">
        <f>IF('Input Sheet'!F734=0, "NO",CONCATENATE('Input Sheet'!F734, IF('Input Sheet'!F734&gt;0,"% ","")))</f>
        <v>NO</v>
      </c>
      <c r="M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2" s="6" t="str">
        <f>CONCATENATE(M732, IF('Input Sheet'!J734="",""," siderite in "))</f>
        <v/>
      </c>
      <c r="O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2" s="6" t="str">
        <f>CONCATENATE(O732, IF('Input Sheet'!K734="",""," siderite in "))</f>
        <v/>
      </c>
    </row>
    <row r="733" spans="1:16" x14ac:dyDescent="0.25">
      <c r="A733" s="17" t="str">
        <f>IF('Input Sheet'!C735="","",CONCATENATE("Sample ", 'Input Sheet'!B735, "m: ", N733, H733, "% ", "Siltstone, ", P733, 'Input Sheet'!C735, "% ", J733, " Sandstone, ", L733, K733, " FLUOR in SST. ", "TG ", 'Input Sheet'!I735, "U"))</f>
        <v/>
      </c>
      <c r="B733" s="3" t="str">
        <f>IF('Input Sheet'!C735="","",CONCATENATE("Sample ", 'Input Sheet'!B735, "m: ", O733, I733, "% ", "Siltstone, ", Q733, 'Input Sheet'!C735, "% ", K733, " Sandstone "))</f>
        <v/>
      </c>
      <c r="C733" s="3" t="str">
        <f>IF('Input Sheet'!C735="","",CONCATENATE("Sample ", 'Input Sheet'!B735, "m: ", N733,, L733, K733, " FLUOR in SST. ", "TG ", 'Input Sheet'!I735, "U"))</f>
        <v/>
      </c>
      <c r="H733" s="6" t="str">
        <f>IF('Input Sheet'!C735="","",100-'Input Sheet'!C735)</f>
        <v/>
      </c>
      <c r="I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3" s="6" t="str">
        <f t="shared" si="11"/>
        <v/>
      </c>
      <c r="K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3" s="6" t="str">
        <f>IF('Input Sheet'!F735=0, "NO",CONCATENATE('Input Sheet'!F735, IF('Input Sheet'!F735&gt;0,"% ","")))</f>
        <v>NO</v>
      </c>
      <c r="M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3" s="6" t="str">
        <f>CONCATENATE(M733, IF('Input Sheet'!J735="",""," siderite in "))</f>
        <v/>
      </c>
      <c r="O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3" s="6" t="str">
        <f>CONCATENATE(O733, IF('Input Sheet'!K735="",""," siderite in "))</f>
        <v/>
      </c>
    </row>
    <row r="734" spans="1:16" x14ac:dyDescent="0.25">
      <c r="A734" s="17" t="str">
        <f>IF('Input Sheet'!C736="","",CONCATENATE("Sample ", 'Input Sheet'!B736, "m: ", N734, H734, "% ", "Siltstone, ", P734, 'Input Sheet'!C736, "% ", J734, " Sandstone, ", L734, K734, " FLUOR in SST. ", "TG ", 'Input Sheet'!I736, "U"))</f>
        <v/>
      </c>
      <c r="B734" s="3" t="str">
        <f>IF('Input Sheet'!C736="","",CONCATENATE("Sample ", 'Input Sheet'!B736, "m: ", O734, I734, "% ", "Siltstone, ", Q734, 'Input Sheet'!C736, "% ", K734, " Sandstone "))</f>
        <v/>
      </c>
      <c r="C734" s="3" t="str">
        <f>IF('Input Sheet'!C736="","",CONCATENATE("Sample ", 'Input Sheet'!B736, "m: ", N734,, L734, K734, " FLUOR in SST. ", "TG ", 'Input Sheet'!I736, "U"))</f>
        <v/>
      </c>
      <c r="H734" s="6" t="str">
        <f>IF('Input Sheet'!C736="","",100-'Input Sheet'!C736)</f>
        <v/>
      </c>
      <c r="I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4" s="6" t="str">
        <f t="shared" si="11"/>
        <v/>
      </c>
      <c r="K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4" s="6" t="str">
        <f>IF('Input Sheet'!F736=0, "NO",CONCATENATE('Input Sheet'!F736, IF('Input Sheet'!F736&gt;0,"% ","")))</f>
        <v>NO</v>
      </c>
      <c r="M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4" s="6" t="str">
        <f>CONCATENATE(M734, IF('Input Sheet'!J736="",""," siderite in "))</f>
        <v/>
      </c>
      <c r="O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4" s="6" t="str">
        <f>CONCATENATE(O734, IF('Input Sheet'!K736="",""," siderite in "))</f>
        <v/>
      </c>
    </row>
    <row r="735" spans="1:16" x14ac:dyDescent="0.25">
      <c r="A735" s="17" t="str">
        <f>IF('Input Sheet'!C737="","",CONCATENATE("Sample ", 'Input Sheet'!B737, "m: ", N735, H735, "% ", "Siltstone, ", P735, 'Input Sheet'!C737, "% ", J735, " Sandstone, ", L735, K735, " FLUOR in SST. ", "TG ", 'Input Sheet'!I737, "U"))</f>
        <v/>
      </c>
      <c r="B735" s="3" t="str">
        <f>IF('Input Sheet'!C737="","",CONCATENATE("Sample ", 'Input Sheet'!B737, "m: ", O735, I735, "% ", "Siltstone, ", Q735, 'Input Sheet'!C737, "% ", K735, " Sandstone "))</f>
        <v/>
      </c>
      <c r="C735" s="3" t="str">
        <f>IF('Input Sheet'!C737="","",CONCATENATE("Sample ", 'Input Sheet'!B737, "m: ", N735,, L735, K735, " FLUOR in SST. ", "TG ", 'Input Sheet'!I737, "U"))</f>
        <v/>
      </c>
      <c r="H735" s="6" t="str">
        <f>IF('Input Sheet'!C737="","",100-'Input Sheet'!C737)</f>
        <v/>
      </c>
      <c r="I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5" s="6" t="str">
        <f t="shared" si="11"/>
        <v/>
      </c>
      <c r="K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5" s="6" t="str">
        <f>IF('Input Sheet'!F737=0, "NO",CONCATENATE('Input Sheet'!F737, IF('Input Sheet'!F737&gt;0,"% ","")))</f>
        <v>NO</v>
      </c>
      <c r="M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5" s="6" t="str">
        <f>CONCATENATE(M735, IF('Input Sheet'!J737="",""," siderite in "))</f>
        <v/>
      </c>
      <c r="O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5" s="6" t="str">
        <f>CONCATENATE(O735, IF('Input Sheet'!K737="",""," siderite in "))</f>
        <v/>
      </c>
    </row>
    <row r="736" spans="1:16" x14ac:dyDescent="0.25">
      <c r="A736" s="17" t="str">
        <f>IF('Input Sheet'!C738="","",CONCATENATE("Sample ", 'Input Sheet'!B738, "m: ", N736, H736, "% ", "Siltstone, ", P736, 'Input Sheet'!C738, "% ", J736, " Sandstone, ", L736, K736, " FLUOR in SST. ", "TG ", 'Input Sheet'!I738, "U"))</f>
        <v/>
      </c>
      <c r="B736" s="3" t="str">
        <f>IF('Input Sheet'!C738="","",CONCATENATE("Sample ", 'Input Sheet'!B738, "m: ", O736, I736, "% ", "Siltstone, ", Q736, 'Input Sheet'!C738, "% ", K736, " Sandstone "))</f>
        <v/>
      </c>
      <c r="C736" s="3" t="str">
        <f>IF('Input Sheet'!C738="","",CONCATENATE("Sample ", 'Input Sheet'!B738, "m: ", N736,, L736, K736, " FLUOR in SST. ", "TG ", 'Input Sheet'!I738, "U"))</f>
        <v/>
      </c>
      <c r="H736" s="6" t="str">
        <f>IF('Input Sheet'!C738="","",100-'Input Sheet'!C738)</f>
        <v/>
      </c>
      <c r="I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6" s="6" t="str">
        <f t="shared" si="11"/>
        <v/>
      </c>
      <c r="K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6" s="6" t="str">
        <f>IF('Input Sheet'!F738=0, "NO",CONCATENATE('Input Sheet'!F738, IF('Input Sheet'!F738&gt;0,"% ","")))</f>
        <v>NO</v>
      </c>
      <c r="M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6" s="6" t="str">
        <f>CONCATENATE(M736, IF('Input Sheet'!J738="",""," siderite in "))</f>
        <v/>
      </c>
      <c r="O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6" s="6" t="str">
        <f>CONCATENATE(O736, IF('Input Sheet'!K738="",""," siderite in "))</f>
        <v/>
      </c>
    </row>
    <row r="737" spans="1:16" x14ac:dyDescent="0.25">
      <c r="A737" s="17" t="str">
        <f>IF('Input Sheet'!C739="","",CONCATENATE("Sample ", 'Input Sheet'!B739, "m: ", N737, H737, "% ", "Siltstone, ", P737, 'Input Sheet'!C739, "% ", J737, " Sandstone, ", L737, K737, " FLUOR in SST. ", "TG ", 'Input Sheet'!I739, "U"))</f>
        <v/>
      </c>
      <c r="B737" s="3" t="str">
        <f>IF('Input Sheet'!C739="","",CONCATENATE("Sample ", 'Input Sheet'!B739, "m: ", O737, I737, "% ", "Siltstone, ", Q737, 'Input Sheet'!C739, "% ", K737, " Sandstone "))</f>
        <v/>
      </c>
      <c r="C737" s="3" t="str">
        <f>IF('Input Sheet'!C739="","",CONCATENATE("Sample ", 'Input Sheet'!B739, "m: ", N737,, L737, K737, " FLUOR in SST. ", "TG ", 'Input Sheet'!I739, "U"))</f>
        <v/>
      </c>
      <c r="H737" s="6" t="str">
        <f>IF('Input Sheet'!C739="","",100-'Input Sheet'!C739)</f>
        <v/>
      </c>
      <c r="I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7" s="6" t="str">
        <f t="shared" si="11"/>
        <v/>
      </c>
      <c r="K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7" s="6" t="str">
        <f>IF('Input Sheet'!F739=0, "NO",CONCATENATE('Input Sheet'!F739, IF('Input Sheet'!F739&gt;0,"% ","")))</f>
        <v>NO</v>
      </c>
      <c r="M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7" s="6" t="str">
        <f>CONCATENATE(M737, IF('Input Sheet'!J739="",""," siderite in "))</f>
        <v/>
      </c>
      <c r="O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7" s="6" t="str">
        <f>CONCATENATE(O737, IF('Input Sheet'!K739="",""," siderite in "))</f>
        <v/>
      </c>
    </row>
    <row r="738" spans="1:16" x14ac:dyDescent="0.25">
      <c r="A738" s="17" t="str">
        <f>IF('Input Sheet'!C740="","",CONCATENATE("Sample ", 'Input Sheet'!B740, "m: ", N738, H738, "% ", "Siltstone, ", P738, 'Input Sheet'!C740, "% ", J738, " Sandstone, ", L738, K738, " FLUOR in SST. ", "TG ", 'Input Sheet'!I740, "U"))</f>
        <v/>
      </c>
      <c r="B738" s="3" t="str">
        <f>IF('Input Sheet'!C740="","",CONCATENATE("Sample ", 'Input Sheet'!B740, "m: ", O738, I738, "% ", "Siltstone, ", Q738, 'Input Sheet'!C740, "% ", K738, " Sandstone "))</f>
        <v/>
      </c>
      <c r="C738" s="3" t="str">
        <f>IF('Input Sheet'!C740="","",CONCATENATE("Sample ", 'Input Sheet'!B740, "m: ", N738,, L738, K738, " FLUOR in SST. ", "TG ", 'Input Sheet'!I740, "U"))</f>
        <v/>
      </c>
      <c r="H738" s="6" t="str">
        <f>IF('Input Sheet'!C740="","",100-'Input Sheet'!C740)</f>
        <v/>
      </c>
      <c r="I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8" s="6" t="str">
        <f t="shared" si="11"/>
        <v/>
      </c>
      <c r="K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8" s="6" t="str">
        <f>IF('Input Sheet'!F740=0, "NO",CONCATENATE('Input Sheet'!F740, IF('Input Sheet'!F740&gt;0,"% ","")))</f>
        <v>NO</v>
      </c>
      <c r="M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8" s="6" t="str">
        <f>CONCATENATE(M738, IF('Input Sheet'!J740="",""," siderite in "))</f>
        <v/>
      </c>
      <c r="O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8" s="6" t="str">
        <f>CONCATENATE(O738, IF('Input Sheet'!K740="",""," siderite in "))</f>
        <v/>
      </c>
    </row>
    <row r="739" spans="1:16" x14ac:dyDescent="0.25">
      <c r="A739" s="17" t="str">
        <f>IF('Input Sheet'!C741="","",CONCATENATE("Sample ", 'Input Sheet'!B741, "m: ", N739, H739, "% ", "Siltstone, ", P739, 'Input Sheet'!C741, "% ", J739, " Sandstone, ", L739, K739, " FLUOR in SST. ", "TG ", 'Input Sheet'!I741, "U"))</f>
        <v/>
      </c>
      <c r="B739" s="3" t="str">
        <f>IF('Input Sheet'!C741="","",CONCATENATE("Sample ", 'Input Sheet'!B741, "m: ", O739, I739, "% ", "Siltstone, ", Q739, 'Input Sheet'!C741, "% ", K739, " Sandstone "))</f>
        <v/>
      </c>
      <c r="C739" s="3" t="str">
        <f>IF('Input Sheet'!C741="","",CONCATENATE("Sample ", 'Input Sheet'!B741, "m: ", N739,, L739, K739, " FLUOR in SST. ", "TG ", 'Input Sheet'!I741, "U"))</f>
        <v/>
      </c>
      <c r="H739" s="6" t="str">
        <f>IF('Input Sheet'!C741="","",100-'Input Sheet'!C741)</f>
        <v/>
      </c>
      <c r="I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39" s="6" t="str">
        <f t="shared" si="11"/>
        <v/>
      </c>
      <c r="K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39" s="6" t="str">
        <f>IF('Input Sheet'!F741=0, "NO",CONCATENATE('Input Sheet'!F741, IF('Input Sheet'!F741&gt;0,"% ","")))</f>
        <v>NO</v>
      </c>
      <c r="M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39" s="6" t="str">
        <f>CONCATENATE(M739, IF('Input Sheet'!J741="",""," siderite in "))</f>
        <v/>
      </c>
      <c r="O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39" s="6" t="str">
        <f>CONCATENATE(O739, IF('Input Sheet'!K741="",""," siderite in "))</f>
        <v/>
      </c>
    </row>
    <row r="740" spans="1:16" x14ac:dyDescent="0.25">
      <c r="A740" s="17" t="str">
        <f>IF('Input Sheet'!C742="","",CONCATENATE("Sample ", 'Input Sheet'!B742, "m: ", N740, H740, "% ", "Siltstone, ", P740, 'Input Sheet'!C742, "% ", J740, " Sandstone, ", L740, K740, " FLUOR in SST. ", "TG ", 'Input Sheet'!I742, "U"))</f>
        <v/>
      </c>
      <c r="B740" s="3" t="str">
        <f>IF('Input Sheet'!C742="","",CONCATENATE("Sample ", 'Input Sheet'!B742, "m: ", O740, I740, "% ", "Siltstone, ", Q740, 'Input Sheet'!C742, "% ", K740, " Sandstone "))</f>
        <v/>
      </c>
      <c r="C740" s="3" t="str">
        <f>IF('Input Sheet'!C742="","",CONCATENATE("Sample ", 'Input Sheet'!B742, "m: ", N740,, L740, K740, " FLUOR in SST. ", "TG ", 'Input Sheet'!I742, "U"))</f>
        <v/>
      </c>
      <c r="H740" s="6" t="str">
        <f>IF('Input Sheet'!C742="","",100-'Input Sheet'!C742)</f>
        <v/>
      </c>
      <c r="I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0" s="6" t="str">
        <f t="shared" si="11"/>
        <v/>
      </c>
      <c r="K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0" s="6" t="str">
        <f>IF('Input Sheet'!F742=0, "NO",CONCATENATE('Input Sheet'!F742, IF('Input Sheet'!F742&gt;0,"% ","")))</f>
        <v>NO</v>
      </c>
      <c r="M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0" s="6" t="str">
        <f>CONCATENATE(M740, IF('Input Sheet'!J742="",""," siderite in "))</f>
        <v/>
      </c>
      <c r="O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0" s="6" t="str">
        <f>CONCATENATE(O740, IF('Input Sheet'!K742="",""," siderite in "))</f>
        <v/>
      </c>
    </row>
    <row r="741" spans="1:16" x14ac:dyDescent="0.25">
      <c r="A741" s="17" t="str">
        <f>IF('Input Sheet'!C743="","",CONCATENATE("Sample ", 'Input Sheet'!B743, "m: ", N741, H741, "% ", "Siltstone, ", P741, 'Input Sheet'!C743, "% ", J741, " Sandstone, ", L741, K741, " FLUOR in SST. ", "TG ", 'Input Sheet'!I743, "U"))</f>
        <v/>
      </c>
      <c r="B741" s="3" t="str">
        <f>IF('Input Sheet'!C743="","",CONCATENATE("Sample ", 'Input Sheet'!B743, "m: ", O741, I741, "% ", "Siltstone, ", Q741, 'Input Sheet'!C743, "% ", K741, " Sandstone "))</f>
        <v/>
      </c>
      <c r="C741" s="3" t="str">
        <f>IF('Input Sheet'!C743="","",CONCATENATE("Sample ", 'Input Sheet'!B743, "m: ", N741,, L741, K741, " FLUOR in SST. ", "TG ", 'Input Sheet'!I743, "U"))</f>
        <v/>
      </c>
      <c r="H741" s="6" t="str">
        <f>IF('Input Sheet'!C743="","",100-'Input Sheet'!C743)</f>
        <v/>
      </c>
      <c r="I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1" s="6" t="str">
        <f t="shared" si="11"/>
        <v/>
      </c>
      <c r="K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1" s="6" t="str">
        <f>IF('Input Sheet'!F743=0, "NO",CONCATENATE('Input Sheet'!F743, IF('Input Sheet'!F743&gt;0,"% ","")))</f>
        <v>NO</v>
      </c>
      <c r="M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1" s="6" t="str">
        <f>CONCATENATE(M741, IF('Input Sheet'!J743="",""," siderite in "))</f>
        <v/>
      </c>
      <c r="O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1" s="6" t="str">
        <f>CONCATENATE(O741, IF('Input Sheet'!K743="",""," siderite in "))</f>
        <v/>
      </c>
    </row>
    <row r="742" spans="1:16" x14ac:dyDescent="0.25">
      <c r="A742" s="17" t="str">
        <f>IF('Input Sheet'!C744="","",CONCATENATE("Sample ", 'Input Sheet'!B744, "m: ", N742, H742, "% ", "Siltstone, ", P742, 'Input Sheet'!C744, "% ", J742, " Sandstone, ", L742, K742, " FLUOR in SST. ", "TG ", 'Input Sheet'!I744, "U"))</f>
        <v/>
      </c>
      <c r="B742" s="3" t="str">
        <f>IF('Input Sheet'!C744="","",CONCATENATE("Sample ", 'Input Sheet'!B744, "m: ", O742, I742, "% ", "Siltstone, ", Q742, 'Input Sheet'!C744, "% ", K742, " Sandstone "))</f>
        <v/>
      </c>
      <c r="C742" s="3" t="str">
        <f>IF('Input Sheet'!C744="","",CONCATENATE("Sample ", 'Input Sheet'!B744, "m: ", N742,, L742, K742, " FLUOR in SST. ", "TG ", 'Input Sheet'!I744, "U"))</f>
        <v/>
      </c>
      <c r="H742" s="6" t="str">
        <f>IF('Input Sheet'!C744="","",100-'Input Sheet'!C744)</f>
        <v/>
      </c>
      <c r="I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2" s="6" t="str">
        <f t="shared" si="11"/>
        <v/>
      </c>
      <c r="K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2" s="6" t="str">
        <f>IF('Input Sheet'!F744=0, "NO",CONCATENATE('Input Sheet'!F744, IF('Input Sheet'!F744&gt;0,"% ","")))</f>
        <v>NO</v>
      </c>
      <c r="M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2" s="6" t="str">
        <f>CONCATENATE(M742, IF('Input Sheet'!J744="",""," siderite in "))</f>
        <v/>
      </c>
      <c r="O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2" s="6" t="str">
        <f>CONCATENATE(O742, IF('Input Sheet'!K744="",""," siderite in "))</f>
        <v/>
      </c>
    </row>
    <row r="743" spans="1:16" x14ac:dyDescent="0.25">
      <c r="A743" s="17" t="str">
        <f>IF('Input Sheet'!C745="","",CONCATENATE("Sample ", 'Input Sheet'!B745, "m: ", N743, H743, "% ", "Siltstone, ", P743, 'Input Sheet'!C745, "% ", J743, " Sandstone, ", L743, K743, " FLUOR in SST. ", "TG ", 'Input Sheet'!I745, "U"))</f>
        <v/>
      </c>
      <c r="B743" s="3" t="str">
        <f>IF('Input Sheet'!C745="","",CONCATENATE("Sample ", 'Input Sheet'!B745, "m: ", O743, I743, "% ", "Siltstone, ", Q743, 'Input Sheet'!C745, "% ", K743, " Sandstone "))</f>
        <v/>
      </c>
      <c r="C743" s="3" t="str">
        <f>IF('Input Sheet'!C745="","",CONCATENATE("Sample ", 'Input Sheet'!B745, "m: ", N743,, L743, K743, " FLUOR in SST. ", "TG ", 'Input Sheet'!I745, "U"))</f>
        <v/>
      </c>
      <c r="H743" s="6" t="str">
        <f>IF('Input Sheet'!C745="","",100-'Input Sheet'!C745)</f>
        <v/>
      </c>
      <c r="I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3" s="6" t="str">
        <f t="shared" si="11"/>
        <v/>
      </c>
      <c r="K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3" s="6" t="str">
        <f>IF('Input Sheet'!F745=0, "NO",CONCATENATE('Input Sheet'!F745, IF('Input Sheet'!F745&gt;0,"% ","")))</f>
        <v>NO</v>
      </c>
      <c r="M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3" s="6" t="str">
        <f>CONCATENATE(M743, IF('Input Sheet'!J745="",""," siderite in "))</f>
        <v/>
      </c>
      <c r="O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3" s="6" t="str">
        <f>CONCATENATE(O743, IF('Input Sheet'!K745="",""," siderite in "))</f>
        <v/>
      </c>
    </row>
    <row r="744" spans="1:16" x14ac:dyDescent="0.25">
      <c r="A744" s="17" t="str">
        <f>IF('Input Sheet'!C746="","",CONCATENATE("Sample ", 'Input Sheet'!B746, "m: ", N744, H744, "% ", "Siltstone, ", P744, 'Input Sheet'!C746, "% ", J744, " Sandstone, ", L744, K744, " FLUOR in SST. ", "TG ", 'Input Sheet'!I746, "U"))</f>
        <v/>
      </c>
      <c r="B744" s="3" t="str">
        <f>IF('Input Sheet'!C746="","",CONCATENATE("Sample ", 'Input Sheet'!B746, "m: ", O744, I744, "% ", "Siltstone, ", Q744, 'Input Sheet'!C746, "% ", K744, " Sandstone "))</f>
        <v/>
      </c>
      <c r="C744" s="3" t="str">
        <f>IF('Input Sheet'!C746="","",CONCATENATE("Sample ", 'Input Sheet'!B746, "m: ", N744,, L744, K744, " FLUOR in SST. ", "TG ", 'Input Sheet'!I746, "U"))</f>
        <v/>
      </c>
      <c r="H744" s="6" t="str">
        <f>IF('Input Sheet'!C746="","",100-'Input Sheet'!C746)</f>
        <v/>
      </c>
      <c r="I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4" s="6" t="str">
        <f t="shared" si="11"/>
        <v/>
      </c>
      <c r="K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4" s="6" t="str">
        <f>IF('Input Sheet'!F746=0, "NO",CONCATENATE('Input Sheet'!F746, IF('Input Sheet'!F746&gt;0,"% ","")))</f>
        <v>NO</v>
      </c>
      <c r="M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4" s="6" t="str">
        <f>CONCATENATE(M744, IF('Input Sheet'!J746="",""," siderite in "))</f>
        <v/>
      </c>
      <c r="O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4" s="6" t="str">
        <f>CONCATENATE(O744, IF('Input Sheet'!K746="",""," siderite in "))</f>
        <v/>
      </c>
    </row>
    <row r="745" spans="1:16" x14ac:dyDescent="0.25">
      <c r="A745" s="17" t="str">
        <f>IF('Input Sheet'!C747="","",CONCATENATE("Sample ", 'Input Sheet'!B747, "m: ", N745, H745, "% ", "Siltstone, ", P745, 'Input Sheet'!C747, "% ", J745, " Sandstone, ", L745, K745, " FLUOR in SST. ", "TG ", 'Input Sheet'!I747, "U"))</f>
        <v/>
      </c>
      <c r="B745" s="3" t="str">
        <f>IF('Input Sheet'!C747="","",CONCATENATE("Sample ", 'Input Sheet'!B747, "m: ", O745, I745, "% ", "Siltstone, ", Q745, 'Input Sheet'!C747, "% ", K745, " Sandstone "))</f>
        <v/>
      </c>
      <c r="C745" s="3" t="str">
        <f>IF('Input Sheet'!C747="","",CONCATENATE("Sample ", 'Input Sheet'!B747, "m: ", N745,, L745, K745, " FLUOR in SST. ", "TG ", 'Input Sheet'!I747, "U"))</f>
        <v/>
      </c>
      <c r="H745" s="6" t="str">
        <f>IF('Input Sheet'!C747="","",100-'Input Sheet'!C747)</f>
        <v/>
      </c>
      <c r="I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5" s="6" t="str">
        <f t="shared" si="11"/>
        <v/>
      </c>
      <c r="K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5" s="6" t="str">
        <f>IF('Input Sheet'!F747=0, "NO",CONCATENATE('Input Sheet'!F747, IF('Input Sheet'!F747&gt;0,"% ","")))</f>
        <v>NO</v>
      </c>
      <c r="M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5" s="6" t="str">
        <f>CONCATENATE(M745, IF('Input Sheet'!J747="",""," siderite in "))</f>
        <v/>
      </c>
      <c r="O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5" s="6" t="str">
        <f>CONCATENATE(O745, IF('Input Sheet'!K747="",""," siderite in "))</f>
        <v/>
      </c>
    </row>
    <row r="746" spans="1:16" x14ac:dyDescent="0.25">
      <c r="A746" s="17" t="str">
        <f>IF('Input Sheet'!C748="","",CONCATENATE("Sample ", 'Input Sheet'!B748, "m: ", N746, H746, "% ", "Siltstone, ", P746, 'Input Sheet'!C748, "% ", J746, " Sandstone, ", L746, K746, " FLUOR in SST. ", "TG ", 'Input Sheet'!I748, "U"))</f>
        <v/>
      </c>
      <c r="B746" s="3" t="str">
        <f>IF('Input Sheet'!C748="","",CONCATENATE("Sample ", 'Input Sheet'!B748, "m: ", O746, I746, "% ", "Siltstone, ", Q746, 'Input Sheet'!C748, "% ", K746, " Sandstone "))</f>
        <v/>
      </c>
      <c r="C746" s="3" t="str">
        <f>IF('Input Sheet'!C748="","",CONCATENATE("Sample ", 'Input Sheet'!B748, "m: ", N746,, L746, K746, " FLUOR in SST. ", "TG ", 'Input Sheet'!I748, "U"))</f>
        <v/>
      </c>
      <c r="H746" s="6" t="str">
        <f>IF('Input Sheet'!C748="","",100-'Input Sheet'!C748)</f>
        <v/>
      </c>
      <c r="I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6" s="6" t="str">
        <f t="shared" si="11"/>
        <v/>
      </c>
      <c r="K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6" s="6" t="str">
        <f>IF('Input Sheet'!F748=0, "NO",CONCATENATE('Input Sheet'!F748, IF('Input Sheet'!F748&gt;0,"% ","")))</f>
        <v>NO</v>
      </c>
      <c r="M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6" s="6" t="str">
        <f>CONCATENATE(M746, IF('Input Sheet'!J748="",""," siderite in "))</f>
        <v/>
      </c>
      <c r="O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6" s="6" t="str">
        <f>CONCATENATE(O746, IF('Input Sheet'!K748="",""," siderite in "))</f>
        <v/>
      </c>
    </row>
    <row r="747" spans="1:16" x14ac:dyDescent="0.25">
      <c r="A747" s="17" t="str">
        <f>IF('Input Sheet'!C749="","",CONCATENATE("Sample ", 'Input Sheet'!B749, "m: ", N747, H747, "% ", "Siltstone, ", P747, 'Input Sheet'!C749, "% ", J747, " Sandstone, ", L747, K747, " FLUOR in SST. ", "TG ", 'Input Sheet'!I749, "U"))</f>
        <v/>
      </c>
      <c r="B747" s="3" t="str">
        <f>IF('Input Sheet'!C749="","",CONCATENATE("Sample ", 'Input Sheet'!B749, "m: ", O747, I747, "% ", "Siltstone, ", Q747, 'Input Sheet'!C749, "% ", K747, " Sandstone "))</f>
        <v/>
      </c>
      <c r="C747" s="3" t="str">
        <f>IF('Input Sheet'!C749="","",CONCATENATE("Sample ", 'Input Sheet'!B749, "m: ", N747,, L747, K747, " FLUOR in SST. ", "TG ", 'Input Sheet'!I749, "U"))</f>
        <v/>
      </c>
      <c r="H747" s="6" t="str">
        <f>IF('Input Sheet'!C749="","",100-'Input Sheet'!C749)</f>
        <v/>
      </c>
      <c r="I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7" s="6" t="str">
        <f t="shared" si="11"/>
        <v/>
      </c>
      <c r="K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7" s="6" t="str">
        <f>IF('Input Sheet'!F749=0, "NO",CONCATENATE('Input Sheet'!F749, IF('Input Sheet'!F749&gt;0,"% ","")))</f>
        <v>NO</v>
      </c>
      <c r="M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7" s="6" t="str">
        <f>CONCATENATE(M747, IF('Input Sheet'!J749="",""," siderite in "))</f>
        <v/>
      </c>
      <c r="O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7" s="6" t="str">
        <f>CONCATENATE(O747, IF('Input Sheet'!K749="",""," siderite in "))</f>
        <v/>
      </c>
    </row>
    <row r="748" spans="1:16" x14ac:dyDescent="0.25">
      <c r="A748" s="17" t="str">
        <f>IF('Input Sheet'!C750="","",CONCATENATE("Sample ", 'Input Sheet'!B750, "m: ", N748, H748, "% ", "Siltstone, ", P748, 'Input Sheet'!C750, "% ", J748, " Sandstone, ", L748, K748, " FLUOR in SST. ", "TG ", 'Input Sheet'!I750, "U"))</f>
        <v/>
      </c>
      <c r="B748" s="3" t="str">
        <f>IF('Input Sheet'!C750="","",CONCATENATE("Sample ", 'Input Sheet'!B750, "m: ", O748, I748, "% ", "Siltstone, ", Q748, 'Input Sheet'!C750, "% ", K748, " Sandstone "))</f>
        <v/>
      </c>
      <c r="C748" s="3" t="str">
        <f>IF('Input Sheet'!C750="","",CONCATENATE("Sample ", 'Input Sheet'!B750, "m: ", N748,, L748, K748, " FLUOR in SST. ", "TG ", 'Input Sheet'!I750, "U"))</f>
        <v/>
      </c>
      <c r="H748" s="6" t="str">
        <f>IF('Input Sheet'!C750="","",100-'Input Sheet'!C750)</f>
        <v/>
      </c>
      <c r="I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8" s="6" t="str">
        <f t="shared" si="11"/>
        <v/>
      </c>
      <c r="K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8" s="6" t="str">
        <f>IF('Input Sheet'!F750=0, "NO",CONCATENATE('Input Sheet'!F750, IF('Input Sheet'!F750&gt;0,"% ","")))</f>
        <v>NO</v>
      </c>
      <c r="M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8" s="6" t="str">
        <f>CONCATENATE(M748, IF('Input Sheet'!J750="",""," siderite in "))</f>
        <v/>
      </c>
      <c r="O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8" s="6" t="str">
        <f>CONCATENATE(O748, IF('Input Sheet'!K750="",""," siderite in "))</f>
        <v/>
      </c>
    </row>
    <row r="749" spans="1:16" x14ac:dyDescent="0.25">
      <c r="A749" s="17" t="str">
        <f>IF('Input Sheet'!C751="","",CONCATENATE("Sample ", 'Input Sheet'!B751, "m: ", N749, H749, "% ", "Siltstone, ", P749, 'Input Sheet'!C751, "% ", J749, " Sandstone, ", L749, K749, " FLUOR in SST. ", "TG ", 'Input Sheet'!I751, "U"))</f>
        <v/>
      </c>
      <c r="B749" s="3" t="str">
        <f>IF('Input Sheet'!C751="","",CONCATENATE("Sample ", 'Input Sheet'!B751, "m: ", O749, I749, "% ", "Siltstone, ", Q749, 'Input Sheet'!C751, "% ", K749, " Sandstone "))</f>
        <v/>
      </c>
      <c r="C749" s="3" t="str">
        <f>IF('Input Sheet'!C751="","",CONCATENATE("Sample ", 'Input Sheet'!B751, "m: ", N749,, L749, K749, " FLUOR in SST. ", "TG ", 'Input Sheet'!I751, "U"))</f>
        <v/>
      </c>
      <c r="H749" s="6" t="str">
        <f>IF('Input Sheet'!C751="","",100-'Input Sheet'!C751)</f>
        <v/>
      </c>
      <c r="I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49" s="6" t="str">
        <f t="shared" si="11"/>
        <v/>
      </c>
      <c r="K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49" s="6" t="str">
        <f>IF('Input Sheet'!F751=0, "NO",CONCATENATE('Input Sheet'!F751, IF('Input Sheet'!F751&gt;0,"% ","")))</f>
        <v>NO</v>
      </c>
      <c r="M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49" s="6" t="str">
        <f>CONCATENATE(M749, IF('Input Sheet'!J751="",""," siderite in "))</f>
        <v/>
      </c>
      <c r="O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49" s="6" t="str">
        <f>CONCATENATE(O749, IF('Input Sheet'!K751="",""," siderite in "))</f>
        <v/>
      </c>
    </row>
    <row r="750" spans="1:16" x14ac:dyDescent="0.25">
      <c r="A750" s="17" t="str">
        <f>IF('Input Sheet'!C752="","",CONCATENATE("Sample ", 'Input Sheet'!B752, "m: ", N750, H750, "% ", "Siltstone, ", P750, 'Input Sheet'!C752, "% ", J750, " Sandstone, ", L750, K750, " FLUOR in SST. ", "TG ", 'Input Sheet'!I752, "U"))</f>
        <v/>
      </c>
      <c r="B750" s="3" t="str">
        <f>IF('Input Sheet'!C752="","",CONCATENATE("Sample ", 'Input Sheet'!B752, "m: ", O750, I750, "% ", "Siltstone, ", Q750, 'Input Sheet'!C752, "% ", K750, " Sandstone "))</f>
        <v/>
      </c>
      <c r="C750" s="3" t="str">
        <f>IF('Input Sheet'!C752="","",CONCATENATE("Sample ", 'Input Sheet'!B752, "m: ", N750,, L750, K750, " FLUOR in SST. ", "TG ", 'Input Sheet'!I752, "U"))</f>
        <v/>
      </c>
      <c r="H750" s="6" t="str">
        <f>IF('Input Sheet'!C752="","",100-'Input Sheet'!C752)</f>
        <v/>
      </c>
      <c r="I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0" s="6" t="str">
        <f t="shared" si="11"/>
        <v/>
      </c>
      <c r="K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0" s="6" t="str">
        <f>IF('Input Sheet'!F752=0, "NO",CONCATENATE('Input Sheet'!F752, IF('Input Sheet'!F752&gt;0,"% ","")))</f>
        <v>NO</v>
      </c>
      <c r="M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0" s="6" t="str">
        <f>CONCATENATE(M750, IF('Input Sheet'!J752="",""," siderite in "))</f>
        <v/>
      </c>
      <c r="O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0" s="6" t="str">
        <f>CONCATENATE(O750, IF('Input Sheet'!K752="",""," siderite in "))</f>
        <v/>
      </c>
    </row>
    <row r="751" spans="1:16" x14ac:dyDescent="0.25">
      <c r="A751" s="17" t="str">
        <f>IF('Input Sheet'!C753="","",CONCATENATE("Sample ", 'Input Sheet'!B753, "m: ", N751, H751, "% ", "Siltstone, ", P751, 'Input Sheet'!C753, "% ", J751, " Sandstone, ", L751, K751, " FLUOR in SST. ", "TG ", 'Input Sheet'!I753, "U"))</f>
        <v/>
      </c>
      <c r="B751" s="3" t="str">
        <f>IF('Input Sheet'!C753="","",CONCATENATE("Sample ", 'Input Sheet'!B753, "m: ", O751, I751, "% ", "Siltstone, ", Q751, 'Input Sheet'!C753, "% ", K751, " Sandstone "))</f>
        <v/>
      </c>
      <c r="C751" s="3" t="str">
        <f>IF('Input Sheet'!C753="","",CONCATENATE("Sample ", 'Input Sheet'!B753, "m: ", N751,, L751, K751, " FLUOR in SST. ", "TG ", 'Input Sheet'!I753, "U"))</f>
        <v/>
      </c>
      <c r="H751" s="6" t="str">
        <f>IF('Input Sheet'!C753="","",100-'Input Sheet'!C753)</f>
        <v/>
      </c>
      <c r="I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1" s="6" t="str">
        <f t="shared" si="11"/>
        <v/>
      </c>
      <c r="K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1" s="6" t="str">
        <f>IF('Input Sheet'!F753=0, "NO",CONCATENATE('Input Sheet'!F753, IF('Input Sheet'!F753&gt;0,"% ","")))</f>
        <v>NO</v>
      </c>
      <c r="M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1" s="6" t="str">
        <f>CONCATENATE(M751, IF('Input Sheet'!J753="",""," siderite in "))</f>
        <v/>
      </c>
      <c r="O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1" s="6" t="str">
        <f>CONCATENATE(O751, IF('Input Sheet'!K753="",""," siderite in "))</f>
        <v/>
      </c>
    </row>
    <row r="752" spans="1:16" x14ac:dyDescent="0.25">
      <c r="A752" s="17" t="str">
        <f>IF('Input Sheet'!C754="","",CONCATENATE("Sample ", 'Input Sheet'!B754, "m: ", N752, H752, "% ", "Siltstone, ", P752, 'Input Sheet'!C754, "% ", J752, " Sandstone, ", L752, K752, " FLUOR in SST. ", "TG ", 'Input Sheet'!I754, "U"))</f>
        <v/>
      </c>
      <c r="B752" s="3" t="str">
        <f>IF('Input Sheet'!C754="","",CONCATENATE("Sample ", 'Input Sheet'!B754, "m: ", O752, I752, "% ", "Siltstone, ", Q752, 'Input Sheet'!C754, "% ", K752, " Sandstone "))</f>
        <v/>
      </c>
      <c r="C752" s="3" t="str">
        <f>IF('Input Sheet'!C754="","",CONCATENATE("Sample ", 'Input Sheet'!B754, "m: ", N752,, L752, K752, " FLUOR in SST. ", "TG ", 'Input Sheet'!I754, "U"))</f>
        <v/>
      </c>
      <c r="H752" s="6" t="str">
        <f>IF('Input Sheet'!C754="","",100-'Input Sheet'!C754)</f>
        <v/>
      </c>
      <c r="I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2" s="6" t="str">
        <f t="shared" si="11"/>
        <v/>
      </c>
      <c r="K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2" s="6" t="str">
        <f>IF('Input Sheet'!F754=0, "NO",CONCATENATE('Input Sheet'!F754, IF('Input Sheet'!F754&gt;0,"% ","")))</f>
        <v>NO</v>
      </c>
      <c r="M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2" s="6" t="str">
        <f>CONCATENATE(M752, IF('Input Sheet'!J754="",""," siderite in "))</f>
        <v/>
      </c>
      <c r="O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2" s="6" t="str">
        <f>CONCATENATE(O752, IF('Input Sheet'!K754="",""," siderite in "))</f>
        <v/>
      </c>
    </row>
    <row r="753" spans="1:16" x14ac:dyDescent="0.25">
      <c r="A753" s="17" t="str">
        <f>IF('Input Sheet'!C755="","",CONCATENATE("Sample ", 'Input Sheet'!B755, "m: ", N753, H753, "% ", "Siltstone, ", P753, 'Input Sheet'!C755, "% ", J753, " Sandstone, ", L753, K753, " FLUOR in SST. ", "TG ", 'Input Sheet'!I755, "U"))</f>
        <v/>
      </c>
      <c r="B753" s="3" t="str">
        <f>IF('Input Sheet'!C755="","",CONCATENATE("Sample ", 'Input Sheet'!B755, "m: ", O753, I753, "% ", "Siltstone, ", Q753, 'Input Sheet'!C755, "% ", K753, " Sandstone "))</f>
        <v/>
      </c>
      <c r="C753" s="3" t="str">
        <f>IF('Input Sheet'!C755="","",CONCATENATE("Sample ", 'Input Sheet'!B755, "m: ", N753,, L753, K753, " FLUOR in SST. ", "TG ", 'Input Sheet'!I755, "U"))</f>
        <v/>
      </c>
      <c r="H753" s="6" t="str">
        <f>IF('Input Sheet'!C755="","",100-'Input Sheet'!C755)</f>
        <v/>
      </c>
      <c r="I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3" s="6" t="str">
        <f t="shared" si="11"/>
        <v/>
      </c>
      <c r="K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3" s="6" t="str">
        <f>IF('Input Sheet'!F755=0, "NO",CONCATENATE('Input Sheet'!F755, IF('Input Sheet'!F755&gt;0,"% ","")))</f>
        <v>NO</v>
      </c>
      <c r="M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3" s="6" t="str">
        <f>CONCATENATE(M753, IF('Input Sheet'!J755="",""," siderite in "))</f>
        <v/>
      </c>
      <c r="O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3" s="6" t="str">
        <f>CONCATENATE(O753, IF('Input Sheet'!K755="",""," siderite in "))</f>
        <v/>
      </c>
    </row>
    <row r="754" spans="1:16" x14ac:dyDescent="0.25">
      <c r="A754" s="17" t="str">
        <f>IF('Input Sheet'!C756="","",CONCATENATE("Sample ", 'Input Sheet'!B756, "m: ", N754, H754, "% ", "Siltstone, ", P754, 'Input Sheet'!C756, "% ", J754, " Sandstone, ", L754, K754, " FLUOR in SST. ", "TG ", 'Input Sheet'!I756, "U"))</f>
        <v/>
      </c>
      <c r="B754" s="3" t="str">
        <f>IF('Input Sheet'!C756="","",CONCATENATE("Sample ", 'Input Sheet'!B756, "m: ", O754, I754, "% ", "Siltstone, ", Q754, 'Input Sheet'!C756, "% ", K754, " Sandstone "))</f>
        <v/>
      </c>
      <c r="C754" s="3" t="str">
        <f>IF('Input Sheet'!C756="","",CONCATENATE("Sample ", 'Input Sheet'!B756, "m: ", N754,, L754, K754, " FLUOR in SST. ", "TG ", 'Input Sheet'!I756, "U"))</f>
        <v/>
      </c>
      <c r="H754" s="6" t="str">
        <f>IF('Input Sheet'!C756="","",100-'Input Sheet'!C756)</f>
        <v/>
      </c>
      <c r="I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4" s="6" t="str">
        <f t="shared" si="11"/>
        <v/>
      </c>
      <c r="K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4" s="6" t="str">
        <f>IF('Input Sheet'!F756=0, "NO",CONCATENATE('Input Sheet'!F756, IF('Input Sheet'!F756&gt;0,"% ","")))</f>
        <v>NO</v>
      </c>
      <c r="M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4" s="6" t="str">
        <f>CONCATENATE(M754, IF('Input Sheet'!J756="",""," siderite in "))</f>
        <v/>
      </c>
      <c r="O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4" s="6" t="str">
        <f>CONCATENATE(O754, IF('Input Sheet'!K756="",""," siderite in "))</f>
        <v/>
      </c>
    </row>
    <row r="755" spans="1:16" x14ac:dyDescent="0.25">
      <c r="A755" s="17" t="str">
        <f>IF('Input Sheet'!C757="","",CONCATENATE("Sample ", 'Input Sheet'!B757, "m: ", N755, H755, "% ", "Siltstone, ", P755, 'Input Sheet'!C757, "% ", J755, " Sandstone, ", L755, K755, " FLUOR in SST. ", "TG ", 'Input Sheet'!I757, "U"))</f>
        <v/>
      </c>
      <c r="B755" s="3" t="str">
        <f>IF('Input Sheet'!C757="","",CONCATENATE("Sample ", 'Input Sheet'!B757, "m: ", O755, I755, "% ", "Siltstone, ", Q755, 'Input Sheet'!C757, "% ", K755, " Sandstone "))</f>
        <v/>
      </c>
      <c r="C755" s="3" t="str">
        <f>IF('Input Sheet'!C757="","",CONCATENATE("Sample ", 'Input Sheet'!B757, "m: ", N755,, L755, K755, " FLUOR in SST. ", "TG ", 'Input Sheet'!I757, "U"))</f>
        <v/>
      </c>
      <c r="H755" s="6" t="str">
        <f>IF('Input Sheet'!C757="","",100-'Input Sheet'!C757)</f>
        <v/>
      </c>
      <c r="I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5" s="6" t="str">
        <f t="shared" si="11"/>
        <v/>
      </c>
      <c r="K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5" s="6" t="str">
        <f>IF('Input Sheet'!F757=0, "NO",CONCATENATE('Input Sheet'!F757, IF('Input Sheet'!F757&gt;0,"% ","")))</f>
        <v>NO</v>
      </c>
      <c r="M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5" s="6" t="str">
        <f>CONCATENATE(M755, IF('Input Sheet'!J757="",""," siderite in "))</f>
        <v/>
      </c>
      <c r="O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5" s="6" t="str">
        <f>CONCATENATE(O755, IF('Input Sheet'!K757="",""," siderite in "))</f>
        <v/>
      </c>
    </row>
    <row r="756" spans="1:16" x14ac:dyDescent="0.25">
      <c r="A756" s="17" t="str">
        <f>IF('Input Sheet'!C758="","",CONCATENATE("Sample ", 'Input Sheet'!B758, "m: ", N756, H756, "% ", "Siltstone, ", P756, 'Input Sheet'!C758, "% ", J756, " Sandstone, ", L756, K756, " FLUOR in SST. ", "TG ", 'Input Sheet'!I758, "U"))</f>
        <v/>
      </c>
      <c r="B756" s="3" t="str">
        <f>IF('Input Sheet'!C758="","",CONCATENATE("Sample ", 'Input Sheet'!B758, "m: ", O756, I756, "% ", "Siltstone, ", Q756, 'Input Sheet'!C758, "% ", K756, " Sandstone "))</f>
        <v/>
      </c>
      <c r="C756" s="3" t="str">
        <f>IF('Input Sheet'!C758="","",CONCATENATE("Sample ", 'Input Sheet'!B758, "m: ", N756,, L756, K756, " FLUOR in SST. ", "TG ", 'Input Sheet'!I758, "U"))</f>
        <v/>
      </c>
      <c r="H756" s="6" t="str">
        <f>IF('Input Sheet'!C758="","",100-'Input Sheet'!C758)</f>
        <v/>
      </c>
      <c r="I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6" s="6" t="str">
        <f t="shared" si="11"/>
        <v/>
      </c>
      <c r="K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6" s="6" t="str">
        <f>IF('Input Sheet'!F758=0, "NO",CONCATENATE('Input Sheet'!F758, IF('Input Sheet'!F758&gt;0,"% ","")))</f>
        <v>NO</v>
      </c>
      <c r="M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6" s="6" t="str">
        <f>CONCATENATE(M756, IF('Input Sheet'!J758="",""," siderite in "))</f>
        <v/>
      </c>
      <c r="O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6" s="6" t="str">
        <f>CONCATENATE(O756, IF('Input Sheet'!K758="",""," siderite in "))</f>
        <v/>
      </c>
    </row>
    <row r="757" spans="1:16" x14ac:dyDescent="0.25">
      <c r="A757" s="17" t="str">
        <f>IF('Input Sheet'!C759="","",CONCATENATE("Sample ", 'Input Sheet'!B759, "m: ", N757, H757, "% ", "Siltstone, ", P757, 'Input Sheet'!C759, "% ", J757, " Sandstone, ", L757, K757, " FLUOR in SST. ", "TG ", 'Input Sheet'!I759, "U"))</f>
        <v/>
      </c>
      <c r="B757" s="3" t="str">
        <f>IF('Input Sheet'!C759="","",CONCATENATE("Sample ", 'Input Sheet'!B759, "m: ", O757, I757, "% ", "Siltstone, ", Q757, 'Input Sheet'!C759, "% ", K757, " Sandstone "))</f>
        <v/>
      </c>
      <c r="C757" s="3" t="str">
        <f>IF('Input Sheet'!C759="","",CONCATENATE("Sample ", 'Input Sheet'!B759, "m: ", N757,, L757, K757, " FLUOR in SST. ", "TG ", 'Input Sheet'!I759, "U"))</f>
        <v/>
      </c>
      <c r="H757" s="6" t="str">
        <f>IF('Input Sheet'!C759="","",100-'Input Sheet'!C759)</f>
        <v/>
      </c>
      <c r="I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7" s="6" t="str">
        <f t="shared" si="11"/>
        <v/>
      </c>
      <c r="K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7" s="6" t="str">
        <f>IF('Input Sheet'!F759=0, "NO",CONCATENATE('Input Sheet'!F759, IF('Input Sheet'!F759&gt;0,"% ","")))</f>
        <v>NO</v>
      </c>
      <c r="M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7" s="6" t="str">
        <f>CONCATENATE(M757, IF('Input Sheet'!J759="",""," siderite in "))</f>
        <v/>
      </c>
      <c r="O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7" s="6" t="str">
        <f>CONCATENATE(O757, IF('Input Sheet'!K759="",""," siderite in "))</f>
        <v/>
      </c>
    </row>
    <row r="758" spans="1:16" x14ac:dyDescent="0.25">
      <c r="A758" s="17" t="str">
        <f>IF('Input Sheet'!C760="","",CONCATENATE("Sample ", 'Input Sheet'!B760, "m: ", N758, H758, "% ", "Siltstone, ", P758, 'Input Sheet'!C760, "% ", J758, " Sandstone, ", L758, K758, " FLUOR in SST. ", "TG ", 'Input Sheet'!I760, "U"))</f>
        <v/>
      </c>
      <c r="B758" s="3" t="str">
        <f>IF('Input Sheet'!C760="","",CONCATENATE("Sample ", 'Input Sheet'!B760, "m: ", O758, I758, "% ", "Siltstone, ", Q758, 'Input Sheet'!C760, "% ", K758, " Sandstone "))</f>
        <v/>
      </c>
      <c r="C758" s="3" t="str">
        <f>IF('Input Sheet'!C760="","",CONCATENATE("Sample ", 'Input Sheet'!B760, "m: ", N758,, L758, K758, " FLUOR in SST. ", "TG ", 'Input Sheet'!I760, "U"))</f>
        <v/>
      </c>
      <c r="H758" s="6" t="str">
        <f>IF('Input Sheet'!C760="","",100-'Input Sheet'!C760)</f>
        <v/>
      </c>
      <c r="I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8" s="6" t="str">
        <f t="shared" si="11"/>
        <v/>
      </c>
      <c r="K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8" s="6" t="str">
        <f>IF('Input Sheet'!F760=0, "NO",CONCATENATE('Input Sheet'!F760, IF('Input Sheet'!F760&gt;0,"% ","")))</f>
        <v>NO</v>
      </c>
      <c r="M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8" s="6" t="str">
        <f>CONCATENATE(M758, IF('Input Sheet'!J760="",""," siderite in "))</f>
        <v/>
      </c>
      <c r="O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8" s="6" t="str">
        <f>CONCATENATE(O758, IF('Input Sheet'!K760="",""," siderite in "))</f>
        <v/>
      </c>
    </row>
    <row r="759" spans="1:16" x14ac:dyDescent="0.25">
      <c r="A759" s="17" t="str">
        <f>IF('Input Sheet'!C761="","",CONCATENATE("Sample ", 'Input Sheet'!B761, "m: ", N759, H759, "% ", "Siltstone, ", P759, 'Input Sheet'!C761, "% ", J759, " Sandstone, ", L759, K759, " FLUOR in SST. ", "TG ", 'Input Sheet'!I761, "U"))</f>
        <v/>
      </c>
      <c r="B759" s="3" t="str">
        <f>IF('Input Sheet'!C761="","",CONCATENATE("Sample ", 'Input Sheet'!B761, "m: ", O759, I759, "% ", "Siltstone, ", Q759, 'Input Sheet'!C761, "% ", K759, " Sandstone "))</f>
        <v/>
      </c>
      <c r="C759" s="3" t="str">
        <f>IF('Input Sheet'!C761="","",CONCATENATE("Sample ", 'Input Sheet'!B761, "m: ", N759,, L759, K759, " FLUOR in SST. ", "TG ", 'Input Sheet'!I761, "U"))</f>
        <v/>
      </c>
      <c r="H759" s="6" t="str">
        <f>IF('Input Sheet'!C761="","",100-'Input Sheet'!C761)</f>
        <v/>
      </c>
      <c r="I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59" s="6" t="str">
        <f t="shared" si="11"/>
        <v/>
      </c>
      <c r="K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59" s="6" t="str">
        <f>IF('Input Sheet'!F761=0, "NO",CONCATENATE('Input Sheet'!F761, IF('Input Sheet'!F761&gt;0,"% ","")))</f>
        <v>NO</v>
      </c>
      <c r="M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59" s="6" t="str">
        <f>CONCATENATE(M759, IF('Input Sheet'!J761="",""," siderite in "))</f>
        <v/>
      </c>
      <c r="O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59" s="6" t="str">
        <f>CONCATENATE(O759, IF('Input Sheet'!K761="",""," siderite in "))</f>
        <v/>
      </c>
    </row>
    <row r="760" spans="1:16" x14ac:dyDescent="0.25">
      <c r="A760" s="17" t="str">
        <f>IF('Input Sheet'!C762="","",CONCATENATE("Sample ", 'Input Sheet'!B762, "m: ", N760, H760, "% ", "Siltstone, ", P760, 'Input Sheet'!C762, "% ", J760, " Sandstone, ", L760, K760, " FLUOR in SST. ", "TG ", 'Input Sheet'!I762, "U"))</f>
        <v/>
      </c>
      <c r="B760" s="3" t="str">
        <f>IF('Input Sheet'!C762="","",CONCATENATE("Sample ", 'Input Sheet'!B762, "m: ", O760, I760, "% ", "Siltstone, ", Q760, 'Input Sheet'!C762, "% ", K760, " Sandstone "))</f>
        <v/>
      </c>
      <c r="C760" s="3" t="str">
        <f>IF('Input Sheet'!C762="","",CONCATENATE("Sample ", 'Input Sheet'!B762, "m: ", N760,, L760, K760, " FLUOR in SST. ", "TG ", 'Input Sheet'!I762, "U"))</f>
        <v/>
      </c>
      <c r="H760" s="6" t="str">
        <f>IF('Input Sheet'!C762="","",100-'Input Sheet'!C762)</f>
        <v/>
      </c>
      <c r="I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0" s="6" t="str">
        <f t="shared" si="11"/>
        <v/>
      </c>
      <c r="K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0" s="6" t="str">
        <f>IF('Input Sheet'!F762=0, "NO",CONCATENATE('Input Sheet'!F762, IF('Input Sheet'!F762&gt;0,"% ","")))</f>
        <v>NO</v>
      </c>
      <c r="M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0" s="6" t="str">
        <f>CONCATENATE(M760, IF('Input Sheet'!J762="",""," siderite in "))</f>
        <v/>
      </c>
      <c r="O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0" s="6" t="str">
        <f>CONCATENATE(O760, IF('Input Sheet'!K762="",""," siderite in "))</f>
        <v/>
      </c>
    </row>
    <row r="761" spans="1:16" x14ac:dyDescent="0.25">
      <c r="A761" s="17" t="str">
        <f>IF('Input Sheet'!C763="","",CONCATENATE("Sample ", 'Input Sheet'!B763, "m: ", N761, H761, "% ", "Siltstone, ", P761, 'Input Sheet'!C763, "% ", J761, " Sandstone, ", L761, K761, " FLUOR in SST. ", "TG ", 'Input Sheet'!I763, "U"))</f>
        <v/>
      </c>
      <c r="B761" s="3" t="str">
        <f>IF('Input Sheet'!C763="","",CONCATENATE("Sample ", 'Input Sheet'!B763, "m: ", O761, I761, "% ", "Siltstone, ", Q761, 'Input Sheet'!C763, "% ", K761, " Sandstone "))</f>
        <v/>
      </c>
      <c r="C761" s="3" t="str">
        <f>IF('Input Sheet'!C763="","",CONCATENATE("Sample ", 'Input Sheet'!B763, "m: ", N761,, L761, K761, " FLUOR in SST. ", "TG ", 'Input Sheet'!I763, "U"))</f>
        <v/>
      </c>
      <c r="H761" s="6" t="str">
        <f>IF('Input Sheet'!C763="","",100-'Input Sheet'!C763)</f>
        <v/>
      </c>
      <c r="I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1" s="6" t="str">
        <f t="shared" si="11"/>
        <v/>
      </c>
      <c r="K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1" s="6" t="str">
        <f>IF('Input Sheet'!F763=0, "NO",CONCATENATE('Input Sheet'!F763, IF('Input Sheet'!F763&gt;0,"% ","")))</f>
        <v>NO</v>
      </c>
      <c r="M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1" s="6" t="str">
        <f>CONCATENATE(M761, IF('Input Sheet'!J763="",""," siderite in "))</f>
        <v/>
      </c>
      <c r="O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1" s="6" t="str">
        <f>CONCATENATE(O761, IF('Input Sheet'!K763="",""," siderite in "))</f>
        <v/>
      </c>
    </row>
    <row r="762" spans="1:16" x14ac:dyDescent="0.25">
      <c r="A762" s="17" t="str">
        <f>IF('Input Sheet'!C764="","",CONCATENATE("Sample ", 'Input Sheet'!B764, "m: ", N762, H762, "% ", "Siltstone, ", P762, 'Input Sheet'!C764, "% ", J762, " Sandstone, ", L762, K762, " FLUOR in SST. ", "TG ", 'Input Sheet'!I764, "U"))</f>
        <v/>
      </c>
      <c r="B762" s="3" t="str">
        <f>IF('Input Sheet'!C764="","",CONCATENATE("Sample ", 'Input Sheet'!B764, "m: ", O762, I762, "% ", "Siltstone, ", Q762, 'Input Sheet'!C764, "% ", K762, " Sandstone "))</f>
        <v/>
      </c>
      <c r="C762" s="3" t="str">
        <f>IF('Input Sheet'!C764="","",CONCATENATE("Sample ", 'Input Sheet'!B764, "m: ", N762,, L762, K762, " FLUOR in SST. ", "TG ", 'Input Sheet'!I764, "U"))</f>
        <v/>
      </c>
      <c r="H762" s="6" t="str">
        <f>IF('Input Sheet'!C764="","",100-'Input Sheet'!C764)</f>
        <v/>
      </c>
      <c r="I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2" s="6" t="str">
        <f t="shared" si="11"/>
        <v/>
      </c>
      <c r="K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2" s="6" t="str">
        <f>IF('Input Sheet'!F764=0, "NO",CONCATENATE('Input Sheet'!F764, IF('Input Sheet'!F764&gt;0,"% ","")))</f>
        <v>NO</v>
      </c>
      <c r="M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2" s="6" t="str">
        <f>CONCATENATE(M762, IF('Input Sheet'!J764="",""," siderite in "))</f>
        <v/>
      </c>
      <c r="O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2" s="6" t="str">
        <f>CONCATENATE(O762, IF('Input Sheet'!K764="",""," siderite in "))</f>
        <v/>
      </c>
    </row>
    <row r="763" spans="1:16" x14ac:dyDescent="0.25">
      <c r="A763" s="17" t="str">
        <f>IF('Input Sheet'!C765="","",CONCATENATE("Sample ", 'Input Sheet'!B765, "m: ", N763, H763, "% ", "Siltstone, ", P763, 'Input Sheet'!C765, "% ", J763, " Sandstone, ", L763, K763, " FLUOR in SST. ", "TG ", 'Input Sheet'!I765, "U"))</f>
        <v/>
      </c>
      <c r="B763" s="3" t="str">
        <f>IF('Input Sheet'!C765="","",CONCATENATE("Sample ", 'Input Sheet'!B765, "m: ", O763, I763, "% ", "Siltstone, ", Q763, 'Input Sheet'!C765, "% ", K763, " Sandstone "))</f>
        <v/>
      </c>
      <c r="C763" s="3" t="str">
        <f>IF('Input Sheet'!C765="","",CONCATENATE("Sample ", 'Input Sheet'!B765, "m: ", N763,, L763, K763, " FLUOR in SST. ", "TG ", 'Input Sheet'!I765, "U"))</f>
        <v/>
      </c>
      <c r="H763" s="6" t="str">
        <f>IF('Input Sheet'!C765="","",100-'Input Sheet'!C765)</f>
        <v/>
      </c>
      <c r="I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3" s="6" t="str">
        <f t="shared" si="11"/>
        <v/>
      </c>
      <c r="K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3" s="6" t="str">
        <f>IF('Input Sheet'!F765=0, "NO",CONCATENATE('Input Sheet'!F765, IF('Input Sheet'!F765&gt;0,"% ","")))</f>
        <v>NO</v>
      </c>
      <c r="M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3" s="6" t="str">
        <f>CONCATENATE(M763, IF('Input Sheet'!J765="",""," siderite in "))</f>
        <v/>
      </c>
      <c r="O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3" s="6" t="str">
        <f>CONCATENATE(O763, IF('Input Sheet'!K765="",""," siderite in "))</f>
        <v/>
      </c>
    </row>
    <row r="764" spans="1:16" x14ac:dyDescent="0.25">
      <c r="A764" s="17" t="str">
        <f>IF('Input Sheet'!C766="","",CONCATENATE("Sample ", 'Input Sheet'!B766, "m: ", N764, H764, "% ", "Siltstone, ", P764, 'Input Sheet'!C766, "% ", J764, " Sandstone, ", L764, K764, " FLUOR in SST. ", "TG ", 'Input Sheet'!I766, "U"))</f>
        <v/>
      </c>
      <c r="B764" s="3" t="str">
        <f>IF('Input Sheet'!C766="","",CONCATENATE("Sample ", 'Input Sheet'!B766, "m: ", O764, I764, "% ", "Siltstone, ", Q764, 'Input Sheet'!C766, "% ", K764, " Sandstone "))</f>
        <v/>
      </c>
      <c r="C764" s="3" t="str">
        <f>IF('Input Sheet'!C766="","",CONCATENATE("Sample ", 'Input Sheet'!B766, "m: ", N764,, L764, K764, " FLUOR in SST. ", "TG ", 'Input Sheet'!I766, "U"))</f>
        <v/>
      </c>
      <c r="H764" s="6" t="str">
        <f>IF('Input Sheet'!C766="","",100-'Input Sheet'!C766)</f>
        <v/>
      </c>
      <c r="I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4" s="6" t="str">
        <f t="shared" si="11"/>
        <v/>
      </c>
      <c r="K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4" s="6" t="str">
        <f>IF('Input Sheet'!F766=0, "NO",CONCATENATE('Input Sheet'!F766, IF('Input Sheet'!F766&gt;0,"% ","")))</f>
        <v>NO</v>
      </c>
      <c r="M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4" s="6" t="str">
        <f>CONCATENATE(M764, IF('Input Sheet'!J766="",""," siderite in "))</f>
        <v/>
      </c>
      <c r="O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4" s="6" t="str">
        <f>CONCATENATE(O764, IF('Input Sheet'!K766="",""," siderite in "))</f>
        <v/>
      </c>
    </row>
    <row r="765" spans="1:16" x14ac:dyDescent="0.25">
      <c r="A765" s="17" t="str">
        <f>IF('Input Sheet'!C767="","",CONCATENATE("Sample ", 'Input Sheet'!B767, "m: ", N765, H765, "% ", "Siltstone, ", P765, 'Input Sheet'!C767, "% ", J765, " Sandstone, ", L765, K765, " FLUOR in SST. ", "TG ", 'Input Sheet'!I767, "U"))</f>
        <v/>
      </c>
      <c r="B765" s="3" t="str">
        <f>IF('Input Sheet'!C767="","",CONCATENATE("Sample ", 'Input Sheet'!B767, "m: ", O765, I765, "% ", "Siltstone, ", Q765, 'Input Sheet'!C767, "% ", K765, " Sandstone "))</f>
        <v/>
      </c>
      <c r="C765" s="3" t="str">
        <f>IF('Input Sheet'!C767="","",CONCATENATE("Sample ", 'Input Sheet'!B767, "m: ", N765,, L765, K765, " FLUOR in SST. ", "TG ", 'Input Sheet'!I767, "U"))</f>
        <v/>
      </c>
      <c r="H765" s="6" t="str">
        <f>IF('Input Sheet'!C767="","",100-'Input Sheet'!C767)</f>
        <v/>
      </c>
      <c r="I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5" s="6" t="str">
        <f t="shared" si="11"/>
        <v/>
      </c>
      <c r="K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5" s="6" t="str">
        <f>IF('Input Sheet'!F767=0, "NO",CONCATENATE('Input Sheet'!F767, IF('Input Sheet'!F767&gt;0,"% ","")))</f>
        <v>NO</v>
      </c>
      <c r="M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5" s="6" t="str">
        <f>CONCATENATE(M765, IF('Input Sheet'!J767="",""," siderite in "))</f>
        <v/>
      </c>
      <c r="O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5" s="6" t="str">
        <f>CONCATENATE(O765, IF('Input Sheet'!K767="",""," siderite in "))</f>
        <v/>
      </c>
    </row>
    <row r="766" spans="1:16" x14ac:dyDescent="0.25">
      <c r="A766" s="17" t="str">
        <f>IF('Input Sheet'!C768="","",CONCATENATE("Sample ", 'Input Sheet'!B768, "m: ", N766, H766, "% ", "Siltstone, ", P766, 'Input Sheet'!C768, "% ", J766, " Sandstone, ", L766, K766, " FLUOR in SST. ", "TG ", 'Input Sheet'!I768, "U"))</f>
        <v/>
      </c>
      <c r="B766" s="3" t="str">
        <f>IF('Input Sheet'!C768="","",CONCATENATE("Sample ", 'Input Sheet'!B768, "m: ", O766, I766, "% ", "Siltstone, ", Q766, 'Input Sheet'!C768, "% ", K766, " Sandstone "))</f>
        <v/>
      </c>
      <c r="C766" s="3" t="str">
        <f>IF('Input Sheet'!C768="","",CONCATENATE("Sample ", 'Input Sheet'!B768, "m: ", N766,, L766, K766, " FLUOR in SST. ", "TG ", 'Input Sheet'!I768, "U"))</f>
        <v/>
      </c>
      <c r="H766" s="6" t="str">
        <f>IF('Input Sheet'!C768="","",100-'Input Sheet'!C768)</f>
        <v/>
      </c>
      <c r="I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6" s="6" t="str">
        <f t="shared" si="11"/>
        <v/>
      </c>
      <c r="K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6" s="6" t="str">
        <f>IF('Input Sheet'!F768=0, "NO",CONCATENATE('Input Sheet'!F768, IF('Input Sheet'!F768&gt;0,"% ","")))</f>
        <v>NO</v>
      </c>
      <c r="M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6" s="6" t="str">
        <f>CONCATENATE(M766, IF('Input Sheet'!J768="",""," siderite in "))</f>
        <v/>
      </c>
      <c r="O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6" s="6" t="str">
        <f>CONCATENATE(O766, IF('Input Sheet'!K768="",""," siderite in "))</f>
        <v/>
      </c>
    </row>
    <row r="767" spans="1:16" x14ac:dyDescent="0.25">
      <c r="A767" s="17" t="str">
        <f>IF('Input Sheet'!C769="","",CONCATENATE("Sample ", 'Input Sheet'!B769, "m: ", N767, H767, "% ", "Siltstone, ", P767, 'Input Sheet'!C769, "% ", J767, " Sandstone, ", L767, K767, " FLUOR in SST. ", "TG ", 'Input Sheet'!I769, "U"))</f>
        <v/>
      </c>
      <c r="B767" s="3" t="str">
        <f>IF('Input Sheet'!C769="","",CONCATENATE("Sample ", 'Input Sheet'!B769, "m: ", O767, I767, "% ", "Siltstone, ", Q767, 'Input Sheet'!C769, "% ", K767, " Sandstone "))</f>
        <v/>
      </c>
      <c r="C767" s="3" t="str">
        <f>IF('Input Sheet'!C769="","",CONCATENATE("Sample ", 'Input Sheet'!B769, "m: ", N767,, L767, K767, " FLUOR in SST. ", "TG ", 'Input Sheet'!I769, "U"))</f>
        <v/>
      </c>
      <c r="H767" s="6" t="str">
        <f>IF('Input Sheet'!C769="","",100-'Input Sheet'!C769)</f>
        <v/>
      </c>
      <c r="I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7" s="6" t="str">
        <f t="shared" si="11"/>
        <v/>
      </c>
      <c r="K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7" s="6" t="str">
        <f>IF('Input Sheet'!F769=0, "NO",CONCATENATE('Input Sheet'!F769, IF('Input Sheet'!F769&gt;0,"% ","")))</f>
        <v>NO</v>
      </c>
      <c r="M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7" s="6" t="str">
        <f>CONCATENATE(M767, IF('Input Sheet'!J769="",""," siderite in "))</f>
        <v/>
      </c>
      <c r="O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7" s="6" t="str">
        <f>CONCATENATE(O767, IF('Input Sheet'!K769="",""," siderite in "))</f>
        <v/>
      </c>
    </row>
    <row r="768" spans="1:16" x14ac:dyDescent="0.25">
      <c r="A768" s="17" t="str">
        <f>IF('Input Sheet'!C770="","",CONCATENATE("Sample ", 'Input Sheet'!B770, "m: ", N768, H768, "% ", "Siltstone, ", P768, 'Input Sheet'!C770, "% ", J768, " Sandstone, ", L768, K768, " FLUOR in SST. ", "TG ", 'Input Sheet'!I770, "U"))</f>
        <v/>
      </c>
      <c r="B768" s="3" t="str">
        <f>IF('Input Sheet'!C770="","",CONCATENATE("Sample ", 'Input Sheet'!B770, "m: ", O768, I768, "% ", "Siltstone, ", Q768, 'Input Sheet'!C770, "% ", K768, " Sandstone "))</f>
        <v/>
      </c>
      <c r="C768" s="3" t="str">
        <f>IF('Input Sheet'!C770="","",CONCATENATE("Sample ", 'Input Sheet'!B770, "m: ", N768,, L768, K768, " FLUOR in SST. ", "TG ", 'Input Sheet'!I770, "U"))</f>
        <v/>
      </c>
      <c r="H768" s="6" t="str">
        <f>IF('Input Sheet'!C770="","",100-'Input Sheet'!C770)</f>
        <v/>
      </c>
      <c r="I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8" s="6" t="str">
        <f t="shared" si="11"/>
        <v/>
      </c>
      <c r="K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8" s="6" t="str">
        <f>IF('Input Sheet'!F770=0, "NO",CONCATENATE('Input Sheet'!F770, IF('Input Sheet'!F770&gt;0,"% ","")))</f>
        <v>NO</v>
      </c>
      <c r="M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8" s="6" t="str">
        <f>CONCATENATE(M768, IF('Input Sheet'!J770="",""," siderite in "))</f>
        <v/>
      </c>
      <c r="O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8" s="6" t="str">
        <f>CONCATENATE(O768, IF('Input Sheet'!K770="",""," siderite in "))</f>
        <v/>
      </c>
    </row>
    <row r="769" spans="1:16" x14ac:dyDescent="0.25">
      <c r="A769" s="17" t="str">
        <f>IF('Input Sheet'!C771="","",CONCATENATE("Sample ", 'Input Sheet'!B771, "m: ", N769, H769, "% ", "Siltstone, ", P769, 'Input Sheet'!C771, "% ", J769, " Sandstone, ", L769, K769, " FLUOR in SST. ", "TG ", 'Input Sheet'!I771, "U"))</f>
        <v/>
      </c>
      <c r="B769" s="3" t="str">
        <f>IF('Input Sheet'!C771="","",CONCATENATE("Sample ", 'Input Sheet'!B771, "m: ", O769, I769, "% ", "Siltstone, ", Q769, 'Input Sheet'!C771, "% ", K769, " Sandstone "))</f>
        <v/>
      </c>
      <c r="C769" s="3" t="str">
        <f>IF('Input Sheet'!C771="","",CONCATENATE("Sample ", 'Input Sheet'!B771, "m: ", N769,, L769, K769, " FLUOR in SST. ", "TG ", 'Input Sheet'!I771, "U"))</f>
        <v/>
      </c>
      <c r="H769" s="6" t="str">
        <f>IF('Input Sheet'!C771="","",100-'Input Sheet'!C771)</f>
        <v/>
      </c>
      <c r="I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69" s="6" t="str">
        <f t="shared" si="11"/>
        <v/>
      </c>
      <c r="K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69" s="6" t="str">
        <f>IF('Input Sheet'!F771=0, "NO",CONCATENATE('Input Sheet'!F771, IF('Input Sheet'!F771&gt;0,"% ","")))</f>
        <v>NO</v>
      </c>
      <c r="M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69" s="6" t="str">
        <f>CONCATENATE(M769, IF('Input Sheet'!J771="",""," siderite in "))</f>
        <v/>
      </c>
      <c r="O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69" s="6" t="str">
        <f>CONCATENATE(O769, IF('Input Sheet'!K771="",""," siderite in "))</f>
        <v/>
      </c>
    </row>
    <row r="770" spans="1:16" x14ac:dyDescent="0.25">
      <c r="A770" s="17" t="str">
        <f>IF('Input Sheet'!C772="","",CONCATENATE("Sample ", 'Input Sheet'!B772, "m: ", N770, H770, "% ", "Siltstone, ", P770, 'Input Sheet'!C772, "% ", J770, " Sandstone, ", L770, K770, " FLUOR in SST. ", "TG ", 'Input Sheet'!I772, "U"))</f>
        <v/>
      </c>
      <c r="B770" s="3" t="str">
        <f>IF('Input Sheet'!C772="","",CONCATENATE("Sample ", 'Input Sheet'!B772, "m: ", O770, I770, "% ", "Siltstone, ", Q770, 'Input Sheet'!C772, "% ", K770, " Sandstone "))</f>
        <v/>
      </c>
      <c r="C770" s="3" t="str">
        <f>IF('Input Sheet'!C772="","",CONCATENATE("Sample ", 'Input Sheet'!B772, "m: ", N770,, L770, K770, " FLUOR in SST. ", "TG ", 'Input Sheet'!I772, "U"))</f>
        <v/>
      </c>
      <c r="H770" s="6" t="str">
        <f>IF('Input Sheet'!C772="","",100-'Input Sheet'!C772)</f>
        <v/>
      </c>
      <c r="I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0" s="6" t="str">
        <f t="shared" ref="J770:J833" si="12">SUBSTITUTE(I770, "veryfine", "very fine")</f>
        <v/>
      </c>
      <c r="K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0" s="6" t="str">
        <f>IF('Input Sheet'!F772=0, "NO",CONCATENATE('Input Sheet'!F772, IF('Input Sheet'!F772&gt;0,"% ","")))</f>
        <v>NO</v>
      </c>
      <c r="M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0" s="6" t="str">
        <f>CONCATENATE(M770, IF('Input Sheet'!J772="",""," siderite in "))</f>
        <v/>
      </c>
      <c r="O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0" s="6" t="str">
        <f>CONCATENATE(O770, IF('Input Sheet'!K772="",""," siderite in "))</f>
        <v/>
      </c>
    </row>
    <row r="771" spans="1:16" x14ac:dyDescent="0.25">
      <c r="A771" s="17" t="str">
        <f>IF('Input Sheet'!C773="","",CONCATENATE("Sample ", 'Input Sheet'!B773, "m: ", N771, H771, "% ", "Siltstone, ", P771, 'Input Sheet'!C773, "% ", J771, " Sandstone, ", L771, K771, " FLUOR in SST. ", "TG ", 'Input Sheet'!I773, "U"))</f>
        <v/>
      </c>
      <c r="B771" s="3" t="str">
        <f>IF('Input Sheet'!C773="","",CONCATENATE("Sample ", 'Input Sheet'!B773, "m: ", O771, I771, "% ", "Siltstone, ", Q771, 'Input Sheet'!C773, "% ", K771, " Sandstone "))</f>
        <v/>
      </c>
      <c r="C771" s="3" t="str">
        <f>IF('Input Sheet'!C773="","",CONCATENATE("Sample ", 'Input Sheet'!B773, "m: ", N771,, L771, K771, " FLUOR in SST. ", "TG ", 'Input Sheet'!I773, "U"))</f>
        <v/>
      </c>
      <c r="H771" s="6" t="str">
        <f>IF('Input Sheet'!C773="","",100-'Input Sheet'!C773)</f>
        <v/>
      </c>
      <c r="I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1" s="6" t="str">
        <f t="shared" si="12"/>
        <v/>
      </c>
      <c r="K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1" s="6" t="str">
        <f>IF('Input Sheet'!F773=0, "NO",CONCATENATE('Input Sheet'!F773, IF('Input Sheet'!F773&gt;0,"% ","")))</f>
        <v>NO</v>
      </c>
      <c r="M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1" s="6" t="str">
        <f>CONCATENATE(M771, IF('Input Sheet'!J773="",""," siderite in "))</f>
        <v/>
      </c>
      <c r="O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1" s="6" t="str">
        <f>CONCATENATE(O771, IF('Input Sheet'!K773="",""," siderite in "))</f>
        <v/>
      </c>
    </row>
    <row r="772" spans="1:16" x14ac:dyDescent="0.25">
      <c r="A772" s="17" t="str">
        <f>IF('Input Sheet'!C774="","",CONCATENATE("Sample ", 'Input Sheet'!B774, "m: ", N772, H772, "% ", "Siltstone, ", P772, 'Input Sheet'!C774, "% ", J772, " Sandstone, ", L772, K772, " FLUOR in SST. ", "TG ", 'Input Sheet'!I774, "U"))</f>
        <v/>
      </c>
      <c r="B772" s="3" t="str">
        <f>IF('Input Sheet'!C774="","",CONCATENATE("Sample ", 'Input Sheet'!B774, "m: ", O772, I772, "% ", "Siltstone, ", Q772, 'Input Sheet'!C774, "% ", K772, " Sandstone "))</f>
        <v/>
      </c>
      <c r="C772" s="3" t="str">
        <f>IF('Input Sheet'!C774="","",CONCATENATE("Sample ", 'Input Sheet'!B774, "m: ", N772,, L772, K772, " FLUOR in SST. ", "TG ", 'Input Sheet'!I774, "U"))</f>
        <v/>
      </c>
      <c r="H772" s="6" t="str">
        <f>IF('Input Sheet'!C774="","",100-'Input Sheet'!C774)</f>
        <v/>
      </c>
      <c r="I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2" s="6" t="str">
        <f t="shared" si="12"/>
        <v/>
      </c>
      <c r="K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2" s="6" t="str">
        <f>IF('Input Sheet'!F774=0, "NO",CONCATENATE('Input Sheet'!F774, IF('Input Sheet'!F774&gt;0,"% ","")))</f>
        <v>NO</v>
      </c>
      <c r="M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2" s="6" t="str">
        <f>CONCATENATE(M772, IF('Input Sheet'!J774="",""," siderite in "))</f>
        <v/>
      </c>
      <c r="O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2" s="6" t="str">
        <f>CONCATENATE(O772, IF('Input Sheet'!K774="",""," siderite in "))</f>
        <v/>
      </c>
    </row>
    <row r="773" spans="1:16" x14ac:dyDescent="0.25">
      <c r="A773" s="17" t="str">
        <f>IF('Input Sheet'!C775="","",CONCATENATE("Sample ", 'Input Sheet'!B775, "m: ", N773, H773, "% ", "Siltstone, ", P773, 'Input Sheet'!C775, "% ", J773, " Sandstone, ", L773, K773, " FLUOR in SST. ", "TG ", 'Input Sheet'!I775, "U"))</f>
        <v/>
      </c>
      <c r="B773" s="3" t="str">
        <f>IF('Input Sheet'!C775="","",CONCATENATE("Sample ", 'Input Sheet'!B775, "m: ", O773, I773, "% ", "Siltstone, ", Q773, 'Input Sheet'!C775, "% ", K773, " Sandstone "))</f>
        <v/>
      </c>
      <c r="C773" s="3" t="str">
        <f>IF('Input Sheet'!C775="","",CONCATENATE("Sample ", 'Input Sheet'!B775, "m: ", N773,, L773, K773, " FLUOR in SST. ", "TG ", 'Input Sheet'!I775, "U"))</f>
        <v/>
      </c>
      <c r="H773" s="6" t="str">
        <f>IF('Input Sheet'!C775="","",100-'Input Sheet'!C775)</f>
        <v/>
      </c>
      <c r="I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3" s="6" t="str">
        <f t="shared" si="12"/>
        <v/>
      </c>
      <c r="K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3" s="6" t="str">
        <f>IF('Input Sheet'!F775=0, "NO",CONCATENATE('Input Sheet'!F775, IF('Input Sheet'!F775&gt;0,"% ","")))</f>
        <v>NO</v>
      </c>
      <c r="M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3" s="6" t="str">
        <f>CONCATENATE(M773, IF('Input Sheet'!J775="",""," siderite in "))</f>
        <v/>
      </c>
      <c r="O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3" s="6" t="str">
        <f>CONCATENATE(O773, IF('Input Sheet'!K775="",""," siderite in "))</f>
        <v/>
      </c>
    </row>
    <row r="774" spans="1:16" x14ac:dyDescent="0.25">
      <c r="A774" s="17" t="str">
        <f>IF('Input Sheet'!C776="","",CONCATENATE("Sample ", 'Input Sheet'!B776, "m: ", N774, H774, "% ", "Siltstone, ", P774, 'Input Sheet'!C776, "% ", J774, " Sandstone, ", L774, K774, " FLUOR in SST. ", "TG ", 'Input Sheet'!I776, "U"))</f>
        <v/>
      </c>
      <c r="B774" s="3" t="str">
        <f>IF('Input Sheet'!C776="","",CONCATENATE("Sample ", 'Input Sheet'!B776, "m: ", O774, I774, "% ", "Siltstone, ", Q774, 'Input Sheet'!C776, "% ", K774, " Sandstone "))</f>
        <v/>
      </c>
      <c r="C774" s="3" t="str">
        <f>IF('Input Sheet'!C776="","",CONCATENATE("Sample ", 'Input Sheet'!B776, "m: ", N774,, L774, K774, " FLUOR in SST. ", "TG ", 'Input Sheet'!I776, "U"))</f>
        <v/>
      </c>
      <c r="H774" s="6" t="str">
        <f>IF('Input Sheet'!C776="","",100-'Input Sheet'!C776)</f>
        <v/>
      </c>
      <c r="I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4" s="6" t="str">
        <f t="shared" si="12"/>
        <v/>
      </c>
      <c r="K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4" s="6" t="str">
        <f>IF('Input Sheet'!F776=0, "NO",CONCATENATE('Input Sheet'!F776, IF('Input Sheet'!F776&gt;0,"% ","")))</f>
        <v>NO</v>
      </c>
      <c r="M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4" s="6" t="str">
        <f>CONCATENATE(M774, IF('Input Sheet'!J776="",""," siderite in "))</f>
        <v/>
      </c>
      <c r="O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4" s="6" t="str">
        <f>CONCATENATE(O774, IF('Input Sheet'!K776="",""," siderite in "))</f>
        <v/>
      </c>
    </row>
    <row r="775" spans="1:16" x14ac:dyDescent="0.25">
      <c r="A775" s="17" t="str">
        <f>IF('Input Sheet'!C777="","",CONCATENATE("Sample ", 'Input Sheet'!B777, "m: ", N775, H775, "% ", "Siltstone, ", P775, 'Input Sheet'!C777, "% ", J775, " Sandstone, ", L775, K775, " FLUOR in SST. ", "TG ", 'Input Sheet'!I777, "U"))</f>
        <v/>
      </c>
      <c r="B775" s="3" t="str">
        <f>IF('Input Sheet'!C777="","",CONCATENATE("Sample ", 'Input Sheet'!B777, "m: ", O775, I775, "% ", "Siltstone, ", Q775, 'Input Sheet'!C777, "% ", K775, " Sandstone "))</f>
        <v/>
      </c>
      <c r="C775" s="3" t="str">
        <f>IF('Input Sheet'!C777="","",CONCATENATE("Sample ", 'Input Sheet'!B777, "m: ", N775,, L775, K775, " FLUOR in SST. ", "TG ", 'Input Sheet'!I777, "U"))</f>
        <v/>
      </c>
      <c r="H775" s="6" t="str">
        <f>IF('Input Sheet'!C777="","",100-'Input Sheet'!C777)</f>
        <v/>
      </c>
      <c r="I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5" s="6" t="str">
        <f t="shared" si="12"/>
        <v/>
      </c>
      <c r="K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5" s="6" t="str">
        <f>IF('Input Sheet'!F777=0, "NO",CONCATENATE('Input Sheet'!F777, IF('Input Sheet'!F777&gt;0,"% ","")))</f>
        <v>NO</v>
      </c>
      <c r="M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5" s="6" t="str">
        <f>CONCATENATE(M775, IF('Input Sheet'!J777="",""," siderite in "))</f>
        <v/>
      </c>
      <c r="O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5" s="6" t="str">
        <f>CONCATENATE(O775, IF('Input Sheet'!K777="",""," siderite in "))</f>
        <v/>
      </c>
    </row>
    <row r="776" spans="1:16" x14ac:dyDescent="0.25">
      <c r="A776" s="17" t="str">
        <f>IF('Input Sheet'!C778="","",CONCATENATE("Sample ", 'Input Sheet'!B778, "m: ", N776, H776, "% ", "Siltstone, ", P776, 'Input Sheet'!C778, "% ", J776, " Sandstone, ", L776, K776, " FLUOR in SST. ", "TG ", 'Input Sheet'!I778, "U"))</f>
        <v/>
      </c>
      <c r="B776" s="3" t="str">
        <f>IF('Input Sheet'!C778="","",CONCATENATE("Sample ", 'Input Sheet'!B778, "m: ", O776, I776, "% ", "Siltstone, ", Q776, 'Input Sheet'!C778, "% ", K776, " Sandstone "))</f>
        <v/>
      </c>
      <c r="C776" s="3" t="str">
        <f>IF('Input Sheet'!C778="","",CONCATENATE("Sample ", 'Input Sheet'!B778, "m: ", N776,, L776, K776, " FLUOR in SST. ", "TG ", 'Input Sheet'!I778, "U"))</f>
        <v/>
      </c>
      <c r="H776" s="6" t="str">
        <f>IF('Input Sheet'!C778="","",100-'Input Sheet'!C778)</f>
        <v/>
      </c>
      <c r="I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6" s="6" t="str">
        <f t="shared" si="12"/>
        <v/>
      </c>
      <c r="K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6" s="6" t="str">
        <f>IF('Input Sheet'!F778=0, "NO",CONCATENATE('Input Sheet'!F778, IF('Input Sheet'!F778&gt;0,"% ","")))</f>
        <v>NO</v>
      </c>
      <c r="M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6" s="6" t="str">
        <f>CONCATENATE(M776, IF('Input Sheet'!J778="",""," siderite in "))</f>
        <v/>
      </c>
      <c r="O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6" s="6" t="str">
        <f>CONCATENATE(O776, IF('Input Sheet'!K778="",""," siderite in "))</f>
        <v/>
      </c>
    </row>
    <row r="777" spans="1:16" x14ac:dyDescent="0.25">
      <c r="A777" s="17" t="str">
        <f>IF('Input Sheet'!C779="","",CONCATENATE("Sample ", 'Input Sheet'!B779, "m: ", N777, H777, "% ", "Siltstone, ", P777, 'Input Sheet'!C779, "% ", J777, " Sandstone, ", L777, K777, " FLUOR in SST. ", "TG ", 'Input Sheet'!I779, "U"))</f>
        <v/>
      </c>
      <c r="B777" s="3" t="str">
        <f>IF('Input Sheet'!C779="","",CONCATENATE("Sample ", 'Input Sheet'!B779, "m: ", O777, I777, "% ", "Siltstone, ", Q777, 'Input Sheet'!C779, "% ", K777, " Sandstone "))</f>
        <v/>
      </c>
      <c r="C777" s="3" t="str">
        <f>IF('Input Sheet'!C779="","",CONCATENATE("Sample ", 'Input Sheet'!B779, "m: ", N777,, L777, K777, " FLUOR in SST. ", "TG ", 'Input Sheet'!I779, "U"))</f>
        <v/>
      </c>
      <c r="H777" s="6" t="str">
        <f>IF('Input Sheet'!C779="","",100-'Input Sheet'!C779)</f>
        <v/>
      </c>
      <c r="I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7" s="6" t="str">
        <f t="shared" si="12"/>
        <v/>
      </c>
      <c r="K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7" s="6" t="str">
        <f>IF('Input Sheet'!F779=0, "NO",CONCATENATE('Input Sheet'!F779, IF('Input Sheet'!F779&gt;0,"% ","")))</f>
        <v>NO</v>
      </c>
      <c r="M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7" s="6" t="str">
        <f>CONCATENATE(M777, IF('Input Sheet'!J779="",""," siderite in "))</f>
        <v/>
      </c>
      <c r="O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7" s="6" t="str">
        <f>CONCATENATE(O777, IF('Input Sheet'!K779="",""," siderite in "))</f>
        <v/>
      </c>
    </row>
    <row r="778" spans="1:16" x14ac:dyDescent="0.25">
      <c r="A778" s="17" t="str">
        <f>IF('Input Sheet'!C780="","",CONCATENATE("Sample ", 'Input Sheet'!B780, "m: ", N778, H778, "% ", "Siltstone, ", P778, 'Input Sheet'!C780, "% ", J778, " Sandstone, ", L778, K778, " FLUOR in SST. ", "TG ", 'Input Sheet'!I780, "U"))</f>
        <v/>
      </c>
      <c r="B778" s="3" t="str">
        <f>IF('Input Sheet'!C780="","",CONCATENATE("Sample ", 'Input Sheet'!B780, "m: ", O778, I778, "% ", "Siltstone, ", Q778, 'Input Sheet'!C780, "% ", K778, " Sandstone "))</f>
        <v/>
      </c>
      <c r="C778" s="3" t="str">
        <f>IF('Input Sheet'!C780="","",CONCATENATE("Sample ", 'Input Sheet'!B780, "m: ", N778,, L778, K778, " FLUOR in SST. ", "TG ", 'Input Sheet'!I780, "U"))</f>
        <v/>
      </c>
      <c r="H778" s="6" t="str">
        <f>IF('Input Sheet'!C780="","",100-'Input Sheet'!C780)</f>
        <v/>
      </c>
      <c r="I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8" s="6" t="str">
        <f t="shared" si="12"/>
        <v/>
      </c>
      <c r="K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8" s="6" t="str">
        <f>IF('Input Sheet'!F780=0, "NO",CONCATENATE('Input Sheet'!F780, IF('Input Sheet'!F780&gt;0,"% ","")))</f>
        <v>NO</v>
      </c>
      <c r="M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8" s="6" t="str">
        <f>CONCATENATE(M778, IF('Input Sheet'!J780="",""," siderite in "))</f>
        <v/>
      </c>
      <c r="O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8" s="6" t="str">
        <f>CONCATENATE(O778, IF('Input Sheet'!K780="",""," siderite in "))</f>
        <v/>
      </c>
    </row>
    <row r="779" spans="1:16" x14ac:dyDescent="0.25">
      <c r="A779" s="17" t="str">
        <f>IF('Input Sheet'!C781="","",CONCATENATE("Sample ", 'Input Sheet'!B781, "m: ", N779, H779, "% ", "Siltstone, ", P779, 'Input Sheet'!C781, "% ", J779, " Sandstone, ", L779, K779, " FLUOR in SST. ", "TG ", 'Input Sheet'!I781, "U"))</f>
        <v/>
      </c>
      <c r="B779" s="3" t="str">
        <f>IF('Input Sheet'!C781="","",CONCATENATE("Sample ", 'Input Sheet'!B781, "m: ", O779, I779, "% ", "Siltstone, ", Q779, 'Input Sheet'!C781, "% ", K779, " Sandstone "))</f>
        <v/>
      </c>
      <c r="C779" s="3" t="str">
        <f>IF('Input Sheet'!C781="","",CONCATENATE("Sample ", 'Input Sheet'!B781, "m: ", N779,, L779, K779, " FLUOR in SST. ", "TG ", 'Input Sheet'!I781, "U"))</f>
        <v/>
      </c>
      <c r="H779" s="6" t="str">
        <f>IF('Input Sheet'!C781="","",100-'Input Sheet'!C781)</f>
        <v/>
      </c>
      <c r="I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79" s="6" t="str">
        <f t="shared" si="12"/>
        <v/>
      </c>
      <c r="K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79" s="6" t="str">
        <f>IF('Input Sheet'!F781=0, "NO",CONCATENATE('Input Sheet'!F781, IF('Input Sheet'!F781&gt;0,"% ","")))</f>
        <v>NO</v>
      </c>
      <c r="M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79" s="6" t="str">
        <f>CONCATENATE(M779, IF('Input Sheet'!J781="",""," siderite in "))</f>
        <v/>
      </c>
      <c r="O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79" s="6" t="str">
        <f>CONCATENATE(O779, IF('Input Sheet'!K781="",""," siderite in "))</f>
        <v/>
      </c>
    </row>
    <row r="780" spans="1:16" x14ac:dyDescent="0.25">
      <c r="A780" s="17" t="str">
        <f>IF('Input Sheet'!C782="","",CONCATENATE("Sample ", 'Input Sheet'!B782, "m: ", N780, H780, "% ", "Siltstone, ", P780, 'Input Sheet'!C782, "% ", J780, " Sandstone, ", L780, K780, " FLUOR in SST. ", "TG ", 'Input Sheet'!I782, "U"))</f>
        <v/>
      </c>
      <c r="B780" s="3" t="str">
        <f>IF('Input Sheet'!C782="","",CONCATENATE("Sample ", 'Input Sheet'!B782, "m: ", O780, I780, "% ", "Siltstone, ", Q780, 'Input Sheet'!C782, "% ", K780, " Sandstone "))</f>
        <v/>
      </c>
      <c r="C780" s="3" t="str">
        <f>IF('Input Sheet'!C782="","",CONCATENATE("Sample ", 'Input Sheet'!B782, "m: ", N780,, L780, K780, " FLUOR in SST. ", "TG ", 'Input Sheet'!I782, "U"))</f>
        <v/>
      </c>
      <c r="H780" s="6" t="str">
        <f>IF('Input Sheet'!C782="","",100-'Input Sheet'!C782)</f>
        <v/>
      </c>
      <c r="I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0" s="6" t="str">
        <f t="shared" si="12"/>
        <v/>
      </c>
      <c r="K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0" s="6" t="str">
        <f>IF('Input Sheet'!F782=0, "NO",CONCATENATE('Input Sheet'!F782, IF('Input Sheet'!F782&gt;0,"% ","")))</f>
        <v>NO</v>
      </c>
      <c r="M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0" s="6" t="str">
        <f>CONCATENATE(M780, IF('Input Sheet'!J782="",""," siderite in "))</f>
        <v/>
      </c>
      <c r="O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0" s="6" t="str">
        <f>CONCATENATE(O780, IF('Input Sheet'!K782="",""," siderite in "))</f>
        <v/>
      </c>
    </row>
    <row r="781" spans="1:16" x14ac:dyDescent="0.25">
      <c r="A781" s="17" t="str">
        <f>IF('Input Sheet'!C783="","",CONCATENATE("Sample ", 'Input Sheet'!B783, "m: ", N781, H781, "% ", "Siltstone, ", P781, 'Input Sheet'!C783, "% ", J781, " Sandstone, ", L781, K781, " FLUOR in SST. ", "TG ", 'Input Sheet'!I783, "U"))</f>
        <v/>
      </c>
      <c r="B781" s="3" t="str">
        <f>IF('Input Sheet'!C783="","",CONCATENATE("Sample ", 'Input Sheet'!B783, "m: ", O781, I781, "% ", "Siltstone, ", Q781, 'Input Sheet'!C783, "% ", K781, " Sandstone "))</f>
        <v/>
      </c>
      <c r="C781" s="3" t="str">
        <f>IF('Input Sheet'!C783="","",CONCATENATE("Sample ", 'Input Sheet'!B783, "m: ", N781,, L781, K781, " FLUOR in SST. ", "TG ", 'Input Sheet'!I783, "U"))</f>
        <v/>
      </c>
      <c r="H781" s="6" t="str">
        <f>IF('Input Sheet'!C783="","",100-'Input Sheet'!C783)</f>
        <v/>
      </c>
      <c r="I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1" s="6" t="str">
        <f t="shared" si="12"/>
        <v/>
      </c>
      <c r="K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1" s="6" t="str">
        <f>IF('Input Sheet'!F783=0, "NO",CONCATENATE('Input Sheet'!F783, IF('Input Sheet'!F783&gt;0,"% ","")))</f>
        <v>NO</v>
      </c>
      <c r="M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1" s="6" t="str">
        <f>CONCATENATE(M781, IF('Input Sheet'!J783="",""," siderite in "))</f>
        <v/>
      </c>
      <c r="O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1" s="6" t="str">
        <f>CONCATENATE(O781, IF('Input Sheet'!K783="",""," siderite in "))</f>
        <v/>
      </c>
    </row>
    <row r="782" spans="1:16" x14ac:dyDescent="0.25">
      <c r="A782" s="17" t="str">
        <f>IF('Input Sheet'!C784="","",CONCATENATE("Sample ", 'Input Sheet'!B784, "m: ", N782, H782, "% ", "Siltstone, ", P782, 'Input Sheet'!C784, "% ", J782, " Sandstone, ", L782, K782, " FLUOR in SST. ", "TG ", 'Input Sheet'!I784, "U"))</f>
        <v/>
      </c>
      <c r="B782" s="3" t="str">
        <f>IF('Input Sheet'!C784="","",CONCATENATE("Sample ", 'Input Sheet'!B784, "m: ", O782, I782, "% ", "Siltstone, ", Q782, 'Input Sheet'!C784, "% ", K782, " Sandstone "))</f>
        <v/>
      </c>
      <c r="C782" s="3" t="str">
        <f>IF('Input Sheet'!C784="","",CONCATENATE("Sample ", 'Input Sheet'!B784, "m: ", N782,, L782, K782, " FLUOR in SST. ", "TG ", 'Input Sheet'!I784, "U"))</f>
        <v/>
      </c>
      <c r="H782" s="6" t="str">
        <f>IF('Input Sheet'!C784="","",100-'Input Sheet'!C784)</f>
        <v/>
      </c>
      <c r="I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2" s="6" t="str">
        <f t="shared" si="12"/>
        <v/>
      </c>
      <c r="K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2" s="6" t="str">
        <f>IF('Input Sheet'!F784=0, "NO",CONCATENATE('Input Sheet'!F784, IF('Input Sheet'!F784&gt;0,"% ","")))</f>
        <v>NO</v>
      </c>
      <c r="M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2" s="6" t="str">
        <f>CONCATENATE(M782, IF('Input Sheet'!J784="",""," siderite in "))</f>
        <v/>
      </c>
      <c r="O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2" s="6" t="str">
        <f>CONCATENATE(O782, IF('Input Sheet'!K784="",""," siderite in "))</f>
        <v/>
      </c>
    </row>
    <row r="783" spans="1:16" x14ac:dyDescent="0.25">
      <c r="A783" s="17" t="str">
        <f>IF('Input Sheet'!C785="","",CONCATENATE("Sample ", 'Input Sheet'!B785, "m: ", N783, H783, "% ", "Siltstone, ", P783, 'Input Sheet'!C785, "% ", J783, " Sandstone, ", L783, K783, " FLUOR in SST. ", "TG ", 'Input Sheet'!I785, "U"))</f>
        <v/>
      </c>
      <c r="B783" s="3" t="str">
        <f>IF('Input Sheet'!C785="","",CONCATENATE("Sample ", 'Input Sheet'!B785, "m: ", O783, I783, "% ", "Siltstone, ", Q783, 'Input Sheet'!C785, "% ", K783, " Sandstone "))</f>
        <v/>
      </c>
      <c r="C783" s="3" t="str">
        <f>IF('Input Sheet'!C785="","",CONCATENATE("Sample ", 'Input Sheet'!B785, "m: ", N783,, L783, K783, " FLUOR in SST. ", "TG ", 'Input Sheet'!I785, "U"))</f>
        <v/>
      </c>
      <c r="H783" s="6" t="str">
        <f>IF('Input Sheet'!C785="","",100-'Input Sheet'!C785)</f>
        <v/>
      </c>
      <c r="I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3" s="6" t="str">
        <f t="shared" si="12"/>
        <v/>
      </c>
      <c r="K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3" s="6" t="str">
        <f>IF('Input Sheet'!F785=0, "NO",CONCATENATE('Input Sheet'!F785, IF('Input Sheet'!F785&gt;0,"% ","")))</f>
        <v>NO</v>
      </c>
      <c r="M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3" s="6" t="str">
        <f>CONCATENATE(M783, IF('Input Sheet'!J785="",""," siderite in "))</f>
        <v/>
      </c>
      <c r="O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3" s="6" t="str">
        <f>CONCATENATE(O783, IF('Input Sheet'!K785="",""," siderite in "))</f>
        <v/>
      </c>
    </row>
    <row r="784" spans="1:16" x14ac:dyDescent="0.25">
      <c r="A784" s="17" t="str">
        <f>IF('Input Sheet'!C786="","",CONCATENATE("Sample ", 'Input Sheet'!B786, "m: ", N784, H784, "% ", "Siltstone, ", P784, 'Input Sheet'!C786, "% ", J784, " Sandstone, ", L784, K784, " FLUOR in SST. ", "TG ", 'Input Sheet'!I786, "U"))</f>
        <v/>
      </c>
      <c r="B784" s="3" t="str">
        <f>IF('Input Sheet'!C786="","",CONCATENATE("Sample ", 'Input Sheet'!B786, "m: ", O784, I784, "% ", "Siltstone, ", Q784, 'Input Sheet'!C786, "% ", K784, " Sandstone "))</f>
        <v/>
      </c>
      <c r="C784" s="3" t="str">
        <f>IF('Input Sheet'!C786="","",CONCATENATE("Sample ", 'Input Sheet'!B786, "m: ", N784,, L784, K784, " FLUOR in SST. ", "TG ", 'Input Sheet'!I786, "U"))</f>
        <v/>
      </c>
      <c r="H784" s="6" t="str">
        <f>IF('Input Sheet'!C786="","",100-'Input Sheet'!C786)</f>
        <v/>
      </c>
      <c r="I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4" s="6" t="str">
        <f t="shared" si="12"/>
        <v/>
      </c>
      <c r="K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4" s="6" t="str">
        <f>IF('Input Sheet'!F786=0, "NO",CONCATENATE('Input Sheet'!F786, IF('Input Sheet'!F786&gt;0,"% ","")))</f>
        <v>NO</v>
      </c>
      <c r="M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4" s="6" t="str">
        <f>CONCATENATE(M784, IF('Input Sheet'!J786="",""," siderite in "))</f>
        <v/>
      </c>
      <c r="O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4" s="6" t="str">
        <f>CONCATENATE(O784, IF('Input Sheet'!K786="",""," siderite in "))</f>
        <v/>
      </c>
    </row>
    <row r="785" spans="1:16" x14ac:dyDescent="0.25">
      <c r="A785" s="17" t="str">
        <f>IF('Input Sheet'!C787="","",CONCATENATE("Sample ", 'Input Sheet'!B787, "m: ", N785, H785, "% ", "Siltstone, ", P785, 'Input Sheet'!C787, "% ", J785, " Sandstone, ", L785, K785, " FLUOR in SST. ", "TG ", 'Input Sheet'!I787, "U"))</f>
        <v/>
      </c>
      <c r="B785" s="3" t="str">
        <f>IF('Input Sheet'!C787="","",CONCATENATE("Sample ", 'Input Sheet'!B787, "m: ", O785, I785, "% ", "Siltstone, ", Q785, 'Input Sheet'!C787, "% ", K785, " Sandstone "))</f>
        <v/>
      </c>
      <c r="C785" s="3" t="str">
        <f>IF('Input Sheet'!C787="","",CONCATENATE("Sample ", 'Input Sheet'!B787, "m: ", N785,, L785, K785, " FLUOR in SST. ", "TG ", 'Input Sheet'!I787, "U"))</f>
        <v/>
      </c>
      <c r="H785" s="6" t="str">
        <f>IF('Input Sheet'!C787="","",100-'Input Sheet'!C787)</f>
        <v/>
      </c>
      <c r="I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5" s="6" t="str">
        <f t="shared" si="12"/>
        <v/>
      </c>
      <c r="K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5" s="6" t="str">
        <f>IF('Input Sheet'!F787=0, "NO",CONCATENATE('Input Sheet'!F787, IF('Input Sheet'!F787&gt;0,"% ","")))</f>
        <v>NO</v>
      </c>
      <c r="M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5" s="6" t="str">
        <f>CONCATENATE(M785, IF('Input Sheet'!J787="",""," siderite in "))</f>
        <v/>
      </c>
      <c r="O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5" s="6" t="str">
        <f>CONCATENATE(O785, IF('Input Sheet'!K787="",""," siderite in "))</f>
        <v/>
      </c>
    </row>
    <row r="786" spans="1:16" x14ac:dyDescent="0.25">
      <c r="A786" s="17" t="str">
        <f>IF('Input Sheet'!C788="","",CONCATENATE("Sample ", 'Input Sheet'!B788, "m: ", N786, H786, "% ", "Siltstone, ", P786, 'Input Sheet'!C788, "% ", J786, " Sandstone, ", L786, K786, " FLUOR in SST. ", "TG ", 'Input Sheet'!I788, "U"))</f>
        <v/>
      </c>
      <c r="B786" s="3" t="str">
        <f>IF('Input Sheet'!C788="","",CONCATENATE("Sample ", 'Input Sheet'!B788, "m: ", O786, I786, "% ", "Siltstone, ", Q786, 'Input Sheet'!C788, "% ", K786, " Sandstone "))</f>
        <v/>
      </c>
      <c r="C786" s="3" t="str">
        <f>IF('Input Sheet'!C788="","",CONCATENATE("Sample ", 'Input Sheet'!B788, "m: ", N786,, L786, K786, " FLUOR in SST. ", "TG ", 'Input Sheet'!I788, "U"))</f>
        <v/>
      </c>
      <c r="H786" s="6" t="str">
        <f>IF('Input Sheet'!C788="","",100-'Input Sheet'!C788)</f>
        <v/>
      </c>
      <c r="I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6" s="6" t="str">
        <f t="shared" si="12"/>
        <v/>
      </c>
      <c r="K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6" s="6" t="str">
        <f>IF('Input Sheet'!F788=0, "NO",CONCATENATE('Input Sheet'!F788, IF('Input Sheet'!F788&gt;0,"% ","")))</f>
        <v>NO</v>
      </c>
      <c r="M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6" s="6" t="str">
        <f>CONCATENATE(M786, IF('Input Sheet'!J788="",""," siderite in "))</f>
        <v/>
      </c>
      <c r="O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6" s="6" t="str">
        <f>CONCATENATE(O786, IF('Input Sheet'!K788="",""," siderite in "))</f>
        <v/>
      </c>
    </row>
    <row r="787" spans="1:16" x14ac:dyDescent="0.25">
      <c r="A787" s="17" t="str">
        <f>IF('Input Sheet'!C789="","",CONCATENATE("Sample ", 'Input Sheet'!B789, "m: ", N787, H787, "% ", "Siltstone, ", P787, 'Input Sheet'!C789, "% ", J787, " Sandstone, ", L787, K787, " FLUOR in SST. ", "TG ", 'Input Sheet'!I789, "U"))</f>
        <v/>
      </c>
      <c r="B787" s="3" t="str">
        <f>IF('Input Sheet'!C789="","",CONCATENATE("Sample ", 'Input Sheet'!B789, "m: ", O787, I787, "% ", "Siltstone, ", Q787, 'Input Sheet'!C789, "% ", K787, " Sandstone "))</f>
        <v/>
      </c>
      <c r="C787" s="3" t="str">
        <f>IF('Input Sheet'!C789="","",CONCATENATE("Sample ", 'Input Sheet'!B789, "m: ", N787,, L787, K787, " FLUOR in SST. ", "TG ", 'Input Sheet'!I789, "U"))</f>
        <v/>
      </c>
      <c r="H787" s="6" t="str">
        <f>IF('Input Sheet'!C789="","",100-'Input Sheet'!C789)</f>
        <v/>
      </c>
      <c r="I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7" s="6" t="str">
        <f t="shared" si="12"/>
        <v/>
      </c>
      <c r="K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7" s="6" t="str">
        <f>IF('Input Sheet'!F789=0, "NO",CONCATENATE('Input Sheet'!F789, IF('Input Sheet'!F789&gt;0,"% ","")))</f>
        <v>NO</v>
      </c>
      <c r="M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7" s="6" t="str">
        <f>CONCATENATE(M787, IF('Input Sheet'!J789="",""," siderite in "))</f>
        <v/>
      </c>
      <c r="O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7" s="6" t="str">
        <f>CONCATENATE(O787, IF('Input Sheet'!K789="",""," siderite in "))</f>
        <v/>
      </c>
    </row>
    <row r="788" spans="1:16" x14ac:dyDescent="0.25">
      <c r="A788" s="17" t="str">
        <f>IF('Input Sheet'!C790="","",CONCATENATE("Sample ", 'Input Sheet'!B790, "m: ", N788, H788, "% ", "Siltstone, ", P788, 'Input Sheet'!C790, "% ", J788, " Sandstone, ", L788, K788, " FLUOR in SST. ", "TG ", 'Input Sheet'!I790, "U"))</f>
        <v/>
      </c>
      <c r="B788" s="3" t="str">
        <f>IF('Input Sheet'!C790="","",CONCATENATE("Sample ", 'Input Sheet'!B790, "m: ", O788, I788, "% ", "Siltstone, ", Q788, 'Input Sheet'!C790, "% ", K788, " Sandstone "))</f>
        <v/>
      </c>
      <c r="C788" s="3" t="str">
        <f>IF('Input Sheet'!C790="","",CONCATENATE("Sample ", 'Input Sheet'!B790, "m: ", N788,, L788, K788, " FLUOR in SST. ", "TG ", 'Input Sheet'!I790, "U"))</f>
        <v/>
      </c>
      <c r="H788" s="6" t="str">
        <f>IF('Input Sheet'!C790="","",100-'Input Sheet'!C790)</f>
        <v/>
      </c>
      <c r="I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8" s="6" t="str">
        <f t="shared" si="12"/>
        <v/>
      </c>
      <c r="K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8" s="6" t="str">
        <f>IF('Input Sheet'!F790=0, "NO",CONCATENATE('Input Sheet'!F790, IF('Input Sheet'!F790&gt;0,"% ","")))</f>
        <v>NO</v>
      </c>
      <c r="M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8" s="6" t="str">
        <f>CONCATENATE(M788, IF('Input Sheet'!J790="",""," siderite in "))</f>
        <v/>
      </c>
      <c r="O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8" s="6" t="str">
        <f>CONCATENATE(O788, IF('Input Sheet'!K790="",""," siderite in "))</f>
        <v/>
      </c>
    </row>
    <row r="789" spans="1:16" x14ac:dyDescent="0.25">
      <c r="A789" s="17" t="str">
        <f>IF('Input Sheet'!C791="","",CONCATENATE("Sample ", 'Input Sheet'!B791, "m: ", N789, H789, "% ", "Siltstone, ", P789, 'Input Sheet'!C791, "% ", J789, " Sandstone, ", L789, K789, " FLUOR in SST. ", "TG ", 'Input Sheet'!I791, "U"))</f>
        <v/>
      </c>
      <c r="B789" s="3" t="str">
        <f>IF('Input Sheet'!C791="","",CONCATENATE("Sample ", 'Input Sheet'!B791, "m: ", O789, I789, "% ", "Siltstone, ", Q789, 'Input Sheet'!C791, "% ", K789, " Sandstone "))</f>
        <v/>
      </c>
      <c r="C789" s="3" t="str">
        <f>IF('Input Sheet'!C791="","",CONCATENATE("Sample ", 'Input Sheet'!B791, "m: ", N789,, L789, K789, " FLUOR in SST. ", "TG ", 'Input Sheet'!I791, "U"))</f>
        <v/>
      </c>
      <c r="H789" s="6" t="str">
        <f>IF('Input Sheet'!C791="","",100-'Input Sheet'!C791)</f>
        <v/>
      </c>
      <c r="I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89" s="6" t="str">
        <f t="shared" si="12"/>
        <v/>
      </c>
      <c r="K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89" s="6" t="str">
        <f>IF('Input Sheet'!F791=0, "NO",CONCATENATE('Input Sheet'!F791, IF('Input Sheet'!F791&gt;0,"% ","")))</f>
        <v>NO</v>
      </c>
      <c r="M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89" s="6" t="str">
        <f>CONCATENATE(M789, IF('Input Sheet'!J791="",""," siderite in "))</f>
        <v/>
      </c>
      <c r="O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89" s="6" t="str">
        <f>CONCATENATE(O789, IF('Input Sheet'!K791="",""," siderite in "))</f>
        <v/>
      </c>
    </row>
    <row r="790" spans="1:16" x14ac:dyDescent="0.25">
      <c r="A790" s="17" t="str">
        <f>IF('Input Sheet'!C792="","",CONCATENATE("Sample ", 'Input Sheet'!B792, "m: ", N790, H790, "% ", "Siltstone, ", P790, 'Input Sheet'!C792, "% ", J790, " Sandstone, ", L790, K790, " FLUOR in SST. ", "TG ", 'Input Sheet'!I792, "U"))</f>
        <v/>
      </c>
      <c r="B790" s="3" t="str">
        <f>IF('Input Sheet'!C792="","",CONCATENATE("Sample ", 'Input Sheet'!B792, "m: ", O790, I790, "% ", "Siltstone, ", Q790, 'Input Sheet'!C792, "% ", K790, " Sandstone "))</f>
        <v/>
      </c>
      <c r="C790" s="3" t="str">
        <f>IF('Input Sheet'!C792="","",CONCATENATE("Sample ", 'Input Sheet'!B792, "m: ", N790,, L790, K790, " FLUOR in SST. ", "TG ", 'Input Sheet'!I792, "U"))</f>
        <v/>
      </c>
      <c r="H790" s="6" t="str">
        <f>IF('Input Sheet'!C792="","",100-'Input Sheet'!C792)</f>
        <v/>
      </c>
      <c r="I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0" s="6" t="str">
        <f t="shared" si="12"/>
        <v/>
      </c>
      <c r="K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0" s="6" t="str">
        <f>IF('Input Sheet'!F792=0, "NO",CONCATENATE('Input Sheet'!F792, IF('Input Sheet'!F792&gt;0,"% ","")))</f>
        <v>NO</v>
      </c>
      <c r="M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0" s="6" t="str">
        <f>CONCATENATE(M790, IF('Input Sheet'!J792="",""," siderite in "))</f>
        <v/>
      </c>
      <c r="O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0" s="6" t="str">
        <f>CONCATENATE(O790, IF('Input Sheet'!K792="",""," siderite in "))</f>
        <v/>
      </c>
    </row>
    <row r="791" spans="1:16" x14ac:dyDescent="0.25">
      <c r="A791" s="17" t="str">
        <f>IF('Input Sheet'!C793="","",CONCATENATE("Sample ", 'Input Sheet'!B793, "m: ", N791, H791, "% ", "Siltstone, ", P791, 'Input Sheet'!C793, "% ", J791, " Sandstone, ", L791, K791, " FLUOR in SST. ", "TG ", 'Input Sheet'!I793, "U"))</f>
        <v/>
      </c>
      <c r="B791" s="3" t="str">
        <f>IF('Input Sheet'!C793="","",CONCATENATE("Sample ", 'Input Sheet'!B793, "m: ", O791, I791, "% ", "Siltstone, ", Q791, 'Input Sheet'!C793, "% ", K791, " Sandstone "))</f>
        <v/>
      </c>
      <c r="C791" s="3" t="str">
        <f>IF('Input Sheet'!C793="","",CONCATENATE("Sample ", 'Input Sheet'!B793, "m: ", N791,, L791, K791, " FLUOR in SST. ", "TG ", 'Input Sheet'!I793, "U"))</f>
        <v/>
      </c>
      <c r="H791" s="6" t="str">
        <f>IF('Input Sheet'!C793="","",100-'Input Sheet'!C793)</f>
        <v/>
      </c>
      <c r="I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1" s="6" t="str">
        <f t="shared" si="12"/>
        <v/>
      </c>
      <c r="K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1" s="6" t="str">
        <f>IF('Input Sheet'!F793=0, "NO",CONCATENATE('Input Sheet'!F793, IF('Input Sheet'!F793&gt;0,"% ","")))</f>
        <v>NO</v>
      </c>
      <c r="M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1" s="6" t="str">
        <f>CONCATENATE(M791, IF('Input Sheet'!J793="",""," siderite in "))</f>
        <v/>
      </c>
      <c r="O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1" s="6" t="str">
        <f>CONCATENATE(O791, IF('Input Sheet'!K793="",""," siderite in "))</f>
        <v/>
      </c>
    </row>
    <row r="792" spans="1:16" x14ac:dyDescent="0.25">
      <c r="A792" s="17" t="str">
        <f>IF('Input Sheet'!C794="","",CONCATENATE("Sample ", 'Input Sheet'!B794, "m: ", N792, H792, "% ", "Siltstone, ", P792, 'Input Sheet'!C794, "% ", J792, " Sandstone, ", L792, K792, " FLUOR in SST. ", "TG ", 'Input Sheet'!I794, "U"))</f>
        <v/>
      </c>
      <c r="B792" s="3" t="str">
        <f>IF('Input Sheet'!C794="","",CONCATENATE("Sample ", 'Input Sheet'!B794, "m: ", O792, I792, "% ", "Siltstone, ", Q792, 'Input Sheet'!C794, "% ", K792, " Sandstone "))</f>
        <v/>
      </c>
      <c r="C792" s="3" t="str">
        <f>IF('Input Sheet'!C794="","",CONCATENATE("Sample ", 'Input Sheet'!B794, "m: ", N792,, L792, K792, " FLUOR in SST. ", "TG ", 'Input Sheet'!I794, "U"))</f>
        <v/>
      </c>
      <c r="H792" s="6" t="str">
        <f>IF('Input Sheet'!C794="","",100-'Input Sheet'!C794)</f>
        <v/>
      </c>
      <c r="I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2" s="6" t="str">
        <f t="shared" si="12"/>
        <v/>
      </c>
      <c r="K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2" s="6" t="str">
        <f>IF('Input Sheet'!F794=0, "NO",CONCATENATE('Input Sheet'!F794, IF('Input Sheet'!F794&gt;0,"% ","")))</f>
        <v>NO</v>
      </c>
      <c r="M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2" s="6" t="str">
        <f>CONCATENATE(M792, IF('Input Sheet'!J794="",""," siderite in "))</f>
        <v/>
      </c>
      <c r="O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2" s="6" t="str">
        <f>CONCATENATE(O792, IF('Input Sheet'!K794="",""," siderite in "))</f>
        <v/>
      </c>
    </row>
    <row r="793" spans="1:16" x14ac:dyDescent="0.25">
      <c r="A793" s="17" t="str">
        <f>IF('Input Sheet'!C795="","",CONCATENATE("Sample ", 'Input Sheet'!B795, "m: ", N793, H793, "% ", "Siltstone, ", P793, 'Input Sheet'!C795, "% ", J793, " Sandstone, ", L793, K793, " FLUOR in SST. ", "TG ", 'Input Sheet'!I795, "U"))</f>
        <v/>
      </c>
      <c r="B793" s="3" t="str">
        <f>IF('Input Sheet'!C795="","",CONCATENATE("Sample ", 'Input Sheet'!B795, "m: ", O793, I793, "% ", "Siltstone, ", Q793, 'Input Sheet'!C795, "% ", K793, " Sandstone "))</f>
        <v/>
      </c>
      <c r="C793" s="3" t="str">
        <f>IF('Input Sheet'!C795="","",CONCATENATE("Sample ", 'Input Sheet'!B795, "m: ", N793,, L793, K793, " FLUOR in SST. ", "TG ", 'Input Sheet'!I795, "U"))</f>
        <v/>
      </c>
      <c r="H793" s="6" t="str">
        <f>IF('Input Sheet'!C795="","",100-'Input Sheet'!C795)</f>
        <v/>
      </c>
      <c r="I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3" s="6" t="str">
        <f t="shared" si="12"/>
        <v/>
      </c>
      <c r="K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3" s="6" t="str">
        <f>IF('Input Sheet'!F795=0, "NO",CONCATENATE('Input Sheet'!F795, IF('Input Sheet'!F795&gt;0,"% ","")))</f>
        <v>NO</v>
      </c>
      <c r="M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3" s="6" t="str">
        <f>CONCATENATE(M793, IF('Input Sheet'!J795="",""," siderite in "))</f>
        <v/>
      </c>
      <c r="O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3" s="6" t="str">
        <f>CONCATENATE(O793, IF('Input Sheet'!K795="",""," siderite in "))</f>
        <v/>
      </c>
    </row>
    <row r="794" spans="1:16" x14ac:dyDescent="0.25">
      <c r="A794" s="17" t="str">
        <f>IF('Input Sheet'!C796="","",CONCATENATE("Sample ", 'Input Sheet'!B796, "m: ", N794, H794, "% ", "Siltstone, ", P794, 'Input Sheet'!C796, "% ", J794, " Sandstone, ", L794, K794, " FLUOR in SST. ", "TG ", 'Input Sheet'!I796, "U"))</f>
        <v/>
      </c>
      <c r="B794" s="3" t="str">
        <f>IF('Input Sheet'!C796="","",CONCATENATE("Sample ", 'Input Sheet'!B796, "m: ", O794, I794, "% ", "Siltstone, ", Q794, 'Input Sheet'!C796, "% ", K794, " Sandstone "))</f>
        <v/>
      </c>
      <c r="C794" s="3" t="str">
        <f>IF('Input Sheet'!C796="","",CONCATENATE("Sample ", 'Input Sheet'!B796, "m: ", N794,, L794, K794, " FLUOR in SST. ", "TG ", 'Input Sheet'!I796, "U"))</f>
        <v/>
      </c>
      <c r="H794" s="6" t="str">
        <f>IF('Input Sheet'!C796="","",100-'Input Sheet'!C796)</f>
        <v/>
      </c>
      <c r="I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4" s="6" t="str">
        <f t="shared" si="12"/>
        <v/>
      </c>
      <c r="K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4" s="6" t="str">
        <f>IF('Input Sheet'!F796=0, "NO",CONCATENATE('Input Sheet'!F796, IF('Input Sheet'!F796&gt;0,"% ","")))</f>
        <v>NO</v>
      </c>
      <c r="M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4" s="6" t="str">
        <f>CONCATENATE(M794, IF('Input Sheet'!J796="",""," siderite in "))</f>
        <v/>
      </c>
      <c r="O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4" s="6" t="str">
        <f>CONCATENATE(O794, IF('Input Sheet'!K796="",""," siderite in "))</f>
        <v/>
      </c>
    </row>
    <row r="795" spans="1:16" x14ac:dyDescent="0.25">
      <c r="A795" s="17" t="str">
        <f>IF('Input Sheet'!C797="","",CONCATENATE("Sample ", 'Input Sheet'!B797, "m: ", N795, H795, "% ", "Siltstone, ", P795, 'Input Sheet'!C797, "% ", J795, " Sandstone, ", L795, K795, " FLUOR in SST. ", "TG ", 'Input Sheet'!I797, "U"))</f>
        <v/>
      </c>
      <c r="B795" s="3" t="str">
        <f>IF('Input Sheet'!C797="","",CONCATENATE("Sample ", 'Input Sheet'!B797, "m: ", O795, I795, "% ", "Siltstone, ", Q795, 'Input Sheet'!C797, "% ", K795, " Sandstone "))</f>
        <v/>
      </c>
      <c r="C795" s="3" t="str">
        <f>IF('Input Sheet'!C797="","",CONCATENATE("Sample ", 'Input Sheet'!B797, "m: ", N795,, L795, K795, " FLUOR in SST. ", "TG ", 'Input Sheet'!I797, "U"))</f>
        <v/>
      </c>
      <c r="H795" s="6" t="str">
        <f>IF('Input Sheet'!C797="","",100-'Input Sheet'!C797)</f>
        <v/>
      </c>
      <c r="I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5" s="6" t="str">
        <f t="shared" si="12"/>
        <v/>
      </c>
      <c r="K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5" s="6" t="str">
        <f>IF('Input Sheet'!F797=0, "NO",CONCATENATE('Input Sheet'!F797, IF('Input Sheet'!F797&gt;0,"% ","")))</f>
        <v>NO</v>
      </c>
      <c r="M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5" s="6" t="str">
        <f>CONCATENATE(M795, IF('Input Sheet'!J797="",""," siderite in "))</f>
        <v/>
      </c>
      <c r="O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5" s="6" t="str">
        <f>CONCATENATE(O795, IF('Input Sheet'!K797="",""," siderite in "))</f>
        <v/>
      </c>
    </row>
    <row r="796" spans="1:16" x14ac:dyDescent="0.25">
      <c r="A796" s="17" t="str">
        <f>IF('Input Sheet'!C798="","",CONCATENATE("Sample ", 'Input Sheet'!B798, "m: ", N796, H796, "% ", "Siltstone, ", P796, 'Input Sheet'!C798, "% ", J796, " Sandstone, ", L796, K796, " FLUOR in SST. ", "TG ", 'Input Sheet'!I798, "U"))</f>
        <v/>
      </c>
      <c r="B796" s="3" t="str">
        <f>IF('Input Sheet'!C798="","",CONCATENATE("Sample ", 'Input Sheet'!B798, "m: ", O796, I796, "% ", "Siltstone, ", Q796, 'Input Sheet'!C798, "% ", K796, " Sandstone "))</f>
        <v/>
      </c>
      <c r="C796" s="3" t="str">
        <f>IF('Input Sheet'!C798="","",CONCATENATE("Sample ", 'Input Sheet'!B798, "m: ", N796,, L796, K796, " FLUOR in SST. ", "TG ", 'Input Sheet'!I798, "U"))</f>
        <v/>
      </c>
      <c r="H796" s="6" t="str">
        <f>IF('Input Sheet'!C798="","",100-'Input Sheet'!C798)</f>
        <v/>
      </c>
      <c r="I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6" s="6" t="str">
        <f t="shared" si="12"/>
        <v/>
      </c>
      <c r="K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6" s="6" t="str">
        <f>IF('Input Sheet'!F798=0, "NO",CONCATENATE('Input Sheet'!F798, IF('Input Sheet'!F798&gt;0,"% ","")))</f>
        <v>NO</v>
      </c>
      <c r="M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6" s="6" t="str">
        <f>CONCATENATE(M796, IF('Input Sheet'!J798="",""," siderite in "))</f>
        <v/>
      </c>
      <c r="O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6" s="6" t="str">
        <f>CONCATENATE(O796, IF('Input Sheet'!K798="",""," siderite in "))</f>
        <v/>
      </c>
    </row>
    <row r="797" spans="1:16" x14ac:dyDescent="0.25">
      <c r="A797" s="17" t="str">
        <f>IF('Input Sheet'!C799="","",CONCATENATE("Sample ", 'Input Sheet'!B799, "m: ", N797, H797, "% ", "Siltstone, ", P797, 'Input Sheet'!C799, "% ", J797, " Sandstone, ", L797, K797, " FLUOR in SST. ", "TG ", 'Input Sheet'!I799, "U"))</f>
        <v/>
      </c>
      <c r="B797" s="3" t="str">
        <f>IF('Input Sheet'!C799="","",CONCATENATE("Sample ", 'Input Sheet'!B799, "m: ", O797, I797, "% ", "Siltstone, ", Q797, 'Input Sheet'!C799, "% ", K797, " Sandstone "))</f>
        <v/>
      </c>
      <c r="C797" s="3" t="str">
        <f>IF('Input Sheet'!C799="","",CONCATENATE("Sample ", 'Input Sheet'!B799, "m: ", N797,, L797, K797, " FLUOR in SST. ", "TG ", 'Input Sheet'!I799, "U"))</f>
        <v/>
      </c>
      <c r="H797" s="6" t="str">
        <f>IF('Input Sheet'!C799="","",100-'Input Sheet'!C799)</f>
        <v/>
      </c>
      <c r="I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7" s="6" t="str">
        <f t="shared" si="12"/>
        <v/>
      </c>
      <c r="K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7" s="6" t="str">
        <f>IF('Input Sheet'!F799=0, "NO",CONCATENATE('Input Sheet'!F799, IF('Input Sheet'!F799&gt;0,"% ","")))</f>
        <v>NO</v>
      </c>
      <c r="M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7" s="6" t="str">
        <f>CONCATENATE(M797, IF('Input Sheet'!J799="",""," siderite in "))</f>
        <v/>
      </c>
      <c r="O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7" s="6" t="str">
        <f>CONCATENATE(O797, IF('Input Sheet'!K799="",""," siderite in "))</f>
        <v/>
      </c>
    </row>
    <row r="798" spans="1:16" x14ac:dyDescent="0.25">
      <c r="A798" s="17" t="str">
        <f>IF('Input Sheet'!C800="","",CONCATENATE("Sample ", 'Input Sheet'!B800, "m: ", N798, H798, "% ", "Siltstone, ", P798, 'Input Sheet'!C800, "% ", J798, " Sandstone, ", L798, K798, " FLUOR in SST. ", "TG ", 'Input Sheet'!I800, "U"))</f>
        <v/>
      </c>
      <c r="B798" s="3" t="str">
        <f>IF('Input Sheet'!C800="","",CONCATENATE("Sample ", 'Input Sheet'!B800, "m: ", O798, I798, "% ", "Siltstone, ", Q798, 'Input Sheet'!C800, "% ", K798, " Sandstone "))</f>
        <v/>
      </c>
      <c r="C798" s="3" t="str">
        <f>IF('Input Sheet'!C800="","",CONCATENATE("Sample ", 'Input Sheet'!B800, "m: ", N798,, L798, K798, " FLUOR in SST. ", "TG ", 'Input Sheet'!I800, "U"))</f>
        <v/>
      </c>
      <c r="H798" s="6" t="str">
        <f>IF('Input Sheet'!C800="","",100-'Input Sheet'!C800)</f>
        <v/>
      </c>
      <c r="I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8" s="6" t="str">
        <f t="shared" si="12"/>
        <v/>
      </c>
      <c r="K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8" s="6" t="str">
        <f>IF('Input Sheet'!F800=0, "NO",CONCATENATE('Input Sheet'!F800, IF('Input Sheet'!F800&gt;0,"% ","")))</f>
        <v>NO</v>
      </c>
      <c r="M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8" s="6" t="str">
        <f>CONCATENATE(M798, IF('Input Sheet'!J800="",""," siderite in "))</f>
        <v/>
      </c>
      <c r="O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8" s="6" t="str">
        <f>CONCATENATE(O798, IF('Input Sheet'!K800="",""," siderite in "))</f>
        <v/>
      </c>
    </row>
    <row r="799" spans="1:16" x14ac:dyDescent="0.25">
      <c r="A799" s="17" t="str">
        <f>IF('Input Sheet'!C801="","",CONCATENATE("Sample ", 'Input Sheet'!B801, "m: ", N799, H799, "% ", "Siltstone, ", P799, 'Input Sheet'!C801, "% ", J799, " Sandstone, ", L799, K799, " FLUOR in SST. ", "TG ", 'Input Sheet'!I801, "U"))</f>
        <v/>
      </c>
      <c r="B799" s="3" t="str">
        <f>IF('Input Sheet'!C801="","",CONCATENATE("Sample ", 'Input Sheet'!B801, "m: ", O799, I799, "% ", "Siltstone, ", Q799, 'Input Sheet'!C801, "% ", K799, " Sandstone "))</f>
        <v/>
      </c>
      <c r="C799" s="3" t="str">
        <f>IF('Input Sheet'!C801="","",CONCATENATE("Sample ", 'Input Sheet'!B801, "m: ", N799,, L799, K799, " FLUOR in SST. ", "TG ", 'Input Sheet'!I801, "U"))</f>
        <v/>
      </c>
      <c r="H799" s="6" t="str">
        <f>IF('Input Sheet'!C801="","",100-'Input Sheet'!C801)</f>
        <v/>
      </c>
      <c r="I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799" s="6" t="str">
        <f t="shared" si="12"/>
        <v/>
      </c>
      <c r="K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799" s="6" t="str">
        <f>IF('Input Sheet'!F801=0, "NO",CONCATENATE('Input Sheet'!F801, IF('Input Sheet'!F801&gt;0,"% ","")))</f>
        <v>NO</v>
      </c>
      <c r="M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799" s="6" t="str">
        <f>CONCATENATE(M799, IF('Input Sheet'!J801="",""," siderite in "))</f>
        <v/>
      </c>
      <c r="O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799" s="6" t="str">
        <f>CONCATENATE(O799, IF('Input Sheet'!K801="",""," siderite in "))</f>
        <v/>
      </c>
    </row>
    <row r="800" spans="1:16" x14ac:dyDescent="0.25">
      <c r="A800" s="17" t="str">
        <f>IF('Input Sheet'!C802="","",CONCATENATE("Sample ", 'Input Sheet'!B802, "m: ", N800, H800, "% ", "Siltstone, ", P800, 'Input Sheet'!C802, "% ", J800, " Sandstone, ", L800, K800, " FLUOR in SST. ", "TG ", 'Input Sheet'!I802, "U"))</f>
        <v/>
      </c>
      <c r="B800" s="3" t="str">
        <f>IF('Input Sheet'!C802="","",CONCATENATE("Sample ", 'Input Sheet'!B802, "m: ", O800, I800, "% ", "Siltstone, ", Q800, 'Input Sheet'!C802, "% ", K800, " Sandstone "))</f>
        <v/>
      </c>
      <c r="C800" s="3" t="str">
        <f>IF('Input Sheet'!C802="","",CONCATENATE("Sample ", 'Input Sheet'!B802, "m: ", N800,, L800, K800, " FLUOR in SST. ", "TG ", 'Input Sheet'!I802, "U"))</f>
        <v/>
      </c>
      <c r="H800" s="6" t="str">
        <f>IF('Input Sheet'!C802="","",100-'Input Sheet'!C802)</f>
        <v/>
      </c>
      <c r="I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0" s="6" t="str">
        <f t="shared" si="12"/>
        <v/>
      </c>
      <c r="K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0" s="6" t="str">
        <f>IF('Input Sheet'!F802=0, "NO",CONCATENATE('Input Sheet'!F802, IF('Input Sheet'!F802&gt;0,"% ","")))</f>
        <v>NO</v>
      </c>
      <c r="M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0" s="6" t="str">
        <f>CONCATENATE(M800, IF('Input Sheet'!J802="",""," siderite in "))</f>
        <v/>
      </c>
      <c r="O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0" s="6" t="str">
        <f>CONCATENATE(O800, IF('Input Sheet'!K802="",""," siderite in "))</f>
        <v/>
      </c>
    </row>
    <row r="801" spans="1:16" x14ac:dyDescent="0.25">
      <c r="A801" s="17" t="str">
        <f>IF('Input Sheet'!C803="","",CONCATENATE("Sample ", 'Input Sheet'!B803, "m: ", N801, H801, "% ", "Siltstone, ", P801, 'Input Sheet'!C803, "% ", J801, " Sandstone, ", L801, K801, " FLUOR in SST. ", "TG ", 'Input Sheet'!I803, "U"))</f>
        <v/>
      </c>
      <c r="B801" s="3" t="str">
        <f>IF('Input Sheet'!C803="","",CONCATENATE("Sample ", 'Input Sheet'!B803, "m: ", O801, I801, "% ", "Siltstone, ", Q801, 'Input Sheet'!C803, "% ", K801, " Sandstone "))</f>
        <v/>
      </c>
      <c r="C801" s="3" t="str">
        <f>IF('Input Sheet'!C803="","",CONCATENATE("Sample ", 'Input Sheet'!B803, "m: ", N801,, L801, K801, " FLUOR in SST. ", "TG ", 'Input Sheet'!I803, "U"))</f>
        <v/>
      </c>
      <c r="H801" s="6" t="str">
        <f>IF('Input Sheet'!C803="","",100-'Input Sheet'!C803)</f>
        <v/>
      </c>
      <c r="I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1" s="6" t="str">
        <f t="shared" si="12"/>
        <v/>
      </c>
      <c r="K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1" s="6" t="str">
        <f>IF('Input Sheet'!F803=0, "NO",CONCATENATE('Input Sheet'!F803, IF('Input Sheet'!F803&gt;0,"% ","")))</f>
        <v>NO</v>
      </c>
      <c r="M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1" s="6" t="str">
        <f>CONCATENATE(M801, IF('Input Sheet'!J803="",""," siderite in "))</f>
        <v/>
      </c>
      <c r="O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1" s="6" t="str">
        <f>CONCATENATE(O801, IF('Input Sheet'!K803="",""," siderite in "))</f>
        <v/>
      </c>
    </row>
    <row r="802" spans="1:16" x14ac:dyDescent="0.25">
      <c r="A802" s="17" t="str">
        <f>IF('Input Sheet'!C804="","",CONCATENATE("Sample ", 'Input Sheet'!B804, "m: ", N802, H802, "% ", "Siltstone, ", P802, 'Input Sheet'!C804, "% ", J802, " Sandstone, ", L802, K802, " FLUOR in SST. ", "TG ", 'Input Sheet'!I804, "U"))</f>
        <v/>
      </c>
      <c r="B802" s="3" t="str">
        <f>IF('Input Sheet'!C804="","",CONCATENATE("Sample ", 'Input Sheet'!B804, "m: ", O802, I802, "% ", "Siltstone, ", Q802, 'Input Sheet'!C804, "% ", K802, " Sandstone "))</f>
        <v/>
      </c>
      <c r="C802" s="3" t="str">
        <f>IF('Input Sheet'!C804="","",CONCATENATE("Sample ", 'Input Sheet'!B804, "m: ", N802,, L802, K802, " FLUOR in SST. ", "TG ", 'Input Sheet'!I804, "U"))</f>
        <v/>
      </c>
      <c r="H802" s="6" t="str">
        <f>IF('Input Sheet'!C804="","",100-'Input Sheet'!C804)</f>
        <v/>
      </c>
      <c r="I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2" s="6" t="str">
        <f t="shared" si="12"/>
        <v/>
      </c>
      <c r="K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2" s="6" t="str">
        <f>IF('Input Sheet'!F804=0, "NO",CONCATENATE('Input Sheet'!F804, IF('Input Sheet'!F804&gt;0,"% ","")))</f>
        <v>NO</v>
      </c>
      <c r="M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2" s="6" t="str">
        <f>CONCATENATE(M802, IF('Input Sheet'!J804="",""," siderite in "))</f>
        <v/>
      </c>
      <c r="O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2" s="6" t="str">
        <f>CONCATENATE(O802, IF('Input Sheet'!K804="",""," siderite in "))</f>
        <v/>
      </c>
    </row>
    <row r="803" spans="1:16" x14ac:dyDescent="0.25">
      <c r="A803" s="17" t="str">
        <f>IF('Input Sheet'!C805="","",CONCATENATE("Sample ", 'Input Sheet'!B805, "m: ", N803, H803, "% ", "Siltstone, ", P803, 'Input Sheet'!C805, "% ", J803, " Sandstone, ", L803, K803, " FLUOR in SST. ", "TG ", 'Input Sheet'!I805, "U"))</f>
        <v/>
      </c>
      <c r="B803" s="3" t="str">
        <f>IF('Input Sheet'!C805="","",CONCATENATE("Sample ", 'Input Sheet'!B805, "m: ", O803, I803, "% ", "Siltstone, ", Q803, 'Input Sheet'!C805, "% ", K803, " Sandstone "))</f>
        <v/>
      </c>
      <c r="C803" s="3" t="str">
        <f>IF('Input Sheet'!C805="","",CONCATENATE("Sample ", 'Input Sheet'!B805, "m: ", N803,, L803, K803, " FLUOR in SST. ", "TG ", 'Input Sheet'!I805, "U"))</f>
        <v/>
      </c>
      <c r="H803" s="6" t="str">
        <f>IF('Input Sheet'!C805="","",100-'Input Sheet'!C805)</f>
        <v/>
      </c>
      <c r="I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3" s="6" t="str">
        <f t="shared" si="12"/>
        <v/>
      </c>
      <c r="K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3" s="6" t="str">
        <f>IF('Input Sheet'!F805=0, "NO",CONCATENATE('Input Sheet'!F805, IF('Input Sheet'!F805&gt;0,"% ","")))</f>
        <v>NO</v>
      </c>
      <c r="M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3" s="6" t="str">
        <f>CONCATENATE(M803, IF('Input Sheet'!J805="",""," siderite in "))</f>
        <v/>
      </c>
      <c r="O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3" s="6" t="str">
        <f>CONCATENATE(O803, IF('Input Sheet'!K805="",""," siderite in "))</f>
        <v/>
      </c>
    </row>
    <row r="804" spans="1:16" x14ac:dyDescent="0.25">
      <c r="A804" s="17" t="str">
        <f>IF('Input Sheet'!C806="","",CONCATENATE("Sample ", 'Input Sheet'!B806, "m: ", N804, H804, "% ", "Siltstone, ", P804, 'Input Sheet'!C806, "% ", J804, " Sandstone, ", L804, K804, " FLUOR in SST. ", "TG ", 'Input Sheet'!I806, "U"))</f>
        <v/>
      </c>
      <c r="B804" s="3" t="str">
        <f>IF('Input Sheet'!C806="","",CONCATENATE("Sample ", 'Input Sheet'!B806, "m: ", O804, I804, "% ", "Siltstone, ", Q804, 'Input Sheet'!C806, "% ", K804, " Sandstone "))</f>
        <v/>
      </c>
      <c r="C804" s="3" t="str">
        <f>IF('Input Sheet'!C806="","",CONCATENATE("Sample ", 'Input Sheet'!B806, "m: ", N804,, L804, K804, " FLUOR in SST. ", "TG ", 'Input Sheet'!I806, "U"))</f>
        <v/>
      </c>
      <c r="H804" s="6" t="str">
        <f>IF('Input Sheet'!C806="","",100-'Input Sheet'!C806)</f>
        <v/>
      </c>
      <c r="I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4" s="6" t="str">
        <f t="shared" si="12"/>
        <v/>
      </c>
      <c r="K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4" s="6" t="str">
        <f>IF('Input Sheet'!F806=0, "NO",CONCATENATE('Input Sheet'!F806, IF('Input Sheet'!F806&gt;0,"% ","")))</f>
        <v>NO</v>
      </c>
      <c r="M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4" s="6" t="str">
        <f>CONCATENATE(M804, IF('Input Sheet'!J806="",""," siderite in "))</f>
        <v/>
      </c>
      <c r="O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4" s="6" t="str">
        <f>CONCATENATE(O804, IF('Input Sheet'!K806="",""," siderite in "))</f>
        <v/>
      </c>
    </row>
    <row r="805" spans="1:16" x14ac:dyDescent="0.25">
      <c r="A805" s="17" t="str">
        <f>IF('Input Sheet'!C807="","",CONCATENATE("Sample ", 'Input Sheet'!B807, "m: ", N805, H805, "% ", "Siltstone, ", P805, 'Input Sheet'!C807, "% ", J805, " Sandstone, ", L805, K805, " FLUOR in SST. ", "TG ", 'Input Sheet'!I807, "U"))</f>
        <v/>
      </c>
      <c r="B805" s="3" t="str">
        <f>IF('Input Sheet'!C807="","",CONCATENATE("Sample ", 'Input Sheet'!B807, "m: ", O805, I805, "% ", "Siltstone, ", Q805, 'Input Sheet'!C807, "% ", K805, " Sandstone "))</f>
        <v/>
      </c>
      <c r="C805" s="3" t="str">
        <f>IF('Input Sheet'!C807="","",CONCATENATE("Sample ", 'Input Sheet'!B807, "m: ", N805,, L805, K805, " FLUOR in SST. ", "TG ", 'Input Sheet'!I807, "U"))</f>
        <v/>
      </c>
      <c r="H805" s="6" t="str">
        <f>IF('Input Sheet'!C807="","",100-'Input Sheet'!C807)</f>
        <v/>
      </c>
      <c r="I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5" s="6" t="str">
        <f t="shared" si="12"/>
        <v/>
      </c>
      <c r="K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5" s="6" t="str">
        <f>IF('Input Sheet'!F807=0, "NO",CONCATENATE('Input Sheet'!F807, IF('Input Sheet'!F807&gt;0,"% ","")))</f>
        <v>NO</v>
      </c>
      <c r="M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5" s="6" t="str">
        <f>CONCATENATE(M805, IF('Input Sheet'!J807="",""," siderite in "))</f>
        <v/>
      </c>
      <c r="O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5" s="6" t="str">
        <f>CONCATENATE(O805, IF('Input Sheet'!K807="",""," siderite in "))</f>
        <v/>
      </c>
    </row>
    <row r="806" spans="1:16" x14ac:dyDescent="0.25">
      <c r="A806" s="17" t="str">
        <f>IF('Input Sheet'!C808="","",CONCATENATE("Sample ", 'Input Sheet'!B808, "m: ", N806, H806, "% ", "Siltstone, ", P806, 'Input Sheet'!C808, "% ", J806, " Sandstone, ", L806, K806, " FLUOR in SST. ", "TG ", 'Input Sheet'!I808, "U"))</f>
        <v/>
      </c>
      <c r="B806" s="3" t="str">
        <f>IF('Input Sheet'!C808="","",CONCATENATE("Sample ", 'Input Sheet'!B808, "m: ", O806, I806, "% ", "Siltstone, ", Q806, 'Input Sheet'!C808, "% ", K806, " Sandstone "))</f>
        <v/>
      </c>
      <c r="C806" s="3" t="str">
        <f>IF('Input Sheet'!C808="","",CONCATENATE("Sample ", 'Input Sheet'!B808, "m: ", N806,, L806, K806, " FLUOR in SST. ", "TG ", 'Input Sheet'!I808, "U"))</f>
        <v/>
      </c>
      <c r="H806" s="6" t="str">
        <f>IF('Input Sheet'!C808="","",100-'Input Sheet'!C808)</f>
        <v/>
      </c>
      <c r="I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6" s="6" t="str">
        <f t="shared" si="12"/>
        <v/>
      </c>
      <c r="K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6" s="6" t="str">
        <f>IF('Input Sheet'!F808=0, "NO",CONCATENATE('Input Sheet'!F808, IF('Input Sheet'!F808&gt;0,"% ","")))</f>
        <v>NO</v>
      </c>
      <c r="M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6" s="6" t="str">
        <f>CONCATENATE(M806, IF('Input Sheet'!J808="",""," siderite in "))</f>
        <v/>
      </c>
      <c r="O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6" s="6" t="str">
        <f>CONCATENATE(O806, IF('Input Sheet'!K808="",""," siderite in "))</f>
        <v/>
      </c>
    </row>
    <row r="807" spans="1:16" x14ac:dyDescent="0.25">
      <c r="A807" s="17" t="str">
        <f>IF('Input Sheet'!C809="","",CONCATENATE("Sample ", 'Input Sheet'!B809, "m: ", N807, H807, "% ", "Siltstone, ", P807, 'Input Sheet'!C809, "% ", J807, " Sandstone, ", L807, K807, " FLUOR in SST. ", "TG ", 'Input Sheet'!I809, "U"))</f>
        <v/>
      </c>
      <c r="B807" s="3" t="str">
        <f>IF('Input Sheet'!C809="","",CONCATENATE("Sample ", 'Input Sheet'!B809, "m: ", O807, I807, "% ", "Siltstone, ", Q807, 'Input Sheet'!C809, "% ", K807, " Sandstone "))</f>
        <v/>
      </c>
      <c r="C807" s="3" t="str">
        <f>IF('Input Sheet'!C809="","",CONCATENATE("Sample ", 'Input Sheet'!B809, "m: ", N807,, L807, K807, " FLUOR in SST. ", "TG ", 'Input Sheet'!I809, "U"))</f>
        <v/>
      </c>
      <c r="H807" s="6" t="str">
        <f>IF('Input Sheet'!C809="","",100-'Input Sheet'!C809)</f>
        <v/>
      </c>
      <c r="I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7" s="6" t="str">
        <f t="shared" si="12"/>
        <v/>
      </c>
      <c r="K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7" s="6" t="str">
        <f>IF('Input Sheet'!F809=0, "NO",CONCATENATE('Input Sheet'!F809, IF('Input Sheet'!F809&gt;0,"% ","")))</f>
        <v>NO</v>
      </c>
      <c r="M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7" s="6" t="str">
        <f>CONCATENATE(M807, IF('Input Sheet'!J809="",""," siderite in "))</f>
        <v/>
      </c>
      <c r="O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7" s="6" t="str">
        <f>CONCATENATE(O807, IF('Input Sheet'!K809="",""," siderite in "))</f>
        <v/>
      </c>
    </row>
    <row r="808" spans="1:16" x14ac:dyDescent="0.25">
      <c r="A808" s="17" t="str">
        <f>IF('Input Sheet'!C810="","",CONCATENATE("Sample ", 'Input Sheet'!B810, "m: ", N808, H808, "% ", "Siltstone, ", P808, 'Input Sheet'!C810, "% ", J808, " Sandstone, ", L808, K808, " FLUOR in SST. ", "TG ", 'Input Sheet'!I810, "U"))</f>
        <v/>
      </c>
      <c r="B808" s="3" t="str">
        <f>IF('Input Sheet'!C810="","",CONCATENATE("Sample ", 'Input Sheet'!B810, "m: ", O808, I808, "% ", "Siltstone, ", Q808, 'Input Sheet'!C810, "% ", K808, " Sandstone "))</f>
        <v/>
      </c>
      <c r="C808" s="3" t="str">
        <f>IF('Input Sheet'!C810="","",CONCATENATE("Sample ", 'Input Sheet'!B810, "m: ", N808,, L808, K808, " FLUOR in SST. ", "TG ", 'Input Sheet'!I810, "U"))</f>
        <v/>
      </c>
      <c r="H808" s="6" t="str">
        <f>IF('Input Sheet'!C810="","",100-'Input Sheet'!C810)</f>
        <v/>
      </c>
      <c r="I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8" s="6" t="str">
        <f t="shared" si="12"/>
        <v/>
      </c>
      <c r="K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8" s="6" t="str">
        <f>IF('Input Sheet'!F810=0, "NO",CONCATENATE('Input Sheet'!F810, IF('Input Sheet'!F810&gt;0,"% ","")))</f>
        <v>NO</v>
      </c>
      <c r="M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8" s="6" t="str">
        <f>CONCATENATE(M808, IF('Input Sheet'!J810="",""," siderite in "))</f>
        <v/>
      </c>
      <c r="O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8" s="6" t="str">
        <f>CONCATENATE(O808, IF('Input Sheet'!K810="",""," siderite in "))</f>
        <v/>
      </c>
    </row>
    <row r="809" spans="1:16" x14ac:dyDescent="0.25">
      <c r="A809" s="17" t="str">
        <f>IF('Input Sheet'!C811="","",CONCATENATE("Sample ", 'Input Sheet'!B811, "m: ", N809, H809, "% ", "Siltstone, ", P809, 'Input Sheet'!C811, "% ", J809, " Sandstone, ", L809, K809, " FLUOR in SST. ", "TG ", 'Input Sheet'!I811, "U"))</f>
        <v/>
      </c>
      <c r="B809" s="3" t="str">
        <f>IF('Input Sheet'!C811="","",CONCATENATE("Sample ", 'Input Sheet'!B811, "m: ", O809, I809, "% ", "Siltstone, ", Q809, 'Input Sheet'!C811, "% ", K809, " Sandstone "))</f>
        <v/>
      </c>
      <c r="C809" s="3" t="str">
        <f>IF('Input Sheet'!C811="","",CONCATENATE("Sample ", 'Input Sheet'!B811, "m: ", N809,, L809, K809, " FLUOR in SST. ", "TG ", 'Input Sheet'!I811, "U"))</f>
        <v/>
      </c>
      <c r="H809" s="6" t="str">
        <f>IF('Input Sheet'!C811="","",100-'Input Sheet'!C811)</f>
        <v/>
      </c>
      <c r="I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09" s="6" t="str">
        <f t="shared" si="12"/>
        <v/>
      </c>
      <c r="K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09" s="6" t="str">
        <f>IF('Input Sheet'!F811=0, "NO",CONCATENATE('Input Sheet'!F811, IF('Input Sheet'!F811&gt;0,"% ","")))</f>
        <v>NO</v>
      </c>
      <c r="M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09" s="6" t="str">
        <f>CONCATENATE(M809, IF('Input Sheet'!J811="",""," siderite in "))</f>
        <v/>
      </c>
      <c r="O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09" s="6" t="str">
        <f>CONCATENATE(O809, IF('Input Sheet'!K811="",""," siderite in "))</f>
        <v/>
      </c>
    </row>
    <row r="810" spans="1:16" x14ac:dyDescent="0.25">
      <c r="A810" s="17" t="str">
        <f>IF('Input Sheet'!C812="","",CONCATENATE("Sample ", 'Input Sheet'!B812, "m: ", N810, H810, "% ", "Siltstone, ", P810, 'Input Sheet'!C812, "% ", J810, " Sandstone, ", L810, K810, " FLUOR in SST. ", "TG ", 'Input Sheet'!I812, "U"))</f>
        <v/>
      </c>
      <c r="B810" s="3" t="str">
        <f>IF('Input Sheet'!C812="","",CONCATENATE("Sample ", 'Input Sheet'!B812, "m: ", O810, I810, "% ", "Siltstone, ", Q810, 'Input Sheet'!C812, "% ", K810, " Sandstone "))</f>
        <v/>
      </c>
      <c r="C810" s="3" t="str">
        <f>IF('Input Sheet'!C812="","",CONCATENATE("Sample ", 'Input Sheet'!B812, "m: ", N810,, L810, K810, " FLUOR in SST. ", "TG ", 'Input Sheet'!I812, "U"))</f>
        <v/>
      </c>
      <c r="H810" s="6" t="str">
        <f>IF('Input Sheet'!C812="","",100-'Input Sheet'!C812)</f>
        <v/>
      </c>
      <c r="I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0" s="6" t="str">
        <f t="shared" si="12"/>
        <v/>
      </c>
      <c r="K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0" s="6" t="str">
        <f>IF('Input Sheet'!F812=0, "NO",CONCATENATE('Input Sheet'!F812, IF('Input Sheet'!F812&gt;0,"% ","")))</f>
        <v>NO</v>
      </c>
      <c r="M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0" s="6" t="str">
        <f>CONCATENATE(M810, IF('Input Sheet'!J812="",""," siderite in "))</f>
        <v/>
      </c>
      <c r="O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0" s="6" t="str">
        <f>CONCATENATE(O810, IF('Input Sheet'!K812="",""," siderite in "))</f>
        <v/>
      </c>
    </row>
    <row r="811" spans="1:16" x14ac:dyDescent="0.25">
      <c r="A811" s="17" t="str">
        <f>IF('Input Sheet'!C813="","",CONCATENATE("Sample ", 'Input Sheet'!B813, "m: ", N811, H811, "% ", "Siltstone, ", P811, 'Input Sheet'!C813, "% ", J811, " Sandstone, ", L811, K811, " FLUOR in SST. ", "TG ", 'Input Sheet'!I813, "U"))</f>
        <v/>
      </c>
      <c r="B811" s="3" t="str">
        <f>IF('Input Sheet'!C813="","",CONCATENATE("Sample ", 'Input Sheet'!B813, "m: ", O811, I811, "% ", "Siltstone, ", Q811, 'Input Sheet'!C813, "% ", K811, " Sandstone "))</f>
        <v/>
      </c>
      <c r="C811" s="3" t="str">
        <f>IF('Input Sheet'!C813="","",CONCATENATE("Sample ", 'Input Sheet'!B813, "m: ", N811,, L811, K811, " FLUOR in SST. ", "TG ", 'Input Sheet'!I813, "U"))</f>
        <v/>
      </c>
      <c r="H811" s="6" t="str">
        <f>IF('Input Sheet'!C813="","",100-'Input Sheet'!C813)</f>
        <v/>
      </c>
      <c r="I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1" s="6" t="str">
        <f t="shared" si="12"/>
        <v/>
      </c>
      <c r="K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1" s="6" t="str">
        <f>IF('Input Sheet'!F813=0, "NO",CONCATENATE('Input Sheet'!F813, IF('Input Sheet'!F813&gt;0,"% ","")))</f>
        <v>NO</v>
      </c>
      <c r="M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1" s="6" t="str">
        <f>CONCATENATE(M811, IF('Input Sheet'!J813="",""," siderite in "))</f>
        <v/>
      </c>
      <c r="O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1" s="6" t="str">
        <f>CONCATENATE(O811, IF('Input Sheet'!K813="",""," siderite in "))</f>
        <v/>
      </c>
    </row>
    <row r="812" spans="1:16" x14ac:dyDescent="0.25">
      <c r="A812" s="17" t="str">
        <f>IF('Input Sheet'!C814="","",CONCATENATE("Sample ", 'Input Sheet'!B814, "m: ", N812, H812, "% ", "Siltstone, ", P812, 'Input Sheet'!C814, "% ", J812, " Sandstone, ", L812, K812, " FLUOR in SST. ", "TG ", 'Input Sheet'!I814, "U"))</f>
        <v/>
      </c>
      <c r="B812" s="3" t="str">
        <f>IF('Input Sheet'!C814="","",CONCATENATE("Sample ", 'Input Sheet'!B814, "m: ", O812, I812, "% ", "Siltstone, ", Q812, 'Input Sheet'!C814, "% ", K812, " Sandstone "))</f>
        <v/>
      </c>
      <c r="C812" s="3" t="str">
        <f>IF('Input Sheet'!C814="","",CONCATENATE("Sample ", 'Input Sheet'!B814, "m: ", N812,, L812, K812, " FLUOR in SST. ", "TG ", 'Input Sheet'!I814, "U"))</f>
        <v/>
      </c>
      <c r="H812" s="6" t="str">
        <f>IF('Input Sheet'!C814="","",100-'Input Sheet'!C814)</f>
        <v/>
      </c>
      <c r="I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2" s="6" t="str">
        <f t="shared" si="12"/>
        <v/>
      </c>
      <c r="K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2" s="6" t="str">
        <f>IF('Input Sheet'!F814=0, "NO",CONCATENATE('Input Sheet'!F814, IF('Input Sheet'!F814&gt;0,"% ","")))</f>
        <v>NO</v>
      </c>
      <c r="M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2" s="6" t="str">
        <f>CONCATENATE(M812, IF('Input Sheet'!J814="",""," siderite in "))</f>
        <v/>
      </c>
      <c r="O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2" s="6" t="str">
        <f>CONCATENATE(O812, IF('Input Sheet'!K814="",""," siderite in "))</f>
        <v/>
      </c>
    </row>
    <row r="813" spans="1:16" x14ac:dyDescent="0.25">
      <c r="A813" s="17" t="str">
        <f>IF('Input Sheet'!C815="","",CONCATENATE("Sample ", 'Input Sheet'!B815, "m: ", N813, H813, "% ", "Siltstone, ", P813, 'Input Sheet'!C815, "% ", J813, " Sandstone, ", L813, K813, " FLUOR in SST. ", "TG ", 'Input Sheet'!I815, "U"))</f>
        <v/>
      </c>
      <c r="B813" s="3" t="str">
        <f>IF('Input Sheet'!C815="","",CONCATENATE("Sample ", 'Input Sheet'!B815, "m: ", O813, I813, "% ", "Siltstone, ", Q813, 'Input Sheet'!C815, "% ", K813, " Sandstone "))</f>
        <v/>
      </c>
      <c r="C813" s="3" t="str">
        <f>IF('Input Sheet'!C815="","",CONCATENATE("Sample ", 'Input Sheet'!B815, "m: ", N813,, L813, K813, " FLUOR in SST. ", "TG ", 'Input Sheet'!I815, "U"))</f>
        <v/>
      </c>
      <c r="H813" s="6" t="str">
        <f>IF('Input Sheet'!C815="","",100-'Input Sheet'!C815)</f>
        <v/>
      </c>
      <c r="I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3" s="6" t="str">
        <f t="shared" si="12"/>
        <v/>
      </c>
      <c r="K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3" s="6" t="str">
        <f>IF('Input Sheet'!F815=0, "NO",CONCATENATE('Input Sheet'!F815, IF('Input Sheet'!F815&gt;0,"% ","")))</f>
        <v>NO</v>
      </c>
      <c r="M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3" s="6" t="str">
        <f>CONCATENATE(M813, IF('Input Sheet'!J815="",""," siderite in "))</f>
        <v/>
      </c>
      <c r="O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3" s="6" t="str">
        <f>CONCATENATE(O813, IF('Input Sheet'!K815="",""," siderite in "))</f>
        <v/>
      </c>
    </row>
    <row r="814" spans="1:16" x14ac:dyDescent="0.25">
      <c r="A814" s="17" t="str">
        <f>IF('Input Sheet'!C816="","",CONCATENATE("Sample ", 'Input Sheet'!B816, "m: ", N814, H814, "% ", "Siltstone, ", P814, 'Input Sheet'!C816, "% ", J814, " Sandstone, ", L814, K814, " FLUOR in SST. ", "TG ", 'Input Sheet'!I816, "U"))</f>
        <v/>
      </c>
      <c r="B814" s="3" t="str">
        <f>IF('Input Sheet'!C816="","",CONCATENATE("Sample ", 'Input Sheet'!B816, "m: ", O814, I814, "% ", "Siltstone, ", Q814, 'Input Sheet'!C816, "% ", K814, " Sandstone "))</f>
        <v/>
      </c>
      <c r="C814" s="3" t="str">
        <f>IF('Input Sheet'!C816="","",CONCATENATE("Sample ", 'Input Sheet'!B816, "m: ", N814,, L814, K814, " FLUOR in SST. ", "TG ", 'Input Sheet'!I816, "U"))</f>
        <v/>
      </c>
      <c r="H814" s="6" t="str">
        <f>IF('Input Sheet'!C816="","",100-'Input Sheet'!C816)</f>
        <v/>
      </c>
      <c r="I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4" s="6" t="str">
        <f t="shared" si="12"/>
        <v/>
      </c>
      <c r="K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4" s="6" t="str">
        <f>IF('Input Sheet'!F816=0, "NO",CONCATENATE('Input Sheet'!F816, IF('Input Sheet'!F816&gt;0,"% ","")))</f>
        <v>NO</v>
      </c>
      <c r="M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4" s="6" t="str">
        <f>CONCATENATE(M814, IF('Input Sheet'!J816="",""," siderite in "))</f>
        <v/>
      </c>
      <c r="O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4" s="6" t="str">
        <f>CONCATENATE(O814, IF('Input Sheet'!K816="",""," siderite in "))</f>
        <v/>
      </c>
    </row>
    <row r="815" spans="1:16" x14ac:dyDescent="0.25">
      <c r="A815" s="17" t="str">
        <f>IF('Input Sheet'!C817="","",CONCATENATE("Sample ", 'Input Sheet'!B817, "m: ", N815, H815, "% ", "Siltstone, ", P815, 'Input Sheet'!C817, "% ", J815, " Sandstone, ", L815, K815, " FLUOR in SST. ", "TG ", 'Input Sheet'!I817, "U"))</f>
        <v/>
      </c>
      <c r="B815" s="3" t="str">
        <f>IF('Input Sheet'!C817="","",CONCATENATE("Sample ", 'Input Sheet'!B817, "m: ", O815, I815, "% ", "Siltstone, ", Q815, 'Input Sheet'!C817, "% ", K815, " Sandstone "))</f>
        <v/>
      </c>
      <c r="C815" s="3" t="str">
        <f>IF('Input Sheet'!C817="","",CONCATENATE("Sample ", 'Input Sheet'!B817, "m: ", N815,, L815, K815, " FLUOR in SST. ", "TG ", 'Input Sheet'!I817, "U"))</f>
        <v/>
      </c>
      <c r="H815" s="6" t="str">
        <f>IF('Input Sheet'!C817="","",100-'Input Sheet'!C817)</f>
        <v/>
      </c>
      <c r="I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5" s="6" t="str">
        <f t="shared" si="12"/>
        <v/>
      </c>
      <c r="K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5" s="6" t="str">
        <f>IF('Input Sheet'!F817=0, "NO",CONCATENATE('Input Sheet'!F817, IF('Input Sheet'!F817&gt;0,"% ","")))</f>
        <v>NO</v>
      </c>
      <c r="M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5" s="6" t="str">
        <f>CONCATENATE(M815, IF('Input Sheet'!J817="",""," siderite in "))</f>
        <v/>
      </c>
      <c r="O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5" s="6" t="str">
        <f>CONCATENATE(O815, IF('Input Sheet'!K817="",""," siderite in "))</f>
        <v/>
      </c>
    </row>
    <row r="816" spans="1:16" x14ac:dyDescent="0.25">
      <c r="A816" s="17" t="str">
        <f>IF('Input Sheet'!C818="","",CONCATENATE("Sample ", 'Input Sheet'!B818, "m: ", N816, H816, "% ", "Siltstone, ", P816, 'Input Sheet'!C818, "% ", J816, " Sandstone, ", L816, K816, " FLUOR in SST. ", "TG ", 'Input Sheet'!I818, "U"))</f>
        <v/>
      </c>
      <c r="B816" s="3" t="str">
        <f>IF('Input Sheet'!C818="","",CONCATENATE("Sample ", 'Input Sheet'!B818, "m: ", O816, I816, "% ", "Siltstone, ", Q816, 'Input Sheet'!C818, "% ", K816, " Sandstone "))</f>
        <v/>
      </c>
      <c r="C816" s="3" t="str">
        <f>IF('Input Sheet'!C818="","",CONCATENATE("Sample ", 'Input Sheet'!B818, "m: ", N816,, L816, K816, " FLUOR in SST. ", "TG ", 'Input Sheet'!I818, "U"))</f>
        <v/>
      </c>
      <c r="H816" s="6" t="str">
        <f>IF('Input Sheet'!C818="","",100-'Input Sheet'!C818)</f>
        <v/>
      </c>
      <c r="I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6" s="6" t="str">
        <f t="shared" si="12"/>
        <v/>
      </c>
      <c r="K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6" s="6" t="str">
        <f>IF('Input Sheet'!F818=0, "NO",CONCATENATE('Input Sheet'!F818, IF('Input Sheet'!F818&gt;0,"% ","")))</f>
        <v>NO</v>
      </c>
      <c r="M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6" s="6" t="str">
        <f>CONCATENATE(M816, IF('Input Sheet'!J818="",""," siderite in "))</f>
        <v/>
      </c>
      <c r="O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6" s="6" t="str">
        <f>CONCATENATE(O816, IF('Input Sheet'!K818="",""," siderite in "))</f>
        <v/>
      </c>
    </row>
    <row r="817" spans="1:16" x14ac:dyDescent="0.25">
      <c r="A817" s="17" t="str">
        <f>IF('Input Sheet'!C819="","",CONCATENATE("Sample ", 'Input Sheet'!B819, "m: ", N817, H817, "% ", "Siltstone, ", P817, 'Input Sheet'!C819, "% ", J817, " Sandstone, ", L817, K817, " FLUOR in SST. ", "TG ", 'Input Sheet'!I819, "U"))</f>
        <v/>
      </c>
      <c r="B817" s="3" t="str">
        <f>IF('Input Sheet'!C819="","",CONCATENATE("Sample ", 'Input Sheet'!B819, "m: ", O817, I817, "% ", "Siltstone, ", Q817, 'Input Sheet'!C819, "% ", K817, " Sandstone "))</f>
        <v/>
      </c>
      <c r="C817" s="3" t="str">
        <f>IF('Input Sheet'!C819="","",CONCATENATE("Sample ", 'Input Sheet'!B819, "m: ", N817,, L817, K817, " FLUOR in SST. ", "TG ", 'Input Sheet'!I819, "U"))</f>
        <v/>
      </c>
      <c r="H817" s="6" t="str">
        <f>IF('Input Sheet'!C819="","",100-'Input Sheet'!C819)</f>
        <v/>
      </c>
      <c r="I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7" s="6" t="str">
        <f t="shared" si="12"/>
        <v/>
      </c>
      <c r="K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7" s="6" t="str">
        <f>IF('Input Sheet'!F819=0, "NO",CONCATENATE('Input Sheet'!F819, IF('Input Sheet'!F819&gt;0,"% ","")))</f>
        <v>NO</v>
      </c>
      <c r="M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7" s="6" t="str">
        <f>CONCATENATE(M817, IF('Input Sheet'!J819="",""," siderite in "))</f>
        <v/>
      </c>
      <c r="O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7" s="6" t="str">
        <f>CONCATENATE(O817, IF('Input Sheet'!K819="",""," siderite in "))</f>
        <v/>
      </c>
    </row>
    <row r="818" spans="1:16" x14ac:dyDescent="0.25">
      <c r="A818" s="17" t="str">
        <f>IF('Input Sheet'!C820="","",CONCATENATE("Sample ", 'Input Sheet'!B820, "m: ", N818, H818, "% ", "Siltstone, ", P818, 'Input Sheet'!C820, "% ", J818, " Sandstone, ", L818, K818, " FLUOR in SST. ", "TG ", 'Input Sheet'!I820, "U"))</f>
        <v/>
      </c>
      <c r="B818" s="3" t="str">
        <f>IF('Input Sheet'!C820="","",CONCATENATE("Sample ", 'Input Sheet'!B820, "m: ", O818, I818, "% ", "Siltstone, ", Q818, 'Input Sheet'!C820, "% ", K818, " Sandstone "))</f>
        <v/>
      </c>
      <c r="C818" s="3" t="str">
        <f>IF('Input Sheet'!C820="","",CONCATENATE("Sample ", 'Input Sheet'!B820, "m: ", N818,, L818, K818, " FLUOR in SST. ", "TG ", 'Input Sheet'!I820, "U"))</f>
        <v/>
      </c>
      <c r="H818" s="6" t="str">
        <f>IF('Input Sheet'!C820="","",100-'Input Sheet'!C820)</f>
        <v/>
      </c>
      <c r="I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8" s="6" t="str">
        <f t="shared" si="12"/>
        <v/>
      </c>
      <c r="K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8" s="6" t="str">
        <f>IF('Input Sheet'!F820=0, "NO",CONCATENATE('Input Sheet'!F820, IF('Input Sheet'!F820&gt;0,"% ","")))</f>
        <v>NO</v>
      </c>
      <c r="M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8" s="6" t="str">
        <f>CONCATENATE(M818, IF('Input Sheet'!J820="",""," siderite in "))</f>
        <v/>
      </c>
      <c r="O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8" s="6" t="str">
        <f>CONCATENATE(O818, IF('Input Sheet'!K820="",""," siderite in "))</f>
        <v/>
      </c>
    </row>
    <row r="819" spans="1:16" x14ac:dyDescent="0.25">
      <c r="A819" s="17" t="str">
        <f>IF('Input Sheet'!C821="","",CONCATENATE("Sample ", 'Input Sheet'!B821, "m: ", N819, H819, "% ", "Siltstone, ", P819, 'Input Sheet'!C821, "% ", J819, " Sandstone, ", L819, K819, " FLUOR in SST. ", "TG ", 'Input Sheet'!I821, "U"))</f>
        <v/>
      </c>
      <c r="B819" s="3" t="str">
        <f>IF('Input Sheet'!C821="","",CONCATENATE("Sample ", 'Input Sheet'!B821, "m: ", O819, I819, "% ", "Siltstone, ", Q819, 'Input Sheet'!C821, "% ", K819, " Sandstone "))</f>
        <v/>
      </c>
      <c r="C819" s="3" t="str">
        <f>IF('Input Sheet'!C821="","",CONCATENATE("Sample ", 'Input Sheet'!B821, "m: ", N819,, L819, K819, " FLUOR in SST. ", "TG ", 'Input Sheet'!I821, "U"))</f>
        <v/>
      </c>
      <c r="H819" s="6" t="str">
        <f>IF('Input Sheet'!C821="","",100-'Input Sheet'!C821)</f>
        <v/>
      </c>
      <c r="I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19" s="6" t="str">
        <f t="shared" si="12"/>
        <v/>
      </c>
      <c r="K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19" s="6" t="str">
        <f>IF('Input Sheet'!F821=0, "NO",CONCATENATE('Input Sheet'!F821, IF('Input Sheet'!F821&gt;0,"% ","")))</f>
        <v>NO</v>
      </c>
      <c r="M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19" s="6" t="str">
        <f>CONCATENATE(M819, IF('Input Sheet'!J821="",""," siderite in "))</f>
        <v/>
      </c>
      <c r="O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19" s="6" t="str">
        <f>CONCATENATE(O819, IF('Input Sheet'!K821="",""," siderite in "))</f>
        <v/>
      </c>
    </row>
    <row r="820" spans="1:16" x14ac:dyDescent="0.25">
      <c r="A820" s="17" t="str">
        <f>IF('Input Sheet'!C822="","",CONCATENATE("Sample ", 'Input Sheet'!B822, "m: ", N820, H820, "% ", "Siltstone, ", P820, 'Input Sheet'!C822, "% ", J820, " Sandstone, ", L820, K820, " FLUOR in SST. ", "TG ", 'Input Sheet'!I822, "U"))</f>
        <v/>
      </c>
      <c r="B820" s="3" t="str">
        <f>IF('Input Sheet'!C822="","",CONCATENATE("Sample ", 'Input Sheet'!B822, "m: ", O820, I820, "% ", "Siltstone, ", Q820, 'Input Sheet'!C822, "% ", K820, " Sandstone "))</f>
        <v/>
      </c>
      <c r="C820" s="3" t="str">
        <f>IF('Input Sheet'!C822="","",CONCATENATE("Sample ", 'Input Sheet'!B822, "m: ", N820,, L820, K820, " FLUOR in SST. ", "TG ", 'Input Sheet'!I822, "U"))</f>
        <v/>
      </c>
      <c r="H820" s="6" t="str">
        <f>IF('Input Sheet'!C822="","",100-'Input Sheet'!C822)</f>
        <v/>
      </c>
      <c r="I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0" s="6" t="str">
        <f t="shared" si="12"/>
        <v/>
      </c>
      <c r="K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0" s="6" t="str">
        <f>IF('Input Sheet'!F822=0, "NO",CONCATENATE('Input Sheet'!F822, IF('Input Sheet'!F822&gt;0,"% ","")))</f>
        <v>NO</v>
      </c>
      <c r="M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0" s="6" t="str">
        <f>CONCATENATE(M820, IF('Input Sheet'!J822="",""," siderite in "))</f>
        <v/>
      </c>
      <c r="O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0" s="6" t="str">
        <f>CONCATENATE(O820, IF('Input Sheet'!K822="",""," siderite in "))</f>
        <v/>
      </c>
    </row>
    <row r="821" spans="1:16" x14ac:dyDescent="0.25">
      <c r="A821" s="17" t="str">
        <f>IF('Input Sheet'!C823="","",CONCATENATE("Sample ", 'Input Sheet'!B823, "m: ", N821, H821, "% ", "Siltstone, ", P821, 'Input Sheet'!C823, "% ", J821, " Sandstone, ", L821, K821, " FLUOR in SST. ", "TG ", 'Input Sheet'!I823, "U"))</f>
        <v/>
      </c>
      <c r="B821" s="3" t="str">
        <f>IF('Input Sheet'!C823="","",CONCATENATE("Sample ", 'Input Sheet'!B823, "m: ", O821, I821, "% ", "Siltstone, ", Q821, 'Input Sheet'!C823, "% ", K821, " Sandstone "))</f>
        <v/>
      </c>
      <c r="C821" s="3" t="str">
        <f>IF('Input Sheet'!C823="","",CONCATENATE("Sample ", 'Input Sheet'!B823, "m: ", N821,, L821, K821, " FLUOR in SST. ", "TG ", 'Input Sheet'!I823, "U"))</f>
        <v/>
      </c>
      <c r="H821" s="6" t="str">
        <f>IF('Input Sheet'!C823="","",100-'Input Sheet'!C823)</f>
        <v/>
      </c>
      <c r="I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1" s="6" t="str">
        <f t="shared" si="12"/>
        <v/>
      </c>
      <c r="K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1" s="6" t="str">
        <f>IF('Input Sheet'!F823=0, "NO",CONCATENATE('Input Sheet'!F823, IF('Input Sheet'!F823&gt;0,"% ","")))</f>
        <v>NO</v>
      </c>
      <c r="M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1" s="6" t="str">
        <f>CONCATENATE(M821, IF('Input Sheet'!J823="",""," siderite in "))</f>
        <v/>
      </c>
      <c r="O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1" s="6" t="str">
        <f>CONCATENATE(O821, IF('Input Sheet'!K823="",""," siderite in "))</f>
        <v/>
      </c>
    </row>
    <row r="822" spans="1:16" x14ac:dyDescent="0.25">
      <c r="A822" s="17" t="str">
        <f>IF('Input Sheet'!C824="","",CONCATENATE("Sample ", 'Input Sheet'!B824, "m: ", N822, H822, "% ", "Siltstone, ", P822, 'Input Sheet'!C824, "% ", J822, " Sandstone, ", L822, K822, " FLUOR in SST. ", "TG ", 'Input Sheet'!I824, "U"))</f>
        <v/>
      </c>
      <c r="B822" s="3" t="str">
        <f>IF('Input Sheet'!C824="","",CONCATENATE("Sample ", 'Input Sheet'!B824, "m: ", O822, I822, "% ", "Siltstone, ", Q822, 'Input Sheet'!C824, "% ", K822, " Sandstone "))</f>
        <v/>
      </c>
      <c r="C822" s="3" t="str">
        <f>IF('Input Sheet'!C824="","",CONCATENATE("Sample ", 'Input Sheet'!B824, "m: ", N822,, L822, K822, " FLUOR in SST. ", "TG ", 'Input Sheet'!I824, "U"))</f>
        <v/>
      </c>
      <c r="H822" s="6" t="str">
        <f>IF('Input Sheet'!C824="","",100-'Input Sheet'!C824)</f>
        <v/>
      </c>
      <c r="I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2" s="6" t="str">
        <f t="shared" si="12"/>
        <v/>
      </c>
      <c r="K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2" s="6" t="str">
        <f>IF('Input Sheet'!F824=0, "NO",CONCATENATE('Input Sheet'!F824, IF('Input Sheet'!F824&gt;0,"% ","")))</f>
        <v>NO</v>
      </c>
      <c r="M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2" s="6" t="str">
        <f>CONCATENATE(M822, IF('Input Sheet'!J824="",""," siderite in "))</f>
        <v/>
      </c>
      <c r="O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2" s="6" t="str">
        <f>CONCATENATE(O822, IF('Input Sheet'!K824="",""," siderite in "))</f>
        <v/>
      </c>
    </row>
    <row r="823" spans="1:16" x14ac:dyDescent="0.25">
      <c r="A823" s="17" t="str">
        <f>IF('Input Sheet'!C825="","",CONCATENATE("Sample ", 'Input Sheet'!B825, "m: ", N823, H823, "% ", "Siltstone, ", P823, 'Input Sheet'!C825, "% ", J823, " Sandstone, ", L823, K823, " FLUOR in SST. ", "TG ", 'Input Sheet'!I825, "U"))</f>
        <v/>
      </c>
      <c r="B823" s="3" t="str">
        <f>IF('Input Sheet'!C825="","",CONCATENATE("Sample ", 'Input Sheet'!B825, "m: ", O823, I823, "% ", "Siltstone, ", Q823, 'Input Sheet'!C825, "% ", K823, " Sandstone "))</f>
        <v/>
      </c>
      <c r="C823" s="3" t="str">
        <f>IF('Input Sheet'!C825="","",CONCATENATE("Sample ", 'Input Sheet'!B825, "m: ", N823,, L823, K823, " FLUOR in SST. ", "TG ", 'Input Sheet'!I825, "U"))</f>
        <v/>
      </c>
      <c r="H823" s="6" t="str">
        <f>IF('Input Sheet'!C825="","",100-'Input Sheet'!C825)</f>
        <v/>
      </c>
      <c r="I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3" s="6" t="str">
        <f t="shared" si="12"/>
        <v/>
      </c>
      <c r="K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3" s="6" t="str">
        <f>IF('Input Sheet'!F825=0, "NO",CONCATENATE('Input Sheet'!F825, IF('Input Sheet'!F825&gt;0,"% ","")))</f>
        <v>NO</v>
      </c>
      <c r="M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3" s="6" t="str">
        <f>CONCATENATE(M823, IF('Input Sheet'!J825="",""," siderite in "))</f>
        <v/>
      </c>
      <c r="O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3" s="6" t="str">
        <f>CONCATENATE(O823, IF('Input Sheet'!K825="",""," siderite in "))</f>
        <v/>
      </c>
    </row>
    <row r="824" spans="1:16" x14ac:dyDescent="0.25">
      <c r="A824" s="17" t="str">
        <f>IF('Input Sheet'!C826="","",CONCATENATE("Sample ", 'Input Sheet'!B826, "m: ", N824, H824, "% ", "Siltstone, ", P824, 'Input Sheet'!C826, "% ", J824, " Sandstone, ", L824, K824, " FLUOR in SST. ", "TG ", 'Input Sheet'!I826, "U"))</f>
        <v/>
      </c>
      <c r="B824" s="3" t="str">
        <f>IF('Input Sheet'!C826="","",CONCATENATE("Sample ", 'Input Sheet'!B826, "m: ", O824, I824, "% ", "Siltstone, ", Q824, 'Input Sheet'!C826, "% ", K824, " Sandstone "))</f>
        <v/>
      </c>
      <c r="C824" s="3" t="str">
        <f>IF('Input Sheet'!C826="","",CONCATENATE("Sample ", 'Input Sheet'!B826, "m: ", N824,, L824, K824, " FLUOR in SST. ", "TG ", 'Input Sheet'!I826, "U"))</f>
        <v/>
      </c>
      <c r="H824" s="6" t="str">
        <f>IF('Input Sheet'!C826="","",100-'Input Sheet'!C826)</f>
        <v/>
      </c>
      <c r="I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4" s="6" t="str">
        <f t="shared" si="12"/>
        <v/>
      </c>
      <c r="K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4" s="6" t="str">
        <f>IF('Input Sheet'!F826=0, "NO",CONCATENATE('Input Sheet'!F826, IF('Input Sheet'!F826&gt;0,"% ","")))</f>
        <v>NO</v>
      </c>
      <c r="M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4" s="6" t="str">
        <f>CONCATENATE(M824, IF('Input Sheet'!J826="",""," siderite in "))</f>
        <v/>
      </c>
      <c r="O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4" s="6" t="str">
        <f>CONCATENATE(O824, IF('Input Sheet'!K826="",""," siderite in "))</f>
        <v/>
      </c>
    </row>
    <row r="825" spans="1:16" x14ac:dyDescent="0.25">
      <c r="A825" s="17" t="str">
        <f>IF('Input Sheet'!C827="","",CONCATENATE("Sample ", 'Input Sheet'!B827, "m: ", N825, H825, "% ", "Siltstone, ", P825, 'Input Sheet'!C827, "% ", J825, " Sandstone, ", L825, K825, " FLUOR in SST. ", "TG ", 'Input Sheet'!I827, "U"))</f>
        <v/>
      </c>
      <c r="B825" s="3" t="str">
        <f>IF('Input Sheet'!C827="","",CONCATENATE("Sample ", 'Input Sheet'!B827, "m: ", O825, I825, "% ", "Siltstone, ", Q825, 'Input Sheet'!C827, "% ", K825, " Sandstone "))</f>
        <v/>
      </c>
      <c r="C825" s="3" t="str">
        <f>IF('Input Sheet'!C827="","",CONCATENATE("Sample ", 'Input Sheet'!B827, "m: ", N825,, L825, K825, " FLUOR in SST. ", "TG ", 'Input Sheet'!I827, "U"))</f>
        <v/>
      </c>
      <c r="H825" s="6" t="str">
        <f>IF('Input Sheet'!C827="","",100-'Input Sheet'!C827)</f>
        <v/>
      </c>
      <c r="I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5" s="6" t="str">
        <f t="shared" si="12"/>
        <v/>
      </c>
      <c r="K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5" s="6" t="str">
        <f>IF('Input Sheet'!F827=0, "NO",CONCATENATE('Input Sheet'!F827, IF('Input Sheet'!F827&gt;0,"% ","")))</f>
        <v>NO</v>
      </c>
      <c r="M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5" s="6" t="str">
        <f>CONCATENATE(M825, IF('Input Sheet'!J827="",""," siderite in "))</f>
        <v/>
      </c>
      <c r="O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5" s="6" t="str">
        <f>CONCATENATE(O825, IF('Input Sheet'!K827="",""," siderite in "))</f>
        <v/>
      </c>
    </row>
    <row r="826" spans="1:16" x14ac:dyDescent="0.25">
      <c r="A826" s="17" t="str">
        <f>IF('Input Sheet'!C828="","",CONCATENATE("Sample ", 'Input Sheet'!B828, "m: ", N826, H826, "% ", "Siltstone, ", P826, 'Input Sheet'!C828, "% ", J826, " Sandstone, ", L826, K826, " FLUOR in SST. ", "TG ", 'Input Sheet'!I828, "U"))</f>
        <v/>
      </c>
      <c r="B826" s="3" t="str">
        <f>IF('Input Sheet'!C828="","",CONCATENATE("Sample ", 'Input Sheet'!B828, "m: ", O826, I826, "% ", "Siltstone, ", Q826, 'Input Sheet'!C828, "% ", K826, " Sandstone "))</f>
        <v/>
      </c>
      <c r="C826" s="3" t="str">
        <f>IF('Input Sheet'!C828="","",CONCATENATE("Sample ", 'Input Sheet'!B828, "m: ", N826,, L826, K826, " FLUOR in SST. ", "TG ", 'Input Sheet'!I828, "U"))</f>
        <v/>
      </c>
      <c r="H826" s="6" t="str">
        <f>IF('Input Sheet'!C828="","",100-'Input Sheet'!C828)</f>
        <v/>
      </c>
      <c r="I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6" s="6" t="str">
        <f t="shared" si="12"/>
        <v/>
      </c>
      <c r="K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6" s="6" t="str">
        <f>IF('Input Sheet'!F828=0, "NO",CONCATENATE('Input Sheet'!F828, IF('Input Sheet'!F828&gt;0,"% ","")))</f>
        <v>NO</v>
      </c>
      <c r="M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6" s="6" t="str">
        <f>CONCATENATE(M826, IF('Input Sheet'!J828="",""," siderite in "))</f>
        <v/>
      </c>
      <c r="O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6" s="6" t="str">
        <f>CONCATENATE(O826, IF('Input Sheet'!K828="",""," siderite in "))</f>
        <v/>
      </c>
    </row>
    <row r="827" spans="1:16" x14ac:dyDescent="0.25">
      <c r="A827" s="17" t="str">
        <f>IF('Input Sheet'!C829="","",CONCATENATE("Sample ", 'Input Sheet'!B829, "m: ", N827, H827, "% ", "Siltstone, ", P827, 'Input Sheet'!C829, "% ", J827, " Sandstone, ", L827, K827, " FLUOR in SST. ", "TG ", 'Input Sheet'!I829, "U"))</f>
        <v/>
      </c>
      <c r="B827" s="3" t="str">
        <f>IF('Input Sheet'!C829="","",CONCATENATE("Sample ", 'Input Sheet'!B829, "m: ", O827, I827, "% ", "Siltstone, ", Q827, 'Input Sheet'!C829, "% ", K827, " Sandstone "))</f>
        <v/>
      </c>
      <c r="C827" s="3" t="str">
        <f>IF('Input Sheet'!C829="","",CONCATENATE("Sample ", 'Input Sheet'!B829, "m: ", N827,, L827, K827, " FLUOR in SST. ", "TG ", 'Input Sheet'!I829, "U"))</f>
        <v/>
      </c>
      <c r="H827" s="6" t="str">
        <f>IF('Input Sheet'!C829="","",100-'Input Sheet'!C829)</f>
        <v/>
      </c>
      <c r="I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7" s="6" t="str">
        <f t="shared" si="12"/>
        <v/>
      </c>
      <c r="K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7" s="6" t="str">
        <f>IF('Input Sheet'!F829=0, "NO",CONCATENATE('Input Sheet'!F829, IF('Input Sheet'!F829&gt;0,"% ","")))</f>
        <v>NO</v>
      </c>
      <c r="M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7" s="6" t="str">
        <f>CONCATENATE(M827, IF('Input Sheet'!J829="",""," siderite in "))</f>
        <v/>
      </c>
      <c r="O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7" s="6" t="str">
        <f>CONCATENATE(O827, IF('Input Sheet'!K829="",""," siderite in "))</f>
        <v/>
      </c>
    </row>
    <row r="828" spans="1:16" x14ac:dyDescent="0.25">
      <c r="A828" s="17" t="str">
        <f>IF('Input Sheet'!C830="","",CONCATENATE("Sample ", 'Input Sheet'!B830, "m: ", N828, H828, "% ", "Siltstone, ", P828, 'Input Sheet'!C830, "% ", J828, " Sandstone, ", L828, K828, " FLUOR in SST. ", "TG ", 'Input Sheet'!I830, "U"))</f>
        <v/>
      </c>
      <c r="B828" s="3" t="str">
        <f>IF('Input Sheet'!C830="","",CONCATENATE("Sample ", 'Input Sheet'!B830, "m: ", O828, I828, "% ", "Siltstone, ", Q828, 'Input Sheet'!C830, "% ", K828, " Sandstone "))</f>
        <v/>
      </c>
      <c r="C828" s="3" t="str">
        <f>IF('Input Sheet'!C830="","",CONCATENATE("Sample ", 'Input Sheet'!B830, "m: ", N828,, L828, K828, " FLUOR in SST. ", "TG ", 'Input Sheet'!I830, "U"))</f>
        <v/>
      </c>
      <c r="H828" s="6" t="str">
        <f>IF('Input Sheet'!C830="","",100-'Input Sheet'!C830)</f>
        <v/>
      </c>
      <c r="I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8" s="6" t="str">
        <f t="shared" si="12"/>
        <v/>
      </c>
      <c r="K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8" s="6" t="str">
        <f>IF('Input Sheet'!F830=0, "NO",CONCATENATE('Input Sheet'!F830, IF('Input Sheet'!F830&gt;0,"% ","")))</f>
        <v>NO</v>
      </c>
      <c r="M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8" s="6" t="str">
        <f>CONCATENATE(M828, IF('Input Sheet'!J830="",""," siderite in "))</f>
        <v/>
      </c>
      <c r="O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8" s="6" t="str">
        <f>CONCATENATE(O828, IF('Input Sheet'!K830="",""," siderite in "))</f>
        <v/>
      </c>
    </row>
    <row r="829" spans="1:16" x14ac:dyDescent="0.25">
      <c r="A829" s="17" t="str">
        <f>IF('Input Sheet'!C831="","",CONCATENATE("Sample ", 'Input Sheet'!B831, "m: ", N829, H829, "% ", "Siltstone, ", P829, 'Input Sheet'!C831, "% ", J829, " Sandstone, ", L829, K829, " FLUOR in SST. ", "TG ", 'Input Sheet'!I831, "U"))</f>
        <v/>
      </c>
      <c r="B829" s="3" t="str">
        <f>IF('Input Sheet'!C831="","",CONCATENATE("Sample ", 'Input Sheet'!B831, "m: ", O829, I829, "% ", "Siltstone, ", Q829, 'Input Sheet'!C831, "% ", K829, " Sandstone "))</f>
        <v/>
      </c>
      <c r="C829" s="3" t="str">
        <f>IF('Input Sheet'!C831="","",CONCATENATE("Sample ", 'Input Sheet'!B831, "m: ", N829,, L829, K829, " FLUOR in SST. ", "TG ", 'Input Sheet'!I831, "U"))</f>
        <v/>
      </c>
      <c r="H829" s="6" t="str">
        <f>IF('Input Sheet'!C831="","",100-'Input Sheet'!C831)</f>
        <v/>
      </c>
      <c r="I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29" s="6" t="str">
        <f t="shared" si="12"/>
        <v/>
      </c>
      <c r="K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29" s="6" t="str">
        <f>IF('Input Sheet'!F831=0, "NO",CONCATENATE('Input Sheet'!F831, IF('Input Sheet'!F831&gt;0,"% ","")))</f>
        <v>NO</v>
      </c>
      <c r="M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29" s="6" t="str">
        <f>CONCATENATE(M829, IF('Input Sheet'!J831="",""," siderite in "))</f>
        <v/>
      </c>
      <c r="O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29" s="6" t="str">
        <f>CONCATENATE(O829, IF('Input Sheet'!K831="",""," siderite in "))</f>
        <v/>
      </c>
    </row>
    <row r="830" spans="1:16" x14ac:dyDescent="0.25">
      <c r="A830" s="17" t="str">
        <f>IF('Input Sheet'!C832="","",CONCATENATE("Sample ", 'Input Sheet'!B832, "m: ", N830, H830, "% ", "Siltstone, ", P830, 'Input Sheet'!C832, "% ", J830, " Sandstone, ", L830, K830, " FLUOR in SST. ", "TG ", 'Input Sheet'!I832, "U"))</f>
        <v/>
      </c>
      <c r="B830" s="3" t="str">
        <f>IF('Input Sheet'!C832="","",CONCATENATE("Sample ", 'Input Sheet'!B832, "m: ", O830, I830, "% ", "Siltstone, ", Q830, 'Input Sheet'!C832, "% ", K830, " Sandstone "))</f>
        <v/>
      </c>
      <c r="C830" s="3" t="str">
        <f>IF('Input Sheet'!C832="","",CONCATENATE("Sample ", 'Input Sheet'!B832, "m: ", N830,, L830, K830, " FLUOR in SST. ", "TG ", 'Input Sheet'!I832, "U"))</f>
        <v/>
      </c>
      <c r="H830" s="6" t="str">
        <f>IF('Input Sheet'!C832="","",100-'Input Sheet'!C832)</f>
        <v/>
      </c>
      <c r="I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0" s="6" t="str">
        <f t="shared" si="12"/>
        <v/>
      </c>
      <c r="K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0" s="6" t="str">
        <f>IF('Input Sheet'!F832=0, "NO",CONCATENATE('Input Sheet'!F832, IF('Input Sheet'!F832&gt;0,"% ","")))</f>
        <v>NO</v>
      </c>
      <c r="M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0" s="6" t="str">
        <f>CONCATENATE(M830, IF('Input Sheet'!J832="",""," siderite in "))</f>
        <v/>
      </c>
      <c r="O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0" s="6" t="str">
        <f>CONCATENATE(O830, IF('Input Sheet'!K832="",""," siderite in "))</f>
        <v/>
      </c>
    </row>
    <row r="831" spans="1:16" x14ac:dyDescent="0.25">
      <c r="A831" s="17" t="str">
        <f>IF('Input Sheet'!C833="","",CONCATENATE("Sample ", 'Input Sheet'!B833, "m: ", N831, H831, "% ", "Siltstone, ", P831, 'Input Sheet'!C833, "% ", J831, " Sandstone, ", L831, K831, " FLUOR in SST. ", "TG ", 'Input Sheet'!I833, "U"))</f>
        <v/>
      </c>
      <c r="B831" s="3" t="str">
        <f>IF('Input Sheet'!C833="","",CONCATENATE("Sample ", 'Input Sheet'!B833, "m: ", O831, I831, "% ", "Siltstone, ", Q831, 'Input Sheet'!C833, "% ", K831, " Sandstone "))</f>
        <v/>
      </c>
      <c r="C831" s="3" t="str">
        <f>IF('Input Sheet'!C833="","",CONCATENATE("Sample ", 'Input Sheet'!B833, "m: ", N831,, L831, K831, " FLUOR in SST. ", "TG ", 'Input Sheet'!I833, "U"))</f>
        <v/>
      </c>
      <c r="H831" s="6" t="str">
        <f>IF('Input Sheet'!C833="","",100-'Input Sheet'!C833)</f>
        <v/>
      </c>
      <c r="I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1" s="6" t="str">
        <f t="shared" si="12"/>
        <v/>
      </c>
      <c r="K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1" s="6" t="str">
        <f>IF('Input Sheet'!F833=0, "NO",CONCATENATE('Input Sheet'!F833, IF('Input Sheet'!F833&gt;0,"% ","")))</f>
        <v>NO</v>
      </c>
      <c r="M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1" s="6" t="str">
        <f>CONCATENATE(M831, IF('Input Sheet'!J833="",""," siderite in "))</f>
        <v/>
      </c>
      <c r="O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1" s="6" t="str">
        <f>CONCATENATE(O831, IF('Input Sheet'!K833="",""," siderite in "))</f>
        <v/>
      </c>
    </row>
    <row r="832" spans="1:16" x14ac:dyDescent="0.25">
      <c r="A832" s="17" t="str">
        <f>IF('Input Sheet'!C834="","",CONCATENATE("Sample ", 'Input Sheet'!B834, "m: ", N832, H832, "% ", "Siltstone, ", P832, 'Input Sheet'!C834, "% ", J832, " Sandstone, ", L832, K832, " FLUOR in SST. ", "TG ", 'Input Sheet'!I834, "U"))</f>
        <v/>
      </c>
      <c r="B832" s="3" t="str">
        <f>IF('Input Sheet'!C834="","",CONCATENATE("Sample ", 'Input Sheet'!B834, "m: ", O832, I832, "% ", "Siltstone, ", Q832, 'Input Sheet'!C834, "% ", K832, " Sandstone "))</f>
        <v/>
      </c>
      <c r="C832" s="3" t="str">
        <f>IF('Input Sheet'!C834="","",CONCATENATE("Sample ", 'Input Sheet'!B834, "m: ", N832,, L832, K832, " FLUOR in SST. ", "TG ", 'Input Sheet'!I834, "U"))</f>
        <v/>
      </c>
      <c r="H832" s="6" t="str">
        <f>IF('Input Sheet'!C834="","",100-'Input Sheet'!C834)</f>
        <v/>
      </c>
      <c r="I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2" s="6" t="str">
        <f t="shared" si="12"/>
        <v/>
      </c>
      <c r="K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2" s="6" t="str">
        <f>IF('Input Sheet'!F834=0, "NO",CONCATENATE('Input Sheet'!F834, IF('Input Sheet'!F834&gt;0,"% ","")))</f>
        <v>NO</v>
      </c>
      <c r="M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2" s="6" t="str">
        <f>CONCATENATE(M832, IF('Input Sheet'!J834="",""," siderite in "))</f>
        <v/>
      </c>
      <c r="O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2" s="6" t="str">
        <f>CONCATENATE(O832, IF('Input Sheet'!K834="",""," siderite in "))</f>
        <v/>
      </c>
    </row>
    <row r="833" spans="1:16" x14ac:dyDescent="0.25">
      <c r="A833" s="17" t="str">
        <f>IF('Input Sheet'!C835="","",CONCATENATE("Sample ", 'Input Sheet'!B835, "m: ", N833, H833, "% ", "Siltstone, ", P833, 'Input Sheet'!C835, "% ", J833, " Sandstone, ", L833, K833, " FLUOR in SST. ", "TG ", 'Input Sheet'!I835, "U"))</f>
        <v/>
      </c>
      <c r="B833" s="3" t="str">
        <f>IF('Input Sheet'!C835="","",CONCATENATE("Sample ", 'Input Sheet'!B835, "m: ", O833, I833, "% ", "Siltstone, ", Q833, 'Input Sheet'!C835, "% ", K833, " Sandstone "))</f>
        <v/>
      </c>
      <c r="C833" s="3" t="str">
        <f>IF('Input Sheet'!C835="","",CONCATENATE("Sample ", 'Input Sheet'!B835, "m: ", N833,, L833, K833, " FLUOR in SST. ", "TG ", 'Input Sheet'!I835, "U"))</f>
        <v/>
      </c>
      <c r="H833" s="6" t="str">
        <f>IF('Input Sheet'!C835="","",100-'Input Sheet'!C835)</f>
        <v/>
      </c>
      <c r="I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3" s="6" t="str">
        <f t="shared" si="12"/>
        <v/>
      </c>
      <c r="K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3" s="6" t="str">
        <f>IF('Input Sheet'!F835=0, "NO",CONCATENATE('Input Sheet'!F835, IF('Input Sheet'!F835&gt;0,"% ","")))</f>
        <v>NO</v>
      </c>
      <c r="M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3" s="6" t="str">
        <f>CONCATENATE(M833, IF('Input Sheet'!J835="",""," siderite in "))</f>
        <v/>
      </c>
      <c r="O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3" s="6" t="str">
        <f>CONCATENATE(O833, IF('Input Sheet'!K835="",""," siderite in "))</f>
        <v/>
      </c>
    </row>
    <row r="834" spans="1:16" x14ac:dyDescent="0.25">
      <c r="A834" s="17" t="str">
        <f>IF('Input Sheet'!C836="","",CONCATENATE("Sample ", 'Input Sheet'!B836, "m: ", N834, H834, "% ", "Siltstone, ", P834, 'Input Sheet'!C836, "% ", J834, " Sandstone, ", L834, K834, " FLUOR in SST. ", "TG ", 'Input Sheet'!I836, "U"))</f>
        <v/>
      </c>
      <c r="B834" s="3" t="str">
        <f>IF('Input Sheet'!C836="","",CONCATENATE("Sample ", 'Input Sheet'!B836, "m: ", O834, I834, "% ", "Siltstone, ", Q834, 'Input Sheet'!C836, "% ", K834, " Sandstone "))</f>
        <v/>
      </c>
      <c r="C834" s="3" t="str">
        <f>IF('Input Sheet'!C836="","",CONCATENATE("Sample ", 'Input Sheet'!B836, "m: ", N834,, L834, K834, " FLUOR in SST. ", "TG ", 'Input Sheet'!I836, "U"))</f>
        <v/>
      </c>
      <c r="H834" s="6" t="str">
        <f>IF('Input Sheet'!C836="","",100-'Input Sheet'!C836)</f>
        <v/>
      </c>
      <c r="I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4" s="6" t="str">
        <f t="shared" ref="J834:J897" si="13">SUBSTITUTE(I834, "veryfine", "very fine")</f>
        <v/>
      </c>
      <c r="K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4" s="6" t="str">
        <f>IF('Input Sheet'!F836=0, "NO",CONCATENATE('Input Sheet'!F836, IF('Input Sheet'!F836&gt;0,"% ","")))</f>
        <v>NO</v>
      </c>
      <c r="M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4" s="6" t="str">
        <f>CONCATENATE(M834, IF('Input Sheet'!J836="",""," siderite in "))</f>
        <v/>
      </c>
      <c r="O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4" s="6" t="str">
        <f>CONCATENATE(O834, IF('Input Sheet'!K836="",""," siderite in "))</f>
        <v/>
      </c>
    </row>
    <row r="835" spans="1:16" x14ac:dyDescent="0.25">
      <c r="A835" s="17" t="str">
        <f>IF('Input Sheet'!C837="","",CONCATENATE("Sample ", 'Input Sheet'!B837, "m: ", N835, H835, "% ", "Siltstone, ", P835, 'Input Sheet'!C837, "% ", J835, " Sandstone, ", L835, K835, " FLUOR in SST. ", "TG ", 'Input Sheet'!I837, "U"))</f>
        <v/>
      </c>
      <c r="B835" s="3" t="str">
        <f>IF('Input Sheet'!C837="","",CONCATENATE("Sample ", 'Input Sheet'!B837, "m: ", O835, I835, "% ", "Siltstone, ", Q835, 'Input Sheet'!C837, "% ", K835, " Sandstone "))</f>
        <v/>
      </c>
      <c r="C835" s="3" t="str">
        <f>IF('Input Sheet'!C837="","",CONCATENATE("Sample ", 'Input Sheet'!B837, "m: ", N835,, L835, K835, " FLUOR in SST. ", "TG ", 'Input Sheet'!I837, "U"))</f>
        <v/>
      </c>
      <c r="H835" s="6" t="str">
        <f>IF('Input Sheet'!C837="","",100-'Input Sheet'!C837)</f>
        <v/>
      </c>
      <c r="I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5" s="6" t="str">
        <f t="shared" si="13"/>
        <v/>
      </c>
      <c r="K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5" s="6" t="str">
        <f>IF('Input Sheet'!F837=0, "NO",CONCATENATE('Input Sheet'!F837, IF('Input Sheet'!F837&gt;0,"% ","")))</f>
        <v>NO</v>
      </c>
      <c r="M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5" s="6" t="str">
        <f>CONCATENATE(M835, IF('Input Sheet'!J837="",""," siderite in "))</f>
        <v/>
      </c>
      <c r="O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5" s="6" t="str">
        <f>CONCATENATE(O835, IF('Input Sheet'!K837="",""," siderite in "))</f>
        <v/>
      </c>
    </row>
    <row r="836" spans="1:16" x14ac:dyDescent="0.25">
      <c r="A836" s="17" t="str">
        <f>IF('Input Sheet'!C838="","",CONCATENATE("Sample ", 'Input Sheet'!B838, "m: ", N836, H836, "% ", "Siltstone, ", P836, 'Input Sheet'!C838, "% ", J836, " Sandstone, ", L836, K836, " FLUOR in SST. ", "TG ", 'Input Sheet'!I838, "U"))</f>
        <v/>
      </c>
      <c r="B836" s="3" t="str">
        <f>IF('Input Sheet'!C838="","",CONCATENATE("Sample ", 'Input Sheet'!B838, "m: ", O836, I836, "% ", "Siltstone, ", Q836, 'Input Sheet'!C838, "% ", K836, " Sandstone "))</f>
        <v/>
      </c>
      <c r="C836" s="3" t="str">
        <f>IF('Input Sheet'!C838="","",CONCATENATE("Sample ", 'Input Sheet'!B838, "m: ", N836,, L836, K836, " FLUOR in SST. ", "TG ", 'Input Sheet'!I838, "U"))</f>
        <v/>
      </c>
      <c r="H836" s="6" t="str">
        <f>IF('Input Sheet'!C838="","",100-'Input Sheet'!C838)</f>
        <v/>
      </c>
      <c r="I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6" s="6" t="str">
        <f t="shared" si="13"/>
        <v/>
      </c>
      <c r="K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6" s="6" t="str">
        <f>IF('Input Sheet'!F838=0, "NO",CONCATENATE('Input Sheet'!F838, IF('Input Sheet'!F838&gt;0,"% ","")))</f>
        <v>NO</v>
      </c>
      <c r="M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6" s="6" t="str">
        <f>CONCATENATE(M836, IF('Input Sheet'!J838="",""," siderite in "))</f>
        <v/>
      </c>
      <c r="O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6" s="6" t="str">
        <f>CONCATENATE(O836, IF('Input Sheet'!K838="",""," siderite in "))</f>
        <v/>
      </c>
    </row>
    <row r="837" spans="1:16" x14ac:dyDescent="0.25">
      <c r="A837" s="17" t="str">
        <f>IF('Input Sheet'!C839="","",CONCATENATE("Sample ", 'Input Sheet'!B839, "m: ", N837, H837, "% ", "Siltstone, ", P837, 'Input Sheet'!C839, "% ", J837, " Sandstone, ", L837, K837, " FLUOR in SST. ", "TG ", 'Input Sheet'!I839, "U"))</f>
        <v/>
      </c>
      <c r="B837" s="3" t="str">
        <f>IF('Input Sheet'!C839="","",CONCATENATE("Sample ", 'Input Sheet'!B839, "m: ", O837, I837, "% ", "Siltstone, ", Q837, 'Input Sheet'!C839, "% ", K837, " Sandstone "))</f>
        <v/>
      </c>
      <c r="C837" s="3" t="str">
        <f>IF('Input Sheet'!C839="","",CONCATENATE("Sample ", 'Input Sheet'!B839, "m: ", N837,, L837, K837, " FLUOR in SST. ", "TG ", 'Input Sheet'!I839, "U"))</f>
        <v/>
      </c>
      <c r="H837" s="6" t="str">
        <f>IF('Input Sheet'!C839="","",100-'Input Sheet'!C839)</f>
        <v/>
      </c>
      <c r="I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7" s="6" t="str">
        <f t="shared" si="13"/>
        <v/>
      </c>
      <c r="K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7" s="6" t="str">
        <f>IF('Input Sheet'!F839=0, "NO",CONCATENATE('Input Sheet'!F839, IF('Input Sheet'!F839&gt;0,"% ","")))</f>
        <v>NO</v>
      </c>
      <c r="M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7" s="6" t="str">
        <f>CONCATENATE(M837, IF('Input Sheet'!J839="",""," siderite in "))</f>
        <v/>
      </c>
      <c r="O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7" s="6" t="str">
        <f>CONCATENATE(O837, IF('Input Sheet'!K839="",""," siderite in "))</f>
        <v/>
      </c>
    </row>
    <row r="838" spans="1:16" x14ac:dyDescent="0.25">
      <c r="A838" s="17" t="str">
        <f>IF('Input Sheet'!C840="","",CONCATENATE("Sample ", 'Input Sheet'!B840, "m: ", N838, H838, "% ", "Siltstone, ", P838, 'Input Sheet'!C840, "% ", J838, " Sandstone, ", L838, K838, " FLUOR in SST. ", "TG ", 'Input Sheet'!I840, "U"))</f>
        <v/>
      </c>
      <c r="B838" s="3" t="str">
        <f>IF('Input Sheet'!C840="","",CONCATENATE("Sample ", 'Input Sheet'!B840, "m: ", O838, I838, "% ", "Siltstone, ", Q838, 'Input Sheet'!C840, "% ", K838, " Sandstone "))</f>
        <v/>
      </c>
      <c r="C838" s="3" t="str">
        <f>IF('Input Sheet'!C840="","",CONCATENATE("Sample ", 'Input Sheet'!B840, "m: ", N838,, L838, K838, " FLUOR in SST. ", "TG ", 'Input Sheet'!I840, "U"))</f>
        <v/>
      </c>
      <c r="H838" s="6" t="str">
        <f>IF('Input Sheet'!C840="","",100-'Input Sheet'!C840)</f>
        <v/>
      </c>
      <c r="I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8" s="6" t="str">
        <f t="shared" si="13"/>
        <v/>
      </c>
      <c r="K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8" s="6" t="str">
        <f>IF('Input Sheet'!F840=0, "NO",CONCATENATE('Input Sheet'!F840, IF('Input Sheet'!F840&gt;0,"% ","")))</f>
        <v>NO</v>
      </c>
      <c r="M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8" s="6" t="str">
        <f>CONCATENATE(M838, IF('Input Sheet'!J840="",""," siderite in "))</f>
        <v/>
      </c>
      <c r="O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8" s="6" t="str">
        <f>CONCATENATE(O838, IF('Input Sheet'!K840="",""," siderite in "))</f>
        <v/>
      </c>
    </row>
    <row r="839" spans="1:16" x14ac:dyDescent="0.25">
      <c r="A839" s="17" t="str">
        <f>IF('Input Sheet'!C841="","",CONCATENATE("Sample ", 'Input Sheet'!B841, "m: ", N839, H839, "% ", "Siltstone, ", P839, 'Input Sheet'!C841, "% ", J839, " Sandstone, ", L839, K839, " FLUOR in SST. ", "TG ", 'Input Sheet'!I841, "U"))</f>
        <v/>
      </c>
      <c r="B839" s="3" t="str">
        <f>IF('Input Sheet'!C841="","",CONCATENATE("Sample ", 'Input Sheet'!B841, "m: ", O839, I839, "% ", "Siltstone, ", Q839, 'Input Sheet'!C841, "% ", K839, " Sandstone "))</f>
        <v/>
      </c>
      <c r="C839" s="3" t="str">
        <f>IF('Input Sheet'!C841="","",CONCATENATE("Sample ", 'Input Sheet'!B841, "m: ", N839,, L839, K839, " FLUOR in SST. ", "TG ", 'Input Sheet'!I841, "U"))</f>
        <v/>
      </c>
      <c r="H839" s="6" t="str">
        <f>IF('Input Sheet'!C841="","",100-'Input Sheet'!C841)</f>
        <v/>
      </c>
      <c r="I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39" s="6" t="str">
        <f t="shared" si="13"/>
        <v/>
      </c>
      <c r="K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39" s="6" t="str">
        <f>IF('Input Sheet'!F841=0, "NO",CONCATENATE('Input Sheet'!F841, IF('Input Sheet'!F841&gt;0,"% ","")))</f>
        <v>NO</v>
      </c>
      <c r="M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39" s="6" t="str">
        <f>CONCATENATE(M839, IF('Input Sheet'!J841="",""," siderite in "))</f>
        <v/>
      </c>
      <c r="O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39" s="6" t="str">
        <f>CONCATENATE(O839, IF('Input Sheet'!K841="",""," siderite in "))</f>
        <v/>
      </c>
    </row>
    <row r="840" spans="1:16" x14ac:dyDescent="0.25">
      <c r="A840" s="17" t="str">
        <f>IF('Input Sheet'!C842="","",CONCATENATE("Sample ", 'Input Sheet'!B842, "m: ", N840, H840, "% ", "Siltstone, ", P840, 'Input Sheet'!C842, "% ", J840, " Sandstone, ", L840, K840, " FLUOR in SST. ", "TG ", 'Input Sheet'!I842, "U"))</f>
        <v/>
      </c>
      <c r="B840" s="3" t="str">
        <f>IF('Input Sheet'!C842="","",CONCATENATE("Sample ", 'Input Sheet'!B842, "m: ", O840, I840, "% ", "Siltstone, ", Q840, 'Input Sheet'!C842, "% ", K840, " Sandstone "))</f>
        <v/>
      </c>
      <c r="C840" s="3" t="str">
        <f>IF('Input Sheet'!C842="","",CONCATENATE("Sample ", 'Input Sheet'!B842, "m: ", N840,, L840, K840, " FLUOR in SST. ", "TG ", 'Input Sheet'!I842, "U"))</f>
        <v/>
      </c>
      <c r="H840" s="6" t="str">
        <f>IF('Input Sheet'!C842="","",100-'Input Sheet'!C842)</f>
        <v/>
      </c>
      <c r="I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0" s="6" t="str">
        <f t="shared" si="13"/>
        <v/>
      </c>
      <c r="K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0" s="6" t="str">
        <f>IF('Input Sheet'!F842=0, "NO",CONCATENATE('Input Sheet'!F842, IF('Input Sheet'!F842&gt;0,"% ","")))</f>
        <v>NO</v>
      </c>
      <c r="M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0" s="6" t="str">
        <f>CONCATENATE(M840, IF('Input Sheet'!J842="",""," siderite in "))</f>
        <v/>
      </c>
      <c r="O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0" s="6" t="str">
        <f>CONCATENATE(O840, IF('Input Sheet'!K842="",""," siderite in "))</f>
        <v/>
      </c>
    </row>
    <row r="841" spans="1:16" x14ac:dyDescent="0.25">
      <c r="A841" s="17" t="str">
        <f>IF('Input Sheet'!C843="","",CONCATENATE("Sample ", 'Input Sheet'!B843, "m: ", N841, H841, "% ", "Siltstone, ", P841, 'Input Sheet'!C843, "% ", J841, " Sandstone, ", L841, K841, " FLUOR in SST. ", "TG ", 'Input Sheet'!I843, "U"))</f>
        <v/>
      </c>
      <c r="B841" s="3" t="str">
        <f>IF('Input Sheet'!C843="","",CONCATENATE("Sample ", 'Input Sheet'!B843, "m: ", O841, I841, "% ", "Siltstone, ", Q841, 'Input Sheet'!C843, "% ", K841, " Sandstone "))</f>
        <v/>
      </c>
      <c r="C841" s="3" t="str">
        <f>IF('Input Sheet'!C843="","",CONCATENATE("Sample ", 'Input Sheet'!B843, "m: ", N841,, L841, K841, " FLUOR in SST. ", "TG ", 'Input Sheet'!I843, "U"))</f>
        <v/>
      </c>
      <c r="H841" s="6" t="str">
        <f>IF('Input Sheet'!C843="","",100-'Input Sheet'!C843)</f>
        <v/>
      </c>
      <c r="I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1" s="6" t="str">
        <f t="shared" si="13"/>
        <v/>
      </c>
      <c r="K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1" s="6" t="str">
        <f>IF('Input Sheet'!F843=0, "NO",CONCATENATE('Input Sheet'!F843, IF('Input Sheet'!F843&gt;0,"% ","")))</f>
        <v>NO</v>
      </c>
      <c r="M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1" s="6" t="str">
        <f>CONCATENATE(M841, IF('Input Sheet'!J843="",""," siderite in "))</f>
        <v/>
      </c>
      <c r="O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1" s="6" t="str">
        <f>CONCATENATE(O841, IF('Input Sheet'!K843="",""," siderite in "))</f>
        <v/>
      </c>
    </row>
    <row r="842" spans="1:16" x14ac:dyDescent="0.25">
      <c r="A842" s="17" t="str">
        <f>IF('Input Sheet'!C844="","",CONCATENATE("Sample ", 'Input Sheet'!B844, "m: ", N842, H842, "% ", "Siltstone, ", P842, 'Input Sheet'!C844, "% ", J842, " Sandstone, ", L842, K842, " FLUOR in SST. ", "TG ", 'Input Sheet'!I844, "U"))</f>
        <v/>
      </c>
      <c r="B842" s="3" t="str">
        <f>IF('Input Sheet'!C844="","",CONCATENATE("Sample ", 'Input Sheet'!B844, "m: ", O842, I842, "% ", "Siltstone, ", Q842, 'Input Sheet'!C844, "% ", K842, " Sandstone "))</f>
        <v/>
      </c>
      <c r="C842" s="3" t="str">
        <f>IF('Input Sheet'!C844="","",CONCATENATE("Sample ", 'Input Sheet'!B844, "m: ", N842,, L842, K842, " FLUOR in SST. ", "TG ", 'Input Sheet'!I844, "U"))</f>
        <v/>
      </c>
      <c r="H842" s="6" t="str">
        <f>IF('Input Sheet'!C844="","",100-'Input Sheet'!C844)</f>
        <v/>
      </c>
      <c r="I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2" s="6" t="str">
        <f t="shared" si="13"/>
        <v/>
      </c>
      <c r="K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2" s="6" t="str">
        <f>IF('Input Sheet'!F844=0, "NO",CONCATENATE('Input Sheet'!F844, IF('Input Sheet'!F844&gt;0,"% ","")))</f>
        <v>NO</v>
      </c>
      <c r="M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2" s="6" t="str">
        <f>CONCATENATE(M842, IF('Input Sheet'!J844="",""," siderite in "))</f>
        <v/>
      </c>
      <c r="O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2" s="6" t="str">
        <f>CONCATENATE(O842, IF('Input Sheet'!K844="",""," siderite in "))</f>
        <v/>
      </c>
    </row>
    <row r="843" spans="1:16" x14ac:dyDescent="0.25">
      <c r="A843" s="17" t="str">
        <f>IF('Input Sheet'!C845="","",CONCATENATE("Sample ", 'Input Sheet'!B845, "m: ", N843, H843, "% ", "Siltstone, ", P843, 'Input Sheet'!C845, "% ", J843, " Sandstone, ", L843, K843, " FLUOR in SST. ", "TG ", 'Input Sheet'!I845, "U"))</f>
        <v/>
      </c>
      <c r="B843" s="3" t="str">
        <f>IF('Input Sheet'!C845="","",CONCATENATE("Sample ", 'Input Sheet'!B845, "m: ", O843, I843, "% ", "Siltstone, ", Q843, 'Input Sheet'!C845, "% ", K843, " Sandstone "))</f>
        <v/>
      </c>
      <c r="C843" s="3" t="str">
        <f>IF('Input Sheet'!C845="","",CONCATENATE("Sample ", 'Input Sheet'!B845, "m: ", N843,, L843, K843, " FLUOR in SST. ", "TG ", 'Input Sheet'!I845, "U"))</f>
        <v/>
      </c>
      <c r="H843" s="6" t="str">
        <f>IF('Input Sheet'!C845="","",100-'Input Sheet'!C845)</f>
        <v/>
      </c>
      <c r="I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3" s="6" t="str">
        <f t="shared" si="13"/>
        <v/>
      </c>
      <c r="K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3" s="6" t="str">
        <f>IF('Input Sheet'!F845=0, "NO",CONCATENATE('Input Sheet'!F845, IF('Input Sheet'!F845&gt;0,"% ","")))</f>
        <v>NO</v>
      </c>
      <c r="M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3" s="6" t="str">
        <f>CONCATENATE(M843, IF('Input Sheet'!J845="",""," siderite in "))</f>
        <v/>
      </c>
      <c r="O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3" s="6" t="str">
        <f>CONCATENATE(O843, IF('Input Sheet'!K845="",""," siderite in "))</f>
        <v/>
      </c>
    </row>
    <row r="844" spans="1:16" x14ac:dyDescent="0.25">
      <c r="A844" s="17" t="str">
        <f>IF('Input Sheet'!C846="","",CONCATENATE("Sample ", 'Input Sheet'!B846, "m: ", N844, H844, "% ", "Siltstone, ", P844, 'Input Sheet'!C846, "% ", J844, " Sandstone, ", L844, K844, " FLUOR in SST. ", "TG ", 'Input Sheet'!I846, "U"))</f>
        <v/>
      </c>
      <c r="B844" s="3" t="str">
        <f>IF('Input Sheet'!C846="","",CONCATENATE("Sample ", 'Input Sheet'!B846, "m: ", O844, I844, "% ", "Siltstone, ", Q844, 'Input Sheet'!C846, "% ", K844, " Sandstone "))</f>
        <v/>
      </c>
      <c r="C844" s="3" t="str">
        <f>IF('Input Sheet'!C846="","",CONCATENATE("Sample ", 'Input Sheet'!B846, "m: ", N844,, L844, K844, " FLUOR in SST. ", "TG ", 'Input Sheet'!I846, "U"))</f>
        <v/>
      </c>
      <c r="H844" s="6" t="str">
        <f>IF('Input Sheet'!C846="","",100-'Input Sheet'!C846)</f>
        <v/>
      </c>
      <c r="I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4" s="6" t="str">
        <f t="shared" si="13"/>
        <v/>
      </c>
      <c r="K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4" s="6" t="str">
        <f>IF('Input Sheet'!F846=0, "NO",CONCATENATE('Input Sheet'!F846, IF('Input Sheet'!F846&gt;0,"% ","")))</f>
        <v>NO</v>
      </c>
      <c r="M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4" s="6" t="str">
        <f>CONCATENATE(M844, IF('Input Sheet'!J846="",""," siderite in "))</f>
        <v/>
      </c>
      <c r="O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4" s="6" t="str">
        <f>CONCATENATE(O844, IF('Input Sheet'!K846="",""," siderite in "))</f>
        <v/>
      </c>
    </row>
    <row r="845" spans="1:16" x14ac:dyDescent="0.25">
      <c r="A845" s="17" t="str">
        <f>IF('Input Sheet'!C847="","",CONCATENATE("Sample ", 'Input Sheet'!B847, "m: ", N845, H845, "% ", "Siltstone, ", P845, 'Input Sheet'!C847, "% ", J845, " Sandstone, ", L845, K845, " FLUOR in SST. ", "TG ", 'Input Sheet'!I847, "U"))</f>
        <v/>
      </c>
      <c r="B845" s="3" t="str">
        <f>IF('Input Sheet'!C847="","",CONCATENATE("Sample ", 'Input Sheet'!B847, "m: ", O845, I845, "% ", "Siltstone, ", Q845, 'Input Sheet'!C847, "% ", K845, " Sandstone "))</f>
        <v/>
      </c>
      <c r="C845" s="3" t="str">
        <f>IF('Input Sheet'!C847="","",CONCATENATE("Sample ", 'Input Sheet'!B847, "m: ", N845,, L845, K845, " FLUOR in SST. ", "TG ", 'Input Sheet'!I847, "U"))</f>
        <v/>
      </c>
      <c r="H845" s="6" t="str">
        <f>IF('Input Sheet'!C847="","",100-'Input Sheet'!C847)</f>
        <v/>
      </c>
      <c r="I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5" s="6" t="str">
        <f t="shared" si="13"/>
        <v/>
      </c>
      <c r="K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5" s="6" t="str">
        <f>IF('Input Sheet'!F847=0, "NO",CONCATENATE('Input Sheet'!F847, IF('Input Sheet'!F847&gt;0,"% ","")))</f>
        <v>NO</v>
      </c>
      <c r="M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5" s="6" t="str">
        <f>CONCATENATE(M845, IF('Input Sheet'!J847="",""," siderite in "))</f>
        <v/>
      </c>
      <c r="O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5" s="6" t="str">
        <f>CONCATENATE(O845, IF('Input Sheet'!K847="",""," siderite in "))</f>
        <v/>
      </c>
    </row>
    <row r="846" spans="1:16" x14ac:dyDescent="0.25">
      <c r="A846" s="17" t="str">
        <f>IF('Input Sheet'!C848="","",CONCATENATE("Sample ", 'Input Sheet'!B848, "m: ", N846, H846, "% ", "Siltstone, ", P846, 'Input Sheet'!C848, "% ", J846, " Sandstone, ", L846, K846, " FLUOR in SST. ", "TG ", 'Input Sheet'!I848, "U"))</f>
        <v/>
      </c>
      <c r="B846" s="3" t="str">
        <f>IF('Input Sheet'!C848="","",CONCATENATE("Sample ", 'Input Sheet'!B848, "m: ", O846, I846, "% ", "Siltstone, ", Q846, 'Input Sheet'!C848, "% ", K846, " Sandstone "))</f>
        <v/>
      </c>
      <c r="C846" s="3" t="str">
        <f>IF('Input Sheet'!C848="","",CONCATENATE("Sample ", 'Input Sheet'!B848, "m: ", N846,, L846, K846, " FLUOR in SST. ", "TG ", 'Input Sheet'!I848, "U"))</f>
        <v/>
      </c>
      <c r="H846" s="6" t="str">
        <f>IF('Input Sheet'!C848="","",100-'Input Sheet'!C848)</f>
        <v/>
      </c>
      <c r="I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6" s="6" t="str">
        <f t="shared" si="13"/>
        <v/>
      </c>
      <c r="K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6" s="6" t="str">
        <f>IF('Input Sheet'!F848=0, "NO",CONCATENATE('Input Sheet'!F848, IF('Input Sheet'!F848&gt;0,"% ","")))</f>
        <v>NO</v>
      </c>
      <c r="M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6" s="6" t="str">
        <f>CONCATENATE(M846, IF('Input Sheet'!J848="",""," siderite in "))</f>
        <v/>
      </c>
      <c r="O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6" s="6" t="str">
        <f>CONCATENATE(O846, IF('Input Sheet'!K848="",""," siderite in "))</f>
        <v/>
      </c>
    </row>
    <row r="847" spans="1:16" x14ac:dyDescent="0.25">
      <c r="A847" s="17" t="str">
        <f>IF('Input Sheet'!C849="","",CONCATENATE("Sample ", 'Input Sheet'!B849, "m: ", N847, H847, "% ", "Siltstone, ", P847, 'Input Sheet'!C849, "% ", J847, " Sandstone, ", L847, K847, " FLUOR in SST. ", "TG ", 'Input Sheet'!I849, "U"))</f>
        <v/>
      </c>
      <c r="B847" s="3" t="str">
        <f>IF('Input Sheet'!C849="","",CONCATENATE("Sample ", 'Input Sheet'!B849, "m: ", O847, I847, "% ", "Siltstone, ", Q847, 'Input Sheet'!C849, "% ", K847, " Sandstone "))</f>
        <v/>
      </c>
      <c r="C847" s="3" t="str">
        <f>IF('Input Sheet'!C849="","",CONCATENATE("Sample ", 'Input Sheet'!B849, "m: ", N847,, L847, K847, " FLUOR in SST. ", "TG ", 'Input Sheet'!I849, "U"))</f>
        <v/>
      </c>
      <c r="H847" s="6" t="str">
        <f>IF('Input Sheet'!C849="","",100-'Input Sheet'!C849)</f>
        <v/>
      </c>
      <c r="I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7" s="6" t="str">
        <f t="shared" si="13"/>
        <v/>
      </c>
      <c r="K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7" s="6" t="str">
        <f>IF('Input Sheet'!F849=0, "NO",CONCATENATE('Input Sheet'!F849, IF('Input Sheet'!F849&gt;0,"% ","")))</f>
        <v>NO</v>
      </c>
      <c r="M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7" s="6" t="str">
        <f>CONCATENATE(M847, IF('Input Sheet'!J849="",""," siderite in "))</f>
        <v/>
      </c>
      <c r="O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7" s="6" t="str">
        <f>CONCATENATE(O847, IF('Input Sheet'!K849="",""," siderite in "))</f>
        <v/>
      </c>
    </row>
    <row r="848" spans="1:16" x14ac:dyDescent="0.25">
      <c r="A848" s="17" t="str">
        <f>IF('Input Sheet'!C850="","",CONCATENATE("Sample ", 'Input Sheet'!B850, "m: ", N848, H848, "% ", "Siltstone, ", P848, 'Input Sheet'!C850, "% ", J848, " Sandstone, ", L848, K848, " FLUOR in SST. ", "TG ", 'Input Sheet'!I850, "U"))</f>
        <v/>
      </c>
      <c r="B848" s="3" t="str">
        <f>IF('Input Sheet'!C850="","",CONCATENATE("Sample ", 'Input Sheet'!B850, "m: ", O848, I848, "% ", "Siltstone, ", Q848, 'Input Sheet'!C850, "% ", K848, " Sandstone "))</f>
        <v/>
      </c>
      <c r="C848" s="3" t="str">
        <f>IF('Input Sheet'!C850="","",CONCATENATE("Sample ", 'Input Sheet'!B850, "m: ", N848,, L848, K848, " FLUOR in SST. ", "TG ", 'Input Sheet'!I850, "U"))</f>
        <v/>
      </c>
      <c r="H848" s="6" t="str">
        <f>IF('Input Sheet'!C850="","",100-'Input Sheet'!C850)</f>
        <v/>
      </c>
      <c r="I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8" s="6" t="str">
        <f t="shared" si="13"/>
        <v/>
      </c>
      <c r="K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8" s="6" t="str">
        <f>IF('Input Sheet'!F850=0, "NO",CONCATENATE('Input Sheet'!F850, IF('Input Sheet'!F850&gt;0,"% ","")))</f>
        <v>NO</v>
      </c>
      <c r="M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8" s="6" t="str">
        <f>CONCATENATE(M848, IF('Input Sheet'!J850="",""," siderite in "))</f>
        <v/>
      </c>
      <c r="O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8" s="6" t="str">
        <f>CONCATENATE(O848, IF('Input Sheet'!K850="",""," siderite in "))</f>
        <v/>
      </c>
    </row>
    <row r="849" spans="1:16" x14ac:dyDescent="0.25">
      <c r="A849" s="17" t="str">
        <f>IF('Input Sheet'!C851="","",CONCATENATE("Sample ", 'Input Sheet'!B851, "m: ", N849, H849, "% ", "Siltstone, ", P849, 'Input Sheet'!C851, "% ", J849, " Sandstone, ", L849, K849, " FLUOR in SST. ", "TG ", 'Input Sheet'!I851, "U"))</f>
        <v/>
      </c>
      <c r="B849" s="3" t="str">
        <f>IF('Input Sheet'!C851="","",CONCATENATE("Sample ", 'Input Sheet'!B851, "m: ", O849, I849, "% ", "Siltstone, ", Q849, 'Input Sheet'!C851, "% ", K849, " Sandstone "))</f>
        <v/>
      </c>
      <c r="C849" s="3" t="str">
        <f>IF('Input Sheet'!C851="","",CONCATENATE("Sample ", 'Input Sheet'!B851, "m: ", N849,, L849, K849, " FLUOR in SST. ", "TG ", 'Input Sheet'!I851, "U"))</f>
        <v/>
      </c>
      <c r="H849" s="6" t="str">
        <f>IF('Input Sheet'!C851="","",100-'Input Sheet'!C851)</f>
        <v/>
      </c>
      <c r="I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49" s="6" t="str">
        <f t="shared" si="13"/>
        <v/>
      </c>
      <c r="K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49" s="6" t="str">
        <f>IF('Input Sheet'!F851=0, "NO",CONCATENATE('Input Sheet'!F851, IF('Input Sheet'!F851&gt;0,"% ","")))</f>
        <v>NO</v>
      </c>
      <c r="M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49" s="6" t="str">
        <f>CONCATENATE(M849, IF('Input Sheet'!J851="",""," siderite in "))</f>
        <v/>
      </c>
      <c r="O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49" s="6" t="str">
        <f>CONCATENATE(O849, IF('Input Sheet'!K851="",""," siderite in "))</f>
        <v/>
      </c>
    </row>
    <row r="850" spans="1:16" x14ac:dyDescent="0.25">
      <c r="A850" s="17" t="str">
        <f>IF('Input Sheet'!C852="","",CONCATENATE("Sample ", 'Input Sheet'!B852, "m: ", N850, H850, "% ", "Siltstone, ", P850, 'Input Sheet'!C852, "% ", J850, " Sandstone, ", L850, K850, " FLUOR in SST. ", "TG ", 'Input Sheet'!I852, "U"))</f>
        <v/>
      </c>
      <c r="B850" s="3" t="str">
        <f>IF('Input Sheet'!C852="","",CONCATENATE("Sample ", 'Input Sheet'!B852, "m: ", O850, I850, "% ", "Siltstone, ", Q850, 'Input Sheet'!C852, "% ", K850, " Sandstone "))</f>
        <v/>
      </c>
      <c r="C850" s="3" t="str">
        <f>IF('Input Sheet'!C852="","",CONCATENATE("Sample ", 'Input Sheet'!B852, "m: ", N850,, L850, K850, " FLUOR in SST. ", "TG ", 'Input Sheet'!I852, "U"))</f>
        <v/>
      </c>
      <c r="H850" s="6" t="str">
        <f>IF('Input Sheet'!C852="","",100-'Input Sheet'!C852)</f>
        <v/>
      </c>
      <c r="I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0" s="6" t="str">
        <f t="shared" si="13"/>
        <v/>
      </c>
      <c r="K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0" s="6" t="str">
        <f>IF('Input Sheet'!F852=0, "NO",CONCATENATE('Input Sheet'!F852, IF('Input Sheet'!F852&gt;0,"% ","")))</f>
        <v>NO</v>
      </c>
      <c r="M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0" s="6" t="str">
        <f>CONCATENATE(M850, IF('Input Sheet'!J852="",""," siderite in "))</f>
        <v/>
      </c>
      <c r="O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0" s="6" t="str">
        <f>CONCATENATE(O850, IF('Input Sheet'!K852="",""," siderite in "))</f>
        <v/>
      </c>
    </row>
    <row r="851" spans="1:16" x14ac:dyDescent="0.25">
      <c r="A851" s="17" t="str">
        <f>IF('Input Sheet'!C853="","",CONCATENATE("Sample ", 'Input Sheet'!B853, "m: ", N851, H851, "% ", "Siltstone, ", P851, 'Input Sheet'!C853, "% ", J851, " Sandstone, ", L851, K851, " FLUOR in SST. ", "TG ", 'Input Sheet'!I853, "U"))</f>
        <v/>
      </c>
      <c r="B851" s="3" t="str">
        <f>IF('Input Sheet'!C853="","",CONCATENATE("Sample ", 'Input Sheet'!B853, "m: ", O851, I851, "% ", "Siltstone, ", Q851, 'Input Sheet'!C853, "% ", K851, " Sandstone "))</f>
        <v/>
      </c>
      <c r="C851" s="3" t="str">
        <f>IF('Input Sheet'!C853="","",CONCATENATE("Sample ", 'Input Sheet'!B853, "m: ", N851,, L851, K851, " FLUOR in SST. ", "TG ", 'Input Sheet'!I853, "U"))</f>
        <v/>
      </c>
      <c r="H851" s="6" t="str">
        <f>IF('Input Sheet'!C853="","",100-'Input Sheet'!C853)</f>
        <v/>
      </c>
      <c r="I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1" s="6" t="str">
        <f t="shared" si="13"/>
        <v/>
      </c>
      <c r="K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1" s="6" t="str">
        <f>IF('Input Sheet'!F853=0, "NO",CONCATENATE('Input Sheet'!F853, IF('Input Sheet'!F853&gt;0,"% ","")))</f>
        <v>NO</v>
      </c>
      <c r="M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1" s="6" t="str">
        <f>CONCATENATE(M851, IF('Input Sheet'!J853="",""," siderite in "))</f>
        <v/>
      </c>
      <c r="O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1" s="6" t="str">
        <f>CONCATENATE(O851, IF('Input Sheet'!K853="",""," siderite in "))</f>
        <v/>
      </c>
    </row>
    <row r="852" spans="1:16" x14ac:dyDescent="0.25">
      <c r="A852" s="17" t="str">
        <f>IF('Input Sheet'!C854="","",CONCATENATE("Sample ", 'Input Sheet'!B854, "m: ", N852, H852, "% ", "Siltstone, ", P852, 'Input Sheet'!C854, "% ", J852, " Sandstone, ", L852, K852, " FLUOR in SST. ", "TG ", 'Input Sheet'!I854, "U"))</f>
        <v/>
      </c>
      <c r="B852" s="3" t="str">
        <f>IF('Input Sheet'!C854="","",CONCATENATE("Sample ", 'Input Sheet'!B854, "m: ", O852, I852, "% ", "Siltstone, ", Q852, 'Input Sheet'!C854, "% ", K852, " Sandstone "))</f>
        <v/>
      </c>
      <c r="C852" s="3" t="str">
        <f>IF('Input Sheet'!C854="","",CONCATENATE("Sample ", 'Input Sheet'!B854, "m: ", N852,, L852, K852, " FLUOR in SST. ", "TG ", 'Input Sheet'!I854, "U"))</f>
        <v/>
      </c>
      <c r="H852" s="6" t="str">
        <f>IF('Input Sheet'!C854="","",100-'Input Sheet'!C854)</f>
        <v/>
      </c>
      <c r="I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2" s="6" t="str">
        <f t="shared" si="13"/>
        <v/>
      </c>
      <c r="K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2" s="6" t="str">
        <f>IF('Input Sheet'!F854=0, "NO",CONCATENATE('Input Sheet'!F854, IF('Input Sheet'!F854&gt;0,"% ","")))</f>
        <v>NO</v>
      </c>
      <c r="M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2" s="6" t="str">
        <f>CONCATENATE(M852, IF('Input Sheet'!J854="",""," siderite in "))</f>
        <v/>
      </c>
      <c r="O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2" s="6" t="str">
        <f>CONCATENATE(O852, IF('Input Sheet'!K854="",""," siderite in "))</f>
        <v/>
      </c>
    </row>
    <row r="853" spans="1:16" x14ac:dyDescent="0.25">
      <c r="A853" s="17" t="str">
        <f>IF('Input Sheet'!C855="","",CONCATENATE("Sample ", 'Input Sheet'!B855, "m: ", N853, H853, "% ", "Siltstone, ", P853, 'Input Sheet'!C855, "% ", J853, " Sandstone, ", L853, K853, " FLUOR in SST. ", "TG ", 'Input Sheet'!I855, "U"))</f>
        <v/>
      </c>
      <c r="B853" s="3" t="str">
        <f>IF('Input Sheet'!C855="","",CONCATENATE("Sample ", 'Input Sheet'!B855, "m: ", O853, I853, "% ", "Siltstone, ", Q853, 'Input Sheet'!C855, "% ", K853, " Sandstone "))</f>
        <v/>
      </c>
      <c r="C853" s="3" t="str">
        <f>IF('Input Sheet'!C855="","",CONCATENATE("Sample ", 'Input Sheet'!B855, "m: ", N853,, L853, K853, " FLUOR in SST. ", "TG ", 'Input Sheet'!I855, "U"))</f>
        <v/>
      </c>
      <c r="H853" s="6" t="str">
        <f>IF('Input Sheet'!C855="","",100-'Input Sheet'!C855)</f>
        <v/>
      </c>
      <c r="I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3" s="6" t="str">
        <f t="shared" si="13"/>
        <v/>
      </c>
      <c r="K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3" s="6" t="str">
        <f>IF('Input Sheet'!F855=0, "NO",CONCATENATE('Input Sheet'!F855, IF('Input Sheet'!F855&gt;0,"% ","")))</f>
        <v>NO</v>
      </c>
      <c r="M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3" s="6" t="str">
        <f>CONCATENATE(M853, IF('Input Sheet'!J855="",""," siderite in "))</f>
        <v/>
      </c>
      <c r="O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3" s="6" t="str">
        <f>CONCATENATE(O853, IF('Input Sheet'!K855="",""," siderite in "))</f>
        <v/>
      </c>
    </row>
    <row r="854" spans="1:16" x14ac:dyDescent="0.25">
      <c r="A854" s="17" t="str">
        <f>IF('Input Sheet'!C856="","",CONCATENATE("Sample ", 'Input Sheet'!B856, "m: ", N854, H854, "% ", "Siltstone, ", P854, 'Input Sheet'!C856, "% ", J854, " Sandstone, ", L854, K854, " FLUOR in SST. ", "TG ", 'Input Sheet'!I856, "U"))</f>
        <v/>
      </c>
      <c r="B854" s="3" t="str">
        <f>IF('Input Sheet'!C856="","",CONCATENATE("Sample ", 'Input Sheet'!B856, "m: ", O854, I854, "% ", "Siltstone, ", Q854, 'Input Sheet'!C856, "% ", K854, " Sandstone "))</f>
        <v/>
      </c>
      <c r="C854" s="3" t="str">
        <f>IF('Input Sheet'!C856="","",CONCATENATE("Sample ", 'Input Sheet'!B856, "m: ", N854,, L854, K854, " FLUOR in SST. ", "TG ", 'Input Sheet'!I856, "U"))</f>
        <v/>
      </c>
      <c r="H854" s="6" t="str">
        <f>IF('Input Sheet'!C856="","",100-'Input Sheet'!C856)</f>
        <v/>
      </c>
      <c r="I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4" s="6" t="str">
        <f t="shared" si="13"/>
        <v/>
      </c>
      <c r="K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4" s="6" t="str">
        <f>IF('Input Sheet'!F856=0, "NO",CONCATENATE('Input Sheet'!F856, IF('Input Sheet'!F856&gt;0,"% ","")))</f>
        <v>NO</v>
      </c>
      <c r="M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4" s="6" t="str">
        <f>CONCATENATE(M854, IF('Input Sheet'!J856="",""," siderite in "))</f>
        <v/>
      </c>
      <c r="O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4" s="6" t="str">
        <f>CONCATENATE(O854, IF('Input Sheet'!K856="",""," siderite in "))</f>
        <v/>
      </c>
    </row>
    <row r="855" spans="1:16" x14ac:dyDescent="0.25">
      <c r="A855" s="17" t="str">
        <f>IF('Input Sheet'!C857="","",CONCATENATE("Sample ", 'Input Sheet'!B857, "m: ", N855, H855, "% ", "Siltstone, ", P855, 'Input Sheet'!C857, "% ", J855, " Sandstone, ", L855, K855, " FLUOR in SST. ", "TG ", 'Input Sheet'!I857, "U"))</f>
        <v/>
      </c>
      <c r="B855" s="3" t="str">
        <f>IF('Input Sheet'!C857="","",CONCATENATE("Sample ", 'Input Sheet'!B857, "m: ", O855, I855, "% ", "Siltstone, ", Q855, 'Input Sheet'!C857, "% ", K855, " Sandstone "))</f>
        <v/>
      </c>
      <c r="C855" s="3" t="str">
        <f>IF('Input Sheet'!C857="","",CONCATENATE("Sample ", 'Input Sheet'!B857, "m: ", N855,, L855, K855, " FLUOR in SST. ", "TG ", 'Input Sheet'!I857, "U"))</f>
        <v/>
      </c>
      <c r="H855" s="6" t="str">
        <f>IF('Input Sheet'!C857="","",100-'Input Sheet'!C857)</f>
        <v/>
      </c>
      <c r="I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5" s="6" t="str">
        <f t="shared" si="13"/>
        <v/>
      </c>
      <c r="K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5" s="6" t="str">
        <f>IF('Input Sheet'!F857=0, "NO",CONCATENATE('Input Sheet'!F857, IF('Input Sheet'!F857&gt;0,"% ","")))</f>
        <v>NO</v>
      </c>
      <c r="M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5" s="6" t="str">
        <f>CONCATENATE(M855, IF('Input Sheet'!J857="",""," siderite in "))</f>
        <v/>
      </c>
      <c r="O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5" s="6" t="str">
        <f>CONCATENATE(O855, IF('Input Sheet'!K857="",""," siderite in "))</f>
        <v/>
      </c>
    </row>
    <row r="856" spans="1:16" x14ac:dyDescent="0.25">
      <c r="A856" s="17" t="str">
        <f>IF('Input Sheet'!C858="","",CONCATENATE("Sample ", 'Input Sheet'!B858, "m: ", N856, H856, "% ", "Siltstone, ", P856, 'Input Sheet'!C858, "% ", J856, " Sandstone, ", L856, K856, " FLUOR in SST. ", "TG ", 'Input Sheet'!I858, "U"))</f>
        <v/>
      </c>
      <c r="B856" s="3" t="str">
        <f>IF('Input Sheet'!C858="","",CONCATENATE("Sample ", 'Input Sheet'!B858, "m: ", O856, I856, "% ", "Siltstone, ", Q856, 'Input Sheet'!C858, "% ", K856, " Sandstone "))</f>
        <v/>
      </c>
      <c r="C856" s="3" t="str">
        <f>IF('Input Sheet'!C858="","",CONCATENATE("Sample ", 'Input Sheet'!B858, "m: ", N856,, L856, K856, " FLUOR in SST. ", "TG ", 'Input Sheet'!I858, "U"))</f>
        <v/>
      </c>
      <c r="H856" s="6" t="str">
        <f>IF('Input Sheet'!C858="","",100-'Input Sheet'!C858)</f>
        <v/>
      </c>
      <c r="I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6" s="6" t="str">
        <f t="shared" si="13"/>
        <v/>
      </c>
      <c r="K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6" s="6" t="str">
        <f>IF('Input Sheet'!F858=0, "NO",CONCATENATE('Input Sheet'!F858, IF('Input Sheet'!F858&gt;0,"% ","")))</f>
        <v>NO</v>
      </c>
      <c r="M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6" s="6" t="str">
        <f>CONCATENATE(M856, IF('Input Sheet'!J858="",""," siderite in "))</f>
        <v/>
      </c>
      <c r="O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6" s="6" t="str">
        <f>CONCATENATE(O856, IF('Input Sheet'!K858="",""," siderite in "))</f>
        <v/>
      </c>
    </row>
    <row r="857" spans="1:16" x14ac:dyDescent="0.25">
      <c r="A857" s="17" t="str">
        <f>IF('Input Sheet'!C859="","",CONCATENATE("Sample ", 'Input Sheet'!B859, "m: ", N857, H857, "% ", "Siltstone, ", P857, 'Input Sheet'!C859, "% ", J857, " Sandstone, ", L857, K857, " FLUOR in SST. ", "TG ", 'Input Sheet'!I859, "U"))</f>
        <v/>
      </c>
      <c r="B857" s="3" t="str">
        <f>IF('Input Sheet'!C859="","",CONCATENATE("Sample ", 'Input Sheet'!B859, "m: ", O857, I857, "% ", "Siltstone, ", Q857, 'Input Sheet'!C859, "% ", K857, " Sandstone "))</f>
        <v/>
      </c>
      <c r="C857" s="3" t="str">
        <f>IF('Input Sheet'!C859="","",CONCATENATE("Sample ", 'Input Sheet'!B859, "m: ", N857,, L857, K857, " FLUOR in SST. ", "TG ", 'Input Sheet'!I859, "U"))</f>
        <v/>
      </c>
      <c r="H857" s="6" t="str">
        <f>IF('Input Sheet'!C859="","",100-'Input Sheet'!C859)</f>
        <v/>
      </c>
      <c r="I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7" s="6" t="str">
        <f t="shared" si="13"/>
        <v/>
      </c>
      <c r="K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7" s="6" t="str">
        <f>IF('Input Sheet'!F859=0, "NO",CONCATENATE('Input Sheet'!F859, IF('Input Sheet'!F859&gt;0,"% ","")))</f>
        <v>NO</v>
      </c>
      <c r="M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7" s="6" t="str">
        <f>CONCATENATE(M857, IF('Input Sheet'!J859="",""," siderite in "))</f>
        <v/>
      </c>
      <c r="O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7" s="6" t="str">
        <f>CONCATENATE(O857, IF('Input Sheet'!K859="",""," siderite in "))</f>
        <v/>
      </c>
    </row>
    <row r="858" spans="1:16" x14ac:dyDescent="0.25">
      <c r="A858" s="17" t="str">
        <f>IF('Input Sheet'!C860="","",CONCATENATE("Sample ", 'Input Sheet'!B860, "m: ", N858, H858, "% ", "Siltstone, ", P858, 'Input Sheet'!C860, "% ", J858, " Sandstone, ", L858, K858, " FLUOR in SST. ", "TG ", 'Input Sheet'!I860, "U"))</f>
        <v/>
      </c>
      <c r="B858" s="3" t="str">
        <f>IF('Input Sheet'!C860="","",CONCATENATE("Sample ", 'Input Sheet'!B860, "m: ", O858, I858, "% ", "Siltstone, ", Q858, 'Input Sheet'!C860, "% ", K858, " Sandstone "))</f>
        <v/>
      </c>
      <c r="C858" s="3" t="str">
        <f>IF('Input Sheet'!C860="","",CONCATENATE("Sample ", 'Input Sheet'!B860, "m: ", N858,, L858, K858, " FLUOR in SST. ", "TG ", 'Input Sheet'!I860, "U"))</f>
        <v/>
      </c>
      <c r="H858" s="6" t="str">
        <f>IF('Input Sheet'!C860="","",100-'Input Sheet'!C860)</f>
        <v/>
      </c>
      <c r="I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8" s="6" t="str">
        <f t="shared" si="13"/>
        <v/>
      </c>
      <c r="K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8" s="6" t="str">
        <f>IF('Input Sheet'!F860=0, "NO",CONCATENATE('Input Sheet'!F860, IF('Input Sheet'!F860&gt;0,"% ","")))</f>
        <v>NO</v>
      </c>
      <c r="M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8" s="6" t="str">
        <f>CONCATENATE(M858, IF('Input Sheet'!J860="",""," siderite in "))</f>
        <v/>
      </c>
      <c r="O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8" s="6" t="str">
        <f>CONCATENATE(O858, IF('Input Sheet'!K860="",""," siderite in "))</f>
        <v/>
      </c>
    </row>
    <row r="859" spans="1:16" x14ac:dyDescent="0.25">
      <c r="A859" s="17" t="str">
        <f>IF('Input Sheet'!C861="","",CONCATENATE("Sample ", 'Input Sheet'!B861, "m: ", N859, H859, "% ", "Siltstone, ", P859, 'Input Sheet'!C861, "% ", J859, " Sandstone, ", L859, K859, " FLUOR in SST. ", "TG ", 'Input Sheet'!I861, "U"))</f>
        <v/>
      </c>
      <c r="B859" s="3" t="str">
        <f>IF('Input Sheet'!C861="","",CONCATENATE("Sample ", 'Input Sheet'!B861, "m: ", O859, I859, "% ", "Siltstone, ", Q859, 'Input Sheet'!C861, "% ", K859, " Sandstone "))</f>
        <v/>
      </c>
      <c r="C859" s="3" t="str">
        <f>IF('Input Sheet'!C861="","",CONCATENATE("Sample ", 'Input Sheet'!B861, "m: ", N859,, L859, K859, " FLUOR in SST. ", "TG ", 'Input Sheet'!I861, "U"))</f>
        <v/>
      </c>
      <c r="H859" s="6" t="str">
        <f>IF('Input Sheet'!C861="","",100-'Input Sheet'!C861)</f>
        <v/>
      </c>
      <c r="I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59" s="6" t="str">
        <f t="shared" si="13"/>
        <v/>
      </c>
      <c r="K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59" s="6" t="str">
        <f>IF('Input Sheet'!F861=0, "NO",CONCATENATE('Input Sheet'!F861, IF('Input Sheet'!F861&gt;0,"% ","")))</f>
        <v>NO</v>
      </c>
      <c r="M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59" s="6" t="str">
        <f>CONCATENATE(M859, IF('Input Sheet'!J861="",""," siderite in "))</f>
        <v/>
      </c>
      <c r="O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59" s="6" t="str">
        <f>CONCATENATE(O859, IF('Input Sheet'!K861="",""," siderite in "))</f>
        <v/>
      </c>
    </row>
    <row r="860" spans="1:16" x14ac:dyDescent="0.25">
      <c r="A860" s="17" t="str">
        <f>IF('Input Sheet'!C862="","",CONCATENATE("Sample ", 'Input Sheet'!B862, "m: ", N860, H860, "% ", "Siltstone, ", P860, 'Input Sheet'!C862, "% ", J860, " Sandstone, ", L860, K860, " FLUOR in SST. ", "TG ", 'Input Sheet'!I862, "U"))</f>
        <v/>
      </c>
      <c r="B860" s="3" t="str">
        <f>IF('Input Sheet'!C862="","",CONCATENATE("Sample ", 'Input Sheet'!B862, "m: ", O860, I860, "% ", "Siltstone, ", Q860, 'Input Sheet'!C862, "% ", K860, " Sandstone "))</f>
        <v/>
      </c>
      <c r="C860" s="3" t="str">
        <f>IF('Input Sheet'!C862="","",CONCATENATE("Sample ", 'Input Sheet'!B862, "m: ", N860,, L860, K860, " FLUOR in SST. ", "TG ", 'Input Sheet'!I862, "U"))</f>
        <v/>
      </c>
      <c r="H860" s="6" t="str">
        <f>IF('Input Sheet'!C862="","",100-'Input Sheet'!C862)</f>
        <v/>
      </c>
      <c r="I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0" s="6" t="str">
        <f t="shared" si="13"/>
        <v/>
      </c>
      <c r="K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0" s="6" t="str">
        <f>IF('Input Sheet'!F862=0, "NO",CONCATENATE('Input Sheet'!F862, IF('Input Sheet'!F862&gt;0,"% ","")))</f>
        <v>NO</v>
      </c>
      <c r="M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0" s="6" t="str">
        <f>CONCATENATE(M860, IF('Input Sheet'!J862="",""," siderite in "))</f>
        <v/>
      </c>
      <c r="O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0" s="6" t="str">
        <f>CONCATENATE(O860, IF('Input Sheet'!K862="",""," siderite in "))</f>
        <v/>
      </c>
    </row>
    <row r="861" spans="1:16" x14ac:dyDescent="0.25">
      <c r="A861" s="17" t="str">
        <f>IF('Input Sheet'!C863="","",CONCATENATE("Sample ", 'Input Sheet'!B863, "m: ", N861, H861, "% ", "Siltstone, ", P861, 'Input Sheet'!C863, "% ", J861, " Sandstone, ", L861, K861, " FLUOR in SST. ", "TG ", 'Input Sheet'!I863, "U"))</f>
        <v/>
      </c>
      <c r="B861" s="3" t="str">
        <f>IF('Input Sheet'!C863="","",CONCATENATE("Sample ", 'Input Sheet'!B863, "m: ", O861, I861, "% ", "Siltstone, ", Q861, 'Input Sheet'!C863, "% ", K861, " Sandstone "))</f>
        <v/>
      </c>
      <c r="C861" s="3" t="str">
        <f>IF('Input Sheet'!C863="","",CONCATENATE("Sample ", 'Input Sheet'!B863, "m: ", N861,, L861, K861, " FLUOR in SST. ", "TG ", 'Input Sheet'!I863, "U"))</f>
        <v/>
      </c>
      <c r="H861" s="6" t="str">
        <f>IF('Input Sheet'!C863="","",100-'Input Sheet'!C863)</f>
        <v/>
      </c>
      <c r="I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1" s="6" t="str">
        <f t="shared" si="13"/>
        <v/>
      </c>
      <c r="K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1" s="6" t="str">
        <f>IF('Input Sheet'!F863=0, "NO",CONCATENATE('Input Sheet'!F863, IF('Input Sheet'!F863&gt;0,"% ","")))</f>
        <v>NO</v>
      </c>
      <c r="M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1" s="6" t="str">
        <f>CONCATENATE(M861, IF('Input Sheet'!J863="",""," siderite in "))</f>
        <v/>
      </c>
      <c r="O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1" s="6" t="str">
        <f>CONCATENATE(O861, IF('Input Sheet'!K863="",""," siderite in "))</f>
        <v/>
      </c>
    </row>
    <row r="862" spans="1:16" x14ac:dyDescent="0.25">
      <c r="A862" s="17" t="str">
        <f>IF('Input Sheet'!C864="","",CONCATENATE("Sample ", 'Input Sheet'!B864, "m: ", N862, H862, "% ", "Siltstone, ", P862, 'Input Sheet'!C864, "% ", J862, " Sandstone, ", L862, K862, " FLUOR in SST. ", "TG ", 'Input Sheet'!I864, "U"))</f>
        <v/>
      </c>
      <c r="B862" s="3" t="str">
        <f>IF('Input Sheet'!C864="","",CONCATENATE("Sample ", 'Input Sheet'!B864, "m: ", O862, I862, "% ", "Siltstone, ", Q862, 'Input Sheet'!C864, "% ", K862, " Sandstone "))</f>
        <v/>
      </c>
      <c r="C862" s="3" t="str">
        <f>IF('Input Sheet'!C864="","",CONCATENATE("Sample ", 'Input Sheet'!B864, "m: ", N862,, L862, K862, " FLUOR in SST. ", "TG ", 'Input Sheet'!I864, "U"))</f>
        <v/>
      </c>
      <c r="H862" s="6" t="str">
        <f>IF('Input Sheet'!C864="","",100-'Input Sheet'!C864)</f>
        <v/>
      </c>
      <c r="I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2" s="6" t="str">
        <f t="shared" si="13"/>
        <v/>
      </c>
      <c r="K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2" s="6" t="str">
        <f>IF('Input Sheet'!F864=0, "NO",CONCATENATE('Input Sheet'!F864, IF('Input Sheet'!F864&gt;0,"% ","")))</f>
        <v>NO</v>
      </c>
      <c r="M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2" s="6" t="str">
        <f>CONCATENATE(M862, IF('Input Sheet'!J864="",""," siderite in "))</f>
        <v/>
      </c>
      <c r="O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2" s="6" t="str">
        <f>CONCATENATE(O862, IF('Input Sheet'!K864="",""," siderite in "))</f>
        <v/>
      </c>
    </row>
    <row r="863" spans="1:16" x14ac:dyDescent="0.25">
      <c r="A863" s="17" t="str">
        <f>IF('Input Sheet'!C865="","",CONCATENATE("Sample ", 'Input Sheet'!B865, "m: ", N863, H863, "% ", "Siltstone, ", P863, 'Input Sheet'!C865, "% ", J863, " Sandstone, ", L863, K863, " FLUOR in SST. ", "TG ", 'Input Sheet'!I865, "U"))</f>
        <v/>
      </c>
      <c r="B863" s="3" t="str">
        <f>IF('Input Sheet'!C865="","",CONCATENATE("Sample ", 'Input Sheet'!B865, "m: ", O863, I863, "% ", "Siltstone, ", Q863, 'Input Sheet'!C865, "% ", K863, " Sandstone "))</f>
        <v/>
      </c>
      <c r="C863" s="3" t="str">
        <f>IF('Input Sheet'!C865="","",CONCATENATE("Sample ", 'Input Sheet'!B865, "m: ", N863,, L863, K863, " FLUOR in SST. ", "TG ", 'Input Sheet'!I865, "U"))</f>
        <v/>
      </c>
      <c r="H863" s="6" t="str">
        <f>IF('Input Sheet'!C865="","",100-'Input Sheet'!C865)</f>
        <v/>
      </c>
      <c r="I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3" s="6" t="str">
        <f t="shared" si="13"/>
        <v/>
      </c>
      <c r="K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3" s="6" t="str">
        <f>IF('Input Sheet'!F865=0, "NO",CONCATENATE('Input Sheet'!F865, IF('Input Sheet'!F865&gt;0,"% ","")))</f>
        <v>NO</v>
      </c>
      <c r="M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3" s="6" t="str">
        <f>CONCATENATE(M863, IF('Input Sheet'!J865="",""," siderite in "))</f>
        <v/>
      </c>
      <c r="O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3" s="6" t="str">
        <f>CONCATENATE(O863, IF('Input Sheet'!K865="",""," siderite in "))</f>
        <v/>
      </c>
    </row>
    <row r="864" spans="1:16" x14ac:dyDescent="0.25">
      <c r="A864" s="17" t="str">
        <f>IF('Input Sheet'!C866="","",CONCATENATE("Sample ", 'Input Sheet'!B866, "m: ", N864, H864, "% ", "Siltstone, ", P864, 'Input Sheet'!C866, "% ", J864, " Sandstone, ", L864, K864, " FLUOR in SST. ", "TG ", 'Input Sheet'!I866, "U"))</f>
        <v/>
      </c>
      <c r="B864" s="3" t="str">
        <f>IF('Input Sheet'!C866="","",CONCATENATE("Sample ", 'Input Sheet'!B866, "m: ", O864, I864, "% ", "Siltstone, ", Q864, 'Input Sheet'!C866, "% ", K864, " Sandstone "))</f>
        <v/>
      </c>
      <c r="C864" s="3" t="str">
        <f>IF('Input Sheet'!C866="","",CONCATENATE("Sample ", 'Input Sheet'!B866, "m: ", N864,, L864, K864, " FLUOR in SST. ", "TG ", 'Input Sheet'!I866, "U"))</f>
        <v/>
      </c>
      <c r="H864" s="6" t="str">
        <f>IF('Input Sheet'!C866="","",100-'Input Sheet'!C866)</f>
        <v/>
      </c>
      <c r="I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4" s="6" t="str">
        <f t="shared" si="13"/>
        <v/>
      </c>
      <c r="K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4" s="6" t="str">
        <f>IF('Input Sheet'!F866=0, "NO",CONCATENATE('Input Sheet'!F866, IF('Input Sheet'!F866&gt;0,"% ","")))</f>
        <v>NO</v>
      </c>
      <c r="M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4" s="6" t="str">
        <f>CONCATENATE(M864, IF('Input Sheet'!J866="",""," siderite in "))</f>
        <v/>
      </c>
      <c r="O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4" s="6" t="str">
        <f>CONCATENATE(O864, IF('Input Sheet'!K866="",""," siderite in "))</f>
        <v/>
      </c>
    </row>
    <row r="865" spans="1:16" x14ac:dyDescent="0.25">
      <c r="A865" s="17" t="str">
        <f>IF('Input Sheet'!C867="","",CONCATENATE("Sample ", 'Input Sheet'!B867, "m: ", N865, H865, "% ", "Siltstone, ", P865, 'Input Sheet'!C867, "% ", J865, " Sandstone, ", L865, K865, " FLUOR in SST. ", "TG ", 'Input Sheet'!I867, "U"))</f>
        <v/>
      </c>
      <c r="B865" s="3" t="str">
        <f>IF('Input Sheet'!C867="","",CONCATENATE("Sample ", 'Input Sheet'!B867, "m: ", O865, I865, "% ", "Siltstone, ", Q865, 'Input Sheet'!C867, "% ", K865, " Sandstone "))</f>
        <v/>
      </c>
      <c r="C865" s="3" t="str">
        <f>IF('Input Sheet'!C867="","",CONCATENATE("Sample ", 'Input Sheet'!B867, "m: ", N865,, L865, K865, " FLUOR in SST. ", "TG ", 'Input Sheet'!I867, "U"))</f>
        <v/>
      </c>
      <c r="H865" s="6" t="str">
        <f>IF('Input Sheet'!C867="","",100-'Input Sheet'!C867)</f>
        <v/>
      </c>
      <c r="I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5" s="6" t="str">
        <f t="shared" si="13"/>
        <v/>
      </c>
      <c r="K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5" s="6" t="str">
        <f>IF('Input Sheet'!F867=0, "NO",CONCATENATE('Input Sheet'!F867, IF('Input Sheet'!F867&gt;0,"% ","")))</f>
        <v>NO</v>
      </c>
      <c r="M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5" s="6" t="str">
        <f>CONCATENATE(M865, IF('Input Sheet'!J867="",""," siderite in "))</f>
        <v/>
      </c>
      <c r="O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5" s="6" t="str">
        <f>CONCATENATE(O865, IF('Input Sheet'!K867="",""," siderite in "))</f>
        <v/>
      </c>
    </row>
    <row r="866" spans="1:16" x14ac:dyDescent="0.25">
      <c r="A866" s="17" t="str">
        <f>IF('Input Sheet'!C868="","",CONCATENATE("Sample ", 'Input Sheet'!B868, "m: ", N866, H866, "% ", "Siltstone, ", P866, 'Input Sheet'!C868, "% ", J866, " Sandstone, ", L866, K866, " FLUOR in SST. ", "TG ", 'Input Sheet'!I868, "U"))</f>
        <v/>
      </c>
      <c r="B866" s="3" t="str">
        <f>IF('Input Sheet'!C868="","",CONCATENATE("Sample ", 'Input Sheet'!B868, "m: ", O866, I866, "% ", "Siltstone, ", Q866, 'Input Sheet'!C868, "% ", K866, " Sandstone "))</f>
        <v/>
      </c>
      <c r="C866" s="3" t="str">
        <f>IF('Input Sheet'!C868="","",CONCATENATE("Sample ", 'Input Sheet'!B868, "m: ", N866,, L866, K866, " FLUOR in SST. ", "TG ", 'Input Sheet'!I868, "U"))</f>
        <v/>
      </c>
      <c r="H866" s="6" t="str">
        <f>IF('Input Sheet'!C868="","",100-'Input Sheet'!C868)</f>
        <v/>
      </c>
      <c r="I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6" s="6" t="str">
        <f t="shared" si="13"/>
        <v/>
      </c>
      <c r="K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6" s="6" t="str">
        <f>IF('Input Sheet'!F868=0, "NO",CONCATENATE('Input Sheet'!F868, IF('Input Sheet'!F868&gt;0,"% ","")))</f>
        <v>NO</v>
      </c>
      <c r="M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6" s="6" t="str">
        <f>CONCATENATE(M866, IF('Input Sheet'!J868="",""," siderite in "))</f>
        <v/>
      </c>
      <c r="O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6" s="6" t="str">
        <f>CONCATENATE(O866, IF('Input Sheet'!K868="",""," siderite in "))</f>
        <v/>
      </c>
    </row>
    <row r="867" spans="1:16" x14ac:dyDescent="0.25">
      <c r="A867" s="17" t="str">
        <f>IF('Input Sheet'!C869="","",CONCATENATE("Sample ", 'Input Sheet'!B869, "m: ", N867, H867, "% ", "Siltstone, ", P867, 'Input Sheet'!C869, "% ", J867, " Sandstone, ", L867, K867, " FLUOR in SST. ", "TG ", 'Input Sheet'!I869, "U"))</f>
        <v/>
      </c>
      <c r="B867" s="3" t="str">
        <f>IF('Input Sheet'!C869="","",CONCATENATE("Sample ", 'Input Sheet'!B869, "m: ", O867, I867, "% ", "Siltstone, ", Q867, 'Input Sheet'!C869, "% ", K867, " Sandstone "))</f>
        <v/>
      </c>
      <c r="C867" s="3" t="str">
        <f>IF('Input Sheet'!C869="","",CONCATENATE("Sample ", 'Input Sheet'!B869, "m: ", N867,, L867, K867, " FLUOR in SST. ", "TG ", 'Input Sheet'!I869, "U"))</f>
        <v/>
      </c>
      <c r="H867" s="6" t="str">
        <f>IF('Input Sheet'!C869="","",100-'Input Sheet'!C869)</f>
        <v/>
      </c>
      <c r="I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7" s="6" t="str">
        <f t="shared" si="13"/>
        <v/>
      </c>
      <c r="K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7" s="6" t="str">
        <f>IF('Input Sheet'!F869=0, "NO",CONCATENATE('Input Sheet'!F869, IF('Input Sheet'!F869&gt;0,"% ","")))</f>
        <v>NO</v>
      </c>
      <c r="M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7" s="6" t="str">
        <f>CONCATENATE(M867, IF('Input Sheet'!J869="",""," siderite in "))</f>
        <v/>
      </c>
      <c r="O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7" s="6" t="str">
        <f>CONCATENATE(O867, IF('Input Sheet'!K869="",""," siderite in "))</f>
        <v/>
      </c>
    </row>
    <row r="868" spans="1:16" x14ac:dyDescent="0.25">
      <c r="A868" s="17" t="str">
        <f>IF('Input Sheet'!C870="","",CONCATENATE("Sample ", 'Input Sheet'!B870, "m: ", N868, H868, "% ", "Siltstone, ", P868, 'Input Sheet'!C870, "% ", J868, " Sandstone, ", L868, K868, " FLUOR in SST. ", "TG ", 'Input Sheet'!I870, "U"))</f>
        <v/>
      </c>
      <c r="B868" s="3" t="str">
        <f>IF('Input Sheet'!C870="","",CONCATENATE("Sample ", 'Input Sheet'!B870, "m: ", O868, I868, "% ", "Siltstone, ", Q868, 'Input Sheet'!C870, "% ", K868, " Sandstone "))</f>
        <v/>
      </c>
      <c r="C868" s="3" t="str">
        <f>IF('Input Sheet'!C870="","",CONCATENATE("Sample ", 'Input Sheet'!B870, "m: ", N868,, L868, K868, " FLUOR in SST. ", "TG ", 'Input Sheet'!I870, "U"))</f>
        <v/>
      </c>
      <c r="H868" s="6" t="str">
        <f>IF('Input Sheet'!C870="","",100-'Input Sheet'!C870)</f>
        <v/>
      </c>
      <c r="I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8" s="6" t="str">
        <f t="shared" si="13"/>
        <v/>
      </c>
      <c r="K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8" s="6" t="str">
        <f>IF('Input Sheet'!F870=0, "NO",CONCATENATE('Input Sheet'!F870, IF('Input Sheet'!F870&gt;0,"% ","")))</f>
        <v>NO</v>
      </c>
      <c r="M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8" s="6" t="str">
        <f>CONCATENATE(M868, IF('Input Sheet'!J870="",""," siderite in "))</f>
        <v/>
      </c>
      <c r="O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8" s="6" t="str">
        <f>CONCATENATE(O868, IF('Input Sheet'!K870="",""," siderite in "))</f>
        <v/>
      </c>
    </row>
    <row r="869" spans="1:16" x14ac:dyDescent="0.25">
      <c r="A869" s="17" t="str">
        <f>IF('Input Sheet'!C871="","",CONCATENATE("Sample ", 'Input Sheet'!B871, "m: ", N869, H869, "% ", "Siltstone, ", P869, 'Input Sheet'!C871, "% ", J869, " Sandstone, ", L869, K869, " FLUOR in SST. ", "TG ", 'Input Sheet'!I871, "U"))</f>
        <v/>
      </c>
      <c r="B869" s="3" t="str">
        <f>IF('Input Sheet'!C871="","",CONCATENATE("Sample ", 'Input Sheet'!B871, "m: ", O869, I869, "% ", "Siltstone, ", Q869, 'Input Sheet'!C871, "% ", K869, " Sandstone "))</f>
        <v/>
      </c>
      <c r="C869" s="3" t="str">
        <f>IF('Input Sheet'!C871="","",CONCATENATE("Sample ", 'Input Sheet'!B871, "m: ", N869,, L869, K869, " FLUOR in SST. ", "TG ", 'Input Sheet'!I871, "U"))</f>
        <v/>
      </c>
      <c r="H869" s="6" t="str">
        <f>IF('Input Sheet'!C871="","",100-'Input Sheet'!C871)</f>
        <v/>
      </c>
      <c r="I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69" s="6" t="str">
        <f t="shared" si="13"/>
        <v/>
      </c>
      <c r="K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69" s="6" t="str">
        <f>IF('Input Sheet'!F871=0, "NO",CONCATENATE('Input Sheet'!F871, IF('Input Sheet'!F871&gt;0,"% ","")))</f>
        <v>NO</v>
      </c>
      <c r="M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69" s="6" t="str">
        <f>CONCATENATE(M869, IF('Input Sheet'!J871="",""," siderite in "))</f>
        <v/>
      </c>
      <c r="O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69" s="6" t="str">
        <f>CONCATENATE(O869, IF('Input Sheet'!K871="",""," siderite in "))</f>
        <v/>
      </c>
    </row>
    <row r="870" spans="1:16" x14ac:dyDescent="0.25">
      <c r="A870" s="17" t="str">
        <f>IF('Input Sheet'!C872="","",CONCATENATE("Sample ", 'Input Sheet'!B872, "m: ", N870, H870, "% ", "Siltstone, ", P870, 'Input Sheet'!C872, "% ", J870, " Sandstone, ", L870, K870, " FLUOR in SST. ", "TG ", 'Input Sheet'!I872, "U"))</f>
        <v/>
      </c>
      <c r="B870" s="3" t="str">
        <f>IF('Input Sheet'!C872="","",CONCATENATE("Sample ", 'Input Sheet'!B872, "m: ", O870, I870, "% ", "Siltstone, ", Q870, 'Input Sheet'!C872, "% ", K870, " Sandstone "))</f>
        <v/>
      </c>
      <c r="C870" s="3" t="str">
        <f>IF('Input Sheet'!C872="","",CONCATENATE("Sample ", 'Input Sheet'!B872, "m: ", N870,, L870, K870, " FLUOR in SST. ", "TG ", 'Input Sheet'!I872, "U"))</f>
        <v/>
      </c>
      <c r="H870" s="6" t="str">
        <f>IF('Input Sheet'!C872="","",100-'Input Sheet'!C872)</f>
        <v/>
      </c>
      <c r="I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0" s="6" t="str">
        <f t="shared" si="13"/>
        <v/>
      </c>
      <c r="K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0" s="6" t="str">
        <f>IF('Input Sheet'!F872=0, "NO",CONCATENATE('Input Sheet'!F872, IF('Input Sheet'!F872&gt;0,"% ","")))</f>
        <v>NO</v>
      </c>
      <c r="M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0" s="6" t="str">
        <f>CONCATENATE(M870, IF('Input Sheet'!J872="",""," siderite in "))</f>
        <v/>
      </c>
      <c r="O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0" s="6" t="str">
        <f>CONCATENATE(O870, IF('Input Sheet'!K872="",""," siderite in "))</f>
        <v/>
      </c>
    </row>
    <row r="871" spans="1:16" x14ac:dyDescent="0.25">
      <c r="A871" s="17" t="str">
        <f>IF('Input Sheet'!C873="","",CONCATENATE("Sample ", 'Input Sheet'!B873, "m: ", N871, H871, "% ", "Siltstone, ", P871, 'Input Sheet'!C873, "% ", J871, " Sandstone, ", L871, K871, " FLUOR in SST. ", "TG ", 'Input Sheet'!I873, "U"))</f>
        <v/>
      </c>
      <c r="B871" s="3" t="str">
        <f>IF('Input Sheet'!C873="","",CONCATENATE("Sample ", 'Input Sheet'!B873, "m: ", O871, I871, "% ", "Siltstone, ", Q871, 'Input Sheet'!C873, "% ", K871, " Sandstone "))</f>
        <v/>
      </c>
      <c r="C871" s="3" t="str">
        <f>IF('Input Sheet'!C873="","",CONCATENATE("Sample ", 'Input Sheet'!B873, "m: ", N871,, L871, K871, " FLUOR in SST. ", "TG ", 'Input Sheet'!I873, "U"))</f>
        <v/>
      </c>
      <c r="H871" s="6" t="str">
        <f>IF('Input Sheet'!C873="","",100-'Input Sheet'!C873)</f>
        <v/>
      </c>
      <c r="I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1" s="6" t="str">
        <f t="shared" si="13"/>
        <v/>
      </c>
      <c r="K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1" s="6" t="str">
        <f>IF('Input Sheet'!F873=0, "NO",CONCATENATE('Input Sheet'!F873, IF('Input Sheet'!F873&gt;0,"% ","")))</f>
        <v>NO</v>
      </c>
      <c r="M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1" s="6" t="str">
        <f>CONCATENATE(M871, IF('Input Sheet'!J873="",""," siderite in "))</f>
        <v/>
      </c>
      <c r="O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1" s="6" t="str">
        <f>CONCATENATE(O871, IF('Input Sheet'!K873="",""," siderite in "))</f>
        <v/>
      </c>
    </row>
    <row r="872" spans="1:16" x14ac:dyDescent="0.25">
      <c r="A872" s="17" t="str">
        <f>IF('Input Sheet'!C874="","",CONCATENATE("Sample ", 'Input Sheet'!B874, "m: ", N872, H872, "% ", "Siltstone, ", P872, 'Input Sheet'!C874, "% ", J872, " Sandstone, ", L872, K872, " FLUOR in SST. ", "TG ", 'Input Sheet'!I874, "U"))</f>
        <v/>
      </c>
      <c r="B872" s="3" t="str">
        <f>IF('Input Sheet'!C874="","",CONCATENATE("Sample ", 'Input Sheet'!B874, "m: ", O872, I872, "% ", "Siltstone, ", Q872, 'Input Sheet'!C874, "% ", K872, " Sandstone "))</f>
        <v/>
      </c>
      <c r="C872" s="3" t="str">
        <f>IF('Input Sheet'!C874="","",CONCATENATE("Sample ", 'Input Sheet'!B874, "m: ", N872,, L872, K872, " FLUOR in SST. ", "TG ", 'Input Sheet'!I874, "U"))</f>
        <v/>
      </c>
      <c r="H872" s="6" t="str">
        <f>IF('Input Sheet'!C874="","",100-'Input Sheet'!C874)</f>
        <v/>
      </c>
      <c r="I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2" s="6" t="str">
        <f t="shared" si="13"/>
        <v/>
      </c>
      <c r="K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2" s="6" t="str">
        <f>IF('Input Sheet'!F874=0, "NO",CONCATENATE('Input Sheet'!F874, IF('Input Sheet'!F874&gt;0,"% ","")))</f>
        <v>NO</v>
      </c>
      <c r="M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2" s="6" t="str">
        <f>CONCATENATE(M872, IF('Input Sheet'!J874="",""," siderite in "))</f>
        <v/>
      </c>
      <c r="O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2" s="6" t="str">
        <f>CONCATENATE(O872, IF('Input Sheet'!K874="",""," siderite in "))</f>
        <v/>
      </c>
    </row>
    <row r="873" spans="1:16" x14ac:dyDescent="0.25">
      <c r="A873" s="17" t="str">
        <f>IF('Input Sheet'!C875="","",CONCATENATE("Sample ", 'Input Sheet'!B875, "m: ", N873, H873, "% ", "Siltstone, ", P873, 'Input Sheet'!C875, "% ", J873, " Sandstone, ", L873, K873, " FLUOR in SST. ", "TG ", 'Input Sheet'!I875, "U"))</f>
        <v/>
      </c>
      <c r="B873" s="3" t="str">
        <f>IF('Input Sheet'!C875="","",CONCATENATE("Sample ", 'Input Sheet'!B875, "m: ", O873, I873, "% ", "Siltstone, ", Q873, 'Input Sheet'!C875, "% ", K873, " Sandstone "))</f>
        <v/>
      </c>
      <c r="C873" s="3" t="str">
        <f>IF('Input Sheet'!C875="","",CONCATENATE("Sample ", 'Input Sheet'!B875, "m: ", N873,, L873, K873, " FLUOR in SST. ", "TG ", 'Input Sheet'!I875, "U"))</f>
        <v/>
      </c>
      <c r="H873" s="6" t="str">
        <f>IF('Input Sheet'!C875="","",100-'Input Sheet'!C875)</f>
        <v/>
      </c>
      <c r="I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3" s="6" t="str">
        <f t="shared" si="13"/>
        <v/>
      </c>
      <c r="K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3" s="6" t="str">
        <f>IF('Input Sheet'!F875=0, "NO",CONCATENATE('Input Sheet'!F875, IF('Input Sheet'!F875&gt;0,"% ","")))</f>
        <v>NO</v>
      </c>
      <c r="M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3" s="6" t="str">
        <f>CONCATENATE(M873, IF('Input Sheet'!J875="",""," siderite in "))</f>
        <v/>
      </c>
      <c r="O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3" s="6" t="str">
        <f>CONCATENATE(O873, IF('Input Sheet'!K875="",""," siderite in "))</f>
        <v/>
      </c>
    </row>
    <row r="874" spans="1:16" x14ac:dyDescent="0.25">
      <c r="A874" s="17" t="str">
        <f>IF('Input Sheet'!C876="","",CONCATENATE("Sample ", 'Input Sheet'!B876, "m: ", N874, H874, "% ", "Siltstone, ", P874, 'Input Sheet'!C876, "% ", J874, " Sandstone, ", L874, K874, " FLUOR in SST. ", "TG ", 'Input Sheet'!I876, "U"))</f>
        <v/>
      </c>
      <c r="B874" s="3" t="str">
        <f>IF('Input Sheet'!C876="","",CONCATENATE("Sample ", 'Input Sheet'!B876, "m: ", O874, I874, "% ", "Siltstone, ", Q874, 'Input Sheet'!C876, "% ", K874, " Sandstone "))</f>
        <v/>
      </c>
      <c r="C874" s="3" t="str">
        <f>IF('Input Sheet'!C876="","",CONCATENATE("Sample ", 'Input Sheet'!B876, "m: ", N874,, L874, K874, " FLUOR in SST. ", "TG ", 'Input Sheet'!I876, "U"))</f>
        <v/>
      </c>
      <c r="H874" s="6" t="str">
        <f>IF('Input Sheet'!C876="","",100-'Input Sheet'!C876)</f>
        <v/>
      </c>
      <c r="I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4" s="6" t="str">
        <f t="shared" si="13"/>
        <v/>
      </c>
      <c r="K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4" s="6" t="str">
        <f>IF('Input Sheet'!F876=0, "NO",CONCATENATE('Input Sheet'!F876, IF('Input Sheet'!F876&gt;0,"% ","")))</f>
        <v>NO</v>
      </c>
      <c r="M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4" s="6" t="str">
        <f>CONCATENATE(M874, IF('Input Sheet'!J876="",""," siderite in "))</f>
        <v/>
      </c>
      <c r="O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4" s="6" t="str">
        <f>CONCATENATE(O874, IF('Input Sheet'!K876="",""," siderite in "))</f>
        <v/>
      </c>
    </row>
    <row r="875" spans="1:16" x14ac:dyDescent="0.25">
      <c r="A875" s="17" t="str">
        <f>IF('Input Sheet'!C877="","",CONCATENATE("Sample ", 'Input Sheet'!B877, "m: ", N875, H875, "% ", "Siltstone, ", P875, 'Input Sheet'!C877, "% ", J875, " Sandstone, ", L875, K875, " FLUOR in SST. ", "TG ", 'Input Sheet'!I877, "U"))</f>
        <v/>
      </c>
      <c r="B875" s="3" t="str">
        <f>IF('Input Sheet'!C877="","",CONCATENATE("Sample ", 'Input Sheet'!B877, "m: ", O875, I875, "% ", "Siltstone, ", Q875, 'Input Sheet'!C877, "% ", K875, " Sandstone "))</f>
        <v/>
      </c>
      <c r="C875" s="3" t="str">
        <f>IF('Input Sheet'!C877="","",CONCATENATE("Sample ", 'Input Sheet'!B877, "m: ", N875,, L875, K875, " FLUOR in SST. ", "TG ", 'Input Sheet'!I877, "U"))</f>
        <v/>
      </c>
      <c r="H875" s="6" t="str">
        <f>IF('Input Sheet'!C877="","",100-'Input Sheet'!C877)</f>
        <v/>
      </c>
      <c r="I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5" s="6" t="str">
        <f t="shared" si="13"/>
        <v/>
      </c>
      <c r="K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5" s="6" t="str">
        <f>IF('Input Sheet'!F877=0, "NO",CONCATENATE('Input Sheet'!F877, IF('Input Sheet'!F877&gt;0,"% ","")))</f>
        <v>NO</v>
      </c>
      <c r="M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5" s="6" t="str">
        <f>CONCATENATE(M875, IF('Input Sheet'!J877="",""," siderite in "))</f>
        <v/>
      </c>
      <c r="O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5" s="6" t="str">
        <f>CONCATENATE(O875, IF('Input Sheet'!K877="",""," siderite in "))</f>
        <v/>
      </c>
    </row>
    <row r="876" spans="1:16" x14ac:dyDescent="0.25">
      <c r="A876" s="17" t="str">
        <f>IF('Input Sheet'!C878="","",CONCATENATE("Sample ", 'Input Sheet'!B878, "m: ", N876, H876, "% ", "Siltstone, ", P876, 'Input Sheet'!C878, "% ", J876, " Sandstone, ", L876, K876, " FLUOR in SST. ", "TG ", 'Input Sheet'!I878, "U"))</f>
        <v/>
      </c>
      <c r="B876" s="3" t="str">
        <f>IF('Input Sheet'!C878="","",CONCATENATE("Sample ", 'Input Sheet'!B878, "m: ", O876, I876, "% ", "Siltstone, ", Q876, 'Input Sheet'!C878, "% ", K876, " Sandstone "))</f>
        <v/>
      </c>
      <c r="C876" s="3" t="str">
        <f>IF('Input Sheet'!C878="","",CONCATENATE("Sample ", 'Input Sheet'!B878, "m: ", N876,, L876, K876, " FLUOR in SST. ", "TG ", 'Input Sheet'!I878, "U"))</f>
        <v/>
      </c>
      <c r="H876" s="6" t="str">
        <f>IF('Input Sheet'!C878="","",100-'Input Sheet'!C878)</f>
        <v/>
      </c>
      <c r="I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6" s="6" t="str">
        <f t="shared" si="13"/>
        <v/>
      </c>
      <c r="K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6" s="6" t="str">
        <f>IF('Input Sheet'!F878=0, "NO",CONCATENATE('Input Sheet'!F878, IF('Input Sheet'!F878&gt;0,"% ","")))</f>
        <v>NO</v>
      </c>
      <c r="M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6" s="6" t="str">
        <f>CONCATENATE(M876, IF('Input Sheet'!J878="",""," siderite in "))</f>
        <v/>
      </c>
      <c r="O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6" s="6" t="str">
        <f>CONCATENATE(O876, IF('Input Sheet'!K878="",""," siderite in "))</f>
        <v/>
      </c>
    </row>
    <row r="877" spans="1:16" x14ac:dyDescent="0.25">
      <c r="A877" s="17" t="str">
        <f>IF('Input Sheet'!C879="","",CONCATENATE("Sample ", 'Input Sheet'!B879, "m: ", N877, H877, "% ", "Siltstone, ", P877, 'Input Sheet'!C879, "% ", J877, " Sandstone, ", L877, K877, " FLUOR in SST. ", "TG ", 'Input Sheet'!I879, "U"))</f>
        <v/>
      </c>
      <c r="B877" s="3" t="str">
        <f>IF('Input Sheet'!C879="","",CONCATENATE("Sample ", 'Input Sheet'!B879, "m: ", O877, I877, "% ", "Siltstone, ", Q877, 'Input Sheet'!C879, "% ", K877, " Sandstone "))</f>
        <v/>
      </c>
      <c r="C877" s="3" t="str">
        <f>IF('Input Sheet'!C879="","",CONCATENATE("Sample ", 'Input Sheet'!B879, "m: ", N877,, L877, K877, " FLUOR in SST. ", "TG ", 'Input Sheet'!I879, "U"))</f>
        <v/>
      </c>
      <c r="H877" s="6" t="str">
        <f>IF('Input Sheet'!C879="","",100-'Input Sheet'!C879)</f>
        <v/>
      </c>
      <c r="I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7" s="6" t="str">
        <f t="shared" si="13"/>
        <v/>
      </c>
      <c r="K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7" s="6" t="str">
        <f>IF('Input Sheet'!F879=0, "NO",CONCATENATE('Input Sheet'!F879, IF('Input Sheet'!F879&gt;0,"% ","")))</f>
        <v>NO</v>
      </c>
      <c r="M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7" s="6" t="str">
        <f>CONCATENATE(M877, IF('Input Sheet'!J879="",""," siderite in "))</f>
        <v/>
      </c>
      <c r="O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7" s="6" t="str">
        <f>CONCATENATE(O877, IF('Input Sheet'!K879="",""," siderite in "))</f>
        <v/>
      </c>
    </row>
    <row r="878" spans="1:16" x14ac:dyDescent="0.25">
      <c r="A878" s="17" t="str">
        <f>IF('Input Sheet'!C880="","",CONCATENATE("Sample ", 'Input Sheet'!B880, "m: ", N878, H878, "% ", "Siltstone, ", P878, 'Input Sheet'!C880, "% ", J878, " Sandstone, ", L878, K878, " FLUOR in SST. ", "TG ", 'Input Sheet'!I880, "U"))</f>
        <v/>
      </c>
      <c r="B878" s="3" t="str">
        <f>IF('Input Sheet'!C880="","",CONCATENATE("Sample ", 'Input Sheet'!B880, "m: ", O878, I878, "% ", "Siltstone, ", Q878, 'Input Sheet'!C880, "% ", K878, " Sandstone "))</f>
        <v/>
      </c>
      <c r="C878" s="3" t="str">
        <f>IF('Input Sheet'!C880="","",CONCATENATE("Sample ", 'Input Sheet'!B880, "m: ", N878,, L878, K878, " FLUOR in SST. ", "TG ", 'Input Sheet'!I880, "U"))</f>
        <v/>
      </c>
      <c r="H878" s="6" t="str">
        <f>IF('Input Sheet'!C880="","",100-'Input Sheet'!C880)</f>
        <v/>
      </c>
      <c r="I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8" s="6" t="str">
        <f t="shared" si="13"/>
        <v/>
      </c>
      <c r="K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8" s="6" t="str">
        <f>IF('Input Sheet'!F880=0, "NO",CONCATENATE('Input Sheet'!F880, IF('Input Sheet'!F880&gt;0,"% ","")))</f>
        <v>NO</v>
      </c>
      <c r="M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8" s="6" t="str">
        <f>CONCATENATE(M878, IF('Input Sheet'!J880="",""," siderite in "))</f>
        <v/>
      </c>
      <c r="O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8" s="6" t="str">
        <f>CONCATENATE(O878, IF('Input Sheet'!K880="",""," siderite in "))</f>
        <v/>
      </c>
    </row>
    <row r="879" spans="1:16" x14ac:dyDescent="0.25">
      <c r="A879" s="17" t="str">
        <f>IF('Input Sheet'!C881="","",CONCATENATE("Sample ", 'Input Sheet'!B881, "m: ", N879, H879, "% ", "Siltstone, ", P879, 'Input Sheet'!C881, "% ", J879, " Sandstone, ", L879, K879, " FLUOR in SST. ", "TG ", 'Input Sheet'!I881, "U"))</f>
        <v/>
      </c>
      <c r="B879" s="3" t="str">
        <f>IF('Input Sheet'!C881="","",CONCATENATE("Sample ", 'Input Sheet'!B881, "m: ", O879, I879, "% ", "Siltstone, ", Q879, 'Input Sheet'!C881, "% ", K879, " Sandstone "))</f>
        <v/>
      </c>
      <c r="C879" s="3" t="str">
        <f>IF('Input Sheet'!C881="","",CONCATENATE("Sample ", 'Input Sheet'!B881, "m: ", N879,, L879, K879, " FLUOR in SST. ", "TG ", 'Input Sheet'!I881, "U"))</f>
        <v/>
      </c>
      <c r="H879" s="6" t="str">
        <f>IF('Input Sheet'!C881="","",100-'Input Sheet'!C881)</f>
        <v/>
      </c>
      <c r="I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79" s="6" t="str">
        <f t="shared" si="13"/>
        <v/>
      </c>
      <c r="K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79" s="6" t="str">
        <f>IF('Input Sheet'!F881=0, "NO",CONCATENATE('Input Sheet'!F881, IF('Input Sheet'!F881&gt;0,"% ","")))</f>
        <v>NO</v>
      </c>
      <c r="M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79" s="6" t="str">
        <f>CONCATENATE(M879, IF('Input Sheet'!J881="",""," siderite in "))</f>
        <v/>
      </c>
      <c r="O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79" s="6" t="str">
        <f>CONCATENATE(O879, IF('Input Sheet'!K881="",""," siderite in "))</f>
        <v/>
      </c>
    </row>
    <row r="880" spans="1:16" x14ac:dyDescent="0.25">
      <c r="A880" s="17" t="str">
        <f>IF('Input Sheet'!C882="","",CONCATENATE("Sample ", 'Input Sheet'!B882, "m: ", N880, H880, "% ", "Siltstone, ", P880, 'Input Sheet'!C882, "% ", J880, " Sandstone, ", L880, K880, " FLUOR in SST. ", "TG ", 'Input Sheet'!I882, "U"))</f>
        <v/>
      </c>
      <c r="B880" s="3" t="str">
        <f>IF('Input Sheet'!C882="","",CONCATENATE("Sample ", 'Input Sheet'!B882, "m: ", O880, I880, "% ", "Siltstone, ", Q880, 'Input Sheet'!C882, "% ", K880, " Sandstone "))</f>
        <v/>
      </c>
      <c r="C880" s="3" t="str">
        <f>IF('Input Sheet'!C882="","",CONCATENATE("Sample ", 'Input Sheet'!B882, "m: ", N880,, L880, K880, " FLUOR in SST. ", "TG ", 'Input Sheet'!I882, "U"))</f>
        <v/>
      </c>
      <c r="H880" s="6" t="str">
        <f>IF('Input Sheet'!C882="","",100-'Input Sheet'!C882)</f>
        <v/>
      </c>
      <c r="I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0" s="6" t="str">
        <f t="shared" si="13"/>
        <v/>
      </c>
      <c r="K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0" s="6" t="str">
        <f>IF('Input Sheet'!F882=0, "NO",CONCATENATE('Input Sheet'!F882, IF('Input Sheet'!F882&gt;0,"% ","")))</f>
        <v>NO</v>
      </c>
      <c r="M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0" s="6" t="str">
        <f>CONCATENATE(M880, IF('Input Sheet'!J882="",""," siderite in "))</f>
        <v/>
      </c>
      <c r="O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0" s="6" t="str">
        <f>CONCATENATE(O880, IF('Input Sheet'!K882="",""," siderite in "))</f>
        <v/>
      </c>
    </row>
    <row r="881" spans="1:16" x14ac:dyDescent="0.25">
      <c r="A881" s="17" t="str">
        <f>IF('Input Sheet'!C883="","",CONCATENATE("Sample ", 'Input Sheet'!B883, "m: ", N881, H881, "% ", "Siltstone, ", P881, 'Input Sheet'!C883, "% ", J881, " Sandstone, ", L881, K881, " FLUOR in SST. ", "TG ", 'Input Sheet'!I883, "U"))</f>
        <v/>
      </c>
      <c r="B881" s="3" t="str">
        <f>IF('Input Sheet'!C883="","",CONCATENATE("Sample ", 'Input Sheet'!B883, "m: ", O881, I881, "% ", "Siltstone, ", Q881, 'Input Sheet'!C883, "% ", K881, " Sandstone "))</f>
        <v/>
      </c>
      <c r="C881" s="3" t="str">
        <f>IF('Input Sheet'!C883="","",CONCATENATE("Sample ", 'Input Sheet'!B883, "m: ", N881,, L881, K881, " FLUOR in SST. ", "TG ", 'Input Sheet'!I883, "U"))</f>
        <v/>
      </c>
      <c r="H881" s="6" t="str">
        <f>IF('Input Sheet'!C883="","",100-'Input Sheet'!C883)</f>
        <v/>
      </c>
      <c r="I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1" s="6" t="str">
        <f t="shared" si="13"/>
        <v/>
      </c>
      <c r="K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1" s="6" t="str">
        <f>IF('Input Sheet'!F883=0, "NO",CONCATENATE('Input Sheet'!F883, IF('Input Sheet'!F883&gt;0,"% ","")))</f>
        <v>NO</v>
      </c>
      <c r="M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1" s="6" t="str">
        <f>CONCATENATE(M881, IF('Input Sheet'!J883="",""," siderite in "))</f>
        <v/>
      </c>
      <c r="O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1" s="6" t="str">
        <f>CONCATENATE(O881, IF('Input Sheet'!K883="",""," siderite in "))</f>
        <v/>
      </c>
    </row>
    <row r="882" spans="1:16" x14ac:dyDescent="0.25">
      <c r="A882" s="17" t="str">
        <f>IF('Input Sheet'!C884="","",CONCATENATE("Sample ", 'Input Sheet'!B884, "m: ", N882, H882, "% ", "Siltstone, ", P882, 'Input Sheet'!C884, "% ", J882, " Sandstone, ", L882, K882, " FLUOR in SST. ", "TG ", 'Input Sheet'!I884, "U"))</f>
        <v/>
      </c>
      <c r="B882" s="3" t="str">
        <f>IF('Input Sheet'!C884="","",CONCATENATE("Sample ", 'Input Sheet'!B884, "m: ", O882, I882, "% ", "Siltstone, ", Q882, 'Input Sheet'!C884, "% ", K882, " Sandstone "))</f>
        <v/>
      </c>
      <c r="C882" s="3" t="str">
        <f>IF('Input Sheet'!C884="","",CONCATENATE("Sample ", 'Input Sheet'!B884, "m: ", N882,, L882, K882, " FLUOR in SST. ", "TG ", 'Input Sheet'!I884, "U"))</f>
        <v/>
      </c>
      <c r="H882" s="6" t="str">
        <f>IF('Input Sheet'!C884="","",100-'Input Sheet'!C884)</f>
        <v/>
      </c>
      <c r="I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2" s="6" t="str">
        <f t="shared" si="13"/>
        <v/>
      </c>
      <c r="K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2" s="6" t="str">
        <f>IF('Input Sheet'!F884=0, "NO",CONCATENATE('Input Sheet'!F884, IF('Input Sheet'!F884&gt;0,"% ","")))</f>
        <v>NO</v>
      </c>
      <c r="M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2" s="6" t="str">
        <f>CONCATENATE(M882, IF('Input Sheet'!J884="",""," siderite in "))</f>
        <v/>
      </c>
      <c r="O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2" s="6" t="str">
        <f>CONCATENATE(O882, IF('Input Sheet'!K884="",""," siderite in "))</f>
        <v/>
      </c>
    </row>
    <row r="883" spans="1:16" x14ac:dyDescent="0.25">
      <c r="A883" s="17" t="str">
        <f>IF('Input Sheet'!C885="","",CONCATENATE("Sample ", 'Input Sheet'!B885, "m: ", N883, H883, "% ", "Siltstone, ", P883, 'Input Sheet'!C885, "% ", J883, " Sandstone, ", L883, K883, " FLUOR in SST. ", "TG ", 'Input Sheet'!I885, "U"))</f>
        <v/>
      </c>
      <c r="B883" s="3" t="str">
        <f>IF('Input Sheet'!C885="","",CONCATENATE("Sample ", 'Input Sheet'!B885, "m: ", O883, I883, "% ", "Siltstone, ", Q883, 'Input Sheet'!C885, "% ", K883, " Sandstone "))</f>
        <v/>
      </c>
      <c r="C883" s="3" t="str">
        <f>IF('Input Sheet'!C885="","",CONCATENATE("Sample ", 'Input Sheet'!B885, "m: ", N883,, L883, K883, " FLUOR in SST. ", "TG ", 'Input Sheet'!I885, "U"))</f>
        <v/>
      </c>
      <c r="H883" s="6" t="str">
        <f>IF('Input Sheet'!C885="","",100-'Input Sheet'!C885)</f>
        <v/>
      </c>
      <c r="I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3" s="6" t="str">
        <f t="shared" si="13"/>
        <v/>
      </c>
      <c r="K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3" s="6" t="str">
        <f>IF('Input Sheet'!F885=0, "NO",CONCATENATE('Input Sheet'!F885, IF('Input Sheet'!F885&gt;0,"% ","")))</f>
        <v>NO</v>
      </c>
      <c r="M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3" s="6" t="str">
        <f>CONCATENATE(M883, IF('Input Sheet'!J885="",""," siderite in "))</f>
        <v/>
      </c>
      <c r="O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3" s="6" t="str">
        <f>CONCATENATE(O883, IF('Input Sheet'!K885="",""," siderite in "))</f>
        <v/>
      </c>
    </row>
    <row r="884" spans="1:16" x14ac:dyDescent="0.25">
      <c r="A884" s="17" t="str">
        <f>IF('Input Sheet'!C886="","",CONCATENATE("Sample ", 'Input Sheet'!B886, "m: ", N884, H884, "% ", "Siltstone, ", P884, 'Input Sheet'!C886, "% ", J884, " Sandstone, ", L884, K884, " FLUOR in SST. ", "TG ", 'Input Sheet'!I886, "U"))</f>
        <v/>
      </c>
      <c r="B884" s="3" t="str">
        <f>IF('Input Sheet'!C886="","",CONCATENATE("Sample ", 'Input Sheet'!B886, "m: ", O884, I884, "% ", "Siltstone, ", Q884, 'Input Sheet'!C886, "% ", K884, " Sandstone "))</f>
        <v/>
      </c>
      <c r="C884" s="3" t="str">
        <f>IF('Input Sheet'!C886="","",CONCATENATE("Sample ", 'Input Sheet'!B886, "m: ", N884,, L884, K884, " FLUOR in SST. ", "TG ", 'Input Sheet'!I886, "U"))</f>
        <v/>
      </c>
      <c r="H884" s="6" t="str">
        <f>IF('Input Sheet'!C886="","",100-'Input Sheet'!C886)</f>
        <v/>
      </c>
      <c r="I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4" s="6" t="str">
        <f t="shared" si="13"/>
        <v/>
      </c>
      <c r="K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4" s="6" t="str">
        <f>IF('Input Sheet'!F886=0, "NO",CONCATENATE('Input Sheet'!F886, IF('Input Sheet'!F886&gt;0,"% ","")))</f>
        <v>NO</v>
      </c>
      <c r="M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4" s="6" t="str">
        <f>CONCATENATE(M884, IF('Input Sheet'!J886="",""," siderite in "))</f>
        <v/>
      </c>
      <c r="O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4" s="6" t="str">
        <f>CONCATENATE(O884, IF('Input Sheet'!K886="",""," siderite in "))</f>
        <v/>
      </c>
    </row>
    <row r="885" spans="1:16" x14ac:dyDescent="0.25">
      <c r="A885" s="17" t="str">
        <f>IF('Input Sheet'!C887="","",CONCATENATE("Sample ", 'Input Sheet'!B887, "m: ", N885, H885, "% ", "Siltstone, ", P885, 'Input Sheet'!C887, "% ", J885, " Sandstone, ", L885, K885, " FLUOR in SST. ", "TG ", 'Input Sheet'!I887, "U"))</f>
        <v/>
      </c>
      <c r="B885" s="3" t="str">
        <f>IF('Input Sheet'!C887="","",CONCATENATE("Sample ", 'Input Sheet'!B887, "m: ", O885, I885, "% ", "Siltstone, ", Q885, 'Input Sheet'!C887, "% ", K885, " Sandstone "))</f>
        <v/>
      </c>
      <c r="C885" s="3" t="str">
        <f>IF('Input Sheet'!C887="","",CONCATENATE("Sample ", 'Input Sheet'!B887, "m: ", N885,, L885, K885, " FLUOR in SST. ", "TG ", 'Input Sheet'!I887, "U"))</f>
        <v/>
      </c>
      <c r="H885" s="6" t="str">
        <f>IF('Input Sheet'!C887="","",100-'Input Sheet'!C887)</f>
        <v/>
      </c>
      <c r="I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5" s="6" t="str">
        <f t="shared" si="13"/>
        <v/>
      </c>
      <c r="K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5" s="6" t="str">
        <f>IF('Input Sheet'!F887=0, "NO",CONCATENATE('Input Sheet'!F887, IF('Input Sheet'!F887&gt;0,"% ","")))</f>
        <v>NO</v>
      </c>
      <c r="M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5" s="6" t="str">
        <f>CONCATENATE(M885, IF('Input Sheet'!J887="",""," siderite in "))</f>
        <v/>
      </c>
      <c r="O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5" s="6" t="str">
        <f>CONCATENATE(O885, IF('Input Sheet'!K887="",""," siderite in "))</f>
        <v/>
      </c>
    </row>
    <row r="886" spans="1:16" x14ac:dyDescent="0.25">
      <c r="A886" s="17" t="str">
        <f>IF('Input Sheet'!C888="","",CONCATENATE("Sample ", 'Input Sheet'!B888, "m: ", N886, H886, "% ", "Siltstone, ", P886, 'Input Sheet'!C888, "% ", J886, " Sandstone, ", L886, K886, " FLUOR in SST. ", "TG ", 'Input Sheet'!I888, "U"))</f>
        <v/>
      </c>
      <c r="B886" s="3" t="str">
        <f>IF('Input Sheet'!C888="","",CONCATENATE("Sample ", 'Input Sheet'!B888, "m: ", O886, I886, "% ", "Siltstone, ", Q886, 'Input Sheet'!C888, "% ", K886, " Sandstone "))</f>
        <v/>
      </c>
      <c r="C886" s="3" t="str">
        <f>IF('Input Sheet'!C888="","",CONCATENATE("Sample ", 'Input Sheet'!B888, "m: ", N886,, L886, K886, " FLUOR in SST. ", "TG ", 'Input Sheet'!I888, "U"))</f>
        <v/>
      </c>
      <c r="H886" s="6" t="str">
        <f>IF('Input Sheet'!C888="","",100-'Input Sheet'!C888)</f>
        <v/>
      </c>
      <c r="I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6" s="6" t="str">
        <f t="shared" si="13"/>
        <v/>
      </c>
      <c r="K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6" s="6" t="str">
        <f>IF('Input Sheet'!F888=0, "NO",CONCATENATE('Input Sheet'!F888, IF('Input Sheet'!F888&gt;0,"% ","")))</f>
        <v>NO</v>
      </c>
      <c r="M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6" s="6" t="str">
        <f>CONCATENATE(M886, IF('Input Sheet'!J888="",""," siderite in "))</f>
        <v/>
      </c>
      <c r="O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6" s="6" t="str">
        <f>CONCATENATE(O886, IF('Input Sheet'!K888="",""," siderite in "))</f>
        <v/>
      </c>
    </row>
    <row r="887" spans="1:16" x14ac:dyDescent="0.25">
      <c r="A887" s="17" t="str">
        <f>IF('Input Sheet'!C889="","",CONCATENATE("Sample ", 'Input Sheet'!B889, "m: ", N887, H887, "% ", "Siltstone, ", P887, 'Input Sheet'!C889, "% ", J887, " Sandstone, ", L887, K887, " FLUOR in SST. ", "TG ", 'Input Sheet'!I889, "U"))</f>
        <v/>
      </c>
      <c r="B887" s="3" t="str">
        <f>IF('Input Sheet'!C889="","",CONCATENATE("Sample ", 'Input Sheet'!B889, "m: ", O887, I887, "% ", "Siltstone, ", Q887, 'Input Sheet'!C889, "% ", K887, " Sandstone "))</f>
        <v/>
      </c>
      <c r="C887" s="3" t="str">
        <f>IF('Input Sheet'!C889="","",CONCATENATE("Sample ", 'Input Sheet'!B889, "m: ", N887,, L887, K887, " FLUOR in SST. ", "TG ", 'Input Sheet'!I889, "U"))</f>
        <v/>
      </c>
      <c r="H887" s="6" t="str">
        <f>IF('Input Sheet'!C889="","",100-'Input Sheet'!C889)</f>
        <v/>
      </c>
      <c r="I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7" s="6" t="str">
        <f t="shared" si="13"/>
        <v/>
      </c>
      <c r="K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7" s="6" t="str">
        <f>IF('Input Sheet'!F889=0, "NO",CONCATENATE('Input Sheet'!F889, IF('Input Sheet'!F889&gt;0,"% ","")))</f>
        <v>NO</v>
      </c>
      <c r="M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7" s="6" t="str">
        <f>CONCATENATE(M887, IF('Input Sheet'!J889="",""," siderite in "))</f>
        <v/>
      </c>
      <c r="O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7" s="6" t="str">
        <f>CONCATENATE(O887, IF('Input Sheet'!K889="",""," siderite in "))</f>
        <v/>
      </c>
    </row>
    <row r="888" spans="1:16" x14ac:dyDescent="0.25">
      <c r="A888" s="17" t="str">
        <f>IF('Input Sheet'!C890="","",CONCATENATE("Sample ", 'Input Sheet'!B890, "m: ", N888, H888, "% ", "Siltstone, ", P888, 'Input Sheet'!C890, "% ", J888, " Sandstone, ", L888, K888, " FLUOR in SST. ", "TG ", 'Input Sheet'!I890, "U"))</f>
        <v/>
      </c>
      <c r="B888" s="3" t="str">
        <f>IF('Input Sheet'!C890="","",CONCATENATE("Sample ", 'Input Sheet'!B890, "m: ", O888, I888, "% ", "Siltstone, ", Q888, 'Input Sheet'!C890, "% ", K888, " Sandstone "))</f>
        <v/>
      </c>
      <c r="C888" s="3" t="str">
        <f>IF('Input Sheet'!C890="","",CONCATENATE("Sample ", 'Input Sheet'!B890, "m: ", N888,, L888, K888, " FLUOR in SST. ", "TG ", 'Input Sheet'!I890, "U"))</f>
        <v/>
      </c>
      <c r="H888" s="6" t="str">
        <f>IF('Input Sheet'!C890="","",100-'Input Sheet'!C890)</f>
        <v/>
      </c>
      <c r="I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8" s="6" t="str">
        <f t="shared" si="13"/>
        <v/>
      </c>
      <c r="K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8" s="6" t="str">
        <f>IF('Input Sheet'!F890=0, "NO",CONCATENATE('Input Sheet'!F890, IF('Input Sheet'!F890&gt;0,"% ","")))</f>
        <v>NO</v>
      </c>
      <c r="M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8" s="6" t="str">
        <f>CONCATENATE(M888, IF('Input Sheet'!J890="",""," siderite in "))</f>
        <v/>
      </c>
      <c r="O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8" s="6" t="str">
        <f>CONCATENATE(O888, IF('Input Sheet'!K890="",""," siderite in "))</f>
        <v/>
      </c>
    </row>
    <row r="889" spans="1:16" x14ac:dyDescent="0.25">
      <c r="A889" s="17" t="str">
        <f>IF('Input Sheet'!C891="","",CONCATENATE("Sample ", 'Input Sheet'!B891, "m: ", N889, H889, "% ", "Siltstone, ", P889, 'Input Sheet'!C891, "% ", J889, " Sandstone, ", L889, K889, " FLUOR in SST. ", "TG ", 'Input Sheet'!I891, "U"))</f>
        <v/>
      </c>
      <c r="B889" s="3" t="str">
        <f>IF('Input Sheet'!C891="","",CONCATENATE("Sample ", 'Input Sheet'!B891, "m: ", O889, I889, "% ", "Siltstone, ", Q889, 'Input Sheet'!C891, "% ", K889, " Sandstone "))</f>
        <v/>
      </c>
      <c r="C889" s="3" t="str">
        <f>IF('Input Sheet'!C891="","",CONCATENATE("Sample ", 'Input Sheet'!B891, "m: ", N889,, L889, K889, " FLUOR in SST. ", "TG ", 'Input Sheet'!I891, "U"))</f>
        <v/>
      </c>
      <c r="H889" s="6" t="str">
        <f>IF('Input Sheet'!C891="","",100-'Input Sheet'!C891)</f>
        <v/>
      </c>
      <c r="I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89" s="6" t="str">
        <f t="shared" si="13"/>
        <v/>
      </c>
      <c r="K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89" s="6" t="str">
        <f>IF('Input Sheet'!F891=0, "NO",CONCATENATE('Input Sheet'!F891, IF('Input Sheet'!F891&gt;0,"% ","")))</f>
        <v>NO</v>
      </c>
      <c r="M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89" s="6" t="str">
        <f>CONCATENATE(M889, IF('Input Sheet'!J891="",""," siderite in "))</f>
        <v/>
      </c>
      <c r="O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89" s="6" t="str">
        <f>CONCATENATE(O889, IF('Input Sheet'!K891="",""," siderite in "))</f>
        <v/>
      </c>
    </row>
    <row r="890" spans="1:16" x14ac:dyDescent="0.25">
      <c r="A890" s="17" t="str">
        <f>IF('Input Sheet'!C892="","",CONCATENATE("Sample ", 'Input Sheet'!B892, "m: ", N890, H890, "% ", "Siltstone, ", P890, 'Input Sheet'!C892, "% ", J890, " Sandstone, ", L890, K890, " FLUOR in SST. ", "TG ", 'Input Sheet'!I892, "U"))</f>
        <v/>
      </c>
      <c r="B890" s="3" t="str">
        <f>IF('Input Sheet'!C892="","",CONCATENATE("Sample ", 'Input Sheet'!B892, "m: ", O890, I890, "% ", "Siltstone, ", Q890, 'Input Sheet'!C892, "% ", K890, " Sandstone "))</f>
        <v/>
      </c>
      <c r="C890" s="3" t="str">
        <f>IF('Input Sheet'!C892="","",CONCATENATE("Sample ", 'Input Sheet'!B892, "m: ", N890,, L890, K890, " FLUOR in SST. ", "TG ", 'Input Sheet'!I892, "U"))</f>
        <v/>
      </c>
      <c r="H890" s="6" t="str">
        <f>IF('Input Sheet'!C892="","",100-'Input Sheet'!C892)</f>
        <v/>
      </c>
      <c r="I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0" s="6" t="str">
        <f t="shared" si="13"/>
        <v/>
      </c>
      <c r="K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0" s="6" t="str">
        <f>IF('Input Sheet'!F892=0, "NO",CONCATENATE('Input Sheet'!F892, IF('Input Sheet'!F892&gt;0,"% ","")))</f>
        <v>NO</v>
      </c>
      <c r="M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0" s="6" t="str">
        <f>CONCATENATE(M890, IF('Input Sheet'!J892="",""," siderite in "))</f>
        <v/>
      </c>
      <c r="O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0" s="6" t="str">
        <f>CONCATENATE(O890, IF('Input Sheet'!K892="",""," siderite in "))</f>
        <v/>
      </c>
    </row>
    <row r="891" spans="1:16" x14ac:dyDescent="0.25">
      <c r="A891" s="17" t="str">
        <f>IF('Input Sheet'!C893="","",CONCATENATE("Sample ", 'Input Sheet'!B893, "m: ", N891, H891, "% ", "Siltstone, ", P891, 'Input Sheet'!C893, "% ", J891, " Sandstone, ", L891, K891, " FLUOR in SST. ", "TG ", 'Input Sheet'!I893, "U"))</f>
        <v/>
      </c>
      <c r="B891" s="3" t="str">
        <f>IF('Input Sheet'!C893="","",CONCATENATE("Sample ", 'Input Sheet'!B893, "m: ", O891, I891, "% ", "Siltstone, ", Q891, 'Input Sheet'!C893, "% ", K891, " Sandstone "))</f>
        <v/>
      </c>
      <c r="C891" s="3" t="str">
        <f>IF('Input Sheet'!C893="","",CONCATENATE("Sample ", 'Input Sheet'!B893, "m: ", N891,, L891, K891, " FLUOR in SST. ", "TG ", 'Input Sheet'!I893, "U"))</f>
        <v/>
      </c>
      <c r="H891" s="6" t="str">
        <f>IF('Input Sheet'!C893="","",100-'Input Sheet'!C893)</f>
        <v/>
      </c>
      <c r="I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1" s="6" t="str">
        <f t="shared" si="13"/>
        <v/>
      </c>
      <c r="K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1" s="6" t="str">
        <f>IF('Input Sheet'!F893=0, "NO",CONCATENATE('Input Sheet'!F893, IF('Input Sheet'!F893&gt;0,"% ","")))</f>
        <v>NO</v>
      </c>
      <c r="M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1" s="6" t="str">
        <f>CONCATENATE(M891, IF('Input Sheet'!J893="",""," siderite in "))</f>
        <v/>
      </c>
      <c r="O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1" s="6" t="str">
        <f>CONCATENATE(O891, IF('Input Sheet'!K893="",""," siderite in "))</f>
        <v/>
      </c>
    </row>
    <row r="892" spans="1:16" x14ac:dyDescent="0.25">
      <c r="A892" s="17" t="str">
        <f>IF('Input Sheet'!C894="","",CONCATENATE("Sample ", 'Input Sheet'!B894, "m: ", N892, H892, "% ", "Siltstone, ", P892, 'Input Sheet'!C894, "% ", J892, " Sandstone, ", L892, K892, " FLUOR in SST. ", "TG ", 'Input Sheet'!I894, "U"))</f>
        <v/>
      </c>
      <c r="B892" s="3" t="str">
        <f>IF('Input Sheet'!C894="","",CONCATENATE("Sample ", 'Input Sheet'!B894, "m: ", O892, I892, "% ", "Siltstone, ", Q892, 'Input Sheet'!C894, "% ", K892, " Sandstone "))</f>
        <v/>
      </c>
      <c r="C892" s="3" t="str">
        <f>IF('Input Sheet'!C894="","",CONCATENATE("Sample ", 'Input Sheet'!B894, "m: ", N892,, L892, K892, " FLUOR in SST. ", "TG ", 'Input Sheet'!I894, "U"))</f>
        <v/>
      </c>
      <c r="H892" s="6" t="str">
        <f>IF('Input Sheet'!C894="","",100-'Input Sheet'!C894)</f>
        <v/>
      </c>
      <c r="I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2" s="6" t="str">
        <f t="shared" si="13"/>
        <v/>
      </c>
      <c r="K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2" s="6" t="str">
        <f>IF('Input Sheet'!F894=0, "NO",CONCATENATE('Input Sheet'!F894, IF('Input Sheet'!F894&gt;0,"% ","")))</f>
        <v>NO</v>
      </c>
      <c r="M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2" s="6" t="str">
        <f>CONCATENATE(M892, IF('Input Sheet'!J894="",""," siderite in "))</f>
        <v/>
      </c>
      <c r="O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2" s="6" t="str">
        <f>CONCATENATE(O892, IF('Input Sheet'!K894="",""," siderite in "))</f>
        <v/>
      </c>
    </row>
    <row r="893" spans="1:16" x14ac:dyDescent="0.25">
      <c r="A893" s="17" t="str">
        <f>IF('Input Sheet'!C895="","",CONCATENATE("Sample ", 'Input Sheet'!B895, "m: ", N893, H893, "% ", "Siltstone, ", P893, 'Input Sheet'!C895, "% ", J893, " Sandstone, ", L893, K893, " FLUOR in SST. ", "TG ", 'Input Sheet'!I895, "U"))</f>
        <v/>
      </c>
      <c r="B893" s="3" t="str">
        <f>IF('Input Sheet'!C895="","",CONCATENATE("Sample ", 'Input Sheet'!B895, "m: ", O893, I893, "% ", "Siltstone, ", Q893, 'Input Sheet'!C895, "% ", K893, " Sandstone "))</f>
        <v/>
      </c>
      <c r="C893" s="3" t="str">
        <f>IF('Input Sheet'!C895="","",CONCATENATE("Sample ", 'Input Sheet'!B895, "m: ", N893,, L893, K893, " FLUOR in SST. ", "TG ", 'Input Sheet'!I895, "U"))</f>
        <v/>
      </c>
      <c r="H893" s="6" t="str">
        <f>IF('Input Sheet'!C895="","",100-'Input Sheet'!C895)</f>
        <v/>
      </c>
      <c r="I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3" s="6" t="str">
        <f t="shared" si="13"/>
        <v/>
      </c>
      <c r="K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3" s="6" t="str">
        <f>IF('Input Sheet'!F895=0, "NO",CONCATENATE('Input Sheet'!F895, IF('Input Sheet'!F895&gt;0,"% ","")))</f>
        <v>NO</v>
      </c>
      <c r="M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3" s="6" t="str">
        <f>CONCATENATE(M893, IF('Input Sheet'!J895="",""," siderite in "))</f>
        <v/>
      </c>
      <c r="O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3" s="6" t="str">
        <f>CONCATENATE(O893, IF('Input Sheet'!K895="",""," siderite in "))</f>
        <v/>
      </c>
    </row>
    <row r="894" spans="1:16" x14ac:dyDescent="0.25">
      <c r="A894" s="17" t="str">
        <f>IF('Input Sheet'!C896="","",CONCATENATE("Sample ", 'Input Sheet'!B896, "m: ", N894, H894, "% ", "Siltstone, ", P894, 'Input Sheet'!C896, "% ", J894, " Sandstone, ", L894, K894, " FLUOR in SST. ", "TG ", 'Input Sheet'!I896, "U"))</f>
        <v/>
      </c>
      <c r="B894" s="3" t="str">
        <f>IF('Input Sheet'!C896="","",CONCATENATE("Sample ", 'Input Sheet'!B896, "m: ", O894, I894, "% ", "Siltstone, ", Q894, 'Input Sheet'!C896, "% ", K894, " Sandstone "))</f>
        <v/>
      </c>
      <c r="C894" s="3" t="str">
        <f>IF('Input Sheet'!C896="","",CONCATENATE("Sample ", 'Input Sheet'!B896, "m: ", N894,, L894, K894, " FLUOR in SST. ", "TG ", 'Input Sheet'!I896, "U"))</f>
        <v/>
      </c>
      <c r="H894" s="6" t="str">
        <f>IF('Input Sheet'!C896="","",100-'Input Sheet'!C896)</f>
        <v/>
      </c>
      <c r="I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4" s="6" t="str">
        <f t="shared" si="13"/>
        <v/>
      </c>
      <c r="K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4" s="6" t="str">
        <f>IF('Input Sheet'!F896=0, "NO",CONCATENATE('Input Sheet'!F896, IF('Input Sheet'!F896&gt;0,"% ","")))</f>
        <v>NO</v>
      </c>
      <c r="M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4" s="6" t="str">
        <f>CONCATENATE(M894, IF('Input Sheet'!J896="",""," siderite in "))</f>
        <v/>
      </c>
      <c r="O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4" s="6" t="str">
        <f>CONCATENATE(O894, IF('Input Sheet'!K896="",""," siderite in "))</f>
        <v/>
      </c>
    </row>
    <row r="895" spans="1:16" x14ac:dyDescent="0.25">
      <c r="A895" s="17" t="str">
        <f>IF('Input Sheet'!C897="","",CONCATENATE("Sample ", 'Input Sheet'!B897, "m: ", N895, H895, "% ", "Siltstone, ", P895, 'Input Sheet'!C897, "% ", J895, " Sandstone, ", L895, K895, " FLUOR in SST. ", "TG ", 'Input Sheet'!I897, "U"))</f>
        <v/>
      </c>
      <c r="B895" s="3" t="str">
        <f>IF('Input Sheet'!C897="","",CONCATENATE("Sample ", 'Input Sheet'!B897, "m: ", O895, I895, "% ", "Siltstone, ", Q895, 'Input Sheet'!C897, "% ", K895, " Sandstone "))</f>
        <v/>
      </c>
      <c r="C895" s="3" t="str">
        <f>IF('Input Sheet'!C897="","",CONCATENATE("Sample ", 'Input Sheet'!B897, "m: ", N895,, L895, K895, " FLUOR in SST. ", "TG ", 'Input Sheet'!I897, "U"))</f>
        <v/>
      </c>
      <c r="H895" s="6" t="str">
        <f>IF('Input Sheet'!C897="","",100-'Input Sheet'!C897)</f>
        <v/>
      </c>
      <c r="I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5" s="6" t="str">
        <f t="shared" si="13"/>
        <v/>
      </c>
      <c r="K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5" s="6" t="str">
        <f>IF('Input Sheet'!F897=0, "NO",CONCATENATE('Input Sheet'!F897, IF('Input Sheet'!F897&gt;0,"% ","")))</f>
        <v>NO</v>
      </c>
      <c r="M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5" s="6" t="str">
        <f>CONCATENATE(M895, IF('Input Sheet'!J897="",""," siderite in "))</f>
        <v/>
      </c>
      <c r="O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5" s="6" t="str">
        <f>CONCATENATE(O895, IF('Input Sheet'!K897="",""," siderite in "))</f>
        <v/>
      </c>
    </row>
    <row r="896" spans="1:16" x14ac:dyDescent="0.25">
      <c r="A896" s="17" t="str">
        <f>IF('Input Sheet'!C898="","",CONCATENATE("Sample ", 'Input Sheet'!B898, "m: ", N896, H896, "% ", "Siltstone, ", P896, 'Input Sheet'!C898, "% ", J896, " Sandstone, ", L896, K896, " FLUOR in SST. ", "TG ", 'Input Sheet'!I898, "U"))</f>
        <v/>
      </c>
      <c r="B896" s="3" t="str">
        <f>IF('Input Sheet'!C898="","",CONCATENATE("Sample ", 'Input Sheet'!B898, "m: ", O896, I896, "% ", "Siltstone, ", Q896, 'Input Sheet'!C898, "% ", K896, " Sandstone "))</f>
        <v/>
      </c>
      <c r="C896" s="3" t="str">
        <f>IF('Input Sheet'!C898="","",CONCATENATE("Sample ", 'Input Sheet'!B898, "m: ", N896,, L896, K896, " FLUOR in SST. ", "TG ", 'Input Sheet'!I898, "U"))</f>
        <v/>
      </c>
      <c r="H896" s="6" t="str">
        <f>IF('Input Sheet'!C898="","",100-'Input Sheet'!C898)</f>
        <v/>
      </c>
      <c r="I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6" s="6" t="str">
        <f t="shared" si="13"/>
        <v/>
      </c>
      <c r="K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6" s="6" t="str">
        <f>IF('Input Sheet'!F898=0, "NO",CONCATENATE('Input Sheet'!F898, IF('Input Sheet'!F898&gt;0,"% ","")))</f>
        <v>NO</v>
      </c>
      <c r="M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6" s="6" t="str">
        <f>CONCATENATE(M896, IF('Input Sheet'!J898="",""," siderite in "))</f>
        <v/>
      </c>
      <c r="O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6" s="6" t="str">
        <f>CONCATENATE(O896, IF('Input Sheet'!K898="",""," siderite in "))</f>
        <v/>
      </c>
    </row>
    <row r="897" spans="1:16" x14ac:dyDescent="0.25">
      <c r="A897" s="17" t="str">
        <f>IF('Input Sheet'!C899="","",CONCATENATE("Sample ", 'Input Sheet'!B899, "m: ", N897, H897, "% ", "Siltstone, ", P897, 'Input Sheet'!C899, "% ", J897, " Sandstone, ", L897, K897, " FLUOR in SST. ", "TG ", 'Input Sheet'!I899, "U"))</f>
        <v/>
      </c>
      <c r="B897" s="3" t="str">
        <f>IF('Input Sheet'!C899="","",CONCATENATE("Sample ", 'Input Sheet'!B899, "m: ", O897, I897, "% ", "Siltstone, ", Q897, 'Input Sheet'!C899, "% ", K897, " Sandstone "))</f>
        <v/>
      </c>
      <c r="C897" s="3" t="str">
        <f>IF('Input Sheet'!C899="","",CONCATENATE("Sample ", 'Input Sheet'!B899, "m: ", N897,, L897, K897, " FLUOR in SST. ", "TG ", 'Input Sheet'!I899, "U"))</f>
        <v/>
      </c>
      <c r="H897" s="6" t="str">
        <f>IF('Input Sheet'!C899="","",100-'Input Sheet'!C899)</f>
        <v/>
      </c>
      <c r="I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7" s="6" t="str">
        <f t="shared" si="13"/>
        <v/>
      </c>
      <c r="K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7" s="6" t="str">
        <f>IF('Input Sheet'!F899=0, "NO",CONCATENATE('Input Sheet'!F899, IF('Input Sheet'!F899&gt;0,"% ","")))</f>
        <v>NO</v>
      </c>
      <c r="M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7" s="6" t="str">
        <f>CONCATENATE(M897, IF('Input Sheet'!J899="",""," siderite in "))</f>
        <v/>
      </c>
      <c r="O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7" s="6" t="str">
        <f>CONCATENATE(O897, IF('Input Sheet'!K899="",""," siderite in "))</f>
        <v/>
      </c>
    </row>
    <row r="898" spans="1:16" x14ac:dyDescent="0.25">
      <c r="A898" s="17" t="str">
        <f>IF('Input Sheet'!C900="","",CONCATENATE("Sample ", 'Input Sheet'!B900, "m: ", N898, H898, "% ", "Siltstone, ", P898, 'Input Sheet'!C900, "% ", J898, " Sandstone, ", L898, K898, " FLUOR in SST. ", "TG ", 'Input Sheet'!I900, "U"))</f>
        <v/>
      </c>
      <c r="B898" s="3" t="str">
        <f>IF('Input Sheet'!C900="","",CONCATENATE("Sample ", 'Input Sheet'!B900, "m: ", O898, I898, "% ", "Siltstone, ", Q898, 'Input Sheet'!C900, "% ", K898, " Sandstone "))</f>
        <v/>
      </c>
      <c r="C898" s="3" t="str">
        <f>IF('Input Sheet'!C900="","",CONCATENATE("Sample ", 'Input Sheet'!B900, "m: ", N898,, L898, K898, " FLUOR in SST. ", "TG ", 'Input Sheet'!I900, "U"))</f>
        <v/>
      </c>
      <c r="H898" s="6" t="str">
        <f>IF('Input Sheet'!C900="","",100-'Input Sheet'!C900)</f>
        <v/>
      </c>
      <c r="I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8" s="6" t="str">
        <f t="shared" ref="J898:J961" si="14">SUBSTITUTE(I898, "veryfine", "very fine")</f>
        <v/>
      </c>
      <c r="K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8" s="6" t="str">
        <f>IF('Input Sheet'!F900=0, "NO",CONCATENATE('Input Sheet'!F900, IF('Input Sheet'!F900&gt;0,"% ","")))</f>
        <v>NO</v>
      </c>
      <c r="M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8" s="6" t="str">
        <f>CONCATENATE(M898, IF('Input Sheet'!J900="",""," siderite in "))</f>
        <v/>
      </c>
      <c r="O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8" s="6" t="str">
        <f>CONCATENATE(O898, IF('Input Sheet'!K900="",""," siderite in "))</f>
        <v/>
      </c>
    </row>
    <row r="899" spans="1:16" x14ac:dyDescent="0.25">
      <c r="A899" s="17" t="str">
        <f>IF('Input Sheet'!C901="","",CONCATENATE("Sample ", 'Input Sheet'!B901, "m: ", N899, H899, "% ", "Siltstone, ", P899, 'Input Sheet'!C901, "% ", J899, " Sandstone, ", L899, K899, " FLUOR in SST. ", "TG ", 'Input Sheet'!I901, "U"))</f>
        <v/>
      </c>
      <c r="B899" s="3" t="str">
        <f>IF('Input Sheet'!C901="","",CONCATENATE("Sample ", 'Input Sheet'!B901, "m: ", O899, I899, "% ", "Siltstone, ", Q899, 'Input Sheet'!C901, "% ", K899, " Sandstone "))</f>
        <v/>
      </c>
      <c r="C899" s="3" t="str">
        <f>IF('Input Sheet'!C901="","",CONCATENATE("Sample ", 'Input Sheet'!B901, "m: ", N899,, L899, K899, " FLUOR in SST. ", "TG ", 'Input Sheet'!I901, "U"))</f>
        <v/>
      </c>
      <c r="H899" s="6" t="str">
        <f>IF('Input Sheet'!C901="","",100-'Input Sheet'!C901)</f>
        <v/>
      </c>
      <c r="I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899" s="6" t="str">
        <f t="shared" si="14"/>
        <v/>
      </c>
      <c r="K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899" s="6" t="str">
        <f>IF('Input Sheet'!F901=0, "NO",CONCATENATE('Input Sheet'!F901, IF('Input Sheet'!F901&gt;0,"% ","")))</f>
        <v>NO</v>
      </c>
      <c r="M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899" s="6" t="str">
        <f>CONCATENATE(M899, IF('Input Sheet'!J901="",""," siderite in "))</f>
        <v/>
      </c>
      <c r="O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899" s="6" t="str">
        <f>CONCATENATE(O899, IF('Input Sheet'!K901="",""," siderite in "))</f>
        <v/>
      </c>
    </row>
    <row r="900" spans="1:16" x14ac:dyDescent="0.25">
      <c r="A900" s="17" t="str">
        <f>IF('Input Sheet'!C902="","",CONCATENATE("Sample ", 'Input Sheet'!B902, "m: ", N900, H900, "% ", "Siltstone, ", P900, 'Input Sheet'!C902, "% ", J900, " Sandstone, ", L900, K900, " FLUOR in SST. ", "TG ", 'Input Sheet'!I902, "U"))</f>
        <v/>
      </c>
      <c r="B900" s="3" t="str">
        <f>IF('Input Sheet'!C902="","",CONCATENATE("Sample ", 'Input Sheet'!B902, "m: ", O900, I900, "% ", "Siltstone, ", Q900, 'Input Sheet'!C902, "% ", K900, " Sandstone "))</f>
        <v/>
      </c>
      <c r="C900" s="3" t="str">
        <f>IF('Input Sheet'!C902="","",CONCATENATE("Sample ", 'Input Sheet'!B902, "m: ", N900,, L900, K900, " FLUOR in SST. ", "TG ", 'Input Sheet'!I902, "U"))</f>
        <v/>
      </c>
      <c r="H900" s="6" t="str">
        <f>IF('Input Sheet'!C902="","",100-'Input Sheet'!C902)</f>
        <v/>
      </c>
      <c r="I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0" s="6" t="str">
        <f t="shared" si="14"/>
        <v/>
      </c>
      <c r="K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0" s="6" t="str">
        <f>IF('Input Sheet'!F902=0, "NO",CONCATENATE('Input Sheet'!F902, IF('Input Sheet'!F902&gt;0,"% ","")))</f>
        <v>NO</v>
      </c>
      <c r="M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0" s="6" t="str">
        <f>CONCATENATE(M900, IF('Input Sheet'!J902="",""," siderite in "))</f>
        <v/>
      </c>
      <c r="O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0" s="6" t="str">
        <f>CONCATENATE(O900, IF('Input Sheet'!K902="",""," siderite in "))</f>
        <v/>
      </c>
    </row>
    <row r="901" spans="1:16" x14ac:dyDescent="0.25">
      <c r="A901" s="17" t="str">
        <f>IF('Input Sheet'!C903="","",CONCATENATE("Sample ", 'Input Sheet'!B903, "m: ", N901, H901, "% ", "Siltstone, ", P901, 'Input Sheet'!C903, "% ", J901, " Sandstone, ", L901, K901, " FLUOR in SST. ", "TG ", 'Input Sheet'!I903, "U"))</f>
        <v/>
      </c>
      <c r="B901" s="3" t="str">
        <f>IF('Input Sheet'!C903="","",CONCATENATE("Sample ", 'Input Sheet'!B903, "m: ", O901, I901, "% ", "Siltstone, ", Q901, 'Input Sheet'!C903, "% ", K901, " Sandstone "))</f>
        <v/>
      </c>
      <c r="C901" s="3" t="str">
        <f>IF('Input Sheet'!C903="","",CONCATENATE("Sample ", 'Input Sheet'!B903, "m: ", N901,, L901, K901, " FLUOR in SST. ", "TG ", 'Input Sheet'!I903, "U"))</f>
        <v/>
      </c>
      <c r="H901" s="6" t="str">
        <f>IF('Input Sheet'!C903="","",100-'Input Sheet'!C903)</f>
        <v/>
      </c>
      <c r="I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1" s="6" t="str">
        <f t="shared" si="14"/>
        <v/>
      </c>
      <c r="K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1" s="6" t="str">
        <f>IF('Input Sheet'!F903=0, "NO",CONCATENATE('Input Sheet'!F903, IF('Input Sheet'!F903&gt;0,"% ","")))</f>
        <v>NO</v>
      </c>
      <c r="M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1" s="6" t="str">
        <f>CONCATENATE(M901, IF('Input Sheet'!J903="",""," siderite in "))</f>
        <v/>
      </c>
      <c r="O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1" s="6" t="str">
        <f>CONCATENATE(O901, IF('Input Sheet'!K903="",""," siderite in "))</f>
        <v/>
      </c>
    </row>
    <row r="902" spans="1:16" x14ac:dyDescent="0.25">
      <c r="A902" s="17" t="str">
        <f>IF('Input Sheet'!C904="","",CONCATENATE("Sample ", 'Input Sheet'!B904, "m: ", N902, H902, "% ", "Siltstone, ", P902, 'Input Sheet'!C904, "% ", J902, " Sandstone, ", L902, K902, " FLUOR in SST. ", "TG ", 'Input Sheet'!I904, "U"))</f>
        <v/>
      </c>
      <c r="B902" s="3" t="str">
        <f>IF('Input Sheet'!C904="","",CONCATENATE("Sample ", 'Input Sheet'!B904, "m: ", O902, I902, "% ", "Siltstone, ", Q902, 'Input Sheet'!C904, "% ", K902, " Sandstone "))</f>
        <v/>
      </c>
      <c r="C902" s="3" t="str">
        <f>IF('Input Sheet'!C904="","",CONCATENATE("Sample ", 'Input Sheet'!B904, "m: ", N902,, L902, K902, " FLUOR in SST. ", "TG ", 'Input Sheet'!I904, "U"))</f>
        <v/>
      </c>
      <c r="H902" s="6" t="str">
        <f>IF('Input Sheet'!C904="","",100-'Input Sheet'!C904)</f>
        <v/>
      </c>
      <c r="I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2" s="6" t="str">
        <f t="shared" si="14"/>
        <v/>
      </c>
      <c r="K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2" s="6" t="str">
        <f>IF('Input Sheet'!F904=0, "NO",CONCATENATE('Input Sheet'!F904, IF('Input Sheet'!F904&gt;0,"% ","")))</f>
        <v>NO</v>
      </c>
      <c r="M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2" s="6" t="str">
        <f>CONCATENATE(M902, IF('Input Sheet'!J904="",""," siderite in "))</f>
        <v/>
      </c>
      <c r="O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2" s="6" t="str">
        <f>CONCATENATE(O902, IF('Input Sheet'!K904="",""," siderite in "))</f>
        <v/>
      </c>
    </row>
    <row r="903" spans="1:16" x14ac:dyDescent="0.25">
      <c r="A903" s="17" t="str">
        <f>IF('Input Sheet'!C905="","",CONCATENATE("Sample ", 'Input Sheet'!B905, "m: ", N903, H903, "% ", "Siltstone, ", P903, 'Input Sheet'!C905, "% ", J903, " Sandstone, ", L903, K903, " FLUOR in SST. ", "TG ", 'Input Sheet'!I905, "U"))</f>
        <v/>
      </c>
      <c r="B903" s="3" t="str">
        <f>IF('Input Sheet'!C905="","",CONCATENATE("Sample ", 'Input Sheet'!B905, "m: ", O903, I903, "% ", "Siltstone, ", Q903, 'Input Sheet'!C905, "% ", K903, " Sandstone "))</f>
        <v/>
      </c>
      <c r="C903" s="3" t="str">
        <f>IF('Input Sheet'!C905="","",CONCATENATE("Sample ", 'Input Sheet'!B905, "m: ", N903,, L903, K903, " FLUOR in SST. ", "TG ", 'Input Sheet'!I905, "U"))</f>
        <v/>
      </c>
      <c r="H903" s="6" t="str">
        <f>IF('Input Sheet'!C905="","",100-'Input Sheet'!C905)</f>
        <v/>
      </c>
      <c r="I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3" s="6" t="str">
        <f t="shared" si="14"/>
        <v/>
      </c>
      <c r="K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3" s="6" t="str">
        <f>IF('Input Sheet'!F905=0, "NO",CONCATENATE('Input Sheet'!F905, IF('Input Sheet'!F905&gt;0,"% ","")))</f>
        <v>NO</v>
      </c>
      <c r="M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3" s="6" t="str">
        <f>CONCATENATE(M903, IF('Input Sheet'!J905="",""," siderite in "))</f>
        <v/>
      </c>
      <c r="O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3" s="6" t="str">
        <f>CONCATENATE(O903, IF('Input Sheet'!K905="",""," siderite in "))</f>
        <v/>
      </c>
    </row>
    <row r="904" spans="1:16" x14ac:dyDescent="0.25">
      <c r="A904" s="17" t="str">
        <f>IF('Input Sheet'!C906="","",CONCATENATE("Sample ", 'Input Sheet'!B906, "m: ", N904, H904, "% ", "Siltstone, ", P904, 'Input Sheet'!C906, "% ", J904, " Sandstone, ", L904, K904, " FLUOR in SST. ", "TG ", 'Input Sheet'!I906, "U"))</f>
        <v/>
      </c>
      <c r="B904" s="3" t="str">
        <f>IF('Input Sheet'!C906="","",CONCATENATE("Sample ", 'Input Sheet'!B906, "m: ", O904, I904, "% ", "Siltstone, ", Q904, 'Input Sheet'!C906, "% ", K904, " Sandstone "))</f>
        <v/>
      </c>
      <c r="C904" s="3" t="str">
        <f>IF('Input Sheet'!C906="","",CONCATENATE("Sample ", 'Input Sheet'!B906, "m: ", N904,, L904, K904, " FLUOR in SST. ", "TG ", 'Input Sheet'!I906, "U"))</f>
        <v/>
      </c>
      <c r="H904" s="6" t="str">
        <f>IF('Input Sheet'!C906="","",100-'Input Sheet'!C906)</f>
        <v/>
      </c>
      <c r="I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4" s="6" t="str">
        <f t="shared" si="14"/>
        <v/>
      </c>
      <c r="K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4" s="6" t="str">
        <f>IF('Input Sheet'!F906=0, "NO",CONCATENATE('Input Sheet'!F906, IF('Input Sheet'!F906&gt;0,"% ","")))</f>
        <v>NO</v>
      </c>
      <c r="M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4" s="6" t="str">
        <f>CONCATENATE(M904, IF('Input Sheet'!J906="",""," siderite in "))</f>
        <v/>
      </c>
      <c r="O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4" s="6" t="str">
        <f>CONCATENATE(O904, IF('Input Sheet'!K906="",""," siderite in "))</f>
        <v/>
      </c>
    </row>
    <row r="905" spans="1:16" x14ac:dyDescent="0.25">
      <c r="A905" s="17" t="str">
        <f>IF('Input Sheet'!C907="","",CONCATENATE("Sample ", 'Input Sheet'!B907, "m: ", N905, H905, "% ", "Siltstone, ", P905, 'Input Sheet'!C907, "% ", J905, " Sandstone, ", L905, K905, " FLUOR in SST. ", "TG ", 'Input Sheet'!I907, "U"))</f>
        <v/>
      </c>
      <c r="B905" s="3" t="str">
        <f>IF('Input Sheet'!C907="","",CONCATENATE("Sample ", 'Input Sheet'!B907, "m: ", O905, I905, "% ", "Siltstone, ", Q905, 'Input Sheet'!C907, "% ", K905, " Sandstone "))</f>
        <v/>
      </c>
      <c r="C905" s="3" t="str">
        <f>IF('Input Sheet'!C907="","",CONCATENATE("Sample ", 'Input Sheet'!B907, "m: ", N905,, L905, K905, " FLUOR in SST. ", "TG ", 'Input Sheet'!I907, "U"))</f>
        <v/>
      </c>
      <c r="H905" s="6" t="str">
        <f>IF('Input Sheet'!C907="","",100-'Input Sheet'!C907)</f>
        <v/>
      </c>
      <c r="I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5" s="6" t="str">
        <f t="shared" si="14"/>
        <v/>
      </c>
      <c r="K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5" s="6" t="str">
        <f>IF('Input Sheet'!F907=0, "NO",CONCATENATE('Input Sheet'!F907, IF('Input Sheet'!F907&gt;0,"% ","")))</f>
        <v>NO</v>
      </c>
      <c r="M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5" s="6" t="str">
        <f>CONCATENATE(M905, IF('Input Sheet'!J907="",""," siderite in "))</f>
        <v/>
      </c>
      <c r="O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5" s="6" t="str">
        <f>CONCATENATE(O905, IF('Input Sheet'!K907="",""," siderite in "))</f>
        <v/>
      </c>
    </row>
    <row r="906" spans="1:16" x14ac:dyDescent="0.25">
      <c r="A906" s="17" t="str">
        <f>IF('Input Sheet'!C908="","",CONCATENATE("Sample ", 'Input Sheet'!B908, "m: ", N906, H906, "% ", "Siltstone, ", P906, 'Input Sheet'!C908, "% ", J906, " Sandstone, ", L906, K906, " FLUOR in SST. ", "TG ", 'Input Sheet'!I908, "U"))</f>
        <v/>
      </c>
      <c r="B906" s="3" t="str">
        <f>IF('Input Sheet'!C908="","",CONCATENATE("Sample ", 'Input Sheet'!B908, "m: ", O906, I906, "% ", "Siltstone, ", Q906, 'Input Sheet'!C908, "% ", K906, " Sandstone "))</f>
        <v/>
      </c>
      <c r="C906" s="3" t="str">
        <f>IF('Input Sheet'!C908="","",CONCATENATE("Sample ", 'Input Sheet'!B908, "m: ", N906,, L906, K906, " FLUOR in SST. ", "TG ", 'Input Sheet'!I908, "U"))</f>
        <v/>
      </c>
      <c r="H906" s="6" t="str">
        <f>IF('Input Sheet'!C908="","",100-'Input Sheet'!C908)</f>
        <v/>
      </c>
      <c r="I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6" s="6" t="str">
        <f t="shared" si="14"/>
        <v/>
      </c>
      <c r="K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6" s="6" t="str">
        <f>IF('Input Sheet'!F908=0, "NO",CONCATENATE('Input Sheet'!F908, IF('Input Sheet'!F908&gt;0,"% ","")))</f>
        <v>NO</v>
      </c>
      <c r="M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6" s="6" t="str">
        <f>CONCATENATE(M906, IF('Input Sheet'!J908="",""," siderite in "))</f>
        <v/>
      </c>
      <c r="O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6" s="6" t="str">
        <f>CONCATENATE(O906, IF('Input Sheet'!K908="",""," siderite in "))</f>
        <v/>
      </c>
    </row>
    <row r="907" spans="1:16" x14ac:dyDescent="0.25">
      <c r="A907" s="17" t="str">
        <f>IF('Input Sheet'!C909="","",CONCATENATE("Sample ", 'Input Sheet'!B909, "m: ", N907, H907, "% ", "Siltstone, ", P907, 'Input Sheet'!C909, "% ", J907, " Sandstone, ", L907, K907, " FLUOR in SST. ", "TG ", 'Input Sheet'!I909, "U"))</f>
        <v/>
      </c>
      <c r="B907" s="3" t="str">
        <f>IF('Input Sheet'!C909="","",CONCATENATE("Sample ", 'Input Sheet'!B909, "m: ", O907, I907, "% ", "Siltstone, ", Q907, 'Input Sheet'!C909, "% ", K907, " Sandstone "))</f>
        <v/>
      </c>
      <c r="C907" s="3" t="str">
        <f>IF('Input Sheet'!C909="","",CONCATENATE("Sample ", 'Input Sheet'!B909, "m: ", N907,, L907, K907, " FLUOR in SST. ", "TG ", 'Input Sheet'!I909, "U"))</f>
        <v/>
      </c>
      <c r="H907" s="6" t="str">
        <f>IF('Input Sheet'!C909="","",100-'Input Sheet'!C909)</f>
        <v/>
      </c>
      <c r="I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7" s="6" t="str">
        <f t="shared" si="14"/>
        <v/>
      </c>
      <c r="K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7" s="6" t="str">
        <f>IF('Input Sheet'!F909=0, "NO",CONCATENATE('Input Sheet'!F909, IF('Input Sheet'!F909&gt;0,"% ","")))</f>
        <v>NO</v>
      </c>
      <c r="M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7" s="6" t="str">
        <f>CONCATENATE(M907, IF('Input Sheet'!J909="",""," siderite in "))</f>
        <v/>
      </c>
      <c r="O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7" s="6" t="str">
        <f>CONCATENATE(O907, IF('Input Sheet'!K909="",""," siderite in "))</f>
        <v/>
      </c>
    </row>
    <row r="908" spans="1:16" x14ac:dyDescent="0.25">
      <c r="A908" s="17" t="str">
        <f>IF('Input Sheet'!C910="","",CONCATENATE("Sample ", 'Input Sheet'!B910, "m: ", N908, H908, "% ", "Siltstone, ", P908, 'Input Sheet'!C910, "% ", J908, " Sandstone, ", L908, K908, " FLUOR in SST. ", "TG ", 'Input Sheet'!I910, "U"))</f>
        <v/>
      </c>
      <c r="B908" s="3" t="str">
        <f>IF('Input Sheet'!C910="","",CONCATENATE("Sample ", 'Input Sheet'!B910, "m: ", O908, I908, "% ", "Siltstone, ", Q908, 'Input Sheet'!C910, "% ", K908, " Sandstone "))</f>
        <v/>
      </c>
      <c r="C908" s="3" t="str">
        <f>IF('Input Sheet'!C910="","",CONCATENATE("Sample ", 'Input Sheet'!B910, "m: ", N908,, L908, K908, " FLUOR in SST. ", "TG ", 'Input Sheet'!I910, "U"))</f>
        <v/>
      </c>
      <c r="H908" s="6" t="str">
        <f>IF('Input Sheet'!C910="","",100-'Input Sheet'!C910)</f>
        <v/>
      </c>
      <c r="I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8" s="6" t="str">
        <f t="shared" si="14"/>
        <v/>
      </c>
      <c r="K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8" s="6" t="str">
        <f>IF('Input Sheet'!F910=0, "NO",CONCATENATE('Input Sheet'!F910, IF('Input Sheet'!F910&gt;0,"% ","")))</f>
        <v>NO</v>
      </c>
      <c r="M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8" s="6" t="str">
        <f>CONCATENATE(M908, IF('Input Sheet'!J910="",""," siderite in "))</f>
        <v/>
      </c>
      <c r="O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8" s="6" t="str">
        <f>CONCATENATE(O908, IF('Input Sheet'!K910="",""," siderite in "))</f>
        <v/>
      </c>
    </row>
    <row r="909" spans="1:16" x14ac:dyDescent="0.25">
      <c r="A909" s="17" t="str">
        <f>IF('Input Sheet'!C911="","",CONCATENATE("Sample ", 'Input Sheet'!B911, "m: ", N909, H909, "% ", "Siltstone, ", P909, 'Input Sheet'!C911, "% ", J909, " Sandstone, ", L909, K909, " FLUOR in SST. ", "TG ", 'Input Sheet'!I911, "U"))</f>
        <v/>
      </c>
      <c r="B909" s="3" t="str">
        <f>IF('Input Sheet'!C911="","",CONCATENATE("Sample ", 'Input Sheet'!B911, "m: ", O909, I909, "% ", "Siltstone, ", Q909, 'Input Sheet'!C911, "% ", K909, " Sandstone "))</f>
        <v/>
      </c>
      <c r="C909" s="3" t="str">
        <f>IF('Input Sheet'!C911="","",CONCATENATE("Sample ", 'Input Sheet'!B911, "m: ", N909,, L909, K909, " FLUOR in SST. ", "TG ", 'Input Sheet'!I911, "U"))</f>
        <v/>
      </c>
      <c r="H909" s="6" t="str">
        <f>IF('Input Sheet'!C911="","",100-'Input Sheet'!C911)</f>
        <v/>
      </c>
      <c r="I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09" s="6" t="str">
        <f t="shared" si="14"/>
        <v/>
      </c>
      <c r="K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09" s="6" t="str">
        <f>IF('Input Sheet'!F911=0, "NO",CONCATENATE('Input Sheet'!F911, IF('Input Sheet'!F911&gt;0,"% ","")))</f>
        <v>NO</v>
      </c>
      <c r="M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09" s="6" t="str">
        <f>CONCATENATE(M909, IF('Input Sheet'!J911="",""," siderite in "))</f>
        <v/>
      </c>
      <c r="O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09" s="6" t="str">
        <f>CONCATENATE(O909, IF('Input Sheet'!K911="",""," siderite in "))</f>
        <v/>
      </c>
    </row>
    <row r="910" spans="1:16" x14ac:dyDescent="0.25">
      <c r="A910" s="17" t="str">
        <f>IF('Input Sheet'!C912="","",CONCATENATE("Sample ", 'Input Sheet'!B912, "m: ", N910, H910, "% ", "Siltstone, ", P910, 'Input Sheet'!C912, "% ", J910, " Sandstone, ", L910, K910, " FLUOR in SST. ", "TG ", 'Input Sheet'!I912, "U"))</f>
        <v/>
      </c>
      <c r="B910" s="3" t="str">
        <f>IF('Input Sheet'!C912="","",CONCATENATE("Sample ", 'Input Sheet'!B912, "m: ", O910, I910, "% ", "Siltstone, ", Q910, 'Input Sheet'!C912, "% ", K910, " Sandstone "))</f>
        <v/>
      </c>
      <c r="C910" s="3" t="str">
        <f>IF('Input Sheet'!C912="","",CONCATENATE("Sample ", 'Input Sheet'!B912, "m: ", N910,, L910, K910, " FLUOR in SST. ", "TG ", 'Input Sheet'!I912, "U"))</f>
        <v/>
      </c>
      <c r="H910" s="6" t="str">
        <f>IF('Input Sheet'!C912="","",100-'Input Sheet'!C912)</f>
        <v/>
      </c>
      <c r="I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0" s="6" t="str">
        <f t="shared" si="14"/>
        <v/>
      </c>
      <c r="K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0" s="6" t="str">
        <f>IF('Input Sheet'!F912=0, "NO",CONCATENATE('Input Sheet'!F912, IF('Input Sheet'!F912&gt;0,"% ","")))</f>
        <v>NO</v>
      </c>
      <c r="M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0" s="6" t="str">
        <f>CONCATENATE(M910, IF('Input Sheet'!J912="",""," siderite in "))</f>
        <v/>
      </c>
      <c r="O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0" s="6" t="str">
        <f>CONCATENATE(O910, IF('Input Sheet'!K912="",""," siderite in "))</f>
        <v/>
      </c>
    </row>
    <row r="911" spans="1:16" x14ac:dyDescent="0.25">
      <c r="A911" s="17" t="str">
        <f>IF('Input Sheet'!C913="","",CONCATENATE("Sample ", 'Input Sheet'!B913, "m: ", N911, H911, "% ", "Siltstone, ", P911, 'Input Sheet'!C913, "% ", J911, " Sandstone, ", L911, K911, " FLUOR in SST. ", "TG ", 'Input Sheet'!I913, "U"))</f>
        <v/>
      </c>
      <c r="B911" s="3" t="str">
        <f>IF('Input Sheet'!C913="","",CONCATENATE("Sample ", 'Input Sheet'!B913, "m: ", O911, I911, "% ", "Siltstone, ", Q911, 'Input Sheet'!C913, "% ", K911, " Sandstone "))</f>
        <v/>
      </c>
      <c r="C911" s="3" t="str">
        <f>IF('Input Sheet'!C913="","",CONCATENATE("Sample ", 'Input Sheet'!B913, "m: ", N911,, L911, K911, " FLUOR in SST. ", "TG ", 'Input Sheet'!I913, "U"))</f>
        <v/>
      </c>
      <c r="H911" s="6" t="str">
        <f>IF('Input Sheet'!C913="","",100-'Input Sheet'!C913)</f>
        <v/>
      </c>
      <c r="I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1" s="6" t="str">
        <f t="shared" si="14"/>
        <v/>
      </c>
      <c r="K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1" s="6" t="str">
        <f>IF('Input Sheet'!F913=0, "NO",CONCATENATE('Input Sheet'!F913, IF('Input Sheet'!F913&gt;0,"% ","")))</f>
        <v>NO</v>
      </c>
      <c r="M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1" s="6" t="str">
        <f>CONCATENATE(M911, IF('Input Sheet'!J913="",""," siderite in "))</f>
        <v/>
      </c>
      <c r="O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1" s="6" t="str">
        <f>CONCATENATE(O911, IF('Input Sheet'!K913="",""," siderite in "))</f>
        <v/>
      </c>
    </row>
    <row r="912" spans="1:16" x14ac:dyDescent="0.25">
      <c r="A912" s="17" t="str">
        <f>IF('Input Sheet'!C914="","",CONCATENATE("Sample ", 'Input Sheet'!B914, "m: ", N912, H912, "% ", "Siltstone, ", P912, 'Input Sheet'!C914, "% ", J912, " Sandstone, ", L912, K912, " FLUOR in SST. ", "TG ", 'Input Sheet'!I914, "U"))</f>
        <v/>
      </c>
      <c r="B912" s="3" t="str">
        <f>IF('Input Sheet'!C914="","",CONCATENATE("Sample ", 'Input Sheet'!B914, "m: ", O912, I912, "% ", "Siltstone, ", Q912, 'Input Sheet'!C914, "% ", K912, " Sandstone "))</f>
        <v/>
      </c>
      <c r="C912" s="3" t="str">
        <f>IF('Input Sheet'!C914="","",CONCATENATE("Sample ", 'Input Sheet'!B914, "m: ", N912,, L912, K912, " FLUOR in SST. ", "TG ", 'Input Sheet'!I914, "U"))</f>
        <v/>
      </c>
      <c r="H912" s="6" t="str">
        <f>IF('Input Sheet'!C914="","",100-'Input Sheet'!C914)</f>
        <v/>
      </c>
      <c r="I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2" s="6" t="str">
        <f t="shared" si="14"/>
        <v/>
      </c>
      <c r="K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2" s="6" t="str">
        <f>IF('Input Sheet'!F914=0, "NO",CONCATENATE('Input Sheet'!F914, IF('Input Sheet'!F914&gt;0,"% ","")))</f>
        <v>NO</v>
      </c>
      <c r="M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2" s="6" t="str">
        <f>CONCATENATE(M912, IF('Input Sheet'!J914="",""," siderite in "))</f>
        <v/>
      </c>
      <c r="O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2" s="6" t="str">
        <f>CONCATENATE(O912, IF('Input Sheet'!K914="",""," siderite in "))</f>
        <v/>
      </c>
    </row>
    <row r="913" spans="1:16" x14ac:dyDescent="0.25">
      <c r="A913" s="17" t="str">
        <f>IF('Input Sheet'!C915="","",CONCATENATE("Sample ", 'Input Sheet'!B915, "m: ", N913, H913, "% ", "Siltstone, ", P913, 'Input Sheet'!C915, "% ", J913, " Sandstone, ", L913, K913, " FLUOR in SST. ", "TG ", 'Input Sheet'!I915, "U"))</f>
        <v/>
      </c>
      <c r="B913" s="3" t="str">
        <f>IF('Input Sheet'!C915="","",CONCATENATE("Sample ", 'Input Sheet'!B915, "m: ", O913, I913, "% ", "Siltstone, ", Q913, 'Input Sheet'!C915, "% ", K913, " Sandstone "))</f>
        <v/>
      </c>
      <c r="C913" s="3" t="str">
        <f>IF('Input Sheet'!C915="","",CONCATENATE("Sample ", 'Input Sheet'!B915, "m: ", N913,, L913, K913, " FLUOR in SST. ", "TG ", 'Input Sheet'!I915, "U"))</f>
        <v/>
      </c>
      <c r="H913" s="6" t="str">
        <f>IF('Input Sheet'!C915="","",100-'Input Sheet'!C915)</f>
        <v/>
      </c>
      <c r="I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3" s="6" t="str">
        <f t="shared" si="14"/>
        <v/>
      </c>
      <c r="K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3" s="6" t="str">
        <f>IF('Input Sheet'!F915=0, "NO",CONCATENATE('Input Sheet'!F915, IF('Input Sheet'!F915&gt;0,"% ","")))</f>
        <v>NO</v>
      </c>
      <c r="M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3" s="6" t="str">
        <f>CONCATENATE(M913, IF('Input Sheet'!J915="",""," siderite in "))</f>
        <v/>
      </c>
      <c r="O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3" s="6" t="str">
        <f>CONCATENATE(O913, IF('Input Sheet'!K915="",""," siderite in "))</f>
        <v/>
      </c>
    </row>
    <row r="914" spans="1:16" x14ac:dyDescent="0.25">
      <c r="A914" s="17" t="str">
        <f>IF('Input Sheet'!C916="","",CONCATENATE("Sample ", 'Input Sheet'!B916, "m: ", N914, H914, "% ", "Siltstone, ", P914, 'Input Sheet'!C916, "% ", J914, " Sandstone, ", L914, K914, " FLUOR in SST. ", "TG ", 'Input Sheet'!I916, "U"))</f>
        <v/>
      </c>
      <c r="B914" s="3" t="str">
        <f>IF('Input Sheet'!C916="","",CONCATENATE("Sample ", 'Input Sheet'!B916, "m: ", O914, I914, "% ", "Siltstone, ", Q914, 'Input Sheet'!C916, "% ", K914, " Sandstone "))</f>
        <v/>
      </c>
      <c r="C914" s="3" t="str">
        <f>IF('Input Sheet'!C916="","",CONCATENATE("Sample ", 'Input Sheet'!B916, "m: ", N914,, L914, K914, " FLUOR in SST. ", "TG ", 'Input Sheet'!I916, "U"))</f>
        <v/>
      </c>
      <c r="H914" s="6" t="str">
        <f>IF('Input Sheet'!C916="","",100-'Input Sheet'!C916)</f>
        <v/>
      </c>
      <c r="I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4" s="6" t="str">
        <f t="shared" si="14"/>
        <v/>
      </c>
      <c r="K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4" s="6" t="str">
        <f>IF('Input Sheet'!F916=0, "NO",CONCATENATE('Input Sheet'!F916, IF('Input Sheet'!F916&gt;0,"% ","")))</f>
        <v>NO</v>
      </c>
      <c r="M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4" s="6" t="str">
        <f>CONCATENATE(M914, IF('Input Sheet'!J916="",""," siderite in "))</f>
        <v/>
      </c>
      <c r="O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4" s="6" t="str">
        <f>CONCATENATE(O914, IF('Input Sheet'!K916="",""," siderite in "))</f>
        <v/>
      </c>
    </row>
    <row r="915" spans="1:16" x14ac:dyDescent="0.25">
      <c r="A915" s="17" t="str">
        <f>IF('Input Sheet'!C917="","",CONCATENATE("Sample ", 'Input Sheet'!B917, "m: ", N915, H915, "% ", "Siltstone, ", P915, 'Input Sheet'!C917, "% ", J915, " Sandstone, ", L915, K915, " FLUOR in SST. ", "TG ", 'Input Sheet'!I917, "U"))</f>
        <v/>
      </c>
      <c r="B915" s="3" t="str">
        <f>IF('Input Sheet'!C917="","",CONCATENATE("Sample ", 'Input Sheet'!B917, "m: ", O915, I915, "% ", "Siltstone, ", Q915, 'Input Sheet'!C917, "% ", K915, " Sandstone "))</f>
        <v/>
      </c>
      <c r="C915" s="3" t="str">
        <f>IF('Input Sheet'!C917="","",CONCATENATE("Sample ", 'Input Sheet'!B917, "m: ", N915,, L915, K915, " FLUOR in SST. ", "TG ", 'Input Sheet'!I917, "U"))</f>
        <v/>
      </c>
      <c r="H915" s="6" t="str">
        <f>IF('Input Sheet'!C917="","",100-'Input Sheet'!C917)</f>
        <v/>
      </c>
      <c r="I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5" s="6" t="str">
        <f t="shared" si="14"/>
        <v/>
      </c>
      <c r="K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5" s="6" t="str">
        <f>IF('Input Sheet'!F917=0, "NO",CONCATENATE('Input Sheet'!F917, IF('Input Sheet'!F917&gt;0,"% ","")))</f>
        <v>NO</v>
      </c>
      <c r="M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5" s="6" t="str">
        <f>CONCATENATE(M915, IF('Input Sheet'!J917="",""," siderite in "))</f>
        <v/>
      </c>
      <c r="O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5" s="6" t="str">
        <f>CONCATENATE(O915, IF('Input Sheet'!K917="",""," siderite in "))</f>
        <v/>
      </c>
    </row>
    <row r="916" spans="1:16" x14ac:dyDescent="0.25">
      <c r="A916" s="17" t="str">
        <f>IF('Input Sheet'!C918="","",CONCATENATE("Sample ", 'Input Sheet'!B918, "m: ", N916, H916, "% ", "Siltstone, ", P916, 'Input Sheet'!C918, "% ", J916, " Sandstone, ", L916, K916, " FLUOR in SST. ", "TG ", 'Input Sheet'!I918, "U"))</f>
        <v/>
      </c>
      <c r="B916" s="3" t="str">
        <f>IF('Input Sheet'!C918="","",CONCATENATE("Sample ", 'Input Sheet'!B918, "m: ", O916, I916, "% ", "Siltstone, ", Q916, 'Input Sheet'!C918, "% ", K916, " Sandstone "))</f>
        <v/>
      </c>
      <c r="C916" s="3" t="str">
        <f>IF('Input Sheet'!C918="","",CONCATENATE("Sample ", 'Input Sheet'!B918, "m: ", N916,, L916, K916, " FLUOR in SST. ", "TG ", 'Input Sheet'!I918, "U"))</f>
        <v/>
      </c>
      <c r="H916" s="6" t="str">
        <f>IF('Input Sheet'!C918="","",100-'Input Sheet'!C918)</f>
        <v/>
      </c>
      <c r="I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6" s="6" t="str">
        <f t="shared" si="14"/>
        <v/>
      </c>
      <c r="K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6" s="6" t="str">
        <f>IF('Input Sheet'!F918=0, "NO",CONCATENATE('Input Sheet'!F918, IF('Input Sheet'!F918&gt;0,"% ","")))</f>
        <v>NO</v>
      </c>
      <c r="M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6" s="6" t="str">
        <f>CONCATENATE(M916, IF('Input Sheet'!J918="",""," siderite in "))</f>
        <v/>
      </c>
      <c r="O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6" s="6" t="str">
        <f>CONCATENATE(O916, IF('Input Sheet'!K918="",""," siderite in "))</f>
        <v/>
      </c>
    </row>
    <row r="917" spans="1:16" x14ac:dyDescent="0.25">
      <c r="A917" s="17" t="str">
        <f>IF('Input Sheet'!C919="","",CONCATENATE("Sample ", 'Input Sheet'!B919, "m: ", N917, H917, "% ", "Siltstone, ", P917, 'Input Sheet'!C919, "% ", J917, " Sandstone, ", L917, K917, " FLUOR in SST. ", "TG ", 'Input Sheet'!I919, "U"))</f>
        <v/>
      </c>
      <c r="B917" s="3" t="str">
        <f>IF('Input Sheet'!C919="","",CONCATENATE("Sample ", 'Input Sheet'!B919, "m: ", O917, I917, "% ", "Siltstone, ", Q917, 'Input Sheet'!C919, "% ", K917, " Sandstone "))</f>
        <v/>
      </c>
      <c r="C917" s="3" t="str">
        <f>IF('Input Sheet'!C919="","",CONCATENATE("Sample ", 'Input Sheet'!B919, "m: ", N917,, L917, K917, " FLUOR in SST. ", "TG ", 'Input Sheet'!I919, "U"))</f>
        <v/>
      </c>
      <c r="H917" s="6" t="str">
        <f>IF('Input Sheet'!C919="","",100-'Input Sheet'!C919)</f>
        <v/>
      </c>
      <c r="I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7" s="6" t="str">
        <f t="shared" si="14"/>
        <v/>
      </c>
      <c r="K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7" s="6" t="str">
        <f>IF('Input Sheet'!F919=0, "NO",CONCATENATE('Input Sheet'!F919, IF('Input Sheet'!F919&gt;0,"% ","")))</f>
        <v>NO</v>
      </c>
      <c r="M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7" s="6" t="str">
        <f>CONCATENATE(M917, IF('Input Sheet'!J919="",""," siderite in "))</f>
        <v/>
      </c>
      <c r="O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7" s="6" t="str">
        <f>CONCATENATE(O917, IF('Input Sheet'!K919="",""," siderite in "))</f>
        <v/>
      </c>
    </row>
    <row r="918" spans="1:16" x14ac:dyDescent="0.25">
      <c r="A918" s="17" t="str">
        <f>IF('Input Sheet'!C920="","",CONCATENATE("Sample ", 'Input Sheet'!B920, "m: ", N918, H918, "% ", "Siltstone, ", P918, 'Input Sheet'!C920, "% ", J918, " Sandstone, ", L918, K918, " FLUOR in SST. ", "TG ", 'Input Sheet'!I920, "U"))</f>
        <v/>
      </c>
      <c r="B918" s="3" t="str">
        <f>IF('Input Sheet'!C920="","",CONCATENATE("Sample ", 'Input Sheet'!B920, "m: ", O918, I918, "% ", "Siltstone, ", Q918, 'Input Sheet'!C920, "% ", K918, " Sandstone "))</f>
        <v/>
      </c>
      <c r="C918" s="3" t="str">
        <f>IF('Input Sheet'!C920="","",CONCATENATE("Sample ", 'Input Sheet'!B920, "m: ", N918,, L918, K918, " FLUOR in SST. ", "TG ", 'Input Sheet'!I920, "U"))</f>
        <v/>
      </c>
      <c r="H918" s="6" t="str">
        <f>IF('Input Sheet'!C920="","",100-'Input Sheet'!C920)</f>
        <v/>
      </c>
      <c r="I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8" s="6" t="str">
        <f t="shared" si="14"/>
        <v/>
      </c>
      <c r="K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8" s="6" t="str">
        <f>IF('Input Sheet'!F920=0, "NO",CONCATENATE('Input Sheet'!F920, IF('Input Sheet'!F920&gt;0,"% ","")))</f>
        <v>NO</v>
      </c>
      <c r="M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8" s="6" t="str">
        <f>CONCATENATE(M918, IF('Input Sheet'!J920="",""," siderite in "))</f>
        <v/>
      </c>
      <c r="O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8" s="6" t="str">
        <f>CONCATENATE(O918, IF('Input Sheet'!K920="",""," siderite in "))</f>
        <v/>
      </c>
    </row>
    <row r="919" spans="1:16" x14ac:dyDescent="0.25">
      <c r="A919" s="17" t="str">
        <f>IF('Input Sheet'!C921="","",CONCATENATE("Sample ", 'Input Sheet'!B921, "m: ", N919, H919, "% ", "Siltstone, ", P919, 'Input Sheet'!C921, "% ", J919, " Sandstone, ", L919, K919, " FLUOR in SST. ", "TG ", 'Input Sheet'!I921, "U"))</f>
        <v/>
      </c>
      <c r="B919" s="3" t="str">
        <f>IF('Input Sheet'!C921="","",CONCATENATE("Sample ", 'Input Sheet'!B921, "m: ", O919, I919, "% ", "Siltstone, ", Q919, 'Input Sheet'!C921, "% ", K919, " Sandstone "))</f>
        <v/>
      </c>
      <c r="C919" s="3" t="str">
        <f>IF('Input Sheet'!C921="","",CONCATENATE("Sample ", 'Input Sheet'!B921, "m: ", N919,, L919, K919, " FLUOR in SST. ", "TG ", 'Input Sheet'!I921, "U"))</f>
        <v/>
      </c>
      <c r="H919" s="6" t="str">
        <f>IF('Input Sheet'!C921="","",100-'Input Sheet'!C921)</f>
        <v/>
      </c>
      <c r="I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19" s="6" t="str">
        <f t="shared" si="14"/>
        <v/>
      </c>
      <c r="K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19" s="6" t="str">
        <f>IF('Input Sheet'!F921=0, "NO",CONCATENATE('Input Sheet'!F921, IF('Input Sheet'!F921&gt;0,"% ","")))</f>
        <v>NO</v>
      </c>
      <c r="M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19" s="6" t="str">
        <f>CONCATENATE(M919, IF('Input Sheet'!J921="",""," siderite in "))</f>
        <v/>
      </c>
      <c r="O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19" s="6" t="str">
        <f>CONCATENATE(O919, IF('Input Sheet'!K921="",""," siderite in "))</f>
        <v/>
      </c>
    </row>
    <row r="920" spans="1:16" x14ac:dyDescent="0.25">
      <c r="A920" s="17" t="str">
        <f>IF('Input Sheet'!C922="","",CONCATENATE("Sample ", 'Input Sheet'!B922, "m: ", N920, H920, "% ", "Siltstone, ", P920, 'Input Sheet'!C922, "% ", J920, " Sandstone, ", L920, K920, " FLUOR in SST. ", "TG ", 'Input Sheet'!I922, "U"))</f>
        <v/>
      </c>
      <c r="B920" s="3" t="str">
        <f>IF('Input Sheet'!C922="","",CONCATENATE("Sample ", 'Input Sheet'!B922, "m: ", O920, I920, "% ", "Siltstone, ", Q920, 'Input Sheet'!C922, "% ", K920, " Sandstone "))</f>
        <v/>
      </c>
      <c r="C920" s="3" t="str">
        <f>IF('Input Sheet'!C922="","",CONCATENATE("Sample ", 'Input Sheet'!B922, "m: ", N920,, L920, K920, " FLUOR in SST. ", "TG ", 'Input Sheet'!I922, "U"))</f>
        <v/>
      </c>
      <c r="H920" s="6" t="str">
        <f>IF('Input Sheet'!C922="","",100-'Input Sheet'!C922)</f>
        <v/>
      </c>
      <c r="I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0" s="6" t="str">
        <f t="shared" si="14"/>
        <v/>
      </c>
      <c r="K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0" s="6" t="str">
        <f>IF('Input Sheet'!F922=0, "NO",CONCATENATE('Input Sheet'!F922, IF('Input Sheet'!F922&gt;0,"% ","")))</f>
        <v>NO</v>
      </c>
      <c r="M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0" s="6" t="str">
        <f>CONCATENATE(M920, IF('Input Sheet'!J922="",""," siderite in "))</f>
        <v/>
      </c>
      <c r="O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0" s="6" t="str">
        <f>CONCATENATE(O920, IF('Input Sheet'!K922="",""," siderite in "))</f>
        <v/>
      </c>
    </row>
    <row r="921" spans="1:16" x14ac:dyDescent="0.25">
      <c r="A921" s="17" t="str">
        <f>IF('Input Sheet'!C923="","",CONCATENATE("Sample ", 'Input Sheet'!B923, "m: ", N921, H921, "% ", "Siltstone, ", P921, 'Input Sheet'!C923, "% ", J921, " Sandstone, ", L921, K921, " FLUOR in SST. ", "TG ", 'Input Sheet'!I923, "U"))</f>
        <v/>
      </c>
      <c r="B921" s="3" t="str">
        <f>IF('Input Sheet'!C923="","",CONCATENATE("Sample ", 'Input Sheet'!B923, "m: ", O921, I921, "% ", "Siltstone, ", Q921, 'Input Sheet'!C923, "% ", K921, " Sandstone "))</f>
        <v/>
      </c>
      <c r="C921" s="3" t="str">
        <f>IF('Input Sheet'!C923="","",CONCATENATE("Sample ", 'Input Sheet'!B923, "m: ", N921,, L921, K921, " FLUOR in SST. ", "TG ", 'Input Sheet'!I923, "U"))</f>
        <v/>
      </c>
      <c r="H921" s="6" t="str">
        <f>IF('Input Sheet'!C923="","",100-'Input Sheet'!C923)</f>
        <v/>
      </c>
      <c r="I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1" s="6" t="str">
        <f t="shared" si="14"/>
        <v/>
      </c>
      <c r="K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1" s="6" t="str">
        <f>IF('Input Sheet'!F923=0, "NO",CONCATENATE('Input Sheet'!F923, IF('Input Sheet'!F923&gt;0,"% ","")))</f>
        <v>NO</v>
      </c>
      <c r="M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1" s="6" t="str">
        <f>CONCATENATE(M921, IF('Input Sheet'!J923="",""," siderite in "))</f>
        <v/>
      </c>
      <c r="O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1" s="6" t="str">
        <f>CONCATENATE(O921, IF('Input Sheet'!K923="",""," siderite in "))</f>
        <v/>
      </c>
    </row>
    <row r="922" spans="1:16" x14ac:dyDescent="0.25">
      <c r="A922" s="17" t="str">
        <f>IF('Input Sheet'!C924="","",CONCATENATE("Sample ", 'Input Sheet'!B924, "m: ", N922, H922, "% ", "Siltstone, ", P922, 'Input Sheet'!C924, "% ", J922, " Sandstone, ", L922, K922, " FLUOR in SST. ", "TG ", 'Input Sheet'!I924, "U"))</f>
        <v/>
      </c>
      <c r="B922" s="3" t="str">
        <f>IF('Input Sheet'!C924="","",CONCATENATE("Sample ", 'Input Sheet'!B924, "m: ", O922, I922, "% ", "Siltstone, ", Q922, 'Input Sheet'!C924, "% ", K922, " Sandstone "))</f>
        <v/>
      </c>
      <c r="C922" s="3" t="str">
        <f>IF('Input Sheet'!C924="","",CONCATENATE("Sample ", 'Input Sheet'!B924, "m: ", N922,, L922, K922, " FLUOR in SST. ", "TG ", 'Input Sheet'!I924, "U"))</f>
        <v/>
      </c>
      <c r="H922" s="6" t="str">
        <f>IF('Input Sheet'!C924="","",100-'Input Sheet'!C924)</f>
        <v/>
      </c>
      <c r="I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2" s="6" t="str">
        <f t="shared" si="14"/>
        <v/>
      </c>
      <c r="K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2" s="6" t="str">
        <f>IF('Input Sheet'!F924=0, "NO",CONCATENATE('Input Sheet'!F924, IF('Input Sheet'!F924&gt;0,"% ","")))</f>
        <v>NO</v>
      </c>
      <c r="M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2" s="6" t="str">
        <f>CONCATENATE(M922, IF('Input Sheet'!J924="",""," siderite in "))</f>
        <v/>
      </c>
      <c r="O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2" s="6" t="str">
        <f>CONCATENATE(O922, IF('Input Sheet'!K924="",""," siderite in "))</f>
        <v/>
      </c>
    </row>
    <row r="923" spans="1:16" x14ac:dyDescent="0.25">
      <c r="A923" s="17" t="str">
        <f>IF('Input Sheet'!C925="","",CONCATENATE("Sample ", 'Input Sheet'!B925, "m: ", N923, H923, "% ", "Siltstone, ", P923, 'Input Sheet'!C925, "% ", J923, " Sandstone, ", L923, K923, " FLUOR in SST. ", "TG ", 'Input Sheet'!I925, "U"))</f>
        <v/>
      </c>
      <c r="B923" s="3" t="str">
        <f>IF('Input Sheet'!C925="","",CONCATENATE("Sample ", 'Input Sheet'!B925, "m: ", O923, I923, "% ", "Siltstone, ", Q923, 'Input Sheet'!C925, "% ", K923, " Sandstone "))</f>
        <v/>
      </c>
      <c r="C923" s="3" t="str">
        <f>IF('Input Sheet'!C925="","",CONCATENATE("Sample ", 'Input Sheet'!B925, "m: ", N923,, L923, K923, " FLUOR in SST. ", "TG ", 'Input Sheet'!I925, "U"))</f>
        <v/>
      </c>
      <c r="H923" s="6" t="str">
        <f>IF('Input Sheet'!C925="","",100-'Input Sheet'!C925)</f>
        <v/>
      </c>
      <c r="I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3" s="6" t="str">
        <f t="shared" si="14"/>
        <v/>
      </c>
      <c r="K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3" s="6" t="str">
        <f>IF('Input Sheet'!F925=0, "NO",CONCATENATE('Input Sheet'!F925, IF('Input Sheet'!F925&gt;0,"% ","")))</f>
        <v>NO</v>
      </c>
      <c r="M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3" s="6" t="str">
        <f>CONCATENATE(M923, IF('Input Sheet'!J925="",""," siderite in "))</f>
        <v/>
      </c>
      <c r="O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3" s="6" t="str">
        <f>CONCATENATE(O923, IF('Input Sheet'!K925="",""," siderite in "))</f>
        <v/>
      </c>
    </row>
    <row r="924" spans="1:16" x14ac:dyDescent="0.25">
      <c r="A924" s="17" t="str">
        <f>IF('Input Sheet'!C926="","",CONCATENATE("Sample ", 'Input Sheet'!B926, "m: ", N924, H924, "% ", "Siltstone, ", P924, 'Input Sheet'!C926, "% ", J924, " Sandstone, ", L924, K924, " FLUOR in SST. ", "TG ", 'Input Sheet'!I926, "U"))</f>
        <v/>
      </c>
      <c r="B924" s="3" t="str">
        <f>IF('Input Sheet'!C926="","",CONCATENATE("Sample ", 'Input Sheet'!B926, "m: ", O924, I924, "% ", "Siltstone, ", Q924, 'Input Sheet'!C926, "% ", K924, " Sandstone "))</f>
        <v/>
      </c>
      <c r="C924" s="3" t="str">
        <f>IF('Input Sheet'!C926="","",CONCATENATE("Sample ", 'Input Sheet'!B926, "m: ", N924,, L924, K924, " FLUOR in SST. ", "TG ", 'Input Sheet'!I926, "U"))</f>
        <v/>
      </c>
      <c r="H924" s="6" t="str">
        <f>IF('Input Sheet'!C926="","",100-'Input Sheet'!C926)</f>
        <v/>
      </c>
      <c r="I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4" s="6" t="str">
        <f t="shared" si="14"/>
        <v/>
      </c>
      <c r="K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4" s="6" t="str">
        <f>IF('Input Sheet'!F926=0, "NO",CONCATENATE('Input Sheet'!F926, IF('Input Sheet'!F926&gt;0,"% ","")))</f>
        <v>NO</v>
      </c>
      <c r="M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4" s="6" t="str">
        <f>CONCATENATE(M924, IF('Input Sheet'!J926="",""," siderite in "))</f>
        <v/>
      </c>
      <c r="O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4" s="6" t="str">
        <f>CONCATENATE(O924, IF('Input Sheet'!K926="",""," siderite in "))</f>
        <v/>
      </c>
    </row>
    <row r="925" spans="1:16" x14ac:dyDescent="0.25">
      <c r="A925" s="17" t="str">
        <f>IF('Input Sheet'!C927="","",CONCATENATE("Sample ", 'Input Sheet'!B927, "m: ", N925, H925, "% ", "Siltstone, ", P925, 'Input Sheet'!C927, "% ", J925, " Sandstone, ", L925, K925, " FLUOR in SST. ", "TG ", 'Input Sheet'!I927, "U"))</f>
        <v/>
      </c>
      <c r="B925" s="3" t="str">
        <f>IF('Input Sheet'!C927="","",CONCATENATE("Sample ", 'Input Sheet'!B927, "m: ", O925, I925, "% ", "Siltstone, ", Q925, 'Input Sheet'!C927, "% ", K925, " Sandstone "))</f>
        <v/>
      </c>
      <c r="C925" s="3" t="str">
        <f>IF('Input Sheet'!C927="","",CONCATENATE("Sample ", 'Input Sheet'!B927, "m: ", N925,, L925, K925, " FLUOR in SST. ", "TG ", 'Input Sheet'!I927, "U"))</f>
        <v/>
      </c>
      <c r="H925" s="6" t="str">
        <f>IF('Input Sheet'!C927="","",100-'Input Sheet'!C927)</f>
        <v/>
      </c>
      <c r="I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5" s="6" t="str">
        <f t="shared" si="14"/>
        <v/>
      </c>
      <c r="K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5" s="6" t="str">
        <f>IF('Input Sheet'!F927=0, "NO",CONCATENATE('Input Sheet'!F927, IF('Input Sheet'!F927&gt;0,"% ","")))</f>
        <v>NO</v>
      </c>
      <c r="M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5" s="6" t="str">
        <f>CONCATENATE(M925, IF('Input Sheet'!J927="",""," siderite in "))</f>
        <v/>
      </c>
      <c r="O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5" s="6" t="str">
        <f>CONCATENATE(O925, IF('Input Sheet'!K927="",""," siderite in "))</f>
        <v/>
      </c>
    </row>
    <row r="926" spans="1:16" x14ac:dyDescent="0.25">
      <c r="A926" s="17" t="str">
        <f>IF('Input Sheet'!C928="","",CONCATENATE("Sample ", 'Input Sheet'!B928, "m: ", N926, H926, "% ", "Siltstone, ", P926, 'Input Sheet'!C928, "% ", J926, " Sandstone, ", L926, K926, " FLUOR in SST. ", "TG ", 'Input Sheet'!I928, "U"))</f>
        <v/>
      </c>
      <c r="B926" s="3" t="str">
        <f>IF('Input Sheet'!C928="","",CONCATENATE("Sample ", 'Input Sheet'!B928, "m: ", O926, I926, "% ", "Siltstone, ", Q926, 'Input Sheet'!C928, "% ", K926, " Sandstone "))</f>
        <v/>
      </c>
      <c r="C926" s="3" t="str">
        <f>IF('Input Sheet'!C928="","",CONCATENATE("Sample ", 'Input Sheet'!B928, "m: ", N926,, L926, K926, " FLUOR in SST. ", "TG ", 'Input Sheet'!I928, "U"))</f>
        <v/>
      </c>
      <c r="H926" s="6" t="str">
        <f>IF('Input Sheet'!C928="","",100-'Input Sheet'!C928)</f>
        <v/>
      </c>
      <c r="I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6" s="6" t="str">
        <f t="shared" si="14"/>
        <v/>
      </c>
      <c r="K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6" s="6" t="str">
        <f>IF('Input Sheet'!F928=0, "NO",CONCATENATE('Input Sheet'!F928, IF('Input Sheet'!F928&gt;0,"% ","")))</f>
        <v>NO</v>
      </c>
      <c r="M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6" s="6" t="str">
        <f>CONCATENATE(M926, IF('Input Sheet'!J928="",""," siderite in "))</f>
        <v/>
      </c>
      <c r="O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6" s="6" t="str">
        <f>CONCATENATE(O926, IF('Input Sheet'!K928="",""," siderite in "))</f>
        <v/>
      </c>
    </row>
    <row r="927" spans="1:16" x14ac:dyDescent="0.25">
      <c r="A927" s="17" t="str">
        <f>IF('Input Sheet'!C929="","",CONCATENATE("Sample ", 'Input Sheet'!B929, "m: ", N927, H927, "% ", "Siltstone, ", P927, 'Input Sheet'!C929, "% ", J927, " Sandstone, ", L927, K927, " FLUOR in SST. ", "TG ", 'Input Sheet'!I929, "U"))</f>
        <v/>
      </c>
      <c r="B927" s="3" t="str">
        <f>IF('Input Sheet'!C929="","",CONCATENATE("Sample ", 'Input Sheet'!B929, "m: ", O927, I927, "% ", "Siltstone, ", Q927, 'Input Sheet'!C929, "% ", K927, " Sandstone "))</f>
        <v/>
      </c>
      <c r="C927" s="3" t="str">
        <f>IF('Input Sheet'!C929="","",CONCATENATE("Sample ", 'Input Sheet'!B929, "m: ", N927,, L927, K927, " FLUOR in SST. ", "TG ", 'Input Sheet'!I929, "U"))</f>
        <v/>
      </c>
      <c r="H927" s="6" t="str">
        <f>IF('Input Sheet'!C929="","",100-'Input Sheet'!C929)</f>
        <v/>
      </c>
      <c r="I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7" s="6" t="str">
        <f t="shared" si="14"/>
        <v/>
      </c>
      <c r="K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7" s="6" t="str">
        <f>IF('Input Sheet'!F929=0, "NO",CONCATENATE('Input Sheet'!F929, IF('Input Sheet'!F929&gt;0,"% ","")))</f>
        <v>NO</v>
      </c>
      <c r="M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7" s="6" t="str">
        <f>CONCATENATE(M927, IF('Input Sheet'!J929="",""," siderite in "))</f>
        <v/>
      </c>
      <c r="O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7" s="6" t="str">
        <f>CONCATENATE(O927, IF('Input Sheet'!K929="",""," siderite in "))</f>
        <v/>
      </c>
    </row>
    <row r="928" spans="1:16" x14ac:dyDescent="0.25">
      <c r="A928" s="17" t="str">
        <f>IF('Input Sheet'!C930="","",CONCATENATE("Sample ", 'Input Sheet'!B930, "m: ", N928, H928, "% ", "Siltstone, ", P928, 'Input Sheet'!C930, "% ", J928, " Sandstone, ", L928, K928, " FLUOR in SST. ", "TG ", 'Input Sheet'!I930, "U"))</f>
        <v/>
      </c>
      <c r="B928" s="3" t="str">
        <f>IF('Input Sheet'!C930="","",CONCATENATE("Sample ", 'Input Sheet'!B930, "m: ", O928, I928, "% ", "Siltstone, ", Q928, 'Input Sheet'!C930, "% ", K928, " Sandstone "))</f>
        <v/>
      </c>
      <c r="C928" s="3" t="str">
        <f>IF('Input Sheet'!C930="","",CONCATENATE("Sample ", 'Input Sheet'!B930, "m: ", N928,, L928, K928, " FLUOR in SST. ", "TG ", 'Input Sheet'!I930, "U"))</f>
        <v/>
      </c>
      <c r="H928" s="6" t="str">
        <f>IF('Input Sheet'!C930="","",100-'Input Sheet'!C930)</f>
        <v/>
      </c>
      <c r="I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8" s="6" t="str">
        <f t="shared" si="14"/>
        <v/>
      </c>
      <c r="K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8" s="6" t="str">
        <f>IF('Input Sheet'!F930=0, "NO",CONCATENATE('Input Sheet'!F930, IF('Input Sheet'!F930&gt;0,"% ","")))</f>
        <v>NO</v>
      </c>
      <c r="M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8" s="6" t="str">
        <f>CONCATENATE(M928, IF('Input Sheet'!J930="",""," siderite in "))</f>
        <v/>
      </c>
      <c r="O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8" s="6" t="str">
        <f>CONCATENATE(O928, IF('Input Sheet'!K930="",""," siderite in "))</f>
        <v/>
      </c>
    </row>
    <row r="929" spans="1:16" x14ac:dyDescent="0.25">
      <c r="A929" s="17" t="str">
        <f>IF('Input Sheet'!C931="","",CONCATENATE("Sample ", 'Input Sheet'!B931, "m: ", N929, H929, "% ", "Siltstone, ", P929, 'Input Sheet'!C931, "% ", J929, " Sandstone, ", L929, K929, " FLUOR in SST. ", "TG ", 'Input Sheet'!I931, "U"))</f>
        <v/>
      </c>
      <c r="B929" s="3" t="str">
        <f>IF('Input Sheet'!C931="","",CONCATENATE("Sample ", 'Input Sheet'!B931, "m: ", O929, I929, "% ", "Siltstone, ", Q929, 'Input Sheet'!C931, "% ", K929, " Sandstone "))</f>
        <v/>
      </c>
      <c r="C929" s="3" t="str">
        <f>IF('Input Sheet'!C931="","",CONCATENATE("Sample ", 'Input Sheet'!B931, "m: ", N929,, L929, K929, " FLUOR in SST. ", "TG ", 'Input Sheet'!I931, "U"))</f>
        <v/>
      </c>
      <c r="H929" s="6" t="str">
        <f>IF('Input Sheet'!C931="","",100-'Input Sheet'!C931)</f>
        <v/>
      </c>
      <c r="I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29" s="6" t="str">
        <f t="shared" si="14"/>
        <v/>
      </c>
      <c r="K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29" s="6" t="str">
        <f>IF('Input Sheet'!F931=0, "NO",CONCATENATE('Input Sheet'!F931, IF('Input Sheet'!F931&gt;0,"% ","")))</f>
        <v>NO</v>
      </c>
      <c r="M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29" s="6" t="str">
        <f>CONCATENATE(M929, IF('Input Sheet'!J931="",""," siderite in "))</f>
        <v/>
      </c>
      <c r="O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29" s="6" t="str">
        <f>CONCATENATE(O929, IF('Input Sheet'!K931="",""," siderite in "))</f>
        <v/>
      </c>
    </row>
    <row r="930" spans="1:16" x14ac:dyDescent="0.25">
      <c r="A930" s="17" t="str">
        <f>IF('Input Sheet'!C932="","",CONCATENATE("Sample ", 'Input Sheet'!B932, "m: ", N930, H930, "% ", "Siltstone, ", P930, 'Input Sheet'!C932, "% ", J930, " Sandstone, ", L930, K930, " FLUOR in SST. ", "TG ", 'Input Sheet'!I932, "U"))</f>
        <v/>
      </c>
      <c r="B930" s="3" t="str">
        <f>IF('Input Sheet'!C932="","",CONCATENATE("Sample ", 'Input Sheet'!B932, "m: ", O930, I930, "% ", "Siltstone, ", Q930, 'Input Sheet'!C932, "% ", K930, " Sandstone "))</f>
        <v/>
      </c>
      <c r="C930" s="3" t="str">
        <f>IF('Input Sheet'!C932="","",CONCATENATE("Sample ", 'Input Sheet'!B932, "m: ", N930,, L930, K930, " FLUOR in SST. ", "TG ", 'Input Sheet'!I932, "U"))</f>
        <v/>
      </c>
      <c r="H930" s="6" t="str">
        <f>IF('Input Sheet'!C932="","",100-'Input Sheet'!C932)</f>
        <v/>
      </c>
      <c r="I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0" s="6" t="str">
        <f t="shared" si="14"/>
        <v/>
      </c>
      <c r="K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0" s="6" t="str">
        <f>IF('Input Sheet'!F932=0, "NO",CONCATENATE('Input Sheet'!F932, IF('Input Sheet'!F932&gt;0,"% ","")))</f>
        <v>NO</v>
      </c>
      <c r="M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0" s="6" t="str">
        <f>CONCATENATE(M930, IF('Input Sheet'!J932="",""," siderite in "))</f>
        <v/>
      </c>
      <c r="O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0" s="6" t="str">
        <f>CONCATENATE(O930, IF('Input Sheet'!K932="",""," siderite in "))</f>
        <v/>
      </c>
    </row>
    <row r="931" spans="1:16" x14ac:dyDescent="0.25">
      <c r="A931" s="17" t="str">
        <f>IF('Input Sheet'!C933="","",CONCATENATE("Sample ", 'Input Sheet'!B933, "m: ", N931, H931, "% ", "Siltstone, ", P931, 'Input Sheet'!C933, "% ", J931, " Sandstone, ", L931, K931, " FLUOR in SST. ", "TG ", 'Input Sheet'!I933, "U"))</f>
        <v/>
      </c>
      <c r="B931" s="3" t="str">
        <f>IF('Input Sheet'!C933="","",CONCATENATE("Sample ", 'Input Sheet'!B933, "m: ", O931, I931, "% ", "Siltstone, ", Q931, 'Input Sheet'!C933, "% ", K931, " Sandstone "))</f>
        <v/>
      </c>
      <c r="C931" s="3" t="str">
        <f>IF('Input Sheet'!C933="","",CONCATENATE("Sample ", 'Input Sheet'!B933, "m: ", N931,, L931, K931, " FLUOR in SST. ", "TG ", 'Input Sheet'!I933, "U"))</f>
        <v/>
      </c>
      <c r="H931" s="6" t="str">
        <f>IF('Input Sheet'!C933="","",100-'Input Sheet'!C933)</f>
        <v/>
      </c>
      <c r="I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1" s="6" t="str">
        <f t="shared" si="14"/>
        <v/>
      </c>
      <c r="K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1" s="6" t="str">
        <f>IF('Input Sheet'!F933=0, "NO",CONCATENATE('Input Sheet'!F933, IF('Input Sheet'!F933&gt;0,"% ","")))</f>
        <v>NO</v>
      </c>
      <c r="M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1" s="6" t="str">
        <f>CONCATENATE(M931, IF('Input Sheet'!J933="",""," siderite in "))</f>
        <v/>
      </c>
      <c r="O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1" s="6" t="str">
        <f>CONCATENATE(O931, IF('Input Sheet'!K933="",""," siderite in "))</f>
        <v/>
      </c>
    </row>
    <row r="932" spans="1:16" x14ac:dyDescent="0.25">
      <c r="A932" s="17" t="str">
        <f>IF('Input Sheet'!C934="","",CONCATENATE("Sample ", 'Input Sheet'!B934, "m: ", N932, H932, "% ", "Siltstone, ", P932, 'Input Sheet'!C934, "% ", J932, " Sandstone, ", L932, K932, " FLUOR in SST. ", "TG ", 'Input Sheet'!I934, "U"))</f>
        <v/>
      </c>
      <c r="B932" s="3" t="str">
        <f>IF('Input Sheet'!C934="","",CONCATENATE("Sample ", 'Input Sheet'!B934, "m: ", O932, I932, "% ", "Siltstone, ", Q932, 'Input Sheet'!C934, "% ", K932, " Sandstone "))</f>
        <v/>
      </c>
      <c r="C932" s="3" t="str">
        <f>IF('Input Sheet'!C934="","",CONCATENATE("Sample ", 'Input Sheet'!B934, "m: ", N932,, L932, K932, " FLUOR in SST. ", "TG ", 'Input Sheet'!I934, "U"))</f>
        <v/>
      </c>
      <c r="H932" s="6" t="str">
        <f>IF('Input Sheet'!C934="","",100-'Input Sheet'!C934)</f>
        <v/>
      </c>
      <c r="I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2" s="6" t="str">
        <f t="shared" si="14"/>
        <v/>
      </c>
      <c r="K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2" s="6" t="str">
        <f>IF('Input Sheet'!F934=0, "NO",CONCATENATE('Input Sheet'!F934, IF('Input Sheet'!F934&gt;0,"% ","")))</f>
        <v>NO</v>
      </c>
      <c r="M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2" s="6" t="str">
        <f>CONCATENATE(M932, IF('Input Sheet'!J934="",""," siderite in "))</f>
        <v/>
      </c>
      <c r="O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2" s="6" t="str">
        <f>CONCATENATE(O932, IF('Input Sheet'!K934="",""," siderite in "))</f>
        <v/>
      </c>
    </row>
    <row r="933" spans="1:16" x14ac:dyDescent="0.25">
      <c r="A933" s="17" t="str">
        <f>IF('Input Sheet'!C935="","",CONCATENATE("Sample ", 'Input Sheet'!B935, "m: ", N933, H933, "% ", "Siltstone, ", P933, 'Input Sheet'!C935, "% ", J933, " Sandstone, ", L933, K933, " FLUOR in SST. ", "TG ", 'Input Sheet'!I935, "U"))</f>
        <v/>
      </c>
      <c r="B933" s="3" t="str">
        <f>IF('Input Sheet'!C935="","",CONCATENATE("Sample ", 'Input Sheet'!B935, "m: ", O933, I933, "% ", "Siltstone, ", Q933, 'Input Sheet'!C935, "% ", K933, " Sandstone "))</f>
        <v/>
      </c>
      <c r="C933" s="3" t="str">
        <f>IF('Input Sheet'!C935="","",CONCATENATE("Sample ", 'Input Sheet'!B935, "m: ", N933,, L933, K933, " FLUOR in SST. ", "TG ", 'Input Sheet'!I935, "U"))</f>
        <v/>
      </c>
      <c r="H933" s="6" t="str">
        <f>IF('Input Sheet'!C935="","",100-'Input Sheet'!C935)</f>
        <v/>
      </c>
      <c r="I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3" s="6" t="str">
        <f t="shared" si="14"/>
        <v/>
      </c>
      <c r="K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3" s="6" t="str">
        <f>IF('Input Sheet'!F935=0, "NO",CONCATENATE('Input Sheet'!F935, IF('Input Sheet'!F935&gt;0,"% ","")))</f>
        <v>NO</v>
      </c>
      <c r="M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3" s="6" t="str">
        <f>CONCATENATE(M933, IF('Input Sheet'!J935="",""," siderite in "))</f>
        <v/>
      </c>
      <c r="O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3" s="6" t="str">
        <f>CONCATENATE(O933, IF('Input Sheet'!K935="",""," siderite in "))</f>
        <v/>
      </c>
    </row>
    <row r="934" spans="1:16" x14ac:dyDescent="0.25">
      <c r="A934" s="17" t="str">
        <f>IF('Input Sheet'!C936="","",CONCATENATE("Sample ", 'Input Sheet'!B936, "m: ", N934, H934, "% ", "Siltstone, ", P934, 'Input Sheet'!C936, "% ", J934, " Sandstone, ", L934, K934, " FLUOR in SST. ", "TG ", 'Input Sheet'!I936, "U"))</f>
        <v/>
      </c>
      <c r="B934" s="3" t="str">
        <f>IF('Input Sheet'!C936="","",CONCATENATE("Sample ", 'Input Sheet'!B936, "m: ", O934, I934, "% ", "Siltstone, ", Q934, 'Input Sheet'!C936, "% ", K934, " Sandstone "))</f>
        <v/>
      </c>
      <c r="C934" s="3" t="str">
        <f>IF('Input Sheet'!C936="","",CONCATENATE("Sample ", 'Input Sheet'!B936, "m: ", N934,, L934, K934, " FLUOR in SST. ", "TG ", 'Input Sheet'!I936, "U"))</f>
        <v/>
      </c>
      <c r="H934" s="6" t="str">
        <f>IF('Input Sheet'!C936="","",100-'Input Sheet'!C936)</f>
        <v/>
      </c>
      <c r="I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4" s="6" t="str">
        <f t="shared" si="14"/>
        <v/>
      </c>
      <c r="K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4" s="6" t="str">
        <f>IF('Input Sheet'!F936=0, "NO",CONCATENATE('Input Sheet'!F936, IF('Input Sheet'!F936&gt;0,"% ","")))</f>
        <v>NO</v>
      </c>
      <c r="M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4" s="6" t="str">
        <f>CONCATENATE(M934, IF('Input Sheet'!J936="",""," siderite in "))</f>
        <v/>
      </c>
      <c r="O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4" s="6" t="str">
        <f>CONCATENATE(O934, IF('Input Sheet'!K936="",""," siderite in "))</f>
        <v/>
      </c>
    </row>
    <row r="935" spans="1:16" x14ac:dyDescent="0.25">
      <c r="A935" s="17" t="str">
        <f>IF('Input Sheet'!C937="","",CONCATENATE("Sample ", 'Input Sheet'!B937, "m: ", N935, H935, "% ", "Siltstone, ", P935, 'Input Sheet'!C937, "% ", J935, " Sandstone, ", L935, K935, " FLUOR in SST. ", "TG ", 'Input Sheet'!I937, "U"))</f>
        <v/>
      </c>
      <c r="B935" s="3" t="str">
        <f>IF('Input Sheet'!C937="","",CONCATENATE("Sample ", 'Input Sheet'!B937, "m: ", O935, I935, "% ", "Siltstone, ", Q935, 'Input Sheet'!C937, "% ", K935, " Sandstone "))</f>
        <v/>
      </c>
      <c r="C935" s="3" t="str">
        <f>IF('Input Sheet'!C937="","",CONCATENATE("Sample ", 'Input Sheet'!B937, "m: ", N935,, L935, K935, " FLUOR in SST. ", "TG ", 'Input Sheet'!I937, "U"))</f>
        <v/>
      </c>
      <c r="H935" s="6" t="str">
        <f>IF('Input Sheet'!C937="","",100-'Input Sheet'!C937)</f>
        <v/>
      </c>
      <c r="I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5" s="6" t="str">
        <f t="shared" si="14"/>
        <v/>
      </c>
      <c r="K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5" s="6" t="str">
        <f>IF('Input Sheet'!F937=0, "NO",CONCATENATE('Input Sheet'!F937, IF('Input Sheet'!F937&gt;0,"% ","")))</f>
        <v>NO</v>
      </c>
      <c r="M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5" s="6" t="str">
        <f>CONCATENATE(M935, IF('Input Sheet'!J937="",""," siderite in "))</f>
        <v/>
      </c>
      <c r="O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5" s="6" t="str">
        <f>CONCATENATE(O935, IF('Input Sheet'!K937="",""," siderite in "))</f>
        <v/>
      </c>
    </row>
    <row r="936" spans="1:16" x14ac:dyDescent="0.25">
      <c r="A936" s="17" t="str">
        <f>IF('Input Sheet'!C938="","",CONCATENATE("Sample ", 'Input Sheet'!B938, "m: ", N936, H936, "% ", "Siltstone, ", P936, 'Input Sheet'!C938, "% ", J936, " Sandstone, ", L936, K936, " FLUOR in SST. ", "TG ", 'Input Sheet'!I938, "U"))</f>
        <v/>
      </c>
      <c r="B936" s="3" t="str">
        <f>IF('Input Sheet'!C938="","",CONCATENATE("Sample ", 'Input Sheet'!B938, "m: ", O936, I936, "% ", "Siltstone, ", Q936, 'Input Sheet'!C938, "% ", K936, " Sandstone "))</f>
        <v/>
      </c>
      <c r="C936" s="3" t="str">
        <f>IF('Input Sheet'!C938="","",CONCATENATE("Sample ", 'Input Sheet'!B938, "m: ", N936,, L936, K936, " FLUOR in SST. ", "TG ", 'Input Sheet'!I938, "U"))</f>
        <v/>
      </c>
      <c r="H936" s="6" t="str">
        <f>IF('Input Sheet'!C938="","",100-'Input Sheet'!C938)</f>
        <v/>
      </c>
      <c r="I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6" s="6" t="str">
        <f t="shared" si="14"/>
        <v/>
      </c>
      <c r="K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6" s="6" t="str">
        <f>IF('Input Sheet'!F938=0, "NO",CONCATENATE('Input Sheet'!F938, IF('Input Sheet'!F938&gt;0,"% ","")))</f>
        <v>NO</v>
      </c>
      <c r="M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6" s="6" t="str">
        <f>CONCATENATE(M936, IF('Input Sheet'!J938="",""," siderite in "))</f>
        <v/>
      </c>
      <c r="O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6" s="6" t="str">
        <f>CONCATENATE(O936, IF('Input Sheet'!K938="",""," siderite in "))</f>
        <v/>
      </c>
    </row>
    <row r="937" spans="1:16" x14ac:dyDescent="0.25">
      <c r="A937" s="17" t="str">
        <f>IF('Input Sheet'!C939="","",CONCATENATE("Sample ", 'Input Sheet'!B939, "m: ", N937, H937, "% ", "Siltstone, ", P937, 'Input Sheet'!C939, "% ", J937, " Sandstone, ", L937, K937, " FLUOR in SST. ", "TG ", 'Input Sheet'!I939, "U"))</f>
        <v/>
      </c>
      <c r="B937" s="3" t="str">
        <f>IF('Input Sheet'!C939="","",CONCATENATE("Sample ", 'Input Sheet'!B939, "m: ", O937, I937, "% ", "Siltstone, ", Q937, 'Input Sheet'!C939, "% ", K937, " Sandstone "))</f>
        <v/>
      </c>
      <c r="C937" s="3" t="str">
        <f>IF('Input Sheet'!C939="","",CONCATENATE("Sample ", 'Input Sheet'!B939, "m: ", N937,, L937, K937, " FLUOR in SST. ", "TG ", 'Input Sheet'!I939, "U"))</f>
        <v/>
      </c>
      <c r="H937" s="6" t="str">
        <f>IF('Input Sheet'!C939="","",100-'Input Sheet'!C939)</f>
        <v/>
      </c>
      <c r="I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7" s="6" t="str">
        <f t="shared" si="14"/>
        <v/>
      </c>
      <c r="K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7" s="6" t="str">
        <f>IF('Input Sheet'!F939=0, "NO",CONCATENATE('Input Sheet'!F939, IF('Input Sheet'!F939&gt;0,"% ","")))</f>
        <v>NO</v>
      </c>
      <c r="M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7" s="6" t="str">
        <f>CONCATENATE(M937, IF('Input Sheet'!J939="",""," siderite in "))</f>
        <v/>
      </c>
      <c r="O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7" s="6" t="str">
        <f>CONCATENATE(O937, IF('Input Sheet'!K939="",""," siderite in "))</f>
        <v/>
      </c>
    </row>
    <row r="938" spans="1:16" x14ac:dyDescent="0.25">
      <c r="A938" s="17" t="str">
        <f>IF('Input Sheet'!C940="","",CONCATENATE("Sample ", 'Input Sheet'!B940, "m: ", N938, H938, "% ", "Siltstone, ", P938, 'Input Sheet'!C940, "% ", J938, " Sandstone, ", L938, K938, " FLUOR in SST. ", "TG ", 'Input Sheet'!I940, "U"))</f>
        <v/>
      </c>
      <c r="B938" s="3" t="str">
        <f>IF('Input Sheet'!C940="","",CONCATENATE("Sample ", 'Input Sheet'!B940, "m: ", O938, I938, "% ", "Siltstone, ", Q938, 'Input Sheet'!C940, "% ", K938, " Sandstone "))</f>
        <v/>
      </c>
      <c r="C938" s="3" t="str">
        <f>IF('Input Sheet'!C940="","",CONCATENATE("Sample ", 'Input Sheet'!B940, "m: ", N938,, L938, K938, " FLUOR in SST. ", "TG ", 'Input Sheet'!I940, "U"))</f>
        <v/>
      </c>
      <c r="H938" s="6" t="str">
        <f>IF('Input Sheet'!C940="","",100-'Input Sheet'!C940)</f>
        <v/>
      </c>
      <c r="I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8" s="6" t="str">
        <f t="shared" si="14"/>
        <v/>
      </c>
      <c r="K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8" s="6" t="str">
        <f>IF('Input Sheet'!F940=0, "NO",CONCATENATE('Input Sheet'!F940, IF('Input Sheet'!F940&gt;0,"% ","")))</f>
        <v>NO</v>
      </c>
      <c r="M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8" s="6" t="str">
        <f>CONCATENATE(M938, IF('Input Sheet'!J940="",""," siderite in "))</f>
        <v/>
      </c>
      <c r="O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8" s="6" t="str">
        <f>CONCATENATE(O938, IF('Input Sheet'!K940="",""," siderite in "))</f>
        <v/>
      </c>
    </row>
    <row r="939" spans="1:16" x14ac:dyDescent="0.25">
      <c r="A939" s="17" t="str">
        <f>IF('Input Sheet'!C941="","",CONCATENATE("Sample ", 'Input Sheet'!B941, "m: ", N939, H939, "% ", "Siltstone, ", P939, 'Input Sheet'!C941, "% ", J939, " Sandstone, ", L939, K939, " FLUOR in SST. ", "TG ", 'Input Sheet'!I941, "U"))</f>
        <v/>
      </c>
      <c r="B939" s="3" t="str">
        <f>IF('Input Sheet'!C941="","",CONCATENATE("Sample ", 'Input Sheet'!B941, "m: ", O939, I939, "% ", "Siltstone, ", Q939, 'Input Sheet'!C941, "% ", K939, " Sandstone "))</f>
        <v/>
      </c>
      <c r="C939" s="3" t="str">
        <f>IF('Input Sheet'!C941="","",CONCATENATE("Sample ", 'Input Sheet'!B941, "m: ", N939,, L939, K939, " FLUOR in SST. ", "TG ", 'Input Sheet'!I941, "U"))</f>
        <v/>
      </c>
      <c r="H939" s="6" t="str">
        <f>IF('Input Sheet'!C941="","",100-'Input Sheet'!C941)</f>
        <v/>
      </c>
      <c r="I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39" s="6" t="str">
        <f t="shared" si="14"/>
        <v/>
      </c>
      <c r="K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39" s="6" t="str">
        <f>IF('Input Sheet'!F941=0, "NO",CONCATENATE('Input Sheet'!F941, IF('Input Sheet'!F941&gt;0,"% ","")))</f>
        <v>NO</v>
      </c>
      <c r="M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39" s="6" t="str">
        <f>CONCATENATE(M939, IF('Input Sheet'!J941="",""," siderite in "))</f>
        <v/>
      </c>
      <c r="O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39" s="6" t="str">
        <f>CONCATENATE(O939, IF('Input Sheet'!K941="",""," siderite in "))</f>
        <v/>
      </c>
    </row>
    <row r="940" spans="1:16" x14ac:dyDescent="0.25">
      <c r="A940" s="17" t="str">
        <f>IF('Input Sheet'!C942="","",CONCATENATE("Sample ", 'Input Sheet'!B942, "m: ", N940, H940, "% ", "Siltstone, ", P940, 'Input Sheet'!C942, "% ", J940, " Sandstone, ", L940, K940, " FLUOR in SST. ", "TG ", 'Input Sheet'!I942, "U"))</f>
        <v/>
      </c>
      <c r="B940" s="3" t="str">
        <f>IF('Input Sheet'!C942="","",CONCATENATE("Sample ", 'Input Sheet'!B942, "m: ", O940, I940, "% ", "Siltstone, ", Q940, 'Input Sheet'!C942, "% ", K940, " Sandstone "))</f>
        <v/>
      </c>
      <c r="C940" s="3" t="str">
        <f>IF('Input Sheet'!C942="","",CONCATENATE("Sample ", 'Input Sheet'!B942, "m: ", N940,, L940, K940, " FLUOR in SST. ", "TG ", 'Input Sheet'!I942, "U"))</f>
        <v/>
      </c>
      <c r="H940" s="6" t="str">
        <f>IF('Input Sheet'!C942="","",100-'Input Sheet'!C942)</f>
        <v/>
      </c>
      <c r="I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0" s="6" t="str">
        <f t="shared" si="14"/>
        <v/>
      </c>
      <c r="K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0" s="6" t="str">
        <f>IF('Input Sheet'!F942=0, "NO",CONCATENATE('Input Sheet'!F942, IF('Input Sheet'!F942&gt;0,"% ","")))</f>
        <v>NO</v>
      </c>
      <c r="M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0" s="6" t="str">
        <f>CONCATENATE(M940, IF('Input Sheet'!J942="",""," siderite in "))</f>
        <v/>
      </c>
      <c r="O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0" s="6" t="str">
        <f>CONCATENATE(O940, IF('Input Sheet'!K942="",""," siderite in "))</f>
        <v/>
      </c>
    </row>
    <row r="941" spans="1:16" x14ac:dyDescent="0.25">
      <c r="A941" s="17" t="str">
        <f>IF('Input Sheet'!C943="","",CONCATENATE("Sample ", 'Input Sheet'!B943, "m: ", N941, H941, "% ", "Siltstone, ", P941, 'Input Sheet'!C943, "% ", J941, " Sandstone, ", L941, K941, " FLUOR in SST. ", "TG ", 'Input Sheet'!I943, "U"))</f>
        <v/>
      </c>
      <c r="B941" s="3" t="str">
        <f>IF('Input Sheet'!C943="","",CONCATENATE("Sample ", 'Input Sheet'!B943, "m: ", O941, I941, "% ", "Siltstone, ", Q941, 'Input Sheet'!C943, "% ", K941, " Sandstone "))</f>
        <v/>
      </c>
      <c r="C941" s="3" t="str">
        <f>IF('Input Sheet'!C943="","",CONCATENATE("Sample ", 'Input Sheet'!B943, "m: ", N941,, L941, K941, " FLUOR in SST. ", "TG ", 'Input Sheet'!I943, "U"))</f>
        <v/>
      </c>
      <c r="H941" s="6" t="str">
        <f>IF('Input Sheet'!C943="","",100-'Input Sheet'!C943)</f>
        <v/>
      </c>
      <c r="I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1" s="6" t="str">
        <f t="shared" si="14"/>
        <v/>
      </c>
      <c r="K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1" s="6" t="str">
        <f>IF('Input Sheet'!F943=0, "NO",CONCATENATE('Input Sheet'!F943, IF('Input Sheet'!F943&gt;0,"% ","")))</f>
        <v>NO</v>
      </c>
      <c r="M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1" s="6" t="str">
        <f>CONCATENATE(M941, IF('Input Sheet'!J943="",""," siderite in "))</f>
        <v/>
      </c>
      <c r="O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1" s="6" t="str">
        <f>CONCATENATE(O941, IF('Input Sheet'!K943="",""," siderite in "))</f>
        <v/>
      </c>
    </row>
    <row r="942" spans="1:16" x14ac:dyDescent="0.25">
      <c r="A942" s="17" t="str">
        <f>IF('Input Sheet'!C944="","",CONCATENATE("Sample ", 'Input Sheet'!B944, "m: ", N942, H942, "% ", "Siltstone, ", P942, 'Input Sheet'!C944, "% ", J942, " Sandstone, ", L942, K942, " FLUOR in SST. ", "TG ", 'Input Sheet'!I944, "U"))</f>
        <v/>
      </c>
      <c r="B942" s="3" t="str">
        <f>IF('Input Sheet'!C944="","",CONCATENATE("Sample ", 'Input Sheet'!B944, "m: ", O942, I942, "% ", "Siltstone, ", Q942, 'Input Sheet'!C944, "% ", K942, " Sandstone "))</f>
        <v/>
      </c>
      <c r="C942" s="3" t="str">
        <f>IF('Input Sheet'!C944="","",CONCATENATE("Sample ", 'Input Sheet'!B944, "m: ", N942,, L942, K942, " FLUOR in SST. ", "TG ", 'Input Sheet'!I944, "U"))</f>
        <v/>
      </c>
      <c r="H942" s="6" t="str">
        <f>IF('Input Sheet'!C944="","",100-'Input Sheet'!C944)</f>
        <v/>
      </c>
      <c r="I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2" s="6" t="str">
        <f t="shared" si="14"/>
        <v/>
      </c>
      <c r="K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2" s="6" t="str">
        <f>IF('Input Sheet'!F944=0, "NO",CONCATENATE('Input Sheet'!F944, IF('Input Sheet'!F944&gt;0,"% ","")))</f>
        <v>NO</v>
      </c>
      <c r="M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2" s="6" t="str">
        <f>CONCATENATE(M942, IF('Input Sheet'!J944="",""," siderite in "))</f>
        <v/>
      </c>
      <c r="O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2" s="6" t="str">
        <f>CONCATENATE(O942, IF('Input Sheet'!K944="",""," siderite in "))</f>
        <v/>
      </c>
    </row>
    <row r="943" spans="1:16" x14ac:dyDescent="0.25">
      <c r="A943" s="17" t="str">
        <f>IF('Input Sheet'!C945="","",CONCATENATE("Sample ", 'Input Sheet'!B945, "m: ", N943, H943, "% ", "Siltstone, ", P943, 'Input Sheet'!C945, "% ", J943, " Sandstone, ", L943, K943, " FLUOR in SST. ", "TG ", 'Input Sheet'!I945, "U"))</f>
        <v/>
      </c>
      <c r="B943" s="3" t="str">
        <f>IF('Input Sheet'!C945="","",CONCATENATE("Sample ", 'Input Sheet'!B945, "m: ", O943, I943, "% ", "Siltstone, ", Q943, 'Input Sheet'!C945, "% ", K943, " Sandstone "))</f>
        <v/>
      </c>
      <c r="C943" s="3" t="str">
        <f>IF('Input Sheet'!C945="","",CONCATENATE("Sample ", 'Input Sheet'!B945, "m: ", N943,, L943, K943, " FLUOR in SST. ", "TG ", 'Input Sheet'!I945, "U"))</f>
        <v/>
      </c>
      <c r="H943" s="6" t="str">
        <f>IF('Input Sheet'!C945="","",100-'Input Sheet'!C945)</f>
        <v/>
      </c>
      <c r="I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3" s="6" t="str">
        <f t="shared" si="14"/>
        <v/>
      </c>
      <c r="K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3" s="6" t="str">
        <f>IF('Input Sheet'!F945=0, "NO",CONCATENATE('Input Sheet'!F945, IF('Input Sheet'!F945&gt;0,"% ","")))</f>
        <v>NO</v>
      </c>
      <c r="M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3" s="6" t="str">
        <f>CONCATENATE(M943, IF('Input Sheet'!J945="",""," siderite in "))</f>
        <v/>
      </c>
      <c r="O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3" s="6" t="str">
        <f>CONCATENATE(O943, IF('Input Sheet'!K945="",""," siderite in "))</f>
        <v/>
      </c>
    </row>
    <row r="944" spans="1:16" x14ac:dyDescent="0.25">
      <c r="A944" s="17" t="str">
        <f>IF('Input Sheet'!C946="","",CONCATENATE("Sample ", 'Input Sheet'!B946, "m: ", N944, H944, "% ", "Siltstone, ", P944, 'Input Sheet'!C946, "% ", J944, " Sandstone, ", L944, K944, " FLUOR in SST. ", "TG ", 'Input Sheet'!I946, "U"))</f>
        <v/>
      </c>
      <c r="B944" s="3" t="str">
        <f>IF('Input Sheet'!C946="","",CONCATENATE("Sample ", 'Input Sheet'!B946, "m: ", O944, I944, "% ", "Siltstone, ", Q944, 'Input Sheet'!C946, "% ", K944, " Sandstone "))</f>
        <v/>
      </c>
      <c r="C944" s="3" t="str">
        <f>IF('Input Sheet'!C946="","",CONCATENATE("Sample ", 'Input Sheet'!B946, "m: ", N944,, L944, K944, " FLUOR in SST. ", "TG ", 'Input Sheet'!I946, "U"))</f>
        <v/>
      </c>
      <c r="H944" s="6" t="str">
        <f>IF('Input Sheet'!C946="","",100-'Input Sheet'!C946)</f>
        <v/>
      </c>
      <c r="I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4" s="6" t="str">
        <f t="shared" si="14"/>
        <v/>
      </c>
      <c r="K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4" s="6" t="str">
        <f>IF('Input Sheet'!F946=0, "NO",CONCATENATE('Input Sheet'!F946, IF('Input Sheet'!F946&gt;0,"% ","")))</f>
        <v>NO</v>
      </c>
      <c r="M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4" s="6" t="str">
        <f>CONCATENATE(M944, IF('Input Sheet'!J946="",""," siderite in "))</f>
        <v/>
      </c>
      <c r="O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4" s="6" t="str">
        <f>CONCATENATE(O944, IF('Input Sheet'!K946="",""," siderite in "))</f>
        <v/>
      </c>
    </row>
    <row r="945" spans="1:16" x14ac:dyDescent="0.25">
      <c r="A945" s="17" t="str">
        <f>IF('Input Sheet'!C947="","",CONCATENATE("Sample ", 'Input Sheet'!B947, "m: ", N945, H945, "% ", "Siltstone, ", P945, 'Input Sheet'!C947, "% ", J945, " Sandstone, ", L945, K945, " FLUOR in SST. ", "TG ", 'Input Sheet'!I947, "U"))</f>
        <v/>
      </c>
      <c r="B945" s="3" t="str">
        <f>IF('Input Sheet'!C947="","",CONCATENATE("Sample ", 'Input Sheet'!B947, "m: ", O945, I945, "% ", "Siltstone, ", Q945, 'Input Sheet'!C947, "% ", K945, " Sandstone "))</f>
        <v/>
      </c>
      <c r="C945" s="3" t="str">
        <f>IF('Input Sheet'!C947="","",CONCATENATE("Sample ", 'Input Sheet'!B947, "m: ", N945,, L945, K945, " FLUOR in SST. ", "TG ", 'Input Sheet'!I947, "U"))</f>
        <v/>
      </c>
      <c r="H945" s="6" t="str">
        <f>IF('Input Sheet'!C947="","",100-'Input Sheet'!C947)</f>
        <v/>
      </c>
      <c r="I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5" s="6" t="str">
        <f t="shared" si="14"/>
        <v/>
      </c>
      <c r="K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5" s="6" t="str">
        <f>IF('Input Sheet'!F947=0, "NO",CONCATENATE('Input Sheet'!F947, IF('Input Sheet'!F947&gt;0,"% ","")))</f>
        <v>NO</v>
      </c>
      <c r="M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5" s="6" t="str">
        <f>CONCATENATE(M945, IF('Input Sheet'!J947="",""," siderite in "))</f>
        <v/>
      </c>
      <c r="O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5" s="6" t="str">
        <f>CONCATENATE(O945, IF('Input Sheet'!K947="",""," siderite in "))</f>
        <v/>
      </c>
    </row>
    <row r="946" spans="1:16" x14ac:dyDescent="0.25">
      <c r="A946" s="17" t="str">
        <f>IF('Input Sheet'!C948="","",CONCATENATE("Sample ", 'Input Sheet'!B948, "m: ", N946, H946, "% ", "Siltstone, ", P946, 'Input Sheet'!C948, "% ", J946, " Sandstone, ", L946, K946, " FLUOR in SST. ", "TG ", 'Input Sheet'!I948, "U"))</f>
        <v/>
      </c>
      <c r="B946" s="3" t="str">
        <f>IF('Input Sheet'!C948="","",CONCATENATE("Sample ", 'Input Sheet'!B948, "m: ", O946, I946, "% ", "Siltstone, ", Q946, 'Input Sheet'!C948, "% ", K946, " Sandstone "))</f>
        <v/>
      </c>
      <c r="C946" s="3" t="str">
        <f>IF('Input Sheet'!C948="","",CONCATENATE("Sample ", 'Input Sheet'!B948, "m: ", N946,, L946, K946, " FLUOR in SST. ", "TG ", 'Input Sheet'!I948, "U"))</f>
        <v/>
      </c>
      <c r="H946" s="6" t="str">
        <f>IF('Input Sheet'!C948="","",100-'Input Sheet'!C948)</f>
        <v/>
      </c>
      <c r="I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6" s="6" t="str">
        <f t="shared" si="14"/>
        <v/>
      </c>
      <c r="K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6" s="6" t="str">
        <f>IF('Input Sheet'!F948=0, "NO",CONCATENATE('Input Sheet'!F948, IF('Input Sheet'!F948&gt;0,"% ","")))</f>
        <v>NO</v>
      </c>
      <c r="M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6" s="6" t="str">
        <f>CONCATENATE(M946, IF('Input Sheet'!J948="",""," siderite in "))</f>
        <v/>
      </c>
      <c r="O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6" s="6" t="str">
        <f>CONCATENATE(O946, IF('Input Sheet'!K948="",""," siderite in "))</f>
        <v/>
      </c>
    </row>
    <row r="947" spans="1:16" x14ac:dyDescent="0.25">
      <c r="A947" s="17" t="str">
        <f>IF('Input Sheet'!C949="","",CONCATENATE("Sample ", 'Input Sheet'!B949, "m: ", N947, H947, "% ", "Siltstone, ", P947, 'Input Sheet'!C949, "% ", J947, " Sandstone, ", L947, K947, " FLUOR in SST. ", "TG ", 'Input Sheet'!I949, "U"))</f>
        <v/>
      </c>
      <c r="B947" s="3" t="str">
        <f>IF('Input Sheet'!C949="","",CONCATENATE("Sample ", 'Input Sheet'!B949, "m: ", O947, I947, "% ", "Siltstone, ", Q947, 'Input Sheet'!C949, "% ", K947, " Sandstone "))</f>
        <v/>
      </c>
      <c r="C947" s="3" t="str">
        <f>IF('Input Sheet'!C949="","",CONCATENATE("Sample ", 'Input Sheet'!B949, "m: ", N947,, L947, K947, " FLUOR in SST. ", "TG ", 'Input Sheet'!I949, "U"))</f>
        <v/>
      </c>
      <c r="H947" s="6" t="str">
        <f>IF('Input Sheet'!C949="","",100-'Input Sheet'!C949)</f>
        <v/>
      </c>
      <c r="I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7" s="6" t="str">
        <f t="shared" si="14"/>
        <v/>
      </c>
      <c r="K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7" s="6" t="str">
        <f>IF('Input Sheet'!F949=0, "NO",CONCATENATE('Input Sheet'!F949, IF('Input Sheet'!F949&gt;0,"% ","")))</f>
        <v>NO</v>
      </c>
      <c r="M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7" s="6" t="str">
        <f>CONCATENATE(M947, IF('Input Sheet'!J949="",""," siderite in "))</f>
        <v/>
      </c>
      <c r="O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7" s="6" t="str">
        <f>CONCATENATE(O947, IF('Input Sheet'!K949="",""," siderite in "))</f>
        <v/>
      </c>
    </row>
    <row r="948" spans="1:16" x14ac:dyDescent="0.25">
      <c r="A948" s="17" t="str">
        <f>IF('Input Sheet'!C950="","",CONCATENATE("Sample ", 'Input Sheet'!B950, "m: ", N948, H948, "% ", "Siltstone, ", P948, 'Input Sheet'!C950, "% ", J948, " Sandstone, ", L948, K948, " FLUOR in SST. ", "TG ", 'Input Sheet'!I950, "U"))</f>
        <v/>
      </c>
      <c r="B948" s="3" t="str">
        <f>IF('Input Sheet'!C950="","",CONCATENATE("Sample ", 'Input Sheet'!B950, "m: ", O948, I948, "% ", "Siltstone, ", Q948, 'Input Sheet'!C950, "% ", K948, " Sandstone "))</f>
        <v/>
      </c>
      <c r="C948" s="3" t="str">
        <f>IF('Input Sheet'!C950="","",CONCATENATE("Sample ", 'Input Sheet'!B950, "m: ", N948,, L948, K948, " FLUOR in SST. ", "TG ", 'Input Sheet'!I950, "U"))</f>
        <v/>
      </c>
      <c r="H948" s="6" t="str">
        <f>IF('Input Sheet'!C950="","",100-'Input Sheet'!C950)</f>
        <v/>
      </c>
      <c r="I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8" s="6" t="str">
        <f t="shared" si="14"/>
        <v/>
      </c>
      <c r="K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8" s="6" t="str">
        <f>IF('Input Sheet'!F950=0, "NO",CONCATENATE('Input Sheet'!F950, IF('Input Sheet'!F950&gt;0,"% ","")))</f>
        <v>NO</v>
      </c>
      <c r="M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8" s="6" t="str">
        <f>CONCATENATE(M948, IF('Input Sheet'!J950="",""," siderite in "))</f>
        <v/>
      </c>
      <c r="O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8" s="6" t="str">
        <f>CONCATENATE(O948, IF('Input Sheet'!K950="",""," siderite in "))</f>
        <v/>
      </c>
    </row>
    <row r="949" spans="1:16" x14ac:dyDescent="0.25">
      <c r="A949" s="17" t="str">
        <f>IF('Input Sheet'!C951="","",CONCATENATE("Sample ", 'Input Sheet'!B951, "m: ", N949, H949, "% ", "Siltstone, ", P949, 'Input Sheet'!C951, "% ", J949, " Sandstone, ", L949, K949, " FLUOR in SST. ", "TG ", 'Input Sheet'!I951, "U"))</f>
        <v/>
      </c>
      <c r="B949" s="3" t="str">
        <f>IF('Input Sheet'!C951="","",CONCATENATE("Sample ", 'Input Sheet'!B951, "m: ", O949, I949, "% ", "Siltstone, ", Q949, 'Input Sheet'!C951, "% ", K949, " Sandstone "))</f>
        <v/>
      </c>
      <c r="C949" s="3" t="str">
        <f>IF('Input Sheet'!C951="","",CONCATENATE("Sample ", 'Input Sheet'!B951, "m: ", N949,, L949, K949, " FLUOR in SST. ", "TG ", 'Input Sheet'!I951, "U"))</f>
        <v/>
      </c>
      <c r="H949" s="6" t="str">
        <f>IF('Input Sheet'!C951="","",100-'Input Sheet'!C951)</f>
        <v/>
      </c>
      <c r="I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49" s="6" t="str">
        <f t="shared" si="14"/>
        <v/>
      </c>
      <c r="K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49" s="6" t="str">
        <f>IF('Input Sheet'!F951=0, "NO",CONCATENATE('Input Sheet'!F951, IF('Input Sheet'!F951&gt;0,"% ","")))</f>
        <v>NO</v>
      </c>
      <c r="M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49" s="6" t="str">
        <f>CONCATENATE(M949, IF('Input Sheet'!J951="",""," siderite in "))</f>
        <v/>
      </c>
      <c r="O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49" s="6" t="str">
        <f>CONCATENATE(O949, IF('Input Sheet'!K951="",""," siderite in "))</f>
        <v/>
      </c>
    </row>
    <row r="950" spans="1:16" x14ac:dyDescent="0.25">
      <c r="A950" s="17" t="str">
        <f>IF('Input Sheet'!C952="","",CONCATENATE("Sample ", 'Input Sheet'!B952, "m: ", N950, H950, "% ", "Siltstone, ", P950, 'Input Sheet'!C952, "% ", J950, " Sandstone, ", L950, K950, " FLUOR in SST. ", "TG ", 'Input Sheet'!I952, "U"))</f>
        <v/>
      </c>
      <c r="B950" s="3" t="str">
        <f>IF('Input Sheet'!C952="","",CONCATENATE("Sample ", 'Input Sheet'!B952, "m: ", O950, I950, "% ", "Siltstone, ", Q950, 'Input Sheet'!C952, "% ", K950, " Sandstone "))</f>
        <v/>
      </c>
      <c r="C950" s="3" t="str">
        <f>IF('Input Sheet'!C952="","",CONCATENATE("Sample ", 'Input Sheet'!B952, "m: ", N950,, L950, K950, " FLUOR in SST. ", "TG ", 'Input Sheet'!I952, "U"))</f>
        <v/>
      </c>
      <c r="H950" s="6" t="str">
        <f>IF('Input Sheet'!C952="","",100-'Input Sheet'!C952)</f>
        <v/>
      </c>
      <c r="I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0" s="6" t="str">
        <f t="shared" si="14"/>
        <v/>
      </c>
      <c r="K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0" s="6" t="str">
        <f>IF('Input Sheet'!F952=0, "NO",CONCATENATE('Input Sheet'!F952, IF('Input Sheet'!F952&gt;0,"% ","")))</f>
        <v>NO</v>
      </c>
      <c r="M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0" s="6" t="str">
        <f>CONCATENATE(M950, IF('Input Sheet'!J952="",""," siderite in "))</f>
        <v/>
      </c>
      <c r="O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0" s="6" t="str">
        <f>CONCATENATE(O950, IF('Input Sheet'!K952="",""," siderite in "))</f>
        <v/>
      </c>
    </row>
    <row r="951" spans="1:16" x14ac:dyDescent="0.25">
      <c r="A951" s="17" t="str">
        <f>IF('Input Sheet'!C953="","",CONCATENATE("Sample ", 'Input Sheet'!B953, "m: ", N951, H951, "% ", "Siltstone, ", P951, 'Input Sheet'!C953, "% ", J951, " Sandstone, ", L951, K951, " FLUOR in SST. ", "TG ", 'Input Sheet'!I953, "U"))</f>
        <v/>
      </c>
      <c r="B951" s="3" t="str">
        <f>IF('Input Sheet'!C953="","",CONCATENATE("Sample ", 'Input Sheet'!B953, "m: ", O951, I951, "% ", "Siltstone, ", Q951, 'Input Sheet'!C953, "% ", K951, " Sandstone "))</f>
        <v/>
      </c>
      <c r="C951" s="3" t="str">
        <f>IF('Input Sheet'!C953="","",CONCATENATE("Sample ", 'Input Sheet'!B953, "m: ", N951,, L951, K951, " FLUOR in SST. ", "TG ", 'Input Sheet'!I953, "U"))</f>
        <v/>
      </c>
      <c r="H951" s="6" t="str">
        <f>IF('Input Sheet'!C953="","",100-'Input Sheet'!C953)</f>
        <v/>
      </c>
      <c r="I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1" s="6" t="str">
        <f t="shared" si="14"/>
        <v/>
      </c>
      <c r="K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1" s="6" t="str">
        <f>IF('Input Sheet'!F953=0, "NO",CONCATENATE('Input Sheet'!F953, IF('Input Sheet'!F953&gt;0,"% ","")))</f>
        <v>NO</v>
      </c>
      <c r="M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1" s="6" t="str">
        <f>CONCATENATE(M951, IF('Input Sheet'!J953="",""," siderite in "))</f>
        <v/>
      </c>
      <c r="O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1" s="6" t="str">
        <f>CONCATENATE(O951, IF('Input Sheet'!K953="",""," siderite in "))</f>
        <v/>
      </c>
    </row>
    <row r="952" spans="1:16" x14ac:dyDescent="0.25">
      <c r="A952" s="17" t="str">
        <f>IF('Input Sheet'!C954="","",CONCATENATE("Sample ", 'Input Sheet'!B954, "m: ", N952, H952, "% ", "Siltstone, ", P952, 'Input Sheet'!C954, "% ", J952, " Sandstone, ", L952, K952, " FLUOR in SST. ", "TG ", 'Input Sheet'!I954, "U"))</f>
        <v/>
      </c>
      <c r="B952" s="3" t="str">
        <f>IF('Input Sheet'!C954="","",CONCATENATE("Sample ", 'Input Sheet'!B954, "m: ", O952, I952, "% ", "Siltstone, ", Q952, 'Input Sheet'!C954, "% ", K952, " Sandstone "))</f>
        <v/>
      </c>
      <c r="C952" s="3" t="str">
        <f>IF('Input Sheet'!C954="","",CONCATENATE("Sample ", 'Input Sheet'!B954, "m: ", N952,, L952, K952, " FLUOR in SST. ", "TG ", 'Input Sheet'!I954, "U"))</f>
        <v/>
      </c>
      <c r="H952" s="6" t="str">
        <f>IF('Input Sheet'!C954="","",100-'Input Sheet'!C954)</f>
        <v/>
      </c>
      <c r="I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2" s="6" t="str">
        <f t="shared" si="14"/>
        <v/>
      </c>
      <c r="K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2" s="6" t="str">
        <f>IF('Input Sheet'!F954=0, "NO",CONCATENATE('Input Sheet'!F954, IF('Input Sheet'!F954&gt;0,"% ","")))</f>
        <v>NO</v>
      </c>
      <c r="M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2" s="6" t="str">
        <f>CONCATENATE(M952, IF('Input Sheet'!J954="",""," siderite in "))</f>
        <v/>
      </c>
      <c r="O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2" s="6" t="str">
        <f>CONCATENATE(O952, IF('Input Sheet'!K954="",""," siderite in "))</f>
        <v/>
      </c>
    </row>
    <row r="953" spans="1:16" x14ac:dyDescent="0.25">
      <c r="A953" s="17" t="str">
        <f>IF('Input Sheet'!C955="","",CONCATENATE("Sample ", 'Input Sheet'!B955, "m: ", N953, H953, "% ", "Siltstone, ", P953, 'Input Sheet'!C955, "% ", J953, " Sandstone, ", L953, K953, " FLUOR in SST. ", "TG ", 'Input Sheet'!I955, "U"))</f>
        <v/>
      </c>
      <c r="B953" s="3" t="str">
        <f>IF('Input Sheet'!C955="","",CONCATENATE("Sample ", 'Input Sheet'!B955, "m: ", O953, I953, "% ", "Siltstone, ", Q953, 'Input Sheet'!C955, "% ", K953, " Sandstone "))</f>
        <v/>
      </c>
      <c r="C953" s="3" t="str">
        <f>IF('Input Sheet'!C955="","",CONCATENATE("Sample ", 'Input Sheet'!B955, "m: ", N953,, L953, K953, " FLUOR in SST. ", "TG ", 'Input Sheet'!I955, "U"))</f>
        <v/>
      </c>
      <c r="H953" s="6" t="str">
        <f>IF('Input Sheet'!C955="","",100-'Input Sheet'!C955)</f>
        <v/>
      </c>
      <c r="I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3" s="6" t="str">
        <f t="shared" si="14"/>
        <v/>
      </c>
      <c r="K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3" s="6" t="str">
        <f>IF('Input Sheet'!F955=0, "NO",CONCATENATE('Input Sheet'!F955, IF('Input Sheet'!F955&gt;0,"% ","")))</f>
        <v>NO</v>
      </c>
      <c r="M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3" s="6" t="str">
        <f>CONCATENATE(M953, IF('Input Sheet'!J955="",""," siderite in "))</f>
        <v/>
      </c>
      <c r="O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3" s="6" t="str">
        <f>CONCATENATE(O953, IF('Input Sheet'!K955="",""," siderite in "))</f>
        <v/>
      </c>
    </row>
    <row r="954" spans="1:16" x14ac:dyDescent="0.25">
      <c r="A954" s="17" t="str">
        <f>IF('Input Sheet'!C956="","",CONCATENATE("Sample ", 'Input Sheet'!B956, "m: ", N954, H954, "% ", "Siltstone, ", P954, 'Input Sheet'!C956, "% ", J954, " Sandstone, ", L954, K954, " FLUOR in SST. ", "TG ", 'Input Sheet'!I956, "U"))</f>
        <v/>
      </c>
      <c r="B954" s="3" t="str">
        <f>IF('Input Sheet'!C956="","",CONCATENATE("Sample ", 'Input Sheet'!B956, "m: ", O954, I954, "% ", "Siltstone, ", Q954, 'Input Sheet'!C956, "% ", K954, " Sandstone "))</f>
        <v/>
      </c>
      <c r="C954" s="3" t="str">
        <f>IF('Input Sheet'!C956="","",CONCATENATE("Sample ", 'Input Sheet'!B956, "m: ", N954,, L954, K954, " FLUOR in SST. ", "TG ", 'Input Sheet'!I956, "U"))</f>
        <v/>
      </c>
      <c r="H954" s="6" t="str">
        <f>IF('Input Sheet'!C956="","",100-'Input Sheet'!C956)</f>
        <v/>
      </c>
      <c r="I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4" s="6" t="str">
        <f t="shared" si="14"/>
        <v/>
      </c>
      <c r="K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4" s="6" t="str">
        <f>IF('Input Sheet'!F956=0, "NO",CONCATENATE('Input Sheet'!F956, IF('Input Sheet'!F956&gt;0,"% ","")))</f>
        <v>NO</v>
      </c>
      <c r="M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4" s="6" t="str">
        <f>CONCATENATE(M954, IF('Input Sheet'!J956="",""," siderite in "))</f>
        <v/>
      </c>
      <c r="O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4" s="6" t="str">
        <f>CONCATENATE(O954, IF('Input Sheet'!K956="",""," siderite in "))</f>
        <v/>
      </c>
    </row>
    <row r="955" spans="1:16" x14ac:dyDescent="0.25">
      <c r="A955" s="17" t="str">
        <f>IF('Input Sheet'!C957="","",CONCATENATE("Sample ", 'Input Sheet'!B957, "m: ", N955, H955, "% ", "Siltstone, ", P955, 'Input Sheet'!C957, "% ", J955, " Sandstone, ", L955, K955, " FLUOR in SST. ", "TG ", 'Input Sheet'!I957, "U"))</f>
        <v/>
      </c>
      <c r="B955" s="3" t="str">
        <f>IF('Input Sheet'!C957="","",CONCATENATE("Sample ", 'Input Sheet'!B957, "m: ", O955, I955, "% ", "Siltstone, ", Q955, 'Input Sheet'!C957, "% ", K955, " Sandstone "))</f>
        <v/>
      </c>
      <c r="C955" s="3" t="str">
        <f>IF('Input Sheet'!C957="","",CONCATENATE("Sample ", 'Input Sheet'!B957, "m: ", N955,, L955, K955, " FLUOR in SST. ", "TG ", 'Input Sheet'!I957, "U"))</f>
        <v/>
      </c>
      <c r="H955" s="6" t="str">
        <f>IF('Input Sheet'!C957="","",100-'Input Sheet'!C957)</f>
        <v/>
      </c>
      <c r="I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5" s="6" t="str">
        <f t="shared" si="14"/>
        <v/>
      </c>
      <c r="K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5" s="6" t="str">
        <f>IF('Input Sheet'!F957=0, "NO",CONCATENATE('Input Sheet'!F957, IF('Input Sheet'!F957&gt;0,"% ","")))</f>
        <v>NO</v>
      </c>
      <c r="M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5" s="6" t="str">
        <f>CONCATENATE(M955, IF('Input Sheet'!J957="",""," siderite in "))</f>
        <v/>
      </c>
      <c r="O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5" s="6" t="str">
        <f>CONCATENATE(O955, IF('Input Sheet'!K957="",""," siderite in "))</f>
        <v/>
      </c>
    </row>
    <row r="956" spans="1:16" x14ac:dyDescent="0.25">
      <c r="A956" s="17" t="str">
        <f>IF('Input Sheet'!C958="","",CONCATENATE("Sample ", 'Input Sheet'!B958, "m: ", N956, H956, "% ", "Siltstone, ", P956, 'Input Sheet'!C958, "% ", J956, " Sandstone, ", L956, K956, " FLUOR in SST. ", "TG ", 'Input Sheet'!I958, "U"))</f>
        <v/>
      </c>
      <c r="B956" s="3" t="str">
        <f>IF('Input Sheet'!C958="","",CONCATENATE("Sample ", 'Input Sheet'!B958, "m: ", O956, I956, "% ", "Siltstone, ", Q956, 'Input Sheet'!C958, "% ", K956, " Sandstone "))</f>
        <v/>
      </c>
      <c r="C956" s="3" t="str">
        <f>IF('Input Sheet'!C958="","",CONCATENATE("Sample ", 'Input Sheet'!B958, "m: ", N956,, L956, K956, " FLUOR in SST. ", "TG ", 'Input Sheet'!I958, "U"))</f>
        <v/>
      </c>
      <c r="H956" s="6" t="str">
        <f>IF('Input Sheet'!C958="","",100-'Input Sheet'!C958)</f>
        <v/>
      </c>
      <c r="I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6" s="6" t="str">
        <f t="shared" si="14"/>
        <v/>
      </c>
      <c r="K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6" s="6" t="str">
        <f>IF('Input Sheet'!F958=0, "NO",CONCATENATE('Input Sheet'!F958, IF('Input Sheet'!F958&gt;0,"% ","")))</f>
        <v>NO</v>
      </c>
      <c r="M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6" s="6" t="str">
        <f>CONCATENATE(M956, IF('Input Sheet'!J958="",""," siderite in "))</f>
        <v/>
      </c>
      <c r="O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6" s="6" t="str">
        <f>CONCATENATE(O956, IF('Input Sheet'!K958="",""," siderite in "))</f>
        <v/>
      </c>
    </row>
    <row r="957" spans="1:16" x14ac:dyDescent="0.25">
      <c r="A957" s="17" t="str">
        <f>IF('Input Sheet'!C959="","",CONCATENATE("Sample ", 'Input Sheet'!B959, "m: ", N957, H957, "% ", "Siltstone, ", P957, 'Input Sheet'!C959, "% ", J957, " Sandstone, ", L957, K957, " FLUOR in SST. ", "TG ", 'Input Sheet'!I959, "U"))</f>
        <v/>
      </c>
      <c r="B957" s="3" t="str">
        <f>IF('Input Sheet'!C959="","",CONCATENATE("Sample ", 'Input Sheet'!B959, "m: ", O957, I957, "% ", "Siltstone, ", Q957, 'Input Sheet'!C959, "% ", K957, " Sandstone "))</f>
        <v/>
      </c>
      <c r="C957" s="3" t="str">
        <f>IF('Input Sheet'!C959="","",CONCATENATE("Sample ", 'Input Sheet'!B959, "m: ", N957,, L957, K957, " FLUOR in SST. ", "TG ", 'Input Sheet'!I959, "U"))</f>
        <v/>
      </c>
      <c r="H957" s="6" t="str">
        <f>IF('Input Sheet'!C959="","",100-'Input Sheet'!C959)</f>
        <v/>
      </c>
      <c r="I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7" s="6" t="str">
        <f t="shared" si="14"/>
        <v/>
      </c>
      <c r="K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7" s="6" t="str">
        <f>IF('Input Sheet'!F959=0, "NO",CONCATENATE('Input Sheet'!F959, IF('Input Sheet'!F959&gt;0,"% ","")))</f>
        <v>NO</v>
      </c>
      <c r="M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7" s="6" t="str">
        <f>CONCATENATE(M957, IF('Input Sheet'!J959="",""," siderite in "))</f>
        <v/>
      </c>
      <c r="O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7" s="6" t="str">
        <f>CONCATENATE(O957, IF('Input Sheet'!K959="",""," siderite in "))</f>
        <v/>
      </c>
    </row>
    <row r="958" spans="1:16" x14ac:dyDescent="0.25">
      <c r="A958" s="17" t="str">
        <f>IF('Input Sheet'!C960="","",CONCATENATE("Sample ", 'Input Sheet'!B960, "m: ", N958, H958, "% ", "Siltstone, ", P958, 'Input Sheet'!C960, "% ", J958, " Sandstone, ", L958, K958, " FLUOR in SST. ", "TG ", 'Input Sheet'!I960, "U"))</f>
        <v/>
      </c>
      <c r="B958" s="3" t="str">
        <f>IF('Input Sheet'!C960="","",CONCATENATE("Sample ", 'Input Sheet'!B960, "m: ", O958, I958, "% ", "Siltstone, ", Q958, 'Input Sheet'!C960, "% ", K958, " Sandstone "))</f>
        <v/>
      </c>
      <c r="C958" s="3" t="str">
        <f>IF('Input Sheet'!C960="","",CONCATENATE("Sample ", 'Input Sheet'!B960, "m: ", N958,, L958, K958, " FLUOR in SST. ", "TG ", 'Input Sheet'!I960, "U"))</f>
        <v/>
      </c>
      <c r="H958" s="6" t="str">
        <f>IF('Input Sheet'!C960="","",100-'Input Sheet'!C960)</f>
        <v/>
      </c>
      <c r="I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8" s="6" t="str">
        <f t="shared" si="14"/>
        <v/>
      </c>
      <c r="K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8" s="6" t="str">
        <f>IF('Input Sheet'!F960=0, "NO",CONCATENATE('Input Sheet'!F960, IF('Input Sheet'!F960&gt;0,"% ","")))</f>
        <v>NO</v>
      </c>
      <c r="M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8" s="6" t="str">
        <f>CONCATENATE(M958, IF('Input Sheet'!J960="",""," siderite in "))</f>
        <v/>
      </c>
      <c r="O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8" s="6" t="str">
        <f>CONCATENATE(O958, IF('Input Sheet'!K960="",""," siderite in "))</f>
        <v/>
      </c>
    </row>
    <row r="959" spans="1:16" x14ac:dyDescent="0.25">
      <c r="A959" s="17" t="str">
        <f>IF('Input Sheet'!C961="","",CONCATENATE("Sample ", 'Input Sheet'!B961, "m: ", N959, H959, "% ", "Siltstone, ", P959, 'Input Sheet'!C961, "% ", J959, " Sandstone, ", L959, K959, " FLUOR in SST. ", "TG ", 'Input Sheet'!I961, "U"))</f>
        <v/>
      </c>
      <c r="B959" s="3" t="str">
        <f>IF('Input Sheet'!C961="","",CONCATENATE("Sample ", 'Input Sheet'!B961, "m: ", O959, I959, "% ", "Siltstone, ", Q959, 'Input Sheet'!C961, "% ", K959, " Sandstone "))</f>
        <v/>
      </c>
      <c r="C959" s="3" t="str">
        <f>IF('Input Sheet'!C961="","",CONCATENATE("Sample ", 'Input Sheet'!B961, "m: ", N959,, L959, K959, " FLUOR in SST. ", "TG ", 'Input Sheet'!I961, "U"))</f>
        <v/>
      </c>
      <c r="H959" s="6" t="str">
        <f>IF('Input Sheet'!C961="","",100-'Input Sheet'!C961)</f>
        <v/>
      </c>
      <c r="I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59" s="6" t="str">
        <f t="shared" si="14"/>
        <v/>
      </c>
      <c r="K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59" s="6" t="str">
        <f>IF('Input Sheet'!F961=0, "NO",CONCATENATE('Input Sheet'!F961, IF('Input Sheet'!F961&gt;0,"% ","")))</f>
        <v>NO</v>
      </c>
      <c r="M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59" s="6" t="str">
        <f>CONCATENATE(M959, IF('Input Sheet'!J961="",""," siderite in "))</f>
        <v/>
      </c>
      <c r="O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59" s="6" t="str">
        <f>CONCATENATE(O959, IF('Input Sheet'!K961="",""," siderite in "))</f>
        <v/>
      </c>
    </row>
    <row r="960" spans="1:16" x14ac:dyDescent="0.25">
      <c r="A960" s="17" t="str">
        <f>IF('Input Sheet'!C962="","",CONCATENATE("Sample ", 'Input Sheet'!B962, "m: ", N960, H960, "% ", "Siltstone, ", P960, 'Input Sheet'!C962, "% ", J960, " Sandstone, ", L960, K960, " FLUOR in SST. ", "TG ", 'Input Sheet'!I962, "U"))</f>
        <v/>
      </c>
      <c r="B960" s="3" t="str">
        <f>IF('Input Sheet'!C962="","",CONCATENATE("Sample ", 'Input Sheet'!B962, "m: ", O960, I960, "% ", "Siltstone, ", Q960, 'Input Sheet'!C962, "% ", K960, " Sandstone "))</f>
        <v/>
      </c>
      <c r="C960" s="3" t="str">
        <f>IF('Input Sheet'!C962="","",CONCATENATE("Sample ", 'Input Sheet'!B962, "m: ", N960,, L960, K960, " FLUOR in SST. ", "TG ", 'Input Sheet'!I962, "U"))</f>
        <v/>
      </c>
      <c r="H960" s="6" t="str">
        <f>IF('Input Sheet'!C962="","",100-'Input Sheet'!C962)</f>
        <v/>
      </c>
      <c r="I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0" s="6" t="str">
        <f t="shared" si="14"/>
        <v/>
      </c>
      <c r="K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0" s="6" t="str">
        <f>IF('Input Sheet'!F962=0, "NO",CONCATENATE('Input Sheet'!F962, IF('Input Sheet'!F962&gt;0,"% ","")))</f>
        <v>NO</v>
      </c>
      <c r="M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0" s="6" t="str">
        <f>CONCATENATE(M960, IF('Input Sheet'!J962="",""," siderite in "))</f>
        <v/>
      </c>
      <c r="O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0" s="6" t="str">
        <f>CONCATENATE(O960, IF('Input Sheet'!K962="",""," siderite in "))</f>
        <v/>
      </c>
    </row>
    <row r="961" spans="1:16" x14ac:dyDescent="0.25">
      <c r="A961" s="17" t="str">
        <f>IF('Input Sheet'!C963="","",CONCATENATE("Sample ", 'Input Sheet'!B963, "m: ", N961, H961, "% ", "Siltstone, ", P961, 'Input Sheet'!C963, "% ", J961, " Sandstone, ", L961, K961, " FLUOR in SST. ", "TG ", 'Input Sheet'!I963, "U"))</f>
        <v/>
      </c>
      <c r="B961" s="3" t="str">
        <f>IF('Input Sheet'!C963="","",CONCATENATE("Sample ", 'Input Sheet'!B963, "m: ", O961, I961, "% ", "Siltstone, ", Q961, 'Input Sheet'!C963, "% ", K961, " Sandstone "))</f>
        <v/>
      </c>
      <c r="C961" s="3" t="str">
        <f>IF('Input Sheet'!C963="","",CONCATENATE("Sample ", 'Input Sheet'!B963, "m: ", N961,, L961, K961, " FLUOR in SST. ", "TG ", 'Input Sheet'!I963, "U"))</f>
        <v/>
      </c>
      <c r="H961" s="6" t="str">
        <f>IF('Input Sheet'!C963="","",100-'Input Sheet'!C963)</f>
        <v/>
      </c>
      <c r="I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1" s="6" t="str">
        <f t="shared" si="14"/>
        <v/>
      </c>
      <c r="K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1" s="6" t="str">
        <f>IF('Input Sheet'!F963=0, "NO",CONCATENATE('Input Sheet'!F963, IF('Input Sheet'!F963&gt;0,"% ","")))</f>
        <v>NO</v>
      </c>
      <c r="M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1" s="6" t="str">
        <f>CONCATENATE(M961, IF('Input Sheet'!J963="",""," siderite in "))</f>
        <v/>
      </c>
      <c r="O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1" s="6" t="str">
        <f>CONCATENATE(O961, IF('Input Sheet'!K963="",""," siderite in "))</f>
        <v/>
      </c>
    </row>
    <row r="962" spans="1:16" x14ac:dyDescent="0.25">
      <c r="A962" s="17" t="str">
        <f>IF('Input Sheet'!C964="","",CONCATENATE("Sample ", 'Input Sheet'!B964, "m: ", N962, H962, "% ", "Siltstone, ", P962, 'Input Sheet'!C964, "% ", J962, " Sandstone, ", L962, K962, " FLUOR in SST. ", "TG ", 'Input Sheet'!I964, "U"))</f>
        <v/>
      </c>
      <c r="B962" s="3" t="str">
        <f>IF('Input Sheet'!C964="","",CONCATENATE("Sample ", 'Input Sheet'!B964, "m: ", O962, I962, "% ", "Siltstone, ", Q962, 'Input Sheet'!C964, "% ", K962, " Sandstone "))</f>
        <v/>
      </c>
      <c r="C962" s="3" t="str">
        <f>IF('Input Sheet'!C964="","",CONCATENATE("Sample ", 'Input Sheet'!B964, "m: ", N962,, L962, K962, " FLUOR in SST. ", "TG ", 'Input Sheet'!I964, "U"))</f>
        <v/>
      </c>
      <c r="H962" s="6" t="str">
        <f>IF('Input Sheet'!C964="","",100-'Input Sheet'!C964)</f>
        <v/>
      </c>
      <c r="I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2" s="6" t="str">
        <f t="shared" ref="J962:J999" si="15">SUBSTITUTE(I962, "veryfine", "very fine")</f>
        <v/>
      </c>
      <c r="K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2" s="6" t="str">
        <f>IF('Input Sheet'!F964=0, "NO",CONCATENATE('Input Sheet'!F964, IF('Input Sheet'!F964&gt;0,"% ","")))</f>
        <v>NO</v>
      </c>
      <c r="M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2" s="6" t="str">
        <f>CONCATENATE(M962, IF('Input Sheet'!J964="",""," siderite in "))</f>
        <v/>
      </c>
      <c r="O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2" s="6" t="str">
        <f>CONCATENATE(O962, IF('Input Sheet'!K964="",""," siderite in "))</f>
        <v/>
      </c>
    </row>
    <row r="963" spans="1:16" x14ac:dyDescent="0.25">
      <c r="A963" s="17" t="str">
        <f>IF('Input Sheet'!C965="","",CONCATENATE("Sample ", 'Input Sheet'!B965, "m: ", N963, H963, "% ", "Siltstone, ", P963, 'Input Sheet'!C965, "% ", J963, " Sandstone, ", L963, K963, " FLUOR in SST. ", "TG ", 'Input Sheet'!I965, "U"))</f>
        <v/>
      </c>
      <c r="B963" s="3" t="str">
        <f>IF('Input Sheet'!C965="","",CONCATENATE("Sample ", 'Input Sheet'!B965, "m: ", O963, I963, "% ", "Siltstone, ", Q963, 'Input Sheet'!C965, "% ", K963, " Sandstone "))</f>
        <v/>
      </c>
      <c r="C963" s="3" t="str">
        <f>IF('Input Sheet'!C965="","",CONCATENATE("Sample ", 'Input Sheet'!B965, "m: ", N963,, L963, K963, " FLUOR in SST. ", "TG ", 'Input Sheet'!I965, "U"))</f>
        <v/>
      </c>
      <c r="H963" s="6" t="str">
        <f>IF('Input Sheet'!C965="","",100-'Input Sheet'!C965)</f>
        <v/>
      </c>
      <c r="I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3" s="6" t="str">
        <f t="shared" si="15"/>
        <v/>
      </c>
      <c r="K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3" s="6" t="str">
        <f>IF('Input Sheet'!F965=0, "NO",CONCATENATE('Input Sheet'!F965, IF('Input Sheet'!F965&gt;0,"% ","")))</f>
        <v>NO</v>
      </c>
      <c r="M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3" s="6" t="str">
        <f>CONCATENATE(M963, IF('Input Sheet'!J965="",""," siderite in "))</f>
        <v/>
      </c>
      <c r="O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3" s="6" t="str">
        <f>CONCATENATE(O963, IF('Input Sheet'!K965="",""," siderite in "))</f>
        <v/>
      </c>
    </row>
    <row r="964" spans="1:16" x14ac:dyDescent="0.25">
      <c r="A964" s="17" t="str">
        <f>IF('Input Sheet'!C966="","",CONCATENATE("Sample ", 'Input Sheet'!B966, "m: ", N964, H964, "% ", "Siltstone, ", P964, 'Input Sheet'!C966, "% ", J964, " Sandstone, ", L964, K964, " FLUOR in SST. ", "TG ", 'Input Sheet'!I966, "U"))</f>
        <v/>
      </c>
      <c r="B964" s="3" t="str">
        <f>IF('Input Sheet'!C966="","",CONCATENATE("Sample ", 'Input Sheet'!B966, "m: ", O964, I964, "% ", "Siltstone, ", Q964, 'Input Sheet'!C966, "% ", K964, " Sandstone "))</f>
        <v/>
      </c>
      <c r="C964" s="3" t="str">
        <f>IF('Input Sheet'!C966="","",CONCATENATE("Sample ", 'Input Sheet'!B966, "m: ", N964,, L964, K964, " FLUOR in SST. ", "TG ", 'Input Sheet'!I966, "U"))</f>
        <v/>
      </c>
      <c r="H964" s="6" t="str">
        <f>IF('Input Sheet'!C966="","",100-'Input Sheet'!C966)</f>
        <v/>
      </c>
      <c r="I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4" s="6" t="str">
        <f t="shared" si="15"/>
        <v/>
      </c>
      <c r="K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4" s="6" t="str">
        <f>IF('Input Sheet'!F966=0, "NO",CONCATENATE('Input Sheet'!F966, IF('Input Sheet'!F966&gt;0,"% ","")))</f>
        <v>NO</v>
      </c>
      <c r="M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4" s="6" t="str">
        <f>CONCATENATE(M964, IF('Input Sheet'!J966="",""," siderite in "))</f>
        <v/>
      </c>
      <c r="O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4" s="6" t="str">
        <f>CONCATENATE(O964, IF('Input Sheet'!K966="",""," siderite in "))</f>
        <v/>
      </c>
    </row>
    <row r="965" spans="1:16" x14ac:dyDescent="0.25">
      <c r="A965" s="17" t="str">
        <f>IF('Input Sheet'!C967="","",CONCATENATE("Sample ", 'Input Sheet'!B967, "m: ", N965, H965, "% ", "Siltstone, ", P965, 'Input Sheet'!C967, "% ", J965, " Sandstone, ", L965, K965, " FLUOR in SST. ", "TG ", 'Input Sheet'!I967, "U"))</f>
        <v/>
      </c>
      <c r="B965" s="3" t="str">
        <f>IF('Input Sheet'!C967="","",CONCATENATE("Sample ", 'Input Sheet'!B967, "m: ", O965, I965, "% ", "Siltstone, ", Q965, 'Input Sheet'!C967, "% ", K965, " Sandstone "))</f>
        <v/>
      </c>
      <c r="C965" s="3" t="str">
        <f>IF('Input Sheet'!C967="","",CONCATENATE("Sample ", 'Input Sheet'!B967, "m: ", N965,, L965, K965, " FLUOR in SST. ", "TG ", 'Input Sheet'!I967, "U"))</f>
        <v/>
      </c>
      <c r="H965" s="6" t="str">
        <f>IF('Input Sheet'!C967="","",100-'Input Sheet'!C967)</f>
        <v/>
      </c>
      <c r="I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5" s="6" t="str">
        <f t="shared" si="15"/>
        <v/>
      </c>
      <c r="K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5" s="6" t="str">
        <f>IF('Input Sheet'!F967=0, "NO",CONCATENATE('Input Sheet'!F967, IF('Input Sheet'!F967&gt;0,"% ","")))</f>
        <v>NO</v>
      </c>
      <c r="M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5" s="6" t="str">
        <f>CONCATENATE(M965, IF('Input Sheet'!J967="",""," siderite in "))</f>
        <v/>
      </c>
      <c r="O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5" s="6" t="str">
        <f>CONCATENATE(O965, IF('Input Sheet'!K967="",""," siderite in "))</f>
        <v/>
      </c>
    </row>
    <row r="966" spans="1:16" x14ac:dyDescent="0.25">
      <c r="A966" s="17" t="str">
        <f>IF('Input Sheet'!C968="","",CONCATENATE("Sample ", 'Input Sheet'!B968, "m: ", N966, H966, "% ", "Siltstone, ", P966, 'Input Sheet'!C968, "% ", J966, " Sandstone, ", L966, K966, " FLUOR in SST. ", "TG ", 'Input Sheet'!I968, "U"))</f>
        <v/>
      </c>
      <c r="B966" s="3" t="str">
        <f>IF('Input Sheet'!C968="","",CONCATENATE("Sample ", 'Input Sheet'!B968, "m: ", O966, I966, "% ", "Siltstone, ", Q966, 'Input Sheet'!C968, "% ", K966, " Sandstone "))</f>
        <v/>
      </c>
      <c r="C966" s="3" t="str">
        <f>IF('Input Sheet'!C968="","",CONCATENATE("Sample ", 'Input Sheet'!B968, "m: ", N966,, L966, K966, " FLUOR in SST. ", "TG ", 'Input Sheet'!I968, "U"))</f>
        <v/>
      </c>
      <c r="H966" s="6" t="str">
        <f>IF('Input Sheet'!C968="","",100-'Input Sheet'!C968)</f>
        <v/>
      </c>
      <c r="I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6" s="6" t="str">
        <f t="shared" si="15"/>
        <v/>
      </c>
      <c r="K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6" s="6" t="str">
        <f>IF('Input Sheet'!F968=0, "NO",CONCATENATE('Input Sheet'!F968, IF('Input Sheet'!F968&gt;0,"% ","")))</f>
        <v>NO</v>
      </c>
      <c r="M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6" s="6" t="str">
        <f>CONCATENATE(M966, IF('Input Sheet'!J968="",""," siderite in "))</f>
        <v/>
      </c>
      <c r="O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6" s="6" t="str">
        <f>CONCATENATE(O966, IF('Input Sheet'!K968="",""," siderite in "))</f>
        <v/>
      </c>
    </row>
    <row r="967" spans="1:16" x14ac:dyDescent="0.25">
      <c r="A967" s="17" t="str">
        <f>IF('Input Sheet'!C969="","",CONCATENATE("Sample ", 'Input Sheet'!B969, "m: ", N967, H967, "% ", "Siltstone, ", P967, 'Input Sheet'!C969, "% ", J967, " Sandstone, ", L967, K967, " FLUOR in SST. ", "TG ", 'Input Sheet'!I969, "U"))</f>
        <v/>
      </c>
      <c r="B967" s="3" t="str">
        <f>IF('Input Sheet'!C969="","",CONCATENATE("Sample ", 'Input Sheet'!B969, "m: ", O967, I967, "% ", "Siltstone, ", Q967, 'Input Sheet'!C969, "% ", K967, " Sandstone "))</f>
        <v/>
      </c>
      <c r="C967" s="3" t="str">
        <f>IF('Input Sheet'!C969="","",CONCATENATE("Sample ", 'Input Sheet'!B969, "m: ", N967,, L967, K967, " FLUOR in SST. ", "TG ", 'Input Sheet'!I969, "U"))</f>
        <v/>
      </c>
      <c r="H967" s="6" t="str">
        <f>IF('Input Sheet'!C969="","",100-'Input Sheet'!C969)</f>
        <v/>
      </c>
      <c r="I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7" s="6" t="str">
        <f t="shared" si="15"/>
        <v/>
      </c>
      <c r="K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7" s="6" t="str">
        <f>IF('Input Sheet'!F969=0, "NO",CONCATENATE('Input Sheet'!F969, IF('Input Sheet'!F969&gt;0,"% ","")))</f>
        <v>NO</v>
      </c>
      <c r="M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7" s="6" t="str">
        <f>CONCATENATE(M967, IF('Input Sheet'!J969="",""," siderite in "))</f>
        <v/>
      </c>
      <c r="O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7" s="6" t="str">
        <f>CONCATENATE(O967, IF('Input Sheet'!K969="",""," siderite in "))</f>
        <v/>
      </c>
    </row>
    <row r="968" spans="1:16" x14ac:dyDescent="0.25">
      <c r="A968" s="17" t="str">
        <f>IF('Input Sheet'!C970="","",CONCATENATE("Sample ", 'Input Sheet'!B970, "m: ", N968, H968, "% ", "Siltstone, ", P968, 'Input Sheet'!C970, "% ", J968, " Sandstone, ", L968, K968, " FLUOR in SST. ", "TG ", 'Input Sheet'!I970, "U"))</f>
        <v/>
      </c>
      <c r="B968" s="3" t="str">
        <f>IF('Input Sheet'!C970="","",CONCATENATE("Sample ", 'Input Sheet'!B970, "m: ", O968, I968, "% ", "Siltstone, ", Q968, 'Input Sheet'!C970, "% ", K968, " Sandstone "))</f>
        <v/>
      </c>
      <c r="C968" s="3" t="str">
        <f>IF('Input Sheet'!C970="","",CONCATENATE("Sample ", 'Input Sheet'!B970, "m: ", N968,, L968, K968, " FLUOR in SST. ", "TG ", 'Input Sheet'!I970, "U"))</f>
        <v/>
      </c>
      <c r="H968" s="6" t="str">
        <f>IF('Input Sheet'!C970="","",100-'Input Sheet'!C970)</f>
        <v/>
      </c>
      <c r="I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8" s="6" t="str">
        <f t="shared" si="15"/>
        <v/>
      </c>
      <c r="K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8" s="6" t="str">
        <f>IF('Input Sheet'!F970=0, "NO",CONCATENATE('Input Sheet'!F970, IF('Input Sheet'!F970&gt;0,"% ","")))</f>
        <v>NO</v>
      </c>
      <c r="M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8" s="6" t="str">
        <f>CONCATENATE(M968, IF('Input Sheet'!J970="",""," siderite in "))</f>
        <v/>
      </c>
      <c r="O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8" s="6" t="str">
        <f>CONCATENATE(O968, IF('Input Sheet'!K970="",""," siderite in "))</f>
        <v/>
      </c>
    </row>
    <row r="969" spans="1:16" x14ac:dyDescent="0.25">
      <c r="A969" s="17" t="str">
        <f>IF('Input Sheet'!C971="","",CONCATENATE("Sample ", 'Input Sheet'!B971, "m: ", N969, H969, "% ", "Siltstone, ", P969, 'Input Sheet'!C971, "% ", J969, " Sandstone, ", L969, K969, " FLUOR in SST. ", "TG ", 'Input Sheet'!I971, "U"))</f>
        <v/>
      </c>
      <c r="B969" s="3" t="str">
        <f>IF('Input Sheet'!C971="","",CONCATENATE("Sample ", 'Input Sheet'!B971, "m: ", O969, I969, "% ", "Siltstone, ", Q969, 'Input Sheet'!C971, "% ", K969, " Sandstone "))</f>
        <v/>
      </c>
      <c r="C969" s="3" t="str">
        <f>IF('Input Sheet'!C971="","",CONCATENATE("Sample ", 'Input Sheet'!B971, "m: ", N969,, L969, K969, " FLUOR in SST. ", "TG ", 'Input Sheet'!I971, "U"))</f>
        <v/>
      </c>
      <c r="H969" s="6" t="str">
        <f>IF('Input Sheet'!C971="","",100-'Input Sheet'!C971)</f>
        <v/>
      </c>
      <c r="I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69" s="6" t="str">
        <f t="shared" si="15"/>
        <v/>
      </c>
      <c r="K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69" s="6" t="str">
        <f>IF('Input Sheet'!F971=0, "NO",CONCATENATE('Input Sheet'!F971, IF('Input Sheet'!F971&gt;0,"% ","")))</f>
        <v>NO</v>
      </c>
      <c r="M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69" s="6" t="str">
        <f>CONCATENATE(M969, IF('Input Sheet'!J971="",""," siderite in "))</f>
        <v/>
      </c>
      <c r="O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69" s="6" t="str">
        <f>CONCATENATE(O969, IF('Input Sheet'!K971="",""," siderite in "))</f>
        <v/>
      </c>
    </row>
    <row r="970" spans="1:16" x14ac:dyDescent="0.25">
      <c r="A970" s="17" t="str">
        <f>IF('Input Sheet'!C972="","",CONCATENATE("Sample ", 'Input Sheet'!B972, "m: ", N970, H970, "% ", "Siltstone, ", P970, 'Input Sheet'!C972, "% ", J970, " Sandstone, ", L970, K970, " FLUOR in SST. ", "TG ", 'Input Sheet'!I972, "U"))</f>
        <v/>
      </c>
      <c r="B970" s="3" t="str">
        <f>IF('Input Sheet'!C972="","",CONCATENATE("Sample ", 'Input Sheet'!B972, "m: ", O970, I970, "% ", "Siltstone, ", Q970, 'Input Sheet'!C972, "% ", K970, " Sandstone "))</f>
        <v/>
      </c>
      <c r="C970" s="3" t="str">
        <f>IF('Input Sheet'!C972="","",CONCATENATE("Sample ", 'Input Sheet'!B972, "m: ", N970,, L970, K970, " FLUOR in SST. ", "TG ", 'Input Sheet'!I972, "U"))</f>
        <v/>
      </c>
      <c r="H970" s="6" t="str">
        <f>IF('Input Sheet'!C972="","",100-'Input Sheet'!C972)</f>
        <v/>
      </c>
      <c r="I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0" s="6" t="str">
        <f t="shared" si="15"/>
        <v/>
      </c>
      <c r="K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0" s="6" t="str">
        <f>IF('Input Sheet'!F972=0, "NO",CONCATENATE('Input Sheet'!F972, IF('Input Sheet'!F972&gt;0,"% ","")))</f>
        <v>NO</v>
      </c>
      <c r="M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0" s="6" t="str">
        <f>CONCATENATE(M970, IF('Input Sheet'!J972="",""," siderite in "))</f>
        <v/>
      </c>
      <c r="O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0" s="6" t="str">
        <f>CONCATENATE(O970, IF('Input Sheet'!K972="",""," siderite in "))</f>
        <v/>
      </c>
    </row>
    <row r="971" spans="1:16" x14ac:dyDescent="0.25">
      <c r="A971" s="17" t="str">
        <f>IF('Input Sheet'!C973="","",CONCATENATE("Sample ", 'Input Sheet'!B973, "m: ", N971, H971, "% ", "Siltstone, ", P971, 'Input Sheet'!C973, "% ", J971, " Sandstone, ", L971, K971, " FLUOR in SST. ", "TG ", 'Input Sheet'!I973, "U"))</f>
        <v/>
      </c>
      <c r="B971" s="3" t="str">
        <f>IF('Input Sheet'!C973="","",CONCATENATE("Sample ", 'Input Sheet'!B973, "m: ", O971, I971, "% ", "Siltstone, ", Q971, 'Input Sheet'!C973, "% ", K971, " Sandstone "))</f>
        <v/>
      </c>
      <c r="C971" s="3" t="str">
        <f>IF('Input Sheet'!C973="","",CONCATENATE("Sample ", 'Input Sheet'!B973, "m: ", N971,, L971, K971, " FLUOR in SST. ", "TG ", 'Input Sheet'!I973, "U"))</f>
        <v/>
      </c>
      <c r="H971" s="6" t="str">
        <f>IF('Input Sheet'!C973="","",100-'Input Sheet'!C973)</f>
        <v/>
      </c>
      <c r="I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1" s="6" t="str">
        <f t="shared" si="15"/>
        <v/>
      </c>
      <c r="K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1" s="6" t="str">
        <f>IF('Input Sheet'!F973=0, "NO",CONCATENATE('Input Sheet'!F973, IF('Input Sheet'!F973&gt;0,"% ","")))</f>
        <v>NO</v>
      </c>
      <c r="M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1" s="6" t="str">
        <f>CONCATENATE(M971, IF('Input Sheet'!J973="",""," siderite in "))</f>
        <v/>
      </c>
      <c r="O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1" s="6" t="str">
        <f>CONCATENATE(O971, IF('Input Sheet'!K973="",""," siderite in "))</f>
        <v/>
      </c>
    </row>
    <row r="972" spans="1:16" x14ac:dyDescent="0.25">
      <c r="A972" s="17" t="str">
        <f>IF('Input Sheet'!C974="","",CONCATENATE("Sample ", 'Input Sheet'!B974, "m: ", N972, H972, "% ", "Siltstone, ", P972, 'Input Sheet'!C974, "% ", J972, " Sandstone, ", L972, K972, " FLUOR in SST. ", "TG ", 'Input Sheet'!I974, "U"))</f>
        <v/>
      </c>
      <c r="B972" s="3" t="str">
        <f>IF('Input Sheet'!C974="","",CONCATENATE("Sample ", 'Input Sheet'!B974, "m: ", O972, I972, "% ", "Siltstone, ", Q972, 'Input Sheet'!C974, "% ", K972, " Sandstone "))</f>
        <v/>
      </c>
      <c r="C972" s="3" t="str">
        <f>IF('Input Sheet'!C974="","",CONCATENATE("Sample ", 'Input Sheet'!B974, "m: ", N972,, L972, K972, " FLUOR in SST. ", "TG ", 'Input Sheet'!I974, "U"))</f>
        <v/>
      </c>
      <c r="H972" s="6" t="str">
        <f>IF('Input Sheet'!C974="","",100-'Input Sheet'!C974)</f>
        <v/>
      </c>
      <c r="I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2" s="6" t="str">
        <f t="shared" si="15"/>
        <v/>
      </c>
      <c r="K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2" s="6" t="str">
        <f>IF('Input Sheet'!F974=0, "NO",CONCATENATE('Input Sheet'!F974, IF('Input Sheet'!F974&gt;0,"% ","")))</f>
        <v>NO</v>
      </c>
      <c r="M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2" s="6" t="str">
        <f>CONCATENATE(M972, IF('Input Sheet'!J974="",""," siderite in "))</f>
        <v/>
      </c>
      <c r="O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2" s="6" t="str">
        <f>CONCATENATE(O972, IF('Input Sheet'!K974="",""," siderite in "))</f>
        <v/>
      </c>
    </row>
    <row r="973" spans="1:16" x14ac:dyDescent="0.25">
      <c r="A973" s="17" t="str">
        <f>IF('Input Sheet'!C975="","",CONCATENATE("Sample ", 'Input Sheet'!B975, "m: ", N973, H973, "% ", "Siltstone, ", P973, 'Input Sheet'!C975, "% ", J973, " Sandstone, ", L973, K973, " FLUOR in SST. ", "TG ", 'Input Sheet'!I975, "U"))</f>
        <v/>
      </c>
      <c r="B973" s="3" t="str">
        <f>IF('Input Sheet'!C975="","",CONCATENATE("Sample ", 'Input Sheet'!B975, "m: ", O973, I973, "% ", "Siltstone, ", Q973, 'Input Sheet'!C975, "% ", K973, " Sandstone "))</f>
        <v/>
      </c>
      <c r="C973" s="3" t="str">
        <f>IF('Input Sheet'!C975="","",CONCATENATE("Sample ", 'Input Sheet'!B975, "m: ", N973,, L973, K973, " FLUOR in SST. ", "TG ", 'Input Sheet'!I975, "U"))</f>
        <v/>
      </c>
      <c r="H973" s="6" t="str">
        <f>IF('Input Sheet'!C975="","",100-'Input Sheet'!C975)</f>
        <v/>
      </c>
      <c r="I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3" s="6" t="str">
        <f t="shared" si="15"/>
        <v/>
      </c>
      <c r="K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3" s="6" t="str">
        <f>IF('Input Sheet'!F975=0, "NO",CONCATENATE('Input Sheet'!F975, IF('Input Sheet'!F975&gt;0,"% ","")))</f>
        <v>NO</v>
      </c>
      <c r="M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3" s="6" t="str">
        <f>CONCATENATE(M973, IF('Input Sheet'!J975="",""," siderite in "))</f>
        <v/>
      </c>
      <c r="O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3" s="6" t="str">
        <f>CONCATENATE(O973, IF('Input Sheet'!K975="",""," siderite in "))</f>
        <v/>
      </c>
    </row>
    <row r="974" spans="1:16" x14ac:dyDescent="0.25">
      <c r="A974" s="17" t="str">
        <f>IF('Input Sheet'!C976="","",CONCATENATE("Sample ", 'Input Sheet'!B976, "m: ", N974, H974, "% ", "Siltstone, ", P974, 'Input Sheet'!C976, "% ", J974, " Sandstone, ", L974, K974, " FLUOR in SST. ", "TG ", 'Input Sheet'!I976, "U"))</f>
        <v/>
      </c>
      <c r="B974" s="3" t="str">
        <f>IF('Input Sheet'!C976="","",CONCATENATE("Sample ", 'Input Sheet'!B976, "m: ", O974, I974, "% ", "Siltstone, ", Q974, 'Input Sheet'!C976, "% ", K974, " Sandstone "))</f>
        <v/>
      </c>
      <c r="C974" s="3" t="str">
        <f>IF('Input Sheet'!C976="","",CONCATENATE("Sample ", 'Input Sheet'!B976, "m: ", N974,, L974, K974, " FLUOR in SST. ", "TG ", 'Input Sheet'!I976, "U"))</f>
        <v/>
      </c>
      <c r="H974" s="6" t="str">
        <f>IF('Input Sheet'!C976="","",100-'Input Sheet'!C976)</f>
        <v/>
      </c>
      <c r="I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4" s="6" t="str">
        <f t="shared" si="15"/>
        <v/>
      </c>
      <c r="K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4" s="6" t="str">
        <f>IF('Input Sheet'!F976=0, "NO",CONCATENATE('Input Sheet'!F976, IF('Input Sheet'!F976&gt;0,"% ","")))</f>
        <v>NO</v>
      </c>
      <c r="M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4" s="6" t="str">
        <f>CONCATENATE(M974, IF('Input Sheet'!J976="",""," siderite in "))</f>
        <v/>
      </c>
      <c r="O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4" s="6" t="str">
        <f>CONCATENATE(O974, IF('Input Sheet'!K976="",""," siderite in "))</f>
        <v/>
      </c>
    </row>
    <row r="975" spans="1:16" x14ac:dyDescent="0.25">
      <c r="A975" s="17" t="str">
        <f>IF('Input Sheet'!C977="","",CONCATENATE("Sample ", 'Input Sheet'!B977, "m: ", N975, H975, "% ", "Siltstone, ", P975, 'Input Sheet'!C977, "% ", J975, " Sandstone, ", L975, K975, " FLUOR in SST. ", "TG ", 'Input Sheet'!I977, "U"))</f>
        <v/>
      </c>
      <c r="B975" s="3" t="str">
        <f>IF('Input Sheet'!C977="","",CONCATENATE("Sample ", 'Input Sheet'!B977, "m: ", O975, I975, "% ", "Siltstone, ", Q975, 'Input Sheet'!C977, "% ", K975, " Sandstone "))</f>
        <v/>
      </c>
      <c r="C975" s="3" t="str">
        <f>IF('Input Sheet'!C977="","",CONCATENATE("Sample ", 'Input Sheet'!B977, "m: ", N975,, L975, K975, " FLUOR in SST. ", "TG ", 'Input Sheet'!I977, "U"))</f>
        <v/>
      </c>
      <c r="H975" s="6" t="str">
        <f>IF('Input Sheet'!C977="","",100-'Input Sheet'!C977)</f>
        <v/>
      </c>
      <c r="I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5" s="6" t="str">
        <f t="shared" si="15"/>
        <v/>
      </c>
      <c r="K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5" s="6" t="str">
        <f>IF('Input Sheet'!F977=0, "NO",CONCATENATE('Input Sheet'!F977, IF('Input Sheet'!F977&gt;0,"% ","")))</f>
        <v>NO</v>
      </c>
      <c r="M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5" s="6" t="str">
        <f>CONCATENATE(M975, IF('Input Sheet'!J977="",""," siderite in "))</f>
        <v/>
      </c>
      <c r="O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5" s="6" t="str">
        <f>CONCATENATE(O975, IF('Input Sheet'!K977="",""," siderite in "))</f>
        <v/>
      </c>
    </row>
    <row r="976" spans="1:16" x14ac:dyDescent="0.25">
      <c r="A976" s="17" t="str">
        <f>IF('Input Sheet'!C978="","",CONCATENATE("Sample ", 'Input Sheet'!B978, "m: ", N976, H976, "% ", "Siltstone, ", P976, 'Input Sheet'!C978, "% ", J976, " Sandstone, ", L976, K976, " FLUOR in SST. ", "TG ", 'Input Sheet'!I978, "U"))</f>
        <v/>
      </c>
      <c r="B976" s="3" t="str">
        <f>IF('Input Sheet'!C978="","",CONCATENATE("Sample ", 'Input Sheet'!B978, "m: ", O976, I976, "% ", "Siltstone, ", Q976, 'Input Sheet'!C978, "% ", K976, " Sandstone "))</f>
        <v/>
      </c>
      <c r="C976" s="3" t="str">
        <f>IF('Input Sheet'!C978="","",CONCATENATE("Sample ", 'Input Sheet'!B978, "m: ", N976,, L976, K976, " FLUOR in SST. ", "TG ", 'Input Sheet'!I978, "U"))</f>
        <v/>
      </c>
      <c r="H976" s="6" t="str">
        <f>IF('Input Sheet'!C978="","",100-'Input Sheet'!C978)</f>
        <v/>
      </c>
      <c r="I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6" s="6" t="str">
        <f t="shared" si="15"/>
        <v/>
      </c>
      <c r="K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6" s="6" t="str">
        <f>IF('Input Sheet'!F978=0, "NO",CONCATENATE('Input Sheet'!F978, IF('Input Sheet'!F978&gt;0,"% ","")))</f>
        <v>NO</v>
      </c>
      <c r="M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6" s="6" t="str">
        <f>CONCATENATE(M976, IF('Input Sheet'!J978="",""," siderite in "))</f>
        <v/>
      </c>
      <c r="O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6" s="6" t="str">
        <f>CONCATENATE(O976, IF('Input Sheet'!K978="",""," siderite in "))</f>
        <v/>
      </c>
    </row>
    <row r="977" spans="1:16" x14ac:dyDescent="0.25">
      <c r="A977" s="17" t="str">
        <f>IF('Input Sheet'!C979="","",CONCATENATE("Sample ", 'Input Sheet'!B979, "m: ", N977, H977, "% ", "Siltstone, ", P977, 'Input Sheet'!C979, "% ", J977, " Sandstone, ", L977, K977, " FLUOR in SST. ", "TG ", 'Input Sheet'!I979, "U"))</f>
        <v/>
      </c>
      <c r="B977" s="3" t="str">
        <f>IF('Input Sheet'!C979="","",CONCATENATE("Sample ", 'Input Sheet'!B979, "m: ", O977, I977, "% ", "Siltstone, ", Q977, 'Input Sheet'!C979, "% ", K977, " Sandstone "))</f>
        <v/>
      </c>
      <c r="C977" s="3" t="str">
        <f>IF('Input Sheet'!C979="","",CONCATENATE("Sample ", 'Input Sheet'!B979, "m: ", N977,, L977, K977, " FLUOR in SST. ", "TG ", 'Input Sheet'!I979, "U"))</f>
        <v/>
      </c>
      <c r="H977" s="6" t="str">
        <f>IF('Input Sheet'!C979="","",100-'Input Sheet'!C979)</f>
        <v/>
      </c>
      <c r="I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7" s="6" t="str">
        <f t="shared" si="15"/>
        <v/>
      </c>
      <c r="K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7" s="6" t="str">
        <f>IF('Input Sheet'!F979=0, "NO",CONCATENATE('Input Sheet'!F979, IF('Input Sheet'!F979&gt;0,"% ","")))</f>
        <v>NO</v>
      </c>
      <c r="M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7" s="6" t="str">
        <f>CONCATENATE(M977, IF('Input Sheet'!J979="",""," siderite in "))</f>
        <v/>
      </c>
      <c r="O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7" s="6" t="str">
        <f>CONCATENATE(O977, IF('Input Sheet'!K979="",""," siderite in "))</f>
        <v/>
      </c>
    </row>
    <row r="978" spans="1:16" x14ac:dyDescent="0.25">
      <c r="A978" s="17" t="str">
        <f>IF('Input Sheet'!C980="","",CONCATENATE("Sample ", 'Input Sheet'!B980, "m: ", N978, H978, "% ", "Siltstone, ", P978, 'Input Sheet'!C980, "% ", J978, " Sandstone, ", L978, K978, " FLUOR in SST. ", "TG ", 'Input Sheet'!I980, "U"))</f>
        <v/>
      </c>
      <c r="B978" s="3" t="str">
        <f>IF('Input Sheet'!C980="","",CONCATENATE("Sample ", 'Input Sheet'!B980, "m: ", O978, I978, "% ", "Siltstone, ", Q978, 'Input Sheet'!C980, "% ", K978, " Sandstone "))</f>
        <v/>
      </c>
      <c r="C978" s="3" t="str">
        <f>IF('Input Sheet'!C980="","",CONCATENATE("Sample ", 'Input Sheet'!B980, "m: ", N978,, L978, K978, " FLUOR in SST. ", "TG ", 'Input Sheet'!I980, "U"))</f>
        <v/>
      </c>
      <c r="H978" s="6" t="str">
        <f>IF('Input Sheet'!C980="","",100-'Input Sheet'!C980)</f>
        <v/>
      </c>
      <c r="I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8" s="6" t="str">
        <f t="shared" si="15"/>
        <v/>
      </c>
      <c r="K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8" s="6" t="str">
        <f>IF('Input Sheet'!F980=0, "NO",CONCATENATE('Input Sheet'!F980, IF('Input Sheet'!F980&gt;0,"% ","")))</f>
        <v>NO</v>
      </c>
      <c r="M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8" s="6" t="str">
        <f>CONCATENATE(M978, IF('Input Sheet'!J980="",""," siderite in "))</f>
        <v/>
      </c>
      <c r="O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8" s="6" t="str">
        <f>CONCATENATE(O978, IF('Input Sheet'!K980="",""," siderite in "))</f>
        <v/>
      </c>
    </row>
    <row r="979" spans="1:16" x14ac:dyDescent="0.25">
      <c r="A979" s="17" t="str">
        <f>IF('Input Sheet'!C981="","",CONCATENATE("Sample ", 'Input Sheet'!B981, "m: ", N979, H979, "% ", "Siltstone, ", P979, 'Input Sheet'!C981, "% ", J979, " Sandstone, ", L979, K979, " FLUOR in SST. ", "TG ", 'Input Sheet'!I981, "U"))</f>
        <v/>
      </c>
      <c r="B979" s="3" t="str">
        <f>IF('Input Sheet'!C981="","",CONCATENATE("Sample ", 'Input Sheet'!B981, "m: ", O979, I979, "% ", "Siltstone, ", Q979, 'Input Sheet'!C981, "% ", K979, " Sandstone "))</f>
        <v/>
      </c>
      <c r="C979" s="3" t="str">
        <f>IF('Input Sheet'!C981="","",CONCATENATE("Sample ", 'Input Sheet'!B981, "m: ", N979,, L979, K979, " FLUOR in SST. ", "TG ", 'Input Sheet'!I981, "U"))</f>
        <v/>
      </c>
      <c r="H979" s="6" t="str">
        <f>IF('Input Sheet'!C981="","",100-'Input Sheet'!C981)</f>
        <v/>
      </c>
      <c r="I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79" s="6" t="str">
        <f t="shared" si="15"/>
        <v/>
      </c>
      <c r="K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79" s="6" t="str">
        <f>IF('Input Sheet'!F981=0, "NO",CONCATENATE('Input Sheet'!F981, IF('Input Sheet'!F981&gt;0,"% ","")))</f>
        <v>NO</v>
      </c>
      <c r="M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79" s="6" t="str">
        <f>CONCATENATE(M979, IF('Input Sheet'!J981="",""," siderite in "))</f>
        <v/>
      </c>
      <c r="O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79" s="6" t="str">
        <f>CONCATENATE(O979, IF('Input Sheet'!K981="",""," siderite in "))</f>
        <v/>
      </c>
    </row>
    <row r="980" spans="1:16" x14ac:dyDescent="0.25">
      <c r="A980" s="17" t="str">
        <f>IF('Input Sheet'!C982="","",CONCATENATE("Sample ", 'Input Sheet'!B982, "m: ", N980, H980, "% ", "Siltstone, ", P980, 'Input Sheet'!C982, "% ", J980, " Sandstone, ", L980, K980, " FLUOR in SST. ", "TG ", 'Input Sheet'!I982, "U"))</f>
        <v/>
      </c>
      <c r="B980" s="3" t="str">
        <f>IF('Input Sheet'!C982="","",CONCATENATE("Sample ", 'Input Sheet'!B982, "m: ", O980, I980, "% ", "Siltstone, ", Q980, 'Input Sheet'!C982, "% ", K980, " Sandstone "))</f>
        <v/>
      </c>
      <c r="C980" s="3" t="str">
        <f>IF('Input Sheet'!C982="","",CONCATENATE("Sample ", 'Input Sheet'!B982, "m: ", N980,, L980, K980, " FLUOR in SST. ", "TG ", 'Input Sheet'!I982, "U"))</f>
        <v/>
      </c>
      <c r="H980" s="6" t="str">
        <f>IF('Input Sheet'!C982="","",100-'Input Sheet'!C982)</f>
        <v/>
      </c>
      <c r="I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0" s="6" t="str">
        <f t="shared" si="15"/>
        <v/>
      </c>
      <c r="K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0" s="6" t="str">
        <f>IF('Input Sheet'!F982=0, "NO",CONCATENATE('Input Sheet'!F982, IF('Input Sheet'!F982&gt;0,"% ","")))</f>
        <v>NO</v>
      </c>
      <c r="M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0" s="6" t="str">
        <f>CONCATENATE(M980, IF('Input Sheet'!J982="",""," siderite in "))</f>
        <v/>
      </c>
      <c r="O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0" s="6" t="str">
        <f>CONCATENATE(O980, IF('Input Sheet'!K982="",""," siderite in "))</f>
        <v/>
      </c>
    </row>
    <row r="981" spans="1:16" x14ac:dyDescent="0.25">
      <c r="A981" s="17" t="str">
        <f>IF('Input Sheet'!C983="","",CONCATENATE("Sample ", 'Input Sheet'!B983, "m: ", N981, H981, "% ", "Siltstone, ", P981, 'Input Sheet'!C983, "% ", J981, " Sandstone, ", L981, K981, " FLUOR in SST. ", "TG ", 'Input Sheet'!I983, "U"))</f>
        <v/>
      </c>
      <c r="B981" s="3" t="str">
        <f>IF('Input Sheet'!C983="","",CONCATENATE("Sample ", 'Input Sheet'!B983, "m: ", O981, I981, "% ", "Siltstone, ", Q981, 'Input Sheet'!C983, "% ", K981, " Sandstone "))</f>
        <v/>
      </c>
      <c r="C981" s="3" t="str">
        <f>IF('Input Sheet'!C983="","",CONCATENATE("Sample ", 'Input Sheet'!B983, "m: ", N981,, L981, K981, " FLUOR in SST. ", "TG ", 'Input Sheet'!I983, "U"))</f>
        <v/>
      </c>
      <c r="H981" s="6" t="str">
        <f>IF('Input Sheet'!C983="","",100-'Input Sheet'!C983)</f>
        <v/>
      </c>
      <c r="I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1" s="6" t="str">
        <f t="shared" si="15"/>
        <v/>
      </c>
      <c r="K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1" s="6" t="str">
        <f>IF('Input Sheet'!F983=0, "NO",CONCATENATE('Input Sheet'!F983, IF('Input Sheet'!F983&gt;0,"% ","")))</f>
        <v>NO</v>
      </c>
      <c r="M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1" s="6" t="str">
        <f>CONCATENATE(M981, IF('Input Sheet'!J983="",""," siderite in "))</f>
        <v/>
      </c>
      <c r="O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1" s="6" t="str">
        <f>CONCATENATE(O981, IF('Input Sheet'!K983="",""," siderite in "))</f>
        <v/>
      </c>
    </row>
    <row r="982" spans="1:16" x14ac:dyDescent="0.25">
      <c r="A982" s="17" t="str">
        <f>IF('Input Sheet'!C984="","",CONCATENATE("Sample ", 'Input Sheet'!B984, "m: ", N982, H982, "% ", "Siltstone, ", P982, 'Input Sheet'!C984, "% ", J982, " Sandstone, ", L982, K982, " FLUOR in SST. ", "TG ", 'Input Sheet'!I984, "U"))</f>
        <v/>
      </c>
      <c r="B982" s="3" t="str">
        <f>IF('Input Sheet'!C984="","",CONCATENATE("Sample ", 'Input Sheet'!B984, "m: ", O982, I982, "% ", "Siltstone, ", Q982, 'Input Sheet'!C984, "% ", K982, " Sandstone "))</f>
        <v/>
      </c>
      <c r="C982" s="3" t="str">
        <f>IF('Input Sheet'!C984="","",CONCATENATE("Sample ", 'Input Sheet'!B984, "m: ", N982,, L982, K982, " FLUOR in SST. ", "TG ", 'Input Sheet'!I984, "U"))</f>
        <v/>
      </c>
      <c r="H982" s="6" t="str">
        <f>IF('Input Sheet'!C984="","",100-'Input Sheet'!C984)</f>
        <v/>
      </c>
      <c r="I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2" s="6" t="str">
        <f t="shared" si="15"/>
        <v/>
      </c>
      <c r="K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2" s="6" t="str">
        <f>IF('Input Sheet'!F984=0, "NO",CONCATENATE('Input Sheet'!F984, IF('Input Sheet'!F984&gt;0,"% ","")))</f>
        <v>NO</v>
      </c>
      <c r="M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2" s="6" t="str">
        <f>CONCATENATE(M982, IF('Input Sheet'!J984="",""," siderite in "))</f>
        <v/>
      </c>
      <c r="O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2" s="6" t="str">
        <f>CONCATENATE(O982, IF('Input Sheet'!K984="",""," siderite in "))</f>
        <v/>
      </c>
    </row>
    <row r="983" spans="1:16" x14ac:dyDescent="0.25">
      <c r="A983" s="17" t="str">
        <f>IF('Input Sheet'!C985="","",CONCATENATE("Sample ", 'Input Sheet'!B985, "m: ", N983, H983, "% ", "Siltstone, ", P983, 'Input Sheet'!C985, "% ", J983, " Sandstone, ", L983, K983, " FLUOR in SST. ", "TG ", 'Input Sheet'!I985, "U"))</f>
        <v/>
      </c>
      <c r="B983" s="3" t="str">
        <f>IF('Input Sheet'!C985="","",CONCATENATE("Sample ", 'Input Sheet'!B985, "m: ", O983, I983, "% ", "Siltstone, ", Q983, 'Input Sheet'!C985, "% ", K983, " Sandstone "))</f>
        <v/>
      </c>
      <c r="C983" s="3" t="str">
        <f>IF('Input Sheet'!C985="","",CONCATENATE("Sample ", 'Input Sheet'!B985, "m: ", N983,, L983, K983, " FLUOR in SST. ", "TG ", 'Input Sheet'!I985, "U"))</f>
        <v/>
      </c>
      <c r="H983" s="6" t="str">
        <f>IF('Input Sheet'!C985="","",100-'Input Sheet'!C985)</f>
        <v/>
      </c>
      <c r="I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3" s="6" t="str">
        <f t="shared" si="15"/>
        <v/>
      </c>
      <c r="K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3" s="6" t="str">
        <f>IF('Input Sheet'!F985=0, "NO",CONCATENATE('Input Sheet'!F985, IF('Input Sheet'!F985&gt;0,"% ","")))</f>
        <v>NO</v>
      </c>
      <c r="M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3" s="6" t="str">
        <f>CONCATENATE(M983, IF('Input Sheet'!J985="",""," siderite in "))</f>
        <v/>
      </c>
      <c r="O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3" s="6" t="str">
        <f>CONCATENATE(O983, IF('Input Sheet'!K985="",""," siderite in "))</f>
        <v/>
      </c>
    </row>
    <row r="984" spans="1:16" x14ac:dyDescent="0.25">
      <c r="A984" s="17" t="str">
        <f>IF('Input Sheet'!C986="","",CONCATENATE("Sample ", 'Input Sheet'!B986, "m: ", N984, H984, "% ", "Siltstone, ", P984, 'Input Sheet'!C986, "% ", J984, " Sandstone, ", L984, K984, " FLUOR in SST. ", "TG ", 'Input Sheet'!I986, "U"))</f>
        <v/>
      </c>
      <c r="B984" s="3" t="str">
        <f>IF('Input Sheet'!C986="","",CONCATENATE("Sample ", 'Input Sheet'!B986, "m: ", O984, I984, "% ", "Siltstone, ", Q984, 'Input Sheet'!C986, "% ", K984, " Sandstone "))</f>
        <v/>
      </c>
      <c r="C984" s="3" t="str">
        <f>IF('Input Sheet'!C986="","",CONCATENATE("Sample ", 'Input Sheet'!B986, "m: ", N984,, L984, K984, " FLUOR in SST. ", "TG ", 'Input Sheet'!I986, "U"))</f>
        <v/>
      </c>
      <c r="H984" s="6" t="str">
        <f>IF('Input Sheet'!C986="","",100-'Input Sheet'!C986)</f>
        <v/>
      </c>
      <c r="I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4" s="6" t="str">
        <f t="shared" si="15"/>
        <v/>
      </c>
      <c r="K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4" s="6" t="str">
        <f>IF('Input Sheet'!F986=0, "NO",CONCATENATE('Input Sheet'!F986, IF('Input Sheet'!F986&gt;0,"% ","")))</f>
        <v>NO</v>
      </c>
      <c r="M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4" s="6" t="str">
        <f>CONCATENATE(M984, IF('Input Sheet'!J986="",""," siderite in "))</f>
        <v/>
      </c>
      <c r="O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4" s="6" t="str">
        <f>CONCATENATE(O984, IF('Input Sheet'!K986="",""," siderite in "))</f>
        <v/>
      </c>
    </row>
    <row r="985" spans="1:16" x14ac:dyDescent="0.25">
      <c r="A985" s="17" t="str">
        <f>IF('Input Sheet'!C987="","",CONCATENATE("Sample ", 'Input Sheet'!B987, "m: ", N985, H985, "% ", "Siltstone, ", P985, 'Input Sheet'!C987, "% ", J985, " Sandstone, ", L985, K985, " FLUOR in SST. ", "TG ", 'Input Sheet'!I987, "U"))</f>
        <v/>
      </c>
      <c r="B985" s="3" t="str">
        <f>IF('Input Sheet'!C987="","",CONCATENATE("Sample ", 'Input Sheet'!B987, "m: ", O985, I985, "% ", "Siltstone, ", Q985, 'Input Sheet'!C987, "% ", K985, " Sandstone "))</f>
        <v/>
      </c>
      <c r="C985" s="3" t="str">
        <f>IF('Input Sheet'!C987="","",CONCATENATE("Sample ", 'Input Sheet'!B987, "m: ", N985,, L985, K985, " FLUOR in SST. ", "TG ", 'Input Sheet'!I987, "U"))</f>
        <v/>
      </c>
      <c r="H985" s="6" t="str">
        <f>IF('Input Sheet'!C987="","",100-'Input Sheet'!C987)</f>
        <v/>
      </c>
      <c r="I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5" s="6" t="str">
        <f t="shared" si="15"/>
        <v/>
      </c>
      <c r="K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5" s="6" t="str">
        <f>IF('Input Sheet'!F987=0, "NO",CONCATENATE('Input Sheet'!F987, IF('Input Sheet'!F987&gt;0,"% ","")))</f>
        <v>NO</v>
      </c>
      <c r="M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5" s="6" t="str">
        <f>CONCATENATE(M985, IF('Input Sheet'!J987="",""," siderite in "))</f>
        <v/>
      </c>
      <c r="O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5" s="6" t="str">
        <f>CONCATENATE(O985, IF('Input Sheet'!K987="",""," siderite in "))</f>
        <v/>
      </c>
    </row>
    <row r="986" spans="1:16" x14ac:dyDescent="0.25">
      <c r="A986" s="17" t="str">
        <f>IF('Input Sheet'!C988="","",CONCATENATE("Sample ", 'Input Sheet'!B988, "m: ", N986, H986, "% ", "Siltstone, ", P986, 'Input Sheet'!C988, "% ", J986, " Sandstone, ", L986, K986, " FLUOR in SST. ", "TG ", 'Input Sheet'!I988, "U"))</f>
        <v/>
      </c>
      <c r="B986" s="3" t="str">
        <f>IF('Input Sheet'!C988="","",CONCATENATE("Sample ", 'Input Sheet'!B988, "m: ", O986, I986, "% ", "Siltstone, ", Q986, 'Input Sheet'!C988, "% ", K986, " Sandstone "))</f>
        <v/>
      </c>
      <c r="C986" s="3" t="str">
        <f>IF('Input Sheet'!C988="","",CONCATENATE("Sample ", 'Input Sheet'!B988, "m: ", N986,, L986, K986, " FLUOR in SST. ", "TG ", 'Input Sheet'!I988, "U"))</f>
        <v/>
      </c>
      <c r="H986" s="6" t="str">
        <f>IF('Input Sheet'!C988="","",100-'Input Sheet'!C988)</f>
        <v/>
      </c>
      <c r="I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6" s="6" t="str">
        <f t="shared" si="15"/>
        <v/>
      </c>
      <c r="K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6" s="6" t="str">
        <f>IF('Input Sheet'!F988=0, "NO",CONCATENATE('Input Sheet'!F988, IF('Input Sheet'!F988&gt;0,"% ","")))</f>
        <v>NO</v>
      </c>
      <c r="M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6" s="6" t="str">
        <f>CONCATENATE(M986, IF('Input Sheet'!J988="",""," siderite in "))</f>
        <v/>
      </c>
      <c r="O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6" s="6" t="str">
        <f>CONCATENATE(O986, IF('Input Sheet'!K988="",""," siderite in "))</f>
        <v/>
      </c>
    </row>
    <row r="987" spans="1:16" x14ac:dyDescent="0.25">
      <c r="A987" s="17" t="str">
        <f>IF('Input Sheet'!C989="","",CONCATENATE("Sample ", 'Input Sheet'!B989, "m: ", N987, H987, "% ", "Siltstone, ", P987, 'Input Sheet'!C989, "% ", J987, " Sandstone, ", L987, K987, " FLUOR in SST. ", "TG ", 'Input Sheet'!I989, "U"))</f>
        <v/>
      </c>
      <c r="B987" s="3" t="str">
        <f>IF('Input Sheet'!C989="","",CONCATENATE("Sample ", 'Input Sheet'!B989, "m: ", O987, I987, "% ", "Siltstone, ", Q987, 'Input Sheet'!C989, "% ", K987, " Sandstone "))</f>
        <v/>
      </c>
      <c r="C987" s="3" t="str">
        <f>IF('Input Sheet'!C989="","",CONCATENATE("Sample ", 'Input Sheet'!B989, "m: ", N987,, L987, K987, " FLUOR in SST. ", "TG ", 'Input Sheet'!I989, "U"))</f>
        <v/>
      </c>
      <c r="H987" s="6" t="str">
        <f>IF('Input Sheet'!C989="","",100-'Input Sheet'!C989)</f>
        <v/>
      </c>
      <c r="I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7" s="6" t="str">
        <f t="shared" si="15"/>
        <v/>
      </c>
      <c r="K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7" s="6" t="str">
        <f>IF('Input Sheet'!F989=0, "NO",CONCATENATE('Input Sheet'!F989, IF('Input Sheet'!F989&gt;0,"% ","")))</f>
        <v>NO</v>
      </c>
      <c r="M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7" s="6" t="str">
        <f>CONCATENATE(M987, IF('Input Sheet'!J989="",""," siderite in "))</f>
        <v/>
      </c>
      <c r="O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7" s="6" t="str">
        <f>CONCATENATE(O987, IF('Input Sheet'!K989="",""," siderite in "))</f>
        <v/>
      </c>
    </row>
    <row r="988" spans="1:16" x14ac:dyDescent="0.25">
      <c r="A988" s="17" t="str">
        <f>IF('Input Sheet'!C990="","",CONCATENATE("Sample ", 'Input Sheet'!B990, "m: ", N988, H988, "% ", "Siltstone, ", P988, 'Input Sheet'!C990, "% ", J988, " Sandstone, ", L988, K988, " FLUOR in SST. ", "TG ", 'Input Sheet'!I990, "U"))</f>
        <v/>
      </c>
      <c r="B988" s="3" t="str">
        <f>IF('Input Sheet'!C990="","",CONCATENATE("Sample ", 'Input Sheet'!B990, "m: ", O988, I988, "% ", "Siltstone, ", Q988, 'Input Sheet'!C990, "% ", K988, " Sandstone "))</f>
        <v/>
      </c>
      <c r="C988" s="3" t="str">
        <f>IF('Input Sheet'!C990="","",CONCATENATE("Sample ", 'Input Sheet'!B990, "m: ", N988,, L988, K988, " FLUOR in SST. ", "TG ", 'Input Sheet'!I990, "U"))</f>
        <v/>
      </c>
      <c r="H988" s="6" t="str">
        <f>IF('Input Sheet'!C990="","",100-'Input Sheet'!C990)</f>
        <v/>
      </c>
      <c r="I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8" s="6" t="str">
        <f t="shared" si="15"/>
        <v/>
      </c>
      <c r="K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8" s="6" t="str">
        <f>IF('Input Sheet'!F990=0, "NO",CONCATENATE('Input Sheet'!F990, IF('Input Sheet'!F990&gt;0,"% ","")))</f>
        <v>NO</v>
      </c>
      <c r="M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8" s="6" t="str">
        <f>CONCATENATE(M988, IF('Input Sheet'!J990="",""," siderite in "))</f>
        <v/>
      </c>
      <c r="O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8" s="6" t="str">
        <f>CONCATENATE(O988, IF('Input Sheet'!K990="",""," siderite in "))</f>
        <v/>
      </c>
    </row>
    <row r="989" spans="1:16" x14ac:dyDescent="0.25">
      <c r="A989" s="17" t="str">
        <f>IF('Input Sheet'!C991="","",CONCATENATE("Sample ", 'Input Sheet'!B991, "m: ", N989, H989, "% ", "Siltstone, ", P989, 'Input Sheet'!C991, "% ", J989, " Sandstone, ", L989, K989, " FLUOR in SST. ", "TG ", 'Input Sheet'!I991, "U"))</f>
        <v/>
      </c>
      <c r="B989" s="3" t="str">
        <f>IF('Input Sheet'!C991="","",CONCATENATE("Sample ", 'Input Sheet'!B991, "m: ", O989, I989, "% ", "Siltstone, ", Q989, 'Input Sheet'!C991, "% ", K989, " Sandstone "))</f>
        <v/>
      </c>
      <c r="C989" s="3" t="str">
        <f>IF('Input Sheet'!C991="","",CONCATENATE("Sample ", 'Input Sheet'!B991, "m: ", N989,, L989, K989, " FLUOR in SST. ", "TG ", 'Input Sheet'!I991, "U"))</f>
        <v/>
      </c>
      <c r="H989" s="6" t="str">
        <f>IF('Input Sheet'!C991="","",100-'Input Sheet'!C991)</f>
        <v/>
      </c>
      <c r="I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89" s="6" t="str">
        <f t="shared" si="15"/>
        <v/>
      </c>
      <c r="K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89" s="6" t="str">
        <f>IF('Input Sheet'!F991=0, "NO",CONCATENATE('Input Sheet'!F991, IF('Input Sheet'!F991&gt;0,"% ","")))</f>
        <v>NO</v>
      </c>
      <c r="M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89" s="6" t="str">
        <f>CONCATENATE(M989, IF('Input Sheet'!J991="",""," siderite in "))</f>
        <v/>
      </c>
      <c r="O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89" s="6" t="str">
        <f>CONCATENATE(O989, IF('Input Sheet'!K991="",""," siderite in "))</f>
        <v/>
      </c>
    </row>
    <row r="990" spans="1:16" x14ac:dyDescent="0.25">
      <c r="A990" s="17" t="str">
        <f>IF('Input Sheet'!C992="","",CONCATENATE("Sample ", 'Input Sheet'!B992, "m: ", N990, H990, "% ", "Siltstone, ", P990, 'Input Sheet'!C992, "% ", J990, " Sandstone, ", L990, K990, " FLUOR in SST. ", "TG ", 'Input Sheet'!I992, "U"))</f>
        <v/>
      </c>
      <c r="B990" s="3" t="str">
        <f>IF('Input Sheet'!C992="","",CONCATENATE("Sample ", 'Input Sheet'!B992, "m: ", O990, I990, "% ", "Siltstone, ", Q990, 'Input Sheet'!C992, "% ", K990, " Sandstone "))</f>
        <v/>
      </c>
      <c r="C990" s="3" t="str">
        <f>IF('Input Sheet'!C992="","",CONCATENATE("Sample ", 'Input Sheet'!B992, "m: ", N990,, L990, K990, " FLUOR in SST. ", "TG ", 'Input Sheet'!I992, "U"))</f>
        <v/>
      </c>
      <c r="H990" s="6" t="str">
        <f>IF('Input Sheet'!C992="","",100-'Input Sheet'!C992)</f>
        <v/>
      </c>
      <c r="I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0" s="6" t="str">
        <f t="shared" si="15"/>
        <v/>
      </c>
      <c r="K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0" s="6" t="str">
        <f>IF('Input Sheet'!F992=0, "NO",CONCATENATE('Input Sheet'!F992, IF('Input Sheet'!F992&gt;0,"% ","")))</f>
        <v>NO</v>
      </c>
      <c r="M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0" s="6" t="str">
        <f>CONCATENATE(M990, IF('Input Sheet'!J992="",""," siderite in "))</f>
        <v/>
      </c>
      <c r="O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0" s="6" t="str">
        <f>CONCATENATE(O990, IF('Input Sheet'!K992="",""," siderite in "))</f>
        <v/>
      </c>
    </row>
    <row r="991" spans="1:16" x14ac:dyDescent="0.25">
      <c r="A991" s="17" t="str">
        <f>IF('Input Sheet'!C993="","",CONCATENATE("Sample ", 'Input Sheet'!B993, "m: ", N991, H991, "% ", "Siltstone, ", P991, 'Input Sheet'!C993, "% ", J991, " Sandstone, ", L991, K991, " FLUOR in SST. ", "TG ", 'Input Sheet'!I993, "U"))</f>
        <v/>
      </c>
      <c r="B991" s="3" t="str">
        <f>IF('Input Sheet'!C993="","",CONCATENATE("Sample ", 'Input Sheet'!B993, "m: ", O991, I991, "% ", "Siltstone, ", Q991, 'Input Sheet'!C993, "% ", K991, " Sandstone "))</f>
        <v/>
      </c>
      <c r="C991" s="3" t="str">
        <f>IF('Input Sheet'!C993="","",CONCATENATE("Sample ", 'Input Sheet'!B993, "m: ", N991,, L991, K991, " FLUOR in SST. ", "TG ", 'Input Sheet'!I993, "U"))</f>
        <v/>
      </c>
      <c r="H991" s="6" t="str">
        <f>IF('Input Sheet'!C993="","",100-'Input Sheet'!C993)</f>
        <v/>
      </c>
      <c r="I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1" s="6" t="str">
        <f t="shared" si="15"/>
        <v/>
      </c>
      <c r="K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1" s="6" t="str">
        <f>IF('Input Sheet'!F993=0, "NO",CONCATENATE('Input Sheet'!F993, IF('Input Sheet'!F993&gt;0,"% ","")))</f>
        <v>NO</v>
      </c>
      <c r="M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1" s="6" t="str">
        <f>CONCATENATE(M991, IF('Input Sheet'!J993="",""," siderite in "))</f>
        <v/>
      </c>
      <c r="O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1" s="6" t="str">
        <f>CONCATENATE(O991, IF('Input Sheet'!K993="",""," siderite in "))</f>
        <v/>
      </c>
    </row>
    <row r="992" spans="1:16" x14ac:dyDescent="0.25">
      <c r="A992" s="17" t="str">
        <f>IF('Input Sheet'!C994="","",CONCATENATE("Sample ", 'Input Sheet'!B994, "m: ", N992, H992, "% ", "Siltstone, ", P992, 'Input Sheet'!C994, "% ", J992, " Sandstone, ", L992, K992, " FLUOR in SST. ", "TG ", 'Input Sheet'!I994, "U"))</f>
        <v/>
      </c>
      <c r="B992" s="3" t="str">
        <f>IF('Input Sheet'!C994="","",CONCATENATE("Sample ", 'Input Sheet'!B994, "m: ", O992, I992, "% ", "Siltstone, ", Q992, 'Input Sheet'!C994, "% ", K992, " Sandstone "))</f>
        <v/>
      </c>
      <c r="C992" s="3" t="str">
        <f>IF('Input Sheet'!C994="","",CONCATENATE("Sample ", 'Input Sheet'!B994, "m: ", N992,, L992, K992, " FLUOR in SST. ", "TG ", 'Input Sheet'!I994, "U"))</f>
        <v/>
      </c>
      <c r="H992" s="6" t="str">
        <f>IF('Input Sheet'!C994="","",100-'Input Sheet'!C994)</f>
        <v/>
      </c>
      <c r="I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2" s="6" t="str">
        <f t="shared" si="15"/>
        <v/>
      </c>
      <c r="K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2" s="6" t="str">
        <f>IF('Input Sheet'!F994=0, "NO",CONCATENATE('Input Sheet'!F994, IF('Input Sheet'!F994&gt;0,"% ","")))</f>
        <v>NO</v>
      </c>
      <c r="M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2" s="6" t="str">
        <f>CONCATENATE(M992, IF('Input Sheet'!J994="",""," siderite in "))</f>
        <v/>
      </c>
      <c r="O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2" s="6" t="str">
        <f>CONCATENATE(O992, IF('Input Sheet'!K994="",""," siderite in "))</f>
        <v/>
      </c>
    </row>
    <row r="993" spans="1:16" x14ac:dyDescent="0.25">
      <c r="A993" s="17" t="str">
        <f>IF('Input Sheet'!C995="","",CONCATENATE("Sample ", 'Input Sheet'!B995, "m: ", N993, H993, "% ", "Siltstone, ", P993, 'Input Sheet'!C995, "% ", J993, " Sandstone, ", L993, K993, " FLUOR in SST. ", "TG ", 'Input Sheet'!I995, "U"))</f>
        <v/>
      </c>
      <c r="B993" s="3" t="str">
        <f>IF('Input Sheet'!C995="","",CONCATENATE("Sample ", 'Input Sheet'!B995, "m: ", O993, I993, "% ", "Siltstone, ", Q993, 'Input Sheet'!C995, "% ", K993, " Sandstone "))</f>
        <v/>
      </c>
      <c r="C993" s="3" t="str">
        <f>IF('Input Sheet'!C995="","",CONCATENATE("Sample ", 'Input Sheet'!B995, "m: ", N993,, L993, K993, " FLUOR in SST. ", "TG ", 'Input Sheet'!I995, "U"))</f>
        <v/>
      </c>
      <c r="H993" s="6" t="str">
        <f>IF('Input Sheet'!C995="","",100-'Input Sheet'!C995)</f>
        <v/>
      </c>
      <c r="I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3" s="6" t="str">
        <f t="shared" si="15"/>
        <v/>
      </c>
      <c r="K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3" s="6" t="str">
        <f>IF('Input Sheet'!F995=0, "NO",CONCATENATE('Input Sheet'!F995, IF('Input Sheet'!F995&gt;0,"% ","")))</f>
        <v>NO</v>
      </c>
      <c r="M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3" s="6" t="str">
        <f>CONCATENATE(M993, IF('Input Sheet'!J995="",""," siderite in "))</f>
        <v/>
      </c>
      <c r="O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3" s="6" t="str">
        <f>CONCATENATE(O993, IF('Input Sheet'!K995="",""," siderite in "))</f>
        <v/>
      </c>
    </row>
    <row r="994" spans="1:16" x14ac:dyDescent="0.25">
      <c r="A994" s="17" t="str">
        <f>IF('Input Sheet'!C996="","",CONCATENATE("Sample ", 'Input Sheet'!B996, "m: ", N994, H994, "% ", "Siltstone, ", P994, 'Input Sheet'!C996, "% ", J994, " Sandstone, ", L994, K994, " FLUOR in SST. ", "TG ", 'Input Sheet'!I996, "U"))</f>
        <v/>
      </c>
      <c r="B994" s="3" t="str">
        <f>IF('Input Sheet'!C996="","",CONCATENATE("Sample ", 'Input Sheet'!B996, "m: ", O994, I994, "% ", "Siltstone, ", Q994, 'Input Sheet'!C996, "% ", K994, " Sandstone "))</f>
        <v/>
      </c>
      <c r="C994" s="3" t="str">
        <f>IF('Input Sheet'!C996="","",CONCATENATE("Sample ", 'Input Sheet'!B996, "m: ", N994,, L994, K994, " FLUOR in SST. ", "TG ", 'Input Sheet'!I996, "U"))</f>
        <v/>
      </c>
      <c r="H994" s="6" t="str">
        <f>IF('Input Sheet'!C996="","",100-'Input Sheet'!C996)</f>
        <v/>
      </c>
      <c r="I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4" s="6" t="str">
        <f t="shared" si="15"/>
        <v/>
      </c>
      <c r="K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4" s="6" t="str">
        <f>IF('Input Sheet'!F996=0, "NO",CONCATENATE('Input Sheet'!F996, IF('Input Sheet'!F996&gt;0,"% ","")))</f>
        <v>NO</v>
      </c>
      <c r="M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4" s="6" t="str">
        <f>CONCATENATE(M994, IF('Input Sheet'!J996="",""," siderite in "))</f>
        <v/>
      </c>
      <c r="O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4" s="6" t="str">
        <f>CONCATENATE(O994, IF('Input Sheet'!K996="",""," siderite in "))</f>
        <v/>
      </c>
    </row>
    <row r="995" spans="1:16" x14ac:dyDescent="0.25">
      <c r="A995" s="17" t="str">
        <f>IF('Input Sheet'!C997="","",CONCATENATE("Sample ", 'Input Sheet'!B997, "m: ", N995, H995, "% ", "Siltstone, ", P995, 'Input Sheet'!C997, "% ", J995, " Sandstone, ", L995, K995, " FLUOR in SST. ", "TG ", 'Input Sheet'!I997, "U"))</f>
        <v/>
      </c>
      <c r="B995" s="3" t="str">
        <f>IF('Input Sheet'!C997="","",CONCATENATE("Sample ", 'Input Sheet'!B997, "m: ", O995, I995, "% ", "Siltstone, ", Q995, 'Input Sheet'!C997, "% ", K995, " Sandstone "))</f>
        <v/>
      </c>
      <c r="C995" s="3" t="str">
        <f>IF('Input Sheet'!C997="","",CONCATENATE("Sample ", 'Input Sheet'!B997, "m: ", N995,, L995, K995, " FLUOR in SST. ", "TG ", 'Input Sheet'!I997, "U"))</f>
        <v/>
      </c>
      <c r="H995" s="6" t="str">
        <f>IF('Input Sheet'!C997="","",100-'Input Sheet'!C997)</f>
        <v/>
      </c>
      <c r="I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5" s="6" t="str">
        <f t="shared" si="15"/>
        <v/>
      </c>
      <c r="K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5" s="6" t="str">
        <f>IF('Input Sheet'!F997=0, "NO",CONCATENATE('Input Sheet'!F997, IF('Input Sheet'!F997&gt;0,"% ","")))</f>
        <v>NO</v>
      </c>
      <c r="M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5" s="6" t="str">
        <f>CONCATENATE(M995, IF('Input Sheet'!J997="",""," siderite in "))</f>
        <v/>
      </c>
      <c r="O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5" s="6" t="str">
        <f>CONCATENATE(O995, IF('Input Sheet'!K997="",""," siderite in "))</f>
        <v/>
      </c>
    </row>
    <row r="996" spans="1:16" x14ac:dyDescent="0.25">
      <c r="A996" s="17" t="str">
        <f>IF('Input Sheet'!C998="","",CONCATENATE("Sample ", 'Input Sheet'!B998, "m: ", N996, H996, "% ", "Siltstone, ", P996, 'Input Sheet'!C998, "% ", J996, " Sandstone, ", L996, K996, " FLUOR in SST. ", "TG ", 'Input Sheet'!I998, "U"))</f>
        <v/>
      </c>
      <c r="B996" s="3" t="str">
        <f>IF('Input Sheet'!C998="","",CONCATENATE("Sample ", 'Input Sheet'!B998, "m: ", O996, I996, "% ", "Siltstone, ", Q996, 'Input Sheet'!C998, "% ", K996, " Sandstone "))</f>
        <v/>
      </c>
      <c r="C996" s="3" t="str">
        <f>IF('Input Sheet'!C998="","",CONCATENATE("Sample ", 'Input Sheet'!B998, "m: ", N996,, L996, K996, " FLUOR in SST. ", "TG ", 'Input Sheet'!I998, "U"))</f>
        <v/>
      </c>
      <c r="H996" s="6" t="str">
        <f>IF('Input Sheet'!C998="","",100-'Input Sheet'!C998)</f>
        <v/>
      </c>
      <c r="I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6" s="6" t="str">
        <f t="shared" si="15"/>
        <v/>
      </c>
      <c r="K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6" s="6" t="str">
        <f>IF('Input Sheet'!F998=0, "NO",CONCATENATE('Input Sheet'!F998, IF('Input Sheet'!F998&gt;0,"% ","")))</f>
        <v>NO</v>
      </c>
      <c r="M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6" s="6" t="str">
        <f>CONCATENATE(M996, IF('Input Sheet'!J998="",""," siderite in "))</f>
        <v/>
      </c>
      <c r="O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6" s="6" t="str">
        <f>CONCATENATE(O996, IF('Input Sheet'!K998="",""," siderite in "))</f>
        <v/>
      </c>
    </row>
    <row r="997" spans="1:16" x14ac:dyDescent="0.25">
      <c r="A997" s="17" t="str">
        <f>IF('Input Sheet'!C999="","",CONCATENATE("Sample ", 'Input Sheet'!B999, "m: ", N997, H997, "% ", "Siltstone, ", P997, 'Input Sheet'!C999, "% ", J997, " Sandstone, ", L997, K997, " FLUOR in SST. ", "TG ", 'Input Sheet'!I999, "U"))</f>
        <v/>
      </c>
      <c r="B997" s="3" t="str">
        <f>IF('Input Sheet'!C999="","",CONCATENATE("Sample ", 'Input Sheet'!B999, "m: ", O997, I997, "% ", "Siltstone, ", Q997, 'Input Sheet'!C999, "% ", K997, " Sandstone "))</f>
        <v/>
      </c>
      <c r="C997" s="3" t="str">
        <f>IF('Input Sheet'!C999="","",CONCATENATE("Sample ", 'Input Sheet'!B999, "m: ", N997,, L997, K997, " FLUOR in SST. ", "TG ", 'Input Sheet'!I999, "U"))</f>
        <v/>
      </c>
      <c r="H997" s="6" t="str">
        <f>IF('Input Sheet'!C999="","",100-'Input Sheet'!C999)</f>
        <v/>
      </c>
      <c r="I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7" s="6" t="str">
        <f t="shared" si="15"/>
        <v/>
      </c>
      <c r="K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7" s="6" t="str">
        <f>IF('Input Sheet'!F999=0, "NO",CONCATENATE('Input Sheet'!F999, IF('Input Sheet'!F999&gt;0,"% ","")))</f>
        <v>NO</v>
      </c>
      <c r="M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7" s="6" t="str">
        <f>CONCATENATE(M997, IF('Input Sheet'!J999="",""," siderite in "))</f>
        <v/>
      </c>
      <c r="O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7" s="6" t="str">
        <f>CONCATENATE(O997, IF('Input Sheet'!K999="",""," siderite in "))</f>
        <v/>
      </c>
    </row>
    <row r="998" spans="1:16" x14ac:dyDescent="0.25">
      <c r="A998" s="17" t="str">
        <f>IF('Input Sheet'!C1000="","",CONCATENATE("Sample ", 'Input Sheet'!B1000, "m: ", N998, H998, "% ", "Siltstone, ", P998, 'Input Sheet'!C1000, "% ", J998, " Sandstone, ", L998, K998, " FLUOR in SST. ", "TG ", 'Input Sheet'!I1000, "U"))</f>
        <v/>
      </c>
      <c r="B998" s="3" t="str">
        <f>IF('Input Sheet'!C1000="","",CONCATENATE("Sample ", 'Input Sheet'!B1000, "m: ", O998, I998, "% ", "Siltstone, ", Q998, 'Input Sheet'!C1000, "% ", K998, " Sandstone "))</f>
        <v/>
      </c>
      <c r="C998" s="3" t="str">
        <f>IF('Input Sheet'!C1000="","",CONCATENATE("Sample ", 'Input Sheet'!B1000, "m: ", N998,, L998, K998, " FLUOR in SST. ", "TG ", 'Input Sheet'!I1000, "U"))</f>
        <v/>
      </c>
      <c r="H998" s="6" t="str">
        <f>IF('Input Sheet'!C1000="","",100-'Input Sheet'!C1000)</f>
        <v/>
      </c>
      <c r="I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8" s="6" t="str">
        <f t="shared" si="15"/>
        <v/>
      </c>
      <c r="K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8" s="6" t="str">
        <f>IF('Input Sheet'!F1000=0, "NO",CONCATENATE('Input Sheet'!F1000, IF('Input Sheet'!F1000&gt;0,"% ","")))</f>
        <v>NO</v>
      </c>
      <c r="M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8" s="6" t="str">
        <f>CONCATENATE(M998, IF('Input Sheet'!J1000="",""," siderite in "))</f>
        <v/>
      </c>
      <c r="O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8" s="6" t="str">
        <f>CONCATENATE(O998, IF('Input Sheet'!K1000="",""," siderite in "))</f>
        <v/>
      </c>
    </row>
    <row r="999" spans="1:16" x14ac:dyDescent="0.25">
      <c r="A999" s="17" t="str">
        <f>IF('Input Sheet'!C1001="","",CONCATENATE("Sample ", 'Input Sheet'!B1001, "m: ", N999, H999, "% ", "Siltstone, ", P999, 'Input Sheet'!C1001, "% ", J999, " Sandstone, ", L999, K999, " FLUOR in SST. ", "TG ", 'Input Sheet'!I1001, "U"))</f>
        <v/>
      </c>
      <c r="B999" s="3" t="str">
        <f>IF('Input Sheet'!C1001="","",CONCATENATE("Sample ", 'Input Sheet'!B1001, "m: ", O999, I999, "% ", "Siltstone, ", Q999, 'Input Sheet'!C1001, "% ", K999, " Sandstone "))</f>
        <v/>
      </c>
      <c r="C999" s="3" t="str">
        <f>IF('Input Sheet'!C1001="","",CONCATENATE("Sample ", 'Input Sheet'!B1001, "m: ", N999,, L999, K999, " FLUOR in SST. ", "TG ", 'Input Sheet'!I1001, "U"))</f>
        <v/>
      </c>
      <c r="H999" s="6" t="str">
        <f>IF('Input Sheet'!C1001="","",100-'Input Sheet'!C1001)</f>
        <v/>
      </c>
      <c r="I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J999" s="6" t="str">
        <f t="shared" si="15"/>
        <v/>
      </c>
      <c r="K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L999" s="6" t="str">
        <f>IF('Input Sheet'!F1001=0, "NO",CONCATENATE('Input Sheet'!F1001, IF('Input Sheet'!F1001&gt;0,"% ","")))</f>
        <v>NO</v>
      </c>
      <c r="M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N999" s="6" t="str">
        <f>CONCATENATE(M999, IF('Input Sheet'!J1001="",""," siderite in "))</f>
        <v/>
      </c>
      <c r="O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E$3,$F$3),$E$4,$F$4),$E$5,$F$5),$E$6,$F$6),$E$7,$F$7),$E$8,$F$8),$E$9,$F$9),$E$10,$F$10),$E$11,$F$11),$E$12,$F$12),$E$13,$F$13),$E$14,$F$14),$E$15,$F$15),$E$16,$F$16),$E$17,$F$17),$E$18,$F$18),$E$19,$F$19),$E$20,$F$20),$E$21,$F$21),$E$22,$F$22),$E$23,$F$23),$E$24,$F$24),$E$25,$F$25),$E$26,$F$26),$E$27,$F$27),$E$28,$F$28),$E$29,$F$29),$E$30,$F$30),$E$31,$F$31),$E$32,$F$32),$E$33,$F$33)</f>
        <v/>
      </c>
      <c r="P999" s="6" t="str">
        <f>CONCATENATE(O999, IF('Input Sheet'!K1001="",""," siderite in 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F9C8-362E-48AD-ACF7-B91BFEBC61CA}">
  <dimension ref="A1:AF439"/>
  <sheetViews>
    <sheetView tabSelected="1" workbookViewId="0">
      <selection activeCell="Q7" sqref="Q7"/>
    </sheetView>
  </sheetViews>
  <sheetFormatPr defaultColWidth="9.140625" defaultRowHeight="16.5" customHeight="1" x14ac:dyDescent="0.3"/>
  <cols>
    <col min="1" max="1" width="146.42578125" style="24" customWidth="1"/>
    <col min="2" max="2" width="8.28515625" style="25" customWidth="1"/>
    <col min="3" max="3" width="11.85546875" style="26" bestFit="1" customWidth="1"/>
    <col min="4" max="4" width="5.7109375" style="27" bestFit="1" customWidth="1"/>
    <col min="5" max="5" width="4.42578125" style="28" customWidth="1"/>
    <col min="6" max="6" width="7" style="29" bestFit="1" customWidth="1"/>
    <col min="7" max="7" width="10.28515625" style="41" bestFit="1" customWidth="1"/>
    <col min="8" max="8" width="9.42578125" style="27" bestFit="1" customWidth="1"/>
    <col min="9" max="9" width="9.42578125" style="27" customWidth="1"/>
    <col min="10" max="10" width="9.7109375" style="27" customWidth="1"/>
    <col min="11" max="12" width="6.85546875" style="27" customWidth="1"/>
    <col min="13" max="13" width="5.28515625" style="32" customWidth="1"/>
    <col min="14" max="14" width="2.85546875" style="32" customWidth="1"/>
    <col min="15" max="15" width="11" style="32" customWidth="1"/>
    <col min="16" max="16" width="5.42578125" style="32" customWidth="1"/>
    <col min="17" max="17" width="11.140625" style="32" customWidth="1"/>
    <col min="18" max="18" width="9.140625" style="32" bestFit="1" customWidth="1"/>
    <col min="19" max="16384" width="9.140625" style="32"/>
  </cols>
  <sheetData>
    <row r="1" spans="1:32" x14ac:dyDescent="0.3">
      <c r="B1" s="25" t="s">
        <v>106</v>
      </c>
      <c r="F1" s="29" t="s">
        <v>107</v>
      </c>
      <c r="G1" s="29" t="s">
        <v>107</v>
      </c>
      <c r="I1" s="30" t="s">
        <v>108</v>
      </c>
      <c r="J1" s="30"/>
      <c r="K1" s="30" t="s">
        <v>109</v>
      </c>
      <c r="L1" s="30"/>
      <c r="M1" s="31"/>
      <c r="O1" s="32" t="s">
        <v>110</v>
      </c>
      <c r="Q1" s="32" t="s">
        <v>111</v>
      </c>
      <c r="T1" s="32" t="s">
        <v>62</v>
      </c>
      <c r="U1" s="32" t="s">
        <v>14</v>
      </c>
      <c r="V1" s="32" t="s">
        <v>19</v>
      </c>
      <c r="W1" s="32" t="s">
        <v>42</v>
      </c>
      <c r="X1" s="32" t="s">
        <v>75</v>
      </c>
      <c r="Y1" s="32" t="s">
        <v>112</v>
      </c>
      <c r="AF1" s="32" t="s">
        <v>62</v>
      </c>
    </row>
    <row r="2" spans="1:32" ht="15" x14ac:dyDescent="0.25">
      <c r="A2" s="45" t="s">
        <v>113</v>
      </c>
      <c r="B2" s="45"/>
      <c r="C2" s="45"/>
      <c r="D2" s="45"/>
      <c r="E2" s="45"/>
      <c r="F2" s="29">
        <v>0</v>
      </c>
      <c r="G2" s="29">
        <v>0</v>
      </c>
      <c r="I2" s="27" t="s">
        <v>114</v>
      </c>
      <c r="J2" s="27" t="s">
        <v>115</v>
      </c>
      <c r="K2" s="27" t="s">
        <v>114</v>
      </c>
      <c r="L2" s="27" t="s">
        <v>115</v>
      </c>
      <c r="O2" s="42">
        <v>1632.38</v>
      </c>
      <c r="Q2" s="33">
        <f>J3/$O$4</f>
        <v>0.9059486875812619</v>
      </c>
      <c r="T2" s="34">
        <f>+T3/$Y$3</f>
        <v>1.0582010582010581E-2</v>
      </c>
      <c r="U2" s="34">
        <f>+U3/$Y$3</f>
        <v>0.27724867724867724</v>
      </c>
      <c r="V2" s="34">
        <f>+V3/$Y$3</f>
        <v>7.1957671957671956E-2</v>
      </c>
      <c r="W2" s="34">
        <f>+W3/$Y$3</f>
        <v>0.46031746031746029</v>
      </c>
      <c r="X2" s="34">
        <f>+X3/$Y$3</f>
        <v>0.17989417989417988</v>
      </c>
      <c r="AF2" s="32" t="s">
        <v>14</v>
      </c>
    </row>
    <row r="3" spans="1:32" ht="15" x14ac:dyDescent="0.25">
      <c r="A3" s="45" t="s">
        <v>116</v>
      </c>
      <c r="B3" s="45"/>
      <c r="C3" s="45"/>
      <c r="D3" s="45"/>
      <c r="E3" s="45"/>
      <c r="F3" s="29">
        <v>0.5</v>
      </c>
      <c r="G3" s="29">
        <v>0.75</v>
      </c>
      <c r="I3" s="27">
        <f>SUM(I5:I200)</f>
        <v>-1545</v>
      </c>
      <c r="J3" s="27">
        <f>SUM(J5:J200)</f>
        <v>1407.5</v>
      </c>
      <c r="K3" s="27">
        <f>SUM(K5:K200)</f>
        <v>1441</v>
      </c>
      <c r="L3" s="27">
        <f>SUM(L5:L200)</f>
        <v>1318.75</v>
      </c>
      <c r="M3" s="46" t="s">
        <v>117</v>
      </c>
      <c r="O3" s="32" t="s">
        <v>118</v>
      </c>
      <c r="Q3" s="32" t="s">
        <v>119</v>
      </c>
      <c r="T3" s="27">
        <f>SUM(T5:T122)</f>
        <v>10</v>
      </c>
      <c r="U3" s="27">
        <f>SUM(U5:U122)</f>
        <v>262</v>
      </c>
      <c r="V3" s="27">
        <f>SUM(V5:V122)</f>
        <v>68</v>
      </c>
      <c r="W3" s="27">
        <f>SUM(W5:W122)</f>
        <v>435</v>
      </c>
      <c r="X3" s="27">
        <f>SUM(X5:X122)</f>
        <v>170</v>
      </c>
      <c r="Y3" s="35">
        <f>+SUM(T3:X3)</f>
        <v>945</v>
      </c>
      <c r="AF3" s="32" t="s">
        <v>19</v>
      </c>
    </row>
    <row r="4" spans="1:32" ht="15" x14ac:dyDescent="0.25">
      <c r="A4" s="36" t="s">
        <v>120</v>
      </c>
      <c r="B4" s="25" t="s">
        <v>10</v>
      </c>
      <c r="C4" s="26" t="s">
        <v>11</v>
      </c>
      <c r="E4" s="37" t="s">
        <v>121</v>
      </c>
      <c r="F4" s="29" t="s">
        <v>122</v>
      </c>
      <c r="G4" s="29" t="s">
        <v>123</v>
      </c>
      <c r="H4" s="27" t="s">
        <v>124</v>
      </c>
      <c r="I4" s="27" t="s">
        <v>125</v>
      </c>
      <c r="K4" s="27" t="s">
        <v>125</v>
      </c>
      <c r="M4" s="46"/>
      <c r="O4" s="38">
        <f>MAX(D:D)-O2</f>
        <v>1553.62</v>
      </c>
      <c r="Q4" s="33">
        <f>L3/$O$4</f>
        <v>0.84882403676574714</v>
      </c>
      <c r="AF4" s="32" t="s">
        <v>42</v>
      </c>
    </row>
    <row r="5" spans="1:32" ht="16.5" customHeight="1" x14ac:dyDescent="0.25">
      <c r="A5" s="39" t="str">
        <f>'Long Sample Name'!A2</f>
        <v>Sample 1545m: Tr siderite in 70% Siltstone, 30% very fine Sandstone, NO FLUOR in SST. TG 4U</v>
      </c>
      <c r="B5" s="25">
        <f>'Input Sheet'!L4</f>
        <v>45194</v>
      </c>
      <c r="C5" s="26">
        <f>'Input Sheet'!M4</f>
        <v>0.10416666666666667</v>
      </c>
      <c r="D5" s="40">
        <f>'Input Sheet'!B4</f>
        <v>1545</v>
      </c>
      <c r="E5" s="37">
        <f>'Input Sheet'!I4</f>
        <v>4</v>
      </c>
      <c r="F5" s="29">
        <f>('Input Sheet'!C4)/100</f>
        <v>0.3</v>
      </c>
      <c r="G5" s="29">
        <f>('Input Sheet'!F4)/100</f>
        <v>0</v>
      </c>
      <c r="H5" s="27">
        <v>0</v>
      </c>
      <c r="I5" s="27">
        <f t="shared" ref="I5:I68" si="0">IF(AND(F5&gt;=$F$2,G5&gt;=$G$2),H5,0)</f>
        <v>0</v>
      </c>
      <c r="J5" s="27">
        <f t="shared" ref="J5:J68" si="1">IF(I5&gt;0,I5*F5,0)</f>
        <v>0</v>
      </c>
      <c r="K5" s="27">
        <f t="shared" ref="K5:K68" si="2">IF(AND(F5&gt;=$F$3,G5&gt;=$G$3),H5,0)</f>
        <v>0</v>
      </c>
      <c r="L5" s="27">
        <f>IF(K5&gt;0,K5*F5,0)</f>
        <v>0</v>
      </c>
      <c r="M5" s="32" t="str">
        <f>'Input Sheet'!E4</f>
        <v>VF</v>
      </c>
      <c r="N5" s="32">
        <f t="shared" ref="N5:N68" si="3">IF(M5="VF",1,IF(M5="F",2,IF(M5="M",3,IF(M5="C",4,IF(M5="VC",5,0)))))</f>
        <v>1</v>
      </c>
      <c r="T5" s="32">
        <f t="shared" ref="T5:X20" si="4">IF($M5=T$1,$H5,0)</f>
        <v>0</v>
      </c>
      <c r="U5" s="32">
        <f t="shared" si="4"/>
        <v>0</v>
      </c>
      <c r="V5" s="32">
        <f t="shared" si="4"/>
        <v>0</v>
      </c>
      <c r="W5" s="32">
        <f t="shared" si="4"/>
        <v>0</v>
      </c>
      <c r="X5" s="32">
        <f t="shared" si="4"/>
        <v>0</v>
      </c>
      <c r="AF5" s="32" t="s">
        <v>75</v>
      </c>
    </row>
    <row r="6" spans="1:32" ht="16.5" customHeight="1" x14ac:dyDescent="0.25">
      <c r="A6" s="39" t="str">
        <f>'Long Sample Name'!A3</f>
        <v>Sample 1550m: Tr siderite in 80% Siltstone, 20% very fine to fine Sandstone, NO FLUOR in SST. TG 6U</v>
      </c>
      <c r="B6" s="25">
        <f>'Input Sheet'!L5</f>
        <v>45194</v>
      </c>
      <c r="C6" s="26">
        <f>'Input Sheet'!M5</f>
        <v>0</v>
      </c>
      <c r="D6" s="40">
        <f>'Input Sheet'!B5</f>
        <v>1550</v>
      </c>
      <c r="E6" s="37">
        <f>'Input Sheet'!I5</f>
        <v>6</v>
      </c>
      <c r="F6" s="29">
        <f>('Input Sheet'!C5)/100</f>
        <v>0.2</v>
      </c>
      <c r="G6" s="29">
        <f>('Input Sheet'!F5)/100</f>
        <v>0</v>
      </c>
      <c r="H6" s="27">
        <f t="shared" ref="H6:H69" si="5">IF(D6&lt;&gt;"",D6-D5,"")</f>
        <v>5</v>
      </c>
      <c r="I6" s="27">
        <f>IF(AND(F6&gt;=$F$2,G6&gt;=$G$2),H6,0)</f>
        <v>5</v>
      </c>
      <c r="J6" s="27">
        <f t="shared" si="1"/>
        <v>1</v>
      </c>
      <c r="K6" s="27">
        <f t="shared" si="2"/>
        <v>0</v>
      </c>
      <c r="L6" s="27">
        <f t="shared" ref="L6:L68" si="6">IF(K6&gt;0,K6*F6,0)</f>
        <v>0</v>
      </c>
      <c r="M6" s="32" t="str">
        <f>'Input Sheet'!E5</f>
        <v>F</v>
      </c>
      <c r="N6" s="32">
        <f t="shared" si="3"/>
        <v>2</v>
      </c>
      <c r="T6" s="32">
        <f t="shared" si="4"/>
        <v>0</v>
      </c>
      <c r="U6" s="32">
        <f t="shared" si="4"/>
        <v>5</v>
      </c>
      <c r="V6" s="32">
        <f t="shared" si="4"/>
        <v>0</v>
      </c>
      <c r="W6" s="32">
        <f t="shared" si="4"/>
        <v>0</v>
      </c>
      <c r="X6" s="32">
        <f t="shared" si="4"/>
        <v>0</v>
      </c>
    </row>
    <row r="7" spans="1:32" ht="16.5" customHeight="1" x14ac:dyDescent="0.25">
      <c r="A7" s="39" t="str">
        <f>'Long Sample Name'!A4</f>
        <v>Sample 1555m: Tr siderite in 80% Siltstone, 20% very fine to fine Sandstone, NO FLUOR in SST. TG 5U</v>
      </c>
      <c r="B7" s="25">
        <f>'Input Sheet'!L6</f>
        <v>45194</v>
      </c>
      <c r="C7" s="26">
        <f>'Input Sheet'!M6</f>
        <v>0</v>
      </c>
      <c r="D7" s="40">
        <f>'Input Sheet'!B6</f>
        <v>1555</v>
      </c>
      <c r="E7" s="37">
        <f>'Input Sheet'!I6</f>
        <v>5</v>
      </c>
      <c r="F7" s="29">
        <f>('Input Sheet'!C6)/100</f>
        <v>0.2</v>
      </c>
      <c r="G7" s="29">
        <f>('Input Sheet'!F6)/100</f>
        <v>0</v>
      </c>
      <c r="H7" s="27">
        <f t="shared" si="5"/>
        <v>5</v>
      </c>
      <c r="I7" s="27">
        <f t="shared" si="0"/>
        <v>5</v>
      </c>
      <c r="J7" s="27">
        <f t="shared" si="1"/>
        <v>1</v>
      </c>
      <c r="K7" s="27">
        <f t="shared" si="2"/>
        <v>0</v>
      </c>
      <c r="L7" s="27">
        <f t="shared" si="6"/>
        <v>0</v>
      </c>
      <c r="M7" s="32" t="str">
        <f>'Input Sheet'!E6</f>
        <v>F</v>
      </c>
      <c r="N7" s="32">
        <f t="shared" si="3"/>
        <v>2</v>
      </c>
      <c r="T7" s="32">
        <f t="shared" si="4"/>
        <v>0</v>
      </c>
      <c r="U7" s="32">
        <f t="shared" si="4"/>
        <v>5</v>
      </c>
      <c r="V7" s="32">
        <f t="shared" si="4"/>
        <v>0</v>
      </c>
      <c r="W7" s="32">
        <f t="shared" si="4"/>
        <v>0</v>
      </c>
      <c r="X7" s="32">
        <f t="shared" si="4"/>
        <v>0</v>
      </c>
    </row>
    <row r="8" spans="1:32" ht="16.5" customHeight="1" x14ac:dyDescent="0.25">
      <c r="A8" s="39" t="str">
        <f>'Long Sample Name'!A5</f>
        <v>Sample 1560m: Tr siderite in 70% Siltstone, 30% very fine to fine Sandstone, NO FLUOR in SST. TG 6U</v>
      </c>
      <c r="B8" s="25">
        <f>'Input Sheet'!L7</f>
        <v>45194</v>
      </c>
      <c r="C8" s="26">
        <f>'Input Sheet'!M7</f>
        <v>0</v>
      </c>
      <c r="D8" s="40">
        <f>'Input Sheet'!B7</f>
        <v>1560</v>
      </c>
      <c r="E8" s="37">
        <f>'Input Sheet'!I7</f>
        <v>6</v>
      </c>
      <c r="F8" s="29">
        <f>('Input Sheet'!C7)/100</f>
        <v>0.3</v>
      </c>
      <c r="G8" s="29">
        <f>('Input Sheet'!F7)/100</f>
        <v>0</v>
      </c>
      <c r="H8" s="27">
        <f t="shared" si="5"/>
        <v>5</v>
      </c>
      <c r="I8" s="27">
        <f t="shared" si="0"/>
        <v>5</v>
      </c>
      <c r="J8" s="27">
        <f t="shared" si="1"/>
        <v>1.5</v>
      </c>
      <c r="K8" s="27">
        <f t="shared" si="2"/>
        <v>0</v>
      </c>
      <c r="L8" s="27">
        <f t="shared" si="6"/>
        <v>0</v>
      </c>
      <c r="M8" s="32" t="str">
        <f>'Input Sheet'!E7</f>
        <v>F</v>
      </c>
      <c r="N8" s="32">
        <f t="shared" si="3"/>
        <v>2</v>
      </c>
      <c r="T8" s="32">
        <f t="shared" si="4"/>
        <v>0</v>
      </c>
      <c r="U8" s="32">
        <f t="shared" si="4"/>
        <v>5</v>
      </c>
      <c r="V8" s="32">
        <f t="shared" si="4"/>
        <v>0</v>
      </c>
      <c r="W8" s="32">
        <f t="shared" si="4"/>
        <v>0</v>
      </c>
      <c r="X8" s="32">
        <f t="shared" si="4"/>
        <v>0</v>
      </c>
    </row>
    <row r="9" spans="1:32" ht="16.5" customHeight="1" x14ac:dyDescent="0.25">
      <c r="A9" s="39" t="str">
        <f>'Long Sample Name'!A6</f>
        <v>Sample 1565m: Tr siderite in 80% Siltstone, 20% very fine to fine Sandstone, NO FLUOR in SST. TG 7U</v>
      </c>
      <c r="B9" s="25">
        <f>'Input Sheet'!L8</f>
        <v>45194</v>
      </c>
      <c r="C9" s="26">
        <f>'Input Sheet'!M8</f>
        <v>0</v>
      </c>
      <c r="D9" s="40">
        <f>'Input Sheet'!B8</f>
        <v>1565</v>
      </c>
      <c r="E9" s="37">
        <f>'Input Sheet'!I8</f>
        <v>7</v>
      </c>
      <c r="F9" s="29">
        <f>('Input Sheet'!C8)/100</f>
        <v>0.2</v>
      </c>
      <c r="G9" s="29">
        <f>('Input Sheet'!F8)/100</f>
        <v>0</v>
      </c>
      <c r="H9" s="27">
        <f t="shared" si="5"/>
        <v>5</v>
      </c>
      <c r="I9" s="27">
        <f t="shared" si="0"/>
        <v>5</v>
      </c>
      <c r="J9" s="27">
        <f t="shared" si="1"/>
        <v>1</v>
      </c>
      <c r="K9" s="27">
        <f t="shared" si="2"/>
        <v>0</v>
      </c>
      <c r="L9" s="27">
        <f t="shared" si="6"/>
        <v>0</v>
      </c>
      <c r="M9" s="32" t="str">
        <f>'Input Sheet'!E8</f>
        <v>F</v>
      </c>
      <c r="N9" s="32">
        <f t="shared" si="3"/>
        <v>2</v>
      </c>
      <c r="T9" s="32">
        <f t="shared" si="4"/>
        <v>0</v>
      </c>
      <c r="U9" s="32">
        <f t="shared" si="4"/>
        <v>5</v>
      </c>
      <c r="V9" s="32">
        <f t="shared" si="4"/>
        <v>0</v>
      </c>
      <c r="W9" s="32">
        <f t="shared" si="4"/>
        <v>0</v>
      </c>
      <c r="X9" s="32">
        <f t="shared" si="4"/>
        <v>0</v>
      </c>
    </row>
    <row r="10" spans="1:32" ht="16.5" customHeight="1" x14ac:dyDescent="0.25">
      <c r="A10" s="39" t="str">
        <f>'Long Sample Name'!A7</f>
        <v>Sample 1570m: Tr siderite in 70% Siltstone, 30% very fine to fine Sandstone, NO FLUOR in SST. TG 6U</v>
      </c>
      <c r="B10" s="25">
        <f>'Input Sheet'!L9</f>
        <v>45194</v>
      </c>
      <c r="C10" s="26">
        <f>'Input Sheet'!M9</f>
        <v>0</v>
      </c>
      <c r="D10" s="40">
        <f>'Input Sheet'!B9</f>
        <v>1570</v>
      </c>
      <c r="E10" s="37">
        <f>'Input Sheet'!I9</f>
        <v>6</v>
      </c>
      <c r="F10" s="29">
        <f>('Input Sheet'!C9)/100</f>
        <v>0.3</v>
      </c>
      <c r="G10" s="29">
        <f>('Input Sheet'!F9)/100</f>
        <v>0</v>
      </c>
      <c r="H10" s="27">
        <f t="shared" si="5"/>
        <v>5</v>
      </c>
      <c r="I10" s="27">
        <f t="shared" si="0"/>
        <v>5</v>
      </c>
      <c r="J10" s="27">
        <f t="shared" si="1"/>
        <v>1.5</v>
      </c>
      <c r="K10" s="27">
        <f t="shared" si="2"/>
        <v>0</v>
      </c>
      <c r="L10" s="27">
        <f t="shared" si="6"/>
        <v>0</v>
      </c>
      <c r="M10" s="32" t="str">
        <f>'Input Sheet'!E9</f>
        <v>F</v>
      </c>
      <c r="N10" s="32">
        <f t="shared" si="3"/>
        <v>2</v>
      </c>
      <c r="T10" s="32">
        <f t="shared" si="4"/>
        <v>0</v>
      </c>
      <c r="U10" s="32">
        <f t="shared" si="4"/>
        <v>5</v>
      </c>
      <c r="V10" s="32">
        <f t="shared" si="4"/>
        <v>0</v>
      </c>
      <c r="W10" s="32">
        <f t="shared" si="4"/>
        <v>0</v>
      </c>
      <c r="X10" s="32">
        <f t="shared" si="4"/>
        <v>0</v>
      </c>
    </row>
    <row r="11" spans="1:32" ht="16.5" customHeight="1" x14ac:dyDescent="0.25">
      <c r="A11" s="39" t="str">
        <f>'Long Sample Name'!A8</f>
        <v>Sample 1575m: Tr siderite in 75% Siltstone, 25% very fine to fine Sandstone, NO FLUOR in SST. TG 7U</v>
      </c>
      <c r="B11" s="25">
        <f>'Input Sheet'!L10</f>
        <v>45194</v>
      </c>
      <c r="C11" s="26">
        <f>'Input Sheet'!M10</f>
        <v>0</v>
      </c>
      <c r="D11" s="40">
        <f>'Input Sheet'!B10</f>
        <v>1575</v>
      </c>
      <c r="E11" s="37">
        <f>'Input Sheet'!I10</f>
        <v>7</v>
      </c>
      <c r="F11" s="29">
        <f>('Input Sheet'!C10)/100</f>
        <v>0.25</v>
      </c>
      <c r="G11" s="29">
        <f>('Input Sheet'!F10)/100</f>
        <v>0</v>
      </c>
      <c r="H11" s="27">
        <f t="shared" si="5"/>
        <v>5</v>
      </c>
      <c r="I11" s="27">
        <f t="shared" si="0"/>
        <v>5</v>
      </c>
      <c r="J11" s="27">
        <f>IF(I11&gt;0,I11*F11,0)</f>
        <v>1.25</v>
      </c>
      <c r="K11" s="27">
        <f t="shared" si="2"/>
        <v>0</v>
      </c>
      <c r="L11" s="27">
        <f t="shared" si="6"/>
        <v>0</v>
      </c>
      <c r="M11" s="32" t="str">
        <f>'Input Sheet'!E10</f>
        <v>F</v>
      </c>
      <c r="N11" s="32">
        <f t="shared" si="3"/>
        <v>2</v>
      </c>
      <c r="T11" s="32">
        <f t="shared" si="4"/>
        <v>0</v>
      </c>
      <c r="U11" s="32">
        <f t="shared" si="4"/>
        <v>5</v>
      </c>
      <c r="V11" s="32">
        <f t="shared" si="4"/>
        <v>0</v>
      </c>
      <c r="W11" s="32">
        <f t="shared" si="4"/>
        <v>0</v>
      </c>
      <c r="X11" s="32">
        <f t="shared" si="4"/>
        <v>0</v>
      </c>
    </row>
    <row r="12" spans="1:32" ht="16.5" customHeight="1" x14ac:dyDescent="0.25">
      <c r="A12" s="39" t="str">
        <f>'Long Sample Name'!A9</f>
        <v>Sample 1580m: Tr siderite in 80% Siltstone, 20% very fine to fine Sandstone, NO FLUOR in SST. TG 7U</v>
      </c>
      <c r="B12" s="25">
        <f>'Input Sheet'!L11</f>
        <v>45194</v>
      </c>
      <c r="C12" s="26">
        <f>'Input Sheet'!M11</f>
        <v>0</v>
      </c>
      <c r="D12" s="40">
        <f>'Input Sheet'!B11</f>
        <v>1580</v>
      </c>
      <c r="E12" s="37">
        <f>'Input Sheet'!I11</f>
        <v>7</v>
      </c>
      <c r="F12" s="29">
        <f>('Input Sheet'!C11)/100</f>
        <v>0.2</v>
      </c>
      <c r="G12" s="29">
        <f>('Input Sheet'!F11)/100</f>
        <v>0</v>
      </c>
      <c r="H12" s="27">
        <f t="shared" si="5"/>
        <v>5</v>
      </c>
      <c r="I12" s="27">
        <f t="shared" si="0"/>
        <v>5</v>
      </c>
      <c r="J12" s="27">
        <f t="shared" si="1"/>
        <v>1</v>
      </c>
      <c r="K12" s="27">
        <f>IF(AND(F12&gt;=$F$3,G12&gt;=$G$3),H12,0)</f>
        <v>0</v>
      </c>
      <c r="L12" s="27">
        <f t="shared" si="6"/>
        <v>0</v>
      </c>
      <c r="M12" s="32" t="str">
        <f>'Input Sheet'!E11</f>
        <v>F</v>
      </c>
      <c r="N12" s="32">
        <f t="shared" si="3"/>
        <v>2</v>
      </c>
      <c r="T12" s="32">
        <f t="shared" si="4"/>
        <v>0</v>
      </c>
      <c r="U12" s="32">
        <f t="shared" si="4"/>
        <v>5</v>
      </c>
      <c r="V12" s="32">
        <f t="shared" si="4"/>
        <v>0</v>
      </c>
      <c r="W12" s="32">
        <f t="shared" si="4"/>
        <v>0</v>
      </c>
      <c r="X12" s="32">
        <f t="shared" si="4"/>
        <v>0</v>
      </c>
    </row>
    <row r="13" spans="1:32" ht="16.5" customHeight="1" x14ac:dyDescent="0.25">
      <c r="A13" s="39" t="str">
        <f>'Long Sample Name'!A10</f>
        <v>Sample 1585m: Tr siderite in 80% Siltstone, 20% very fine to fine Sandstone, NO FLUOR in SST. TG 8U</v>
      </c>
      <c r="B13" s="25">
        <f>'Input Sheet'!L12</f>
        <v>45194</v>
      </c>
      <c r="C13" s="26">
        <f>'Input Sheet'!M12</f>
        <v>0</v>
      </c>
      <c r="D13" s="40">
        <f>'Input Sheet'!B12</f>
        <v>1585</v>
      </c>
      <c r="E13" s="37">
        <f>'Input Sheet'!I12</f>
        <v>8</v>
      </c>
      <c r="F13" s="29">
        <f>('Input Sheet'!C12)/100</f>
        <v>0.2</v>
      </c>
      <c r="G13" s="29">
        <f>('Input Sheet'!F12)/100</f>
        <v>0</v>
      </c>
      <c r="H13" s="27">
        <f t="shared" si="5"/>
        <v>5</v>
      </c>
      <c r="I13" s="27">
        <f t="shared" si="0"/>
        <v>5</v>
      </c>
      <c r="J13" s="27">
        <f t="shared" si="1"/>
        <v>1</v>
      </c>
      <c r="K13" s="27">
        <f t="shared" si="2"/>
        <v>0</v>
      </c>
      <c r="L13" s="27">
        <f t="shared" si="6"/>
        <v>0</v>
      </c>
      <c r="M13" s="32" t="str">
        <f>'Input Sheet'!E12</f>
        <v>F</v>
      </c>
      <c r="N13" s="32">
        <f t="shared" si="3"/>
        <v>2</v>
      </c>
      <c r="T13" s="32">
        <f t="shared" si="4"/>
        <v>0</v>
      </c>
      <c r="U13" s="32">
        <f t="shared" si="4"/>
        <v>5</v>
      </c>
      <c r="V13" s="32">
        <f t="shared" si="4"/>
        <v>0</v>
      </c>
      <c r="W13" s="32">
        <f t="shared" si="4"/>
        <v>0</v>
      </c>
      <c r="X13" s="32">
        <f t="shared" si="4"/>
        <v>0</v>
      </c>
    </row>
    <row r="14" spans="1:32" ht="16.5" customHeight="1" x14ac:dyDescent="0.25">
      <c r="A14" s="39" t="str">
        <f>'Long Sample Name'!A11</f>
        <v>Sample 1590m: Tr siderite in 80% Siltstone, 20% very fine to fine Sandstone, NO FLUOR in SST. TG 7U</v>
      </c>
      <c r="B14" s="25">
        <f>'Input Sheet'!L13</f>
        <v>45194</v>
      </c>
      <c r="C14" s="26">
        <f>'Input Sheet'!M13</f>
        <v>0</v>
      </c>
      <c r="D14" s="40">
        <f>'Input Sheet'!B13</f>
        <v>1590</v>
      </c>
      <c r="E14" s="37">
        <f>'Input Sheet'!I13</f>
        <v>7</v>
      </c>
      <c r="F14" s="29">
        <f>('Input Sheet'!C13)/100</f>
        <v>0.2</v>
      </c>
      <c r="G14" s="29">
        <f>('Input Sheet'!F13)/100</f>
        <v>0</v>
      </c>
      <c r="H14" s="27">
        <f t="shared" si="5"/>
        <v>5</v>
      </c>
      <c r="I14" s="27">
        <f t="shared" si="0"/>
        <v>5</v>
      </c>
      <c r="J14" s="27">
        <f t="shared" si="1"/>
        <v>1</v>
      </c>
      <c r="K14" s="27">
        <f t="shared" si="2"/>
        <v>0</v>
      </c>
      <c r="L14" s="27">
        <f t="shared" si="6"/>
        <v>0</v>
      </c>
      <c r="M14" s="32" t="str">
        <f>'Input Sheet'!E13</f>
        <v>F</v>
      </c>
      <c r="N14" s="32">
        <f t="shared" si="3"/>
        <v>2</v>
      </c>
      <c r="T14" s="32">
        <f t="shared" si="4"/>
        <v>0</v>
      </c>
      <c r="U14" s="32">
        <f t="shared" si="4"/>
        <v>5</v>
      </c>
      <c r="V14" s="32">
        <f t="shared" si="4"/>
        <v>0</v>
      </c>
      <c r="W14" s="32">
        <f t="shared" si="4"/>
        <v>0</v>
      </c>
      <c r="X14" s="32">
        <f t="shared" si="4"/>
        <v>0</v>
      </c>
    </row>
    <row r="15" spans="1:32" ht="16.5" customHeight="1" x14ac:dyDescent="0.25">
      <c r="A15" s="39" t="str">
        <f>'Long Sample Name'!A12</f>
        <v>Sample 1595m: Tr siderite in 60% Siltstone, 40% very fine to fine Sandstone, NO FLUOR in SST. TG 5U</v>
      </c>
      <c r="B15" s="25">
        <f>'Input Sheet'!L14</f>
        <v>45194</v>
      </c>
      <c r="C15" s="26">
        <f>'Input Sheet'!M14</f>
        <v>0.24166666666666667</v>
      </c>
      <c r="D15" s="40">
        <f>'Input Sheet'!B14</f>
        <v>1595</v>
      </c>
      <c r="E15" s="37">
        <f>'Input Sheet'!I14</f>
        <v>5</v>
      </c>
      <c r="F15" s="29">
        <f>('Input Sheet'!C14)/100</f>
        <v>0.4</v>
      </c>
      <c r="G15" s="29">
        <f>('Input Sheet'!F14)/100</f>
        <v>0</v>
      </c>
      <c r="H15" s="27">
        <f t="shared" si="5"/>
        <v>5</v>
      </c>
      <c r="I15" s="27">
        <f t="shared" si="0"/>
        <v>5</v>
      </c>
      <c r="J15" s="27">
        <f t="shared" si="1"/>
        <v>2</v>
      </c>
      <c r="K15" s="27">
        <f t="shared" si="2"/>
        <v>0</v>
      </c>
      <c r="L15" s="27">
        <f t="shared" si="6"/>
        <v>0</v>
      </c>
      <c r="M15" s="32" t="str">
        <f>'Input Sheet'!E14</f>
        <v>F</v>
      </c>
      <c r="N15" s="32">
        <f t="shared" si="3"/>
        <v>2</v>
      </c>
      <c r="T15" s="32">
        <f t="shared" si="4"/>
        <v>0</v>
      </c>
      <c r="U15" s="32">
        <f t="shared" si="4"/>
        <v>5</v>
      </c>
      <c r="V15" s="32">
        <f t="shared" si="4"/>
        <v>0</v>
      </c>
      <c r="W15" s="32">
        <f t="shared" si="4"/>
        <v>0</v>
      </c>
      <c r="X15" s="32">
        <f t="shared" si="4"/>
        <v>0</v>
      </c>
    </row>
    <row r="16" spans="1:32" ht="16.5" customHeight="1" x14ac:dyDescent="0.25">
      <c r="A16" s="39" t="str">
        <f>'Long Sample Name'!A13</f>
        <v>Sample 1600m: 70% Siltstone, 30% very fine to fine Sandstone, NO FLUOR in SST. TG 5U</v>
      </c>
      <c r="B16" s="25">
        <f>'Input Sheet'!L15</f>
        <v>45194</v>
      </c>
      <c r="C16" s="26">
        <f>'Input Sheet'!M15</f>
        <v>0.25416666666666665</v>
      </c>
      <c r="D16" s="40">
        <f>'Input Sheet'!B15</f>
        <v>1600</v>
      </c>
      <c r="E16" s="37">
        <f>'Input Sheet'!I15</f>
        <v>5</v>
      </c>
      <c r="F16" s="29">
        <f>('Input Sheet'!C15)/100</f>
        <v>0.3</v>
      </c>
      <c r="G16" s="29">
        <f>('Input Sheet'!F15)/100</f>
        <v>0</v>
      </c>
      <c r="H16" s="27">
        <f t="shared" si="5"/>
        <v>5</v>
      </c>
      <c r="I16" s="27">
        <f t="shared" si="0"/>
        <v>5</v>
      </c>
      <c r="J16" s="27">
        <f t="shared" si="1"/>
        <v>1.5</v>
      </c>
      <c r="K16" s="27">
        <f t="shared" si="2"/>
        <v>0</v>
      </c>
      <c r="L16" s="27">
        <f t="shared" si="6"/>
        <v>0</v>
      </c>
      <c r="M16" s="32" t="str">
        <f>'Input Sheet'!E15</f>
        <v>F</v>
      </c>
      <c r="N16" s="32">
        <f t="shared" si="3"/>
        <v>2</v>
      </c>
      <c r="T16" s="32">
        <f t="shared" si="4"/>
        <v>0</v>
      </c>
      <c r="U16" s="32">
        <f t="shared" si="4"/>
        <v>5</v>
      </c>
      <c r="V16" s="32">
        <f t="shared" si="4"/>
        <v>0</v>
      </c>
      <c r="W16" s="32">
        <f t="shared" si="4"/>
        <v>0</v>
      </c>
      <c r="X16" s="32">
        <f t="shared" si="4"/>
        <v>0</v>
      </c>
    </row>
    <row r="17" spans="1:24" ht="16.5" customHeight="1" x14ac:dyDescent="0.25">
      <c r="A17" s="39" t="str">
        <f>'Long Sample Name'!A14</f>
        <v>Sample 1605m: 70% Siltstone, 30% very fine to fine Sandstone, NO FLUOR in SST. TG 5U</v>
      </c>
      <c r="B17" s="25">
        <f>'Input Sheet'!L16</f>
        <v>45194</v>
      </c>
      <c r="C17" s="26">
        <f>'Input Sheet'!M16</f>
        <v>0.26527777777777778</v>
      </c>
      <c r="D17" s="40">
        <f>'Input Sheet'!B16</f>
        <v>1605</v>
      </c>
      <c r="E17" s="37">
        <f>'Input Sheet'!I16</f>
        <v>5</v>
      </c>
      <c r="F17" s="29">
        <f>('Input Sheet'!C16)/100</f>
        <v>0.3</v>
      </c>
      <c r="G17" s="29">
        <f>('Input Sheet'!F16)/100</f>
        <v>0</v>
      </c>
      <c r="H17" s="27">
        <f t="shared" si="5"/>
        <v>5</v>
      </c>
      <c r="I17" s="27">
        <f t="shared" si="0"/>
        <v>5</v>
      </c>
      <c r="J17" s="27">
        <f t="shared" si="1"/>
        <v>1.5</v>
      </c>
      <c r="K17" s="27">
        <f t="shared" si="2"/>
        <v>0</v>
      </c>
      <c r="L17" s="27">
        <f t="shared" si="6"/>
        <v>0</v>
      </c>
      <c r="M17" s="32" t="str">
        <f>'Input Sheet'!E16</f>
        <v>F</v>
      </c>
      <c r="N17" s="32">
        <f t="shared" si="3"/>
        <v>2</v>
      </c>
      <c r="T17" s="32">
        <f t="shared" si="4"/>
        <v>0</v>
      </c>
      <c r="U17" s="32">
        <f t="shared" si="4"/>
        <v>5</v>
      </c>
      <c r="V17" s="32">
        <f t="shared" si="4"/>
        <v>0</v>
      </c>
      <c r="W17" s="32">
        <f t="shared" si="4"/>
        <v>0</v>
      </c>
      <c r="X17" s="32">
        <f t="shared" si="4"/>
        <v>0</v>
      </c>
    </row>
    <row r="18" spans="1:24" ht="16.5" customHeight="1" x14ac:dyDescent="0.25">
      <c r="A18" s="39" t="str">
        <f>'Long Sample Name'!A15</f>
        <v>Sample 1607m: 50% Siltstone, 50% very fine to fine Sandstone, 50% moderately bright  to  bright FLUOR in SST. TG 13U</v>
      </c>
      <c r="B18" s="25">
        <f>'Input Sheet'!L17</f>
        <v>45194</v>
      </c>
      <c r="C18" s="26">
        <f>'Input Sheet'!M17</f>
        <v>0.2673611111111111</v>
      </c>
      <c r="D18" s="40">
        <f>'Input Sheet'!B17</f>
        <v>1607</v>
      </c>
      <c r="E18" s="37">
        <f>'Input Sheet'!I17</f>
        <v>13</v>
      </c>
      <c r="F18" s="29">
        <f>('Input Sheet'!C17)/100</f>
        <v>0.5</v>
      </c>
      <c r="G18" s="29">
        <f>('Input Sheet'!F17)/100</f>
        <v>0.5</v>
      </c>
      <c r="H18" s="27">
        <f t="shared" si="5"/>
        <v>2</v>
      </c>
      <c r="I18" s="27">
        <f t="shared" si="0"/>
        <v>2</v>
      </c>
      <c r="J18" s="27">
        <f t="shared" si="1"/>
        <v>1</v>
      </c>
      <c r="K18" s="27">
        <f t="shared" si="2"/>
        <v>0</v>
      </c>
      <c r="L18" s="27">
        <f t="shared" si="6"/>
        <v>0</v>
      </c>
      <c r="M18" s="32" t="str">
        <f>'Input Sheet'!E17</f>
        <v>F</v>
      </c>
      <c r="N18" s="32">
        <f t="shared" si="3"/>
        <v>2</v>
      </c>
      <c r="T18" s="32">
        <f t="shared" si="4"/>
        <v>0</v>
      </c>
      <c r="U18" s="32">
        <f t="shared" si="4"/>
        <v>2</v>
      </c>
      <c r="V18" s="32">
        <f t="shared" si="4"/>
        <v>0</v>
      </c>
      <c r="W18" s="32">
        <f t="shared" si="4"/>
        <v>0</v>
      </c>
      <c r="X18" s="32">
        <f t="shared" si="4"/>
        <v>0</v>
      </c>
    </row>
    <row r="19" spans="1:24" ht="16.5" customHeight="1" x14ac:dyDescent="0.25">
      <c r="A19" s="39" t="str">
        <f>'Long Sample Name'!A16</f>
        <v>Sample 1610m: 50% Siltstone, 50% very fine to medium Sandstone, 30% moderately bright  to  bright FLUOR in SST. TG 24U</v>
      </c>
      <c r="B19" s="25">
        <f>'Input Sheet'!L18</f>
        <v>45194</v>
      </c>
      <c r="C19" s="26">
        <f>'Input Sheet'!M18</f>
        <v>0.28125</v>
      </c>
      <c r="D19" s="40">
        <f>'Input Sheet'!B18</f>
        <v>1610</v>
      </c>
      <c r="E19" s="37">
        <f>'Input Sheet'!I18</f>
        <v>24</v>
      </c>
      <c r="F19" s="29">
        <f>('Input Sheet'!C18)/100</f>
        <v>0.5</v>
      </c>
      <c r="G19" s="29">
        <f>('Input Sheet'!F18)/100</f>
        <v>0.3</v>
      </c>
      <c r="H19" s="27">
        <f t="shared" si="5"/>
        <v>3</v>
      </c>
      <c r="I19" s="27">
        <f t="shared" si="0"/>
        <v>3</v>
      </c>
      <c r="J19" s="27">
        <f t="shared" si="1"/>
        <v>1.5</v>
      </c>
      <c r="K19" s="27">
        <f t="shared" si="2"/>
        <v>0</v>
      </c>
      <c r="L19" s="27">
        <f t="shared" si="6"/>
        <v>0</v>
      </c>
      <c r="M19" s="32" t="str">
        <f>'Input Sheet'!E18</f>
        <v>M</v>
      </c>
      <c r="N19" s="32">
        <f t="shared" si="3"/>
        <v>3</v>
      </c>
      <c r="T19" s="32">
        <f t="shared" si="4"/>
        <v>0</v>
      </c>
      <c r="U19" s="32">
        <f t="shared" si="4"/>
        <v>0</v>
      </c>
      <c r="V19" s="32">
        <f t="shared" si="4"/>
        <v>3</v>
      </c>
      <c r="W19" s="32">
        <f t="shared" si="4"/>
        <v>0</v>
      </c>
      <c r="X19" s="32">
        <f t="shared" si="4"/>
        <v>0</v>
      </c>
    </row>
    <row r="20" spans="1:24" ht="16.5" customHeight="1" x14ac:dyDescent="0.25">
      <c r="A20" s="39" t="str">
        <f>'Long Sample Name'!A17</f>
        <v>Sample 1615m: 60% Siltstone, 40% very fine to fine Sandstone, 40% moderately bright  to  bright FLUOR in SST. TG 15U</v>
      </c>
      <c r="B20" s="25">
        <f>'Input Sheet'!L19</f>
        <v>45194</v>
      </c>
      <c r="C20" s="26">
        <f>'Input Sheet'!M19</f>
        <v>0.30416666666666664</v>
      </c>
      <c r="D20" s="40">
        <f>'Input Sheet'!B19</f>
        <v>1615</v>
      </c>
      <c r="E20" s="37">
        <f>'Input Sheet'!I19</f>
        <v>15</v>
      </c>
      <c r="F20" s="29">
        <f>('Input Sheet'!C19)/100</f>
        <v>0.4</v>
      </c>
      <c r="G20" s="29">
        <f>('Input Sheet'!F19)/100</f>
        <v>0.4</v>
      </c>
      <c r="H20" s="27">
        <f t="shared" si="5"/>
        <v>5</v>
      </c>
      <c r="I20" s="27">
        <f t="shared" si="0"/>
        <v>5</v>
      </c>
      <c r="J20" s="27">
        <f t="shared" si="1"/>
        <v>2</v>
      </c>
      <c r="K20" s="27">
        <f t="shared" si="2"/>
        <v>0</v>
      </c>
      <c r="L20" s="27">
        <f t="shared" si="6"/>
        <v>0</v>
      </c>
      <c r="M20" s="32" t="str">
        <f>'Input Sheet'!E19</f>
        <v>F</v>
      </c>
      <c r="N20" s="32">
        <f t="shared" si="3"/>
        <v>2</v>
      </c>
      <c r="T20" s="32">
        <f t="shared" si="4"/>
        <v>0</v>
      </c>
      <c r="U20" s="32">
        <f t="shared" si="4"/>
        <v>5</v>
      </c>
      <c r="V20" s="32">
        <f t="shared" si="4"/>
        <v>0</v>
      </c>
      <c r="W20" s="32">
        <f t="shared" si="4"/>
        <v>0</v>
      </c>
      <c r="X20" s="32">
        <f t="shared" si="4"/>
        <v>0</v>
      </c>
    </row>
    <row r="21" spans="1:24" ht="16.5" customHeight="1" x14ac:dyDescent="0.25">
      <c r="A21" s="39" t="str">
        <f>'Long Sample Name'!A18</f>
        <v>Sample 1620m: Tr siderite in 40% Siltstone, 60% very fine to medium Sandstone, 50% dull  to  bright FLUOR in SST. TG 32U</v>
      </c>
      <c r="B21" s="25">
        <f>'Input Sheet'!L20</f>
        <v>45194</v>
      </c>
      <c r="C21" s="26">
        <f>'Input Sheet'!M20</f>
        <v>0.31597222222222221</v>
      </c>
      <c r="D21" s="40">
        <f>'Input Sheet'!B20</f>
        <v>1620</v>
      </c>
      <c r="E21" s="37">
        <f>'Input Sheet'!I20</f>
        <v>32</v>
      </c>
      <c r="F21" s="29">
        <f>('Input Sheet'!C20)/100</f>
        <v>0.6</v>
      </c>
      <c r="G21" s="29">
        <f>('Input Sheet'!F20)/100</f>
        <v>0.5</v>
      </c>
      <c r="H21" s="27">
        <f t="shared" si="5"/>
        <v>5</v>
      </c>
      <c r="I21" s="27">
        <f t="shared" si="0"/>
        <v>5</v>
      </c>
      <c r="J21" s="27">
        <f t="shared" si="1"/>
        <v>3</v>
      </c>
      <c r="K21" s="27">
        <f t="shared" si="2"/>
        <v>0</v>
      </c>
      <c r="L21" s="27">
        <f t="shared" si="6"/>
        <v>0</v>
      </c>
      <c r="M21" s="32" t="str">
        <f>'Input Sheet'!E20</f>
        <v>M</v>
      </c>
      <c r="N21" s="32">
        <f t="shared" si="3"/>
        <v>3</v>
      </c>
      <c r="T21" s="32">
        <f t="shared" ref="T21:X36" si="7">IF($M21=T$1,$H21,0)</f>
        <v>0</v>
      </c>
      <c r="U21" s="32">
        <f t="shared" si="7"/>
        <v>0</v>
      </c>
      <c r="V21" s="32">
        <f t="shared" si="7"/>
        <v>5</v>
      </c>
      <c r="W21" s="32">
        <f t="shared" si="7"/>
        <v>0</v>
      </c>
      <c r="X21" s="32">
        <f t="shared" si="7"/>
        <v>0</v>
      </c>
    </row>
    <row r="22" spans="1:24" ht="16.5" customHeight="1" x14ac:dyDescent="0.25">
      <c r="A22" s="39" t="str">
        <f>'Long Sample Name'!A19</f>
        <v>Sample 1625m: Mnr siderite in 50% Siltstone, Mnr siderite in 50% very fine to medium Sandstone, 30% dull  to  bright FLUOR in SST. TG 50U</v>
      </c>
      <c r="B22" s="25">
        <f>'Input Sheet'!L21</f>
        <v>45194</v>
      </c>
      <c r="C22" s="26">
        <f>'Input Sheet'!M21</f>
        <v>0.32500000000000001</v>
      </c>
      <c r="D22" s="40">
        <f>'Input Sheet'!B21</f>
        <v>1625</v>
      </c>
      <c r="E22" s="37">
        <f>'Input Sheet'!I21</f>
        <v>50</v>
      </c>
      <c r="F22" s="29">
        <f>('Input Sheet'!C21)/100</f>
        <v>0.5</v>
      </c>
      <c r="G22" s="29">
        <f>('Input Sheet'!F21)/100</f>
        <v>0.3</v>
      </c>
      <c r="H22" s="27">
        <f t="shared" si="5"/>
        <v>5</v>
      </c>
      <c r="I22" s="27">
        <f t="shared" si="0"/>
        <v>5</v>
      </c>
      <c r="J22" s="27">
        <f t="shared" si="1"/>
        <v>2.5</v>
      </c>
      <c r="K22" s="27">
        <f t="shared" si="2"/>
        <v>0</v>
      </c>
      <c r="L22" s="27">
        <f t="shared" si="6"/>
        <v>0</v>
      </c>
      <c r="M22" s="32" t="str">
        <f>'Input Sheet'!E21</f>
        <v>M</v>
      </c>
      <c r="N22" s="32">
        <f t="shared" si="3"/>
        <v>3</v>
      </c>
      <c r="T22" s="32">
        <f t="shared" si="7"/>
        <v>0</v>
      </c>
      <c r="U22" s="32">
        <f t="shared" si="7"/>
        <v>0</v>
      </c>
      <c r="V22" s="32">
        <f t="shared" si="7"/>
        <v>5</v>
      </c>
      <c r="W22" s="32">
        <f t="shared" si="7"/>
        <v>0</v>
      </c>
      <c r="X22" s="32">
        <f t="shared" si="7"/>
        <v>0</v>
      </c>
    </row>
    <row r="23" spans="1:24" ht="16.5" customHeight="1" x14ac:dyDescent="0.25">
      <c r="A23" s="39" t="str">
        <f>'Long Sample Name'!A20</f>
        <v>Sample 1630m: Mnr siderite in 50% Siltstone, Mnr siderite in 50% very fine to medium Sandstone, 20% dull  to  bright FLUOR in SST. TG 20U</v>
      </c>
      <c r="B23" s="25">
        <f>'Input Sheet'!L22</f>
        <v>45194</v>
      </c>
      <c r="C23" s="26">
        <f>'Input Sheet'!M22</f>
        <v>0.33888888888888885</v>
      </c>
      <c r="D23" s="40">
        <f>'Input Sheet'!B22</f>
        <v>1630</v>
      </c>
      <c r="E23" s="37">
        <f>'Input Sheet'!I22</f>
        <v>20</v>
      </c>
      <c r="F23" s="29">
        <f>('Input Sheet'!C22)/100</f>
        <v>0.5</v>
      </c>
      <c r="G23" s="29">
        <f>('Input Sheet'!F22)/100</f>
        <v>0.2</v>
      </c>
      <c r="H23" s="27">
        <f t="shared" si="5"/>
        <v>5</v>
      </c>
      <c r="I23" s="27">
        <f t="shared" si="0"/>
        <v>5</v>
      </c>
      <c r="J23" s="27">
        <f t="shared" si="1"/>
        <v>2.5</v>
      </c>
      <c r="K23" s="27">
        <f t="shared" si="2"/>
        <v>0</v>
      </c>
      <c r="L23" s="27">
        <f t="shared" si="6"/>
        <v>0</v>
      </c>
      <c r="M23" s="32" t="str">
        <f>'Input Sheet'!E22</f>
        <v>M</v>
      </c>
      <c r="N23" s="32">
        <f t="shared" si="3"/>
        <v>3</v>
      </c>
      <c r="T23" s="32">
        <f t="shared" si="7"/>
        <v>0</v>
      </c>
      <c r="U23" s="32">
        <f t="shared" si="7"/>
        <v>0</v>
      </c>
      <c r="V23" s="32">
        <f t="shared" si="7"/>
        <v>5</v>
      </c>
      <c r="W23" s="32">
        <f t="shared" si="7"/>
        <v>0</v>
      </c>
      <c r="X23" s="32">
        <f t="shared" si="7"/>
        <v>0</v>
      </c>
    </row>
    <row r="24" spans="1:24" ht="16.5" customHeight="1" x14ac:dyDescent="0.25">
      <c r="A24" s="39" t="str">
        <f>'Long Sample Name'!A21</f>
        <v>Sample 1635m: Tr siderite in 30% Siltstone, Tr siderite in 70% very fine to medium Sandstone, 60% dull  to  bright FLUOR in SST. TG 250U</v>
      </c>
      <c r="B24" s="25">
        <f>'Input Sheet'!L23</f>
        <v>45194</v>
      </c>
      <c r="C24" s="26">
        <f>'Input Sheet'!M23</f>
        <v>0.3576388888888889</v>
      </c>
      <c r="D24" s="40">
        <f>'Input Sheet'!B23</f>
        <v>1635</v>
      </c>
      <c r="E24" s="37">
        <f>'Input Sheet'!I23</f>
        <v>250</v>
      </c>
      <c r="F24" s="29">
        <f>('Input Sheet'!C23)/100</f>
        <v>0.7</v>
      </c>
      <c r="G24" s="29">
        <f>('Input Sheet'!F23)/100</f>
        <v>0.6</v>
      </c>
      <c r="H24" s="27">
        <f t="shared" si="5"/>
        <v>5</v>
      </c>
      <c r="I24" s="27">
        <f t="shared" si="0"/>
        <v>5</v>
      </c>
      <c r="J24" s="27">
        <f t="shared" si="1"/>
        <v>3.5</v>
      </c>
      <c r="K24" s="27">
        <f t="shared" si="2"/>
        <v>0</v>
      </c>
      <c r="L24" s="27">
        <f t="shared" si="6"/>
        <v>0</v>
      </c>
      <c r="M24" s="32" t="str">
        <f>'Input Sheet'!E23</f>
        <v>M</v>
      </c>
      <c r="N24" s="32">
        <f t="shared" si="3"/>
        <v>3</v>
      </c>
      <c r="T24" s="32">
        <f t="shared" si="7"/>
        <v>0</v>
      </c>
      <c r="U24" s="32">
        <f t="shared" si="7"/>
        <v>0</v>
      </c>
      <c r="V24" s="32">
        <f t="shared" si="7"/>
        <v>5</v>
      </c>
      <c r="W24" s="32">
        <f t="shared" si="7"/>
        <v>0</v>
      </c>
      <c r="X24" s="32">
        <f t="shared" si="7"/>
        <v>0</v>
      </c>
    </row>
    <row r="25" spans="1:24" ht="16.5" customHeight="1" x14ac:dyDescent="0.25">
      <c r="A25" s="39" t="str">
        <f>'Long Sample Name'!A22</f>
        <v>Sample 1640m: 10% Siltstone, Tr siderite in 90% fine to medium Sandstone, 100% moderately bright  to  bright FLUOR in SST. TG 255U</v>
      </c>
      <c r="B25" s="25">
        <f>'Input Sheet'!L24</f>
        <v>45194</v>
      </c>
      <c r="C25" s="26">
        <f>'Input Sheet'!M24</f>
        <v>0.37152777777777773</v>
      </c>
      <c r="D25" s="40">
        <f>'Input Sheet'!B24</f>
        <v>1640</v>
      </c>
      <c r="E25" s="37">
        <f>'Input Sheet'!I24</f>
        <v>255</v>
      </c>
      <c r="F25" s="29">
        <f>('Input Sheet'!C24)/100</f>
        <v>0.9</v>
      </c>
      <c r="G25" s="29">
        <f>('Input Sheet'!F24)/100</f>
        <v>1</v>
      </c>
      <c r="H25" s="27">
        <f t="shared" si="5"/>
        <v>5</v>
      </c>
      <c r="I25" s="27">
        <f t="shared" si="0"/>
        <v>5</v>
      </c>
      <c r="J25" s="27">
        <f t="shared" si="1"/>
        <v>4.5</v>
      </c>
      <c r="K25" s="27">
        <f t="shared" si="2"/>
        <v>5</v>
      </c>
      <c r="L25" s="27">
        <f t="shared" si="6"/>
        <v>4.5</v>
      </c>
      <c r="M25" s="32" t="str">
        <f>'Input Sheet'!E24</f>
        <v>M</v>
      </c>
      <c r="N25" s="32">
        <f t="shared" si="3"/>
        <v>3</v>
      </c>
      <c r="T25" s="32">
        <f t="shared" si="7"/>
        <v>0</v>
      </c>
      <c r="U25" s="32">
        <f t="shared" si="7"/>
        <v>0</v>
      </c>
      <c r="V25" s="32">
        <f t="shared" si="7"/>
        <v>5</v>
      </c>
      <c r="W25" s="32">
        <f t="shared" si="7"/>
        <v>0</v>
      </c>
      <c r="X25" s="32">
        <f t="shared" si="7"/>
        <v>0</v>
      </c>
    </row>
    <row r="26" spans="1:24" ht="16.5" customHeight="1" x14ac:dyDescent="0.25">
      <c r="A26" s="39" t="str">
        <f>'Long Sample Name'!A23</f>
        <v>Sample 1645m: 0% Siltstone, Tr siderite in 100% fine to medium, rare coarse Sandstone, 100% moderately bright  to  bright FLUOR in SST. TG 267U</v>
      </c>
      <c r="B26" s="25">
        <f>'Input Sheet'!L25</f>
        <v>45194</v>
      </c>
      <c r="C26" s="26">
        <f>'Input Sheet'!M25</f>
        <v>0.38055555555555554</v>
      </c>
      <c r="D26" s="40">
        <f>'Input Sheet'!B25</f>
        <v>1645</v>
      </c>
      <c r="E26" s="37">
        <f>'Input Sheet'!I25</f>
        <v>267</v>
      </c>
      <c r="F26" s="29">
        <f>('Input Sheet'!C25)/100</f>
        <v>1</v>
      </c>
      <c r="G26" s="29">
        <f>('Input Sheet'!F25)/100</f>
        <v>1</v>
      </c>
      <c r="H26" s="27">
        <f t="shared" si="5"/>
        <v>5</v>
      </c>
      <c r="I26" s="27">
        <f t="shared" si="0"/>
        <v>5</v>
      </c>
      <c r="J26" s="27">
        <f t="shared" si="1"/>
        <v>5</v>
      </c>
      <c r="K26" s="27">
        <f t="shared" si="2"/>
        <v>5</v>
      </c>
      <c r="L26" s="27">
        <f t="shared" si="6"/>
        <v>5</v>
      </c>
      <c r="M26" s="32" t="str">
        <f>'Input Sheet'!E25</f>
        <v>C</v>
      </c>
      <c r="N26" s="32">
        <f t="shared" si="3"/>
        <v>4</v>
      </c>
      <c r="T26" s="32">
        <f t="shared" si="7"/>
        <v>0</v>
      </c>
      <c r="U26" s="32">
        <f t="shared" si="7"/>
        <v>0</v>
      </c>
      <c r="V26" s="32">
        <f t="shared" si="7"/>
        <v>0</v>
      </c>
      <c r="W26" s="32">
        <f t="shared" si="7"/>
        <v>5</v>
      </c>
      <c r="X26" s="32">
        <f t="shared" si="7"/>
        <v>0</v>
      </c>
    </row>
    <row r="27" spans="1:24" ht="16.5" customHeight="1" x14ac:dyDescent="0.25">
      <c r="A27" s="39" t="str">
        <f>'Long Sample Name'!A24</f>
        <v>Sample 1650m: 5% Siltstone, 95% fine to coarse Sandstone, 100% bright FLUOR in SST. TG 224U</v>
      </c>
      <c r="B27" s="25">
        <f>'Input Sheet'!L26</f>
        <v>45194</v>
      </c>
      <c r="C27" s="26">
        <f>'Input Sheet'!M26</f>
        <v>0.3923611111111111</v>
      </c>
      <c r="D27" s="40">
        <f>'Input Sheet'!B26</f>
        <v>1650</v>
      </c>
      <c r="E27" s="37">
        <f>'Input Sheet'!I26</f>
        <v>224</v>
      </c>
      <c r="F27" s="29">
        <f>('Input Sheet'!C26)/100</f>
        <v>0.95</v>
      </c>
      <c r="G27" s="29">
        <f>('Input Sheet'!F26)/100</f>
        <v>1</v>
      </c>
      <c r="H27" s="27">
        <f t="shared" si="5"/>
        <v>5</v>
      </c>
      <c r="I27" s="27">
        <f t="shared" si="0"/>
        <v>5</v>
      </c>
      <c r="J27" s="27">
        <f t="shared" si="1"/>
        <v>4.75</v>
      </c>
      <c r="K27" s="27">
        <f t="shared" si="2"/>
        <v>5</v>
      </c>
      <c r="L27" s="27">
        <f t="shared" si="6"/>
        <v>4.75</v>
      </c>
      <c r="M27" s="32" t="str">
        <f>'Input Sheet'!E26</f>
        <v>C</v>
      </c>
      <c r="N27" s="32">
        <f t="shared" si="3"/>
        <v>4</v>
      </c>
      <c r="T27" s="32">
        <f t="shared" si="7"/>
        <v>0</v>
      </c>
      <c r="U27" s="32">
        <f t="shared" si="7"/>
        <v>0</v>
      </c>
      <c r="V27" s="32">
        <f t="shared" si="7"/>
        <v>0</v>
      </c>
      <c r="W27" s="32">
        <f t="shared" si="7"/>
        <v>5</v>
      </c>
      <c r="X27" s="32">
        <f t="shared" si="7"/>
        <v>0</v>
      </c>
    </row>
    <row r="28" spans="1:24" ht="16.5" customHeight="1" x14ac:dyDescent="0.25">
      <c r="A28" s="39" t="str">
        <f>'Long Sample Name'!A25</f>
        <v>Sample 1655m: 0% Siltstone, Tr siderite in 100% fine to coarse Sandstone, 100% bright FLUOR in SST. TG 235U</v>
      </c>
      <c r="B28" s="25">
        <f>'Input Sheet'!L27</f>
        <v>45194</v>
      </c>
      <c r="C28" s="26">
        <f>'Input Sheet'!M27</f>
        <v>0.40763888888888888</v>
      </c>
      <c r="D28" s="40">
        <f>'Input Sheet'!B27</f>
        <v>1655</v>
      </c>
      <c r="E28" s="37">
        <f>'Input Sheet'!I27</f>
        <v>235</v>
      </c>
      <c r="F28" s="29">
        <f>('Input Sheet'!C27)/100</f>
        <v>1</v>
      </c>
      <c r="G28" s="29">
        <f>('Input Sheet'!F27)/100</f>
        <v>1</v>
      </c>
      <c r="H28" s="27">
        <f t="shared" si="5"/>
        <v>5</v>
      </c>
      <c r="I28" s="27">
        <f t="shared" si="0"/>
        <v>5</v>
      </c>
      <c r="J28" s="27">
        <f t="shared" si="1"/>
        <v>5</v>
      </c>
      <c r="K28" s="27">
        <f t="shared" si="2"/>
        <v>5</v>
      </c>
      <c r="L28" s="27">
        <f t="shared" si="6"/>
        <v>5</v>
      </c>
      <c r="M28" s="32" t="str">
        <f>'Input Sheet'!E27</f>
        <v>C</v>
      </c>
      <c r="N28" s="32">
        <f t="shared" si="3"/>
        <v>4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5</v>
      </c>
      <c r="X28" s="32">
        <f t="shared" si="7"/>
        <v>0</v>
      </c>
    </row>
    <row r="29" spans="1:24" ht="16.5" customHeight="1" x14ac:dyDescent="0.25">
      <c r="A29" s="39" t="str">
        <f>'Long Sample Name'!A26</f>
        <v>Sample 1660m: 0% Siltstone, rare siderite in 100% dominantly fine to medium, rare coarse Sandstone, 100% bright FLUOR in SST. TG 185U</v>
      </c>
      <c r="B29" s="25">
        <f>'Input Sheet'!L28</f>
        <v>45194</v>
      </c>
      <c r="C29" s="26">
        <f>'Input Sheet'!M28</f>
        <v>0.4201388888888889</v>
      </c>
      <c r="D29" s="40">
        <f>'Input Sheet'!B28</f>
        <v>1660</v>
      </c>
      <c r="E29" s="37">
        <f>'Input Sheet'!I28</f>
        <v>185</v>
      </c>
      <c r="F29" s="29">
        <f>('Input Sheet'!C28)/100</f>
        <v>1</v>
      </c>
      <c r="G29" s="29">
        <f>('Input Sheet'!F28)/100</f>
        <v>1</v>
      </c>
      <c r="H29" s="27">
        <f t="shared" si="5"/>
        <v>5</v>
      </c>
      <c r="I29" s="27">
        <f t="shared" si="0"/>
        <v>5</v>
      </c>
      <c r="J29" s="27">
        <f t="shared" si="1"/>
        <v>5</v>
      </c>
      <c r="K29" s="27">
        <f t="shared" si="2"/>
        <v>5</v>
      </c>
      <c r="L29" s="27">
        <f t="shared" si="6"/>
        <v>5</v>
      </c>
      <c r="M29" s="32" t="str">
        <f>'Input Sheet'!E28</f>
        <v>C</v>
      </c>
      <c r="N29" s="32">
        <f t="shared" si="3"/>
        <v>4</v>
      </c>
      <c r="T29" s="32">
        <f t="shared" si="7"/>
        <v>0</v>
      </c>
      <c r="U29" s="32">
        <f t="shared" si="7"/>
        <v>0</v>
      </c>
      <c r="V29" s="32">
        <f t="shared" si="7"/>
        <v>0</v>
      </c>
      <c r="W29" s="32">
        <f t="shared" si="7"/>
        <v>5</v>
      </c>
      <c r="X29" s="32">
        <f t="shared" si="7"/>
        <v>0</v>
      </c>
    </row>
    <row r="30" spans="1:24" ht="16.5" customHeight="1" x14ac:dyDescent="0.25">
      <c r="A30" s="39" t="str">
        <f>'Long Sample Name'!A27</f>
        <v>Sample 1665m: 5% Siltstone, rare siderite in 95% very fine to medium, rare coarse Sandstone, 100% bright FLUOR in SST. TG 179U</v>
      </c>
      <c r="B30" s="25">
        <f>'Input Sheet'!L29</f>
        <v>45194</v>
      </c>
      <c r="C30" s="26">
        <f>'Input Sheet'!M29</f>
        <v>0.43402777777777773</v>
      </c>
      <c r="D30" s="40">
        <f>'Input Sheet'!B29</f>
        <v>1665</v>
      </c>
      <c r="E30" s="37">
        <f>'Input Sheet'!I29</f>
        <v>179</v>
      </c>
      <c r="F30" s="29">
        <f>('Input Sheet'!C29)/100</f>
        <v>0.95</v>
      </c>
      <c r="G30" s="29">
        <f>('Input Sheet'!F29)/100</f>
        <v>1</v>
      </c>
      <c r="H30" s="27">
        <f t="shared" si="5"/>
        <v>5</v>
      </c>
      <c r="I30" s="27">
        <f t="shared" si="0"/>
        <v>5</v>
      </c>
      <c r="J30" s="27">
        <f t="shared" si="1"/>
        <v>4.75</v>
      </c>
      <c r="K30" s="27">
        <f t="shared" si="2"/>
        <v>5</v>
      </c>
      <c r="L30" s="27">
        <f t="shared" si="6"/>
        <v>4.75</v>
      </c>
      <c r="M30" s="32" t="str">
        <f>'Input Sheet'!E29</f>
        <v>C</v>
      </c>
      <c r="N30" s="32">
        <f t="shared" si="3"/>
        <v>4</v>
      </c>
      <c r="T30" s="32">
        <f t="shared" si="7"/>
        <v>0</v>
      </c>
      <c r="U30" s="32">
        <f t="shared" si="7"/>
        <v>0</v>
      </c>
      <c r="V30" s="32">
        <f t="shared" si="7"/>
        <v>0</v>
      </c>
      <c r="W30" s="32">
        <f t="shared" si="7"/>
        <v>5</v>
      </c>
      <c r="X30" s="32">
        <f t="shared" si="7"/>
        <v>0</v>
      </c>
    </row>
    <row r="31" spans="1:24" ht="16.5" customHeight="1" x14ac:dyDescent="0.25">
      <c r="A31" s="39" t="str">
        <f>'Long Sample Name'!A28</f>
        <v>Sample 1670m: 0% Siltstone, rare siderite in 100% very fine to coarse Sandstone, 100% bright FLUOR in SST. TG 218U</v>
      </c>
      <c r="B31" s="25">
        <f>'Input Sheet'!L30</f>
        <v>45194</v>
      </c>
      <c r="C31" s="26">
        <f>'Input Sheet'!M30</f>
        <v>0.44375000000000003</v>
      </c>
      <c r="D31" s="40">
        <f>'Input Sheet'!B30</f>
        <v>1670</v>
      </c>
      <c r="E31" s="37">
        <f>'Input Sheet'!I30</f>
        <v>218</v>
      </c>
      <c r="F31" s="29">
        <f>('Input Sheet'!C30)/100</f>
        <v>1</v>
      </c>
      <c r="G31" s="29">
        <f>('Input Sheet'!F30)/100</f>
        <v>1</v>
      </c>
      <c r="H31" s="27">
        <f t="shared" si="5"/>
        <v>5</v>
      </c>
      <c r="I31" s="27">
        <f t="shared" si="0"/>
        <v>5</v>
      </c>
      <c r="J31" s="27">
        <f t="shared" si="1"/>
        <v>5</v>
      </c>
      <c r="K31" s="27">
        <f t="shared" si="2"/>
        <v>5</v>
      </c>
      <c r="L31" s="27">
        <f t="shared" si="6"/>
        <v>5</v>
      </c>
      <c r="M31" s="32" t="str">
        <f>'Input Sheet'!E30</f>
        <v>C</v>
      </c>
      <c r="N31" s="32">
        <f t="shared" si="3"/>
        <v>4</v>
      </c>
      <c r="T31" s="32">
        <f t="shared" si="7"/>
        <v>0</v>
      </c>
      <c r="U31" s="32">
        <f t="shared" si="7"/>
        <v>0</v>
      </c>
      <c r="V31" s="32">
        <f t="shared" si="7"/>
        <v>0</v>
      </c>
      <c r="W31" s="32">
        <f t="shared" si="7"/>
        <v>5</v>
      </c>
      <c r="X31" s="32">
        <f t="shared" si="7"/>
        <v>0</v>
      </c>
    </row>
    <row r="32" spans="1:24" ht="16.5" customHeight="1" x14ac:dyDescent="0.25">
      <c r="A32" s="39" t="str">
        <f>'Long Sample Name'!A29</f>
        <v>Sample 1675m: 0% Siltstone, rare siderite in 100% very fine to coarse Sandstone, 100% moderately bright  to  bright FLUOR in SST. TG 378U</v>
      </c>
      <c r="B32" s="25">
        <f>'Input Sheet'!L31</f>
        <v>45194</v>
      </c>
      <c r="C32" s="26">
        <f>'Input Sheet'!M31</f>
        <v>0.4548611111111111</v>
      </c>
      <c r="D32" s="40">
        <f>'Input Sheet'!B31</f>
        <v>1675</v>
      </c>
      <c r="E32" s="37">
        <f>'Input Sheet'!I31</f>
        <v>378</v>
      </c>
      <c r="F32" s="29">
        <f>('Input Sheet'!C31)/100</f>
        <v>1</v>
      </c>
      <c r="G32" s="29">
        <f>('Input Sheet'!F31)/100</f>
        <v>1</v>
      </c>
      <c r="H32" s="27">
        <f t="shared" si="5"/>
        <v>5</v>
      </c>
      <c r="I32" s="27">
        <f t="shared" si="0"/>
        <v>5</v>
      </c>
      <c r="J32" s="27">
        <f t="shared" si="1"/>
        <v>5</v>
      </c>
      <c r="K32" s="27">
        <f t="shared" si="2"/>
        <v>5</v>
      </c>
      <c r="L32" s="27">
        <f t="shared" si="6"/>
        <v>5</v>
      </c>
      <c r="M32" s="32" t="str">
        <f>'Input Sheet'!E31</f>
        <v>C</v>
      </c>
      <c r="N32" s="32">
        <f t="shared" si="3"/>
        <v>4</v>
      </c>
      <c r="T32" s="32">
        <f t="shared" si="7"/>
        <v>0</v>
      </c>
      <c r="U32" s="32">
        <f t="shared" si="7"/>
        <v>0</v>
      </c>
      <c r="V32" s="32">
        <f t="shared" si="7"/>
        <v>0</v>
      </c>
      <c r="W32" s="32">
        <f t="shared" si="7"/>
        <v>5</v>
      </c>
      <c r="X32" s="32">
        <f t="shared" si="7"/>
        <v>0</v>
      </c>
    </row>
    <row r="33" spans="1:24" ht="16.5" customHeight="1" x14ac:dyDescent="0.25">
      <c r="A33" s="39" t="str">
        <f>'Long Sample Name'!A30</f>
        <v>Sample 1680m: 0% Siltstone, rare siderite in 100% fine to coarse Sandstone, 100% moderately bright  to  bright FLUOR in SST. TG 370U</v>
      </c>
      <c r="B33" s="25">
        <f>'Input Sheet'!L32</f>
        <v>45194</v>
      </c>
      <c r="C33" s="26">
        <f>'Input Sheet'!M32</f>
        <v>0.46388888888888885</v>
      </c>
      <c r="D33" s="40">
        <f>'Input Sheet'!B32</f>
        <v>1680</v>
      </c>
      <c r="E33" s="37">
        <f>'Input Sheet'!I32</f>
        <v>370</v>
      </c>
      <c r="F33" s="29">
        <f>('Input Sheet'!C32)/100</f>
        <v>1</v>
      </c>
      <c r="G33" s="29">
        <f>('Input Sheet'!F32)/100</f>
        <v>1</v>
      </c>
      <c r="H33" s="27">
        <f t="shared" si="5"/>
        <v>5</v>
      </c>
      <c r="I33" s="27">
        <f t="shared" si="0"/>
        <v>5</v>
      </c>
      <c r="J33" s="27">
        <f t="shared" si="1"/>
        <v>5</v>
      </c>
      <c r="K33" s="27">
        <f t="shared" si="2"/>
        <v>5</v>
      </c>
      <c r="L33" s="27">
        <f t="shared" si="6"/>
        <v>5</v>
      </c>
      <c r="M33" s="32" t="str">
        <f>'Input Sheet'!E32</f>
        <v>C</v>
      </c>
      <c r="N33" s="32">
        <f t="shared" si="3"/>
        <v>4</v>
      </c>
      <c r="T33" s="32">
        <f t="shared" si="7"/>
        <v>0</v>
      </c>
      <c r="U33" s="32">
        <f t="shared" si="7"/>
        <v>0</v>
      </c>
      <c r="V33" s="32">
        <f t="shared" si="7"/>
        <v>0</v>
      </c>
      <c r="W33" s="32">
        <f t="shared" si="7"/>
        <v>5</v>
      </c>
      <c r="X33" s="32">
        <f t="shared" si="7"/>
        <v>0</v>
      </c>
    </row>
    <row r="34" spans="1:24" ht="16.5" customHeight="1" x14ac:dyDescent="0.25">
      <c r="A34" s="39" t="str">
        <f>'Long Sample Name'!A31</f>
        <v>Sample 1690m:   siderite in 0% Siltstone, 100% fine to verycoarse Sandstone, 100% bright FLUOR in SST. TG 312U</v>
      </c>
      <c r="B34" s="25">
        <f>'Input Sheet'!L33</f>
        <v>45194</v>
      </c>
      <c r="C34" s="26">
        <f>'Input Sheet'!M33</f>
        <v>0.48055555555555557</v>
      </c>
      <c r="D34" s="40">
        <f>'Input Sheet'!B33</f>
        <v>1690</v>
      </c>
      <c r="E34" s="37">
        <f>'Input Sheet'!I33</f>
        <v>312</v>
      </c>
      <c r="F34" s="29">
        <f>('Input Sheet'!C33)/100</f>
        <v>1</v>
      </c>
      <c r="G34" s="29">
        <f>('Input Sheet'!F33)/100</f>
        <v>1</v>
      </c>
      <c r="H34" s="27">
        <f t="shared" si="5"/>
        <v>10</v>
      </c>
      <c r="I34" s="27">
        <f t="shared" si="0"/>
        <v>10</v>
      </c>
      <c r="J34" s="27">
        <f t="shared" si="1"/>
        <v>10</v>
      </c>
      <c r="K34" s="27">
        <f t="shared" si="2"/>
        <v>10</v>
      </c>
      <c r="L34" s="27">
        <f t="shared" si="6"/>
        <v>10</v>
      </c>
      <c r="M34" s="32" t="str">
        <f>'Input Sheet'!E33</f>
        <v>VC</v>
      </c>
      <c r="N34" s="32">
        <f t="shared" si="3"/>
        <v>5</v>
      </c>
      <c r="T34" s="32">
        <f t="shared" si="7"/>
        <v>0</v>
      </c>
      <c r="U34" s="32">
        <f t="shared" si="7"/>
        <v>0</v>
      </c>
      <c r="V34" s="32">
        <f t="shared" si="7"/>
        <v>0</v>
      </c>
      <c r="W34" s="32">
        <f t="shared" si="7"/>
        <v>0</v>
      </c>
      <c r="X34" s="32">
        <f t="shared" si="7"/>
        <v>10</v>
      </c>
    </row>
    <row r="35" spans="1:24" ht="16.5" customHeight="1" x14ac:dyDescent="0.25">
      <c r="A35" s="39" t="str">
        <f>'Long Sample Name'!A32</f>
        <v>Sample 1700m: 0% Siltstone, 100% very fine to verycoarse Sandstone, 100% bright FLUOR in SST. TG 399U</v>
      </c>
      <c r="B35" s="25">
        <f>'Input Sheet'!L34</f>
        <v>45194</v>
      </c>
      <c r="C35" s="26">
        <f>'Input Sheet'!M34</f>
        <v>0.4993055555555555</v>
      </c>
      <c r="D35" s="40">
        <f>'Input Sheet'!B34</f>
        <v>1700</v>
      </c>
      <c r="E35" s="37">
        <f>'Input Sheet'!I34</f>
        <v>399</v>
      </c>
      <c r="F35" s="29">
        <f>('Input Sheet'!C34)/100</f>
        <v>1</v>
      </c>
      <c r="G35" s="29">
        <f>('Input Sheet'!F34)/100</f>
        <v>1</v>
      </c>
      <c r="H35" s="27">
        <f t="shared" si="5"/>
        <v>10</v>
      </c>
      <c r="I35" s="27">
        <f t="shared" si="0"/>
        <v>10</v>
      </c>
      <c r="J35" s="27">
        <f t="shared" si="1"/>
        <v>10</v>
      </c>
      <c r="K35" s="27">
        <f t="shared" si="2"/>
        <v>10</v>
      </c>
      <c r="L35" s="27">
        <f t="shared" si="6"/>
        <v>10</v>
      </c>
      <c r="M35" s="32" t="str">
        <f>'Input Sheet'!E34</f>
        <v>VC</v>
      </c>
      <c r="N35" s="32">
        <f t="shared" si="3"/>
        <v>5</v>
      </c>
      <c r="T35" s="32">
        <f t="shared" si="7"/>
        <v>0</v>
      </c>
      <c r="U35" s="32">
        <f t="shared" si="7"/>
        <v>0</v>
      </c>
      <c r="V35" s="32">
        <f t="shared" si="7"/>
        <v>0</v>
      </c>
      <c r="W35" s="32">
        <f t="shared" si="7"/>
        <v>0</v>
      </c>
      <c r="X35" s="32">
        <f t="shared" si="7"/>
        <v>10</v>
      </c>
    </row>
    <row r="36" spans="1:24" ht="16.5" customHeight="1" x14ac:dyDescent="0.25">
      <c r="A36" s="39" t="str">
        <f>'Long Sample Name'!A33</f>
        <v>Sample 1710m: 0% Siltstone, 100% fine to coarse Sandstone, 100% bright FLUOR in SST. TG 340U</v>
      </c>
      <c r="B36" s="25">
        <f>'Input Sheet'!L35</f>
        <v>45194</v>
      </c>
      <c r="C36" s="26">
        <f>'Input Sheet'!M35</f>
        <v>0.53125</v>
      </c>
      <c r="D36" s="40">
        <f>'Input Sheet'!B35</f>
        <v>1710</v>
      </c>
      <c r="E36" s="37">
        <f>'Input Sheet'!I35</f>
        <v>340</v>
      </c>
      <c r="F36" s="29">
        <f>('Input Sheet'!C35)/100</f>
        <v>1</v>
      </c>
      <c r="G36" s="29">
        <f>('Input Sheet'!F35)/100</f>
        <v>1</v>
      </c>
      <c r="H36" s="27">
        <f t="shared" si="5"/>
        <v>10</v>
      </c>
      <c r="I36" s="27">
        <f t="shared" si="0"/>
        <v>10</v>
      </c>
      <c r="J36" s="27">
        <f t="shared" si="1"/>
        <v>10</v>
      </c>
      <c r="K36" s="27">
        <f t="shared" si="2"/>
        <v>10</v>
      </c>
      <c r="L36" s="27">
        <f t="shared" si="6"/>
        <v>10</v>
      </c>
      <c r="M36" s="32" t="str">
        <f>'Input Sheet'!E35</f>
        <v>C</v>
      </c>
      <c r="N36" s="32">
        <f t="shared" si="3"/>
        <v>4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10</v>
      </c>
      <c r="X36" s="32">
        <f t="shared" si="7"/>
        <v>0</v>
      </c>
    </row>
    <row r="37" spans="1:24" ht="16.5" customHeight="1" x14ac:dyDescent="0.25">
      <c r="A37" s="39" t="str">
        <f>'Long Sample Name'!A34</f>
        <v>Sample 1720m: 0% Siltstone, 100% fine to coarse Sandstone, 100% bright FLUOR in SST. TG 432U</v>
      </c>
      <c r="B37" s="25">
        <f>'Input Sheet'!L36</f>
        <v>45194</v>
      </c>
      <c r="C37" s="26">
        <f>'Input Sheet'!M36</f>
        <v>0.54861111111111105</v>
      </c>
      <c r="D37" s="40">
        <f>'Input Sheet'!B36</f>
        <v>1720</v>
      </c>
      <c r="E37" s="37">
        <f>'Input Sheet'!I36</f>
        <v>432</v>
      </c>
      <c r="F37" s="29">
        <f>('Input Sheet'!C36)/100</f>
        <v>1</v>
      </c>
      <c r="G37" s="29">
        <f>('Input Sheet'!F36)/100</f>
        <v>1</v>
      </c>
      <c r="H37" s="27">
        <f t="shared" si="5"/>
        <v>10</v>
      </c>
      <c r="I37" s="27">
        <f t="shared" si="0"/>
        <v>10</v>
      </c>
      <c r="J37" s="27">
        <f t="shared" si="1"/>
        <v>10</v>
      </c>
      <c r="K37" s="27">
        <f t="shared" si="2"/>
        <v>10</v>
      </c>
      <c r="L37" s="27">
        <f t="shared" si="6"/>
        <v>10</v>
      </c>
      <c r="M37" s="32" t="str">
        <f>'Input Sheet'!E36</f>
        <v>C</v>
      </c>
      <c r="N37" s="32">
        <f t="shared" si="3"/>
        <v>4</v>
      </c>
      <c r="T37" s="32">
        <f t="shared" ref="T37:X52" si="8">IF($M37=T$1,$H37,0)</f>
        <v>0</v>
      </c>
      <c r="U37" s="32">
        <f t="shared" si="8"/>
        <v>0</v>
      </c>
      <c r="V37" s="32">
        <f t="shared" si="8"/>
        <v>0</v>
      </c>
      <c r="W37" s="32">
        <f t="shared" si="8"/>
        <v>10</v>
      </c>
      <c r="X37" s="32">
        <f t="shared" si="8"/>
        <v>0</v>
      </c>
    </row>
    <row r="38" spans="1:24" ht="16.5" customHeight="1" x14ac:dyDescent="0.25">
      <c r="A38" s="39" t="str">
        <f>'Long Sample Name'!A35</f>
        <v>Sample 1730m: 5% Siltstone, 95% fine to medium,trace coarse Sandstone, 100% bright FLUOR in SST. TG 404U</v>
      </c>
      <c r="B38" s="25">
        <f>'Input Sheet'!L37</f>
        <v>45194</v>
      </c>
      <c r="C38" s="26">
        <f>'Input Sheet'!M37</f>
        <v>0.57291666666666663</v>
      </c>
      <c r="D38" s="40">
        <f>'Input Sheet'!B37</f>
        <v>1730</v>
      </c>
      <c r="E38" s="37">
        <f>'Input Sheet'!I37</f>
        <v>404</v>
      </c>
      <c r="F38" s="29">
        <f>('Input Sheet'!C37)/100</f>
        <v>0.95</v>
      </c>
      <c r="G38" s="29">
        <f>('Input Sheet'!F37)/100</f>
        <v>1</v>
      </c>
      <c r="H38" s="27">
        <f t="shared" si="5"/>
        <v>10</v>
      </c>
      <c r="I38" s="27">
        <f t="shared" si="0"/>
        <v>10</v>
      </c>
      <c r="J38" s="27">
        <f t="shared" si="1"/>
        <v>9.5</v>
      </c>
      <c r="K38" s="27">
        <f t="shared" si="2"/>
        <v>10</v>
      </c>
      <c r="L38" s="27">
        <f t="shared" si="6"/>
        <v>9.5</v>
      </c>
      <c r="M38" s="32" t="str">
        <f>'Input Sheet'!E37</f>
        <v>C</v>
      </c>
      <c r="N38" s="32">
        <f t="shared" si="3"/>
        <v>4</v>
      </c>
      <c r="T38" s="32">
        <f t="shared" si="8"/>
        <v>0</v>
      </c>
      <c r="U38" s="32">
        <f t="shared" si="8"/>
        <v>0</v>
      </c>
      <c r="V38" s="32">
        <f t="shared" si="8"/>
        <v>0</v>
      </c>
      <c r="W38" s="32">
        <f t="shared" si="8"/>
        <v>10</v>
      </c>
      <c r="X38" s="32">
        <f t="shared" si="8"/>
        <v>0</v>
      </c>
    </row>
    <row r="39" spans="1:24" ht="16.5" customHeight="1" x14ac:dyDescent="0.25">
      <c r="A39" s="39" t="str">
        <f>'Long Sample Name'!A36</f>
        <v>Sample 1740m: 10% Siltstone, 90% fine to coarse Sandstone, 100% bright FLUOR in SST. TG 351U</v>
      </c>
      <c r="B39" s="25">
        <f>'Input Sheet'!L38</f>
        <v>45194</v>
      </c>
      <c r="C39" s="26">
        <f>'Input Sheet'!M38</f>
        <v>0.59236111111111112</v>
      </c>
      <c r="D39" s="40">
        <f>'Input Sheet'!B38</f>
        <v>1740</v>
      </c>
      <c r="E39" s="37">
        <f>'Input Sheet'!I38</f>
        <v>351</v>
      </c>
      <c r="F39" s="29">
        <f>('Input Sheet'!C38)/100</f>
        <v>0.9</v>
      </c>
      <c r="G39" s="29">
        <f>('Input Sheet'!F38)/100</f>
        <v>1</v>
      </c>
      <c r="H39" s="27">
        <f t="shared" si="5"/>
        <v>10</v>
      </c>
      <c r="I39" s="27">
        <f t="shared" si="0"/>
        <v>10</v>
      </c>
      <c r="J39" s="27">
        <f t="shared" si="1"/>
        <v>9</v>
      </c>
      <c r="K39" s="27">
        <f t="shared" si="2"/>
        <v>10</v>
      </c>
      <c r="L39" s="27">
        <f t="shared" si="6"/>
        <v>9</v>
      </c>
      <c r="M39" s="32" t="str">
        <f>'Input Sheet'!E38</f>
        <v>C</v>
      </c>
      <c r="N39" s="32">
        <f t="shared" si="3"/>
        <v>4</v>
      </c>
      <c r="T39" s="32">
        <f t="shared" si="8"/>
        <v>0</v>
      </c>
      <c r="U39" s="32">
        <f t="shared" si="8"/>
        <v>0</v>
      </c>
      <c r="V39" s="32">
        <f t="shared" si="8"/>
        <v>0</v>
      </c>
      <c r="W39" s="32">
        <f t="shared" si="8"/>
        <v>10</v>
      </c>
      <c r="X39" s="32">
        <f t="shared" si="8"/>
        <v>0</v>
      </c>
    </row>
    <row r="40" spans="1:24" ht="16.5" customHeight="1" x14ac:dyDescent="0.25">
      <c r="A40" s="39" t="str">
        <f>'Long Sample Name'!A37</f>
        <v>Sample 1750m: 0% Siltstone, 100% fine to medium,trace coarse Sandstone, 100% moderately bright  to  bright FLUOR in SST. TG 478U</v>
      </c>
      <c r="B40" s="25">
        <f>'Input Sheet'!L39</f>
        <v>45194</v>
      </c>
      <c r="C40" s="26">
        <f>'Input Sheet'!M39</f>
        <v>0.61111111111111105</v>
      </c>
      <c r="D40" s="40">
        <f>'Input Sheet'!B39</f>
        <v>1750</v>
      </c>
      <c r="E40" s="37">
        <f>'Input Sheet'!I39</f>
        <v>478</v>
      </c>
      <c r="F40" s="29">
        <f>('Input Sheet'!C39)/100</f>
        <v>1</v>
      </c>
      <c r="G40" s="29">
        <f>('Input Sheet'!F39)/100</f>
        <v>1</v>
      </c>
      <c r="H40" s="27">
        <f t="shared" si="5"/>
        <v>10</v>
      </c>
      <c r="I40" s="27">
        <f t="shared" si="0"/>
        <v>10</v>
      </c>
      <c r="J40" s="27">
        <f t="shared" si="1"/>
        <v>10</v>
      </c>
      <c r="K40" s="27">
        <f t="shared" si="2"/>
        <v>10</v>
      </c>
      <c r="L40" s="27">
        <f t="shared" si="6"/>
        <v>10</v>
      </c>
      <c r="M40" s="32" t="str">
        <f>'Input Sheet'!E39</f>
        <v>C</v>
      </c>
      <c r="N40" s="32">
        <f t="shared" si="3"/>
        <v>4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10</v>
      </c>
      <c r="X40" s="32">
        <f t="shared" si="8"/>
        <v>0</v>
      </c>
    </row>
    <row r="41" spans="1:24" ht="16.5" customHeight="1" x14ac:dyDescent="0.25">
      <c r="A41" s="39" t="str">
        <f>'Long Sample Name'!A38</f>
        <v>Sample 1760m: 0% Siltstone, 100% very fine to medium, rare coarse Sandstone, 100% moderately bright  to  bright FLUOR in SST. TG 311U</v>
      </c>
      <c r="B41" s="25">
        <f>'Input Sheet'!L40</f>
        <v>45194</v>
      </c>
      <c r="C41" s="26">
        <f>'Input Sheet'!M40</f>
        <v>0.63055555555555554</v>
      </c>
      <c r="D41" s="40">
        <f>'Input Sheet'!B40</f>
        <v>1760</v>
      </c>
      <c r="E41" s="37">
        <f>'Input Sheet'!I40</f>
        <v>311</v>
      </c>
      <c r="F41" s="29">
        <f>('Input Sheet'!C40)/100</f>
        <v>1</v>
      </c>
      <c r="G41" s="29">
        <f>('Input Sheet'!F40)/100</f>
        <v>1</v>
      </c>
      <c r="H41" s="27">
        <f t="shared" si="5"/>
        <v>10</v>
      </c>
      <c r="I41" s="27">
        <f t="shared" si="0"/>
        <v>10</v>
      </c>
      <c r="J41" s="27">
        <f t="shared" si="1"/>
        <v>10</v>
      </c>
      <c r="K41" s="27">
        <f t="shared" si="2"/>
        <v>10</v>
      </c>
      <c r="L41" s="27">
        <f t="shared" si="6"/>
        <v>10</v>
      </c>
      <c r="M41" s="32" t="str">
        <f>'Input Sheet'!E40</f>
        <v xml:space="preserve">M </v>
      </c>
      <c r="N41" s="32">
        <f t="shared" si="3"/>
        <v>0</v>
      </c>
      <c r="T41" s="32">
        <f t="shared" si="8"/>
        <v>0</v>
      </c>
      <c r="U41" s="32">
        <f t="shared" si="8"/>
        <v>0</v>
      </c>
      <c r="V41" s="32">
        <f t="shared" si="8"/>
        <v>0</v>
      </c>
      <c r="W41" s="32">
        <f t="shared" si="8"/>
        <v>0</v>
      </c>
      <c r="X41" s="32">
        <f t="shared" si="8"/>
        <v>0</v>
      </c>
    </row>
    <row r="42" spans="1:24" ht="16.5" customHeight="1" x14ac:dyDescent="0.25">
      <c r="A42" s="39" t="str">
        <f>'Long Sample Name'!A39</f>
        <v>Sample 1770m: 5% Siltstone, 95% fine to verycoarse Sandstone, 100% moderately bright to bright FLUOR in SST. TG 183U</v>
      </c>
      <c r="B42" s="25">
        <f>'Input Sheet'!L41</f>
        <v>45194</v>
      </c>
      <c r="C42" s="26">
        <f>'Input Sheet'!M41</f>
        <v>0.66666666666666663</v>
      </c>
      <c r="D42" s="40">
        <f>'Input Sheet'!B41</f>
        <v>1770</v>
      </c>
      <c r="E42" s="37">
        <f>'Input Sheet'!I41</f>
        <v>183</v>
      </c>
      <c r="F42" s="29">
        <f>('Input Sheet'!C41)/100</f>
        <v>0.95</v>
      </c>
      <c r="G42" s="29">
        <f>('Input Sheet'!F41)/100</f>
        <v>1</v>
      </c>
      <c r="H42" s="27">
        <f t="shared" si="5"/>
        <v>10</v>
      </c>
      <c r="I42" s="27">
        <f t="shared" si="0"/>
        <v>10</v>
      </c>
      <c r="J42" s="27">
        <f t="shared" si="1"/>
        <v>9.5</v>
      </c>
      <c r="K42" s="27">
        <f t="shared" si="2"/>
        <v>10</v>
      </c>
      <c r="L42" s="27">
        <f t="shared" si="6"/>
        <v>9.5</v>
      </c>
      <c r="M42" s="32" t="str">
        <f>'Input Sheet'!E41</f>
        <v>C</v>
      </c>
      <c r="N42" s="32">
        <f t="shared" si="3"/>
        <v>4</v>
      </c>
      <c r="T42" s="32">
        <f t="shared" si="8"/>
        <v>0</v>
      </c>
      <c r="U42" s="32">
        <f t="shared" si="8"/>
        <v>0</v>
      </c>
      <c r="V42" s="32">
        <f t="shared" si="8"/>
        <v>0</v>
      </c>
      <c r="W42" s="32">
        <f t="shared" si="8"/>
        <v>10</v>
      </c>
      <c r="X42" s="32">
        <f t="shared" si="8"/>
        <v>0</v>
      </c>
    </row>
    <row r="43" spans="1:24" ht="16.5" customHeight="1" x14ac:dyDescent="0.25">
      <c r="A43" s="39" t="str">
        <f>'Long Sample Name'!A40</f>
        <v>Sample 1780m: 10% Siltstone, 90% very fine to coarse Sandstone, 80% bright FLUOR in SST. TG 160U</v>
      </c>
      <c r="B43" s="25">
        <f>'Input Sheet'!L42</f>
        <v>45194</v>
      </c>
      <c r="C43" s="26">
        <f>'Input Sheet'!M42</f>
        <v>0.68611111111111101</v>
      </c>
      <c r="D43" s="40">
        <f>'Input Sheet'!B42</f>
        <v>1780</v>
      </c>
      <c r="E43" s="37">
        <f>'Input Sheet'!I42</f>
        <v>160</v>
      </c>
      <c r="F43" s="29">
        <f>('Input Sheet'!C42)/100</f>
        <v>0.9</v>
      </c>
      <c r="G43" s="29">
        <f>('Input Sheet'!F42)/100</f>
        <v>0.8</v>
      </c>
      <c r="H43" s="27">
        <f t="shared" si="5"/>
        <v>10</v>
      </c>
      <c r="I43" s="27">
        <f t="shared" si="0"/>
        <v>10</v>
      </c>
      <c r="J43" s="27">
        <f t="shared" si="1"/>
        <v>9</v>
      </c>
      <c r="K43" s="27">
        <f t="shared" si="2"/>
        <v>10</v>
      </c>
      <c r="L43" s="27">
        <f t="shared" si="6"/>
        <v>9</v>
      </c>
      <c r="M43" s="32" t="str">
        <f>'Input Sheet'!E42</f>
        <v>C</v>
      </c>
      <c r="N43" s="32">
        <f t="shared" si="3"/>
        <v>4</v>
      </c>
      <c r="T43" s="32">
        <f t="shared" si="8"/>
        <v>0</v>
      </c>
      <c r="U43" s="32">
        <f t="shared" si="8"/>
        <v>0</v>
      </c>
      <c r="V43" s="32">
        <f t="shared" si="8"/>
        <v>0</v>
      </c>
      <c r="W43" s="32">
        <f t="shared" si="8"/>
        <v>10</v>
      </c>
      <c r="X43" s="32">
        <f t="shared" si="8"/>
        <v>0</v>
      </c>
    </row>
    <row r="44" spans="1:24" ht="16.5" customHeight="1" x14ac:dyDescent="0.25">
      <c r="A44" s="39" t="str">
        <f>'Long Sample Name'!A41</f>
        <v>Sample 1790m: 10% Siltstone, 90% very fine to medium  Sandstone, 80% moderately bright to bright FLUOR in SST. TG 213U</v>
      </c>
      <c r="B44" s="25">
        <f>'Input Sheet'!L43</f>
        <v>45194</v>
      </c>
      <c r="C44" s="26">
        <f>'Input Sheet'!M43</f>
        <v>0.71180555555555547</v>
      </c>
      <c r="D44" s="40">
        <f>'Input Sheet'!B43</f>
        <v>1790</v>
      </c>
      <c r="E44" s="37">
        <f>'Input Sheet'!I43</f>
        <v>213</v>
      </c>
      <c r="F44" s="29">
        <f>('Input Sheet'!C43)/100</f>
        <v>0.9</v>
      </c>
      <c r="G44" s="29">
        <f>('Input Sheet'!F43)/100</f>
        <v>0.8</v>
      </c>
      <c r="H44" s="27">
        <f t="shared" si="5"/>
        <v>10</v>
      </c>
      <c r="I44" s="27">
        <f t="shared" si="0"/>
        <v>10</v>
      </c>
      <c r="J44" s="27">
        <f t="shared" si="1"/>
        <v>9</v>
      </c>
      <c r="K44" s="27">
        <f t="shared" si="2"/>
        <v>10</v>
      </c>
      <c r="L44" s="27">
        <f t="shared" si="6"/>
        <v>9</v>
      </c>
      <c r="M44" s="32" t="str">
        <f>'Input Sheet'!E43</f>
        <v>M</v>
      </c>
      <c r="N44" s="32">
        <f t="shared" si="3"/>
        <v>3</v>
      </c>
      <c r="T44" s="32">
        <f t="shared" si="8"/>
        <v>0</v>
      </c>
      <c r="U44" s="32">
        <f t="shared" si="8"/>
        <v>0</v>
      </c>
      <c r="V44" s="32">
        <f t="shared" si="8"/>
        <v>10</v>
      </c>
      <c r="W44" s="32">
        <f t="shared" si="8"/>
        <v>0</v>
      </c>
      <c r="X44" s="32">
        <f t="shared" si="8"/>
        <v>0</v>
      </c>
    </row>
    <row r="45" spans="1:24" ht="16.5" customHeight="1" x14ac:dyDescent="0.25">
      <c r="A45" s="39" t="str">
        <f>'Long Sample Name'!A42</f>
        <v>Sample 1800m: 5% Siltstone, rare siderite in 95% fine to medium,trace coarse Sandstone, 100% bright  FLUOR in SST. TG 222U</v>
      </c>
      <c r="B45" s="25">
        <f>'Input Sheet'!L44</f>
        <v>45194</v>
      </c>
      <c r="C45" s="26">
        <f>'Input Sheet'!M44</f>
        <v>0.72777777777777775</v>
      </c>
      <c r="D45" s="40">
        <f>'Input Sheet'!B44</f>
        <v>1800</v>
      </c>
      <c r="E45" s="37">
        <f>'Input Sheet'!I44</f>
        <v>222</v>
      </c>
      <c r="F45" s="29">
        <f>('Input Sheet'!C44)/100</f>
        <v>0.95</v>
      </c>
      <c r="G45" s="29">
        <f>('Input Sheet'!F44)/100</f>
        <v>1</v>
      </c>
      <c r="H45" s="27">
        <f t="shared" si="5"/>
        <v>10</v>
      </c>
      <c r="I45" s="27">
        <f t="shared" si="0"/>
        <v>10</v>
      </c>
      <c r="J45" s="27">
        <f t="shared" si="1"/>
        <v>9.5</v>
      </c>
      <c r="K45" s="27">
        <f t="shared" si="2"/>
        <v>10</v>
      </c>
      <c r="L45" s="27">
        <f t="shared" si="6"/>
        <v>9.5</v>
      </c>
      <c r="M45" s="32" t="str">
        <f>'Input Sheet'!E44</f>
        <v>C</v>
      </c>
      <c r="N45" s="32">
        <f t="shared" si="3"/>
        <v>4</v>
      </c>
      <c r="T45" s="32">
        <f t="shared" si="8"/>
        <v>0</v>
      </c>
      <c r="U45" s="32">
        <f t="shared" si="8"/>
        <v>0</v>
      </c>
      <c r="V45" s="32">
        <f t="shared" si="8"/>
        <v>0</v>
      </c>
      <c r="W45" s="32">
        <f t="shared" si="8"/>
        <v>10</v>
      </c>
      <c r="X45" s="32">
        <f t="shared" si="8"/>
        <v>0</v>
      </c>
    </row>
    <row r="46" spans="1:24" ht="16.5" customHeight="1" x14ac:dyDescent="0.25">
      <c r="A46" s="39" t="str">
        <f>'Long Sample Name'!A43</f>
        <v>Sample 1810m: 20% Siltstone, 80% very fine to fine, rare coarse Sandstone, 100% bright FLUOR in SST. TG 125U</v>
      </c>
      <c r="B46" s="25">
        <f>'Input Sheet'!L45</f>
        <v>45194</v>
      </c>
      <c r="C46" s="26">
        <f>'Input Sheet'!M45</f>
        <v>0.75763888888888886</v>
      </c>
      <c r="D46" s="40">
        <f>'Input Sheet'!B45</f>
        <v>1810</v>
      </c>
      <c r="E46" s="37">
        <f>'Input Sheet'!I45</f>
        <v>125</v>
      </c>
      <c r="F46" s="29">
        <f>('Input Sheet'!C45)/100</f>
        <v>0.8</v>
      </c>
      <c r="G46" s="29">
        <f>('Input Sheet'!F45)/100</f>
        <v>1</v>
      </c>
      <c r="H46" s="27">
        <f t="shared" si="5"/>
        <v>10</v>
      </c>
      <c r="I46" s="27">
        <f t="shared" si="0"/>
        <v>10</v>
      </c>
      <c r="J46" s="27">
        <f t="shared" si="1"/>
        <v>8</v>
      </c>
      <c r="K46" s="27">
        <f t="shared" si="2"/>
        <v>10</v>
      </c>
      <c r="L46" s="27">
        <f t="shared" si="6"/>
        <v>8</v>
      </c>
      <c r="M46" s="32" t="str">
        <f>'Input Sheet'!E45</f>
        <v>C</v>
      </c>
      <c r="N46" s="32">
        <f t="shared" si="3"/>
        <v>4</v>
      </c>
      <c r="T46" s="32">
        <f t="shared" si="8"/>
        <v>0</v>
      </c>
      <c r="U46" s="32">
        <f t="shared" si="8"/>
        <v>0</v>
      </c>
      <c r="V46" s="32">
        <f t="shared" si="8"/>
        <v>0</v>
      </c>
      <c r="W46" s="32">
        <f t="shared" si="8"/>
        <v>10</v>
      </c>
      <c r="X46" s="32">
        <f t="shared" si="8"/>
        <v>0</v>
      </c>
    </row>
    <row r="47" spans="1:24" ht="16.5" customHeight="1" x14ac:dyDescent="0.25">
      <c r="A47" s="39" t="str">
        <f>'Long Sample Name'!A44</f>
        <v>Sample 1820m: 50% Siltstone, 50% very fine to fine, rare coarse Sandstone, 100% bright FLUOR in SST. TG 195U</v>
      </c>
      <c r="B47" s="25">
        <f>'Input Sheet'!L46</f>
        <v>45194</v>
      </c>
      <c r="C47" s="26">
        <f>'Input Sheet'!M46</f>
        <v>0.77500000000000002</v>
      </c>
      <c r="D47" s="40">
        <f>'Input Sheet'!B46</f>
        <v>1820</v>
      </c>
      <c r="E47" s="37">
        <f>'Input Sheet'!I46</f>
        <v>195</v>
      </c>
      <c r="F47" s="29">
        <f>('Input Sheet'!C46)/100</f>
        <v>0.5</v>
      </c>
      <c r="G47" s="29">
        <f>('Input Sheet'!F46)/100</f>
        <v>1</v>
      </c>
      <c r="H47" s="27">
        <f t="shared" si="5"/>
        <v>10</v>
      </c>
      <c r="I47" s="27">
        <f t="shared" si="0"/>
        <v>10</v>
      </c>
      <c r="J47" s="27">
        <f t="shared" si="1"/>
        <v>5</v>
      </c>
      <c r="K47" s="27">
        <f t="shared" si="2"/>
        <v>10</v>
      </c>
      <c r="L47" s="27">
        <f t="shared" si="6"/>
        <v>5</v>
      </c>
      <c r="M47" s="32" t="str">
        <f>'Input Sheet'!E46</f>
        <v>C</v>
      </c>
      <c r="N47" s="32">
        <f t="shared" si="3"/>
        <v>4</v>
      </c>
      <c r="T47" s="32">
        <f t="shared" si="8"/>
        <v>0</v>
      </c>
      <c r="U47" s="32">
        <f t="shared" si="8"/>
        <v>0</v>
      </c>
      <c r="V47" s="32">
        <f t="shared" si="8"/>
        <v>0</v>
      </c>
      <c r="W47" s="32">
        <f t="shared" si="8"/>
        <v>10</v>
      </c>
      <c r="X47" s="32">
        <f t="shared" si="8"/>
        <v>0</v>
      </c>
    </row>
    <row r="48" spans="1:24" ht="16.5" customHeight="1" x14ac:dyDescent="0.25">
      <c r="A48" s="39" t="str">
        <f>'Long Sample Name'!A45</f>
        <v>Sample 1830m: 20% Siltstone, 80% very fine to fine, rare coarse Sandstone, 100% moderately bright FLUOR in SST. TG 152U</v>
      </c>
      <c r="B48" s="25">
        <f>'Input Sheet'!L47</f>
        <v>45194</v>
      </c>
      <c r="C48" s="26">
        <f>'Input Sheet'!M47</f>
        <v>0.79305555555555562</v>
      </c>
      <c r="D48" s="40">
        <f>'Input Sheet'!B47</f>
        <v>1830</v>
      </c>
      <c r="E48" s="37">
        <f>'Input Sheet'!I47</f>
        <v>152</v>
      </c>
      <c r="F48" s="29">
        <f>('Input Sheet'!C47)/100</f>
        <v>0.8</v>
      </c>
      <c r="G48" s="29">
        <f>('Input Sheet'!F47)/100</f>
        <v>1</v>
      </c>
      <c r="H48" s="27">
        <f t="shared" si="5"/>
        <v>10</v>
      </c>
      <c r="I48" s="27">
        <f t="shared" si="0"/>
        <v>10</v>
      </c>
      <c r="J48" s="27">
        <f t="shared" si="1"/>
        <v>8</v>
      </c>
      <c r="K48" s="27">
        <f t="shared" si="2"/>
        <v>10</v>
      </c>
      <c r="L48" s="27">
        <f t="shared" si="6"/>
        <v>8</v>
      </c>
      <c r="M48" s="32" t="str">
        <f>'Input Sheet'!E47</f>
        <v>C</v>
      </c>
      <c r="N48" s="32">
        <f t="shared" si="3"/>
        <v>4</v>
      </c>
      <c r="T48" s="32">
        <f t="shared" si="8"/>
        <v>0</v>
      </c>
      <c r="U48" s="32">
        <f t="shared" si="8"/>
        <v>0</v>
      </c>
      <c r="V48" s="32">
        <f t="shared" si="8"/>
        <v>0</v>
      </c>
      <c r="W48" s="32">
        <f t="shared" si="8"/>
        <v>10</v>
      </c>
      <c r="X48" s="32">
        <f t="shared" si="8"/>
        <v>0</v>
      </c>
    </row>
    <row r="49" spans="1:24" ht="16.5" customHeight="1" x14ac:dyDescent="0.25">
      <c r="A49" s="39" t="str">
        <f>'Long Sample Name'!A46</f>
        <v>Sample 1840m: 10% Siltstone, 90% very fine to fine, rare coarse Sandstone, 100% moderately bright FLUOR in SST. TG 235U</v>
      </c>
      <c r="B49" s="25">
        <f>'Input Sheet'!L48</f>
        <v>45194</v>
      </c>
      <c r="C49" s="26">
        <f>'Input Sheet'!M48</f>
        <v>0.81111111111111101</v>
      </c>
      <c r="D49" s="40">
        <f>'Input Sheet'!B48</f>
        <v>1840</v>
      </c>
      <c r="E49" s="37">
        <f>'Input Sheet'!I48</f>
        <v>235</v>
      </c>
      <c r="F49" s="29">
        <f>('Input Sheet'!C48)/100</f>
        <v>0.9</v>
      </c>
      <c r="G49" s="29">
        <f>('Input Sheet'!F48)/100</f>
        <v>1</v>
      </c>
      <c r="H49" s="27">
        <f t="shared" si="5"/>
        <v>10</v>
      </c>
      <c r="I49" s="27">
        <f t="shared" si="0"/>
        <v>10</v>
      </c>
      <c r="J49" s="27">
        <f t="shared" si="1"/>
        <v>9</v>
      </c>
      <c r="K49" s="27">
        <f t="shared" si="2"/>
        <v>10</v>
      </c>
      <c r="L49" s="27">
        <f t="shared" si="6"/>
        <v>9</v>
      </c>
      <c r="M49" s="32" t="str">
        <f>'Input Sheet'!E48</f>
        <v>C</v>
      </c>
      <c r="N49" s="32">
        <f t="shared" si="3"/>
        <v>4</v>
      </c>
      <c r="T49" s="32">
        <f t="shared" si="8"/>
        <v>0</v>
      </c>
      <c r="U49" s="32">
        <f t="shared" si="8"/>
        <v>0</v>
      </c>
      <c r="V49" s="32">
        <f t="shared" si="8"/>
        <v>0</v>
      </c>
      <c r="W49" s="32">
        <f t="shared" si="8"/>
        <v>10</v>
      </c>
      <c r="X49" s="32">
        <f t="shared" si="8"/>
        <v>0</v>
      </c>
    </row>
    <row r="50" spans="1:24" ht="16.5" customHeight="1" x14ac:dyDescent="0.25">
      <c r="A50" s="39" t="str">
        <f>'Long Sample Name'!A47</f>
        <v>Sample 1850m: 0% Siltstone, 100% very fine to fine, rare coarse Sandstone, 100% bright FLUOR in SST. TG 183U</v>
      </c>
      <c r="B50" s="25">
        <f>'Input Sheet'!L49</f>
        <v>45194</v>
      </c>
      <c r="C50" s="26">
        <f>'Input Sheet'!M49</f>
        <v>0.83472222222222225</v>
      </c>
      <c r="D50" s="40">
        <f>'Input Sheet'!B49</f>
        <v>1850</v>
      </c>
      <c r="E50" s="37">
        <f>'Input Sheet'!I49</f>
        <v>183</v>
      </c>
      <c r="F50" s="29">
        <f>('Input Sheet'!C49)/100</f>
        <v>1</v>
      </c>
      <c r="G50" s="29">
        <f>('Input Sheet'!F49)/100</f>
        <v>1</v>
      </c>
      <c r="H50" s="27">
        <f t="shared" si="5"/>
        <v>10</v>
      </c>
      <c r="I50" s="27">
        <f t="shared" si="0"/>
        <v>10</v>
      </c>
      <c r="J50" s="27">
        <f t="shared" si="1"/>
        <v>10</v>
      </c>
      <c r="K50" s="27">
        <f t="shared" si="2"/>
        <v>10</v>
      </c>
      <c r="L50" s="27">
        <f t="shared" si="6"/>
        <v>10</v>
      </c>
      <c r="M50" s="32" t="str">
        <f>'Input Sheet'!E49</f>
        <v>C</v>
      </c>
      <c r="N50" s="32">
        <f t="shared" si="3"/>
        <v>4</v>
      </c>
      <c r="T50" s="32">
        <f t="shared" si="8"/>
        <v>0</v>
      </c>
      <c r="U50" s="32">
        <f t="shared" si="8"/>
        <v>0</v>
      </c>
      <c r="V50" s="32">
        <f t="shared" si="8"/>
        <v>0</v>
      </c>
      <c r="W50" s="32">
        <f t="shared" si="8"/>
        <v>10</v>
      </c>
      <c r="X50" s="32">
        <f t="shared" si="8"/>
        <v>0</v>
      </c>
    </row>
    <row r="51" spans="1:24" ht="16.5" customHeight="1" x14ac:dyDescent="0.25">
      <c r="A51" s="39" t="str">
        <f>'Long Sample Name'!A48</f>
        <v>Sample 1860m: 0% Siltstone, 100% very fine to fine, rare coarse Sandstone, 100% bright FLUOR in SST. TG 185U</v>
      </c>
      <c r="B51" s="25">
        <f>'Input Sheet'!L50</f>
        <v>45194</v>
      </c>
      <c r="C51" s="26">
        <f>'Input Sheet'!M50</f>
        <v>0.86111111111111116</v>
      </c>
      <c r="D51" s="40">
        <f>'Input Sheet'!B50</f>
        <v>1860</v>
      </c>
      <c r="E51" s="37">
        <f>'Input Sheet'!I50</f>
        <v>185</v>
      </c>
      <c r="F51" s="29">
        <f>('Input Sheet'!C50)/100</f>
        <v>1</v>
      </c>
      <c r="G51" s="29">
        <f>('Input Sheet'!F50)/100</f>
        <v>1</v>
      </c>
      <c r="H51" s="27">
        <f t="shared" si="5"/>
        <v>10</v>
      </c>
      <c r="I51" s="27">
        <f t="shared" si="0"/>
        <v>10</v>
      </c>
      <c r="J51" s="27">
        <f t="shared" si="1"/>
        <v>10</v>
      </c>
      <c r="K51" s="27">
        <f t="shared" si="2"/>
        <v>10</v>
      </c>
      <c r="L51" s="27">
        <f t="shared" si="6"/>
        <v>10</v>
      </c>
      <c r="M51" s="32" t="str">
        <f>'Input Sheet'!E50</f>
        <v>C</v>
      </c>
      <c r="N51" s="32">
        <f t="shared" si="3"/>
        <v>4</v>
      </c>
      <c r="T51" s="32">
        <f t="shared" si="8"/>
        <v>0</v>
      </c>
      <c r="U51" s="32">
        <f t="shared" si="8"/>
        <v>0</v>
      </c>
      <c r="V51" s="32">
        <f t="shared" si="8"/>
        <v>0</v>
      </c>
      <c r="W51" s="32">
        <f t="shared" si="8"/>
        <v>10</v>
      </c>
      <c r="X51" s="32">
        <f t="shared" si="8"/>
        <v>0</v>
      </c>
    </row>
    <row r="52" spans="1:24" ht="16.5" customHeight="1" x14ac:dyDescent="0.25">
      <c r="A52" s="39" t="str">
        <f>'Long Sample Name'!A49</f>
        <v>Sample 1870m: 0% Siltstone, 100% very fine to fine, rare coarse Sandstone, 100% bright FLUOR in SST. TG 190U</v>
      </c>
      <c r="B52" s="25">
        <f>'Input Sheet'!L51</f>
        <v>45194</v>
      </c>
      <c r="C52" s="26">
        <f>'Input Sheet'!M51</f>
        <v>0.88750000000000007</v>
      </c>
      <c r="D52" s="40">
        <f>'Input Sheet'!B51</f>
        <v>1870</v>
      </c>
      <c r="E52" s="37">
        <f>'Input Sheet'!I51</f>
        <v>190</v>
      </c>
      <c r="F52" s="29">
        <f>('Input Sheet'!C51)/100</f>
        <v>1</v>
      </c>
      <c r="G52" s="29">
        <f>('Input Sheet'!F51)/100</f>
        <v>1</v>
      </c>
      <c r="H52" s="27">
        <f t="shared" si="5"/>
        <v>10</v>
      </c>
      <c r="I52" s="27">
        <f t="shared" si="0"/>
        <v>10</v>
      </c>
      <c r="J52" s="27">
        <f t="shared" si="1"/>
        <v>10</v>
      </c>
      <c r="K52" s="27">
        <f t="shared" si="2"/>
        <v>10</v>
      </c>
      <c r="L52" s="27">
        <f t="shared" si="6"/>
        <v>10</v>
      </c>
      <c r="M52" s="32" t="str">
        <f>'Input Sheet'!E51</f>
        <v>C</v>
      </c>
      <c r="N52" s="32">
        <f t="shared" si="3"/>
        <v>4</v>
      </c>
      <c r="T52" s="32">
        <f t="shared" si="8"/>
        <v>0</v>
      </c>
      <c r="U52" s="32">
        <f t="shared" si="8"/>
        <v>0</v>
      </c>
      <c r="V52" s="32">
        <f t="shared" si="8"/>
        <v>0</v>
      </c>
      <c r="W52" s="32">
        <f t="shared" si="8"/>
        <v>10</v>
      </c>
      <c r="X52" s="32">
        <f t="shared" si="8"/>
        <v>0</v>
      </c>
    </row>
    <row r="53" spans="1:24" ht="16.5" customHeight="1" x14ac:dyDescent="0.25">
      <c r="A53" s="39" t="str">
        <f>'Long Sample Name'!A50</f>
        <v>Sample 1880m: 10% Siltstone, 90% very fine to fine Sandstone, 100% bright FLUOR in SST. TG 124U</v>
      </c>
      <c r="B53" s="25">
        <f>'Input Sheet'!L52</f>
        <v>45194</v>
      </c>
      <c r="C53" s="26">
        <f>'Input Sheet'!M52</f>
        <v>0.91111111111111109</v>
      </c>
      <c r="D53" s="40">
        <f>'Input Sheet'!B52</f>
        <v>1880</v>
      </c>
      <c r="E53" s="37">
        <f>'Input Sheet'!I52</f>
        <v>124</v>
      </c>
      <c r="F53" s="29">
        <f>('Input Sheet'!C52)/100</f>
        <v>0.9</v>
      </c>
      <c r="G53" s="29">
        <f>('Input Sheet'!F52)/100</f>
        <v>1</v>
      </c>
      <c r="H53" s="27">
        <f t="shared" si="5"/>
        <v>10</v>
      </c>
      <c r="I53" s="27">
        <f t="shared" si="0"/>
        <v>10</v>
      </c>
      <c r="J53" s="27">
        <f t="shared" si="1"/>
        <v>9</v>
      </c>
      <c r="K53" s="27">
        <f t="shared" si="2"/>
        <v>10</v>
      </c>
      <c r="L53" s="27">
        <f t="shared" si="6"/>
        <v>9</v>
      </c>
      <c r="M53" s="32" t="str">
        <f>'Input Sheet'!E52</f>
        <v>F</v>
      </c>
      <c r="N53" s="32">
        <f t="shared" si="3"/>
        <v>2</v>
      </c>
      <c r="T53" s="32">
        <f t="shared" ref="T53:X68" si="9">IF($M53=T$1,$H53,0)</f>
        <v>0</v>
      </c>
      <c r="U53" s="32">
        <f t="shared" si="9"/>
        <v>10</v>
      </c>
      <c r="V53" s="32">
        <f t="shared" si="9"/>
        <v>0</v>
      </c>
      <c r="W53" s="32">
        <f t="shared" si="9"/>
        <v>0</v>
      </c>
      <c r="X53" s="32">
        <f t="shared" si="9"/>
        <v>0</v>
      </c>
    </row>
    <row r="54" spans="1:24" ht="16.5" customHeight="1" x14ac:dyDescent="0.25">
      <c r="A54" s="39" t="str">
        <f>'Long Sample Name'!A51</f>
        <v>Sample 1885m: 30% Siltstone, 70% very fine to fine, rare coarse Sandstone, 100% moderately bright FLUOR in SST. TG 135U</v>
      </c>
      <c r="B54" s="25">
        <f>'Input Sheet'!L53</f>
        <v>45194</v>
      </c>
      <c r="C54" s="26">
        <f>'Input Sheet'!M53</f>
        <v>0.92499999999999993</v>
      </c>
      <c r="D54" s="40">
        <f>'Input Sheet'!B53</f>
        <v>1885</v>
      </c>
      <c r="E54" s="37">
        <f>'Input Sheet'!I53</f>
        <v>135</v>
      </c>
      <c r="F54" s="29">
        <f>('Input Sheet'!C53)/100</f>
        <v>0.7</v>
      </c>
      <c r="G54" s="29">
        <f>('Input Sheet'!F53)/100</f>
        <v>1</v>
      </c>
      <c r="H54" s="27">
        <f t="shared" si="5"/>
        <v>5</v>
      </c>
      <c r="I54" s="27">
        <f t="shared" si="0"/>
        <v>5</v>
      </c>
      <c r="J54" s="27">
        <f t="shared" si="1"/>
        <v>3.5</v>
      </c>
      <c r="K54" s="27">
        <f t="shared" si="2"/>
        <v>5</v>
      </c>
      <c r="L54" s="27">
        <f t="shared" si="6"/>
        <v>3.5</v>
      </c>
      <c r="M54" s="32" t="str">
        <f>'Input Sheet'!E53</f>
        <v>C</v>
      </c>
      <c r="N54" s="32">
        <f t="shared" si="3"/>
        <v>4</v>
      </c>
      <c r="T54" s="32">
        <f t="shared" si="9"/>
        <v>0</v>
      </c>
      <c r="U54" s="32">
        <f t="shared" si="9"/>
        <v>0</v>
      </c>
      <c r="V54" s="32">
        <f t="shared" si="9"/>
        <v>0</v>
      </c>
      <c r="W54" s="32">
        <f t="shared" si="9"/>
        <v>5</v>
      </c>
      <c r="X54" s="32">
        <f t="shared" si="9"/>
        <v>0</v>
      </c>
    </row>
    <row r="55" spans="1:24" ht="16.5" customHeight="1" x14ac:dyDescent="0.25">
      <c r="A55" s="39" t="str">
        <f>'Long Sample Name'!A52</f>
        <v>Sample 1890m: 20% Siltstone, 80% very fine to fine Sandstone, 100% moderately bright FLUOR in SST. TG 160U</v>
      </c>
      <c r="B55" s="25">
        <f>'Input Sheet'!L54</f>
        <v>45194</v>
      </c>
      <c r="C55" s="26">
        <f>'Input Sheet'!M54</f>
        <v>0.93611111111111101</v>
      </c>
      <c r="D55" s="40">
        <f>'Input Sheet'!B54</f>
        <v>1890</v>
      </c>
      <c r="E55" s="37">
        <f>'Input Sheet'!I54</f>
        <v>160</v>
      </c>
      <c r="F55" s="29">
        <f>('Input Sheet'!C54)/100</f>
        <v>0.8</v>
      </c>
      <c r="G55" s="29">
        <f>('Input Sheet'!F54)/100</f>
        <v>1</v>
      </c>
      <c r="H55" s="27">
        <f t="shared" si="5"/>
        <v>5</v>
      </c>
      <c r="I55" s="27">
        <f t="shared" si="0"/>
        <v>5</v>
      </c>
      <c r="J55" s="27">
        <f t="shared" si="1"/>
        <v>4</v>
      </c>
      <c r="K55" s="27">
        <f t="shared" si="2"/>
        <v>5</v>
      </c>
      <c r="L55" s="27">
        <f t="shared" si="6"/>
        <v>4</v>
      </c>
      <c r="M55" s="32" t="str">
        <f>'Input Sheet'!E54</f>
        <v>F</v>
      </c>
      <c r="N55" s="32">
        <f t="shared" si="3"/>
        <v>2</v>
      </c>
      <c r="T55" s="32">
        <f t="shared" si="9"/>
        <v>0</v>
      </c>
      <c r="U55" s="32">
        <f t="shared" si="9"/>
        <v>5</v>
      </c>
      <c r="V55" s="32">
        <f t="shared" si="9"/>
        <v>0</v>
      </c>
      <c r="W55" s="32">
        <f t="shared" si="9"/>
        <v>0</v>
      </c>
      <c r="X55" s="32">
        <f t="shared" si="9"/>
        <v>0</v>
      </c>
    </row>
    <row r="56" spans="1:24" ht="16.5" customHeight="1" x14ac:dyDescent="0.25">
      <c r="A56" s="39" t="str">
        <f>'Long Sample Name'!A53</f>
        <v>Sample 1895m: 15% Siltstone, 85% very fine to coarse Sandstone, 100% moderately bright to bright FLUOR in SST. TG 130U</v>
      </c>
      <c r="B56" s="25">
        <f>'Input Sheet'!L55</f>
        <v>45194</v>
      </c>
      <c r="C56" s="26">
        <f>'Input Sheet'!M55</f>
        <v>0.95486111111111116</v>
      </c>
      <c r="D56" s="40">
        <f>'Input Sheet'!B55</f>
        <v>1895</v>
      </c>
      <c r="E56" s="37">
        <f>'Input Sheet'!I55</f>
        <v>130</v>
      </c>
      <c r="F56" s="29">
        <f>('Input Sheet'!C55)/100</f>
        <v>0.85</v>
      </c>
      <c r="G56" s="29">
        <f>('Input Sheet'!F55)/100</f>
        <v>1</v>
      </c>
      <c r="H56" s="27">
        <f t="shared" si="5"/>
        <v>5</v>
      </c>
      <c r="I56" s="27">
        <f t="shared" si="0"/>
        <v>5</v>
      </c>
      <c r="J56" s="27">
        <f t="shared" si="1"/>
        <v>4.25</v>
      </c>
      <c r="K56" s="27">
        <f t="shared" si="2"/>
        <v>5</v>
      </c>
      <c r="L56" s="27">
        <f t="shared" si="6"/>
        <v>4.25</v>
      </c>
      <c r="M56" s="32" t="str">
        <f>'Input Sheet'!E55</f>
        <v>C</v>
      </c>
      <c r="N56" s="32">
        <f t="shared" si="3"/>
        <v>4</v>
      </c>
      <c r="T56" s="32">
        <f t="shared" si="9"/>
        <v>0</v>
      </c>
      <c r="U56" s="32">
        <f t="shared" si="9"/>
        <v>0</v>
      </c>
      <c r="V56" s="32">
        <f t="shared" si="9"/>
        <v>0</v>
      </c>
      <c r="W56" s="32">
        <f t="shared" si="9"/>
        <v>5</v>
      </c>
      <c r="X56" s="32">
        <f t="shared" si="9"/>
        <v>0</v>
      </c>
    </row>
    <row r="57" spans="1:24" ht="16.5" customHeight="1" x14ac:dyDescent="0.25">
      <c r="A57" s="39" t="str">
        <f>'Long Sample Name'!A54</f>
        <v>Sample 1900m: 5% Siltstone, 95% very fine to coarse Sandstone, 100% moderately bright to bright FLUOR in SST. TG 175U</v>
      </c>
      <c r="B57" s="25">
        <f>'Input Sheet'!L56</f>
        <v>45194</v>
      </c>
      <c r="C57" s="26">
        <f>'Input Sheet'!M56</f>
        <v>0.96736111111111101</v>
      </c>
      <c r="D57" s="40">
        <f>'Input Sheet'!B56</f>
        <v>1900</v>
      </c>
      <c r="E57" s="37">
        <f>'Input Sheet'!I56</f>
        <v>175</v>
      </c>
      <c r="F57" s="29">
        <f>('Input Sheet'!C56)/100</f>
        <v>0.95</v>
      </c>
      <c r="G57" s="29">
        <f>('Input Sheet'!F56)/100</f>
        <v>1</v>
      </c>
      <c r="H57" s="27">
        <f t="shared" si="5"/>
        <v>5</v>
      </c>
      <c r="I57" s="27">
        <f t="shared" si="0"/>
        <v>5</v>
      </c>
      <c r="J57" s="27">
        <f t="shared" si="1"/>
        <v>4.75</v>
      </c>
      <c r="K57" s="27">
        <f t="shared" si="2"/>
        <v>5</v>
      </c>
      <c r="L57" s="27">
        <f t="shared" si="6"/>
        <v>4.75</v>
      </c>
      <c r="M57" s="32" t="str">
        <f>'Input Sheet'!E56</f>
        <v>C</v>
      </c>
      <c r="N57" s="32">
        <f t="shared" si="3"/>
        <v>4</v>
      </c>
      <c r="T57" s="32">
        <f t="shared" si="9"/>
        <v>0</v>
      </c>
      <c r="U57" s="32">
        <f t="shared" si="9"/>
        <v>0</v>
      </c>
      <c r="V57" s="32">
        <f t="shared" si="9"/>
        <v>0</v>
      </c>
      <c r="W57" s="32">
        <f t="shared" si="9"/>
        <v>5</v>
      </c>
      <c r="X57" s="32">
        <f t="shared" si="9"/>
        <v>0</v>
      </c>
    </row>
    <row r="58" spans="1:24" ht="16.5" customHeight="1" x14ac:dyDescent="0.25">
      <c r="A58" s="39" t="str">
        <f>'Long Sample Name'!A55</f>
        <v>Sample 1905m: 10% Siltstone, 90% very fine to coarse Sandstone, 100% moderately bright to bright FLUOR in SST. TG 206U</v>
      </c>
      <c r="B58" s="25">
        <f>'Input Sheet'!L57</f>
        <v>45194</v>
      </c>
      <c r="C58" s="26">
        <f>'Input Sheet'!M57</f>
        <v>0.98333333333333339</v>
      </c>
      <c r="D58" s="40">
        <f>'Input Sheet'!B57</f>
        <v>1905</v>
      </c>
      <c r="E58" s="37">
        <f>'Input Sheet'!I57</f>
        <v>206</v>
      </c>
      <c r="F58" s="29">
        <f>('Input Sheet'!C57)/100</f>
        <v>0.9</v>
      </c>
      <c r="G58" s="29">
        <f>('Input Sheet'!F57)/100</f>
        <v>1</v>
      </c>
      <c r="H58" s="27">
        <f t="shared" si="5"/>
        <v>5</v>
      </c>
      <c r="I58" s="27">
        <f t="shared" si="0"/>
        <v>5</v>
      </c>
      <c r="J58" s="27">
        <f t="shared" si="1"/>
        <v>4.5</v>
      </c>
      <c r="K58" s="27">
        <f t="shared" si="2"/>
        <v>5</v>
      </c>
      <c r="L58" s="27">
        <f t="shared" si="6"/>
        <v>4.5</v>
      </c>
      <c r="M58" s="32" t="str">
        <f>'Input Sheet'!E57</f>
        <v>C</v>
      </c>
      <c r="N58" s="32">
        <f t="shared" si="3"/>
        <v>4</v>
      </c>
      <c r="T58" s="32">
        <f t="shared" si="9"/>
        <v>0</v>
      </c>
      <c r="U58" s="32">
        <f t="shared" si="9"/>
        <v>0</v>
      </c>
      <c r="V58" s="32">
        <f t="shared" si="9"/>
        <v>0</v>
      </c>
      <c r="W58" s="32">
        <f t="shared" si="9"/>
        <v>5</v>
      </c>
      <c r="X58" s="32">
        <f t="shared" si="9"/>
        <v>0</v>
      </c>
    </row>
    <row r="59" spans="1:24" ht="16.5" customHeight="1" x14ac:dyDescent="0.25">
      <c r="A59" s="39" t="str">
        <f>'Long Sample Name'!A56</f>
        <v>Sample 1910m: 5% Siltstone, 95% very fine to coarse Sandstone, 100% bright FLUOR in SST. TG 145U</v>
      </c>
      <c r="B59" s="25">
        <f>'Input Sheet'!L58</f>
        <v>45194</v>
      </c>
      <c r="C59" s="26">
        <f>'Input Sheet'!M58</f>
        <v>0.99791666666666667</v>
      </c>
      <c r="D59" s="40">
        <f>'Input Sheet'!B58</f>
        <v>1910</v>
      </c>
      <c r="E59" s="37">
        <f>'Input Sheet'!I58</f>
        <v>145</v>
      </c>
      <c r="F59" s="29">
        <f>('Input Sheet'!C58)/100</f>
        <v>0.95</v>
      </c>
      <c r="G59" s="29">
        <f>('Input Sheet'!F58)/100</f>
        <v>1</v>
      </c>
      <c r="H59" s="27">
        <f t="shared" si="5"/>
        <v>5</v>
      </c>
      <c r="I59" s="27">
        <f t="shared" si="0"/>
        <v>5</v>
      </c>
      <c r="J59" s="27">
        <f t="shared" si="1"/>
        <v>4.75</v>
      </c>
      <c r="K59" s="27">
        <f t="shared" si="2"/>
        <v>5</v>
      </c>
      <c r="L59" s="27">
        <f t="shared" si="6"/>
        <v>4.75</v>
      </c>
      <c r="M59" s="32" t="str">
        <f>'Input Sheet'!E58</f>
        <v>C</v>
      </c>
      <c r="N59" s="32">
        <f t="shared" si="3"/>
        <v>4</v>
      </c>
      <c r="T59" s="32">
        <f t="shared" si="9"/>
        <v>0</v>
      </c>
      <c r="U59" s="32">
        <f t="shared" si="9"/>
        <v>0</v>
      </c>
      <c r="V59" s="32">
        <f t="shared" si="9"/>
        <v>0</v>
      </c>
      <c r="W59" s="32">
        <f t="shared" si="9"/>
        <v>5</v>
      </c>
      <c r="X59" s="32">
        <f t="shared" si="9"/>
        <v>0</v>
      </c>
    </row>
    <row r="60" spans="1:24" ht="16.5" customHeight="1" x14ac:dyDescent="0.25">
      <c r="A60" s="39" t="str">
        <f>'Long Sample Name'!A57</f>
        <v>Sample 1915m: 5% Siltstone, 95% very fine to fine, rare coarse Sandstone, 100% bright FLUOR in SST. TG 166U</v>
      </c>
      <c r="B60" s="25">
        <f>'Input Sheet'!L59</f>
        <v>45195</v>
      </c>
      <c r="C60" s="26">
        <f>'Input Sheet'!M59</f>
        <v>1.5972222222222224E-2</v>
      </c>
      <c r="D60" s="40">
        <f>'Input Sheet'!B59</f>
        <v>1915</v>
      </c>
      <c r="E60" s="37">
        <f>'Input Sheet'!I59</f>
        <v>166</v>
      </c>
      <c r="F60" s="29">
        <f>('Input Sheet'!C59)/100</f>
        <v>0.95</v>
      </c>
      <c r="G60" s="29">
        <f>('Input Sheet'!F59)/100</f>
        <v>1</v>
      </c>
      <c r="H60" s="27">
        <f t="shared" si="5"/>
        <v>5</v>
      </c>
      <c r="I60" s="27">
        <f t="shared" si="0"/>
        <v>5</v>
      </c>
      <c r="J60" s="27">
        <f t="shared" si="1"/>
        <v>4.75</v>
      </c>
      <c r="K60" s="27">
        <f t="shared" si="2"/>
        <v>5</v>
      </c>
      <c r="L60" s="27">
        <f t="shared" si="6"/>
        <v>4.75</v>
      </c>
      <c r="M60" s="32" t="str">
        <f>'Input Sheet'!E59</f>
        <v>C</v>
      </c>
      <c r="N60" s="32">
        <f t="shared" si="3"/>
        <v>4</v>
      </c>
      <c r="T60" s="32">
        <f t="shared" si="9"/>
        <v>0</v>
      </c>
      <c r="U60" s="32">
        <f t="shared" si="9"/>
        <v>0</v>
      </c>
      <c r="V60" s="32">
        <f t="shared" si="9"/>
        <v>0</v>
      </c>
      <c r="W60" s="32">
        <f t="shared" si="9"/>
        <v>5</v>
      </c>
      <c r="X60" s="32">
        <f t="shared" si="9"/>
        <v>0</v>
      </c>
    </row>
    <row r="61" spans="1:24" ht="16.5" customHeight="1" x14ac:dyDescent="0.25">
      <c r="A61" s="39" t="str">
        <f>'Long Sample Name'!A58</f>
        <v>Sample 1920m: 5% Siltstone, 95% very fine to fine, rare coarse Sandstone, 100% bright FLUOR in SST. TG 189U</v>
      </c>
      <c r="B61" s="25">
        <f>'Input Sheet'!L60</f>
        <v>45195</v>
      </c>
      <c r="C61" s="26">
        <f>'Input Sheet'!M60</f>
        <v>3.5416666666666666E-2</v>
      </c>
      <c r="D61" s="40">
        <f>'Input Sheet'!B60</f>
        <v>1920</v>
      </c>
      <c r="E61" s="37">
        <f>'Input Sheet'!I60</f>
        <v>189</v>
      </c>
      <c r="F61" s="29">
        <f>('Input Sheet'!C60)/100</f>
        <v>0.95</v>
      </c>
      <c r="G61" s="29">
        <f>('Input Sheet'!F60)/100</f>
        <v>1</v>
      </c>
      <c r="H61" s="27">
        <f t="shared" si="5"/>
        <v>5</v>
      </c>
      <c r="I61" s="27">
        <f t="shared" si="0"/>
        <v>5</v>
      </c>
      <c r="J61" s="27">
        <f t="shared" si="1"/>
        <v>4.75</v>
      </c>
      <c r="K61" s="27">
        <f t="shared" si="2"/>
        <v>5</v>
      </c>
      <c r="L61" s="27">
        <f t="shared" si="6"/>
        <v>4.75</v>
      </c>
      <c r="M61" s="32" t="str">
        <f>'Input Sheet'!E60</f>
        <v>C</v>
      </c>
      <c r="N61" s="32">
        <f t="shared" si="3"/>
        <v>4</v>
      </c>
      <c r="T61" s="32">
        <f t="shared" si="9"/>
        <v>0</v>
      </c>
      <c r="U61" s="32">
        <f t="shared" si="9"/>
        <v>0</v>
      </c>
      <c r="V61" s="32">
        <f t="shared" si="9"/>
        <v>0</v>
      </c>
      <c r="W61" s="32">
        <f t="shared" si="9"/>
        <v>5</v>
      </c>
      <c r="X61" s="32">
        <f t="shared" si="9"/>
        <v>0</v>
      </c>
    </row>
    <row r="62" spans="1:24" ht="16.5" customHeight="1" x14ac:dyDescent="0.25">
      <c r="A62" s="39" t="str">
        <f>'Long Sample Name'!A59</f>
        <v>Sample 1925m: 5% Siltstone, 95% very fine to fine, rare coarse Sandstone, 100% bright FLUOR in SST. TG 267U</v>
      </c>
      <c r="B62" s="25">
        <f>'Input Sheet'!L61</f>
        <v>45195</v>
      </c>
      <c r="C62" s="26">
        <f>'Input Sheet'!M61</f>
        <v>4.7222222222222221E-2</v>
      </c>
      <c r="D62" s="40">
        <f>'Input Sheet'!B61</f>
        <v>1925</v>
      </c>
      <c r="E62" s="37">
        <f>'Input Sheet'!I61</f>
        <v>267</v>
      </c>
      <c r="F62" s="29">
        <f>('Input Sheet'!C61)/100</f>
        <v>0.95</v>
      </c>
      <c r="G62" s="29">
        <f>('Input Sheet'!F61)/100</f>
        <v>1</v>
      </c>
      <c r="H62" s="27">
        <f t="shared" si="5"/>
        <v>5</v>
      </c>
      <c r="I62" s="27">
        <f t="shared" si="0"/>
        <v>5</v>
      </c>
      <c r="J62" s="27">
        <f t="shared" si="1"/>
        <v>4.75</v>
      </c>
      <c r="K62" s="27">
        <f t="shared" si="2"/>
        <v>5</v>
      </c>
      <c r="L62" s="27">
        <f t="shared" si="6"/>
        <v>4.75</v>
      </c>
      <c r="M62" s="32" t="str">
        <f>'Input Sheet'!E61</f>
        <v>C</v>
      </c>
      <c r="N62" s="32">
        <f t="shared" si="3"/>
        <v>4</v>
      </c>
      <c r="T62" s="32">
        <f t="shared" si="9"/>
        <v>0</v>
      </c>
      <c r="U62" s="32">
        <f t="shared" si="9"/>
        <v>0</v>
      </c>
      <c r="V62" s="32">
        <f t="shared" si="9"/>
        <v>0</v>
      </c>
      <c r="W62" s="32">
        <f t="shared" si="9"/>
        <v>5</v>
      </c>
      <c r="X62" s="32">
        <f t="shared" si="9"/>
        <v>0</v>
      </c>
    </row>
    <row r="63" spans="1:24" ht="16.5" customHeight="1" x14ac:dyDescent="0.25">
      <c r="A63" s="39" t="str">
        <f>'Long Sample Name'!A60</f>
        <v>Sample 1930m: 5% Siltstone, 95% very fine to fine, rare coarse Sandstone, 100% bright FLUOR in SST. TG 191U</v>
      </c>
      <c r="B63" s="25">
        <f>'Input Sheet'!L62</f>
        <v>45195</v>
      </c>
      <c r="C63" s="26">
        <f>'Input Sheet'!M62</f>
        <v>5.6944444444444443E-2</v>
      </c>
      <c r="D63" s="40">
        <f>'Input Sheet'!B62</f>
        <v>1930</v>
      </c>
      <c r="E63" s="37">
        <f>'Input Sheet'!I62</f>
        <v>191</v>
      </c>
      <c r="F63" s="29">
        <f>('Input Sheet'!C62)/100</f>
        <v>0.95</v>
      </c>
      <c r="G63" s="29">
        <f>('Input Sheet'!F62)/100</f>
        <v>1</v>
      </c>
      <c r="H63" s="27">
        <f t="shared" si="5"/>
        <v>5</v>
      </c>
      <c r="I63" s="27">
        <f t="shared" si="0"/>
        <v>5</v>
      </c>
      <c r="J63" s="27">
        <f t="shared" si="1"/>
        <v>4.75</v>
      </c>
      <c r="K63" s="27">
        <f t="shared" si="2"/>
        <v>5</v>
      </c>
      <c r="L63" s="27">
        <f t="shared" si="6"/>
        <v>4.75</v>
      </c>
      <c r="M63" s="32" t="str">
        <f>'Input Sheet'!E62</f>
        <v>C</v>
      </c>
      <c r="N63" s="32">
        <f t="shared" si="3"/>
        <v>4</v>
      </c>
      <c r="T63" s="32">
        <f t="shared" si="9"/>
        <v>0</v>
      </c>
      <c r="U63" s="32">
        <f t="shared" si="9"/>
        <v>0</v>
      </c>
      <c r="V63" s="32">
        <f t="shared" si="9"/>
        <v>0</v>
      </c>
      <c r="W63" s="32">
        <f t="shared" si="9"/>
        <v>5</v>
      </c>
      <c r="X63" s="32">
        <f t="shared" si="9"/>
        <v>0</v>
      </c>
    </row>
    <row r="64" spans="1:24" ht="16.5" customHeight="1" x14ac:dyDescent="0.25">
      <c r="A64" s="39" t="str">
        <f>'Long Sample Name'!A61</f>
        <v>Sample 1940m: 5% Siltstone, 95% very fine to medium, rare coarse Sandstone, 100% bright FLUOR in SST. TG 245U</v>
      </c>
      <c r="B64" s="25">
        <f>'Input Sheet'!L63</f>
        <v>45195</v>
      </c>
      <c r="C64" s="26">
        <f>'Input Sheet'!M63</f>
        <v>7.7083333333333337E-2</v>
      </c>
      <c r="D64" s="40">
        <f>'Input Sheet'!B63</f>
        <v>1940</v>
      </c>
      <c r="E64" s="37">
        <f>'Input Sheet'!I63</f>
        <v>245</v>
      </c>
      <c r="F64" s="29">
        <f>('Input Sheet'!C63)/100</f>
        <v>0.95</v>
      </c>
      <c r="G64" s="29">
        <f>('Input Sheet'!F63)/100</f>
        <v>1</v>
      </c>
      <c r="H64" s="27">
        <f t="shared" si="5"/>
        <v>10</v>
      </c>
      <c r="I64" s="27">
        <f t="shared" si="0"/>
        <v>10</v>
      </c>
      <c r="J64" s="27">
        <f t="shared" si="1"/>
        <v>9.5</v>
      </c>
      <c r="K64" s="27">
        <f t="shared" si="2"/>
        <v>10</v>
      </c>
      <c r="L64" s="27">
        <f t="shared" si="6"/>
        <v>9.5</v>
      </c>
      <c r="M64" s="32" t="str">
        <f>'Input Sheet'!E63</f>
        <v>C</v>
      </c>
      <c r="N64" s="32">
        <f t="shared" si="3"/>
        <v>4</v>
      </c>
      <c r="T64" s="32">
        <f t="shared" si="9"/>
        <v>0</v>
      </c>
      <c r="U64" s="32">
        <f t="shared" si="9"/>
        <v>0</v>
      </c>
      <c r="V64" s="32">
        <f t="shared" si="9"/>
        <v>0</v>
      </c>
      <c r="W64" s="32">
        <f t="shared" si="9"/>
        <v>10</v>
      </c>
      <c r="X64" s="32">
        <f t="shared" si="9"/>
        <v>0</v>
      </c>
    </row>
    <row r="65" spans="1:24" ht="16.5" customHeight="1" x14ac:dyDescent="0.25">
      <c r="A65" s="39" t="str">
        <f>'Long Sample Name'!A62</f>
        <v>Sample 1950m: 10% Siltstone, 90% very fine to fine Sandstone, 100% moderately bright to bright FLUOR in SST. TG 265U</v>
      </c>
      <c r="B65" s="25">
        <f>'Input Sheet'!L64</f>
        <v>45195</v>
      </c>
      <c r="C65" s="26">
        <f>'Input Sheet'!M64</f>
        <v>9.5138888888888884E-2</v>
      </c>
      <c r="D65" s="40">
        <f>'Input Sheet'!B64</f>
        <v>1950</v>
      </c>
      <c r="E65" s="37">
        <f>'Input Sheet'!I64</f>
        <v>265</v>
      </c>
      <c r="F65" s="29">
        <f>('Input Sheet'!C64)/100</f>
        <v>0.9</v>
      </c>
      <c r="G65" s="29">
        <f>('Input Sheet'!F64)/100</f>
        <v>1</v>
      </c>
      <c r="H65" s="27">
        <f t="shared" si="5"/>
        <v>10</v>
      </c>
      <c r="I65" s="27">
        <f t="shared" si="0"/>
        <v>10</v>
      </c>
      <c r="J65" s="27">
        <f t="shared" si="1"/>
        <v>9</v>
      </c>
      <c r="K65" s="27">
        <f t="shared" si="2"/>
        <v>10</v>
      </c>
      <c r="L65" s="27">
        <f t="shared" si="6"/>
        <v>9</v>
      </c>
      <c r="M65" s="32" t="str">
        <f>'Input Sheet'!E64</f>
        <v>F</v>
      </c>
      <c r="N65" s="32">
        <f t="shared" si="3"/>
        <v>2</v>
      </c>
      <c r="T65" s="32">
        <f t="shared" si="9"/>
        <v>0</v>
      </c>
      <c r="U65" s="32">
        <f t="shared" si="9"/>
        <v>10</v>
      </c>
      <c r="V65" s="32">
        <f t="shared" si="9"/>
        <v>0</v>
      </c>
      <c r="W65" s="32">
        <f t="shared" si="9"/>
        <v>0</v>
      </c>
      <c r="X65" s="32">
        <f t="shared" si="9"/>
        <v>0</v>
      </c>
    </row>
    <row r="66" spans="1:24" ht="16.5" customHeight="1" x14ac:dyDescent="0.25">
      <c r="A66" s="39" t="str">
        <f>'Long Sample Name'!A63</f>
        <v>Sample 1960m: common siderite in 40% Siltstone, 60% very fine to fine Sandstone, 100% moderately bright to bright FLUOR in SST. TG 160U</v>
      </c>
      <c r="B66" s="25">
        <f>'Input Sheet'!L65</f>
        <v>45195</v>
      </c>
      <c r="C66" s="26">
        <f>'Input Sheet'!M65</f>
        <v>0.11458333333333333</v>
      </c>
      <c r="D66" s="40">
        <f>'Input Sheet'!B65</f>
        <v>1960</v>
      </c>
      <c r="E66" s="37">
        <f>'Input Sheet'!I65</f>
        <v>160</v>
      </c>
      <c r="F66" s="29">
        <f>('Input Sheet'!C65)/100</f>
        <v>0.6</v>
      </c>
      <c r="G66" s="29">
        <f>('Input Sheet'!F65)/100</f>
        <v>1</v>
      </c>
      <c r="H66" s="27">
        <f t="shared" si="5"/>
        <v>10</v>
      </c>
      <c r="I66" s="27">
        <f t="shared" si="0"/>
        <v>10</v>
      </c>
      <c r="J66" s="27">
        <f t="shared" si="1"/>
        <v>6</v>
      </c>
      <c r="K66" s="27">
        <f t="shared" si="2"/>
        <v>10</v>
      </c>
      <c r="L66" s="27">
        <f t="shared" si="6"/>
        <v>6</v>
      </c>
      <c r="M66" s="32" t="str">
        <f>'Input Sheet'!E65</f>
        <v>F</v>
      </c>
      <c r="N66" s="32">
        <f t="shared" si="3"/>
        <v>2</v>
      </c>
      <c r="T66" s="32">
        <f t="shared" si="9"/>
        <v>0</v>
      </c>
      <c r="U66" s="32">
        <f t="shared" si="9"/>
        <v>10</v>
      </c>
      <c r="V66" s="32">
        <f t="shared" si="9"/>
        <v>0</v>
      </c>
      <c r="W66" s="32">
        <f t="shared" si="9"/>
        <v>0</v>
      </c>
      <c r="X66" s="32">
        <f t="shared" si="9"/>
        <v>0</v>
      </c>
    </row>
    <row r="67" spans="1:24" ht="16.5" customHeight="1" x14ac:dyDescent="0.25">
      <c r="A67" s="39" t="str">
        <f>'Long Sample Name'!A64</f>
        <v>Sample 1970m: common siderite in 70% Siltstone, 30% very fine to fine Sandstone, 50% moderately bright FLUOR in SST. TG 150U</v>
      </c>
      <c r="B67" s="25">
        <f>'Input Sheet'!L66</f>
        <v>45195</v>
      </c>
      <c r="C67" s="26">
        <f>'Input Sheet'!M66</f>
        <v>0.1361111111111111</v>
      </c>
      <c r="D67" s="40">
        <f>'Input Sheet'!B66</f>
        <v>1970</v>
      </c>
      <c r="E67" s="37">
        <f>'Input Sheet'!I66</f>
        <v>150</v>
      </c>
      <c r="F67" s="29">
        <f>('Input Sheet'!C66)/100</f>
        <v>0.3</v>
      </c>
      <c r="G67" s="29">
        <f>('Input Sheet'!F66)/100</f>
        <v>0.5</v>
      </c>
      <c r="H67" s="27">
        <f t="shared" si="5"/>
        <v>10</v>
      </c>
      <c r="I67" s="27">
        <f t="shared" si="0"/>
        <v>10</v>
      </c>
      <c r="J67" s="27">
        <f t="shared" si="1"/>
        <v>3</v>
      </c>
      <c r="K67" s="27">
        <f t="shared" si="2"/>
        <v>0</v>
      </c>
      <c r="L67" s="27">
        <f t="shared" si="6"/>
        <v>0</v>
      </c>
      <c r="M67" s="32" t="str">
        <f>'Input Sheet'!E66</f>
        <v>F</v>
      </c>
      <c r="N67" s="32">
        <f t="shared" si="3"/>
        <v>2</v>
      </c>
      <c r="T67" s="32">
        <f t="shared" si="9"/>
        <v>0</v>
      </c>
      <c r="U67" s="32">
        <f t="shared" si="9"/>
        <v>10</v>
      </c>
      <c r="V67" s="32">
        <f t="shared" si="9"/>
        <v>0</v>
      </c>
      <c r="W67" s="32">
        <f t="shared" si="9"/>
        <v>0</v>
      </c>
      <c r="X67" s="32">
        <f t="shared" si="9"/>
        <v>0</v>
      </c>
    </row>
    <row r="68" spans="1:24" ht="16.5" customHeight="1" x14ac:dyDescent="0.25">
      <c r="A68" s="39" t="str">
        <f>'Long Sample Name'!A65</f>
        <v>Sample 1980m: common siderite in 50% Siltstone, 50% very fine to fine Sandstone, 90% dull to moderately bright FLUOR in SST. TG 168U</v>
      </c>
      <c r="B68" s="25">
        <f>'Input Sheet'!L67</f>
        <v>45195</v>
      </c>
      <c r="C68" s="26">
        <f>'Input Sheet'!M67</f>
        <v>0.15416666666666667</v>
      </c>
      <c r="D68" s="40">
        <f>'Input Sheet'!B67</f>
        <v>1980</v>
      </c>
      <c r="E68" s="37">
        <f>'Input Sheet'!I67</f>
        <v>168</v>
      </c>
      <c r="F68" s="29">
        <f>('Input Sheet'!C67)/100</f>
        <v>0.5</v>
      </c>
      <c r="G68" s="29">
        <f>('Input Sheet'!F67)/100</f>
        <v>0.9</v>
      </c>
      <c r="H68" s="27">
        <f t="shared" si="5"/>
        <v>10</v>
      </c>
      <c r="I68" s="27">
        <f t="shared" si="0"/>
        <v>10</v>
      </c>
      <c r="J68" s="27">
        <f t="shared" si="1"/>
        <v>5</v>
      </c>
      <c r="K68" s="27">
        <f t="shared" si="2"/>
        <v>10</v>
      </c>
      <c r="L68" s="27">
        <f t="shared" si="6"/>
        <v>5</v>
      </c>
      <c r="M68" s="32" t="str">
        <f>'Input Sheet'!E67</f>
        <v>F</v>
      </c>
      <c r="N68" s="32">
        <f t="shared" si="3"/>
        <v>2</v>
      </c>
      <c r="T68" s="32">
        <f t="shared" si="9"/>
        <v>0</v>
      </c>
      <c r="U68" s="32">
        <f t="shared" si="9"/>
        <v>10</v>
      </c>
      <c r="V68" s="32">
        <f t="shared" si="9"/>
        <v>0</v>
      </c>
      <c r="W68" s="32">
        <f t="shared" si="9"/>
        <v>0</v>
      </c>
      <c r="X68" s="32">
        <f t="shared" si="9"/>
        <v>0</v>
      </c>
    </row>
    <row r="69" spans="1:24" ht="16.5" customHeight="1" x14ac:dyDescent="0.25">
      <c r="A69" s="39" t="str">
        <f>'Long Sample Name'!A66</f>
        <v>Sample 1990m: common siderite in 55% Siltstone, 45% very fine to fine Sandstone, 90% dull to moderately bright FLUOR in SST. TG 145U</v>
      </c>
      <c r="B69" s="25">
        <f>'Input Sheet'!L68</f>
        <v>45195</v>
      </c>
      <c r="C69" s="26">
        <f>'Input Sheet'!M68</f>
        <v>0.17500000000000002</v>
      </c>
      <c r="D69" s="40">
        <f>'Input Sheet'!B68</f>
        <v>1990</v>
      </c>
      <c r="E69" s="37">
        <f>'Input Sheet'!I68</f>
        <v>145</v>
      </c>
      <c r="F69" s="29">
        <f>('Input Sheet'!C68)/100</f>
        <v>0.45</v>
      </c>
      <c r="G69" s="29">
        <f>('Input Sheet'!F68)/100</f>
        <v>0.9</v>
      </c>
      <c r="H69" s="27">
        <f t="shared" si="5"/>
        <v>10</v>
      </c>
      <c r="I69" s="27">
        <f t="shared" ref="I69:I132" si="10">IF(AND(F69&gt;=$F$2,G69&gt;=$G$2),H69,0)</f>
        <v>10</v>
      </c>
      <c r="J69" s="27">
        <f t="shared" ref="J69:J132" si="11">IF(I69&gt;0,I69*F69,0)</f>
        <v>4.5</v>
      </c>
      <c r="K69" s="27">
        <f t="shared" ref="K69:K132" si="12">IF(AND(F69&gt;=$F$3,G69&gt;=$G$3),H69,0)</f>
        <v>0</v>
      </c>
      <c r="L69" s="27">
        <f t="shared" ref="L69:L132" si="13">IF(K69&gt;0,K69*F69,0)</f>
        <v>0</v>
      </c>
      <c r="M69" s="32" t="str">
        <f>'Input Sheet'!E68</f>
        <v>F</v>
      </c>
      <c r="N69" s="32">
        <f t="shared" ref="N69:N132" si="14">IF(M69="VF",1,IF(M69="F",2,IF(M69="M",3,IF(M69="C",4,IF(M69="VC",5,0)))))</f>
        <v>2</v>
      </c>
      <c r="T69" s="32">
        <f t="shared" ref="T69:X84" si="15">IF($M69=T$1,$H69,0)</f>
        <v>0</v>
      </c>
      <c r="U69" s="32">
        <f t="shared" si="15"/>
        <v>10</v>
      </c>
      <c r="V69" s="32">
        <f t="shared" si="15"/>
        <v>0</v>
      </c>
      <c r="W69" s="32">
        <f t="shared" si="15"/>
        <v>0</v>
      </c>
      <c r="X69" s="32">
        <f t="shared" si="15"/>
        <v>0</v>
      </c>
    </row>
    <row r="70" spans="1:24" ht="16.5" customHeight="1" x14ac:dyDescent="0.25">
      <c r="A70" s="39" t="str">
        <f>'Long Sample Name'!A67</f>
        <v>Sample 2000m: common siderite in 50% Siltstone, 50% very fine to fine Sandstone, 90% dull to moderately bright FLUOR in SST. TG 247U</v>
      </c>
      <c r="B70" s="25">
        <f>'Input Sheet'!L69</f>
        <v>45195</v>
      </c>
      <c r="C70" s="26">
        <f>'Input Sheet'!M69</f>
        <v>0.19375000000000001</v>
      </c>
      <c r="D70" s="40">
        <f>'Input Sheet'!B69</f>
        <v>2000</v>
      </c>
      <c r="E70" s="37">
        <f>'Input Sheet'!I69</f>
        <v>247</v>
      </c>
      <c r="F70" s="29">
        <f>('Input Sheet'!C69)/100</f>
        <v>0.5</v>
      </c>
      <c r="G70" s="29">
        <f>('Input Sheet'!F69)/100</f>
        <v>0.9</v>
      </c>
      <c r="H70" s="27">
        <f t="shared" ref="H70:H133" si="16">IF(D70&lt;&gt;"",D70-D69,"")</f>
        <v>10</v>
      </c>
      <c r="I70" s="27">
        <f t="shared" si="10"/>
        <v>10</v>
      </c>
      <c r="J70" s="27">
        <f t="shared" si="11"/>
        <v>5</v>
      </c>
      <c r="K70" s="27">
        <f t="shared" si="12"/>
        <v>10</v>
      </c>
      <c r="L70" s="27">
        <f t="shared" si="13"/>
        <v>5</v>
      </c>
      <c r="M70" s="32" t="str">
        <f>'Input Sheet'!E69</f>
        <v>F</v>
      </c>
      <c r="N70" s="32">
        <f t="shared" si="14"/>
        <v>2</v>
      </c>
      <c r="T70" s="32">
        <f t="shared" si="15"/>
        <v>0</v>
      </c>
      <c r="U70" s="32">
        <f t="shared" si="15"/>
        <v>10</v>
      </c>
      <c r="V70" s="32">
        <f t="shared" si="15"/>
        <v>0</v>
      </c>
      <c r="W70" s="32">
        <f t="shared" si="15"/>
        <v>0</v>
      </c>
      <c r="X70" s="32">
        <f t="shared" si="15"/>
        <v>0</v>
      </c>
    </row>
    <row r="71" spans="1:24" ht="16.5" customHeight="1" x14ac:dyDescent="0.25">
      <c r="A71" s="39" t="str">
        <f>'Long Sample Name'!A68</f>
        <v>Sample 2010m: trace siderite in 20% Siltstone, 80% very fine to fine, rare coarse Sandstone, 100% bright FLUOR in SST. TG 135U</v>
      </c>
      <c r="B71" s="25">
        <f>'Input Sheet'!L70</f>
        <v>45195</v>
      </c>
      <c r="C71" s="26">
        <f>'Input Sheet'!M70</f>
        <v>0.22222222222222221</v>
      </c>
      <c r="D71" s="40">
        <f>'Input Sheet'!B70</f>
        <v>2010</v>
      </c>
      <c r="E71" s="37">
        <f>'Input Sheet'!I70</f>
        <v>135</v>
      </c>
      <c r="F71" s="29">
        <f>('Input Sheet'!C70)/100</f>
        <v>0.8</v>
      </c>
      <c r="G71" s="29">
        <f>('Input Sheet'!F70)/100</f>
        <v>1</v>
      </c>
      <c r="H71" s="27">
        <f t="shared" si="16"/>
        <v>10</v>
      </c>
      <c r="I71" s="27">
        <f t="shared" si="10"/>
        <v>10</v>
      </c>
      <c r="J71" s="27">
        <f t="shared" si="11"/>
        <v>8</v>
      </c>
      <c r="K71" s="27">
        <f t="shared" si="12"/>
        <v>10</v>
      </c>
      <c r="L71" s="27">
        <f t="shared" si="13"/>
        <v>8</v>
      </c>
      <c r="M71" s="32" t="str">
        <f>'Input Sheet'!E70</f>
        <v>C</v>
      </c>
      <c r="N71" s="32">
        <f t="shared" si="14"/>
        <v>4</v>
      </c>
      <c r="T71" s="32">
        <f t="shared" si="15"/>
        <v>0</v>
      </c>
      <c r="U71" s="32">
        <f t="shared" si="15"/>
        <v>0</v>
      </c>
      <c r="V71" s="32">
        <f t="shared" si="15"/>
        <v>0</v>
      </c>
      <c r="W71" s="32">
        <f t="shared" si="15"/>
        <v>10</v>
      </c>
      <c r="X71" s="32">
        <f t="shared" si="15"/>
        <v>0</v>
      </c>
    </row>
    <row r="72" spans="1:24" ht="16.5" customHeight="1" x14ac:dyDescent="0.25">
      <c r="A72" s="39" t="str">
        <f>'Long Sample Name'!A69</f>
        <v>Sample 2020m: 10% Siltstone, 90% very fine to fine,trace medium,rare coarse Sandstone, 80% moderately bright to bright FLUOR in SST. TG 154U</v>
      </c>
      <c r="B72" s="25">
        <f>'Input Sheet'!L71</f>
        <v>45195</v>
      </c>
      <c r="C72" s="26">
        <f>'Input Sheet'!M71</f>
        <v>0.25347222222222221</v>
      </c>
      <c r="D72" s="40">
        <f>'Input Sheet'!B71</f>
        <v>2020</v>
      </c>
      <c r="E72" s="37">
        <f>'Input Sheet'!I71</f>
        <v>154</v>
      </c>
      <c r="F72" s="29">
        <f>('Input Sheet'!C71)/100</f>
        <v>0.9</v>
      </c>
      <c r="G72" s="29">
        <f>('Input Sheet'!F71)/100</f>
        <v>0.8</v>
      </c>
      <c r="H72" s="27">
        <f t="shared" si="16"/>
        <v>10</v>
      </c>
      <c r="I72" s="27">
        <f t="shared" si="10"/>
        <v>10</v>
      </c>
      <c r="J72" s="27">
        <f t="shared" si="11"/>
        <v>9</v>
      </c>
      <c r="K72" s="27">
        <f t="shared" si="12"/>
        <v>10</v>
      </c>
      <c r="L72" s="27">
        <f t="shared" si="13"/>
        <v>9</v>
      </c>
      <c r="M72" s="32" t="str">
        <f>'Input Sheet'!E71</f>
        <v>C</v>
      </c>
      <c r="N72" s="32">
        <f t="shared" si="14"/>
        <v>4</v>
      </c>
      <c r="T72" s="32">
        <f t="shared" si="15"/>
        <v>0</v>
      </c>
      <c r="U72" s="32">
        <f t="shared" si="15"/>
        <v>0</v>
      </c>
      <c r="V72" s="32">
        <f t="shared" si="15"/>
        <v>0</v>
      </c>
      <c r="W72" s="32">
        <f t="shared" si="15"/>
        <v>10</v>
      </c>
      <c r="X72" s="32">
        <f t="shared" si="15"/>
        <v>0</v>
      </c>
    </row>
    <row r="73" spans="1:24" ht="16.5" customHeight="1" x14ac:dyDescent="0.25">
      <c r="A73" s="39" t="str">
        <f>'Long Sample Name'!A70</f>
        <v>Sample 2030m: trace siderite in 30% Siltstone, 70% very fine to medium, rare coarse Sandstone, 50% moderately bright to bright FLUOR in SST. TG 165U</v>
      </c>
      <c r="B73" s="25">
        <f>'Input Sheet'!L72</f>
        <v>45195</v>
      </c>
      <c r="C73" s="26">
        <f>'Input Sheet'!M72</f>
        <v>0.27777777777777779</v>
      </c>
      <c r="D73" s="40">
        <f>'Input Sheet'!B72</f>
        <v>2030</v>
      </c>
      <c r="E73" s="37">
        <f>'Input Sheet'!I72</f>
        <v>165</v>
      </c>
      <c r="F73" s="29">
        <f>('Input Sheet'!C72)/100</f>
        <v>0.7</v>
      </c>
      <c r="G73" s="29">
        <f>('Input Sheet'!F72)/100</f>
        <v>0.5</v>
      </c>
      <c r="H73" s="27">
        <f t="shared" si="16"/>
        <v>10</v>
      </c>
      <c r="I73" s="27">
        <f t="shared" si="10"/>
        <v>10</v>
      </c>
      <c r="J73" s="27">
        <f t="shared" si="11"/>
        <v>7</v>
      </c>
      <c r="K73" s="27">
        <f t="shared" si="12"/>
        <v>0</v>
      </c>
      <c r="L73" s="27">
        <f t="shared" si="13"/>
        <v>0</v>
      </c>
      <c r="M73" s="32" t="str">
        <f>'Input Sheet'!E72</f>
        <v>C</v>
      </c>
      <c r="N73" s="32">
        <f t="shared" si="14"/>
        <v>4</v>
      </c>
      <c r="T73" s="32">
        <f t="shared" si="15"/>
        <v>0</v>
      </c>
      <c r="U73" s="32">
        <f t="shared" si="15"/>
        <v>0</v>
      </c>
      <c r="V73" s="32">
        <f t="shared" si="15"/>
        <v>0</v>
      </c>
      <c r="W73" s="32">
        <f t="shared" si="15"/>
        <v>10</v>
      </c>
      <c r="X73" s="32">
        <f t="shared" si="15"/>
        <v>0</v>
      </c>
    </row>
    <row r="74" spans="1:24" ht="16.5" customHeight="1" x14ac:dyDescent="0.25">
      <c r="A74" s="39" t="str">
        <f>'Long Sample Name'!A71</f>
        <v>Sample 2040m: trace siderite in 10% Siltstone, rare siderite in 90% very fine to medium, rare coarse Sandstone, 80% moderately bright to bright FLUOR in SST. TG 200U</v>
      </c>
      <c r="B74" s="25">
        <f>'Input Sheet'!L73</f>
        <v>45195</v>
      </c>
      <c r="C74" s="26">
        <f>'Input Sheet'!M73</f>
        <v>0.2986111111111111</v>
      </c>
      <c r="D74" s="40">
        <f>'Input Sheet'!B73</f>
        <v>2040</v>
      </c>
      <c r="E74" s="37">
        <f>'Input Sheet'!I73</f>
        <v>200</v>
      </c>
      <c r="F74" s="29">
        <f>('Input Sheet'!C73)/100</f>
        <v>0.9</v>
      </c>
      <c r="G74" s="29">
        <f>('Input Sheet'!F73)/100</f>
        <v>0.8</v>
      </c>
      <c r="H74" s="27">
        <f t="shared" si="16"/>
        <v>10</v>
      </c>
      <c r="I74" s="27">
        <f t="shared" si="10"/>
        <v>10</v>
      </c>
      <c r="J74" s="27">
        <f t="shared" si="11"/>
        <v>9</v>
      </c>
      <c r="K74" s="27">
        <f t="shared" si="12"/>
        <v>10</v>
      </c>
      <c r="L74" s="27">
        <f t="shared" si="13"/>
        <v>9</v>
      </c>
      <c r="M74" s="32" t="str">
        <f>'Input Sheet'!E73</f>
        <v>C</v>
      </c>
      <c r="N74" s="32">
        <f t="shared" si="14"/>
        <v>4</v>
      </c>
      <c r="T74" s="32">
        <f t="shared" si="15"/>
        <v>0</v>
      </c>
      <c r="U74" s="32">
        <f t="shared" si="15"/>
        <v>0</v>
      </c>
      <c r="V74" s="32">
        <f t="shared" si="15"/>
        <v>0</v>
      </c>
      <c r="W74" s="32">
        <f t="shared" si="15"/>
        <v>10</v>
      </c>
      <c r="X74" s="32">
        <f t="shared" si="15"/>
        <v>0</v>
      </c>
    </row>
    <row r="75" spans="1:24" ht="16.5" customHeight="1" x14ac:dyDescent="0.25">
      <c r="A75" s="39" t="str">
        <f>'Long Sample Name'!A72</f>
        <v>Sample 2050m: 10% Siltstone, rare siderite in 90% very fine to fine, minor medium Sandstone, 80% moderately bright to bright FLUOR in SST. TG 150U</v>
      </c>
      <c r="B75" s="25">
        <f>'Input Sheet'!L74</f>
        <v>45195</v>
      </c>
      <c r="C75" s="26">
        <f>'Input Sheet'!M74</f>
        <v>0.31944444444444448</v>
      </c>
      <c r="D75" s="40">
        <f>'Input Sheet'!B74</f>
        <v>2050</v>
      </c>
      <c r="E75" s="37">
        <f>'Input Sheet'!I74</f>
        <v>150</v>
      </c>
      <c r="F75" s="29">
        <f>('Input Sheet'!C74)/100</f>
        <v>0.9</v>
      </c>
      <c r="G75" s="29">
        <f>('Input Sheet'!F74)/100</f>
        <v>0.8</v>
      </c>
      <c r="H75" s="27">
        <f t="shared" si="16"/>
        <v>10</v>
      </c>
      <c r="I75" s="27">
        <f t="shared" si="10"/>
        <v>10</v>
      </c>
      <c r="J75" s="27">
        <f t="shared" si="11"/>
        <v>9</v>
      </c>
      <c r="K75" s="27">
        <f t="shared" si="12"/>
        <v>10</v>
      </c>
      <c r="L75" s="27">
        <f t="shared" si="13"/>
        <v>9</v>
      </c>
      <c r="M75" s="32" t="str">
        <f>'Input Sheet'!E74</f>
        <v>M</v>
      </c>
      <c r="N75" s="32">
        <f t="shared" si="14"/>
        <v>3</v>
      </c>
      <c r="T75" s="32">
        <f t="shared" si="15"/>
        <v>0</v>
      </c>
      <c r="U75" s="32">
        <f t="shared" si="15"/>
        <v>0</v>
      </c>
      <c r="V75" s="32">
        <f t="shared" si="15"/>
        <v>10</v>
      </c>
      <c r="W75" s="32">
        <f t="shared" si="15"/>
        <v>0</v>
      </c>
      <c r="X75" s="32">
        <f t="shared" si="15"/>
        <v>0</v>
      </c>
    </row>
    <row r="76" spans="1:24" ht="16.5" customHeight="1" x14ac:dyDescent="0.25">
      <c r="A76" s="39" t="str">
        <f>'Long Sample Name'!A73</f>
        <v>Sample 2060m: 5% Siltstone, 95% very fine to fine, minor medium Sandstone, 80% moderately bright to bright FLUOR in SST. TG 195U</v>
      </c>
      <c r="B76" s="25">
        <f>'Input Sheet'!L75</f>
        <v>45195</v>
      </c>
      <c r="C76" s="26">
        <f>'Input Sheet'!M75</f>
        <v>0.34027777777777773</v>
      </c>
      <c r="D76" s="40">
        <f>'Input Sheet'!B75</f>
        <v>2060</v>
      </c>
      <c r="E76" s="37">
        <f>'Input Sheet'!I75</f>
        <v>195</v>
      </c>
      <c r="F76" s="29">
        <f>('Input Sheet'!C75)/100</f>
        <v>0.95</v>
      </c>
      <c r="G76" s="29">
        <f>('Input Sheet'!F75)/100</f>
        <v>0.8</v>
      </c>
      <c r="H76" s="27">
        <f t="shared" si="16"/>
        <v>10</v>
      </c>
      <c r="I76" s="27">
        <f t="shared" si="10"/>
        <v>10</v>
      </c>
      <c r="J76" s="27">
        <f t="shared" si="11"/>
        <v>9.5</v>
      </c>
      <c r="K76" s="27">
        <f t="shared" si="12"/>
        <v>10</v>
      </c>
      <c r="L76" s="27">
        <f t="shared" si="13"/>
        <v>9.5</v>
      </c>
      <c r="M76" s="32" t="str">
        <f>'Input Sheet'!E75</f>
        <v xml:space="preserve">M </v>
      </c>
      <c r="N76" s="32">
        <f t="shared" si="14"/>
        <v>0</v>
      </c>
      <c r="T76" s="32">
        <f t="shared" si="15"/>
        <v>0</v>
      </c>
      <c r="U76" s="32">
        <f t="shared" si="15"/>
        <v>0</v>
      </c>
      <c r="V76" s="32">
        <f t="shared" si="15"/>
        <v>0</v>
      </c>
      <c r="W76" s="32">
        <f t="shared" si="15"/>
        <v>0</v>
      </c>
      <c r="X76" s="32">
        <f t="shared" si="15"/>
        <v>0</v>
      </c>
    </row>
    <row r="77" spans="1:24" ht="16.5" customHeight="1" x14ac:dyDescent="0.25">
      <c r="A77" s="39" t="str">
        <f>'Long Sample Name'!A74</f>
        <v>Sample 2070m: 10% Siltstone, rare siderite in 90% very fine to fine, fine to medium lse Sandstone, 60% moderately bright to bright FLUOR in SST. TG 156U</v>
      </c>
      <c r="B77" s="25">
        <f>'Input Sheet'!L76</f>
        <v>45195</v>
      </c>
      <c r="C77" s="26">
        <f>'Input Sheet'!M76</f>
        <v>0.35833333333333334</v>
      </c>
      <c r="D77" s="40">
        <f>'Input Sheet'!B76</f>
        <v>2070</v>
      </c>
      <c r="E77" s="37">
        <f>'Input Sheet'!I76</f>
        <v>156</v>
      </c>
      <c r="F77" s="29">
        <f>('Input Sheet'!C76)/100</f>
        <v>0.9</v>
      </c>
      <c r="G77" s="29">
        <f>('Input Sheet'!F76)/100</f>
        <v>0.6</v>
      </c>
      <c r="H77" s="27">
        <f t="shared" si="16"/>
        <v>10</v>
      </c>
      <c r="I77" s="27">
        <f t="shared" si="10"/>
        <v>10</v>
      </c>
      <c r="J77" s="27">
        <f t="shared" si="11"/>
        <v>9</v>
      </c>
      <c r="K77" s="27">
        <f t="shared" si="12"/>
        <v>0</v>
      </c>
      <c r="L77" s="27">
        <f t="shared" si="13"/>
        <v>0</v>
      </c>
      <c r="M77" s="32" t="str">
        <f>'Input Sheet'!E76</f>
        <v xml:space="preserve">M </v>
      </c>
      <c r="N77" s="32">
        <f t="shared" si="14"/>
        <v>0</v>
      </c>
      <c r="T77" s="32">
        <f t="shared" si="15"/>
        <v>0</v>
      </c>
      <c r="U77" s="32">
        <f t="shared" si="15"/>
        <v>0</v>
      </c>
      <c r="V77" s="32">
        <f t="shared" si="15"/>
        <v>0</v>
      </c>
      <c r="W77" s="32">
        <f t="shared" si="15"/>
        <v>0</v>
      </c>
      <c r="X77" s="32">
        <f t="shared" si="15"/>
        <v>0</v>
      </c>
    </row>
    <row r="78" spans="1:24" ht="16.5" customHeight="1" x14ac:dyDescent="0.25">
      <c r="A78" s="39" t="str">
        <f>'Long Sample Name'!A75</f>
        <v>Sample 2080m: 10% Siltstone, 90% dominantly fine Sandstone, 70% moderately bright to bright FLUOR in SST. TG 189U</v>
      </c>
      <c r="B78" s="25">
        <f>'Input Sheet'!L77</f>
        <v>45195</v>
      </c>
      <c r="C78" s="26">
        <f>'Input Sheet'!M77</f>
        <v>0.37777777777777777</v>
      </c>
      <c r="D78" s="40">
        <f>'Input Sheet'!B77</f>
        <v>2080</v>
      </c>
      <c r="E78" s="37">
        <f>'Input Sheet'!I77</f>
        <v>189</v>
      </c>
      <c r="F78" s="29">
        <f>('Input Sheet'!C77)/100</f>
        <v>0.9</v>
      </c>
      <c r="G78" s="29">
        <f>('Input Sheet'!F77)/100</f>
        <v>0.7</v>
      </c>
      <c r="H78" s="27">
        <f t="shared" si="16"/>
        <v>10</v>
      </c>
      <c r="I78" s="27">
        <f t="shared" si="10"/>
        <v>10</v>
      </c>
      <c r="J78" s="27">
        <f t="shared" si="11"/>
        <v>9</v>
      </c>
      <c r="K78" s="27">
        <f t="shared" si="12"/>
        <v>0</v>
      </c>
      <c r="L78" s="27">
        <f t="shared" si="13"/>
        <v>0</v>
      </c>
      <c r="M78" s="32" t="str">
        <f>'Input Sheet'!E77</f>
        <v>F</v>
      </c>
      <c r="N78" s="32">
        <f t="shared" si="14"/>
        <v>2</v>
      </c>
      <c r="T78" s="32">
        <f t="shared" si="15"/>
        <v>0</v>
      </c>
      <c r="U78" s="32">
        <f t="shared" si="15"/>
        <v>10</v>
      </c>
      <c r="V78" s="32">
        <f t="shared" si="15"/>
        <v>0</v>
      </c>
      <c r="W78" s="32">
        <f t="shared" si="15"/>
        <v>0</v>
      </c>
      <c r="X78" s="32">
        <f t="shared" si="15"/>
        <v>0</v>
      </c>
    </row>
    <row r="79" spans="1:24" ht="16.5" customHeight="1" x14ac:dyDescent="0.25">
      <c r="A79" s="39" t="str">
        <f>'Long Sample Name'!A76</f>
        <v>Sample 2090m: trace siderite in 10% Siltstone, trace siderite in 90% very fine to very coarse Sandstone, 100% bright  FLUOR in SST. TG 229U</v>
      </c>
      <c r="B79" s="25">
        <f>'Input Sheet'!L78</f>
        <v>45195</v>
      </c>
      <c r="C79" s="26">
        <f>'Input Sheet'!M78</f>
        <v>0.3972222222222222</v>
      </c>
      <c r="D79" s="40">
        <f>'Input Sheet'!B78</f>
        <v>2090</v>
      </c>
      <c r="E79" s="37">
        <f>'Input Sheet'!I78</f>
        <v>229</v>
      </c>
      <c r="F79" s="29">
        <f>('Input Sheet'!C78)/100</f>
        <v>0.9</v>
      </c>
      <c r="G79" s="29">
        <f>('Input Sheet'!F78)/100</f>
        <v>1</v>
      </c>
      <c r="H79" s="27">
        <f t="shared" si="16"/>
        <v>10</v>
      </c>
      <c r="I79" s="27">
        <f t="shared" si="10"/>
        <v>10</v>
      </c>
      <c r="J79" s="27">
        <f t="shared" si="11"/>
        <v>9</v>
      </c>
      <c r="K79" s="27">
        <f t="shared" si="12"/>
        <v>10</v>
      </c>
      <c r="L79" s="27">
        <f t="shared" si="13"/>
        <v>9</v>
      </c>
      <c r="M79" s="32" t="str">
        <f>'Input Sheet'!E78</f>
        <v>VC</v>
      </c>
      <c r="N79" s="32">
        <f t="shared" si="14"/>
        <v>5</v>
      </c>
      <c r="T79" s="32">
        <f t="shared" si="15"/>
        <v>0</v>
      </c>
      <c r="U79" s="32">
        <f t="shared" si="15"/>
        <v>0</v>
      </c>
      <c r="V79" s="32">
        <f t="shared" si="15"/>
        <v>0</v>
      </c>
      <c r="W79" s="32">
        <f t="shared" si="15"/>
        <v>0</v>
      </c>
      <c r="X79" s="32">
        <f t="shared" si="15"/>
        <v>10</v>
      </c>
    </row>
    <row r="80" spans="1:24" ht="16.5" customHeight="1" x14ac:dyDescent="0.25">
      <c r="A80" s="39" t="str">
        <f>'Long Sample Name'!A77</f>
        <v>Sample 2100m: 10% Siltstone, 90% medium to coarse Sandstone, 100% bright  FLUOR in SST. TG 167U</v>
      </c>
      <c r="B80" s="25">
        <f>'Input Sheet'!L79</f>
        <v>45195</v>
      </c>
      <c r="C80" s="26">
        <f>'Input Sheet'!M79</f>
        <v>0.41944444444444445</v>
      </c>
      <c r="D80" s="40">
        <f>'Input Sheet'!B79</f>
        <v>2100</v>
      </c>
      <c r="E80" s="37">
        <f>'Input Sheet'!I79</f>
        <v>167</v>
      </c>
      <c r="F80" s="29">
        <f>('Input Sheet'!C79)/100</f>
        <v>0.9</v>
      </c>
      <c r="G80" s="29">
        <f>('Input Sheet'!F79)/100</f>
        <v>1</v>
      </c>
      <c r="H80" s="27">
        <f t="shared" si="16"/>
        <v>10</v>
      </c>
      <c r="I80" s="27">
        <f t="shared" si="10"/>
        <v>10</v>
      </c>
      <c r="J80" s="27">
        <f t="shared" si="11"/>
        <v>9</v>
      </c>
      <c r="K80" s="27">
        <f t="shared" si="12"/>
        <v>10</v>
      </c>
      <c r="L80" s="27">
        <f t="shared" si="13"/>
        <v>9</v>
      </c>
      <c r="M80" s="32" t="str">
        <f>'Input Sheet'!E79</f>
        <v>C</v>
      </c>
      <c r="N80" s="32">
        <f t="shared" si="14"/>
        <v>4</v>
      </c>
      <c r="T80" s="32">
        <f t="shared" si="15"/>
        <v>0</v>
      </c>
      <c r="U80" s="32">
        <f t="shared" si="15"/>
        <v>0</v>
      </c>
      <c r="V80" s="32">
        <f t="shared" si="15"/>
        <v>0</v>
      </c>
      <c r="W80" s="32">
        <f t="shared" si="15"/>
        <v>10</v>
      </c>
      <c r="X80" s="32">
        <f t="shared" si="15"/>
        <v>0</v>
      </c>
    </row>
    <row r="81" spans="1:24" ht="16.5" customHeight="1" x14ac:dyDescent="0.25">
      <c r="A81" s="39" t="str">
        <f>'Long Sample Name'!A78</f>
        <v>Sample 2110m: 0% Siltstone, 100% medium to verycoarse Sandstone, 100% bright  FLUOR in SST. TG 155U</v>
      </c>
      <c r="B81" s="25">
        <f>'Input Sheet'!L80</f>
        <v>45195</v>
      </c>
      <c r="C81" s="26">
        <f>'Input Sheet'!M80</f>
        <v>0.44027777777777777</v>
      </c>
      <c r="D81" s="40">
        <f>'Input Sheet'!B80</f>
        <v>2110</v>
      </c>
      <c r="E81" s="37">
        <f>'Input Sheet'!I80</f>
        <v>155</v>
      </c>
      <c r="F81" s="29">
        <f>('Input Sheet'!C80)/100</f>
        <v>1</v>
      </c>
      <c r="G81" s="29">
        <f>('Input Sheet'!F80)/100</f>
        <v>1</v>
      </c>
      <c r="H81" s="27">
        <f t="shared" si="16"/>
        <v>10</v>
      </c>
      <c r="I81" s="27">
        <f t="shared" si="10"/>
        <v>10</v>
      </c>
      <c r="J81" s="27">
        <f t="shared" si="11"/>
        <v>10</v>
      </c>
      <c r="K81" s="27">
        <f t="shared" si="12"/>
        <v>10</v>
      </c>
      <c r="L81" s="27">
        <f t="shared" si="13"/>
        <v>10</v>
      </c>
      <c r="M81" s="32" t="str">
        <f>'Input Sheet'!E80</f>
        <v>VC</v>
      </c>
      <c r="N81" s="32">
        <f t="shared" si="14"/>
        <v>5</v>
      </c>
      <c r="T81" s="32">
        <f t="shared" si="15"/>
        <v>0</v>
      </c>
      <c r="U81" s="32">
        <f t="shared" si="15"/>
        <v>0</v>
      </c>
      <c r="V81" s="32">
        <f t="shared" si="15"/>
        <v>0</v>
      </c>
      <c r="W81" s="32">
        <f t="shared" si="15"/>
        <v>0</v>
      </c>
      <c r="X81" s="32">
        <f t="shared" si="15"/>
        <v>10</v>
      </c>
    </row>
    <row r="82" spans="1:24" ht="16.5" customHeight="1" x14ac:dyDescent="0.25">
      <c r="A82" s="39" t="str">
        <f>'Long Sample Name'!A79</f>
        <v>Sample 2120m: 0% Siltstone, 100% coarse to verycoarse Sandstone, 100% bright  FLUOR in SST. TG 144U</v>
      </c>
      <c r="B82" s="25">
        <f>'Input Sheet'!L81</f>
        <v>45195</v>
      </c>
      <c r="C82" s="26">
        <f>'Input Sheet'!M81</f>
        <v>0.4597222222222222</v>
      </c>
      <c r="D82" s="40">
        <f>'Input Sheet'!B81</f>
        <v>2120</v>
      </c>
      <c r="E82" s="37">
        <f>'Input Sheet'!I81</f>
        <v>144</v>
      </c>
      <c r="F82" s="29">
        <f>('Input Sheet'!C81)/100</f>
        <v>1</v>
      </c>
      <c r="G82" s="29">
        <f>('Input Sheet'!F81)/100</f>
        <v>1</v>
      </c>
      <c r="H82" s="27">
        <f t="shared" si="16"/>
        <v>10</v>
      </c>
      <c r="I82" s="27">
        <f t="shared" si="10"/>
        <v>10</v>
      </c>
      <c r="J82" s="27">
        <f t="shared" si="11"/>
        <v>10</v>
      </c>
      <c r="K82" s="27">
        <f t="shared" si="12"/>
        <v>10</v>
      </c>
      <c r="L82" s="27">
        <f t="shared" si="13"/>
        <v>10</v>
      </c>
      <c r="M82" s="32" t="str">
        <f>'Input Sheet'!E81</f>
        <v>VC</v>
      </c>
      <c r="N82" s="32">
        <f t="shared" si="14"/>
        <v>5</v>
      </c>
      <c r="T82" s="32">
        <f t="shared" si="15"/>
        <v>0</v>
      </c>
      <c r="U82" s="32">
        <f t="shared" si="15"/>
        <v>0</v>
      </c>
      <c r="V82" s="32">
        <f t="shared" si="15"/>
        <v>0</v>
      </c>
      <c r="W82" s="32">
        <f t="shared" si="15"/>
        <v>0</v>
      </c>
      <c r="X82" s="32">
        <f t="shared" si="15"/>
        <v>10</v>
      </c>
    </row>
    <row r="83" spans="1:24" ht="16.5" customHeight="1" x14ac:dyDescent="0.25">
      <c r="A83" s="39" t="str">
        <f>'Long Sample Name'!A80</f>
        <v>Sample 2130m: 0% Siltstone, 100% medium to very coarse Sandstone, 100% bright  FLUOR in SST. TG 162U</v>
      </c>
      <c r="B83" s="25">
        <f>'Input Sheet'!L82</f>
        <v>45195</v>
      </c>
      <c r="C83" s="26">
        <f>'Input Sheet'!M82</f>
        <v>0.4826388888888889</v>
      </c>
      <c r="D83" s="40">
        <f>'Input Sheet'!B82</f>
        <v>2130</v>
      </c>
      <c r="E83" s="37">
        <f>'Input Sheet'!I82</f>
        <v>162</v>
      </c>
      <c r="F83" s="29">
        <f>('Input Sheet'!C82)/100</f>
        <v>1</v>
      </c>
      <c r="G83" s="29">
        <f>('Input Sheet'!F82)/100</f>
        <v>1</v>
      </c>
      <c r="H83" s="27">
        <f t="shared" si="16"/>
        <v>10</v>
      </c>
      <c r="I83" s="27">
        <f t="shared" si="10"/>
        <v>10</v>
      </c>
      <c r="J83" s="27">
        <f t="shared" si="11"/>
        <v>10</v>
      </c>
      <c r="K83" s="27">
        <f t="shared" si="12"/>
        <v>10</v>
      </c>
      <c r="L83" s="27">
        <f t="shared" si="13"/>
        <v>10</v>
      </c>
      <c r="M83" s="32" t="str">
        <f>'Input Sheet'!E82</f>
        <v>VC</v>
      </c>
      <c r="N83" s="32">
        <f t="shared" si="14"/>
        <v>5</v>
      </c>
      <c r="T83" s="32">
        <f t="shared" si="15"/>
        <v>0</v>
      </c>
      <c r="U83" s="32">
        <f t="shared" si="15"/>
        <v>0</v>
      </c>
      <c r="V83" s="32">
        <f t="shared" si="15"/>
        <v>0</v>
      </c>
      <c r="W83" s="32">
        <f t="shared" si="15"/>
        <v>0</v>
      </c>
      <c r="X83" s="32">
        <f t="shared" si="15"/>
        <v>10</v>
      </c>
    </row>
    <row r="84" spans="1:24" ht="16.5" customHeight="1" x14ac:dyDescent="0.25">
      <c r="A84" s="39" t="str">
        <f>'Long Sample Name'!A81</f>
        <v>Sample 2140m: 0% Siltstone, 100% medium to very coarse Sandstone, 100% bright  FLUOR in SST. TG 142U</v>
      </c>
      <c r="B84" s="25">
        <f>'Input Sheet'!L83</f>
        <v>45195</v>
      </c>
      <c r="C84" s="26">
        <f>'Input Sheet'!M83</f>
        <v>0.50138888888888888</v>
      </c>
      <c r="D84" s="40">
        <f>'Input Sheet'!B83</f>
        <v>2140</v>
      </c>
      <c r="E84" s="37">
        <f>'Input Sheet'!I83</f>
        <v>142</v>
      </c>
      <c r="F84" s="29">
        <f>('Input Sheet'!C83)/100</f>
        <v>1</v>
      </c>
      <c r="G84" s="29">
        <f>('Input Sheet'!F83)/100</f>
        <v>1</v>
      </c>
      <c r="H84" s="27">
        <f t="shared" si="16"/>
        <v>10</v>
      </c>
      <c r="I84" s="27">
        <f t="shared" si="10"/>
        <v>10</v>
      </c>
      <c r="J84" s="27">
        <f t="shared" si="11"/>
        <v>10</v>
      </c>
      <c r="K84" s="27">
        <f t="shared" si="12"/>
        <v>10</v>
      </c>
      <c r="L84" s="27">
        <f t="shared" si="13"/>
        <v>10</v>
      </c>
      <c r="M84" s="32" t="str">
        <f>'Input Sheet'!E83</f>
        <v>VC</v>
      </c>
      <c r="N84" s="32">
        <f t="shared" si="14"/>
        <v>5</v>
      </c>
      <c r="T84" s="32">
        <f t="shared" si="15"/>
        <v>0</v>
      </c>
      <c r="U84" s="32">
        <f t="shared" si="15"/>
        <v>0</v>
      </c>
      <c r="V84" s="32">
        <f t="shared" si="15"/>
        <v>0</v>
      </c>
      <c r="W84" s="32">
        <f t="shared" si="15"/>
        <v>0</v>
      </c>
      <c r="X84" s="32">
        <f t="shared" si="15"/>
        <v>10</v>
      </c>
    </row>
    <row r="85" spans="1:24" ht="16.5" customHeight="1" x14ac:dyDescent="0.25">
      <c r="A85" s="39" t="str">
        <f>'Long Sample Name'!A82</f>
        <v>Sample 2150m: 0% Siltstone, 100% coarse to very coarse Sandstone, 100% bright  FLUOR in SST. TG 157U</v>
      </c>
      <c r="B85" s="25">
        <f>'Input Sheet'!L84</f>
        <v>45195</v>
      </c>
      <c r="C85" s="26">
        <f>'Input Sheet'!M84</f>
        <v>0.51736111111111105</v>
      </c>
      <c r="D85" s="40">
        <f>'Input Sheet'!B84</f>
        <v>2150</v>
      </c>
      <c r="E85" s="37">
        <f>'Input Sheet'!I84</f>
        <v>157</v>
      </c>
      <c r="F85" s="29">
        <f>('Input Sheet'!C84)/100</f>
        <v>1</v>
      </c>
      <c r="G85" s="29">
        <f>('Input Sheet'!F84)/100</f>
        <v>1</v>
      </c>
      <c r="H85" s="27">
        <f t="shared" si="16"/>
        <v>10</v>
      </c>
      <c r="I85" s="27">
        <f t="shared" si="10"/>
        <v>10</v>
      </c>
      <c r="J85" s="27">
        <f t="shared" si="11"/>
        <v>10</v>
      </c>
      <c r="K85" s="27">
        <f t="shared" si="12"/>
        <v>10</v>
      </c>
      <c r="L85" s="27">
        <f t="shared" si="13"/>
        <v>10</v>
      </c>
      <c r="M85" s="32" t="str">
        <f>'Input Sheet'!E84</f>
        <v>VC</v>
      </c>
      <c r="N85" s="32">
        <f t="shared" si="14"/>
        <v>5</v>
      </c>
      <c r="T85" s="32">
        <f t="shared" ref="T85:X100" si="17">IF($M85=T$1,$H85,0)</f>
        <v>0</v>
      </c>
      <c r="U85" s="32">
        <f t="shared" si="17"/>
        <v>0</v>
      </c>
      <c r="V85" s="32">
        <f t="shared" si="17"/>
        <v>0</v>
      </c>
      <c r="W85" s="32">
        <f t="shared" si="17"/>
        <v>0</v>
      </c>
      <c r="X85" s="32">
        <f t="shared" si="17"/>
        <v>10</v>
      </c>
    </row>
    <row r="86" spans="1:24" ht="16.5" customHeight="1" x14ac:dyDescent="0.25">
      <c r="A86" s="39" t="str">
        <f>'Long Sample Name'!A83</f>
        <v>Sample 2160m: 0% Siltstone, 100% coarse to very coarse Sandstone, 100% bright  FLUOR in SST. TG 234U</v>
      </c>
      <c r="B86" s="25">
        <f>'Input Sheet'!L85</f>
        <v>45195</v>
      </c>
      <c r="C86" s="26">
        <f>'Input Sheet'!M85</f>
        <v>0.54166666666666663</v>
      </c>
      <c r="D86" s="40">
        <f>'Input Sheet'!B85</f>
        <v>2160</v>
      </c>
      <c r="E86" s="37">
        <f>'Input Sheet'!I85</f>
        <v>234</v>
      </c>
      <c r="F86" s="29">
        <f>('Input Sheet'!C85)/100</f>
        <v>1</v>
      </c>
      <c r="G86" s="29">
        <f>('Input Sheet'!F85)/100</f>
        <v>1</v>
      </c>
      <c r="H86" s="27">
        <f t="shared" si="16"/>
        <v>10</v>
      </c>
      <c r="I86" s="27">
        <f t="shared" si="10"/>
        <v>10</v>
      </c>
      <c r="J86" s="27">
        <f t="shared" si="11"/>
        <v>10</v>
      </c>
      <c r="K86" s="27">
        <f t="shared" si="12"/>
        <v>10</v>
      </c>
      <c r="L86" s="27">
        <f t="shared" si="13"/>
        <v>10</v>
      </c>
      <c r="M86" s="32" t="str">
        <f>'Input Sheet'!E85</f>
        <v>VC</v>
      </c>
      <c r="N86" s="32">
        <f t="shared" si="14"/>
        <v>5</v>
      </c>
      <c r="T86" s="32">
        <f t="shared" si="17"/>
        <v>0</v>
      </c>
      <c r="U86" s="32">
        <f t="shared" si="17"/>
        <v>0</v>
      </c>
      <c r="V86" s="32">
        <f t="shared" si="17"/>
        <v>0</v>
      </c>
      <c r="W86" s="32">
        <f t="shared" si="17"/>
        <v>0</v>
      </c>
      <c r="X86" s="32">
        <f t="shared" si="17"/>
        <v>10</v>
      </c>
    </row>
    <row r="87" spans="1:24" ht="16.5" customHeight="1" x14ac:dyDescent="0.25">
      <c r="A87" s="39" t="str">
        <f>'Long Sample Name'!A84</f>
        <v>Sample 2170m: 0% Siltstone, rare siderite in 100% fine to very coarse Sandstone, 100% bright  FLUOR in SST. TG 147U</v>
      </c>
      <c r="B87" s="25">
        <f>'Input Sheet'!L86</f>
        <v>45195</v>
      </c>
      <c r="C87" s="26">
        <f>'Input Sheet'!M86</f>
        <v>0.5625</v>
      </c>
      <c r="D87" s="40">
        <f>'Input Sheet'!B86</f>
        <v>2170</v>
      </c>
      <c r="E87" s="37">
        <f>'Input Sheet'!I86</f>
        <v>147</v>
      </c>
      <c r="F87" s="29">
        <f>('Input Sheet'!C86)/100</f>
        <v>1</v>
      </c>
      <c r="G87" s="29">
        <f>('Input Sheet'!F86)/100</f>
        <v>1</v>
      </c>
      <c r="H87" s="27">
        <f t="shared" si="16"/>
        <v>10</v>
      </c>
      <c r="I87" s="27">
        <f t="shared" si="10"/>
        <v>10</v>
      </c>
      <c r="J87" s="27">
        <f t="shared" si="11"/>
        <v>10</v>
      </c>
      <c r="K87" s="27">
        <f t="shared" si="12"/>
        <v>10</v>
      </c>
      <c r="L87" s="27">
        <f t="shared" si="13"/>
        <v>10</v>
      </c>
      <c r="M87" s="32" t="str">
        <f>'Input Sheet'!E86</f>
        <v>VC</v>
      </c>
      <c r="N87" s="32">
        <f t="shared" si="14"/>
        <v>5</v>
      </c>
      <c r="T87" s="32">
        <f t="shared" si="17"/>
        <v>0</v>
      </c>
      <c r="U87" s="32">
        <f t="shared" si="17"/>
        <v>0</v>
      </c>
      <c r="V87" s="32">
        <f t="shared" si="17"/>
        <v>0</v>
      </c>
      <c r="W87" s="32">
        <f t="shared" si="17"/>
        <v>0</v>
      </c>
      <c r="X87" s="32">
        <f t="shared" si="17"/>
        <v>10</v>
      </c>
    </row>
    <row r="88" spans="1:24" ht="16.5" customHeight="1" x14ac:dyDescent="0.25">
      <c r="A88" s="39" t="str">
        <f>'Long Sample Name'!A85</f>
        <v>Sample 2180m: 0% Siltstone, 100% fine to very coarse Sandstone, 100% moderately bright to bright FLUOR in SST. TG 156U</v>
      </c>
      <c r="B88" s="25">
        <f>'Input Sheet'!L87</f>
        <v>45195</v>
      </c>
      <c r="C88" s="26">
        <f>'Input Sheet'!M87</f>
        <v>0.58333333333333337</v>
      </c>
      <c r="D88" s="40">
        <f>'Input Sheet'!B87</f>
        <v>2180</v>
      </c>
      <c r="E88" s="37">
        <f>'Input Sheet'!I87</f>
        <v>156</v>
      </c>
      <c r="F88" s="29">
        <f>('Input Sheet'!C87)/100</f>
        <v>1</v>
      </c>
      <c r="G88" s="29">
        <f>('Input Sheet'!F87)/100</f>
        <v>1</v>
      </c>
      <c r="H88" s="27">
        <f t="shared" si="16"/>
        <v>10</v>
      </c>
      <c r="I88" s="27">
        <f t="shared" si="10"/>
        <v>10</v>
      </c>
      <c r="J88" s="27">
        <f t="shared" si="11"/>
        <v>10</v>
      </c>
      <c r="K88" s="27">
        <f t="shared" si="12"/>
        <v>10</v>
      </c>
      <c r="L88" s="27">
        <f t="shared" si="13"/>
        <v>10</v>
      </c>
      <c r="M88" s="32" t="str">
        <f>'Input Sheet'!E87</f>
        <v>VC</v>
      </c>
      <c r="N88" s="32">
        <f t="shared" si="14"/>
        <v>5</v>
      </c>
      <c r="T88" s="32">
        <f t="shared" si="17"/>
        <v>0</v>
      </c>
      <c r="U88" s="32">
        <f t="shared" si="17"/>
        <v>0</v>
      </c>
      <c r="V88" s="32">
        <f t="shared" si="17"/>
        <v>0</v>
      </c>
      <c r="W88" s="32">
        <f t="shared" si="17"/>
        <v>0</v>
      </c>
      <c r="X88" s="32">
        <f t="shared" si="17"/>
        <v>10</v>
      </c>
    </row>
    <row r="89" spans="1:24" ht="16.5" customHeight="1" x14ac:dyDescent="0.25">
      <c r="A89" s="39" t="str">
        <f>'Long Sample Name'!A86</f>
        <v>Sample 2190m: 0% Siltstone, 100% very fine to fine agg, fine to verycoarse lse Sandstone, 100% bright  FLUOR in SST. TG 248U</v>
      </c>
      <c r="B89" s="25">
        <f>'Input Sheet'!L88</f>
        <v>45195</v>
      </c>
      <c r="C89" s="26">
        <f>'Input Sheet'!M88</f>
        <v>0.59861111111111109</v>
      </c>
      <c r="D89" s="40">
        <f>'Input Sheet'!B88</f>
        <v>2190</v>
      </c>
      <c r="E89" s="37">
        <f>'Input Sheet'!I88</f>
        <v>248</v>
      </c>
      <c r="F89" s="29">
        <f>('Input Sheet'!C88)/100</f>
        <v>1</v>
      </c>
      <c r="G89" s="29">
        <f>('Input Sheet'!F88)/100</f>
        <v>1</v>
      </c>
      <c r="H89" s="27">
        <f t="shared" si="16"/>
        <v>10</v>
      </c>
      <c r="I89" s="27">
        <f t="shared" si="10"/>
        <v>10</v>
      </c>
      <c r="J89" s="27">
        <f t="shared" si="11"/>
        <v>10</v>
      </c>
      <c r="K89" s="27">
        <f t="shared" si="12"/>
        <v>10</v>
      </c>
      <c r="L89" s="27">
        <f t="shared" si="13"/>
        <v>10</v>
      </c>
      <c r="M89" s="32" t="str">
        <f>'Input Sheet'!E88</f>
        <v>VC</v>
      </c>
      <c r="N89" s="32">
        <f t="shared" si="14"/>
        <v>5</v>
      </c>
      <c r="T89" s="32">
        <f t="shared" si="17"/>
        <v>0</v>
      </c>
      <c r="U89" s="32">
        <f t="shared" si="17"/>
        <v>0</v>
      </c>
      <c r="V89" s="32">
        <f t="shared" si="17"/>
        <v>0</v>
      </c>
      <c r="W89" s="32">
        <f t="shared" si="17"/>
        <v>0</v>
      </c>
      <c r="X89" s="32">
        <f t="shared" si="17"/>
        <v>10</v>
      </c>
    </row>
    <row r="90" spans="1:24" ht="16.5" customHeight="1" x14ac:dyDescent="0.25">
      <c r="A90" s="39" t="str">
        <f>'Long Sample Name'!A87</f>
        <v>Sample 2200m: 0% Siltstone, 100% very fine to fine agg, fine to verycoarse lse Sandstone, 100% bright  FLUOR in SST. TG 198U</v>
      </c>
      <c r="B90" s="25">
        <f>'Input Sheet'!L89</f>
        <v>45195</v>
      </c>
      <c r="C90" s="26">
        <f>'Input Sheet'!M89</f>
        <v>0.6166666666666667</v>
      </c>
      <c r="D90" s="40">
        <f>'Input Sheet'!B89</f>
        <v>2200</v>
      </c>
      <c r="E90" s="37">
        <f>'Input Sheet'!I89</f>
        <v>198</v>
      </c>
      <c r="F90" s="29">
        <f>('Input Sheet'!C89)/100</f>
        <v>1</v>
      </c>
      <c r="G90" s="29">
        <f>('Input Sheet'!F89)/100</f>
        <v>1</v>
      </c>
      <c r="H90" s="27">
        <f t="shared" si="16"/>
        <v>10</v>
      </c>
      <c r="I90" s="27">
        <f t="shared" si="10"/>
        <v>10</v>
      </c>
      <c r="J90" s="27">
        <f t="shared" si="11"/>
        <v>10</v>
      </c>
      <c r="K90" s="27">
        <f t="shared" si="12"/>
        <v>10</v>
      </c>
      <c r="L90" s="27">
        <f t="shared" si="13"/>
        <v>10</v>
      </c>
      <c r="M90" s="32" t="str">
        <f>'Input Sheet'!E89</f>
        <v>C</v>
      </c>
      <c r="N90" s="32">
        <f t="shared" si="14"/>
        <v>4</v>
      </c>
      <c r="T90" s="32">
        <f t="shared" si="17"/>
        <v>0</v>
      </c>
      <c r="U90" s="32">
        <f t="shared" si="17"/>
        <v>0</v>
      </c>
      <c r="V90" s="32">
        <f t="shared" si="17"/>
        <v>0</v>
      </c>
      <c r="W90" s="32">
        <f t="shared" si="17"/>
        <v>10</v>
      </c>
      <c r="X90" s="32">
        <f t="shared" si="17"/>
        <v>0</v>
      </c>
    </row>
    <row r="91" spans="1:24" ht="16.5" customHeight="1" x14ac:dyDescent="0.25">
      <c r="A91" s="39" t="str">
        <f>'Long Sample Name'!A88</f>
        <v>Sample 2210m: 0% Siltstone, 100% very fine to fine agg, fine to verycoarse lse Sandstone, 100% bright  FLUOR in SST. TG 224U</v>
      </c>
      <c r="B91" s="25">
        <f>'Input Sheet'!L90</f>
        <v>45195</v>
      </c>
      <c r="C91" s="26">
        <f>'Input Sheet'!M90</f>
        <v>0.6333333333333333</v>
      </c>
      <c r="D91" s="40">
        <f>'Input Sheet'!B90</f>
        <v>2210</v>
      </c>
      <c r="E91" s="37">
        <f>'Input Sheet'!I90</f>
        <v>224</v>
      </c>
      <c r="F91" s="29">
        <f>('Input Sheet'!C90)/100</f>
        <v>1</v>
      </c>
      <c r="G91" s="29">
        <f>('Input Sheet'!F90)/100</f>
        <v>1</v>
      </c>
      <c r="H91" s="27">
        <f t="shared" si="16"/>
        <v>10</v>
      </c>
      <c r="I91" s="27">
        <f t="shared" si="10"/>
        <v>10</v>
      </c>
      <c r="J91" s="27">
        <f t="shared" si="11"/>
        <v>10</v>
      </c>
      <c r="K91" s="27">
        <f t="shared" si="12"/>
        <v>10</v>
      </c>
      <c r="L91" s="27">
        <f t="shared" si="13"/>
        <v>10</v>
      </c>
      <c r="M91" s="32" t="str">
        <f>'Input Sheet'!E90</f>
        <v>C</v>
      </c>
      <c r="N91" s="32">
        <f t="shared" si="14"/>
        <v>4</v>
      </c>
      <c r="T91" s="32">
        <f t="shared" si="17"/>
        <v>0</v>
      </c>
      <c r="U91" s="32">
        <f t="shared" si="17"/>
        <v>0</v>
      </c>
      <c r="V91" s="32">
        <f t="shared" si="17"/>
        <v>0</v>
      </c>
      <c r="W91" s="32">
        <f t="shared" si="17"/>
        <v>10</v>
      </c>
      <c r="X91" s="32">
        <f t="shared" si="17"/>
        <v>0</v>
      </c>
    </row>
    <row r="92" spans="1:24" ht="16.5" customHeight="1" x14ac:dyDescent="0.25">
      <c r="A92" s="39" t="str">
        <f>'Long Sample Name'!A89</f>
        <v>Sample 2220m: 0% Siltstone, rare siderite in 100% very fine to dominantly fine agg, fine to coarse lse Sandstone, 100% bright  FLUOR in SST. TG 186U</v>
      </c>
      <c r="B92" s="25">
        <f>'Input Sheet'!L91</f>
        <v>45195</v>
      </c>
      <c r="C92" s="26">
        <f>'Input Sheet'!M91</f>
        <v>0.65555555555555556</v>
      </c>
      <c r="D92" s="40">
        <f>'Input Sheet'!B91</f>
        <v>2220</v>
      </c>
      <c r="E92" s="37">
        <f>'Input Sheet'!I91</f>
        <v>186</v>
      </c>
      <c r="F92" s="29">
        <f>('Input Sheet'!C91)/100</f>
        <v>1</v>
      </c>
      <c r="G92" s="29">
        <f>('Input Sheet'!F91)/100</f>
        <v>1</v>
      </c>
      <c r="H92" s="27">
        <f t="shared" si="16"/>
        <v>10</v>
      </c>
      <c r="I92" s="27">
        <f t="shared" si="10"/>
        <v>10</v>
      </c>
      <c r="J92" s="27">
        <f t="shared" si="11"/>
        <v>10</v>
      </c>
      <c r="K92" s="27">
        <f t="shared" si="12"/>
        <v>10</v>
      </c>
      <c r="L92" s="27">
        <f t="shared" si="13"/>
        <v>10</v>
      </c>
      <c r="M92" s="32" t="str">
        <f>'Input Sheet'!E91</f>
        <v>C</v>
      </c>
      <c r="N92" s="32">
        <f t="shared" si="14"/>
        <v>4</v>
      </c>
      <c r="T92" s="32">
        <f t="shared" si="17"/>
        <v>0</v>
      </c>
      <c r="U92" s="32">
        <f t="shared" si="17"/>
        <v>0</v>
      </c>
      <c r="V92" s="32">
        <f t="shared" si="17"/>
        <v>0</v>
      </c>
      <c r="W92" s="32">
        <f t="shared" si="17"/>
        <v>10</v>
      </c>
      <c r="X92" s="32">
        <f t="shared" si="17"/>
        <v>0</v>
      </c>
    </row>
    <row r="93" spans="1:24" ht="16.5" customHeight="1" x14ac:dyDescent="0.25">
      <c r="A93" s="39" t="str">
        <f>'Long Sample Name'!A90</f>
        <v>Sample 2230m: 0% Siltstone, 100% very fine to fine,fine to verycoarse lse Sandstone, 100% bright  FLUOR in SST. TG 155U</v>
      </c>
      <c r="B93" s="25">
        <f>'Input Sheet'!L92</f>
        <v>45195</v>
      </c>
      <c r="C93" s="26">
        <f>'Input Sheet'!M92</f>
        <v>0.67361111111111116</v>
      </c>
      <c r="D93" s="40">
        <f>'Input Sheet'!B92</f>
        <v>2230</v>
      </c>
      <c r="E93" s="37">
        <f>'Input Sheet'!I92</f>
        <v>155</v>
      </c>
      <c r="F93" s="29">
        <f>('Input Sheet'!C92)/100</f>
        <v>1</v>
      </c>
      <c r="G93" s="29">
        <f>('Input Sheet'!F92)/100</f>
        <v>1</v>
      </c>
      <c r="H93" s="27">
        <f t="shared" si="16"/>
        <v>10</v>
      </c>
      <c r="I93" s="27">
        <f t="shared" si="10"/>
        <v>10</v>
      </c>
      <c r="J93" s="27">
        <f t="shared" si="11"/>
        <v>10</v>
      </c>
      <c r="K93" s="27">
        <f t="shared" si="12"/>
        <v>10</v>
      </c>
      <c r="L93" s="27">
        <f t="shared" si="13"/>
        <v>10</v>
      </c>
      <c r="M93" s="32" t="str">
        <f>'Input Sheet'!E92</f>
        <v>VC</v>
      </c>
      <c r="N93" s="32">
        <f t="shared" si="14"/>
        <v>5</v>
      </c>
      <c r="T93" s="32">
        <f t="shared" si="17"/>
        <v>0</v>
      </c>
      <c r="U93" s="32">
        <f t="shared" si="17"/>
        <v>0</v>
      </c>
      <c r="V93" s="32">
        <f t="shared" si="17"/>
        <v>0</v>
      </c>
      <c r="W93" s="32">
        <f t="shared" si="17"/>
        <v>0</v>
      </c>
      <c r="X93" s="32">
        <f t="shared" si="17"/>
        <v>10</v>
      </c>
    </row>
    <row r="94" spans="1:24" ht="16.5" customHeight="1" x14ac:dyDescent="0.25">
      <c r="A94" s="39" t="str">
        <f>'Long Sample Name'!A91</f>
        <v>Sample 2240m: 0% Siltstone, 100% very fine to verycoarse Sandstone, 100% bright  FLUOR in SST. TG 272U</v>
      </c>
      <c r="B94" s="25">
        <f>'Input Sheet'!L93</f>
        <v>45195</v>
      </c>
      <c r="C94" s="26">
        <f>'Input Sheet'!M93</f>
        <v>0.69305555555555554</v>
      </c>
      <c r="D94" s="40">
        <f>'Input Sheet'!B93</f>
        <v>2240</v>
      </c>
      <c r="E94" s="37">
        <f>'Input Sheet'!I93</f>
        <v>272</v>
      </c>
      <c r="F94" s="29">
        <f>('Input Sheet'!C93)/100</f>
        <v>1</v>
      </c>
      <c r="G94" s="29">
        <f>('Input Sheet'!F93)/100</f>
        <v>1</v>
      </c>
      <c r="H94" s="27">
        <f t="shared" si="16"/>
        <v>10</v>
      </c>
      <c r="I94" s="27">
        <f t="shared" si="10"/>
        <v>10</v>
      </c>
      <c r="J94" s="27">
        <f t="shared" si="11"/>
        <v>10</v>
      </c>
      <c r="K94" s="27">
        <f t="shared" si="12"/>
        <v>10</v>
      </c>
      <c r="L94" s="27">
        <f t="shared" si="13"/>
        <v>10</v>
      </c>
      <c r="M94" s="32" t="str">
        <f>'Input Sheet'!E93</f>
        <v>VC</v>
      </c>
      <c r="N94" s="32">
        <f t="shared" si="14"/>
        <v>5</v>
      </c>
      <c r="T94" s="32">
        <f t="shared" si="17"/>
        <v>0</v>
      </c>
      <c r="U94" s="32">
        <f t="shared" si="17"/>
        <v>0</v>
      </c>
      <c r="V94" s="32">
        <f t="shared" si="17"/>
        <v>0</v>
      </c>
      <c r="W94" s="32">
        <f t="shared" si="17"/>
        <v>0</v>
      </c>
      <c r="X94" s="32">
        <f t="shared" si="17"/>
        <v>10</v>
      </c>
    </row>
    <row r="95" spans="1:24" ht="16.5" customHeight="1" x14ac:dyDescent="0.25">
      <c r="A95" s="39" t="str">
        <f>'Long Sample Name'!A92</f>
        <v>Sample 2250m: 0% Siltstone, 100% very fine to verycoarse Sandstone, 100% bright  FLUOR in SST. TG 249U</v>
      </c>
      <c r="B95" s="25">
        <f>'Input Sheet'!L94</f>
        <v>45195</v>
      </c>
      <c r="C95" s="26">
        <f>'Input Sheet'!M94</f>
        <v>0.71250000000000002</v>
      </c>
      <c r="D95" s="40">
        <f>'Input Sheet'!B94</f>
        <v>2250</v>
      </c>
      <c r="E95" s="37">
        <f>'Input Sheet'!I94</f>
        <v>249</v>
      </c>
      <c r="F95" s="29">
        <f>('Input Sheet'!C94)/100</f>
        <v>1</v>
      </c>
      <c r="G95" s="29">
        <f>('Input Sheet'!F94)/100</f>
        <v>1</v>
      </c>
      <c r="H95" s="27">
        <f t="shared" si="16"/>
        <v>10</v>
      </c>
      <c r="I95" s="27">
        <f t="shared" si="10"/>
        <v>10</v>
      </c>
      <c r="J95" s="27">
        <f t="shared" si="11"/>
        <v>10</v>
      </c>
      <c r="K95" s="27">
        <f t="shared" si="12"/>
        <v>10</v>
      </c>
      <c r="L95" s="27">
        <f t="shared" si="13"/>
        <v>10</v>
      </c>
      <c r="M95" s="32" t="str">
        <f>'Input Sheet'!E94</f>
        <v>VC</v>
      </c>
      <c r="N95" s="32">
        <f t="shared" si="14"/>
        <v>5</v>
      </c>
      <c r="T95" s="32">
        <f t="shared" si="17"/>
        <v>0</v>
      </c>
      <c r="U95" s="32">
        <f t="shared" si="17"/>
        <v>0</v>
      </c>
      <c r="V95" s="32">
        <f t="shared" si="17"/>
        <v>0</v>
      </c>
      <c r="W95" s="32">
        <f t="shared" si="17"/>
        <v>0</v>
      </c>
      <c r="X95" s="32">
        <f t="shared" si="17"/>
        <v>10</v>
      </c>
    </row>
    <row r="96" spans="1:24" ht="16.5" customHeight="1" x14ac:dyDescent="0.25">
      <c r="A96" s="39" t="str">
        <f>'Long Sample Name'!A93</f>
        <v>Sample 2260m: 0% Siltstone, 100% very fine to coarse Sandstone, 100% bright  FLUOR in SST. TG 246U</v>
      </c>
      <c r="B96" s="25">
        <f>'Input Sheet'!L95</f>
        <v>45195</v>
      </c>
      <c r="C96" s="26">
        <f>'Input Sheet'!M95</f>
        <v>0.72916666666666663</v>
      </c>
      <c r="D96" s="40">
        <f>'Input Sheet'!B95</f>
        <v>2260</v>
      </c>
      <c r="E96" s="37">
        <f>'Input Sheet'!I95</f>
        <v>246</v>
      </c>
      <c r="F96" s="29">
        <f>('Input Sheet'!C95)/100</f>
        <v>1</v>
      </c>
      <c r="G96" s="29">
        <f>('Input Sheet'!F95)/100</f>
        <v>1</v>
      </c>
      <c r="H96" s="27">
        <f t="shared" si="16"/>
        <v>10</v>
      </c>
      <c r="I96" s="27">
        <f t="shared" si="10"/>
        <v>10</v>
      </c>
      <c r="J96" s="27">
        <f t="shared" si="11"/>
        <v>10</v>
      </c>
      <c r="K96" s="27">
        <f t="shared" si="12"/>
        <v>10</v>
      </c>
      <c r="L96" s="27">
        <f t="shared" si="13"/>
        <v>10</v>
      </c>
      <c r="M96" s="32" t="str">
        <f>'Input Sheet'!E95</f>
        <v>C</v>
      </c>
      <c r="N96" s="32">
        <f t="shared" si="14"/>
        <v>4</v>
      </c>
      <c r="T96" s="32">
        <f t="shared" si="17"/>
        <v>0</v>
      </c>
      <c r="U96" s="32">
        <f t="shared" si="17"/>
        <v>0</v>
      </c>
      <c r="V96" s="32">
        <f t="shared" si="17"/>
        <v>0</v>
      </c>
      <c r="W96" s="32">
        <f t="shared" si="17"/>
        <v>10</v>
      </c>
      <c r="X96" s="32">
        <f t="shared" si="17"/>
        <v>0</v>
      </c>
    </row>
    <row r="97" spans="1:24" ht="16.5" customHeight="1" x14ac:dyDescent="0.25">
      <c r="A97" s="39" t="str">
        <f>'Long Sample Name'!A94</f>
        <v>Sample 2270m: 0% Siltstone, 100% very fine to verycoarse Sandstone, 100% bright FLUOR in SST. TG 290U</v>
      </c>
      <c r="B97" s="25">
        <f>'Input Sheet'!L96</f>
        <v>45195</v>
      </c>
      <c r="C97" s="26">
        <f>'Input Sheet'!M96</f>
        <v>0.74861111111111101</v>
      </c>
      <c r="D97" s="40">
        <f>'Input Sheet'!B96</f>
        <v>2270</v>
      </c>
      <c r="E97" s="37">
        <f>'Input Sheet'!I96</f>
        <v>290</v>
      </c>
      <c r="F97" s="29">
        <f>('Input Sheet'!C96)/100</f>
        <v>1</v>
      </c>
      <c r="G97" s="29">
        <f>('Input Sheet'!F96)/100</f>
        <v>1</v>
      </c>
      <c r="H97" s="27">
        <f t="shared" si="16"/>
        <v>10</v>
      </c>
      <c r="I97" s="27">
        <f t="shared" si="10"/>
        <v>10</v>
      </c>
      <c r="J97" s="27">
        <f t="shared" si="11"/>
        <v>10</v>
      </c>
      <c r="K97" s="27">
        <f t="shared" si="12"/>
        <v>10</v>
      </c>
      <c r="L97" s="27">
        <f t="shared" si="13"/>
        <v>10</v>
      </c>
      <c r="M97" s="32" t="str">
        <f>'Input Sheet'!E96</f>
        <v>VC</v>
      </c>
      <c r="N97" s="32">
        <f t="shared" si="14"/>
        <v>5</v>
      </c>
      <c r="T97" s="32">
        <f t="shared" si="17"/>
        <v>0</v>
      </c>
      <c r="U97" s="32">
        <f t="shared" si="17"/>
        <v>0</v>
      </c>
      <c r="V97" s="32">
        <f t="shared" si="17"/>
        <v>0</v>
      </c>
      <c r="W97" s="32">
        <f t="shared" si="17"/>
        <v>0</v>
      </c>
      <c r="X97" s="32">
        <f t="shared" si="17"/>
        <v>10</v>
      </c>
    </row>
    <row r="98" spans="1:24" ht="16.5" customHeight="1" x14ac:dyDescent="0.25">
      <c r="A98" s="39" t="str">
        <f>'Long Sample Name'!A95</f>
        <v>Sample 2280m: 0% Siltstone, 100% very fine to coarse Sandstone, 100% bright FLUOR in SST. TG 253U</v>
      </c>
      <c r="B98" s="25">
        <f>'Input Sheet'!L97</f>
        <v>45195</v>
      </c>
      <c r="C98" s="26">
        <f>'Input Sheet'!M97</f>
        <v>0.77083333333333337</v>
      </c>
      <c r="D98" s="40">
        <f>'Input Sheet'!B97</f>
        <v>2280</v>
      </c>
      <c r="E98" s="37">
        <f>'Input Sheet'!I97</f>
        <v>253</v>
      </c>
      <c r="F98" s="29">
        <f>('Input Sheet'!C97)/100</f>
        <v>1</v>
      </c>
      <c r="G98" s="29">
        <f>('Input Sheet'!F97)/100</f>
        <v>1</v>
      </c>
      <c r="H98" s="27">
        <f t="shared" si="16"/>
        <v>10</v>
      </c>
      <c r="I98" s="27">
        <f t="shared" si="10"/>
        <v>10</v>
      </c>
      <c r="J98" s="27">
        <f t="shared" si="11"/>
        <v>10</v>
      </c>
      <c r="K98" s="27">
        <f t="shared" si="12"/>
        <v>10</v>
      </c>
      <c r="L98" s="27">
        <f t="shared" si="13"/>
        <v>10</v>
      </c>
      <c r="M98" s="32" t="str">
        <f>'Input Sheet'!E97</f>
        <v>C</v>
      </c>
      <c r="N98" s="32">
        <f t="shared" si="14"/>
        <v>4</v>
      </c>
      <c r="T98" s="32">
        <f t="shared" si="17"/>
        <v>0</v>
      </c>
      <c r="U98" s="32">
        <f t="shared" si="17"/>
        <v>0</v>
      </c>
      <c r="V98" s="32">
        <f t="shared" si="17"/>
        <v>0</v>
      </c>
      <c r="W98" s="32">
        <f t="shared" si="17"/>
        <v>10</v>
      </c>
      <c r="X98" s="32">
        <f t="shared" si="17"/>
        <v>0</v>
      </c>
    </row>
    <row r="99" spans="1:24" ht="15" customHeight="1" x14ac:dyDescent="0.25">
      <c r="A99" s="39" t="str">
        <f>'Long Sample Name'!A96</f>
        <v>Sample 2290m: 5% Siltstone, 95% very fine to coarse Sandstone, 100% bright FLUOR in SST. TG 300U</v>
      </c>
      <c r="B99" s="25">
        <f>'Input Sheet'!L98</f>
        <v>45195</v>
      </c>
      <c r="C99" s="26">
        <f>'Input Sheet'!M98</f>
        <v>0.78888888888888886</v>
      </c>
      <c r="D99" s="40">
        <f>'Input Sheet'!B98</f>
        <v>2290</v>
      </c>
      <c r="E99" s="37">
        <f>'Input Sheet'!I98</f>
        <v>300</v>
      </c>
      <c r="F99" s="29">
        <f>('Input Sheet'!C98)/100</f>
        <v>0.95</v>
      </c>
      <c r="G99" s="29">
        <f>('Input Sheet'!F98)/100</f>
        <v>1</v>
      </c>
      <c r="H99" s="27">
        <f t="shared" si="16"/>
        <v>10</v>
      </c>
      <c r="I99" s="27">
        <f t="shared" si="10"/>
        <v>10</v>
      </c>
      <c r="J99" s="27">
        <f t="shared" si="11"/>
        <v>9.5</v>
      </c>
      <c r="K99" s="27">
        <f t="shared" si="12"/>
        <v>10</v>
      </c>
      <c r="L99" s="27">
        <f t="shared" si="13"/>
        <v>9.5</v>
      </c>
      <c r="M99" s="32" t="str">
        <f>'Input Sheet'!E98</f>
        <v>C</v>
      </c>
      <c r="N99" s="32">
        <f t="shared" si="14"/>
        <v>4</v>
      </c>
      <c r="T99" s="32">
        <f t="shared" si="17"/>
        <v>0</v>
      </c>
      <c r="U99" s="32">
        <f t="shared" si="17"/>
        <v>0</v>
      </c>
      <c r="V99" s="32">
        <f t="shared" si="17"/>
        <v>0</v>
      </c>
      <c r="W99" s="32">
        <f t="shared" si="17"/>
        <v>10</v>
      </c>
      <c r="X99" s="32">
        <f t="shared" si="17"/>
        <v>0</v>
      </c>
    </row>
    <row r="100" spans="1:24" ht="15" customHeight="1" x14ac:dyDescent="0.25">
      <c r="A100" s="39" t="str">
        <f>'Long Sample Name'!A97</f>
        <v>Sample 2300m: 10% Siltstone, 90% very fine to coarse Sandstone, 100% moderately bright FLUOR in SST. TG 303U</v>
      </c>
      <c r="B100" s="25">
        <f>'Input Sheet'!L99</f>
        <v>45195</v>
      </c>
      <c r="C100" s="26">
        <f>'Input Sheet'!M99</f>
        <v>0.8041666666666667</v>
      </c>
      <c r="D100" s="40">
        <f>'Input Sheet'!B99</f>
        <v>2300</v>
      </c>
      <c r="E100" s="37">
        <f>'Input Sheet'!I99</f>
        <v>303</v>
      </c>
      <c r="F100" s="29">
        <f>('Input Sheet'!C99)/100</f>
        <v>0.9</v>
      </c>
      <c r="G100" s="29">
        <f>('Input Sheet'!F99)/100</f>
        <v>1</v>
      </c>
      <c r="H100" s="27">
        <f t="shared" si="16"/>
        <v>10</v>
      </c>
      <c r="I100" s="27">
        <f t="shared" si="10"/>
        <v>10</v>
      </c>
      <c r="J100" s="27">
        <f t="shared" si="11"/>
        <v>9</v>
      </c>
      <c r="K100" s="27">
        <f t="shared" si="12"/>
        <v>10</v>
      </c>
      <c r="L100" s="27">
        <f t="shared" si="13"/>
        <v>9</v>
      </c>
      <c r="M100" s="32" t="str">
        <f>'Input Sheet'!E99</f>
        <v>C</v>
      </c>
      <c r="N100" s="32">
        <f t="shared" si="14"/>
        <v>4</v>
      </c>
      <c r="T100" s="32">
        <f t="shared" si="17"/>
        <v>0</v>
      </c>
      <c r="U100" s="32">
        <f t="shared" si="17"/>
        <v>0</v>
      </c>
      <c r="V100" s="32">
        <f t="shared" si="17"/>
        <v>0</v>
      </c>
      <c r="W100" s="32">
        <f t="shared" si="17"/>
        <v>10</v>
      </c>
      <c r="X100" s="32">
        <f t="shared" si="17"/>
        <v>0</v>
      </c>
    </row>
    <row r="101" spans="1:24" ht="15" customHeight="1" x14ac:dyDescent="0.25">
      <c r="A101" s="39" t="str">
        <f>'Long Sample Name'!A98</f>
        <v>Sample 2310m: 15% Siltstone, 85% very fine to coarse Sandstone, 100% moderately bright to bright FLUOR in SST. TG 316U</v>
      </c>
      <c r="B101" s="25">
        <f>'Input Sheet'!L100</f>
        <v>45195</v>
      </c>
      <c r="C101" s="26">
        <f>'Input Sheet'!M100</f>
        <v>0.82291666666666663</v>
      </c>
      <c r="D101" s="40">
        <f>'Input Sheet'!B100</f>
        <v>2310</v>
      </c>
      <c r="E101" s="37">
        <f>'Input Sheet'!I100</f>
        <v>316</v>
      </c>
      <c r="F101" s="29">
        <f>('Input Sheet'!C100)/100</f>
        <v>0.85</v>
      </c>
      <c r="G101" s="29">
        <f>('Input Sheet'!F100)/100</f>
        <v>1</v>
      </c>
      <c r="H101" s="27">
        <f t="shared" si="16"/>
        <v>10</v>
      </c>
      <c r="I101" s="27">
        <f t="shared" si="10"/>
        <v>10</v>
      </c>
      <c r="J101" s="27">
        <f t="shared" si="11"/>
        <v>8.5</v>
      </c>
      <c r="K101" s="27">
        <f t="shared" si="12"/>
        <v>10</v>
      </c>
      <c r="L101" s="27">
        <f t="shared" si="13"/>
        <v>8.5</v>
      </c>
      <c r="M101" s="32" t="str">
        <f>'Input Sheet'!E100</f>
        <v>C</v>
      </c>
      <c r="N101" s="32">
        <f t="shared" si="14"/>
        <v>4</v>
      </c>
      <c r="T101" s="32">
        <f t="shared" ref="T101:X116" si="18">IF($M101=T$1,$H101,0)</f>
        <v>0</v>
      </c>
      <c r="U101" s="32">
        <f t="shared" si="18"/>
        <v>0</v>
      </c>
      <c r="V101" s="32">
        <f t="shared" si="18"/>
        <v>0</v>
      </c>
      <c r="W101" s="32">
        <f t="shared" si="18"/>
        <v>10</v>
      </c>
      <c r="X101" s="32">
        <f t="shared" si="18"/>
        <v>0</v>
      </c>
    </row>
    <row r="102" spans="1:24" ht="15" customHeight="1" x14ac:dyDescent="0.25">
      <c r="A102" s="39" t="str">
        <f>'Long Sample Name'!A99</f>
        <v>Sample 2320m: 5% Siltstone, 95% very fine to coarse Sandstone, 100% moderately bright to bright FLUOR in SST. TG 265U</v>
      </c>
      <c r="B102" s="25">
        <f>'Input Sheet'!L101</f>
        <v>45195</v>
      </c>
      <c r="C102" s="26">
        <f>'Input Sheet'!M101</f>
        <v>0.84166666666666667</v>
      </c>
      <c r="D102" s="40">
        <f>'Input Sheet'!B101</f>
        <v>2320</v>
      </c>
      <c r="E102" s="37">
        <f>'Input Sheet'!I101</f>
        <v>265</v>
      </c>
      <c r="F102" s="29">
        <f>('Input Sheet'!C101)/100</f>
        <v>0.95</v>
      </c>
      <c r="G102" s="29">
        <f>('Input Sheet'!F101)/100</f>
        <v>1</v>
      </c>
      <c r="H102" s="27">
        <f t="shared" si="16"/>
        <v>10</v>
      </c>
      <c r="I102" s="27">
        <f t="shared" si="10"/>
        <v>10</v>
      </c>
      <c r="J102" s="27">
        <f t="shared" si="11"/>
        <v>9.5</v>
      </c>
      <c r="K102" s="27">
        <f t="shared" si="12"/>
        <v>10</v>
      </c>
      <c r="L102" s="27">
        <f t="shared" si="13"/>
        <v>9.5</v>
      </c>
      <c r="M102" s="32" t="str">
        <f>'Input Sheet'!E101</f>
        <v>C</v>
      </c>
      <c r="N102" s="32">
        <f t="shared" si="14"/>
        <v>4</v>
      </c>
      <c r="T102" s="32">
        <f t="shared" si="18"/>
        <v>0</v>
      </c>
      <c r="U102" s="32">
        <f t="shared" si="18"/>
        <v>0</v>
      </c>
      <c r="V102" s="32">
        <f t="shared" si="18"/>
        <v>0</v>
      </c>
      <c r="W102" s="32">
        <f t="shared" si="18"/>
        <v>10</v>
      </c>
      <c r="X102" s="32">
        <f t="shared" si="18"/>
        <v>0</v>
      </c>
    </row>
    <row r="103" spans="1:24" ht="15" customHeight="1" x14ac:dyDescent="0.25">
      <c r="A103" s="39" t="str">
        <f>'Long Sample Name'!A100</f>
        <v>Sample 2330m: 0% Siltstone, 100% very fine to verycoarse Sandstone, 100% moderately bright FLUOR in SST. TG 295U</v>
      </c>
      <c r="B103" s="25">
        <f>'Input Sheet'!L102</f>
        <v>45195</v>
      </c>
      <c r="C103" s="26">
        <f>'Input Sheet'!M102</f>
        <v>0.85833333333333339</v>
      </c>
      <c r="D103" s="40">
        <f>'Input Sheet'!B102</f>
        <v>2330</v>
      </c>
      <c r="E103" s="37">
        <f>'Input Sheet'!I102</f>
        <v>295</v>
      </c>
      <c r="F103" s="29">
        <f>('Input Sheet'!C102)/100</f>
        <v>1</v>
      </c>
      <c r="G103" s="29">
        <f>('Input Sheet'!F102)/100</f>
        <v>1</v>
      </c>
      <c r="H103" s="27">
        <f t="shared" si="16"/>
        <v>10</v>
      </c>
      <c r="I103" s="27">
        <f t="shared" si="10"/>
        <v>10</v>
      </c>
      <c r="J103" s="27">
        <f t="shared" si="11"/>
        <v>10</v>
      </c>
      <c r="K103" s="27">
        <f t="shared" si="12"/>
        <v>10</v>
      </c>
      <c r="L103" s="27">
        <f t="shared" si="13"/>
        <v>10</v>
      </c>
      <c r="M103" s="32" t="str">
        <f>'Input Sheet'!E102</f>
        <v>VC</v>
      </c>
      <c r="N103" s="32">
        <f t="shared" si="14"/>
        <v>5</v>
      </c>
      <c r="T103" s="32">
        <f t="shared" si="18"/>
        <v>0</v>
      </c>
      <c r="U103" s="32">
        <f t="shared" si="18"/>
        <v>0</v>
      </c>
      <c r="V103" s="32">
        <f t="shared" si="18"/>
        <v>0</v>
      </c>
      <c r="W103" s="32">
        <f t="shared" si="18"/>
        <v>0</v>
      </c>
      <c r="X103" s="32">
        <f t="shared" si="18"/>
        <v>10</v>
      </c>
    </row>
    <row r="104" spans="1:24" ht="15" customHeight="1" x14ac:dyDescent="0.25">
      <c r="A104" s="39" t="str">
        <f>'Long Sample Name'!A101</f>
        <v>Sample 2340m: 0% Siltstone, 100% very fine to coarse Sandstone, 100% moderately bright FLUOR in SST. TG 234U</v>
      </c>
      <c r="B104" s="25">
        <f>'Input Sheet'!L103</f>
        <v>45195</v>
      </c>
      <c r="C104" s="26">
        <f>'Input Sheet'!M103</f>
        <v>0.87638888888888899</v>
      </c>
      <c r="D104" s="40">
        <f>'Input Sheet'!B103</f>
        <v>2340</v>
      </c>
      <c r="E104" s="37">
        <f>'Input Sheet'!I103</f>
        <v>234</v>
      </c>
      <c r="F104" s="29">
        <f>('Input Sheet'!C103)/100</f>
        <v>1</v>
      </c>
      <c r="G104" s="29">
        <f>('Input Sheet'!F103)/100</f>
        <v>1</v>
      </c>
      <c r="H104" s="27">
        <f t="shared" si="16"/>
        <v>10</v>
      </c>
      <c r="I104" s="27">
        <f t="shared" si="10"/>
        <v>10</v>
      </c>
      <c r="J104" s="27">
        <f t="shared" si="11"/>
        <v>10</v>
      </c>
      <c r="K104" s="27">
        <f t="shared" si="12"/>
        <v>10</v>
      </c>
      <c r="L104" s="27">
        <f t="shared" si="13"/>
        <v>10</v>
      </c>
      <c r="M104" s="32" t="str">
        <f>'Input Sheet'!E103</f>
        <v>C</v>
      </c>
      <c r="N104" s="32">
        <f t="shared" si="14"/>
        <v>4</v>
      </c>
      <c r="T104" s="32">
        <f t="shared" si="18"/>
        <v>0</v>
      </c>
      <c r="U104" s="32">
        <f t="shared" si="18"/>
        <v>0</v>
      </c>
      <c r="V104" s="32">
        <f t="shared" si="18"/>
        <v>0</v>
      </c>
      <c r="W104" s="32">
        <f t="shared" si="18"/>
        <v>10</v>
      </c>
      <c r="X104" s="32">
        <f t="shared" si="18"/>
        <v>0</v>
      </c>
    </row>
    <row r="105" spans="1:24" ht="15" customHeight="1" x14ac:dyDescent="0.25">
      <c r="A105" s="39" t="str">
        <f>'Long Sample Name'!A102</f>
        <v>Sample 2350m: 0% Siltstone, 100% very fine to coarse Sandstone, 100% moderately bright FLUOR in SST. TG 195U</v>
      </c>
      <c r="B105" s="25">
        <f>'Input Sheet'!L104</f>
        <v>45195</v>
      </c>
      <c r="C105" s="26">
        <f>'Input Sheet'!M104</f>
        <v>0.89861111111111114</v>
      </c>
      <c r="D105" s="40">
        <f>'Input Sheet'!B104</f>
        <v>2350</v>
      </c>
      <c r="E105" s="37">
        <f>'Input Sheet'!I104</f>
        <v>195</v>
      </c>
      <c r="F105" s="29">
        <f>('Input Sheet'!C104)/100</f>
        <v>1</v>
      </c>
      <c r="G105" s="29">
        <f>('Input Sheet'!F104)/100</f>
        <v>1</v>
      </c>
      <c r="H105" s="27">
        <f t="shared" si="16"/>
        <v>10</v>
      </c>
      <c r="I105" s="27">
        <f t="shared" si="10"/>
        <v>10</v>
      </c>
      <c r="J105" s="27">
        <f t="shared" si="11"/>
        <v>10</v>
      </c>
      <c r="K105" s="27">
        <f t="shared" si="12"/>
        <v>10</v>
      </c>
      <c r="L105" s="27">
        <f t="shared" si="13"/>
        <v>10</v>
      </c>
      <c r="M105" s="32" t="str">
        <f>'Input Sheet'!E104</f>
        <v>C</v>
      </c>
      <c r="N105" s="32">
        <f t="shared" si="14"/>
        <v>4</v>
      </c>
      <c r="T105" s="32">
        <f t="shared" si="18"/>
        <v>0</v>
      </c>
      <c r="U105" s="32">
        <f t="shared" si="18"/>
        <v>0</v>
      </c>
      <c r="V105" s="32">
        <f t="shared" si="18"/>
        <v>0</v>
      </c>
      <c r="W105" s="32">
        <f t="shared" si="18"/>
        <v>10</v>
      </c>
      <c r="X105" s="32">
        <f t="shared" si="18"/>
        <v>0</v>
      </c>
    </row>
    <row r="106" spans="1:24" ht="15" customHeight="1" x14ac:dyDescent="0.25">
      <c r="A106" s="39" t="str">
        <f>'Long Sample Name'!A103</f>
        <v>Sample 2360m: 0% Siltstone, 100% very fine to coarse Sandstone, 100% moderately bright FLUOR in SST. TG 210U</v>
      </c>
      <c r="B106" s="25">
        <f>'Input Sheet'!L105</f>
        <v>45195</v>
      </c>
      <c r="C106" s="26">
        <f>'Input Sheet'!M105</f>
        <v>0.91249999999999998</v>
      </c>
      <c r="D106" s="40">
        <f>'Input Sheet'!B105</f>
        <v>2360</v>
      </c>
      <c r="E106" s="37">
        <f>'Input Sheet'!I105</f>
        <v>210</v>
      </c>
      <c r="F106" s="29">
        <f>('Input Sheet'!C105)/100</f>
        <v>1</v>
      </c>
      <c r="G106" s="29">
        <f>('Input Sheet'!F105)/100</f>
        <v>1</v>
      </c>
      <c r="H106" s="27">
        <f t="shared" si="16"/>
        <v>10</v>
      </c>
      <c r="I106" s="27">
        <f t="shared" si="10"/>
        <v>10</v>
      </c>
      <c r="J106" s="27">
        <f t="shared" si="11"/>
        <v>10</v>
      </c>
      <c r="K106" s="27">
        <f t="shared" si="12"/>
        <v>10</v>
      </c>
      <c r="L106" s="27">
        <f t="shared" si="13"/>
        <v>10</v>
      </c>
      <c r="M106" s="32" t="str">
        <f>'Input Sheet'!E105</f>
        <v>C</v>
      </c>
      <c r="N106" s="32">
        <f t="shared" si="14"/>
        <v>4</v>
      </c>
      <c r="T106" s="32">
        <f t="shared" si="18"/>
        <v>0</v>
      </c>
      <c r="U106" s="32">
        <f t="shared" si="18"/>
        <v>0</v>
      </c>
      <c r="V106" s="32">
        <f t="shared" si="18"/>
        <v>0</v>
      </c>
      <c r="W106" s="32">
        <f t="shared" si="18"/>
        <v>10</v>
      </c>
      <c r="X106" s="32">
        <f t="shared" si="18"/>
        <v>0</v>
      </c>
    </row>
    <row r="107" spans="1:24" ht="15" customHeight="1" x14ac:dyDescent="0.25">
      <c r="A107" s="39" t="str">
        <f>'Long Sample Name'!A104</f>
        <v>Sample 2370m: 5% Siltstone, 95% very fine to fine, rare coarse Sandstone, 100% dull to moderately bright FLUOR in SST. TG 184U</v>
      </c>
      <c r="B107" s="25">
        <f>'Input Sheet'!L106</f>
        <v>45195</v>
      </c>
      <c r="C107" s="26">
        <f>'Input Sheet'!M106</f>
        <v>0.93472222222222223</v>
      </c>
      <c r="D107" s="40">
        <f>'Input Sheet'!B106</f>
        <v>2370</v>
      </c>
      <c r="E107" s="37">
        <f>'Input Sheet'!I106</f>
        <v>184</v>
      </c>
      <c r="F107" s="29">
        <f>('Input Sheet'!C106)/100</f>
        <v>0.95</v>
      </c>
      <c r="G107" s="29">
        <f>('Input Sheet'!F106)/100</f>
        <v>1</v>
      </c>
      <c r="H107" s="27">
        <f t="shared" si="16"/>
        <v>10</v>
      </c>
      <c r="I107" s="27">
        <f t="shared" si="10"/>
        <v>10</v>
      </c>
      <c r="J107" s="27">
        <f t="shared" si="11"/>
        <v>9.5</v>
      </c>
      <c r="K107" s="27">
        <f t="shared" si="12"/>
        <v>10</v>
      </c>
      <c r="L107" s="27">
        <f t="shared" si="13"/>
        <v>9.5</v>
      </c>
      <c r="M107" s="32" t="str">
        <f>'Input Sheet'!E106</f>
        <v>C</v>
      </c>
      <c r="N107" s="32">
        <f t="shared" si="14"/>
        <v>4</v>
      </c>
      <c r="T107" s="32">
        <f t="shared" si="18"/>
        <v>0</v>
      </c>
      <c r="U107" s="32">
        <f t="shared" si="18"/>
        <v>0</v>
      </c>
      <c r="V107" s="32">
        <f t="shared" si="18"/>
        <v>0</v>
      </c>
      <c r="W107" s="32">
        <f t="shared" si="18"/>
        <v>10</v>
      </c>
      <c r="X107" s="32">
        <f t="shared" si="18"/>
        <v>0</v>
      </c>
    </row>
    <row r="108" spans="1:24" ht="15" customHeight="1" x14ac:dyDescent="0.25">
      <c r="A108" s="39" t="str">
        <f>'Long Sample Name'!A105</f>
        <v>Sample 2380m: 10% Siltstone, 90% very fine to fine, rare coarse Sandstone, 100% dull to moderately bright FLUOR in SST. TG 193U</v>
      </c>
      <c r="B108" s="25">
        <f>'Input Sheet'!L107</f>
        <v>45195</v>
      </c>
      <c r="C108" s="26">
        <f>'Input Sheet'!M107</f>
        <v>0.94861111111111107</v>
      </c>
      <c r="D108" s="40">
        <f>'Input Sheet'!B107</f>
        <v>2380</v>
      </c>
      <c r="E108" s="37">
        <f>'Input Sheet'!I107</f>
        <v>193</v>
      </c>
      <c r="F108" s="29">
        <f>('Input Sheet'!C107)/100</f>
        <v>0.9</v>
      </c>
      <c r="G108" s="29">
        <f>('Input Sheet'!F107)/100</f>
        <v>1</v>
      </c>
      <c r="H108" s="27">
        <f t="shared" si="16"/>
        <v>10</v>
      </c>
      <c r="I108" s="27">
        <f t="shared" si="10"/>
        <v>10</v>
      </c>
      <c r="J108" s="27">
        <f t="shared" si="11"/>
        <v>9</v>
      </c>
      <c r="K108" s="27">
        <f t="shared" si="12"/>
        <v>10</v>
      </c>
      <c r="L108" s="27">
        <f t="shared" si="13"/>
        <v>9</v>
      </c>
      <c r="M108" s="32" t="str">
        <f>'Input Sheet'!E107</f>
        <v>C</v>
      </c>
      <c r="N108" s="32">
        <f t="shared" si="14"/>
        <v>4</v>
      </c>
      <c r="T108" s="32">
        <f t="shared" si="18"/>
        <v>0</v>
      </c>
      <c r="U108" s="32">
        <f t="shared" si="18"/>
        <v>0</v>
      </c>
      <c r="V108" s="32">
        <f t="shared" si="18"/>
        <v>0</v>
      </c>
      <c r="W108" s="32">
        <f t="shared" si="18"/>
        <v>10</v>
      </c>
      <c r="X108" s="32">
        <f t="shared" si="18"/>
        <v>0</v>
      </c>
    </row>
    <row r="109" spans="1:24" ht="15" customHeight="1" x14ac:dyDescent="0.25">
      <c r="A109" s="39" t="str">
        <f>'Long Sample Name'!A106</f>
        <v>Sample 2390m: 20% Siltstone, 80% very fine to fine Sandstone, 90% dull FLUOR in SST. TG 174U</v>
      </c>
      <c r="B109" s="25">
        <f>'Input Sheet'!L108</f>
        <v>45195</v>
      </c>
      <c r="C109" s="26">
        <f>'Input Sheet'!M108</f>
        <v>0.97083333333333333</v>
      </c>
      <c r="D109" s="40">
        <f>'Input Sheet'!B108</f>
        <v>2390</v>
      </c>
      <c r="E109" s="37">
        <f>'Input Sheet'!I108</f>
        <v>174</v>
      </c>
      <c r="F109" s="29">
        <f>('Input Sheet'!C108)/100</f>
        <v>0.8</v>
      </c>
      <c r="G109" s="29">
        <f>('Input Sheet'!F108)/100</f>
        <v>0.9</v>
      </c>
      <c r="H109" s="27">
        <f t="shared" si="16"/>
        <v>10</v>
      </c>
      <c r="I109" s="27">
        <f t="shared" si="10"/>
        <v>10</v>
      </c>
      <c r="J109" s="27">
        <f t="shared" si="11"/>
        <v>8</v>
      </c>
      <c r="K109" s="27">
        <f t="shared" si="12"/>
        <v>10</v>
      </c>
      <c r="L109" s="27">
        <f t="shared" si="13"/>
        <v>8</v>
      </c>
      <c r="M109" s="32" t="str">
        <f>'Input Sheet'!E108</f>
        <v>F</v>
      </c>
      <c r="N109" s="32">
        <f t="shared" si="14"/>
        <v>2</v>
      </c>
      <c r="T109" s="32">
        <f t="shared" si="18"/>
        <v>0</v>
      </c>
      <c r="U109" s="32">
        <f t="shared" si="18"/>
        <v>10</v>
      </c>
      <c r="V109" s="32">
        <f t="shared" si="18"/>
        <v>0</v>
      </c>
      <c r="W109" s="32">
        <f t="shared" si="18"/>
        <v>0</v>
      </c>
      <c r="X109" s="32">
        <f t="shared" si="18"/>
        <v>0</v>
      </c>
    </row>
    <row r="110" spans="1:24" ht="15" customHeight="1" x14ac:dyDescent="0.25">
      <c r="A110" s="39" t="str">
        <f>'Long Sample Name'!A107</f>
        <v>Sample 2400m: 20% Siltstone, 80% very fine to fine Sandstone, 100% dull FLUOR in SST. TG 160U</v>
      </c>
      <c r="B110" s="25">
        <f>'Input Sheet'!L109</f>
        <v>45195</v>
      </c>
      <c r="C110" s="26">
        <f>'Input Sheet'!M109</f>
        <v>0.9916666666666667</v>
      </c>
      <c r="D110" s="40">
        <f>'Input Sheet'!B109</f>
        <v>2400</v>
      </c>
      <c r="E110" s="37">
        <f>'Input Sheet'!I109</f>
        <v>160</v>
      </c>
      <c r="F110" s="29">
        <f>('Input Sheet'!C109)/100</f>
        <v>0.8</v>
      </c>
      <c r="G110" s="29">
        <f>('Input Sheet'!F109)/100</f>
        <v>1</v>
      </c>
      <c r="H110" s="27">
        <f t="shared" si="16"/>
        <v>10</v>
      </c>
      <c r="I110" s="27">
        <f t="shared" si="10"/>
        <v>10</v>
      </c>
      <c r="J110" s="27">
        <f t="shared" si="11"/>
        <v>8</v>
      </c>
      <c r="K110" s="27">
        <f t="shared" si="12"/>
        <v>10</v>
      </c>
      <c r="L110" s="27">
        <f t="shared" si="13"/>
        <v>8</v>
      </c>
      <c r="M110" s="32" t="str">
        <f>'Input Sheet'!E109</f>
        <v>F</v>
      </c>
      <c r="N110" s="32">
        <f t="shared" si="14"/>
        <v>2</v>
      </c>
      <c r="T110" s="32">
        <f t="shared" si="18"/>
        <v>0</v>
      </c>
      <c r="U110" s="32">
        <f t="shared" si="18"/>
        <v>10</v>
      </c>
      <c r="V110" s="32">
        <f t="shared" si="18"/>
        <v>0</v>
      </c>
      <c r="W110" s="32">
        <f t="shared" si="18"/>
        <v>0</v>
      </c>
      <c r="X110" s="32">
        <f t="shared" si="18"/>
        <v>0</v>
      </c>
    </row>
    <row r="111" spans="1:24" ht="15" customHeight="1" x14ac:dyDescent="0.25">
      <c r="A111" s="39" t="str">
        <f>'Long Sample Name'!A108</f>
        <v>Sample 2410m: 20% Siltstone, 80% very fine to fine Sandstone, 100% dull FLUOR in SST. TG 172U</v>
      </c>
      <c r="B111" s="25">
        <f>'Input Sheet'!L110</f>
        <v>45196</v>
      </c>
      <c r="C111" s="26">
        <f>'Input Sheet'!M110</f>
        <v>8.3333333333333332E-3</v>
      </c>
      <c r="D111" s="40">
        <f>'Input Sheet'!B110</f>
        <v>2410</v>
      </c>
      <c r="E111" s="37">
        <f>'Input Sheet'!I110</f>
        <v>172</v>
      </c>
      <c r="F111" s="29">
        <f>('Input Sheet'!C110)/100</f>
        <v>0.8</v>
      </c>
      <c r="G111" s="29">
        <f>('Input Sheet'!F110)/100</f>
        <v>1</v>
      </c>
      <c r="H111" s="27">
        <f t="shared" si="16"/>
        <v>10</v>
      </c>
      <c r="I111" s="27">
        <f t="shared" si="10"/>
        <v>10</v>
      </c>
      <c r="J111" s="27">
        <f t="shared" si="11"/>
        <v>8</v>
      </c>
      <c r="K111" s="27">
        <f t="shared" si="12"/>
        <v>10</v>
      </c>
      <c r="L111" s="27">
        <f t="shared" si="13"/>
        <v>8</v>
      </c>
      <c r="M111" s="32" t="str">
        <f>'Input Sheet'!E110</f>
        <v>F</v>
      </c>
      <c r="N111" s="32">
        <f t="shared" si="14"/>
        <v>2</v>
      </c>
      <c r="T111" s="32">
        <f t="shared" si="18"/>
        <v>0</v>
      </c>
      <c r="U111" s="32">
        <f t="shared" si="18"/>
        <v>10</v>
      </c>
      <c r="V111" s="32">
        <f t="shared" si="18"/>
        <v>0</v>
      </c>
      <c r="W111" s="32">
        <f t="shared" si="18"/>
        <v>0</v>
      </c>
      <c r="X111" s="32">
        <f t="shared" si="18"/>
        <v>0</v>
      </c>
    </row>
    <row r="112" spans="1:24" ht="15" customHeight="1" x14ac:dyDescent="0.25">
      <c r="A112" s="39" t="str">
        <f>'Long Sample Name'!A109</f>
        <v>Sample 2420m: 15% Siltstone, 85% very fine to fine Sandstone, 100% dull FLUOR in SST. TG 169U</v>
      </c>
      <c r="B112" s="25">
        <f>'Input Sheet'!L111</f>
        <v>45196</v>
      </c>
      <c r="C112" s="26">
        <f>'Input Sheet'!M111</f>
        <v>3.2638888888888891E-2</v>
      </c>
      <c r="D112" s="40">
        <f>'Input Sheet'!B111</f>
        <v>2420</v>
      </c>
      <c r="E112" s="37">
        <f>'Input Sheet'!I111</f>
        <v>169</v>
      </c>
      <c r="F112" s="29">
        <f>('Input Sheet'!C111)/100</f>
        <v>0.85</v>
      </c>
      <c r="G112" s="29">
        <f>('Input Sheet'!F111)/100</f>
        <v>1</v>
      </c>
      <c r="H112" s="27">
        <f t="shared" si="16"/>
        <v>10</v>
      </c>
      <c r="I112" s="27">
        <f t="shared" si="10"/>
        <v>10</v>
      </c>
      <c r="J112" s="27">
        <f t="shared" si="11"/>
        <v>8.5</v>
      </c>
      <c r="K112" s="27">
        <f t="shared" si="12"/>
        <v>10</v>
      </c>
      <c r="L112" s="27">
        <f t="shared" si="13"/>
        <v>8.5</v>
      </c>
      <c r="M112" s="32" t="str">
        <f>'Input Sheet'!E111</f>
        <v>F</v>
      </c>
      <c r="N112" s="32">
        <f t="shared" si="14"/>
        <v>2</v>
      </c>
      <c r="T112" s="32">
        <f t="shared" si="18"/>
        <v>0</v>
      </c>
      <c r="U112" s="32">
        <f t="shared" si="18"/>
        <v>10</v>
      </c>
      <c r="V112" s="32">
        <f t="shared" si="18"/>
        <v>0</v>
      </c>
      <c r="W112" s="32">
        <f t="shared" si="18"/>
        <v>0</v>
      </c>
      <c r="X112" s="32">
        <f t="shared" si="18"/>
        <v>0</v>
      </c>
    </row>
    <row r="113" spans="1:24" ht="15" customHeight="1" x14ac:dyDescent="0.25">
      <c r="A113" s="39" t="str">
        <f>'Long Sample Name'!A110</f>
        <v>Sample 2430m: 10% Siltstone, 90% very fine to fine Sandstone, 100% dull to moderately bright FLUOR in SST. TG 191U</v>
      </c>
      <c r="B113" s="25">
        <f>'Input Sheet'!L112</f>
        <v>45196</v>
      </c>
      <c r="C113" s="26">
        <f>'Input Sheet'!M112</f>
        <v>5.2777777777777778E-2</v>
      </c>
      <c r="D113" s="40">
        <f>'Input Sheet'!B112</f>
        <v>2430</v>
      </c>
      <c r="E113" s="37">
        <f>'Input Sheet'!I112</f>
        <v>191</v>
      </c>
      <c r="F113" s="29">
        <f>('Input Sheet'!C112)/100</f>
        <v>0.9</v>
      </c>
      <c r="G113" s="29">
        <f>('Input Sheet'!F112)/100</f>
        <v>1</v>
      </c>
      <c r="H113" s="27">
        <f t="shared" si="16"/>
        <v>10</v>
      </c>
      <c r="I113" s="27">
        <f t="shared" si="10"/>
        <v>10</v>
      </c>
      <c r="J113" s="27">
        <f t="shared" si="11"/>
        <v>9</v>
      </c>
      <c r="K113" s="27">
        <f t="shared" si="12"/>
        <v>10</v>
      </c>
      <c r="L113" s="27">
        <f t="shared" si="13"/>
        <v>9</v>
      </c>
      <c r="M113" s="32" t="str">
        <f>'Input Sheet'!E112</f>
        <v>F</v>
      </c>
      <c r="N113" s="32">
        <f t="shared" si="14"/>
        <v>2</v>
      </c>
      <c r="T113" s="32">
        <f t="shared" si="18"/>
        <v>0</v>
      </c>
      <c r="U113" s="32">
        <f t="shared" si="18"/>
        <v>10</v>
      </c>
      <c r="V113" s="32">
        <f t="shared" si="18"/>
        <v>0</v>
      </c>
      <c r="W113" s="32">
        <f t="shared" si="18"/>
        <v>0</v>
      </c>
      <c r="X113" s="32">
        <f t="shared" si="18"/>
        <v>0</v>
      </c>
    </row>
    <row r="114" spans="1:24" ht="15" customHeight="1" x14ac:dyDescent="0.25">
      <c r="A114" s="39" t="str">
        <f>'Long Sample Name'!A111</f>
        <v>Sample 2440m: 5% Siltstone, 95% very fine to fine Sandstone, 100% dull to moderately bright FLUOR in SST. TG 205U</v>
      </c>
      <c r="B114" s="25">
        <f>'Input Sheet'!L113</f>
        <v>45196</v>
      </c>
      <c r="C114" s="26">
        <f>'Input Sheet'!M113</f>
        <v>7.1527777777777787E-2</v>
      </c>
      <c r="D114" s="40">
        <f>'Input Sheet'!B113</f>
        <v>2440</v>
      </c>
      <c r="E114" s="37">
        <f>'Input Sheet'!I113</f>
        <v>205</v>
      </c>
      <c r="F114" s="29">
        <f>('Input Sheet'!C113)/100</f>
        <v>0.95</v>
      </c>
      <c r="G114" s="29">
        <f>('Input Sheet'!F113)/100</f>
        <v>1</v>
      </c>
      <c r="H114" s="27">
        <f t="shared" si="16"/>
        <v>10</v>
      </c>
      <c r="I114" s="27">
        <f t="shared" si="10"/>
        <v>10</v>
      </c>
      <c r="J114" s="27">
        <f t="shared" si="11"/>
        <v>9.5</v>
      </c>
      <c r="K114" s="27">
        <f t="shared" si="12"/>
        <v>10</v>
      </c>
      <c r="L114" s="27">
        <f t="shared" si="13"/>
        <v>9.5</v>
      </c>
      <c r="M114" s="32" t="str">
        <f>'Input Sheet'!E113</f>
        <v>F</v>
      </c>
      <c r="N114" s="32">
        <f t="shared" si="14"/>
        <v>2</v>
      </c>
      <c r="T114" s="32">
        <f t="shared" si="18"/>
        <v>0</v>
      </c>
      <c r="U114" s="32">
        <f t="shared" si="18"/>
        <v>10</v>
      </c>
      <c r="V114" s="32">
        <f t="shared" si="18"/>
        <v>0</v>
      </c>
      <c r="W114" s="32">
        <f t="shared" si="18"/>
        <v>0</v>
      </c>
      <c r="X114" s="32">
        <f t="shared" si="18"/>
        <v>0</v>
      </c>
    </row>
    <row r="115" spans="1:24" ht="15" customHeight="1" x14ac:dyDescent="0.25">
      <c r="A115" s="39" t="str">
        <f>'Long Sample Name'!A112</f>
        <v>Sample 2450m: 5% Siltstone, 95% very fine to fine, rare medium Sandstone, 100% dull to moderately bright FLUOR in SST. TG 169U</v>
      </c>
      <c r="B115" s="25">
        <f>'Input Sheet'!L114</f>
        <v>45196</v>
      </c>
      <c r="C115" s="26">
        <f>'Input Sheet'!M114</f>
        <v>9.0277777777777776E-2</v>
      </c>
      <c r="D115" s="40">
        <f>'Input Sheet'!B114</f>
        <v>2450</v>
      </c>
      <c r="E115" s="37">
        <f>'Input Sheet'!I114</f>
        <v>169</v>
      </c>
      <c r="F115" s="29">
        <f>('Input Sheet'!C114)/100</f>
        <v>0.95</v>
      </c>
      <c r="G115" s="29">
        <f>('Input Sheet'!F114)/100</f>
        <v>1</v>
      </c>
      <c r="H115" s="27">
        <f t="shared" si="16"/>
        <v>10</v>
      </c>
      <c r="I115" s="27">
        <f t="shared" si="10"/>
        <v>10</v>
      </c>
      <c r="J115" s="27">
        <f t="shared" si="11"/>
        <v>9.5</v>
      </c>
      <c r="K115" s="27">
        <f t="shared" si="12"/>
        <v>10</v>
      </c>
      <c r="L115" s="27">
        <f t="shared" si="13"/>
        <v>9.5</v>
      </c>
      <c r="M115" s="32" t="str">
        <f>'Input Sheet'!E114</f>
        <v>M</v>
      </c>
      <c r="N115" s="32">
        <f t="shared" si="14"/>
        <v>3</v>
      </c>
      <c r="T115" s="32">
        <f t="shared" si="18"/>
        <v>0</v>
      </c>
      <c r="U115" s="32">
        <f t="shared" si="18"/>
        <v>0</v>
      </c>
      <c r="V115" s="32">
        <f t="shared" si="18"/>
        <v>10</v>
      </c>
      <c r="W115" s="32">
        <f t="shared" si="18"/>
        <v>0</v>
      </c>
      <c r="X115" s="32">
        <f t="shared" si="18"/>
        <v>0</v>
      </c>
    </row>
    <row r="116" spans="1:24" ht="15" customHeight="1" x14ac:dyDescent="0.25">
      <c r="A116" s="39" t="str">
        <f>'Long Sample Name'!A113</f>
        <v>Sample 2460m: 5% Siltstone, 95% very fine to fine Sandstone, 100% dull to moderately bright FLUOR in SST. TG 176U</v>
      </c>
      <c r="B116" s="25">
        <f>'Input Sheet'!L115</f>
        <v>45196</v>
      </c>
      <c r="C116" s="26">
        <f>'Input Sheet'!M115</f>
        <v>0.1125</v>
      </c>
      <c r="D116" s="40">
        <f>'Input Sheet'!B115</f>
        <v>2460</v>
      </c>
      <c r="E116" s="37">
        <f>'Input Sheet'!I115</f>
        <v>176</v>
      </c>
      <c r="F116" s="29">
        <f>('Input Sheet'!C115)/100</f>
        <v>0.95</v>
      </c>
      <c r="G116" s="29">
        <f>('Input Sheet'!F115)/100</f>
        <v>1</v>
      </c>
      <c r="H116" s="27">
        <f t="shared" si="16"/>
        <v>10</v>
      </c>
      <c r="I116" s="27">
        <f t="shared" si="10"/>
        <v>10</v>
      </c>
      <c r="J116" s="27">
        <f t="shared" si="11"/>
        <v>9.5</v>
      </c>
      <c r="K116" s="27">
        <f t="shared" si="12"/>
        <v>10</v>
      </c>
      <c r="L116" s="27">
        <f t="shared" si="13"/>
        <v>9.5</v>
      </c>
      <c r="M116" s="32" t="str">
        <f>'Input Sheet'!E115</f>
        <v>F</v>
      </c>
      <c r="N116" s="32">
        <f t="shared" si="14"/>
        <v>2</v>
      </c>
      <c r="T116" s="32">
        <f t="shared" si="18"/>
        <v>0</v>
      </c>
      <c r="U116" s="32">
        <f t="shared" si="18"/>
        <v>10</v>
      </c>
      <c r="V116" s="32">
        <f t="shared" si="18"/>
        <v>0</v>
      </c>
      <c r="W116" s="32">
        <f t="shared" si="18"/>
        <v>0</v>
      </c>
      <c r="X116" s="32">
        <f t="shared" si="18"/>
        <v>0</v>
      </c>
    </row>
    <row r="117" spans="1:24" ht="16.5" customHeight="1" x14ac:dyDescent="0.25">
      <c r="A117" s="39" t="str">
        <f>'Long Sample Name'!A114</f>
        <v>Sample 2470m: 10% Siltstone, 90% very fine to fine Sandstone, 90% dull to moderately bright FLUOR in SST. TG 181U</v>
      </c>
      <c r="B117" s="25">
        <f>'Input Sheet'!L116</f>
        <v>45196</v>
      </c>
      <c r="C117" s="26">
        <f>'Input Sheet'!M116</f>
        <v>0.13194444444444445</v>
      </c>
      <c r="D117" s="40">
        <f>'Input Sheet'!B116</f>
        <v>2470</v>
      </c>
      <c r="E117" s="37">
        <f>'Input Sheet'!I116</f>
        <v>181</v>
      </c>
      <c r="F117" s="29">
        <f>('Input Sheet'!C116)/100</f>
        <v>0.9</v>
      </c>
      <c r="G117" s="29">
        <f>('Input Sheet'!F116)/100</f>
        <v>0.9</v>
      </c>
      <c r="H117" s="27">
        <f t="shared" si="16"/>
        <v>10</v>
      </c>
      <c r="I117" s="27">
        <f t="shared" si="10"/>
        <v>10</v>
      </c>
      <c r="J117" s="27">
        <f t="shared" si="11"/>
        <v>9</v>
      </c>
      <c r="K117" s="27">
        <f t="shared" si="12"/>
        <v>10</v>
      </c>
      <c r="L117" s="27">
        <f t="shared" si="13"/>
        <v>9</v>
      </c>
      <c r="M117" s="32" t="str">
        <f>'Input Sheet'!E116</f>
        <v>F</v>
      </c>
      <c r="N117" s="32">
        <f t="shared" si="14"/>
        <v>2</v>
      </c>
      <c r="T117" s="32">
        <f t="shared" ref="T117:X132" si="19">IF($M117=T$1,$H117,0)</f>
        <v>0</v>
      </c>
      <c r="U117" s="32">
        <f t="shared" si="19"/>
        <v>10</v>
      </c>
      <c r="V117" s="32">
        <f t="shared" si="19"/>
        <v>0</v>
      </c>
      <c r="W117" s="32">
        <f t="shared" si="19"/>
        <v>0</v>
      </c>
      <c r="X117" s="32">
        <f t="shared" si="19"/>
        <v>0</v>
      </c>
    </row>
    <row r="118" spans="1:24" ht="16.5" customHeight="1" x14ac:dyDescent="0.25">
      <c r="A118" s="39" t="str">
        <f>'Long Sample Name'!A115</f>
        <v>Sample 2480m: 40% Siltstone, 60% very fine Sandstone, 90% dull FLUOR in SST. TG 209U</v>
      </c>
      <c r="B118" s="25">
        <f>'Input Sheet'!L117</f>
        <v>45196</v>
      </c>
      <c r="C118" s="26">
        <f>'Input Sheet'!M117</f>
        <v>0.15347222222222223</v>
      </c>
      <c r="D118" s="40">
        <f>'Input Sheet'!B117</f>
        <v>2480</v>
      </c>
      <c r="E118" s="37">
        <f>'Input Sheet'!I117</f>
        <v>209</v>
      </c>
      <c r="F118" s="29">
        <f>('Input Sheet'!C117)/100</f>
        <v>0.6</v>
      </c>
      <c r="G118" s="29">
        <f>('Input Sheet'!F117)/100</f>
        <v>0.9</v>
      </c>
      <c r="H118" s="27">
        <f t="shared" si="16"/>
        <v>10</v>
      </c>
      <c r="I118" s="27">
        <f t="shared" si="10"/>
        <v>10</v>
      </c>
      <c r="J118" s="27">
        <f t="shared" si="11"/>
        <v>6</v>
      </c>
      <c r="K118" s="27">
        <f t="shared" si="12"/>
        <v>10</v>
      </c>
      <c r="L118" s="27">
        <f t="shared" si="13"/>
        <v>6</v>
      </c>
      <c r="M118" s="32" t="str">
        <f>'Input Sheet'!E117</f>
        <v>VF</v>
      </c>
      <c r="N118" s="32">
        <f t="shared" si="14"/>
        <v>1</v>
      </c>
      <c r="T118" s="32">
        <f t="shared" si="19"/>
        <v>10</v>
      </c>
      <c r="U118" s="32">
        <f t="shared" si="19"/>
        <v>0</v>
      </c>
      <c r="V118" s="32">
        <f t="shared" si="19"/>
        <v>0</v>
      </c>
      <c r="W118" s="32">
        <f t="shared" si="19"/>
        <v>0</v>
      </c>
      <c r="X118" s="32">
        <f t="shared" si="19"/>
        <v>0</v>
      </c>
    </row>
    <row r="119" spans="1:24" ht="16.5" customHeight="1" x14ac:dyDescent="0.25">
      <c r="A119" s="39" t="str">
        <f>'Long Sample Name'!A116</f>
        <v>Sample 2490m: 15% Siltstone, 85% very fine to fine Sandstone, 90% dull to moderately bright FLUOR in SST. TG 214U</v>
      </c>
      <c r="B119" s="25">
        <f>'Input Sheet'!L118</f>
        <v>45196</v>
      </c>
      <c r="C119" s="26">
        <f>'Input Sheet'!M118</f>
        <v>0.17083333333333331</v>
      </c>
      <c r="D119" s="40">
        <f>'Input Sheet'!B118</f>
        <v>2490</v>
      </c>
      <c r="E119" s="37">
        <f>'Input Sheet'!I118</f>
        <v>214</v>
      </c>
      <c r="F119" s="29">
        <f>('Input Sheet'!C118)/100</f>
        <v>0.85</v>
      </c>
      <c r="G119" s="29">
        <f>('Input Sheet'!F118)/100</f>
        <v>0.9</v>
      </c>
      <c r="H119" s="27">
        <f t="shared" si="16"/>
        <v>10</v>
      </c>
      <c r="I119" s="27">
        <f t="shared" si="10"/>
        <v>10</v>
      </c>
      <c r="J119" s="27">
        <f t="shared" si="11"/>
        <v>8.5</v>
      </c>
      <c r="K119" s="27">
        <f t="shared" si="12"/>
        <v>10</v>
      </c>
      <c r="L119" s="27">
        <f t="shared" si="13"/>
        <v>8.5</v>
      </c>
      <c r="M119" s="32" t="str">
        <f>'Input Sheet'!E118</f>
        <v>F</v>
      </c>
      <c r="N119" s="32">
        <f t="shared" si="14"/>
        <v>2</v>
      </c>
      <c r="T119" s="32">
        <f t="shared" si="19"/>
        <v>0</v>
      </c>
      <c r="U119" s="32">
        <f t="shared" si="19"/>
        <v>10</v>
      </c>
      <c r="V119" s="32">
        <f t="shared" si="19"/>
        <v>0</v>
      </c>
      <c r="W119" s="32">
        <f t="shared" si="19"/>
        <v>0</v>
      </c>
      <c r="X119" s="32">
        <f t="shared" si="19"/>
        <v>0</v>
      </c>
    </row>
    <row r="120" spans="1:24" ht="16.5" customHeight="1" x14ac:dyDescent="0.25">
      <c r="A120" s="39" t="str">
        <f>'Long Sample Name'!A117</f>
        <v>Sample 2500m: 10% Siltstone, 90% very fine to fine, rare medium Sandstone, 90% dull to moderately bright FLUOR in SST. TG 191U</v>
      </c>
      <c r="B120" s="25">
        <f>'Input Sheet'!L119</f>
        <v>45196</v>
      </c>
      <c r="C120" s="26">
        <f>'Input Sheet'!M119</f>
        <v>0.19027777777777777</v>
      </c>
      <c r="D120" s="40">
        <f>'Input Sheet'!B119</f>
        <v>2500</v>
      </c>
      <c r="E120" s="37">
        <f>'Input Sheet'!I119</f>
        <v>191</v>
      </c>
      <c r="F120" s="29">
        <f>('Input Sheet'!C119)/100</f>
        <v>0.9</v>
      </c>
      <c r="G120" s="29">
        <f>('Input Sheet'!F119)/100</f>
        <v>0.9</v>
      </c>
      <c r="H120" s="27">
        <f t="shared" si="16"/>
        <v>10</v>
      </c>
      <c r="I120" s="27">
        <f t="shared" si="10"/>
        <v>10</v>
      </c>
      <c r="J120" s="27">
        <f t="shared" si="11"/>
        <v>9</v>
      </c>
      <c r="K120" s="27">
        <f t="shared" si="12"/>
        <v>10</v>
      </c>
      <c r="L120" s="27">
        <f t="shared" si="13"/>
        <v>9</v>
      </c>
      <c r="M120" s="32" t="str">
        <f>'Input Sheet'!E119</f>
        <v>M</v>
      </c>
      <c r="N120" s="32">
        <f t="shared" si="14"/>
        <v>3</v>
      </c>
      <c r="T120" s="32">
        <f t="shared" si="19"/>
        <v>0</v>
      </c>
      <c r="U120" s="32">
        <f t="shared" si="19"/>
        <v>0</v>
      </c>
      <c r="V120" s="32">
        <f t="shared" si="19"/>
        <v>10</v>
      </c>
      <c r="W120" s="32">
        <f t="shared" si="19"/>
        <v>0</v>
      </c>
      <c r="X120" s="32">
        <f t="shared" si="19"/>
        <v>0</v>
      </c>
    </row>
    <row r="121" spans="1:24" ht="16.5" customHeight="1" x14ac:dyDescent="0.25">
      <c r="A121" s="39" t="str">
        <f>'Long Sample Name'!A118</f>
        <v>Sample 2510m: 30% Siltstone, 70% very fine to  rare fine Sandstone, 100% dull to moderately bright FLUOR in SST. TG 157U</v>
      </c>
      <c r="B121" s="25">
        <f>'Input Sheet'!L120</f>
        <v>45196</v>
      </c>
      <c r="C121" s="26">
        <f>'Input Sheet'!M120</f>
        <v>0.21249999999999999</v>
      </c>
      <c r="D121" s="40">
        <f>'Input Sheet'!B120</f>
        <v>2510</v>
      </c>
      <c r="E121" s="37">
        <f>'Input Sheet'!I120</f>
        <v>157</v>
      </c>
      <c r="F121" s="29">
        <f>('Input Sheet'!C120)/100</f>
        <v>0.7</v>
      </c>
      <c r="G121" s="29">
        <f>('Input Sheet'!F120)/100</f>
        <v>1</v>
      </c>
      <c r="H121" s="27">
        <f t="shared" si="16"/>
        <v>10</v>
      </c>
      <c r="I121" s="27">
        <f t="shared" si="10"/>
        <v>10</v>
      </c>
      <c r="J121" s="27">
        <f t="shared" si="11"/>
        <v>7</v>
      </c>
      <c r="K121" s="27">
        <f t="shared" si="12"/>
        <v>10</v>
      </c>
      <c r="L121" s="27">
        <f t="shared" si="13"/>
        <v>7</v>
      </c>
      <c r="M121" s="32" t="str">
        <f>'Input Sheet'!E120</f>
        <v>F</v>
      </c>
      <c r="N121" s="32">
        <f t="shared" si="14"/>
        <v>2</v>
      </c>
      <c r="T121" s="32">
        <f t="shared" si="19"/>
        <v>0</v>
      </c>
      <c r="U121" s="32">
        <f t="shared" si="19"/>
        <v>10</v>
      </c>
      <c r="V121" s="32">
        <f t="shared" si="19"/>
        <v>0</v>
      </c>
      <c r="W121" s="32">
        <f t="shared" si="19"/>
        <v>0</v>
      </c>
      <c r="X121" s="32">
        <f t="shared" si="19"/>
        <v>0</v>
      </c>
    </row>
    <row r="122" spans="1:24" ht="16.5" customHeight="1" x14ac:dyDescent="0.25">
      <c r="A122" s="39" t="str">
        <f>'Long Sample Name'!A119</f>
        <v>Sample 2520m: 20% Siltstone, 80% very fine to fine Sandstone, 100% dull to moderately bright FLUOR in SST. TG 185U</v>
      </c>
      <c r="B122" s="25">
        <f>'Input Sheet'!L121</f>
        <v>45196</v>
      </c>
      <c r="C122" s="26">
        <f>'Input Sheet'!M121</f>
        <v>0.23611111111111113</v>
      </c>
      <c r="D122" s="40">
        <f>'Input Sheet'!B121</f>
        <v>2520</v>
      </c>
      <c r="E122" s="37">
        <f>'Input Sheet'!I121</f>
        <v>185</v>
      </c>
      <c r="F122" s="29">
        <f>('Input Sheet'!C121)/100</f>
        <v>0.8</v>
      </c>
      <c r="G122" s="29">
        <f>('Input Sheet'!F121)/100</f>
        <v>1</v>
      </c>
      <c r="H122" s="27">
        <f t="shared" si="16"/>
        <v>10</v>
      </c>
      <c r="I122" s="27">
        <f t="shared" si="10"/>
        <v>10</v>
      </c>
      <c r="J122" s="27">
        <f t="shared" si="11"/>
        <v>8</v>
      </c>
      <c r="K122" s="27">
        <f t="shared" si="12"/>
        <v>10</v>
      </c>
      <c r="L122" s="27">
        <f t="shared" si="13"/>
        <v>8</v>
      </c>
      <c r="M122" s="32" t="str">
        <f>'Input Sheet'!E121</f>
        <v>F</v>
      </c>
      <c r="N122" s="32">
        <f t="shared" si="14"/>
        <v>2</v>
      </c>
      <c r="T122" s="32">
        <f t="shared" si="19"/>
        <v>0</v>
      </c>
      <c r="U122" s="32">
        <f t="shared" si="19"/>
        <v>10</v>
      </c>
      <c r="V122" s="32">
        <f t="shared" si="19"/>
        <v>0</v>
      </c>
      <c r="W122" s="32">
        <f t="shared" si="19"/>
        <v>0</v>
      </c>
      <c r="X122" s="32">
        <f t="shared" si="19"/>
        <v>0</v>
      </c>
    </row>
    <row r="123" spans="1:24" ht="16.5" customHeight="1" x14ac:dyDescent="0.25">
      <c r="A123" s="39" t="str">
        <f>'Long Sample Name'!A120</f>
        <v>Sample 2530m: 15% Siltstone, 85% very fine to fine, rare coarse Sandstone, 100% dull to moderately bright FLUOR in SST. TG 210U</v>
      </c>
      <c r="B123" s="25">
        <f>'Input Sheet'!L122</f>
        <v>45196</v>
      </c>
      <c r="C123" s="26">
        <f>'Input Sheet'!M122</f>
        <v>0.25416666666666665</v>
      </c>
      <c r="D123" s="40">
        <f>'Input Sheet'!B122</f>
        <v>2530</v>
      </c>
      <c r="E123" s="37">
        <f>'Input Sheet'!I122</f>
        <v>210</v>
      </c>
      <c r="F123" s="29">
        <f>('Input Sheet'!C122)/100</f>
        <v>0.85</v>
      </c>
      <c r="G123" s="29">
        <f>('Input Sheet'!F122)/100</f>
        <v>1</v>
      </c>
      <c r="H123" s="27">
        <f t="shared" si="16"/>
        <v>10</v>
      </c>
      <c r="I123" s="27">
        <f t="shared" si="10"/>
        <v>10</v>
      </c>
      <c r="J123" s="27">
        <f t="shared" si="11"/>
        <v>8.5</v>
      </c>
      <c r="K123" s="27">
        <f t="shared" si="12"/>
        <v>10</v>
      </c>
      <c r="L123" s="27">
        <f t="shared" si="13"/>
        <v>8.5</v>
      </c>
      <c r="M123" s="32" t="str">
        <f>'Input Sheet'!E122</f>
        <v>C</v>
      </c>
      <c r="N123" s="32">
        <f t="shared" si="14"/>
        <v>4</v>
      </c>
      <c r="T123" s="32">
        <f t="shared" si="19"/>
        <v>0</v>
      </c>
      <c r="U123" s="32">
        <f t="shared" si="19"/>
        <v>0</v>
      </c>
      <c r="V123" s="32">
        <f t="shared" si="19"/>
        <v>0</v>
      </c>
      <c r="W123" s="32">
        <f t="shared" si="19"/>
        <v>10</v>
      </c>
      <c r="X123" s="32">
        <f t="shared" si="19"/>
        <v>0</v>
      </c>
    </row>
    <row r="124" spans="1:24" ht="16.5" customHeight="1" x14ac:dyDescent="0.25">
      <c r="A124" s="39" t="str">
        <f>'Long Sample Name'!A121</f>
        <v>Sample 2540m: 20% Siltstone, 80% very fine to medium Sandstone, 100% moderately bright FLUOR in SST. TG 170U</v>
      </c>
      <c r="B124" s="25">
        <f>'Input Sheet'!L123</f>
        <v>45196</v>
      </c>
      <c r="C124" s="26">
        <f>'Input Sheet'!M123</f>
        <v>0.27916666666666667</v>
      </c>
      <c r="D124" s="40">
        <f>'Input Sheet'!B123</f>
        <v>2540</v>
      </c>
      <c r="E124" s="37">
        <f>'Input Sheet'!I123</f>
        <v>170</v>
      </c>
      <c r="F124" s="29">
        <f>('Input Sheet'!C123)/100</f>
        <v>0.8</v>
      </c>
      <c r="G124" s="29">
        <f>('Input Sheet'!F123)/100</f>
        <v>1</v>
      </c>
      <c r="H124" s="27">
        <f t="shared" si="16"/>
        <v>10</v>
      </c>
      <c r="I124" s="27">
        <f t="shared" si="10"/>
        <v>10</v>
      </c>
      <c r="J124" s="27">
        <f t="shared" si="11"/>
        <v>8</v>
      </c>
      <c r="K124" s="27">
        <f t="shared" si="12"/>
        <v>10</v>
      </c>
      <c r="L124" s="27">
        <f t="shared" si="13"/>
        <v>8</v>
      </c>
      <c r="M124" s="32" t="str">
        <f>'Input Sheet'!E123</f>
        <v xml:space="preserve">M </v>
      </c>
      <c r="N124" s="32">
        <f t="shared" si="14"/>
        <v>0</v>
      </c>
      <c r="T124" s="32">
        <f t="shared" si="19"/>
        <v>0</v>
      </c>
      <c r="U124" s="32">
        <f t="shared" si="19"/>
        <v>0</v>
      </c>
      <c r="V124" s="32">
        <f t="shared" si="19"/>
        <v>0</v>
      </c>
      <c r="W124" s="32">
        <f t="shared" si="19"/>
        <v>0</v>
      </c>
      <c r="X124" s="32">
        <f t="shared" si="19"/>
        <v>0</v>
      </c>
    </row>
    <row r="125" spans="1:24" ht="16.5" customHeight="1" x14ac:dyDescent="0.25">
      <c r="A125" s="39" t="str">
        <f>'Long Sample Name'!A122</f>
        <v>Sample 2550m: 30% Siltstone, rare siderite in 70% very fine to medium Sandstone, 80% moderately bright FLUOR in SST. TG 161U</v>
      </c>
      <c r="B125" s="25">
        <f>'Input Sheet'!L124</f>
        <v>45196</v>
      </c>
      <c r="C125" s="26">
        <f>'Input Sheet'!M124</f>
        <v>0.2951388888888889</v>
      </c>
      <c r="D125" s="40">
        <f>'Input Sheet'!B124</f>
        <v>2550</v>
      </c>
      <c r="E125" s="37">
        <f>'Input Sheet'!I124</f>
        <v>161</v>
      </c>
      <c r="F125" s="29">
        <f>('Input Sheet'!C124)/100</f>
        <v>0.7</v>
      </c>
      <c r="G125" s="29">
        <f>('Input Sheet'!F124)/100</f>
        <v>0.8</v>
      </c>
      <c r="H125" s="27">
        <f t="shared" si="16"/>
        <v>10</v>
      </c>
      <c r="I125" s="27">
        <f t="shared" si="10"/>
        <v>10</v>
      </c>
      <c r="J125" s="27">
        <f t="shared" si="11"/>
        <v>7</v>
      </c>
      <c r="K125" s="27">
        <f t="shared" si="12"/>
        <v>10</v>
      </c>
      <c r="L125" s="27">
        <f t="shared" si="13"/>
        <v>7</v>
      </c>
      <c r="M125" s="32" t="str">
        <f>'Input Sheet'!E124</f>
        <v xml:space="preserve">M </v>
      </c>
      <c r="N125" s="32">
        <f t="shared" si="14"/>
        <v>0</v>
      </c>
      <c r="T125" s="32">
        <f t="shared" si="19"/>
        <v>0</v>
      </c>
      <c r="U125" s="32">
        <f t="shared" si="19"/>
        <v>0</v>
      </c>
      <c r="V125" s="32">
        <f t="shared" si="19"/>
        <v>0</v>
      </c>
      <c r="W125" s="32">
        <f t="shared" si="19"/>
        <v>0</v>
      </c>
      <c r="X125" s="32">
        <f t="shared" si="19"/>
        <v>0</v>
      </c>
    </row>
    <row r="126" spans="1:24" ht="16.5" customHeight="1" x14ac:dyDescent="0.25">
      <c r="A126" s="39" t="str">
        <f>'Long Sample Name'!A123</f>
        <v>Sample 2560m: 10% Siltstone, 90% very fine to fine, minor medium Sandstone, 80% moderately bright  to  bright FLUOR in SST. TG 160U</v>
      </c>
      <c r="B126" s="25">
        <f>'Input Sheet'!L125</f>
        <v>45196</v>
      </c>
      <c r="C126" s="26">
        <f>'Input Sheet'!M125</f>
        <v>0.31944444444444448</v>
      </c>
      <c r="D126" s="40">
        <f>'Input Sheet'!B125</f>
        <v>2560</v>
      </c>
      <c r="E126" s="37">
        <f>'Input Sheet'!I125</f>
        <v>160</v>
      </c>
      <c r="F126" s="29">
        <f>('Input Sheet'!C125)/100</f>
        <v>0.9</v>
      </c>
      <c r="G126" s="29">
        <f>('Input Sheet'!F125)/100</f>
        <v>0.8</v>
      </c>
      <c r="H126" s="27">
        <f t="shared" si="16"/>
        <v>10</v>
      </c>
      <c r="I126" s="27">
        <f t="shared" si="10"/>
        <v>10</v>
      </c>
      <c r="J126" s="27">
        <f t="shared" si="11"/>
        <v>9</v>
      </c>
      <c r="K126" s="27">
        <f t="shared" si="12"/>
        <v>10</v>
      </c>
      <c r="L126" s="27">
        <f t="shared" si="13"/>
        <v>9</v>
      </c>
      <c r="M126" s="32" t="str">
        <f>'Input Sheet'!E125</f>
        <v xml:space="preserve">M </v>
      </c>
      <c r="N126" s="32">
        <f t="shared" si="14"/>
        <v>0</v>
      </c>
      <c r="T126" s="32">
        <f t="shared" si="19"/>
        <v>0</v>
      </c>
      <c r="U126" s="32">
        <f t="shared" si="19"/>
        <v>0</v>
      </c>
      <c r="V126" s="32">
        <f t="shared" si="19"/>
        <v>0</v>
      </c>
      <c r="W126" s="32">
        <f t="shared" si="19"/>
        <v>0</v>
      </c>
      <c r="X126" s="32">
        <f t="shared" si="19"/>
        <v>0</v>
      </c>
    </row>
    <row r="127" spans="1:24" ht="16.5" customHeight="1" x14ac:dyDescent="0.25">
      <c r="A127" s="39" t="str">
        <f>'Long Sample Name'!A124</f>
        <v>Sample 2570m: 0% Siltstone, 100% very fine to coarse,dominantly medium lse Sandstone, 100% moderately bright  to  bright FLUOR in SST. TG 190U</v>
      </c>
      <c r="B127" s="25">
        <f>'Input Sheet'!L126</f>
        <v>45196</v>
      </c>
      <c r="C127" s="26">
        <f>'Input Sheet'!M126</f>
        <v>0.33333333333333331</v>
      </c>
      <c r="D127" s="40">
        <f>'Input Sheet'!B126</f>
        <v>2570</v>
      </c>
      <c r="E127" s="37">
        <f>'Input Sheet'!I126</f>
        <v>190</v>
      </c>
      <c r="F127" s="29">
        <f>('Input Sheet'!C126)/100</f>
        <v>1</v>
      </c>
      <c r="G127" s="29">
        <f>('Input Sheet'!F126)/100</f>
        <v>1</v>
      </c>
      <c r="H127" s="27">
        <f t="shared" si="16"/>
        <v>10</v>
      </c>
      <c r="I127" s="27">
        <f t="shared" si="10"/>
        <v>10</v>
      </c>
      <c r="J127" s="27">
        <f t="shared" si="11"/>
        <v>10</v>
      </c>
      <c r="K127" s="27">
        <f t="shared" si="12"/>
        <v>10</v>
      </c>
      <c r="L127" s="27">
        <f t="shared" si="13"/>
        <v>10</v>
      </c>
      <c r="M127" s="32" t="str">
        <f>'Input Sheet'!E126</f>
        <v>C</v>
      </c>
      <c r="N127" s="32">
        <f t="shared" si="14"/>
        <v>4</v>
      </c>
      <c r="T127" s="32">
        <f t="shared" si="19"/>
        <v>0</v>
      </c>
      <c r="U127" s="32">
        <f t="shared" si="19"/>
        <v>0</v>
      </c>
      <c r="V127" s="32">
        <f t="shared" si="19"/>
        <v>0</v>
      </c>
      <c r="W127" s="32">
        <f t="shared" si="19"/>
        <v>10</v>
      </c>
      <c r="X127" s="32">
        <f t="shared" si="19"/>
        <v>0</v>
      </c>
    </row>
    <row r="128" spans="1:24" ht="16.5" customHeight="1" x14ac:dyDescent="0.25">
      <c r="A128" s="39" t="str">
        <f>'Long Sample Name'!A125</f>
        <v>Sample 2580m: 5% Siltstone, 95% very fine to fine agg, minor medium Sandstone, 100% moderately bright  to  bright FLUOR in SST. TG 184U</v>
      </c>
      <c r="B128" s="25">
        <f>'Input Sheet'!L127</f>
        <v>45196</v>
      </c>
      <c r="C128" s="26">
        <f>'Input Sheet'!M127</f>
        <v>0.3576388888888889</v>
      </c>
      <c r="D128" s="40">
        <f>'Input Sheet'!B127</f>
        <v>2580</v>
      </c>
      <c r="E128" s="37">
        <f>'Input Sheet'!I127</f>
        <v>184</v>
      </c>
      <c r="F128" s="29">
        <f>('Input Sheet'!C127)/100</f>
        <v>0.95</v>
      </c>
      <c r="G128" s="29">
        <f>('Input Sheet'!F127)/100</f>
        <v>1</v>
      </c>
      <c r="H128" s="27">
        <f t="shared" si="16"/>
        <v>10</v>
      </c>
      <c r="I128" s="27">
        <f t="shared" si="10"/>
        <v>10</v>
      </c>
      <c r="J128" s="27">
        <f t="shared" si="11"/>
        <v>9.5</v>
      </c>
      <c r="K128" s="27">
        <f t="shared" si="12"/>
        <v>10</v>
      </c>
      <c r="L128" s="27">
        <f t="shared" si="13"/>
        <v>9.5</v>
      </c>
      <c r="M128" s="32" t="str">
        <f>'Input Sheet'!E127</f>
        <v xml:space="preserve">M </v>
      </c>
      <c r="N128" s="32">
        <f t="shared" si="14"/>
        <v>0</v>
      </c>
      <c r="T128" s="32">
        <f t="shared" si="19"/>
        <v>0</v>
      </c>
      <c r="U128" s="32">
        <f t="shared" si="19"/>
        <v>0</v>
      </c>
      <c r="V128" s="32">
        <f t="shared" si="19"/>
        <v>0</v>
      </c>
      <c r="W128" s="32">
        <f t="shared" si="19"/>
        <v>0</v>
      </c>
      <c r="X128" s="32">
        <f t="shared" si="19"/>
        <v>0</v>
      </c>
    </row>
    <row r="129" spans="1:24" ht="16.5" customHeight="1" x14ac:dyDescent="0.25">
      <c r="A129" s="39" t="str">
        <f>'Long Sample Name'!A126</f>
        <v>Sample 2590m: 0% Siltstone, 100% fine to medium lse Sandstone, 100% moderately bright  to  bright FLUOR in SST. TG 185U</v>
      </c>
      <c r="B129" s="25">
        <f>'Input Sheet'!L128</f>
        <v>45196</v>
      </c>
      <c r="C129" s="26">
        <f>'Input Sheet'!M128</f>
        <v>0.37152777777777773</v>
      </c>
      <c r="D129" s="40">
        <f>'Input Sheet'!B128</f>
        <v>2590</v>
      </c>
      <c r="E129" s="37">
        <f>'Input Sheet'!I128</f>
        <v>185</v>
      </c>
      <c r="F129" s="29">
        <f>('Input Sheet'!C128)/100</f>
        <v>1</v>
      </c>
      <c r="G129" s="29">
        <f>('Input Sheet'!F128)/100</f>
        <v>1</v>
      </c>
      <c r="H129" s="27">
        <f t="shared" si="16"/>
        <v>10</v>
      </c>
      <c r="I129" s="27">
        <f t="shared" si="10"/>
        <v>10</v>
      </c>
      <c r="J129" s="27">
        <f t="shared" si="11"/>
        <v>10</v>
      </c>
      <c r="K129" s="27">
        <f t="shared" si="12"/>
        <v>10</v>
      </c>
      <c r="L129" s="27">
        <f t="shared" si="13"/>
        <v>10</v>
      </c>
      <c r="M129" s="32" t="str">
        <f>'Input Sheet'!E128</f>
        <v xml:space="preserve">M </v>
      </c>
      <c r="N129" s="32">
        <f t="shared" si="14"/>
        <v>0</v>
      </c>
      <c r="T129" s="32">
        <f t="shared" si="19"/>
        <v>0</v>
      </c>
      <c r="U129" s="32">
        <f t="shared" si="19"/>
        <v>0</v>
      </c>
      <c r="V129" s="32">
        <f t="shared" si="19"/>
        <v>0</v>
      </c>
      <c r="W129" s="32">
        <f t="shared" si="19"/>
        <v>0</v>
      </c>
      <c r="X129" s="32">
        <f t="shared" si="19"/>
        <v>0</v>
      </c>
    </row>
    <row r="130" spans="1:24" ht="16.5" customHeight="1" x14ac:dyDescent="0.25">
      <c r="A130" s="39" t="str">
        <f>'Long Sample Name'!A127</f>
        <v>Sample 2600m: 0% Siltstone, 100% very fine to medium Sandstone, 100% moderately bright  to  bright FLUOR in SST. TG 175U</v>
      </c>
      <c r="B130" s="25">
        <f>'Input Sheet'!L129</f>
        <v>45196</v>
      </c>
      <c r="C130" s="26">
        <f>'Input Sheet'!M129</f>
        <v>0.38541666666666669</v>
      </c>
      <c r="D130" s="40">
        <f>'Input Sheet'!B129</f>
        <v>2600</v>
      </c>
      <c r="E130" s="37">
        <f>'Input Sheet'!I129</f>
        <v>175</v>
      </c>
      <c r="F130" s="29">
        <f>('Input Sheet'!C129)/100</f>
        <v>1</v>
      </c>
      <c r="G130" s="29">
        <f>('Input Sheet'!F129)/100</f>
        <v>1</v>
      </c>
      <c r="H130" s="27">
        <f t="shared" si="16"/>
        <v>10</v>
      </c>
      <c r="I130" s="27">
        <f t="shared" si="10"/>
        <v>10</v>
      </c>
      <c r="J130" s="27">
        <f t="shared" si="11"/>
        <v>10</v>
      </c>
      <c r="K130" s="27">
        <f t="shared" si="12"/>
        <v>10</v>
      </c>
      <c r="L130" s="27">
        <f t="shared" si="13"/>
        <v>10</v>
      </c>
      <c r="M130" s="32" t="str">
        <f>'Input Sheet'!E129</f>
        <v xml:space="preserve">M </v>
      </c>
      <c r="N130" s="32">
        <f t="shared" si="14"/>
        <v>0</v>
      </c>
      <c r="T130" s="32">
        <f t="shared" si="19"/>
        <v>0</v>
      </c>
      <c r="U130" s="32">
        <f t="shared" si="19"/>
        <v>0</v>
      </c>
      <c r="V130" s="32">
        <f t="shared" si="19"/>
        <v>0</v>
      </c>
      <c r="W130" s="32">
        <f t="shared" si="19"/>
        <v>0</v>
      </c>
      <c r="X130" s="32">
        <f t="shared" si="19"/>
        <v>0</v>
      </c>
    </row>
    <row r="131" spans="1:24" ht="16.5" customHeight="1" x14ac:dyDescent="0.25">
      <c r="A131" s="39" t="str">
        <f>'Long Sample Name'!A128</f>
        <v>Sample 2610m: 10% Siltstone, 90% very fine to medium Sandstone, 80% dull to moderately bright FLUOR in SST. TG 151U</v>
      </c>
      <c r="B131" s="25">
        <f>'Input Sheet'!L130</f>
        <v>45196</v>
      </c>
      <c r="C131" s="26">
        <f>'Input Sheet'!M130</f>
        <v>0.41111111111111115</v>
      </c>
      <c r="D131" s="40">
        <f>'Input Sheet'!B130</f>
        <v>2610</v>
      </c>
      <c r="E131" s="37">
        <f>'Input Sheet'!I130</f>
        <v>151</v>
      </c>
      <c r="F131" s="29">
        <f>('Input Sheet'!C130)/100</f>
        <v>0.9</v>
      </c>
      <c r="G131" s="29">
        <f>('Input Sheet'!F130)/100</f>
        <v>0.8</v>
      </c>
      <c r="H131" s="27">
        <f t="shared" si="16"/>
        <v>10</v>
      </c>
      <c r="I131" s="27">
        <f t="shared" si="10"/>
        <v>10</v>
      </c>
      <c r="J131" s="27">
        <f t="shared" si="11"/>
        <v>9</v>
      </c>
      <c r="K131" s="27">
        <f t="shared" si="12"/>
        <v>10</v>
      </c>
      <c r="L131" s="27">
        <f t="shared" si="13"/>
        <v>9</v>
      </c>
      <c r="M131" s="32" t="str">
        <f>'Input Sheet'!E130</f>
        <v xml:space="preserve">M </v>
      </c>
      <c r="N131" s="32">
        <f t="shared" si="14"/>
        <v>0</v>
      </c>
      <c r="T131" s="32">
        <f t="shared" si="19"/>
        <v>0</v>
      </c>
      <c r="U131" s="32">
        <f t="shared" si="19"/>
        <v>0</v>
      </c>
      <c r="V131" s="32">
        <f t="shared" si="19"/>
        <v>0</v>
      </c>
      <c r="W131" s="32">
        <f t="shared" si="19"/>
        <v>0</v>
      </c>
      <c r="X131" s="32">
        <f t="shared" si="19"/>
        <v>0</v>
      </c>
    </row>
    <row r="132" spans="1:24" ht="16.5" customHeight="1" x14ac:dyDescent="0.25">
      <c r="A132" s="39" t="str">
        <f>'Long Sample Name'!A129</f>
        <v>Sample 2620m: 20% Siltstone, 80% very fine to medium Sandstone, 70% moderately bright  to  bright FLUOR in SST. TG 150U</v>
      </c>
      <c r="B132" s="25">
        <f>'Input Sheet'!L131</f>
        <v>45196</v>
      </c>
      <c r="C132" s="26">
        <f>'Input Sheet'!M131</f>
        <v>0.44097222222222227</v>
      </c>
      <c r="D132" s="40">
        <f>'Input Sheet'!B131</f>
        <v>2620</v>
      </c>
      <c r="E132" s="37">
        <f>'Input Sheet'!I131</f>
        <v>150</v>
      </c>
      <c r="F132" s="29">
        <f>('Input Sheet'!C131)/100</f>
        <v>0.8</v>
      </c>
      <c r="G132" s="29">
        <f>('Input Sheet'!F131)/100</f>
        <v>0.7</v>
      </c>
      <c r="H132" s="27">
        <f t="shared" si="16"/>
        <v>10</v>
      </c>
      <c r="I132" s="27">
        <f t="shared" si="10"/>
        <v>10</v>
      </c>
      <c r="J132" s="27">
        <f t="shared" si="11"/>
        <v>8</v>
      </c>
      <c r="K132" s="27">
        <f t="shared" si="12"/>
        <v>0</v>
      </c>
      <c r="L132" s="27">
        <f t="shared" si="13"/>
        <v>0</v>
      </c>
      <c r="M132" s="32" t="str">
        <f>'Input Sheet'!E131</f>
        <v xml:space="preserve">M </v>
      </c>
      <c r="N132" s="32">
        <f t="shared" si="14"/>
        <v>0</v>
      </c>
      <c r="T132" s="32">
        <f t="shared" si="19"/>
        <v>0</v>
      </c>
      <c r="U132" s="32">
        <f t="shared" si="19"/>
        <v>0</v>
      </c>
      <c r="V132" s="32">
        <f t="shared" si="19"/>
        <v>0</v>
      </c>
      <c r="W132" s="32">
        <f t="shared" si="19"/>
        <v>0</v>
      </c>
      <c r="X132" s="32">
        <f t="shared" si="19"/>
        <v>0</v>
      </c>
    </row>
    <row r="133" spans="1:24" ht="16.5" customHeight="1" x14ac:dyDescent="0.25">
      <c r="A133" s="39" t="str">
        <f>'Long Sample Name'!A130</f>
        <v>Sample 2630m: 10% Siltstone, 90% very fine to medium Sandstone, 80% moderately bright  to  bright FLUOR in SST. TG 157U</v>
      </c>
      <c r="B133" s="25">
        <f>'Input Sheet'!L132</f>
        <v>45196</v>
      </c>
      <c r="C133" s="26">
        <f>'Input Sheet'!M132</f>
        <v>0.46111111111111108</v>
      </c>
      <c r="D133" s="40">
        <f>'Input Sheet'!B132</f>
        <v>2630</v>
      </c>
      <c r="E133" s="37">
        <f>'Input Sheet'!I132</f>
        <v>157</v>
      </c>
      <c r="F133" s="29">
        <f>('Input Sheet'!C132)/100</f>
        <v>0.9</v>
      </c>
      <c r="G133" s="29">
        <f>('Input Sheet'!F132)/100</f>
        <v>0.8</v>
      </c>
      <c r="H133" s="27">
        <f t="shared" si="16"/>
        <v>10</v>
      </c>
      <c r="I133" s="27">
        <f t="shared" ref="I133:I196" si="20">IF(AND(F133&gt;=$F$2,G133&gt;=$G$2),H133,0)</f>
        <v>10</v>
      </c>
      <c r="J133" s="27">
        <f t="shared" ref="J133:J196" si="21">IF(I133&gt;0,I133*F133,0)</f>
        <v>9</v>
      </c>
      <c r="K133" s="27">
        <f t="shared" ref="K133:K196" si="22">IF(AND(F133&gt;=$F$3,G133&gt;=$G$3),H133,0)</f>
        <v>10</v>
      </c>
      <c r="L133" s="27">
        <f t="shared" ref="L133:L196" si="23">IF(K133&gt;0,K133*F133,0)</f>
        <v>9</v>
      </c>
      <c r="M133" s="32" t="str">
        <f>'Input Sheet'!E132</f>
        <v>M</v>
      </c>
      <c r="N133" s="32">
        <f t="shared" ref="N133:N196" si="24">IF(M133="VF",1,IF(M133="F",2,IF(M133="M",3,IF(M133="C",4,IF(M133="VC",5,0)))))</f>
        <v>3</v>
      </c>
      <c r="T133" s="32">
        <f t="shared" ref="T133:X148" si="25">IF($M133=T$1,$H133,0)</f>
        <v>0</v>
      </c>
      <c r="U133" s="32">
        <f t="shared" si="25"/>
        <v>0</v>
      </c>
      <c r="V133" s="32">
        <f t="shared" si="25"/>
        <v>10</v>
      </c>
      <c r="W133" s="32">
        <f t="shared" si="25"/>
        <v>0</v>
      </c>
      <c r="X133" s="32">
        <f t="shared" si="25"/>
        <v>0</v>
      </c>
    </row>
    <row r="134" spans="1:24" ht="16.5" customHeight="1" x14ac:dyDescent="0.25">
      <c r="A134" s="39" t="str">
        <f>'Long Sample Name'!A131</f>
        <v>Sample 2640m: 5% Siltstone, 95% very fine to medium Sandstone, 100% bright  FLUOR in SST. TG 247U</v>
      </c>
      <c r="B134" s="25">
        <f>'Input Sheet'!L133</f>
        <v>45196</v>
      </c>
      <c r="C134" s="26">
        <f>'Input Sheet'!M133</f>
        <v>0.4826388888888889</v>
      </c>
      <c r="D134" s="40">
        <f>'Input Sheet'!B133</f>
        <v>2640</v>
      </c>
      <c r="E134" s="37">
        <f>'Input Sheet'!I133</f>
        <v>247</v>
      </c>
      <c r="F134" s="29">
        <f>('Input Sheet'!C133)/100</f>
        <v>0.95</v>
      </c>
      <c r="G134" s="29">
        <f>('Input Sheet'!F133)/100</f>
        <v>1</v>
      </c>
      <c r="H134" s="27">
        <f t="shared" ref="H134:H197" si="26">IF(D134&lt;&gt;"",D134-D133,"")</f>
        <v>10</v>
      </c>
      <c r="I134" s="27">
        <f t="shared" si="20"/>
        <v>10</v>
      </c>
      <c r="J134" s="27">
        <f t="shared" si="21"/>
        <v>9.5</v>
      </c>
      <c r="K134" s="27">
        <f t="shared" si="22"/>
        <v>10</v>
      </c>
      <c r="L134" s="27">
        <f t="shared" si="23"/>
        <v>9.5</v>
      </c>
      <c r="M134" s="32" t="str">
        <f>'Input Sheet'!E133</f>
        <v>M</v>
      </c>
      <c r="N134" s="32">
        <f t="shared" si="24"/>
        <v>3</v>
      </c>
      <c r="T134" s="32">
        <f t="shared" si="25"/>
        <v>0</v>
      </c>
      <c r="U134" s="32">
        <f t="shared" si="25"/>
        <v>0</v>
      </c>
      <c r="V134" s="32">
        <f t="shared" si="25"/>
        <v>10</v>
      </c>
      <c r="W134" s="32">
        <f t="shared" si="25"/>
        <v>0</v>
      </c>
      <c r="X134" s="32">
        <f t="shared" si="25"/>
        <v>0</v>
      </c>
    </row>
    <row r="135" spans="1:24" ht="16.5" customHeight="1" x14ac:dyDescent="0.25">
      <c r="A135" s="39" t="str">
        <f>'Long Sample Name'!A132</f>
        <v>Sample 2650m: 0% Siltstone, 100% very fine to medium Sandstone, 100% bright  FLUOR in SST. TG 246U</v>
      </c>
      <c r="B135" s="25">
        <f>'Input Sheet'!L134</f>
        <v>45196</v>
      </c>
      <c r="C135" s="26">
        <f>'Input Sheet'!M134</f>
        <v>0.50208333333333333</v>
      </c>
      <c r="D135" s="40">
        <f>'Input Sheet'!B134</f>
        <v>2650</v>
      </c>
      <c r="E135" s="37">
        <f>'Input Sheet'!I134</f>
        <v>246</v>
      </c>
      <c r="F135" s="29">
        <f>('Input Sheet'!C134)/100</f>
        <v>1</v>
      </c>
      <c r="G135" s="29">
        <f>('Input Sheet'!F134)/100</f>
        <v>1</v>
      </c>
      <c r="H135" s="27">
        <f t="shared" si="26"/>
        <v>10</v>
      </c>
      <c r="I135" s="27">
        <f t="shared" si="20"/>
        <v>10</v>
      </c>
      <c r="J135" s="27">
        <f t="shared" si="21"/>
        <v>10</v>
      </c>
      <c r="K135" s="27">
        <f t="shared" si="22"/>
        <v>10</v>
      </c>
      <c r="L135" s="27">
        <f t="shared" si="23"/>
        <v>10</v>
      </c>
      <c r="M135" s="32" t="str">
        <f>'Input Sheet'!E134</f>
        <v>M</v>
      </c>
      <c r="N135" s="32">
        <f t="shared" si="24"/>
        <v>3</v>
      </c>
      <c r="T135" s="32">
        <f t="shared" si="25"/>
        <v>0</v>
      </c>
      <c r="U135" s="32">
        <f t="shared" si="25"/>
        <v>0</v>
      </c>
      <c r="V135" s="32">
        <f t="shared" si="25"/>
        <v>10</v>
      </c>
      <c r="W135" s="32">
        <f t="shared" si="25"/>
        <v>0</v>
      </c>
      <c r="X135" s="32">
        <f t="shared" si="25"/>
        <v>0</v>
      </c>
    </row>
    <row r="136" spans="1:24" ht="16.5" customHeight="1" x14ac:dyDescent="0.25">
      <c r="A136" s="39" t="str">
        <f>'Long Sample Name'!A133</f>
        <v>Sample 2660m: 0% Siltstone, 100% fine to medium Sandstone, 100% bright  FLUOR in SST. TG 258U</v>
      </c>
      <c r="B136" s="25">
        <f>'Input Sheet'!L135</f>
        <v>45196</v>
      </c>
      <c r="C136" s="26">
        <f>'Input Sheet'!M135</f>
        <v>0.51944444444444449</v>
      </c>
      <c r="D136" s="40">
        <f>'Input Sheet'!B135</f>
        <v>2660</v>
      </c>
      <c r="E136" s="37">
        <f>'Input Sheet'!I135</f>
        <v>258</v>
      </c>
      <c r="F136" s="29">
        <f>('Input Sheet'!C135)/100</f>
        <v>1</v>
      </c>
      <c r="G136" s="29">
        <f>('Input Sheet'!F135)/100</f>
        <v>1</v>
      </c>
      <c r="H136" s="27">
        <f t="shared" si="26"/>
        <v>10</v>
      </c>
      <c r="I136" s="27">
        <f t="shared" si="20"/>
        <v>10</v>
      </c>
      <c r="J136" s="27">
        <f t="shared" si="21"/>
        <v>10</v>
      </c>
      <c r="K136" s="27">
        <f t="shared" si="22"/>
        <v>10</v>
      </c>
      <c r="L136" s="27">
        <f t="shared" si="23"/>
        <v>10</v>
      </c>
      <c r="M136" s="32" t="str">
        <f>'Input Sheet'!E135</f>
        <v>M</v>
      </c>
      <c r="N136" s="32">
        <f t="shared" si="24"/>
        <v>3</v>
      </c>
      <c r="T136" s="32">
        <f t="shared" si="25"/>
        <v>0</v>
      </c>
      <c r="U136" s="32">
        <f t="shared" si="25"/>
        <v>0</v>
      </c>
      <c r="V136" s="32">
        <f t="shared" si="25"/>
        <v>10</v>
      </c>
      <c r="W136" s="32">
        <f t="shared" si="25"/>
        <v>0</v>
      </c>
      <c r="X136" s="32">
        <f t="shared" si="25"/>
        <v>0</v>
      </c>
    </row>
    <row r="137" spans="1:24" ht="16.5" customHeight="1" x14ac:dyDescent="0.25">
      <c r="A137" s="39" t="str">
        <f>'Long Sample Name'!A134</f>
        <v>Sample 2670m: 0% Siltstone, 100% very fine to medium Sandstone, 100% bright  FLUOR in SST. TG 264U</v>
      </c>
      <c r="B137" s="25">
        <f>'Input Sheet'!L136</f>
        <v>45196</v>
      </c>
      <c r="C137" s="26">
        <f>'Input Sheet'!M136</f>
        <v>0.53749999999999998</v>
      </c>
      <c r="D137" s="40">
        <f>'Input Sheet'!B136</f>
        <v>2670</v>
      </c>
      <c r="E137" s="37">
        <f>'Input Sheet'!I136</f>
        <v>264</v>
      </c>
      <c r="F137" s="29">
        <f>('Input Sheet'!C136)/100</f>
        <v>1</v>
      </c>
      <c r="G137" s="29">
        <f>('Input Sheet'!F136)/100</f>
        <v>1</v>
      </c>
      <c r="H137" s="27">
        <f t="shared" si="26"/>
        <v>10</v>
      </c>
      <c r="I137" s="27">
        <f t="shared" si="20"/>
        <v>10</v>
      </c>
      <c r="J137" s="27">
        <f t="shared" si="21"/>
        <v>10</v>
      </c>
      <c r="K137" s="27">
        <f t="shared" si="22"/>
        <v>10</v>
      </c>
      <c r="L137" s="27">
        <f t="shared" si="23"/>
        <v>10</v>
      </c>
      <c r="M137" s="32" t="str">
        <f>'Input Sheet'!E136</f>
        <v xml:space="preserve">M </v>
      </c>
      <c r="N137" s="32">
        <f t="shared" si="24"/>
        <v>0</v>
      </c>
      <c r="T137" s="32">
        <f t="shared" si="25"/>
        <v>0</v>
      </c>
      <c r="U137" s="32">
        <f t="shared" si="25"/>
        <v>0</v>
      </c>
      <c r="V137" s="32">
        <f t="shared" si="25"/>
        <v>0</v>
      </c>
      <c r="W137" s="32">
        <f t="shared" si="25"/>
        <v>0</v>
      </c>
      <c r="X137" s="32">
        <f t="shared" si="25"/>
        <v>0</v>
      </c>
    </row>
    <row r="138" spans="1:24" ht="16.5" customHeight="1" x14ac:dyDescent="0.25">
      <c r="A138" s="39" t="str">
        <f>'Long Sample Name'!A135</f>
        <v>Sample 2680m: 0% Siltstone, 100% fine to medium Sandstone, 100% bright  FLUOR in SST. TG 271U</v>
      </c>
      <c r="B138" s="25">
        <f>'Input Sheet'!L137</f>
        <v>45196</v>
      </c>
      <c r="C138" s="26">
        <f>'Input Sheet'!M137</f>
        <v>0.55486111111111114</v>
      </c>
      <c r="D138" s="40">
        <f>'Input Sheet'!B137</f>
        <v>2680</v>
      </c>
      <c r="E138" s="37">
        <f>'Input Sheet'!I137</f>
        <v>271</v>
      </c>
      <c r="F138" s="29">
        <f>('Input Sheet'!C137)/100</f>
        <v>1</v>
      </c>
      <c r="G138" s="29">
        <f>('Input Sheet'!F137)/100</f>
        <v>1</v>
      </c>
      <c r="H138" s="27">
        <f t="shared" si="26"/>
        <v>10</v>
      </c>
      <c r="I138" s="27">
        <f t="shared" si="20"/>
        <v>10</v>
      </c>
      <c r="J138" s="27">
        <f t="shared" si="21"/>
        <v>10</v>
      </c>
      <c r="K138" s="27">
        <f t="shared" si="22"/>
        <v>10</v>
      </c>
      <c r="L138" s="27">
        <f t="shared" si="23"/>
        <v>10</v>
      </c>
      <c r="M138" s="32" t="str">
        <f>'Input Sheet'!E137</f>
        <v>M</v>
      </c>
      <c r="N138" s="32">
        <f t="shared" si="24"/>
        <v>3</v>
      </c>
      <c r="T138" s="32">
        <f t="shared" si="25"/>
        <v>0</v>
      </c>
      <c r="U138" s="32">
        <f t="shared" si="25"/>
        <v>0</v>
      </c>
      <c r="V138" s="32">
        <f t="shared" si="25"/>
        <v>10</v>
      </c>
      <c r="W138" s="32">
        <f t="shared" si="25"/>
        <v>0</v>
      </c>
      <c r="X138" s="32">
        <f t="shared" si="25"/>
        <v>0</v>
      </c>
    </row>
    <row r="139" spans="1:24" ht="16.5" customHeight="1" x14ac:dyDescent="0.25">
      <c r="A139" s="39" t="str">
        <f>'Long Sample Name'!A136</f>
        <v>Sample 2690m: 0% Siltstone, 100% fine to coarse Sandstone, 100% bright  FLUOR in SST. TG 246U</v>
      </c>
      <c r="B139" s="25">
        <f>'Input Sheet'!L138</f>
        <v>45196</v>
      </c>
      <c r="C139" s="26">
        <f>'Input Sheet'!M138</f>
        <v>0.57430555555555551</v>
      </c>
      <c r="D139" s="40">
        <f>'Input Sheet'!B138</f>
        <v>2690</v>
      </c>
      <c r="E139" s="37">
        <f>'Input Sheet'!I138</f>
        <v>246</v>
      </c>
      <c r="F139" s="29">
        <f>('Input Sheet'!C138)/100</f>
        <v>1</v>
      </c>
      <c r="G139" s="29">
        <f>('Input Sheet'!F138)/100</f>
        <v>1</v>
      </c>
      <c r="H139" s="27">
        <f t="shared" si="26"/>
        <v>10</v>
      </c>
      <c r="I139" s="27">
        <f t="shared" si="20"/>
        <v>10</v>
      </c>
      <c r="J139" s="27">
        <f t="shared" si="21"/>
        <v>10</v>
      </c>
      <c r="K139" s="27">
        <f t="shared" si="22"/>
        <v>10</v>
      </c>
      <c r="L139" s="27">
        <f t="shared" si="23"/>
        <v>10</v>
      </c>
      <c r="M139" s="32" t="str">
        <f>'Input Sheet'!E138</f>
        <v>C</v>
      </c>
      <c r="N139" s="32">
        <f t="shared" si="24"/>
        <v>4</v>
      </c>
      <c r="T139" s="32">
        <f t="shared" si="25"/>
        <v>0</v>
      </c>
      <c r="U139" s="32">
        <f t="shared" si="25"/>
        <v>0</v>
      </c>
      <c r="V139" s="32">
        <f t="shared" si="25"/>
        <v>0</v>
      </c>
      <c r="W139" s="32">
        <f t="shared" si="25"/>
        <v>10</v>
      </c>
      <c r="X139" s="32">
        <f t="shared" si="25"/>
        <v>0</v>
      </c>
    </row>
    <row r="140" spans="1:24" ht="16.5" customHeight="1" x14ac:dyDescent="0.25">
      <c r="A140" s="39" t="str">
        <f>'Long Sample Name'!A137</f>
        <v>Sample 2700m: 0% Siltstone, 100% very fine to coarse Sandstone, 100% bright  FLUOR in SST. TG 180U</v>
      </c>
      <c r="B140" s="25">
        <f>'Input Sheet'!L139</f>
        <v>45196</v>
      </c>
      <c r="C140" s="26">
        <f>'Input Sheet'!M139</f>
        <v>0.60069444444444442</v>
      </c>
      <c r="D140" s="40">
        <f>'Input Sheet'!B139</f>
        <v>2700</v>
      </c>
      <c r="E140" s="37">
        <f>'Input Sheet'!I139</f>
        <v>180</v>
      </c>
      <c r="F140" s="29">
        <f>('Input Sheet'!C139)/100</f>
        <v>1</v>
      </c>
      <c r="G140" s="29">
        <f>('Input Sheet'!F139)/100</f>
        <v>1</v>
      </c>
      <c r="H140" s="27">
        <f t="shared" si="26"/>
        <v>10</v>
      </c>
      <c r="I140" s="27">
        <f t="shared" si="20"/>
        <v>10</v>
      </c>
      <c r="J140" s="27">
        <f t="shared" si="21"/>
        <v>10</v>
      </c>
      <c r="K140" s="27">
        <f t="shared" si="22"/>
        <v>10</v>
      </c>
      <c r="L140" s="27">
        <f t="shared" si="23"/>
        <v>10</v>
      </c>
      <c r="M140" s="32" t="str">
        <f>'Input Sheet'!E139</f>
        <v>C</v>
      </c>
      <c r="N140" s="32">
        <f t="shared" si="24"/>
        <v>4</v>
      </c>
      <c r="T140" s="32">
        <f t="shared" si="25"/>
        <v>0</v>
      </c>
      <c r="U140" s="32">
        <f t="shared" si="25"/>
        <v>0</v>
      </c>
      <c r="V140" s="32">
        <f t="shared" si="25"/>
        <v>0</v>
      </c>
      <c r="W140" s="32">
        <f t="shared" si="25"/>
        <v>10</v>
      </c>
      <c r="X140" s="32">
        <f t="shared" si="25"/>
        <v>0</v>
      </c>
    </row>
    <row r="141" spans="1:24" ht="16.5" customHeight="1" x14ac:dyDescent="0.25">
      <c r="A141" s="39" t="str">
        <f>'Long Sample Name'!A138</f>
        <v>Sample 2710m: 5% Siltstone, 95% very fine to coarse Sandstone, 100% moderately bright to bright FLUOR in SST. TG 185U</v>
      </c>
      <c r="B141" s="25">
        <f>'Input Sheet'!L140</f>
        <v>45196</v>
      </c>
      <c r="C141" s="26">
        <f>'Input Sheet'!M140</f>
        <v>0.61597222222222225</v>
      </c>
      <c r="D141" s="40">
        <f>'Input Sheet'!B140</f>
        <v>2710</v>
      </c>
      <c r="E141" s="37">
        <f>'Input Sheet'!I140</f>
        <v>185</v>
      </c>
      <c r="F141" s="29">
        <f>('Input Sheet'!C140)/100</f>
        <v>0.95</v>
      </c>
      <c r="G141" s="29">
        <f>('Input Sheet'!F140)/100</f>
        <v>1</v>
      </c>
      <c r="H141" s="27">
        <f t="shared" si="26"/>
        <v>10</v>
      </c>
      <c r="I141" s="27">
        <f t="shared" si="20"/>
        <v>10</v>
      </c>
      <c r="J141" s="27">
        <f t="shared" si="21"/>
        <v>9.5</v>
      </c>
      <c r="K141" s="27">
        <f t="shared" si="22"/>
        <v>10</v>
      </c>
      <c r="L141" s="27">
        <f t="shared" si="23"/>
        <v>9.5</v>
      </c>
      <c r="M141" s="32" t="str">
        <f>'Input Sheet'!E140</f>
        <v>C</v>
      </c>
      <c r="N141" s="32">
        <f t="shared" si="24"/>
        <v>4</v>
      </c>
      <c r="T141" s="32">
        <f t="shared" si="25"/>
        <v>0</v>
      </c>
      <c r="U141" s="32">
        <f t="shared" si="25"/>
        <v>0</v>
      </c>
      <c r="V141" s="32">
        <f t="shared" si="25"/>
        <v>0</v>
      </c>
      <c r="W141" s="32">
        <f t="shared" si="25"/>
        <v>10</v>
      </c>
      <c r="X141" s="32">
        <f t="shared" si="25"/>
        <v>0</v>
      </c>
    </row>
    <row r="142" spans="1:24" ht="16.5" customHeight="1" x14ac:dyDescent="0.25">
      <c r="A142" s="39" t="str">
        <f>'Long Sample Name'!A139</f>
        <v>Sample 2720m: 5% Siltstone, 95% fine to coarse Sandstone, 100% bright  FLUOR in SST. TG 177U</v>
      </c>
      <c r="B142" s="25">
        <f>'Input Sheet'!L141</f>
        <v>45196</v>
      </c>
      <c r="C142" s="26">
        <f>'Input Sheet'!M141</f>
        <v>0.6333333333333333</v>
      </c>
      <c r="D142" s="40">
        <f>'Input Sheet'!B141</f>
        <v>2720</v>
      </c>
      <c r="E142" s="37">
        <f>'Input Sheet'!I141</f>
        <v>177</v>
      </c>
      <c r="F142" s="29">
        <f>('Input Sheet'!C141)/100</f>
        <v>0.95</v>
      </c>
      <c r="G142" s="29">
        <f>('Input Sheet'!F141)/100</f>
        <v>1</v>
      </c>
      <c r="H142" s="27">
        <f t="shared" si="26"/>
        <v>10</v>
      </c>
      <c r="I142" s="27">
        <f t="shared" si="20"/>
        <v>10</v>
      </c>
      <c r="J142" s="27">
        <f t="shared" si="21"/>
        <v>9.5</v>
      </c>
      <c r="K142" s="27">
        <f t="shared" si="22"/>
        <v>10</v>
      </c>
      <c r="L142" s="27">
        <f t="shared" si="23"/>
        <v>9.5</v>
      </c>
      <c r="M142" s="32" t="str">
        <f>'Input Sheet'!E141</f>
        <v>C</v>
      </c>
      <c r="N142" s="32">
        <f t="shared" si="24"/>
        <v>4</v>
      </c>
      <c r="T142" s="32">
        <f t="shared" si="25"/>
        <v>0</v>
      </c>
      <c r="U142" s="32">
        <f t="shared" si="25"/>
        <v>0</v>
      </c>
      <c r="V142" s="32">
        <f t="shared" si="25"/>
        <v>0</v>
      </c>
      <c r="W142" s="32">
        <f t="shared" si="25"/>
        <v>10</v>
      </c>
      <c r="X142" s="32">
        <f t="shared" si="25"/>
        <v>0</v>
      </c>
    </row>
    <row r="143" spans="1:24" ht="16.5" customHeight="1" x14ac:dyDescent="0.25">
      <c r="A143" s="39" t="str">
        <f>'Long Sample Name'!A140</f>
        <v>Sample 2730m: 10% Siltstone, 90% very fine to medium Sandstone, 100% bright  FLUOR in SST. TG 196U</v>
      </c>
      <c r="B143" s="25">
        <f>'Input Sheet'!L142</f>
        <v>45196</v>
      </c>
      <c r="C143" s="26">
        <f>'Input Sheet'!M142</f>
        <v>0.65833333333333333</v>
      </c>
      <c r="D143" s="40">
        <f>'Input Sheet'!B142</f>
        <v>2730</v>
      </c>
      <c r="E143" s="37">
        <f>'Input Sheet'!I142</f>
        <v>196</v>
      </c>
      <c r="F143" s="29">
        <f>('Input Sheet'!C142)/100</f>
        <v>0.9</v>
      </c>
      <c r="G143" s="29">
        <f>('Input Sheet'!F142)/100</f>
        <v>1</v>
      </c>
      <c r="H143" s="27">
        <f t="shared" si="26"/>
        <v>10</v>
      </c>
      <c r="I143" s="27">
        <f t="shared" si="20"/>
        <v>10</v>
      </c>
      <c r="J143" s="27">
        <f t="shared" si="21"/>
        <v>9</v>
      </c>
      <c r="K143" s="27">
        <f t="shared" si="22"/>
        <v>10</v>
      </c>
      <c r="L143" s="27">
        <f t="shared" si="23"/>
        <v>9</v>
      </c>
      <c r="M143" s="32" t="str">
        <f>'Input Sheet'!E142</f>
        <v>M</v>
      </c>
      <c r="N143" s="32">
        <f t="shared" si="24"/>
        <v>3</v>
      </c>
      <c r="T143" s="32">
        <f t="shared" si="25"/>
        <v>0</v>
      </c>
      <c r="U143" s="32">
        <f t="shared" si="25"/>
        <v>0</v>
      </c>
      <c r="V143" s="32">
        <f t="shared" si="25"/>
        <v>10</v>
      </c>
      <c r="W143" s="32">
        <f t="shared" si="25"/>
        <v>0</v>
      </c>
      <c r="X143" s="32">
        <f t="shared" si="25"/>
        <v>0</v>
      </c>
    </row>
    <row r="144" spans="1:24" ht="16.5" customHeight="1" x14ac:dyDescent="0.25">
      <c r="A144" s="39" t="str">
        <f>'Long Sample Name'!A141</f>
        <v>Sample 2740m: 5% Siltstone, 95% very fine to medium Sandstone, 100% bright  FLUOR in SST. TG 216U</v>
      </c>
      <c r="B144" s="25">
        <f>'Input Sheet'!L143</f>
        <v>45196</v>
      </c>
      <c r="C144" s="26">
        <f>'Input Sheet'!M143</f>
        <v>0.68402777777777779</v>
      </c>
      <c r="D144" s="40">
        <f>'Input Sheet'!B143</f>
        <v>2740</v>
      </c>
      <c r="E144" s="37">
        <f>'Input Sheet'!I143</f>
        <v>216</v>
      </c>
      <c r="F144" s="29">
        <f>('Input Sheet'!C143)/100</f>
        <v>0.95</v>
      </c>
      <c r="G144" s="29">
        <f>('Input Sheet'!F143)/100</f>
        <v>1</v>
      </c>
      <c r="H144" s="27">
        <f t="shared" si="26"/>
        <v>10</v>
      </c>
      <c r="I144" s="27">
        <f t="shared" si="20"/>
        <v>10</v>
      </c>
      <c r="J144" s="27">
        <f t="shared" si="21"/>
        <v>9.5</v>
      </c>
      <c r="K144" s="27">
        <f t="shared" si="22"/>
        <v>10</v>
      </c>
      <c r="L144" s="27">
        <f t="shared" si="23"/>
        <v>9.5</v>
      </c>
      <c r="M144" s="32" t="str">
        <f>'Input Sheet'!E143</f>
        <v>M</v>
      </c>
      <c r="N144" s="32">
        <f t="shared" si="24"/>
        <v>3</v>
      </c>
      <c r="T144" s="32">
        <f t="shared" si="25"/>
        <v>0</v>
      </c>
      <c r="U144" s="32">
        <f t="shared" si="25"/>
        <v>0</v>
      </c>
      <c r="V144" s="32">
        <f t="shared" si="25"/>
        <v>10</v>
      </c>
      <c r="W144" s="32">
        <f t="shared" si="25"/>
        <v>0</v>
      </c>
      <c r="X144" s="32">
        <f t="shared" si="25"/>
        <v>0</v>
      </c>
    </row>
    <row r="145" spans="1:24" ht="16.5" customHeight="1" x14ac:dyDescent="0.25">
      <c r="A145" s="39" t="str">
        <f>'Long Sample Name'!A142</f>
        <v>Sample 2750m: 0% Siltstone, 100% very fine to coarse Sandstone, 100% bright  FLUOR in SST. TG 209U</v>
      </c>
      <c r="B145" s="25">
        <f>'Input Sheet'!L144</f>
        <v>45196</v>
      </c>
      <c r="C145" s="26">
        <f>'Input Sheet'!M144</f>
        <v>0.70694444444444438</v>
      </c>
      <c r="D145" s="40">
        <f>'Input Sheet'!B144</f>
        <v>2750</v>
      </c>
      <c r="E145" s="37">
        <f>'Input Sheet'!I144</f>
        <v>209</v>
      </c>
      <c r="F145" s="29">
        <f>('Input Sheet'!C144)/100</f>
        <v>1</v>
      </c>
      <c r="G145" s="29">
        <f>('Input Sheet'!F144)/100</f>
        <v>1</v>
      </c>
      <c r="H145" s="27">
        <f t="shared" si="26"/>
        <v>10</v>
      </c>
      <c r="I145" s="27">
        <f t="shared" si="20"/>
        <v>10</v>
      </c>
      <c r="J145" s="27">
        <f t="shared" si="21"/>
        <v>10</v>
      </c>
      <c r="K145" s="27">
        <f t="shared" si="22"/>
        <v>10</v>
      </c>
      <c r="L145" s="27">
        <f t="shared" si="23"/>
        <v>10</v>
      </c>
      <c r="M145" s="32" t="str">
        <f>'Input Sheet'!E144</f>
        <v>C</v>
      </c>
      <c r="N145" s="32">
        <f t="shared" si="24"/>
        <v>4</v>
      </c>
      <c r="T145" s="32">
        <f t="shared" si="25"/>
        <v>0</v>
      </c>
      <c r="U145" s="32">
        <f t="shared" si="25"/>
        <v>0</v>
      </c>
      <c r="V145" s="32">
        <f t="shared" si="25"/>
        <v>0</v>
      </c>
      <c r="W145" s="32">
        <f t="shared" si="25"/>
        <v>10</v>
      </c>
      <c r="X145" s="32">
        <f t="shared" si="25"/>
        <v>0</v>
      </c>
    </row>
    <row r="146" spans="1:24" ht="16.5" customHeight="1" x14ac:dyDescent="0.25">
      <c r="A146" s="39" t="str">
        <f>'Long Sample Name'!A143</f>
        <v>Sample 2760m: 0% Siltstone, 100% fine to very coarse Sandstone, 100% bright  FLUOR in SST. TG 233U</v>
      </c>
      <c r="B146" s="25">
        <f>'Input Sheet'!L145</f>
        <v>45196</v>
      </c>
      <c r="C146" s="26">
        <f>'Input Sheet'!M145</f>
        <v>0.72499999999999998</v>
      </c>
      <c r="D146" s="40">
        <f>'Input Sheet'!B145</f>
        <v>2760</v>
      </c>
      <c r="E146" s="37">
        <f>'Input Sheet'!I145</f>
        <v>233</v>
      </c>
      <c r="F146" s="29">
        <f>('Input Sheet'!C145)/100</f>
        <v>1</v>
      </c>
      <c r="G146" s="29">
        <f>('Input Sheet'!F145)/100</f>
        <v>1</v>
      </c>
      <c r="H146" s="27">
        <f t="shared" si="26"/>
        <v>10</v>
      </c>
      <c r="I146" s="27">
        <f t="shared" si="20"/>
        <v>10</v>
      </c>
      <c r="J146" s="27">
        <f t="shared" si="21"/>
        <v>10</v>
      </c>
      <c r="K146" s="27">
        <f t="shared" si="22"/>
        <v>10</v>
      </c>
      <c r="L146" s="27">
        <f t="shared" si="23"/>
        <v>10</v>
      </c>
      <c r="M146" s="32" t="str">
        <f>'Input Sheet'!E145</f>
        <v>VC</v>
      </c>
      <c r="N146" s="32">
        <f t="shared" si="24"/>
        <v>5</v>
      </c>
      <c r="T146" s="32">
        <f t="shared" si="25"/>
        <v>0</v>
      </c>
      <c r="U146" s="32">
        <f t="shared" si="25"/>
        <v>0</v>
      </c>
      <c r="V146" s="32">
        <f t="shared" si="25"/>
        <v>0</v>
      </c>
      <c r="W146" s="32">
        <f t="shared" si="25"/>
        <v>0</v>
      </c>
      <c r="X146" s="32">
        <f t="shared" si="25"/>
        <v>10</v>
      </c>
    </row>
    <row r="147" spans="1:24" ht="16.5" customHeight="1" x14ac:dyDescent="0.25">
      <c r="A147" s="39" t="str">
        <f>'Long Sample Name'!A144</f>
        <v>Sample 2770m: 0% Siltstone, 100% very fine to verycoarse Sandstone, 100% bright FLUOR in SST. TG 249U</v>
      </c>
      <c r="B147" s="25">
        <f>'Input Sheet'!L146</f>
        <v>45196</v>
      </c>
      <c r="C147" s="26">
        <f>'Input Sheet'!M146</f>
        <v>0.75069444444444444</v>
      </c>
      <c r="D147" s="40">
        <f>'Input Sheet'!B146</f>
        <v>2770</v>
      </c>
      <c r="E147" s="37">
        <f>'Input Sheet'!I146</f>
        <v>249</v>
      </c>
      <c r="F147" s="29">
        <f>('Input Sheet'!C146)/100</f>
        <v>1</v>
      </c>
      <c r="G147" s="29">
        <f>('Input Sheet'!F146)/100</f>
        <v>1</v>
      </c>
      <c r="H147" s="27">
        <f t="shared" si="26"/>
        <v>10</v>
      </c>
      <c r="I147" s="27">
        <f t="shared" si="20"/>
        <v>10</v>
      </c>
      <c r="J147" s="27">
        <f t="shared" si="21"/>
        <v>10</v>
      </c>
      <c r="K147" s="27">
        <f t="shared" si="22"/>
        <v>10</v>
      </c>
      <c r="L147" s="27">
        <f t="shared" si="23"/>
        <v>10</v>
      </c>
      <c r="M147" s="32" t="str">
        <f>'Input Sheet'!E146</f>
        <v>VC</v>
      </c>
      <c r="N147" s="32">
        <f t="shared" si="24"/>
        <v>5</v>
      </c>
      <c r="T147" s="32">
        <f t="shared" si="25"/>
        <v>0</v>
      </c>
      <c r="U147" s="32">
        <f t="shared" si="25"/>
        <v>0</v>
      </c>
      <c r="V147" s="32">
        <f t="shared" si="25"/>
        <v>0</v>
      </c>
      <c r="W147" s="32">
        <f t="shared" si="25"/>
        <v>0</v>
      </c>
      <c r="X147" s="32">
        <f t="shared" si="25"/>
        <v>10</v>
      </c>
    </row>
    <row r="148" spans="1:24" ht="16.5" customHeight="1" x14ac:dyDescent="0.25">
      <c r="A148" s="39" t="str">
        <f>'Long Sample Name'!A145</f>
        <v>Sample 2780m: 0% Siltstone, 100% very fine to coarse Sandstone, 100% bright FLUOR in SST. TG 216U</v>
      </c>
      <c r="B148" s="25">
        <f>'Input Sheet'!L147</f>
        <v>45196</v>
      </c>
      <c r="C148" s="26">
        <f>'Input Sheet'!M147</f>
        <v>0.7715277777777777</v>
      </c>
      <c r="D148" s="40">
        <f>'Input Sheet'!B147</f>
        <v>2780</v>
      </c>
      <c r="E148" s="37">
        <f>'Input Sheet'!I147</f>
        <v>216</v>
      </c>
      <c r="F148" s="29">
        <f>('Input Sheet'!C147)/100</f>
        <v>1</v>
      </c>
      <c r="G148" s="29">
        <f>('Input Sheet'!F147)/100</f>
        <v>1</v>
      </c>
      <c r="H148" s="27">
        <f>IF(D148&lt;&gt;"",D148-D147,"")</f>
        <v>10</v>
      </c>
      <c r="I148" s="27">
        <f t="shared" si="20"/>
        <v>10</v>
      </c>
      <c r="J148" s="27">
        <f t="shared" si="21"/>
        <v>10</v>
      </c>
      <c r="K148" s="27">
        <f t="shared" si="22"/>
        <v>10</v>
      </c>
      <c r="L148" s="27">
        <f t="shared" si="23"/>
        <v>10</v>
      </c>
      <c r="M148" s="32" t="str">
        <f>'Input Sheet'!E147</f>
        <v>C</v>
      </c>
      <c r="N148" s="32">
        <f t="shared" si="24"/>
        <v>4</v>
      </c>
      <c r="T148" s="32">
        <f t="shared" si="25"/>
        <v>0</v>
      </c>
      <c r="U148" s="32">
        <f t="shared" si="25"/>
        <v>0</v>
      </c>
      <c r="V148" s="32">
        <f t="shared" si="25"/>
        <v>0</v>
      </c>
      <c r="W148" s="32">
        <f t="shared" si="25"/>
        <v>10</v>
      </c>
      <c r="X148" s="32">
        <f t="shared" si="25"/>
        <v>0</v>
      </c>
    </row>
    <row r="149" spans="1:24" ht="16.5" customHeight="1" x14ac:dyDescent="0.25">
      <c r="A149" s="39" t="str">
        <f>'Long Sample Name'!A146</f>
        <v>Sample 2790m: 5% Siltstone, 95% very fine to coarse Sandstone, 100% moderately bright to bright FLUOR in SST. TG 199U</v>
      </c>
      <c r="B149" s="25">
        <f>'Input Sheet'!L148</f>
        <v>45196</v>
      </c>
      <c r="C149" s="26">
        <f>'Input Sheet'!M148</f>
        <v>0.79722222222222217</v>
      </c>
      <c r="D149" s="40">
        <f>'Input Sheet'!B148</f>
        <v>2790</v>
      </c>
      <c r="E149" s="37">
        <f>'Input Sheet'!I148</f>
        <v>199</v>
      </c>
      <c r="F149" s="29">
        <f>('Input Sheet'!C148)/100</f>
        <v>0.95</v>
      </c>
      <c r="G149" s="29">
        <f>('Input Sheet'!F148)/100</f>
        <v>1</v>
      </c>
      <c r="H149" s="27">
        <f>IF(D149&lt;&gt;"",D149-D148,"")</f>
        <v>10</v>
      </c>
      <c r="I149" s="27">
        <f t="shared" si="20"/>
        <v>10</v>
      </c>
      <c r="J149" s="27">
        <f t="shared" si="21"/>
        <v>9.5</v>
      </c>
      <c r="K149" s="27">
        <f t="shared" si="22"/>
        <v>10</v>
      </c>
      <c r="L149" s="27">
        <f t="shared" si="23"/>
        <v>9.5</v>
      </c>
      <c r="M149" s="32" t="str">
        <f>'Input Sheet'!E148</f>
        <v>C</v>
      </c>
      <c r="N149" s="32">
        <f t="shared" si="24"/>
        <v>4</v>
      </c>
      <c r="T149" s="32">
        <f t="shared" ref="T149:X164" si="27">IF($M149=T$1,$H149,0)</f>
        <v>0</v>
      </c>
      <c r="U149" s="32">
        <f t="shared" si="27"/>
        <v>0</v>
      </c>
      <c r="V149" s="32">
        <f t="shared" si="27"/>
        <v>0</v>
      </c>
      <c r="W149" s="32">
        <f t="shared" si="27"/>
        <v>10</v>
      </c>
      <c r="X149" s="32">
        <f t="shared" si="27"/>
        <v>0</v>
      </c>
    </row>
    <row r="150" spans="1:24" ht="16.5" customHeight="1" x14ac:dyDescent="0.25">
      <c r="A150" s="39" t="str">
        <f>'Long Sample Name'!A147</f>
        <v>Sample 2800m: 5% Siltstone, 95% very fine to coarse Sandstone, 100% moderately bright to bright FLUOR in SST. TG 230U</v>
      </c>
      <c r="B150" s="25">
        <f>'Input Sheet'!L149</f>
        <v>45196</v>
      </c>
      <c r="C150" s="26">
        <f>'Input Sheet'!M149</f>
        <v>0.81388888888888899</v>
      </c>
      <c r="D150" s="40">
        <f>'Input Sheet'!B149</f>
        <v>2800</v>
      </c>
      <c r="E150" s="37">
        <f>'Input Sheet'!I149</f>
        <v>230</v>
      </c>
      <c r="F150" s="29">
        <f>('Input Sheet'!C149)/100</f>
        <v>0.95</v>
      </c>
      <c r="G150" s="29">
        <f>('Input Sheet'!F149)/100</f>
        <v>1</v>
      </c>
      <c r="H150" s="27">
        <f>IF(D150&lt;&gt;"",D150-D149,"")</f>
        <v>10</v>
      </c>
      <c r="I150" s="27">
        <f t="shared" si="20"/>
        <v>10</v>
      </c>
      <c r="J150" s="27">
        <f t="shared" si="21"/>
        <v>9.5</v>
      </c>
      <c r="K150" s="27">
        <f t="shared" si="22"/>
        <v>10</v>
      </c>
      <c r="L150" s="27">
        <f t="shared" si="23"/>
        <v>9.5</v>
      </c>
      <c r="M150" s="32" t="str">
        <f>'Input Sheet'!E149</f>
        <v>C</v>
      </c>
      <c r="N150" s="32">
        <f t="shared" si="24"/>
        <v>4</v>
      </c>
      <c r="T150" s="32">
        <f t="shared" si="27"/>
        <v>0</v>
      </c>
      <c r="U150" s="32">
        <f t="shared" si="27"/>
        <v>0</v>
      </c>
      <c r="V150" s="32">
        <f t="shared" si="27"/>
        <v>0</v>
      </c>
      <c r="W150" s="32">
        <f t="shared" si="27"/>
        <v>10</v>
      </c>
      <c r="X150" s="32">
        <f t="shared" si="27"/>
        <v>0</v>
      </c>
    </row>
    <row r="151" spans="1:24" ht="16.5" customHeight="1" x14ac:dyDescent="0.25">
      <c r="A151" s="39" t="str">
        <f>'Long Sample Name'!A148</f>
        <v>Sample 2810m: 0% Siltstone, 100% coarse Sandstone, 100% moderately bright to bright FLUOR in SST. TG 192U</v>
      </c>
      <c r="B151" s="25">
        <f>'Input Sheet'!L150</f>
        <v>45196</v>
      </c>
      <c r="C151" s="26">
        <f>'Input Sheet'!M150</f>
        <v>0.83958333333333324</v>
      </c>
      <c r="D151" s="40">
        <f>'Input Sheet'!B150</f>
        <v>2810</v>
      </c>
      <c r="E151" s="37">
        <f>'Input Sheet'!I150</f>
        <v>192</v>
      </c>
      <c r="F151" s="29">
        <f>('Input Sheet'!C150)/100</f>
        <v>1</v>
      </c>
      <c r="G151" s="29">
        <f>('Input Sheet'!F150)/100</f>
        <v>1</v>
      </c>
      <c r="H151" s="27">
        <f t="shared" si="26"/>
        <v>10</v>
      </c>
      <c r="I151" s="27">
        <f t="shared" si="20"/>
        <v>10</v>
      </c>
      <c r="J151" s="27">
        <f t="shared" si="21"/>
        <v>10</v>
      </c>
      <c r="K151" s="27">
        <f t="shared" si="22"/>
        <v>10</v>
      </c>
      <c r="L151" s="27">
        <f t="shared" si="23"/>
        <v>10</v>
      </c>
      <c r="M151" s="32" t="str">
        <f>'Input Sheet'!E150</f>
        <v>C</v>
      </c>
      <c r="N151" s="32">
        <f t="shared" si="24"/>
        <v>4</v>
      </c>
      <c r="T151" s="32">
        <f t="shared" si="27"/>
        <v>0</v>
      </c>
      <c r="U151" s="32">
        <f t="shared" si="27"/>
        <v>0</v>
      </c>
      <c r="V151" s="32">
        <f t="shared" si="27"/>
        <v>0</v>
      </c>
      <c r="W151" s="32">
        <f t="shared" si="27"/>
        <v>10</v>
      </c>
      <c r="X151" s="32">
        <f t="shared" si="27"/>
        <v>0</v>
      </c>
    </row>
    <row r="152" spans="1:24" ht="16.5" customHeight="1" x14ac:dyDescent="0.25">
      <c r="A152" s="39" t="str">
        <f>'Long Sample Name'!A149</f>
        <v>Sample 2820m: 0% Siltstone, 100% coarse Sandstone, 100% bright FLUOR in SST. TG 246U</v>
      </c>
      <c r="B152" s="25">
        <f>'Input Sheet'!L151</f>
        <v>45196</v>
      </c>
      <c r="C152" s="26">
        <f>'Input Sheet'!M151</f>
        <v>0.85625000000000007</v>
      </c>
      <c r="D152" s="40">
        <f>'Input Sheet'!B151</f>
        <v>2820</v>
      </c>
      <c r="E152" s="37">
        <f>'Input Sheet'!I151</f>
        <v>246</v>
      </c>
      <c r="F152" s="29">
        <f>('Input Sheet'!C151)/100</f>
        <v>1</v>
      </c>
      <c r="G152" s="29">
        <f>('Input Sheet'!F151)/100</f>
        <v>1</v>
      </c>
      <c r="H152" s="27">
        <f t="shared" si="26"/>
        <v>10</v>
      </c>
      <c r="I152" s="27">
        <f t="shared" si="20"/>
        <v>10</v>
      </c>
      <c r="J152" s="27">
        <f t="shared" si="21"/>
        <v>10</v>
      </c>
      <c r="K152" s="27">
        <f t="shared" si="22"/>
        <v>10</v>
      </c>
      <c r="L152" s="27">
        <f t="shared" si="23"/>
        <v>10</v>
      </c>
      <c r="M152" s="32" t="str">
        <f>'Input Sheet'!E151</f>
        <v>C</v>
      </c>
      <c r="N152" s="32">
        <f t="shared" si="24"/>
        <v>4</v>
      </c>
      <c r="T152" s="32">
        <f t="shared" si="27"/>
        <v>0</v>
      </c>
      <c r="U152" s="32">
        <f t="shared" si="27"/>
        <v>0</v>
      </c>
      <c r="V152" s="32">
        <f t="shared" si="27"/>
        <v>0</v>
      </c>
      <c r="W152" s="32">
        <f t="shared" si="27"/>
        <v>10</v>
      </c>
      <c r="X152" s="32">
        <f t="shared" si="27"/>
        <v>0</v>
      </c>
    </row>
    <row r="153" spans="1:24" ht="16.5" customHeight="1" x14ac:dyDescent="0.25">
      <c r="A153" s="39" t="str">
        <f>'Long Sample Name'!A150</f>
        <v>Sample 2830m: 0% Siltstone, 100% very fine to coarse Sandstone, 100% bright FLUOR in SST. TG 199U</v>
      </c>
      <c r="B153" s="25">
        <f>'Input Sheet'!L152</f>
        <v>45196</v>
      </c>
      <c r="C153" s="26">
        <f>'Input Sheet'!M152</f>
        <v>0.88541666666666663</v>
      </c>
      <c r="D153" s="40">
        <f>'Input Sheet'!B152</f>
        <v>2830</v>
      </c>
      <c r="E153" s="37">
        <f>'Input Sheet'!I152</f>
        <v>199</v>
      </c>
      <c r="F153" s="29">
        <f>('Input Sheet'!C152)/100</f>
        <v>1</v>
      </c>
      <c r="G153" s="29">
        <f>('Input Sheet'!F152)/100</f>
        <v>1</v>
      </c>
      <c r="H153" s="27">
        <f t="shared" si="26"/>
        <v>10</v>
      </c>
      <c r="I153" s="27">
        <f t="shared" si="20"/>
        <v>10</v>
      </c>
      <c r="J153" s="27">
        <f t="shared" si="21"/>
        <v>10</v>
      </c>
      <c r="K153" s="27">
        <f t="shared" si="22"/>
        <v>10</v>
      </c>
      <c r="L153" s="27">
        <f t="shared" si="23"/>
        <v>10</v>
      </c>
      <c r="M153" s="32" t="str">
        <f>'Input Sheet'!E152</f>
        <v>C</v>
      </c>
      <c r="N153" s="32">
        <f t="shared" si="24"/>
        <v>4</v>
      </c>
      <c r="T153" s="32">
        <f t="shared" si="27"/>
        <v>0</v>
      </c>
      <c r="U153" s="32">
        <f t="shared" si="27"/>
        <v>0</v>
      </c>
      <c r="V153" s="32">
        <f t="shared" si="27"/>
        <v>0</v>
      </c>
      <c r="W153" s="32">
        <f t="shared" si="27"/>
        <v>10</v>
      </c>
      <c r="X153" s="32">
        <f t="shared" si="27"/>
        <v>0</v>
      </c>
    </row>
    <row r="154" spans="1:24" ht="16.5" customHeight="1" x14ac:dyDescent="0.25">
      <c r="A154" s="39" t="str">
        <f>'Long Sample Name'!A151</f>
        <v>Sample 2840m: 0% Siltstone, 100% very fine to coarse Sandstone, 100% bright FLUOR in SST. TG 260U</v>
      </c>
      <c r="B154" s="25">
        <f>'Input Sheet'!L153</f>
        <v>45196</v>
      </c>
      <c r="C154" s="26">
        <f>'Input Sheet'!M153</f>
        <v>0.90277777777777779</v>
      </c>
      <c r="D154" s="40">
        <f>'Input Sheet'!B153</f>
        <v>2840</v>
      </c>
      <c r="E154" s="37">
        <f>'Input Sheet'!I153</f>
        <v>260</v>
      </c>
      <c r="F154" s="29">
        <f>('Input Sheet'!C153)/100</f>
        <v>1</v>
      </c>
      <c r="G154" s="29">
        <f>('Input Sheet'!F153)/100</f>
        <v>1</v>
      </c>
      <c r="H154" s="27">
        <f t="shared" si="26"/>
        <v>10</v>
      </c>
      <c r="I154" s="27">
        <f t="shared" si="20"/>
        <v>10</v>
      </c>
      <c r="J154" s="27">
        <f t="shared" si="21"/>
        <v>10</v>
      </c>
      <c r="K154" s="27">
        <f t="shared" si="22"/>
        <v>10</v>
      </c>
      <c r="L154" s="27">
        <f t="shared" si="23"/>
        <v>10</v>
      </c>
      <c r="M154" s="32" t="str">
        <f>'Input Sheet'!E153</f>
        <v>C</v>
      </c>
      <c r="N154" s="32">
        <f t="shared" si="24"/>
        <v>4</v>
      </c>
      <c r="T154" s="32">
        <f t="shared" si="27"/>
        <v>0</v>
      </c>
      <c r="U154" s="32">
        <f t="shared" si="27"/>
        <v>0</v>
      </c>
      <c r="V154" s="32">
        <f t="shared" si="27"/>
        <v>0</v>
      </c>
      <c r="W154" s="32">
        <f t="shared" si="27"/>
        <v>10</v>
      </c>
      <c r="X154" s="32">
        <f t="shared" si="27"/>
        <v>0</v>
      </c>
    </row>
    <row r="155" spans="1:24" ht="16.5" customHeight="1" x14ac:dyDescent="0.25">
      <c r="A155" s="39" t="str">
        <f>'Long Sample Name'!A152</f>
        <v>Sample 2850m: 0% Siltstone, 100% very fine to coarse Sandstone, 100% moderately bright to bright FLUOR in SST. TG 127U</v>
      </c>
      <c r="B155" s="25">
        <f>'Input Sheet'!L154</f>
        <v>45196</v>
      </c>
      <c r="C155" s="26">
        <f>'Input Sheet'!M154</f>
        <v>0.93125000000000002</v>
      </c>
      <c r="D155" s="40">
        <f>'Input Sheet'!B154</f>
        <v>2850</v>
      </c>
      <c r="E155" s="37">
        <f>'Input Sheet'!I154</f>
        <v>127</v>
      </c>
      <c r="F155" s="29">
        <f>('Input Sheet'!C154)/100</f>
        <v>1</v>
      </c>
      <c r="G155" s="29">
        <f>('Input Sheet'!F154)/100</f>
        <v>1</v>
      </c>
      <c r="H155" s="27">
        <f t="shared" si="26"/>
        <v>10</v>
      </c>
      <c r="I155" s="27">
        <f t="shared" si="20"/>
        <v>10</v>
      </c>
      <c r="J155" s="27">
        <f t="shared" si="21"/>
        <v>10</v>
      </c>
      <c r="K155" s="27">
        <f t="shared" si="22"/>
        <v>10</v>
      </c>
      <c r="L155" s="27">
        <f t="shared" si="23"/>
        <v>10</v>
      </c>
      <c r="M155" s="32" t="str">
        <f>'Input Sheet'!E154</f>
        <v>C</v>
      </c>
      <c r="N155" s="32">
        <f t="shared" si="24"/>
        <v>4</v>
      </c>
      <c r="T155" s="32">
        <f t="shared" si="27"/>
        <v>0</v>
      </c>
      <c r="U155" s="32">
        <f t="shared" si="27"/>
        <v>0</v>
      </c>
      <c r="V155" s="32">
        <f t="shared" si="27"/>
        <v>0</v>
      </c>
      <c r="W155" s="32">
        <f t="shared" si="27"/>
        <v>10</v>
      </c>
      <c r="X155" s="32">
        <f t="shared" si="27"/>
        <v>0</v>
      </c>
    </row>
    <row r="156" spans="1:24" ht="16.5" customHeight="1" x14ac:dyDescent="0.25">
      <c r="A156" s="39" t="str">
        <f>'Long Sample Name'!A153</f>
        <v>Sample 2860m: common siderite in 60% Siltstone, trace siderite in 40% very fine to fine Sandstone, 90% dull to moderately bright FLUOR in SST. TG 140U</v>
      </c>
      <c r="B156" s="25">
        <f>'Input Sheet'!L155</f>
        <v>45196</v>
      </c>
      <c r="C156" s="26">
        <f>'Input Sheet'!M155</f>
        <v>0.95694444444444438</v>
      </c>
      <c r="D156" s="40">
        <f>'Input Sheet'!B155</f>
        <v>2860</v>
      </c>
      <c r="E156" s="37">
        <f>'Input Sheet'!I155</f>
        <v>140</v>
      </c>
      <c r="F156" s="29">
        <f>('Input Sheet'!C155)/100</f>
        <v>0.4</v>
      </c>
      <c r="G156" s="29">
        <f>('Input Sheet'!F155)/100</f>
        <v>0.9</v>
      </c>
      <c r="H156" s="27">
        <f t="shared" si="26"/>
        <v>10</v>
      </c>
      <c r="I156" s="27">
        <f t="shared" si="20"/>
        <v>10</v>
      </c>
      <c r="J156" s="27">
        <f t="shared" si="21"/>
        <v>4</v>
      </c>
      <c r="K156" s="27">
        <f t="shared" si="22"/>
        <v>0</v>
      </c>
      <c r="L156" s="27">
        <f t="shared" si="23"/>
        <v>0</v>
      </c>
      <c r="M156" s="32" t="str">
        <f>'Input Sheet'!E155</f>
        <v>F</v>
      </c>
      <c r="N156" s="32">
        <f t="shared" si="24"/>
        <v>2</v>
      </c>
      <c r="T156" s="32">
        <f t="shared" si="27"/>
        <v>0</v>
      </c>
      <c r="U156" s="32">
        <f t="shared" si="27"/>
        <v>10</v>
      </c>
      <c r="V156" s="32">
        <f t="shared" si="27"/>
        <v>0</v>
      </c>
      <c r="W156" s="32">
        <f t="shared" si="27"/>
        <v>0</v>
      </c>
      <c r="X156" s="32">
        <f t="shared" si="27"/>
        <v>0</v>
      </c>
    </row>
    <row r="157" spans="1:24" ht="16.5" customHeight="1" x14ac:dyDescent="0.25">
      <c r="A157" s="39" t="str">
        <f>'Long Sample Name'!A154</f>
        <v>Sample 2870m: common siderite in 70% Siltstone, trace siderite in 30% very fine to fine Sandstone, 90% dull FLUOR in SST. TG 134U</v>
      </c>
      <c r="B157" s="25">
        <f>'Input Sheet'!L156</f>
        <v>45196</v>
      </c>
      <c r="C157" s="26">
        <f>'Input Sheet'!M156</f>
        <v>0.97638888888888886</v>
      </c>
      <c r="D157" s="40">
        <f>'Input Sheet'!B156</f>
        <v>2870</v>
      </c>
      <c r="E157" s="37">
        <f>'Input Sheet'!I156</f>
        <v>134</v>
      </c>
      <c r="F157" s="29">
        <f>('Input Sheet'!C156)/100</f>
        <v>0.3</v>
      </c>
      <c r="G157" s="29">
        <f>('Input Sheet'!F156)/100</f>
        <v>0.9</v>
      </c>
      <c r="H157" s="27">
        <f t="shared" si="26"/>
        <v>10</v>
      </c>
      <c r="I157" s="27">
        <f t="shared" si="20"/>
        <v>10</v>
      </c>
      <c r="J157" s="27">
        <f t="shared" si="21"/>
        <v>3</v>
      </c>
      <c r="K157" s="27">
        <f t="shared" si="22"/>
        <v>0</v>
      </c>
      <c r="L157" s="27">
        <f t="shared" si="23"/>
        <v>0</v>
      </c>
      <c r="M157" s="32" t="str">
        <f>'Input Sheet'!E156</f>
        <v>F</v>
      </c>
      <c r="N157" s="32">
        <f t="shared" si="24"/>
        <v>2</v>
      </c>
      <c r="T157" s="32">
        <f t="shared" si="27"/>
        <v>0</v>
      </c>
      <c r="U157" s="32">
        <f t="shared" si="27"/>
        <v>10</v>
      </c>
      <c r="V157" s="32">
        <f t="shared" si="27"/>
        <v>0</v>
      </c>
      <c r="W157" s="32">
        <f t="shared" si="27"/>
        <v>0</v>
      </c>
      <c r="X157" s="32">
        <f t="shared" si="27"/>
        <v>0</v>
      </c>
    </row>
    <row r="158" spans="1:24" ht="16.5" customHeight="1" x14ac:dyDescent="0.25">
      <c r="A158" s="39" t="str">
        <f>'Long Sample Name'!A155</f>
        <v>Sample 2880m: common siderite in 60% Siltstone, trace siderite in 40% very fine to fine Sandstone, 90% dull FLUOR in SST. TG 130U</v>
      </c>
      <c r="B158" s="25">
        <f>'Input Sheet'!L157</f>
        <v>45196</v>
      </c>
      <c r="C158" s="26">
        <f>'Input Sheet'!M157</f>
        <v>0.99791666666666667</v>
      </c>
      <c r="D158" s="40">
        <f>'Input Sheet'!B157</f>
        <v>2880</v>
      </c>
      <c r="E158" s="37">
        <f>'Input Sheet'!I157</f>
        <v>130</v>
      </c>
      <c r="F158" s="29">
        <f>('Input Sheet'!C157)/100</f>
        <v>0.4</v>
      </c>
      <c r="G158" s="29">
        <f>('Input Sheet'!F157)/100</f>
        <v>0.9</v>
      </c>
      <c r="H158" s="27">
        <f t="shared" si="26"/>
        <v>10</v>
      </c>
      <c r="I158" s="27">
        <f t="shared" si="20"/>
        <v>10</v>
      </c>
      <c r="J158" s="27">
        <f t="shared" si="21"/>
        <v>4</v>
      </c>
      <c r="K158" s="27">
        <f t="shared" si="22"/>
        <v>0</v>
      </c>
      <c r="L158" s="27">
        <f t="shared" si="23"/>
        <v>0</v>
      </c>
      <c r="M158" s="32" t="str">
        <f>'Input Sheet'!E157</f>
        <v>F</v>
      </c>
      <c r="N158" s="32">
        <f t="shared" si="24"/>
        <v>2</v>
      </c>
      <c r="T158" s="32">
        <f t="shared" si="27"/>
        <v>0</v>
      </c>
      <c r="U158" s="32">
        <f t="shared" si="27"/>
        <v>10</v>
      </c>
      <c r="V158" s="32">
        <f t="shared" si="27"/>
        <v>0</v>
      </c>
      <c r="W158" s="32">
        <f t="shared" si="27"/>
        <v>0</v>
      </c>
      <c r="X158" s="32">
        <f t="shared" si="27"/>
        <v>0</v>
      </c>
    </row>
    <row r="159" spans="1:24" ht="16.5" customHeight="1" x14ac:dyDescent="0.25">
      <c r="A159" s="39" t="str">
        <f>'Long Sample Name'!A156</f>
        <v>Sample 2890m: common siderite in 50% Siltstone, trace siderite in 50% very fine to fine Sandstone, 90% dull to moderately bright FLUOR in SST. TG 121U</v>
      </c>
      <c r="B159" s="25">
        <f>'Input Sheet'!L158</f>
        <v>45197</v>
      </c>
      <c r="C159" s="26">
        <f>'Input Sheet'!M158</f>
        <v>1.9444444444444445E-2</v>
      </c>
      <c r="D159" s="40">
        <f>'Input Sheet'!B158</f>
        <v>2890</v>
      </c>
      <c r="E159" s="37">
        <f>'Input Sheet'!I158</f>
        <v>121</v>
      </c>
      <c r="F159" s="29">
        <f>('Input Sheet'!C158)/100</f>
        <v>0.5</v>
      </c>
      <c r="G159" s="29">
        <f>('Input Sheet'!F158)/100</f>
        <v>0.9</v>
      </c>
      <c r="H159" s="27">
        <f t="shared" si="26"/>
        <v>10</v>
      </c>
      <c r="I159" s="27">
        <f t="shared" si="20"/>
        <v>10</v>
      </c>
      <c r="J159" s="27">
        <f t="shared" si="21"/>
        <v>5</v>
      </c>
      <c r="K159" s="27">
        <f t="shared" si="22"/>
        <v>10</v>
      </c>
      <c r="L159" s="27">
        <f t="shared" si="23"/>
        <v>5</v>
      </c>
      <c r="M159" s="32" t="str">
        <f>'Input Sheet'!E158</f>
        <v>F</v>
      </c>
      <c r="N159" s="32">
        <f t="shared" si="24"/>
        <v>2</v>
      </c>
      <c r="T159" s="32">
        <f t="shared" si="27"/>
        <v>0</v>
      </c>
      <c r="U159" s="32">
        <f t="shared" si="27"/>
        <v>10</v>
      </c>
      <c r="V159" s="32">
        <f t="shared" si="27"/>
        <v>0</v>
      </c>
      <c r="W159" s="32">
        <f t="shared" si="27"/>
        <v>0</v>
      </c>
      <c r="X159" s="32">
        <f t="shared" si="27"/>
        <v>0</v>
      </c>
    </row>
    <row r="160" spans="1:24" ht="16.5" customHeight="1" x14ac:dyDescent="0.25">
      <c r="A160" s="39" t="str">
        <f>'Long Sample Name'!A157</f>
        <v>Sample 2900m: rare siderite in 45% Siltstone, rare siderite in 55% very fine to fine Sandstone, 90% dull to moderately bright FLUOR in SST. TG 118U</v>
      </c>
      <c r="B160" s="25">
        <f>'Input Sheet'!L159</f>
        <v>45197</v>
      </c>
      <c r="C160" s="26">
        <f>'Input Sheet'!M159</f>
        <v>4.0972222222222222E-2</v>
      </c>
      <c r="D160" s="40">
        <f>'Input Sheet'!B159</f>
        <v>2900</v>
      </c>
      <c r="E160" s="37">
        <f>'Input Sheet'!I159</f>
        <v>118</v>
      </c>
      <c r="F160" s="29">
        <f>('Input Sheet'!C159)/100</f>
        <v>0.55000000000000004</v>
      </c>
      <c r="G160" s="29">
        <f>('Input Sheet'!F159)/100</f>
        <v>0.9</v>
      </c>
      <c r="H160" s="27">
        <f t="shared" si="26"/>
        <v>10</v>
      </c>
      <c r="I160" s="27">
        <f t="shared" si="20"/>
        <v>10</v>
      </c>
      <c r="J160" s="27">
        <f t="shared" si="21"/>
        <v>5.5</v>
      </c>
      <c r="K160" s="27">
        <f t="shared" si="22"/>
        <v>10</v>
      </c>
      <c r="L160" s="27">
        <f t="shared" si="23"/>
        <v>5.5</v>
      </c>
      <c r="M160" s="32" t="str">
        <f>'Input Sheet'!E159</f>
        <v>F</v>
      </c>
      <c r="N160" s="32">
        <f t="shared" si="24"/>
        <v>2</v>
      </c>
      <c r="T160" s="32">
        <f t="shared" si="27"/>
        <v>0</v>
      </c>
      <c r="U160" s="32">
        <f t="shared" si="27"/>
        <v>10</v>
      </c>
      <c r="V160" s="32">
        <f t="shared" si="27"/>
        <v>0</v>
      </c>
      <c r="W160" s="32">
        <f t="shared" si="27"/>
        <v>0</v>
      </c>
      <c r="X160" s="32">
        <f t="shared" si="27"/>
        <v>0</v>
      </c>
    </row>
    <row r="161" spans="1:24" ht="16.5" customHeight="1" x14ac:dyDescent="0.25">
      <c r="A161" s="39" t="str">
        <f>'Long Sample Name'!A158</f>
        <v>Sample 2910m: trace siderite in 35% Siltstone, rare siderite in 65% very fine to fine Sandstone, 90% dull to moderately bright FLUOR in SST. TG 128U</v>
      </c>
      <c r="B161" s="25">
        <f>'Input Sheet'!L160</f>
        <v>45197</v>
      </c>
      <c r="C161" s="26">
        <f>'Input Sheet'!M160</f>
        <v>5.8333333333333327E-2</v>
      </c>
      <c r="D161" s="40">
        <f>'Input Sheet'!B160</f>
        <v>2910</v>
      </c>
      <c r="E161" s="37">
        <f>'Input Sheet'!I160</f>
        <v>128</v>
      </c>
      <c r="F161" s="29">
        <f>('Input Sheet'!C160)/100</f>
        <v>0.65</v>
      </c>
      <c r="G161" s="29">
        <f>('Input Sheet'!F160)/100</f>
        <v>0.9</v>
      </c>
      <c r="H161" s="27">
        <f t="shared" si="26"/>
        <v>10</v>
      </c>
      <c r="I161" s="27">
        <f t="shared" si="20"/>
        <v>10</v>
      </c>
      <c r="J161" s="27">
        <f t="shared" si="21"/>
        <v>6.5</v>
      </c>
      <c r="K161" s="27">
        <f t="shared" si="22"/>
        <v>10</v>
      </c>
      <c r="L161" s="27">
        <f t="shared" si="23"/>
        <v>6.5</v>
      </c>
      <c r="M161" s="32" t="str">
        <f>'Input Sheet'!E160</f>
        <v>F</v>
      </c>
      <c r="N161" s="32">
        <f t="shared" si="24"/>
        <v>2</v>
      </c>
      <c r="T161" s="32">
        <f t="shared" si="27"/>
        <v>0</v>
      </c>
      <c r="U161" s="32">
        <f t="shared" si="27"/>
        <v>10</v>
      </c>
      <c r="V161" s="32">
        <f t="shared" si="27"/>
        <v>0</v>
      </c>
      <c r="W161" s="32">
        <f t="shared" si="27"/>
        <v>0</v>
      </c>
      <c r="X161" s="32">
        <f t="shared" si="27"/>
        <v>0</v>
      </c>
    </row>
    <row r="162" spans="1:24" ht="16.5" customHeight="1" x14ac:dyDescent="0.25">
      <c r="A162" s="39" t="str">
        <f>'Long Sample Name'!A159</f>
        <v>Sample 2920m: trace siderite in 30% Siltstone, rare siderite in 70% very fine to fine Sandstone, 90% dull to moderately bright FLUOR in SST. TG 113U</v>
      </c>
      <c r="B162" s="25">
        <f>'Input Sheet'!L161</f>
        <v>45197</v>
      </c>
      <c r="C162" s="26">
        <f>'Input Sheet'!M161</f>
        <v>7.6388888888888895E-2</v>
      </c>
      <c r="D162" s="40">
        <f>'Input Sheet'!B161</f>
        <v>2920</v>
      </c>
      <c r="E162" s="37">
        <f>'Input Sheet'!I161</f>
        <v>113</v>
      </c>
      <c r="F162" s="29">
        <f>('Input Sheet'!C161)/100</f>
        <v>0.7</v>
      </c>
      <c r="G162" s="29">
        <f>('Input Sheet'!F161)/100</f>
        <v>0.9</v>
      </c>
      <c r="H162" s="27">
        <f t="shared" si="26"/>
        <v>10</v>
      </c>
      <c r="I162" s="27">
        <f t="shared" si="20"/>
        <v>10</v>
      </c>
      <c r="J162" s="27">
        <f t="shared" si="21"/>
        <v>7</v>
      </c>
      <c r="K162" s="27">
        <f t="shared" si="22"/>
        <v>10</v>
      </c>
      <c r="L162" s="27">
        <f t="shared" si="23"/>
        <v>7</v>
      </c>
      <c r="M162" s="32" t="str">
        <f>'Input Sheet'!E161</f>
        <v>F</v>
      </c>
      <c r="N162" s="32">
        <f t="shared" si="24"/>
        <v>2</v>
      </c>
      <c r="T162" s="32">
        <f t="shared" si="27"/>
        <v>0</v>
      </c>
      <c r="U162" s="32">
        <f t="shared" si="27"/>
        <v>10</v>
      </c>
      <c r="V162" s="32">
        <f t="shared" si="27"/>
        <v>0</v>
      </c>
      <c r="W162" s="32">
        <f t="shared" si="27"/>
        <v>0</v>
      </c>
      <c r="X162" s="32">
        <f t="shared" si="27"/>
        <v>0</v>
      </c>
    </row>
    <row r="163" spans="1:24" ht="16.5" customHeight="1" x14ac:dyDescent="0.25">
      <c r="A163" s="39" t="str">
        <f>'Long Sample Name'!A160</f>
        <v>Sample 2930m: common siderite in 60% Siltstone, trace siderite in 40% very fine to fine Sandstone, 70% dull to moderately bright FLUOR in SST. TG 95U</v>
      </c>
      <c r="B163" s="25">
        <f>'Input Sheet'!L162</f>
        <v>45197</v>
      </c>
      <c r="C163" s="26">
        <f>'Input Sheet'!M162</f>
        <v>9.5833333333333326E-2</v>
      </c>
      <c r="D163" s="40">
        <f>'Input Sheet'!B162</f>
        <v>2930</v>
      </c>
      <c r="E163" s="37">
        <f>'Input Sheet'!I162</f>
        <v>95</v>
      </c>
      <c r="F163" s="29">
        <f>('Input Sheet'!C162)/100</f>
        <v>0.4</v>
      </c>
      <c r="G163" s="29">
        <f>('Input Sheet'!F162)/100</f>
        <v>0.7</v>
      </c>
      <c r="H163" s="27">
        <f t="shared" si="26"/>
        <v>10</v>
      </c>
      <c r="I163" s="27">
        <f t="shared" si="20"/>
        <v>10</v>
      </c>
      <c r="J163" s="27">
        <f t="shared" si="21"/>
        <v>4</v>
      </c>
      <c r="K163" s="27">
        <f t="shared" si="22"/>
        <v>0</v>
      </c>
      <c r="L163" s="27">
        <f t="shared" si="23"/>
        <v>0</v>
      </c>
      <c r="M163" s="32" t="str">
        <f>'Input Sheet'!E162</f>
        <v>F</v>
      </c>
      <c r="N163" s="32">
        <f t="shared" si="24"/>
        <v>2</v>
      </c>
      <c r="T163" s="32">
        <f t="shared" si="27"/>
        <v>0</v>
      </c>
      <c r="U163" s="32">
        <f t="shared" si="27"/>
        <v>10</v>
      </c>
      <c r="V163" s="32">
        <f t="shared" si="27"/>
        <v>0</v>
      </c>
      <c r="W163" s="32">
        <f t="shared" si="27"/>
        <v>0</v>
      </c>
      <c r="X163" s="32">
        <f t="shared" si="27"/>
        <v>0</v>
      </c>
    </row>
    <row r="164" spans="1:24" ht="16.5" customHeight="1" x14ac:dyDescent="0.25">
      <c r="A164" s="39" t="str">
        <f>'Long Sample Name'!A161</f>
        <v>Sample 2940m: common siderite in 80% Siltstone, trace siderite in 20% very fine to fine Sandstone, 50% dull to moderately bright FLUOR in SST. TG 199U</v>
      </c>
      <c r="B164" s="25">
        <f>'Input Sheet'!L163</f>
        <v>45197</v>
      </c>
      <c r="C164" s="26">
        <f>'Input Sheet'!M163</f>
        <v>0.12708333333333333</v>
      </c>
      <c r="D164" s="40">
        <f>'Input Sheet'!B163</f>
        <v>2940</v>
      </c>
      <c r="E164" s="37">
        <f>'Input Sheet'!I163</f>
        <v>199</v>
      </c>
      <c r="F164" s="29">
        <f>('Input Sheet'!C163)/100</f>
        <v>0.2</v>
      </c>
      <c r="G164" s="29">
        <f>('Input Sheet'!F163)/100</f>
        <v>0.5</v>
      </c>
      <c r="H164" s="27">
        <f t="shared" si="26"/>
        <v>10</v>
      </c>
      <c r="I164" s="27">
        <f t="shared" si="20"/>
        <v>10</v>
      </c>
      <c r="J164" s="27">
        <f t="shared" si="21"/>
        <v>2</v>
      </c>
      <c r="K164" s="27">
        <f t="shared" si="22"/>
        <v>0</v>
      </c>
      <c r="L164" s="27">
        <f t="shared" si="23"/>
        <v>0</v>
      </c>
      <c r="M164" s="32" t="str">
        <f>'Input Sheet'!E163</f>
        <v>F</v>
      </c>
      <c r="N164" s="32">
        <f t="shared" si="24"/>
        <v>2</v>
      </c>
      <c r="T164" s="32">
        <f t="shared" si="27"/>
        <v>0</v>
      </c>
      <c r="U164" s="32">
        <f t="shared" si="27"/>
        <v>10</v>
      </c>
      <c r="V164" s="32">
        <f t="shared" si="27"/>
        <v>0</v>
      </c>
      <c r="W164" s="32">
        <f t="shared" si="27"/>
        <v>0</v>
      </c>
      <c r="X164" s="32">
        <f t="shared" si="27"/>
        <v>0</v>
      </c>
    </row>
    <row r="165" spans="1:24" ht="16.5" customHeight="1" x14ac:dyDescent="0.25">
      <c r="A165" s="39" t="str">
        <f>'Long Sample Name'!A162</f>
        <v>Sample 2950m: trace siderite in 30% Siltstone, rare siderite in 70% very fine to fine Sandstone, 100% moderately bright to bright FLUOR in SST. TG 209U</v>
      </c>
      <c r="B165" s="25">
        <f>'Input Sheet'!L164</f>
        <v>45197</v>
      </c>
      <c r="C165" s="26">
        <f>'Input Sheet'!M164</f>
        <v>0.15</v>
      </c>
      <c r="D165" s="40">
        <f>'Input Sheet'!B164</f>
        <v>2950</v>
      </c>
      <c r="E165" s="37">
        <f>'Input Sheet'!I164</f>
        <v>209</v>
      </c>
      <c r="F165" s="29">
        <f>('Input Sheet'!C164)/100</f>
        <v>0.7</v>
      </c>
      <c r="G165" s="29">
        <f>('Input Sheet'!F164)/100</f>
        <v>1</v>
      </c>
      <c r="H165" s="27">
        <f t="shared" si="26"/>
        <v>10</v>
      </c>
      <c r="I165" s="27">
        <f t="shared" si="20"/>
        <v>10</v>
      </c>
      <c r="J165" s="27">
        <f t="shared" si="21"/>
        <v>7</v>
      </c>
      <c r="K165" s="27">
        <f t="shared" si="22"/>
        <v>10</v>
      </c>
      <c r="L165" s="27">
        <f t="shared" si="23"/>
        <v>7</v>
      </c>
      <c r="M165" s="32" t="str">
        <f>'Input Sheet'!E164</f>
        <v>F</v>
      </c>
      <c r="N165" s="32">
        <f t="shared" si="24"/>
        <v>2</v>
      </c>
      <c r="T165" s="32">
        <f t="shared" ref="T165:X180" si="28">IF($M165=T$1,$H165,0)</f>
        <v>0</v>
      </c>
      <c r="U165" s="32">
        <f t="shared" si="28"/>
        <v>10</v>
      </c>
      <c r="V165" s="32">
        <f t="shared" si="28"/>
        <v>0</v>
      </c>
      <c r="W165" s="32">
        <f t="shared" si="28"/>
        <v>0</v>
      </c>
      <c r="X165" s="32">
        <f t="shared" si="28"/>
        <v>0</v>
      </c>
    </row>
    <row r="166" spans="1:24" ht="16.5" customHeight="1" x14ac:dyDescent="0.25">
      <c r="A166" s="39" t="str">
        <f>'Long Sample Name'!A163</f>
        <v>Sample 2960m: 10% Siltstone, 90% very fine to coarse Sandstone, 100% moderately bright to bright FLUOR in SST. TG 168U</v>
      </c>
      <c r="B166" s="25">
        <f>'Input Sheet'!L165</f>
        <v>45197</v>
      </c>
      <c r="C166" s="26">
        <f>'Input Sheet'!M165</f>
        <v>0.17291666666666669</v>
      </c>
      <c r="D166" s="40">
        <f>'Input Sheet'!B165</f>
        <v>2960</v>
      </c>
      <c r="E166" s="37">
        <f>'Input Sheet'!I165</f>
        <v>168</v>
      </c>
      <c r="F166" s="29">
        <f>('Input Sheet'!C165)/100</f>
        <v>0.9</v>
      </c>
      <c r="G166" s="29">
        <f>('Input Sheet'!F165)/100</f>
        <v>1</v>
      </c>
      <c r="H166" s="27">
        <f t="shared" si="26"/>
        <v>10</v>
      </c>
      <c r="I166" s="27">
        <f t="shared" si="20"/>
        <v>10</v>
      </c>
      <c r="J166" s="27">
        <f t="shared" si="21"/>
        <v>9</v>
      </c>
      <c r="K166" s="27">
        <f t="shared" si="22"/>
        <v>10</v>
      </c>
      <c r="L166" s="27">
        <f t="shared" si="23"/>
        <v>9</v>
      </c>
      <c r="M166" s="32" t="str">
        <f>'Input Sheet'!E165</f>
        <v>C</v>
      </c>
      <c r="N166" s="32">
        <f t="shared" si="24"/>
        <v>4</v>
      </c>
      <c r="T166" s="32">
        <f t="shared" si="28"/>
        <v>0</v>
      </c>
      <c r="U166" s="32">
        <f t="shared" si="28"/>
        <v>0</v>
      </c>
      <c r="V166" s="32">
        <f t="shared" si="28"/>
        <v>0</v>
      </c>
      <c r="W166" s="32">
        <f t="shared" si="28"/>
        <v>10</v>
      </c>
      <c r="X166" s="32">
        <f t="shared" si="28"/>
        <v>0</v>
      </c>
    </row>
    <row r="167" spans="1:24" ht="16.5" customHeight="1" x14ac:dyDescent="0.25">
      <c r="A167" s="39" t="str">
        <f>'Long Sample Name'!A164</f>
        <v>Sample 2970m: 5% Siltstone, 95% very fine to coarse Sandstone, 100% moderately bright to bright FLUOR in SST. TG 166U</v>
      </c>
      <c r="B167" s="25">
        <f>'Input Sheet'!L166</f>
        <v>45197</v>
      </c>
      <c r="C167" s="26">
        <f>'Input Sheet'!M166</f>
        <v>0.20138888888888887</v>
      </c>
      <c r="D167" s="40">
        <f>'Input Sheet'!B166</f>
        <v>2970</v>
      </c>
      <c r="E167" s="37">
        <f>'Input Sheet'!I166</f>
        <v>166</v>
      </c>
      <c r="F167" s="29">
        <f>('Input Sheet'!C166)/100</f>
        <v>0.95</v>
      </c>
      <c r="G167" s="29">
        <f>('Input Sheet'!F166)/100</f>
        <v>1</v>
      </c>
      <c r="H167" s="27">
        <f t="shared" si="26"/>
        <v>10</v>
      </c>
      <c r="I167" s="27">
        <f t="shared" si="20"/>
        <v>10</v>
      </c>
      <c r="J167" s="27">
        <f t="shared" si="21"/>
        <v>9.5</v>
      </c>
      <c r="K167" s="27">
        <f t="shared" si="22"/>
        <v>10</v>
      </c>
      <c r="L167" s="27">
        <f t="shared" si="23"/>
        <v>9.5</v>
      </c>
      <c r="M167" s="32" t="str">
        <f>'Input Sheet'!E166</f>
        <v>C</v>
      </c>
      <c r="N167" s="32">
        <f t="shared" si="24"/>
        <v>4</v>
      </c>
      <c r="T167" s="32">
        <f t="shared" si="28"/>
        <v>0</v>
      </c>
      <c r="U167" s="32">
        <f t="shared" si="28"/>
        <v>0</v>
      </c>
      <c r="V167" s="32">
        <f t="shared" si="28"/>
        <v>0</v>
      </c>
      <c r="W167" s="32">
        <f t="shared" si="28"/>
        <v>10</v>
      </c>
      <c r="X167" s="32">
        <f t="shared" si="28"/>
        <v>0</v>
      </c>
    </row>
    <row r="168" spans="1:24" ht="16.5" customHeight="1" x14ac:dyDescent="0.25">
      <c r="A168" s="39" t="str">
        <f>'Long Sample Name'!A165</f>
        <v>Sample 2980m: 0% Siltstone, 100% very fine to coarse Sandstone, 100% bright FLUOR in SST. TG 220U</v>
      </c>
      <c r="B168" s="25">
        <f>'Input Sheet'!L167</f>
        <v>45197</v>
      </c>
      <c r="C168" s="26">
        <f>'Input Sheet'!M167</f>
        <v>0.22361111111111109</v>
      </c>
      <c r="D168" s="40">
        <f>'Input Sheet'!B167</f>
        <v>2980</v>
      </c>
      <c r="E168" s="37">
        <f>'Input Sheet'!I167</f>
        <v>220</v>
      </c>
      <c r="F168" s="29">
        <f>('Input Sheet'!C167)/100</f>
        <v>1</v>
      </c>
      <c r="G168" s="29">
        <f>('Input Sheet'!F167)/100</f>
        <v>1</v>
      </c>
      <c r="H168" s="27">
        <f t="shared" si="26"/>
        <v>10</v>
      </c>
      <c r="I168" s="27">
        <f t="shared" si="20"/>
        <v>10</v>
      </c>
      <c r="J168" s="27">
        <f t="shared" si="21"/>
        <v>10</v>
      </c>
      <c r="K168" s="27">
        <f t="shared" si="22"/>
        <v>10</v>
      </c>
      <c r="L168" s="27">
        <f t="shared" si="23"/>
        <v>10</v>
      </c>
      <c r="M168" s="32" t="str">
        <f>'Input Sheet'!E167</f>
        <v>C</v>
      </c>
      <c r="N168" s="32">
        <f t="shared" si="24"/>
        <v>4</v>
      </c>
      <c r="T168" s="32">
        <f t="shared" si="28"/>
        <v>0</v>
      </c>
      <c r="U168" s="32">
        <f t="shared" si="28"/>
        <v>0</v>
      </c>
      <c r="V168" s="32">
        <f t="shared" si="28"/>
        <v>0</v>
      </c>
      <c r="W168" s="32">
        <f t="shared" si="28"/>
        <v>10</v>
      </c>
      <c r="X168" s="32">
        <f t="shared" si="28"/>
        <v>0</v>
      </c>
    </row>
    <row r="169" spans="1:24" ht="16.5" customHeight="1" x14ac:dyDescent="0.25">
      <c r="A169" s="39" t="str">
        <f>'Long Sample Name'!A166</f>
        <v>Sample 2990m: 10% Siltstone, 90% very fine to coarse Sandstone, 100% moderately bright to bright FLUOR in SST. TG 164U</v>
      </c>
      <c r="B169" s="25">
        <f>'Input Sheet'!L168</f>
        <v>45197</v>
      </c>
      <c r="C169" s="26">
        <f>'Input Sheet'!M168</f>
        <v>0.24583333333333335</v>
      </c>
      <c r="D169" s="40">
        <f>'Input Sheet'!B168</f>
        <v>2990</v>
      </c>
      <c r="E169" s="37">
        <f>'Input Sheet'!I168</f>
        <v>164</v>
      </c>
      <c r="F169" s="29">
        <f>('Input Sheet'!C168)/100</f>
        <v>0.9</v>
      </c>
      <c r="G169" s="29">
        <f>('Input Sheet'!F168)/100</f>
        <v>1</v>
      </c>
      <c r="H169" s="27">
        <f t="shared" si="26"/>
        <v>10</v>
      </c>
      <c r="I169" s="27">
        <f t="shared" si="20"/>
        <v>10</v>
      </c>
      <c r="J169" s="27">
        <f t="shared" si="21"/>
        <v>9</v>
      </c>
      <c r="K169" s="27">
        <f t="shared" si="22"/>
        <v>10</v>
      </c>
      <c r="L169" s="27">
        <f t="shared" si="23"/>
        <v>9</v>
      </c>
      <c r="M169" s="32" t="str">
        <f>'Input Sheet'!E168</f>
        <v>C</v>
      </c>
      <c r="N169" s="32">
        <f t="shared" si="24"/>
        <v>4</v>
      </c>
      <c r="T169" s="32">
        <f t="shared" si="28"/>
        <v>0</v>
      </c>
      <c r="U169" s="32">
        <f t="shared" si="28"/>
        <v>0</v>
      </c>
      <c r="V169" s="32">
        <f t="shared" si="28"/>
        <v>0</v>
      </c>
      <c r="W169" s="32">
        <f t="shared" si="28"/>
        <v>10</v>
      </c>
      <c r="X169" s="32">
        <f t="shared" si="28"/>
        <v>0</v>
      </c>
    </row>
    <row r="170" spans="1:24" ht="16.5" customHeight="1" x14ac:dyDescent="0.25">
      <c r="A170" s="39" t="str">
        <f>'Long Sample Name'!A167</f>
        <v>Sample 3000m: 20% Siltstone, 80% very fine to fine agg,fine to coarse Sandstone, 100% moderately bright to bright FLUOR in SST. TG 128U</v>
      </c>
      <c r="B170" s="25">
        <f>'Input Sheet'!L169</f>
        <v>45197</v>
      </c>
      <c r="C170" s="26">
        <f>'Input Sheet'!M169</f>
        <v>0.2673611111111111</v>
      </c>
      <c r="D170" s="40">
        <f>'Input Sheet'!B169</f>
        <v>3000</v>
      </c>
      <c r="E170" s="37">
        <f>'Input Sheet'!I169</f>
        <v>128</v>
      </c>
      <c r="F170" s="29">
        <f>('Input Sheet'!C169)/100</f>
        <v>0.8</v>
      </c>
      <c r="G170" s="29">
        <f>('Input Sheet'!F169)/100</f>
        <v>1</v>
      </c>
      <c r="H170" s="27">
        <f t="shared" si="26"/>
        <v>10</v>
      </c>
      <c r="I170" s="27">
        <f t="shared" si="20"/>
        <v>10</v>
      </c>
      <c r="J170" s="27">
        <f t="shared" si="21"/>
        <v>8</v>
      </c>
      <c r="K170" s="27">
        <f t="shared" si="22"/>
        <v>10</v>
      </c>
      <c r="L170" s="27">
        <f t="shared" si="23"/>
        <v>8</v>
      </c>
      <c r="M170" s="32" t="str">
        <f>'Input Sheet'!E169</f>
        <v>C</v>
      </c>
      <c r="N170" s="32">
        <f t="shared" si="24"/>
        <v>4</v>
      </c>
      <c r="T170" s="32">
        <f t="shared" si="28"/>
        <v>0</v>
      </c>
      <c r="U170" s="32">
        <f t="shared" si="28"/>
        <v>0</v>
      </c>
      <c r="V170" s="32">
        <f t="shared" si="28"/>
        <v>0</v>
      </c>
      <c r="W170" s="32">
        <f t="shared" si="28"/>
        <v>10</v>
      </c>
      <c r="X170" s="32">
        <f t="shared" si="28"/>
        <v>0</v>
      </c>
    </row>
    <row r="171" spans="1:24" ht="16.5" customHeight="1" x14ac:dyDescent="0.25">
      <c r="A171" s="39" t="str">
        <f>'Long Sample Name'!A168</f>
        <v>Sample 3010m: 20% Siltstone, 80% very fine to fine agg,fine to coarse Sandstone, 100% moderately bright to bright FLUOR in SST. TG 186U</v>
      </c>
      <c r="B171" s="25">
        <f>'Input Sheet'!L170</f>
        <v>45197</v>
      </c>
      <c r="C171" s="26">
        <f>'Input Sheet'!M170</f>
        <v>0.2951388888888889</v>
      </c>
      <c r="D171" s="40">
        <f>'Input Sheet'!B170</f>
        <v>3010</v>
      </c>
      <c r="E171" s="37">
        <f>'Input Sheet'!I170</f>
        <v>186</v>
      </c>
      <c r="F171" s="29">
        <f>('Input Sheet'!C170)/100</f>
        <v>0.8</v>
      </c>
      <c r="G171" s="29">
        <f>('Input Sheet'!F170)/100</f>
        <v>1</v>
      </c>
      <c r="H171" s="27">
        <f t="shared" si="26"/>
        <v>10</v>
      </c>
      <c r="I171" s="27">
        <f t="shared" si="20"/>
        <v>10</v>
      </c>
      <c r="J171" s="27">
        <f t="shared" si="21"/>
        <v>8</v>
      </c>
      <c r="K171" s="27">
        <f t="shared" si="22"/>
        <v>10</v>
      </c>
      <c r="L171" s="27">
        <f t="shared" si="23"/>
        <v>8</v>
      </c>
      <c r="M171" s="32" t="str">
        <f>'Input Sheet'!E170</f>
        <v>C</v>
      </c>
      <c r="N171" s="32">
        <f t="shared" si="24"/>
        <v>4</v>
      </c>
      <c r="T171" s="32">
        <f t="shared" si="28"/>
        <v>0</v>
      </c>
      <c r="U171" s="32">
        <f t="shared" si="28"/>
        <v>0</v>
      </c>
      <c r="V171" s="32">
        <f t="shared" si="28"/>
        <v>0</v>
      </c>
      <c r="W171" s="32">
        <f t="shared" si="28"/>
        <v>10</v>
      </c>
      <c r="X171" s="32">
        <f t="shared" si="28"/>
        <v>0</v>
      </c>
    </row>
    <row r="172" spans="1:24" ht="16.5" customHeight="1" x14ac:dyDescent="0.25">
      <c r="A172" s="39" t="str">
        <f>'Long Sample Name'!A169</f>
        <v>Sample 3020m: 10% Siltstone, 90% fine to medium Sandstone, 100% bright  FLUOR in SST. TG 161U</v>
      </c>
      <c r="B172" s="25">
        <f>'Input Sheet'!L171</f>
        <v>45197</v>
      </c>
      <c r="C172" s="26">
        <f>'Input Sheet'!M171</f>
        <v>0.31944444444444448</v>
      </c>
      <c r="D172" s="40">
        <f>'Input Sheet'!B171</f>
        <v>3020</v>
      </c>
      <c r="E172" s="37">
        <f>'Input Sheet'!I171</f>
        <v>161</v>
      </c>
      <c r="F172" s="29">
        <f>('Input Sheet'!C171)/100</f>
        <v>0.9</v>
      </c>
      <c r="G172" s="29">
        <f>('Input Sheet'!F171)/100</f>
        <v>1</v>
      </c>
      <c r="H172" s="27">
        <f t="shared" si="26"/>
        <v>10</v>
      </c>
      <c r="I172" s="27">
        <f t="shared" si="20"/>
        <v>10</v>
      </c>
      <c r="J172" s="27">
        <f t="shared" si="21"/>
        <v>9</v>
      </c>
      <c r="K172" s="27">
        <f t="shared" si="22"/>
        <v>10</v>
      </c>
      <c r="L172" s="27">
        <f t="shared" si="23"/>
        <v>9</v>
      </c>
      <c r="M172" s="32" t="str">
        <f>'Input Sheet'!E171</f>
        <v>M</v>
      </c>
      <c r="N172" s="32">
        <f t="shared" si="24"/>
        <v>3</v>
      </c>
      <c r="T172" s="32">
        <f t="shared" si="28"/>
        <v>0</v>
      </c>
      <c r="U172" s="32">
        <f t="shared" si="28"/>
        <v>0</v>
      </c>
      <c r="V172" s="32">
        <f t="shared" si="28"/>
        <v>10</v>
      </c>
      <c r="W172" s="32">
        <f t="shared" si="28"/>
        <v>0</v>
      </c>
      <c r="X172" s="32">
        <f t="shared" si="28"/>
        <v>0</v>
      </c>
    </row>
    <row r="173" spans="1:24" ht="16.5" customHeight="1" x14ac:dyDescent="0.25">
      <c r="A173" s="39" t="str">
        <f>'Long Sample Name'!A170</f>
        <v>Sample 3030m: 5% Siltstone, 95% fine to medium Sandstone, 100% bright  FLUOR in SST. TG 164U</v>
      </c>
      <c r="B173" s="25">
        <f>'Input Sheet'!L172</f>
        <v>45197</v>
      </c>
      <c r="C173" s="26">
        <f>'Input Sheet'!M172</f>
        <v>0.33749999999999997</v>
      </c>
      <c r="D173" s="40">
        <f>'Input Sheet'!B172</f>
        <v>3030</v>
      </c>
      <c r="E173" s="37">
        <f>'Input Sheet'!I172</f>
        <v>164</v>
      </c>
      <c r="F173" s="29">
        <f>('Input Sheet'!C172)/100</f>
        <v>0.95</v>
      </c>
      <c r="G173" s="29">
        <f>('Input Sheet'!F172)/100</f>
        <v>1</v>
      </c>
      <c r="H173" s="27">
        <f t="shared" si="26"/>
        <v>10</v>
      </c>
      <c r="I173" s="27">
        <f t="shared" si="20"/>
        <v>10</v>
      </c>
      <c r="J173" s="27">
        <f t="shared" si="21"/>
        <v>9.5</v>
      </c>
      <c r="K173" s="27">
        <f t="shared" si="22"/>
        <v>10</v>
      </c>
      <c r="L173" s="27">
        <f t="shared" si="23"/>
        <v>9.5</v>
      </c>
      <c r="M173" s="32" t="str">
        <f>'Input Sheet'!E172</f>
        <v>M</v>
      </c>
      <c r="N173" s="32">
        <f t="shared" si="24"/>
        <v>3</v>
      </c>
      <c r="T173" s="32">
        <f t="shared" si="28"/>
        <v>0</v>
      </c>
      <c r="U173" s="32">
        <f t="shared" si="28"/>
        <v>0</v>
      </c>
      <c r="V173" s="32">
        <f t="shared" si="28"/>
        <v>10</v>
      </c>
      <c r="W173" s="32">
        <f t="shared" si="28"/>
        <v>0</v>
      </c>
      <c r="X173" s="32">
        <f t="shared" si="28"/>
        <v>0</v>
      </c>
    </row>
    <row r="174" spans="1:24" ht="16.5" customHeight="1" x14ac:dyDescent="0.25">
      <c r="A174" s="39" t="str">
        <f>'Long Sample Name'!A171</f>
        <v>Sample 3040m: 20% Siltstone, 80% very fine to medium Sandstone, 100% bright  FLUOR in SST. TG 187U</v>
      </c>
      <c r="B174" s="25">
        <f>'Input Sheet'!L173</f>
        <v>45197</v>
      </c>
      <c r="C174" s="26">
        <f>'Input Sheet'!M173</f>
        <v>0.3666666666666667</v>
      </c>
      <c r="D174" s="40">
        <f>'Input Sheet'!B173</f>
        <v>3040</v>
      </c>
      <c r="E174" s="37">
        <f>'Input Sheet'!I173</f>
        <v>187</v>
      </c>
      <c r="F174" s="29">
        <f>('Input Sheet'!C173)/100</f>
        <v>0.8</v>
      </c>
      <c r="G174" s="29">
        <f>('Input Sheet'!F173)/100</f>
        <v>1</v>
      </c>
      <c r="H174" s="27">
        <f t="shared" si="26"/>
        <v>10</v>
      </c>
      <c r="I174" s="27">
        <f t="shared" si="20"/>
        <v>10</v>
      </c>
      <c r="J174" s="27">
        <f t="shared" si="21"/>
        <v>8</v>
      </c>
      <c r="K174" s="27">
        <f t="shared" si="22"/>
        <v>10</v>
      </c>
      <c r="L174" s="27">
        <f t="shared" si="23"/>
        <v>8</v>
      </c>
      <c r="M174" s="32" t="str">
        <f>'Input Sheet'!E173</f>
        <v>M</v>
      </c>
      <c r="N174" s="32">
        <f t="shared" si="24"/>
        <v>3</v>
      </c>
      <c r="T174" s="32">
        <f t="shared" si="28"/>
        <v>0</v>
      </c>
      <c r="U174" s="32">
        <f t="shared" si="28"/>
        <v>0</v>
      </c>
      <c r="V174" s="32">
        <f t="shared" si="28"/>
        <v>10</v>
      </c>
      <c r="W174" s="32">
        <f t="shared" si="28"/>
        <v>0</v>
      </c>
      <c r="X174" s="32">
        <f t="shared" si="28"/>
        <v>0</v>
      </c>
    </row>
    <row r="175" spans="1:24" ht="16.5" customHeight="1" x14ac:dyDescent="0.25">
      <c r="A175" s="39" t="str">
        <f>'Long Sample Name'!A172</f>
        <v>Sample 3050m: 10% Siltstone, 90% very fine to medium Sandstone, 100% bright  FLUOR in SST. TG 198U</v>
      </c>
      <c r="B175" s="25">
        <f>'Input Sheet'!L174</f>
        <v>45197</v>
      </c>
      <c r="C175" s="26">
        <f>'Input Sheet'!M174</f>
        <v>0.38680555555555557</v>
      </c>
      <c r="D175" s="40">
        <f>'Input Sheet'!B174</f>
        <v>3050</v>
      </c>
      <c r="E175" s="37">
        <f>'Input Sheet'!I174</f>
        <v>198</v>
      </c>
      <c r="F175" s="29">
        <f>('Input Sheet'!C174)/100</f>
        <v>0.9</v>
      </c>
      <c r="G175" s="29">
        <f>('Input Sheet'!F174)/100</f>
        <v>1</v>
      </c>
      <c r="H175" s="27">
        <f t="shared" si="26"/>
        <v>10</v>
      </c>
      <c r="I175" s="27">
        <f t="shared" si="20"/>
        <v>10</v>
      </c>
      <c r="J175" s="27">
        <f t="shared" si="21"/>
        <v>9</v>
      </c>
      <c r="K175" s="27">
        <f t="shared" si="22"/>
        <v>10</v>
      </c>
      <c r="L175" s="27">
        <f t="shared" si="23"/>
        <v>9</v>
      </c>
      <c r="M175" s="32" t="str">
        <f>'Input Sheet'!E174</f>
        <v>M</v>
      </c>
      <c r="N175" s="32">
        <f t="shared" si="24"/>
        <v>3</v>
      </c>
      <c r="T175" s="32">
        <f t="shared" si="28"/>
        <v>0</v>
      </c>
      <c r="U175" s="32">
        <f t="shared" si="28"/>
        <v>0</v>
      </c>
      <c r="V175" s="32">
        <f t="shared" si="28"/>
        <v>10</v>
      </c>
      <c r="W175" s="32">
        <f t="shared" si="28"/>
        <v>0</v>
      </c>
      <c r="X175" s="32">
        <f t="shared" si="28"/>
        <v>0</v>
      </c>
    </row>
    <row r="176" spans="1:24" ht="16.5" customHeight="1" x14ac:dyDescent="0.25">
      <c r="A176" s="39" t="str">
        <f>'Long Sample Name'!A173</f>
        <v>Sample 3060m: 10% Siltstone, rare siderite in 90% very fine to medium Sandstone, 100% bright  FLUOR in SST. TG 140U</v>
      </c>
      <c r="B176" s="25">
        <f>'Input Sheet'!L175</f>
        <v>45197</v>
      </c>
      <c r="C176" s="26">
        <f>'Input Sheet'!M175</f>
        <v>0.41388888888888892</v>
      </c>
      <c r="D176" s="40">
        <f>'Input Sheet'!B175</f>
        <v>3060</v>
      </c>
      <c r="E176" s="37">
        <f>'Input Sheet'!I175</f>
        <v>140</v>
      </c>
      <c r="F176" s="29">
        <f>('Input Sheet'!C175)/100</f>
        <v>0.9</v>
      </c>
      <c r="G176" s="29">
        <f>('Input Sheet'!F175)/100</f>
        <v>1</v>
      </c>
      <c r="H176" s="27">
        <f t="shared" si="26"/>
        <v>10</v>
      </c>
      <c r="I176" s="27">
        <f t="shared" si="20"/>
        <v>10</v>
      </c>
      <c r="J176" s="27">
        <f t="shared" si="21"/>
        <v>9</v>
      </c>
      <c r="K176" s="27">
        <f t="shared" si="22"/>
        <v>10</v>
      </c>
      <c r="L176" s="27">
        <f t="shared" si="23"/>
        <v>9</v>
      </c>
      <c r="M176" s="32" t="str">
        <f>'Input Sheet'!E175</f>
        <v>M</v>
      </c>
      <c r="N176" s="32">
        <f t="shared" si="24"/>
        <v>3</v>
      </c>
      <c r="T176" s="32">
        <f t="shared" si="28"/>
        <v>0</v>
      </c>
      <c r="U176" s="32">
        <f t="shared" si="28"/>
        <v>0</v>
      </c>
      <c r="V176" s="32">
        <f t="shared" si="28"/>
        <v>10</v>
      </c>
      <c r="W176" s="32">
        <f t="shared" si="28"/>
        <v>0</v>
      </c>
      <c r="X176" s="32">
        <f t="shared" si="28"/>
        <v>0</v>
      </c>
    </row>
    <row r="177" spans="1:24" ht="16.5" customHeight="1" x14ac:dyDescent="0.25">
      <c r="A177" s="39" t="str">
        <f>'Long Sample Name'!A174</f>
        <v>Sample 3070m: 0% Siltstone, 100% very fine to coarse Sandstone, 100% bright  FLUOR in SST. TG 158U</v>
      </c>
      <c r="B177" s="25">
        <f>'Input Sheet'!L176</f>
        <v>45197</v>
      </c>
      <c r="C177" s="26">
        <f>'Input Sheet'!M176</f>
        <v>0.44791666666666669</v>
      </c>
      <c r="D177" s="40">
        <f>'Input Sheet'!B176</f>
        <v>3070</v>
      </c>
      <c r="E177" s="37">
        <f>'Input Sheet'!I176</f>
        <v>158</v>
      </c>
      <c r="F177" s="29">
        <f>('Input Sheet'!C176)/100</f>
        <v>1</v>
      </c>
      <c r="G177" s="29">
        <f>('Input Sheet'!F176)/100</f>
        <v>1</v>
      </c>
      <c r="H177" s="27">
        <f t="shared" si="26"/>
        <v>10</v>
      </c>
      <c r="I177" s="27">
        <f t="shared" si="20"/>
        <v>10</v>
      </c>
      <c r="J177" s="27">
        <f t="shared" si="21"/>
        <v>10</v>
      </c>
      <c r="K177" s="27">
        <f t="shared" si="22"/>
        <v>10</v>
      </c>
      <c r="L177" s="27">
        <f t="shared" si="23"/>
        <v>10</v>
      </c>
      <c r="M177" s="32" t="str">
        <f>'Input Sheet'!E176</f>
        <v>C</v>
      </c>
      <c r="N177" s="32">
        <f t="shared" si="24"/>
        <v>4</v>
      </c>
      <c r="T177" s="32">
        <f t="shared" si="28"/>
        <v>0</v>
      </c>
      <c r="U177" s="32">
        <f t="shared" si="28"/>
        <v>0</v>
      </c>
      <c r="V177" s="32">
        <f t="shared" si="28"/>
        <v>0</v>
      </c>
      <c r="W177" s="32">
        <f t="shared" si="28"/>
        <v>10</v>
      </c>
      <c r="X177" s="32">
        <f t="shared" si="28"/>
        <v>0</v>
      </c>
    </row>
    <row r="178" spans="1:24" ht="16.5" customHeight="1" x14ac:dyDescent="0.25">
      <c r="A178" s="39" t="str">
        <f>'Long Sample Name'!A175</f>
        <v>Sample 3080m: 20% Siltstone, 80% fine to coarse Sandstone, 100% bright  FLUOR in SST. TG 150U</v>
      </c>
      <c r="B178" s="25">
        <f>'Input Sheet'!L177</f>
        <v>45197</v>
      </c>
      <c r="C178" s="26">
        <f>'Input Sheet'!M177</f>
        <v>0.4826388888888889</v>
      </c>
      <c r="D178" s="40">
        <f>'Input Sheet'!B177</f>
        <v>3080</v>
      </c>
      <c r="E178" s="37">
        <f>'Input Sheet'!I177</f>
        <v>150</v>
      </c>
      <c r="F178" s="29">
        <f>('Input Sheet'!C177)/100</f>
        <v>0.8</v>
      </c>
      <c r="G178" s="29">
        <f>('Input Sheet'!F177)/100</f>
        <v>1</v>
      </c>
      <c r="H178" s="27">
        <f t="shared" si="26"/>
        <v>10</v>
      </c>
      <c r="I178" s="27">
        <f t="shared" si="20"/>
        <v>10</v>
      </c>
      <c r="J178" s="27">
        <f t="shared" si="21"/>
        <v>8</v>
      </c>
      <c r="K178" s="27">
        <f t="shared" si="22"/>
        <v>10</v>
      </c>
      <c r="L178" s="27">
        <f t="shared" si="23"/>
        <v>8</v>
      </c>
      <c r="M178" s="32" t="str">
        <f>'Input Sheet'!E177</f>
        <v>C</v>
      </c>
      <c r="N178" s="32">
        <f t="shared" si="24"/>
        <v>4</v>
      </c>
      <c r="T178" s="32">
        <f t="shared" si="28"/>
        <v>0</v>
      </c>
      <c r="U178" s="32">
        <f t="shared" si="28"/>
        <v>0</v>
      </c>
      <c r="V178" s="32">
        <f t="shared" si="28"/>
        <v>0</v>
      </c>
      <c r="W178" s="32">
        <f t="shared" si="28"/>
        <v>10</v>
      </c>
      <c r="X178" s="32">
        <f t="shared" si="28"/>
        <v>0</v>
      </c>
    </row>
    <row r="179" spans="1:24" ht="16.5" customHeight="1" x14ac:dyDescent="0.25">
      <c r="A179" s="39" t="str">
        <f>'Long Sample Name'!A176</f>
        <v>Sample 3090m: 10% Siltstone, 90% fine to coarse Sandstone, 100% bright  FLUOR in SST. TG 190U</v>
      </c>
      <c r="B179" s="25">
        <f>'Input Sheet'!L178</f>
        <v>45197</v>
      </c>
      <c r="C179" s="26">
        <f>'Input Sheet'!M178</f>
        <v>0.50972222222222219</v>
      </c>
      <c r="D179" s="40">
        <f>'Input Sheet'!B178</f>
        <v>3090</v>
      </c>
      <c r="E179" s="37">
        <f>'Input Sheet'!I178</f>
        <v>190</v>
      </c>
      <c r="F179" s="29">
        <f>('Input Sheet'!C178)/100</f>
        <v>0.9</v>
      </c>
      <c r="G179" s="29">
        <f>('Input Sheet'!F178)/100</f>
        <v>1</v>
      </c>
      <c r="H179" s="27">
        <f t="shared" si="26"/>
        <v>10</v>
      </c>
      <c r="I179" s="27">
        <f t="shared" si="20"/>
        <v>10</v>
      </c>
      <c r="J179" s="27">
        <f t="shared" si="21"/>
        <v>9</v>
      </c>
      <c r="K179" s="27">
        <f t="shared" si="22"/>
        <v>10</v>
      </c>
      <c r="L179" s="27">
        <f t="shared" si="23"/>
        <v>9</v>
      </c>
      <c r="M179" s="32" t="str">
        <f>'Input Sheet'!E178</f>
        <v>C</v>
      </c>
      <c r="N179" s="32">
        <f t="shared" si="24"/>
        <v>4</v>
      </c>
      <c r="T179" s="32">
        <f t="shared" si="28"/>
        <v>0</v>
      </c>
      <c r="U179" s="32">
        <f t="shared" si="28"/>
        <v>0</v>
      </c>
      <c r="V179" s="32">
        <f t="shared" si="28"/>
        <v>0</v>
      </c>
      <c r="W179" s="32">
        <f t="shared" si="28"/>
        <v>10</v>
      </c>
      <c r="X179" s="32">
        <f t="shared" si="28"/>
        <v>0</v>
      </c>
    </row>
    <row r="180" spans="1:24" ht="16.5" customHeight="1" x14ac:dyDescent="0.25">
      <c r="A180" s="39" t="str">
        <f>'Long Sample Name'!A177</f>
        <v>Sample 3100m: 0% Siltstone, 100% very fine to coarse Sandstone, 100% bright  FLUOR in SST. TG 180U</v>
      </c>
      <c r="B180" s="25">
        <f>'Input Sheet'!L179</f>
        <v>45197</v>
      </c>
      <c r="C180" s="26">
        <f>'Input Sheet'!M179</f>
        <v>0.53749999999999998</v>
      </c>
      <c r="D180" s="40">
        <f>'Input Sheet'!B179</f>
        <v>3100</v>
      </c>
      <c r="E180" s="37">
        <f>'Input Sheet'!I179</f>
        <v>180</v>
      </c>
      <c r="F180" s="29">
        <f>('Input Sheet'!C179)/100</f>
        <v>1</v>
      </c>
      <c r="G180" s="29">
        <f>('Input Sheet'!F179)/100</f>
        <v>1</v>
      </c>
      <c r="H180" s="27">
        <f t="shared" si="26"/>
        <v>10</v>
      </c>
      <c r="I180" s="27">
        <f t="shared" si="20"/>
        <v>10</v>
      </c>
      <c r="J180" s="27">
        <f t="shared" si="21"/>
        <v>10</v>
      </c>
      <c r="K180" s="27">
        <f t="shared" si="22"/>
        <v>10</v>
      </c>
      <c r="L180" s="27">
        <f t="shared" si="23"/>
        <v>10</v>
      </c>
      <c r="M180" s="32" t="str">
        <f>'Input Sheet'!E179</f>
        <v>C</v>
      </c>
      <c r="N180" s="32">
        <f t="shared" si="24"/>
        <v>4</v>
      </c>
      <c r="T180" s="32">
        <f t="shared" si="28"/>
        <v>0</v>
      </c>
      <c r="U180" s="32">
        <f t="shared" si="28"/>
        <v>0</v>
      </c>
      <c r="V180" s="32">
        <f t="shared" si="28"/>
        <v>0</v>
      </c>
      <c r="W180" s="32">
        <f t="shared" si="28"/>
        <v>10</v>
      </c>
      <c r="X180" s="32">
        <f t="shared" si="28"/>
        <v>0</v>
      </c>
    </row>
    <row r="181" spans="1:24" ht="16.5" customHeight="1" x14ac:dyDescent="0.25">
      <c r="A181" s="39" t="str">
        <f>'Long Sample Name'!A178</f>
        <v>Sample 3110m: 0% Siltstone, 100% very fine to medium Sandstone, 90% bright  FLUOR in SST. TG 138U</v>
      </c>
      <c r="B181" s="25">
        <f>'Input Sheet'!L180</f>
        <v>45197</v>
      </c>
      <c r="C181" s="26">
        <f>'Input Sheet'!M180</f>
        <v>0.56597222222222221</v>
      </c>
      <c r="D181" s="40">
        <f>'Input Sheet'!B180</f>
        <v>3110</v>
      </c>
      <c r="E181" s="37">
        <f>'Input Sheet'!I180</f>
        <v>138</v>
      </c>
      <c r="F181" s="29">
        <f>('Input Sheet'!C180)/100</f>
        <v>1</v>
      </c>
      <c r="G181" s="29">
        <f>('Input Sheet'!F180)/100</f>
        <v>0.9</v>
      </c>
      <c r="H181" s="27">
        <f t="shared" si="26"/>
        <v>10</v>
      </c>
      <c r="I181" s="27">
        <f t="shared" si="20"/>
        <v>10</v>
      </c>
      <c r="J181" s="27">
        <f t="shared" si="21"/>
        <v>10</v>
      </c>
      <c r="K181" s="27">
        <f t="shared" si="22"/>
        <v>10</v>
      </c>
      <c r="L181" s="27">
        <f t="shared" si="23"/>
        <v>10</v>
      </c>
      <c r="M181" s="32" t="str">
        <f>'Input Sheet'!E180</f>
        <v>M</v>
      </c>
      <c r="N181" s="32">
        <f t="shared" si="24"/>
        <v>3</v>
      </c>
      <c r="T181" s="32">
        <f t="shared" ref="T181:X196" si="29">IF($M181=T$1,$H181,0)</f>
        <v>0</v>
      </c>
      <c r="U181" s="32">
        <f t="shared" si="29"/>
        <v>0</v>
      </c>
      <c r="V181" s="32">
        <f t="shared" si="29"/>
        <v>10</v>
      </c>
      <c r="W181" s="32">
        <f t="shared" si="29"/>
        <v>0</v>
      </c>
      <c r="X181" s="32">
        <f t="shared" si="29"/>
        <v>0</v>
      </c>
    </row>
    <row r="182" spans="1:24" ht="16.5" customHeight="1" x14ac:dyDescent="0.25">
      <c r="A182" s="39" t="str">
        <f>'Long Sample Name'!A179</f>
        <v>Sample 3120m: 10% Siltstone, 90% fine to coarse Sandstone, 80% moderately bright to bright FLUOR in SST. TG 215U</v>
      </c>
      <c r="B182" s="25">
        <f>'Input Sheet'!L181</f>
        <v>45197</v>
      </c>
      <c r="C182" s="26">
        <f>'Input Sheet'!M181</f>
        <v>0.59305555555555556</v>
      </c>
      <c r="D182" s="40">
        <f>'Input Sheet'!B181</f>
        <v>3120</v>
      </c>
      <c r="E182" s="37">
        <f>'Input Sheet'!I181</f>
        <v>215</v>
      </c>
      <c r="F182" s="29">
        <f>('Input Sheet'!C181)/100</f>
        <v>0.9</v>
      </c>
      <c r="G182" s="29">
        <f>('Input Sheet'!F181)/100</f>
        <v>0.8</v>
      </c>
      <c r="H182" s="27">
        <f t="shared" si="26"/>
        <v>10</v>
      </c>
      <c r="I182" s="27">
        <f t="shared" si="20"/>
        <v>10</v>
      </c>
      <c r="J182" s="27">
        <f t="shared" si="21"/>
        <v>9</v>
      </c>
      <c r="K182" s="27">
        <f t="shared" si="22"/>
        <v>10</v>
      </c>
      <c r="L182" s="27">
        <f t="shared" si="23"/>
        <v>9</v>
      </c>
      <c r="M182" s="32" t="str">
        <f>'Input Sheet'!E181</f>
        <v>C</v>
      </c>
      <c r="N182" s="32">
        <f t="shared" si="24"/>
        <v>4</v>
      </c>
      <c r="T182" s="32">
        <f t="shared" si="29"/>
        <v>0</v>
      </c>
      <c r="U182" s="32">
        <f t="shared" si="29"/>
        <v>0</v>
      </c>
      <c r="V182" s="32">
        <f t="shared" si="29"/>
        <v>0</v>
      </c>
      <c r="W182" s="32">
        <f t="shared" si="29"/>
        <v>10</v>
      </c>
      <c r="X182" s="32">
        <f t="shared" si="29"/>
        <v>0</v>
      </c>
    </row>
    <row r="183" spans="1:24" ht="16.5" customHeight="1" x14ac:dyDescent="0.25">
      <c r="A183" s="39" t="str">
        <f>'Long Sample Name'!A180</f>
        <v>Sample 3130m: 10% Siltstone, 90% fine to coarse Sandstone, 100% bright  FLUOR in SST. TG 204U</v>
      </c>
      <c r="B183" s="25">
        <f>'Input Sheet'!L182</f>
        <v>45197</v>
      </c>
      <c r="C183" s="26">
        <f>'Input Sheet'!M182</f>
        <v>0.6118055555555556</v>
      </c>
      <c r="D183" s="40">
        <f>'Input Sheet'!B182</f>
        <v>3130</v>
      </c>
      <c r="E183" s="37">
        <f>'Input Sheet'!I182</f>
        <v>204</v>
      </c>
      <c r="F183" s="29">
        <f>('Input Sheet'!C182)/100</f>
        <v>0.9</v>
      </c>
      <c r="G183" s="29">
        <f>('Input Sheet'!F182)/100</f>
        <v>1</v>
      </c>
      <c r="H183" s="27">
        <f t="shared" si="26"/>
        <v>10</v>
      </c>
      <c r="I183" s="27">
        <f t="shared" si="20"/>
        <v>10</v>
      </c>
      <c r="J183" s="27">
        <f t="shared" si="21"/>
        <v>9</v>
      </c>
      <c r="K183" s="27">
        <f t="shared" si="22"/>
        <v>10</v>
      </c>
      <c r="L183" s="27">
        <f t="shared" si="23"/>
        <v>9</v>
      </c>
      <c r="M183" s="32" t="str">
        <f>'Input Sheet'!E182</f>
        <v>C</v>
      </c>
      <c r="N183" s="32">
        <f t="shared" si="24"/>
        <v>4</v>
      </c>
      <c r="T183" s="32">
        <f t="shared" si="29"/>
        <v>0</v>
      </c>
      <c r="U183" s="32">
        <f t="shared" si="29"/>
        <v>0</v>
      </c>
      <c r="V183" s="32">
        <f t="shared" si="29"/>
        <v>0</v>
      </c>
      <c r="W183" s="32">
        <f t="shared" si="29"/>
        <v>10</v>
      </c>
      <c r="X183" s="32">
        <f t="shared" si="29"/>
        <v>0</v>
      </c>
    </row>
    <row r="184" spans="1:24" ht="16.5" customHeight="1" x14ac:dyDescent="0.25">
      <c r="A184" s="39" t="str">
        <f>'Long Sample Name'!A181</f>
        <v>Sample 3140m: 0% Siltstone, 100% fine to coarse Sandstone, 100% bright  FLUOR in SST. TG 180U</v>
      </c>
      <c r="B184" s="25">
        <f>'Input Sheet'!L183</f>
        <v>45197</v>
      </c>
      <c r="C184" s="26">
        <f>'Input Sheet'!M183</f>
        <v>0.63541666666666663</v>
      </c>
      <c r="D184" s="40">
        <f>'Input Sheet'!B183</f>
        <v>3140</v>
      </c>
      <c r="E184" s="37">
        <f>'Input Sheet'!I183</f>
        <v>180</v>
      </c>
      <c r="F184" s="29">
        <f>('Input Sheet'!C183)/100</f>
        <v>1</v>
      </c>
      <c r="G184" s="29">
        <f>('Input Sheet'!F183)/100</f>
        <v>1</v>
      </c>
      <c r="H184" s="27">
        <f t="shared" si="26"/>
        <v>10</v>
      </c>
      <c r="I184" s="27">
        <f t="shared" si="20"/>
        <v>10</v>
      </c>
      <c r="J184" s="27">
        <f t="shared" si="21"/>
        <v>10</v>
      </c>
      <c r="K184" s="27">
        <f t="shared" si="22"/>
        <v>10</v>
      </c>
      <c r="L184" s="27">
        <f t="shared" si="23"/>
        <v>10</v>
      </c>
      <c r="M184" s="32" t="str">
        <f>'Input Sheet'!E183</f>
        <v>C</v>
      </c>
      <c r="N184" s="32">
        <f t="shared" si="24"/>
        <v>4</v>
      </c>
      <c r="T184" s="32">
        <f t="shared" si="29"/>
        <v>0</v>
      </c>
      <c r="U184" s="32">
        <f t="shared" si="29"/>
        <v>0</v>
      </c>
      <c r="V184" s="32">
        <f t="shared" si="29"/>
        <v>0</v>
      </c>
      <c r="W184" s="32">
        <f t="shared" si="29"/>
        <v>10</v>
      </c>
      <c r="X184" s="32">
        <f t="shared" si="29"/>
        <v>0</v>
      </c>
    </row>
    <row r="185" spans="1:24" ht="16.5" customHeight="1" x14ac:dyDescent="0.25">
      <c r="A185" s="39" t="str">
        <f>'Long Sample Name'!A182</f>
        <v>Sample 3150m: 0% Siltstone, 100% fine to medium Sandstone, 100% bright  FLUOR in SST. TG 174U</v>
      </c>
      <c r="B185" s="25">
        <f>'Input Sheet'!L184</f>
        <v>45197</v>
      </c>
      <c r="C185" s="26">
        <f>'Input Sheet'!M184</f>
        <v>0.66388888888888886</v>
      </c>
      <c r="D185" s="40">
        <f>'Input Sheet'!B184</f>
        <v>3150</v>
      </c>
      <c r="E185" s="37">
        <f>'Input Sheet'!I184</f>
        <v>174</v>
      </c>
      <c r="F185" s="29">
        <f>('Input Sheet'!C184)/100</f>
        <v>1</v>
      </c>
      <c r="G185" s="29">
        <f>('Input Sheet'!F184)/100</f>
        <v>1</v>
      </c>
      <c r="H185" s="27">
        <f t="shared" si="26"/>
        <v>10</v>
      </c>
      <c r="I185" s="27">
        <f t="shared" si="20"/>
        <v>10</v>
      </c>
      <c r="J185" s="27">
        <f t="shared" si="21"/>
        <v>10</v>
      </c>
      <c r="K185" s="27">
        <f t="shared" si="22"/>
        <v>10</v>
      </c>
      <c r="L185" s="27">
        <f t="shared" si="23"/>
        <v>10</v>
      </c>
      <c r="M185" s="32" t="str">
        <f>'Input Sheet'!E184</f>
        <v>M</v>
      </c>
      <c r="N185" s="32">
        <f t="shared" si="24"/>
        <v>3</v>
      </c>
      <c r="T185" s="32">
        <f t="shared" si="29"/>
        <v>0</v>
      </c>
      <c r="U185" s="32">
        <f t="shared" si="29"/>
        <v>0</v>
      </c>
      <c r="V185" s="32">
        <f t="shared" si="29"/>
        <v>10</v>
      </c>
      <c r="W185" s="32">
        <f t="shared" si="29"/>
        <v>0</v>
      </c>
      <c r="X185" s="32">
        <f t="shared" si="29"/>
        <v>0</v>
      </c>
    </row>
    <row r="186" spans="1:24" ht="16.5" customHeight="1" x14ac:dyDescent="0.25">
      <c r="A186" s="39" t="str">
        <f>'Long Sample Name'!A183</f>
        <v>Sample 3160m: 0% Siltstone, 100% fine to medium Sandstone, 100% bright  FLUOR in SST. TG 178U</v>
      </c>
      <c r="B186" s="25">
        <f>'Input Sheet'!L185</f>
        <v>45197</v>
      </c>
      <c r="C186" s="26">
        <f>'Input Sheet'!M185</f>
        <v>0.6875</v>
      </c>
      <c r="D186" s="40">
        <f>'Input Sheet'!B185</f>
        <v>3160</v>
      </c>
      <c r="E186" s="37">
        <f>'Input Sheet'!I185</f>
        <v>178</v>
      </c>
      <c r="F186" s="29">
        <f>('Input Sheet'!C185)/100</f>
        <v>1</v>
      </c>
      <c r="G186" s="29">
        <f>('Input Sheet'!F185)/100</f>
        <v>1</v>
      </c>
      <c r="H186" s="27">
        <f t="shared" si="26"/>
        <v>10</v>
      </c>
      <c r="I186" s="27">
        <f t="shared" si="20"/>
        <v>10</v>
      </c>
      <c r="J186" s="27">
        <f t="shared" si="21"/>
        <v>10</v>
      </c>
      <c r="K186" s="27">
        <f t="shared" si="22"/>
        <v>10</v>
      </c>
      <c r="L186" s="27">
        <f t="shared" si="23"/>
        <v>10</v>
      </c>
      <c r="M186" s="32" t="str">
        <f>'Input Sheet'!E185</f>
        <v>M</v>
      </c>
      <c r="N186" s="32">
        <f t="shared" si="24"/>
        <v>3</v>
      </c>
      <c r="T186" s="32">
        <f t="shared" si="29"/>
        <v>0</v>
      </c>
      <c r="U186" s="32">
        <f t="shared" si="29"/>
        <v>0</v>
      </c>
      <c r="V186" s="32">
        <f t="shared" si="29"/>
        <v>10</v>
      </c>
      <c r="W186" s="32">
        <f t="shared" si="29"/>
        <v>0</v>
      </c>
      <c r="X186" s="32">
        <f t="shared" si="29"/>
        <v>0</v>
      </c>
    </row>
    <row r="187" spans="1:24" ht="16.5" customHeight="1" x14ac:dyDescent="0.25">
      <c r="A187" s="39" t="str">
        <f>'Long Sample Name'!A184</f>
        <v>Sample 3170m: 0% Siltstone, 100% fine to very coarse Sandstone, 100% bright  FLUOR in SST. TG 191U</v>
      </c>
      <c r="B187" s="25">
        <f>'Input Sheet'!L186</f>
        <v>45197</v>
      </c>
      <c r="C187" s="26">
        <f>'Input Sheet'!M186</f>
        <v>0.71527777777777779</v>
      </c>
      <c r="D187" s="40">
        <f>'Input Sheet'!B186</f>
        <v>3170</v>
      </c>
      <c r="E187" s="37">
        <f>'Input Sheet'!I186</f>
        <v>191</v>
      </c>
      <c r="F187" s="29">
        <f>('Input Sheet'!C186)/100</f>
        <v>1</v>
      </c>
      <c r="G187" s="29">
        <f>('Input Sheet'!F186)/100</f>
        <v>1</v>
      </c>
      <c r="H187" s="27">
        <f t="shared" si="26"/>
        <v>10</v>
      </c>
      <c r="I187" s="27">
        <f t="shared" si="20"/>
        <v>10</v>
      </c>
      <c r="J187" s="27">
        <f t="shared" si="21"/>
        <v>10</v>
      </c>
      <c r="K187" s="27">
        <f t="shared" si="22"/>
        <v>10</v>
      </c>
      <c r="L187" s="27">
        <f t="shared" si="23"/>
        <v>10</v>
      </c>
      <c r="M187" s="32" t="str">
        <f>'Input Sheet'!E186</f>
        <v>VC</v>
      </c>
      <c r="N187" s="32">
        <f t="shared" si="24"/>
        <v>5</v>
      </c>
      <c r="T187" s="32">
        <f t="shared" si="29"/>
        <v>0</v>
      </c>
      <c r="U187" s="32">
        <f t="shared" si="29"/>
        <v>0</v>
      </c>
      <c r="V187" s="32">
        <f t="shared" si="29"/>
        <v>0</v>
      </c>
      <c r="W187" s="32">
        <f t="shared" si="29"/>
        <v>0</v>
      </c>
      <c r="X187" s="32">
        <f t="shared" si="29"/>
        <v>10</v>
      </c>
    </row>
    <row r="188" spans="1:24" ht="16.5" customHeight="1" x14ac:dyDescent="0.25">
      <c r="A188" s="39" t="str">
        <f>'Long Sample Name'!A185</f>
        <v>Sample 3180m: 0% Siltstone, 100% fine to very coarse Sandstone, 100% bright  FLUOR in SST. TG 181U</v>
      </c>
      <c r="B188" s="25">
        <f>'Input Sheet'!L187</f>
        <v>45197</v>
      </c>
      <c r="C188" s="26">
        <f>'Input Sheet'!M187</f>
        <v>0.73472222222222217</v>
      </c>
      <c r="D188" s="40">
        <f>'Input Sheet'!B187</f>
        <v>3180</v>
      </c>
      <c r="E188" s="37">
        <f>'Input Sheet'!I187</f>
        <v>181</v>
      </c>
      <c r="F188" s="29">
        <f>('Input Sheet'!C187)/100</f>
        <v>1</v>
      </c>
      <c r="G188" s="29">
        <f>('Input Sheet'!F187)/100</f>
        <v>1</v>
      </c>
      <c r="H188" s="27">
        <f t="shared" si="26"/>
        <v>10</v>
      </c>
      <c r="I188" s="27">
        <f t="shared" si="20"/>
        <v>10</v>
      </c>
      <c r="J188" s="27">
        <f t="shared" si="21"/>
        <v>10</v>
      </c>
      <c r="K188" s="27">
        <f t="shared" si="22"/>
        <v>10</v>
      </c>
      <c r="L188" s="27">
        <f t="shared" si="23"/>
        <v>10</v>
      </c>
      <c r="M188" s="32" t="str">
        <f>'Input Sheet'!E187</f>
        <v>VC</v>
      </c>
      <c r="N188" s="32">
        <f t="shared" si="24"/>
        <v>5</v>
      </c>
      <c r="T188" s="32">
        <f t="shared" si="29"/>
        <v>0</v>
      </c>
      <c r="U188" s="32">
        <f t="shared" si="29"/>
        <v>0</v>
      </c>
      <c r="V188" s="32">
        <f t="shared" si="29"/>
        <v>0</v>
      </c>
      <c r="W188" s="32">
        <f t="shared" si="29"/>
        <v>0</v>
      </c>
      <c r="X188" s="32">
        <f t="shared" si="29"/>
        <v>10</v>
      </c>
    </row>
    <row r="189" spans="1:24" ht="16.5" customHeight="1" x14ac:dyDescent="0.25">
      <c r="A189" s="39" t="str">
        <f>'Long Sample Name'!A186</f>
        <v>Sample 3186m: 0% Siltstone, 100% fine to very coarse Sandstone, 100% bright  FLUOR in SST. TG 190U</v>
      </c>
      <c r="B189" s="25">
        <f>'Input Sheet'!L188</f>
        <v>45197</v>
      </c>
      <c r="C189" s="26">
        <f>'Input Sheet'!M188</f>
        <v>0.75</v>
      </c>
      <c r="D189" s="40">
        <f>'Input Sheet'!B188</f>
        <v>3186</v>
      </c>
      <c r="E189" s="37">
        <f>'Input Sheet'!I188</f>
        <v>190</v>
      </c>
      <c r="F189" s="29">
        <f>('Input Sheet'!C188)/100</f>
        <v>1</v>
      </c>
      <c r="G189" s="29">
        <f>('Input Sheet'!F188)/100</f>
        <v>1</v>
      </c>
      <c r="H189" s="27">
        <f t="shared" si="26"/>
        <v>6</v>
      </c>
      <c r="I189" s="27">
        <f t="shared" si="20"/>
        <v>6</v>
      </c>
      <c r="J189" s="27">
        <f t="shared" si="21"/>
        <v>6</v>
      </c>
      <c r="K189" s="27">
        <f t="shared" si="22"/>
        <v>6</v>
      </c>
      <c r="L189" s="27">
        <f t="shared" si="23"/>
        <v>6</v>
      </c>
      <c r="M189" s="32" t="str">
        <f>'Input Sheet'!E188</f>
        <v>VC</v>
      </c>
      <c r="N189" s="32">
        <f t="shared" si="24"/>
        <v>5</v>
      </c>
      <c r="T189" s="32">
        <f t="shared" si="29"/>
        <v>0</v>
      </c>
      <c r="U189" s="32">
        <f t="shared" si="29"/>
        <v>0</v>
      </c>
      <c r="V189" s="32">
        <f t="shared" si="29"/>
        <v>0</v>
      </c>
      <c r="W189" s="32">
        <f t="shared" si="29"/>
        <v>0</v>
      </c>
      <c r="X189" s="32">
        <f t="shared" si="29"/>
        <v>6</v>
      </c>
    </row>
    <row r="190" spans="1:24" ht="16.5" customHeight="1" x14ac:dyDescent="0.25">
      <c r="A190" s="39" t="str">
        <f>'Long Sample Name'!A187</f>
        <v/>
      </c>
      <c r="B190" s="25" t="str">
        <f ca="1">'Input Sheet'!L189</f>
        <v/>
      </c>
      <c r="C190" s="26" t="str">
        <f ca="1">'Input Sheet'!M189</f>
        <v/>
      </c>
      <c r="D190" s="40">
        <f>'Input Sheet'!B189</f>
        <v>0</v>
      </c>
      <c r="E190" s="37">
        <f>'Input Sheet'!I189</f>
        <v>0</v>
      </c>
      <c r="F190" s="29">
        <f>('Input Sheet'!C189)/100</f>
        <v>0</v>
      </c>
      <c r="G190" s="29">
        <f>('Input Sheet'!F189)/100</f>
        <v>0</v>
      </c>
      <c r="H190" s="27">
        <f t="shared" si="26"/>
        <v>-3186</v>
      </c>
      <c r="I190" s="27">
        <f t="shared" si="20"/>
        <v>-3186</v>
      </c>
      <c r="J190" s="27">
        <f t="shared" si="21"/>
        <v>0</v>
      </c>
      <c r="K190" s="27">
        <f t="shared" si="22"/>
        <v>0</v>
      </c>
      <c r="L190" s="27">
        <f t="shared" si="23"/>
        <v>0</v>
      </c>
      <c r="M190" s="32" t="str">
        <f>'Input Sheet'!E189</f>
        <v/>
      </c>
      <c r="N190" s="32">
        <f t="shared" si="24"/>
        <v>0</v>
      </c>
      <c r="T190" s="32">
        <f t="shared" si="29"/>
        <v>0</v>
      </c>
      <c r="U190" s="32">
        <f t="shared" si="29"/>
        <v>0</v>
      </c>
      <c r="V190" s="32">
        <f t="shared" si="29"/>
        <v>0</v>
      </c>
      <c r="W190" s="32">
        <f t="shared" si="29"/>
        <v>0</v>
      </c>
      <c r="X190" s="32">
        <f t="shared" si="29"/>
        <v>0</v>
      </c>
    </row>
    <row r="191" spans="1:24" ht="16.5" customHeight="1" x14ac:dyDescent="0.25">
      <c r="A191" s="39" t="str">
        <f>'Long Sample Name'!A188</f>
        <v/>
      </c>
      <c r="B191" s="25" t="str">
        <f ca="1">'Input Sheet'!L190</f>
        <v/>
      </c>
      <c r="C191" s="26" t="str">
        <f ca="1">'Input Sheet'!M190</f>
        <v/>
      </c>
      <c r="D191" s="40">
        <f>'Input Sheet'!B190</f>
        <v>0</v>
      </c>
      <c r="E191" s="37">
        <f>'Input Sheet'!I190</f>
        <v>0</v>
      </c>
      <c r="F191" s="29">
        <f>('Input Sheet'!C190)/100</f>
        <v>0</v>
      </c>
      <c r="G191" s="29">
        <f>('Input Sheet'!F190)/100</f>
        <v>0</v>
      </c>
      <c r="H191" s="27">
        <f t="shared" si="26"/>
        <v>0</v>
      </c>
      <c r="I191" s="27">
        <f t="shared" si="20"/>
        <v>0</v>
      </c>
      <c r="J191" s="27">
        <f t="shared" si="21"/>
        <v>0</v>
      </c>
      <c r="K191" s="27">
        <f t="shared" si="22"/>
        <v>0</v>
      </c>
      <c r="L191" s="27">
        <f t="shared" si="23"/>
        <v>0</v>
      </c>
      <c r="M191" s="32" t="str">
        <f>'Input Sheet'!E190</f>
        <v/>
      </c>
      <c r="N191" s="32">
        <f t="shared" si="24"/>
        <v>0</v>
      </c>
      <c r="T191" s="32">
        <f t="shared" si="29"/>
        <v>0</v>
      </c>
      <c r="U191" s="32">
        <f t="shared" si="29"/>
        <v>0</v>
      </c>
      <c r="V191" s="32">
        <f t="shared" si="29"/>
        <v>0</v>
      </c>
      <c r="W191" s="32">
        <f t="shared" si="29"/>
        <v>0</v>
      </c>
      <c r="X191" s="32">
        <f t="shared" si="29"/>
        <v>0</v>
      </c>
    </row>
    <row r="192" spans="1:24" ht="16.5" customHeight="1" x14ac:dyDescent="0.25">
      <c r="A192" s="39" t="str">
        <f>'Long Sample Name'!A189</f>
        <v/>
      </c>
      <c r="B192" s="25" t="str">
        <f ca="1">'Input Sheet'!L191</f>
        <v/>
      </c>
      <c r="C192" s="26" t="str">
        <f ca="1">'Input Sheet'!M191</f>
        <v/>
      </c>
      <c r="D192" s="40">
        <f>'Input Sheet'!B191</f>
        <v>0</v>
      </c>
      <c r="E192" s="37">
        <f>'Input Sheet'!I191</f>
        <v>0</v>
      </c>
      <c r="F192" s="29">
        <f>('Input Sheet'!C191)/100</f>
        <v>0</v>
      </c>
      <c r="G192" s="29">
        <f>('Input Sheet'!F191)/100</f>
        <v>0</v>
      </c>
      <c r="H192" s="27">
        <f t="shared" si="26"/>
        <v>0</v>
      </c>
      <c r="I192" s="27">
        <f t="shared" si="20"/>
        <v>0</v>
      </c>
      <c r="J192" s="27">
        <f t="shared" si="21"/>
        <v>0</v>
      </c>
      <c r="K192" s="27">
        <f t="shared" si="22"/>
        <v>0</v>
      </c>
      <c r="L192" s="27">
        <f t="shared" si="23"/>
        <v>0</v>
      </c>
      <c r="M192" s="32" t="str">
        <f>'Input Sheet'!E191</f>
        <v/>
      </c>
      <c r="N192" s="32">
        <f t="shared" si="24"/>
        <v>0</v>
      </c>
      <c r="T192" s="32">
        <f t="shared" si="29"/>
        <v>0</v>
      </c>
      <c r="U192" s="32">
        <f t="shared" si="29"/>
        <v>0</v>
      </c>
      <c r="V192" s="32">
        <f t="shared" si="29"/>
        <v>0</v>
      </c>
      <c r="W192" s="32">
        <f t="shared" si="29"/>
        <v>0</v>
      </c>
      <c r="X192" s="32">
        <f t="shared" si="29"/>
        <v>0</v>
      </c>
    </row>
    <row r="193" spans="1:24" ht="16.5" customHeight="1" x14ac:dyDescent="0.25">
      <c r="A193" s="39" t="str">
        <f>'Long Sample Name'!A190</f>
        <v/>
      </c>
      <c r="B193" s="25" t="str">
        <f ca="1">'Input Sheet'!L192</f>
        <v/>
      </c>
      <c r="C193" s="26" t="str">
        <f ca="1">'Input Sheet'!M192</f>
        <v/>
      </c>
      <c r="D193" s="40">
        <f>'Input Sheet'!B192</f>
        <v>0</v>
      </c>
      <c r="E193" s="37">
        <f>'Input Sheet'!I192</f>
        <v>0</v>
      </c>
      <c r="F193" s="29">
        <f>('Input Sheet'!C192)/100</f>
        <v>0</v>
      </c>
      <c r="G193" s="29">
        <f>('Input Sheet'!F192)/100</f>
        <v>0</v>
      </c>
      <c r="H193" s="27">
        <f t="shared" si="26"/>
        <v>0</v>
      </c>
      <c r="I193" s="27">
        <f t="shared" si="20"/>
        <v>0</v>
      </c>
      <c r="J193" s="27">
        <f t="shared" si="21"/>
        <v>0</v>
      </c>
      <c r="K193" s="27">
        <f t="shared" si="22"/>
        <v>0</v>
      </c>
      <c r="L193" s="27">
        <f t="shared" si="23"/>
        <v>0</v>
      </c>
      <c r="M193" s="32" t="str">
        <f>'Input Sheet'!E192</f>
        <v/>
      </c>
      <c r="N193" s="32">
        <f t="shared" si="24"/>
        <v>0</v>
      </c>
      <c r="T193" s="32">
        <f t="shared" si="29"/>
        <v>0</v>
      </c>
      <c r="U193" s="32">
        <f t="shared" si="29"/>
        <v>0</v>
      </c>
      <c r="V193" s="32">
        <f t="shared" si="29"/>
        <v>0</v>
      </c>
      <c r="W193" s="32">
        <f t="shared" si="29"/>
        <v>0</v>
      </c>
      <c r="X193" s="32">
        <f t="shared" si="29"/>
        <v>0</v>
      </c>
    </row>
    <row r="194" spans="1:24" ht="16.5" customHeight="1" x14ac:dyDescent="0.25">
      <c r="A194" s="39" t="str">
        <f>'Long Sample Name'!A191</f>
        <v/>
      </c>
      <c r="B194" s="25" t="str">
        <f ca="1">'Input Sheet'!L193</f>
        <v/>
      </c>
      <c r="C194" s="26" t="str">
        <f ca="1">'Input Sheet'!M193</f>
        <v/>
      </c>
      <c r="D194" s="40">
        <f>'Input Sheet'!B193</f>
        <v>0</v>
      </c>
      <c r="E194" s="37">
        <f>'Input Sheet'!I193</f>
        <v>0</v>
      </c>
      <c r="F194" s="29">
        <f>('Input Sheet'!C193)/100</f>
        <v>0</v>
      </c>
      <c r="G194" s="29">
        <f>('Input Sheet'!F193)/100</f>
        <v>0</v>
      </c>
      <c r="H194" s="27">
        <f t="shared" si="26"/>
        <v>0</v>
      </c>
      <c r="I194" s="27">
        <f t="shared" si="20"/>
        <v>0</v>
      </c>
      <c r="J194" s="27">
        <f t="shared" si="21"/>
        <v>0</v>
      </c>
      <c r="K194" s="27">
        <f t="shared" si="22"/>
        <v>0</v>
      </c>
      <c r="L194" s="27">
        <f t="shared" si="23"/>
        <v>0</v>
      </c>
      <c r="M194" s="32" t="str">
        <f>'Input Sheet'!E193</f>
        <v/>
      </c>
      <c r="N194" s="32">
        <f t="shared" si="24"/>
        <v>0</v>
      </c>
      <c r="T194" s="32">
        <f t="shared" si="29"/>
        <v>0</v>
      </c>
      <c r="U194" s="32">
        <f t="shared" si="29"/>
        <v>0</v>
      </c>
      <c r="V194" s="32">
        <f t="shared" si="29"/>
        <v>0</v>
      </c>
      <c r="W194" s="32">
        <f t="shared" si="29"/>
        <v>0</v>
      </c>
      <c r="X194" s="32">
        <f t="shared" si="29"/>
        <v>0</v>
      </c>
    </row>
    <row r="195" spans="1:24" ht="16.5" customHeight="1" x14ac:dyDescent="0.25">
      <c r="A195" s="39" t="str">
        <f>'Long Sample Name'!A192</f>
        <v/>
      </c>
      <c r="B195" s="25" t="str">
        <f ca="1">'Input Sheet'!L194</f>
        <v/>
      </c>
      <c r="C195" s="26" t="str">
        <f ca="1">'Input Sheet'!M194</f>
        <v/>
      </c>
      <c r="D195" s="40">
        <f>'Input Sheet'!B194</f>
        <v>0</v>
      </c>
      <c r="E195" s="37">
        <f>'Input Sheet'!I194</f>
        <v>0</v>
      </c>
      <c r="F195" s="29">
        <f>('Input Sheet'!C194)/100</f>
        <v>0</v>
      </c>
      <c r="G195" s="29">
        <f>('Input Sheet'!F194)/100</f>
        <v>0</v>
      </c>
      <c r="H195" s="27">
        <f t="shared" si="26"/>
        <v>0</v>
      </c>
      <c r="I195" s="27">
        <f t="shared" si="20"/>
        <v>0</v>
      </c>
      <c r="J195" s="27">
        <f t="shared" si="21"/>
        <v>0</v>
      </c>
      <c r="K195" s="27">
        <f t="shared" si="22"/>
        <v>0</v>
      </c>
      <c r="L195" s="27">
        <f t="shared" si="23"/>
        <v>0</v>
      </c>
      <c r="M195" s="32" t="str">
        <f>'Input Sheet'!E194</f>
        <v/>
      </c>
      <c r="N195" s="32">
        <f t="shared" si="24"/>
        <v>0</v>
      </c>
      <c r="T195" s="32">
        <f t="shared" si="29"/>
        <v>0</v>
      </c>
      <c r="U195" s="32">
        <f t="shared" si="29"/>
        <v>0</v>
      </c>
      <c r="V195" s="32">
        <f t="shared" si="29"/>
        <v>0</v>
      </c>
      <c r="W195" s="32">
        <f t="shared" si="29"/>
        <v>0</v>
      </c>
      <c r="X195" s="32">
        <f t="shared" si="29"/>
        <v>0</v>
      </c>
    </row>
    <row r="196" spans="1:24" ht="16.5" customHeight="1" x14ac:dyDescent="0.25">
      <c r="A196" s="39" t="str">
        <f>'Long Sample Name'!A193</f>
        <v/>
      </c>
      <c r="B196" s="25" t="str">
        <f ca="1">'Input Sheet'!L195</f>
        <v/>
      </c>
      <c r="C196" s="26" t="str">
        <f ca="1">'Input Sheet'!M195</f>
        <v/>
      </c>
      <c r="D196" s="40">
        <f>'Input Sheet'!B195</f>
        <v>0</v>
      </c>
      <c r="E196" s="37">
        <f>'Input Sheet'!I195</f>
        <v>0</v>
      </c>
      <c r="F196" s="29">
        <f>('Input Sheet'!C195)/100</f>
        <v>0</v>
      </c>
      <c r="G196" s="29">
        <f>('Input Sheet'!F195)/100</f>
        <v>0</v>
      </c>
      <c r="H196" s="27">
        <f t="shared" si="26"/>
        <v>0</v>
      </c>
      <c r="I196" s="27">
        <f t="shared" si="20"/>
        <v>0</v>
      </c>
      <c r="J196" s="27">
        <f t="shared" si="21"/>
        <v>0</v>
      </c>
      <c r="K196" s="27">
        <f t="shared" si="22"/>
        <v>0</v>
      </c>
      <c r="L196" s="27">
        <f t="shared" si="23"/>
        <v>0</v>
      </c>
      <c r="M196" s="32" t="str">
        <f>'Input Sheet'!E195</f>
        <v/>
      </c>
      <c r="N196" s="32">
        <f t="shared" si="24"/>
        <v>0</v>
      </c>
      <c r="T196" s="32">
        <f t="shared" si="29"/>
        <v>0</v>
      </c>
      <c r="U196" s="32">
        <f t="shared" si="29"/>
        <v>0</v>
      </c>
      <c r="V196" s="32">
        <f t="shared" si="29"/>
        <v>0</v>
      </c>
      <c r="W196" s="32">
        <f t="shared" si="29"/>
        <v>0</v>
      </c>
      <c r="X196" s="32">
        <f t="shared" si="29"/>
        <v>0</v>
      </c>
    </row>
    <row r="197" spans="1:24" ht="16.5" customHeight="1" x14ac:dyDescent="0.25">
      <c r="A197" s="39" t="str">
        <f>'Long Sample Name'!A194</f>
        <v/>
      </c>
      <c r="B197" s="25" t="str">
        <f ca="1">'Input Sheet'!L196</f>
        <v/>
      </c>
      <c r="C197" s="26" t="str">
        <f ca="1">'Input Sheet'!M196</f>
        <v/>
      </c>
      <c r="D197" s="40">
        <f>'Input Sheet'!B196</f>
        <v>0</v>
      </c>
      <c r="E197" s="37">
        <f>'Input Sheet'!I196</f>
        <v>0</v>
      </c>
      <c r="F197" s="29">
        <f>('Input Sheet'!C196)/100</f>
        <v>0</v>
      </c>
      <c r="G197" s="29">
        <f>('Input Sheet'!F196)/100</f>
        <v>0</v>
      </c>
      <c r="H197" s="27">
        <f t="shared" si="26"/>
        <v>0</v>
      </c>
      <c r="I197" s="27">
        <f t="shared" ref="I197:I260" si="30">IF(AND(F197&gt;=$F$2,G197&gt;=$G$2),H197,0)</f>
        <v>0</v>
      </c>
      <c r="J197" s="27">
        <f t="shared" ref="J197:J260" si="31">IF(I197&gt;0,I197*F197,0)</f>
        <v>0</v>
      </c>
      <c r="K197" s="27">
        <f t="shared" ref="K197:K260" si="32">IF(AND(F197&gt;=$F$3,G197&gt;=$G$3),H197,0)</f>
        <v>0</v>
      </c>
      <c r="L197" s="27">
        <f t="shared" ref="L197:L260" si="33">IF(K197&gt;0,K197*F197,0)</f>
        <v>0</v>
      </c>
      <c r="M197" s="32" t="str">
        <f>'Input Sheet'!E196</f>
        <v/>
      </c>
      <c r="N197" s="32">
        <f t="shared" ref="N197:N260" si="34">IF(M197="VF",1,IF(M197="F",2,IF(M197="M",3,IF(M197="C",4,IF(M197="VC",5,0)))))</f>
        <v>0</v>
      </c>
      <c r="T197" s="32">
        <f t="shared" ref="T197:X212" si="35">IF($M197=T$1,$H197,0)</f>
        <v>0</v>
      </c>
      <c r="U197" s="32">
        <f t="shared" si="35"/>
        <v>0</v>
      </c>
      <c r="V197" s="32">
        <f t="shared" si="35"/>
        <v>0</v>
      </c>
      <c r="W197" s="32">
        <f t="shared" si="35"/>
        <v>0</v>
      </c>
      <c r="X197" s="32">
        <f t="shared" si="35"/>
        <v>0</v>
      </c>
    </row>
    <row r="198" spans="1:24" ht="16.5" customHeight="1" x14ac:dyDescent="0.25">
      <c r="A198" s="39" t="str">
        <f>'Long Sample Name'!A195</f>
        <v/>
      </c>
      <c r="B198" s="25" t="str">
        <f ca="1">'Input Sheet'!L197</f>
        <v/>
      </c>
      <c r="C198" s="26" t="str">
        <f ca="1">'Input Sheet'!M197</f>
        <v/>
      </c>
      <c r="D198" s="40">
        <f>'Input Sheet'!B197</f>
        <v>0</v>
      </c>
      <c r="E198" s="37">
        <f>'Input Sheet'!I197</f>
        <v>0</v>
      </c>
      <c r="F198" s="29">
        <f>('Input Sheet'!C197)/100</f>
        <v>0</v>
      </c>
      <c r="G198" s="29">
        <f>('Input Sheet'!F197)/100</f>
        <v>0</v>
      </c>
      <c r="H198" s="27">
        <f t="shared" ref="H198:H261" si="36">IF(D198&lt;&gt;"",D198-D197,"")</f>
        <v>0</v>
      </c>
      <c r="I198" s="27">
        <f t="shared" si="30"/>
        <v>0</v>
      </c>
      <c r="J198" s="27">
        <f t="shared" si="31"/>
        <v>0</v>
      </c>
      <c r="K198" s="27">
        <f t="shared" si="32"/>
        <v>0</v>
      </c>
      <c r="L198" s="27">
        <f t="shared" si="33"/>
        <v>0</v>
      </c>
      <c r="M198" s="32" t="str">
        <f>'Input Sheet'!E197</f>
        <v/>
      </c>
      <c r="N198" s="32">
        <f t="shared" si="34"/>
        <v>0</v>
      </c>
      <c r="T198" s="32">
        <f t="shared" si="35"/>
        <v>0</v>
      </c>
      <c r="U198" s="32">
        <f t="shared" si="35"/>
        <v>0</v>
      </c>
      <c r="V198" s="32">
        <f t="shared" si="35"/>
        <v>0</v>
      </c>
      <c r="W198" s="32">
        <f t="shared" si="35"/>
        <v>0</v>
      </c>
      <c r="X198" s="32">
        <f t="shared" si="35"/>
        <v>0</v>
      </c>
    </row>
    <row r="199" spans="1:24" ht="16.5" customHeight="1" x14ac:dyDescent="0.25">
      <c r="A199" s="39" t="str">
        <f>'Long Sample Name'!A196</f>
        <v/>
      </c>
      <c r="B199" s="25" t="str">
        <f ca="1">'Input Sheet'!L198</f>
        <v/>
      </c>
      <c r="C199" s="26" t="str">
        <f ca="1">'Input Sheet'!M198</f>
        <v/>
      </c>
      <c r="D199" s="40">
        <f>'Input Sheet'!B198</f>
        <v>0</v>
      </c>
      <c r="E199" s="37">
        <f>'Input Sheet'!I198</f>
        <v>0</v>
      </c>
      <c r="F199" s="29">
        <f>('Input Sheet'!C198)/100</f>
        <v>0</v>
      </c>
      <c r="G199" s="29">
        <f>('Input Sheet'!F198)/100</f>
        <v>0</v>
      </c>
      <c r="H199" s="27">
        <f t="shared" si="36"/>
        <v>0</v>
      </c>
      <c r="I199" s="27">
        <f t="shared" si="30"/>
        <v>0</v>
      </c>
      <c r="J199" s="27">
        <f t="shared" si="31"/>
        <v>0</v>
      </c>
      <c r="K199" s="27">
        <f t="shared" si="32"/>
        <v>0</v>
      </c>
      <c r="L199" s="27">
        <f t="shared" si="33"/>
        <v>0</v>
      </c>
      <c r="M199" s="32" t="str">
        <f>'Input Sheet'!E198</f>
        <v/>
      </c>
      <c r="N199" s="32">
        <f t="shared" si="34"/>
        <v>0</v>
      </c>
      <c r="T199" s="32">
        <f t="shared" si="35"/>
        <v>0</v>
      </c>
      <c r="U199" s="32">
        <f t="shared" si="35"/>
        <v>0</v>
      </c>
      <c r="V199" s="32">
        <f t="shared" si="35"/>
        <v>0</v>
      </c>
      <c r="W199" s="32">
        <f t="shared" si="35"/>
        <v>0</v>
      </c>
      <c r="X199" s="32">
        <f t="shared" si="35"/>
        <v>0</v>
      </c>
    </row>
    <row r="200" spans="1:24" ht="16.5" customHeight="1" x14ac:dyDescent="0.25">
      <c r="A200" s="39" t="str">
        <f>'Long Sample Name'!A197</f>
        <v/>
      </c>
      <c r="B200" s="25" t="str">
        <f ca="1">'Input Sheet'!L199</f>
        <v/>
      </c>
      <c r="C200" s="26" t="str">
        <f ca="1">'Input Sheet'!M199</f>
        <v/>
      </c>
      <c r="D200" s="40">
        <f>'Input Sheet'!B199</f>
        <v>0</v>
      </c>
      <c r="E200" s="37">
        <f>'Input Sheet'!I199</f>
        <v>0</v>
      </c>
      <c r="F200" s="29">
        <f>('Input Sheet'!C199)/100</f>
        <v>0</v>
      </c>
      <c r="G200" s="29">
        <f>('Input Sheet'!F199)/100</f>
        <v>0</v>
      </c>
      <c r="H200" s="27">
        <f t="shared" si="36"/>
        <v>0</v>
      </c>
      <c r="I200" s="27">
        <f t="shared" si="30"/>
        <v>0</v>
      </c>
      <c r="J200" s="27">
        <f t="shared" si="31"/>
        <v>0</v>
      </c>
      <c r="K200" s="27">
        <f t="shared" si="32"/>
        <v>0</v>
      </c>
      <c r="L200" s="27">
        <f t="shared" si="33"/>
        <v>0</v>
      </c>
      <c r="M200" s="32" t="str">
        <f>'Input Sheet'!E199</f>
        <v/>
      </c>
      <c r="N200" s="32">
        <f t="shared" si="34"/>
        <v>0</v>
      </c>
      <c r="T200" s="32">
        <f t="shared" si="35"/>
        <v>0</v>
      </c>
      <c r="U200" s="32">
        <f t="shared" si="35"/>
        <v>0</v>
      </c>
      <c r="V200" s="32">
        <f t="shared" si="35"/>
        <v>0</v>
      </c>
      <c r="W200" s="32">
        <f t="shared" si="35"/>
        <v>0</v>
      </c>
      <c r="X200" s="32">
        <f t="shared" si="35"/>
        <v>0</v>
      </c>
    </row>
    <row r="201" spans="1:24" ht="16.5" customHeight="1" x14ac:dyDescent="0.25">
      <c r="A201" s="39" t="str">
        <f>'Long Sample Name'!A198</f>
        <v/>
      </c>
      <c r="B201" s="25" t="str">
        <f ca="1">'Input Sheet'!L200</f>
        <v/>
      </c>
      <c r="C201" s="26" t="str">
        <f ca="1">'Input Sheet'!M200</f>
        <v/>
      </c>
      <c r="D201" s="40">
        <f>'Input Sheet'!B200</f>
        <v>0</v>
      </c>
      <c r="E201" s="37">
        <f>'Input Sheet'!I200</f>
        <v>0</v>
      </c>
      <c r="F201" s="29">
        <f>('Input Sheet'!C200)/100</f>
        <v>0</v>
      </c>
      <c r="G201" s="29">
        <f>('Input Sheet'!F200)/100</f>
        <v>0</v>
      </c>
      <c r="H201" s="27">
        <f t="shared" si="36"/>
        <v>0</v>
      </c>
      <c r="I201" s="27">
        <f t="shared" si="30"/>
        <v>0</v>
      </c>
      <c r="J201" s="27">
        <f t="shared" si="31"/>
        <v>0</v>
      </c>
      <c r="K201" s="27">
        <f t="shared" si="32"/>
        <v>0</v>
      </c>
      <c r="L201" s="27">
        <f t="shared" si="33"/>
        <v>0</v>
      </c>
      <c r="M201" s="32" t="str">
        <f>'Input Sheet'!E200</f>
        <v/>
      </c>
      <c r="N201" s="32">
        <f t="shared" si="34"/>
        <v>0</v>
      </c>
      <c r="T201" s="32">
        <f t="shared" si="35"/>
        <v>0</v>
      </c>
      <c r="U201" s="32">
        <f t="shared" si="35"/>
        <v>0</v>
      </c>
      <c r="V201" s="32">
        <f t="shared" si="35"/>
        <v>0</v>
      </c>
      <c r="W201" s="32">
        <f t="shared" si="35"/>
        <v>0</v>
      </c>
      <c r="X201" s="32">
        <f t="shared" si="35"/>
        <v>0</v>
      </c>
    </row>
    <row r="202" spans="1:24" ht="16.5" customHeight="1" x14ac:dyDescent="0.25">
      <c r="A202" s="39" t="str">
        <f>'Long Sample Name'!A199</f>
        <v/>
      </c>
      <c r="B202" s="25" t="str">
        <f ca="1">'Input Sheet'!L201</f>
        <v/>
      </c>
      <c r="C202" s="26" t="str">
        <f ca="1">'Input Sheet'!M201</f>
        <v/>
      </c>
      <c r="D202" s="40">
        <f>'Input Sheet'!B201</f>
        <v>0</v>
      </c>
      <c r="E202" s="37">
        <f>'Input Sheet'!I201</f>
        <v>0</v>
      </c>
      <c r="F202" s="29">
        <f>('Input Sheet'!C201)/100</f>
        <v>0</v>
      </c>
      <c r="G202" s="29">
        <f>('Input Sheet'!F201)/100</f>
        <v>0</v>
      </c>
      <c r="H202" s="27">
        <f t="shared" si="36"/>
        <v>0</v>
      </c>
      <c r="I202" s="27">
        <f t="shared" si="30"/>
        <v>0</v>
      </c>
      <c r="J202" s="27">
        <f t="shared" si="31"/>
        <v>0</v>
      </c>
      <c r="K202" s="27">
        <f t="shared" si="32"/>
        <v>0</v>
      </c>
      <c r="L202" s="27">
        <f t="shared" si="33"/>
        <v>0</v>
      </c>
      <c r="M202" s="32" t="str">
        <f>'Input Sheet'!E201</f>
        <v/>
      </c>
      <c r="N202" s="32">
        <f t="shared" si="34"/>
        <v>0</v>
      </c>
      <c r="T202" s="32">
        <f t="shared" si="35"/>
        <v>0</v>
      </c>
      <c r="U202" s="32">
        <f t="shared" si="35"/>
        <v>0</v>
      </c>
      <c r="V202" s="32">
        <f t="shared" si="35"/>
        <v>0</v>
      </c>
      <c r="W202" s="32">
        <f t="shared" si="35"/>
        <v>0</v>
      </c>
      <c r="X202" s="32">
        <f t="shared" si="35"/>
        <v>0</v>
      </c>
    </row>
    <row r="203" spans="1:24" ht="16.5" customHeight="1" x14ac:dyDescent="0.25">
      <c r="A203" s="39" t="str">
        <f>'Long Sample Name'!A200</f>
        <v/>
      </c>
      <c r="B203" s="25" t="str">
        <f ca="1">'Input Sheet'!L202</f>
        <v/>
      </c>
      <c r="C203" s="26" t="str">
        <f ca="1">'Input Sheet'!M202</f>
        <v/>
      </c>
      <c r="D203" s="40">
        <f>'Input Sheet'!B202</f>
        <v>0</v>
      </c>
      <c r="E203" s="37">
        <f>'Input Sheet'!I202</f>
        <v>0</v>
      </c>
      <c r="F203" s="29">
        <f>('Input Sheet'!C202)/100</f>
        <v>0</v>
      </c>
      <c r="G203" s="29">
        <f>('Input Sheet'!F202)/100</f>
        <v>0</v>
      </c>
      <c r="H203" s="27">
        <f t="shared" si="36"/>
        <v>0</v>
      </c>
      <c r="I203" s="27">
        <f t="shared" si="30"/>
        <v>0</v>
      </c>
      <c r="J203" s="27">
        <f t="shared" si="31"/>
        <v>0</v>
      </c>
      <c r="K203" s="27">
        <f t="shared" si="32"/>
        <v>0</v>
      </c>
      <c r="L203" s="27">
        <f t="shared" si="33"/>
        <v>0</v>
      </c>
      <c r="M203" s="32" t="str">
        <f>'Input Sheet'!E202</f>
        <v/>
      </c>
      <c r="N203" s="32">
        <f t="shared" si="34"/>
        <v>0</v>
      </c>
      <c r="T203" s="32">
        <f t="shared" si="35"/>
        <v>0</v>
      </c>
      <c r="U203" s="32">
        <f t="shared" si="35"/>
        <v>0</v>
      </c>
      <c r="V203" s="32">
        <f t="shared" si="35"/>
        <v>0</v>
      </c>
      <c r="W203" s="32">
        <f t="shared" si="35"/>
        <v>0</v>
      </c>
      <c r="X203" s="32">
        <f t="shared" si="35"/>
        <v>0</v>
      </c>
    </row>
    <row r="204" spans="1:24" ht="16.5" customHeight="1" x14ac:dyDescent="0.25">
      <c r="A204" s="39" t="str">
        <f>'Long Sample Name'!A201</f>
        <v/>
      </c>
      <c r="B204" s="25" t="str">
        <f ca="1">'Input Sheet'!L203</f>
        <v/>
      </c>
      <c r="C204" s="26" t="str">
        <f ca="1">'Input Sheet'!M203</f>
        <v/>
      </c>
      <c r="D204" s="40">
        <f>'Input Sheet'!B203</f>
        <v>0</v>
      </c>
      <c r="E204" s="37">
        <f>'Input Sheet'!I203</f>
        <v>0</v>
      </c>
      <c r="F204" s="29">
        <f>('Input Sheet'!C203)/100</f>
        <v>0</v>
      </c>
      <c r="G204" s="29">
        <f>('Input Sheet'!F203)/100</f>
        <v>0</v>
      </c>
      <c r="H204" s="27">
        <f t="shared" si="36"/>
        <v>0</v>
      </c>
      <c r="I204" s="27">
        <f t="shared" si="30"/>
        <v>0</v>
      </c>
      <c r="J204" s="27">
        <f t="shared" si="31"/>
        <v>0</v>
      </c>
      <c r="K204" s="27">
        <f t="shared" si="32"/>
        <v>0</v>
      </c>
      <c r="L204" s="27">
        <f t="shared" si="33"/>
        <v>0</v>
      </c>
      <c r="M204" s="32" t="str">
        <f>'Input Sheet'!E203</f>
        <v/>
      </c>
      <c r="N204" s="32">
        <f t="shared" si="34"/>
        <v>0</v>
      </c>
      <c r="T204" s="32">
        <f t="shared" si="35"/>
        <v>0</v>
      </c>
      <c r="U204" s="32">
        <f t="shared" si="35"/>
        <v>0</v>
      </c>
      <c r="V204" s="32">
        <f t="shared" si="35"/>
        <v>0</v>
      </c>
      <c r="W204" s="32">
        <f t="shared" si="35"/>
        <v>0</v>
      </c>
      <c r="X204" s="32">
        <f t="shared" si="35"/>
        <v>0</v>
      </c>
    </row>
    <row r="205" spans="1:24" ht="16.5" customHeight="1" x14ac:dyDescent="0.25">
      <c r="A205" s="39" t="str">
        <f>'Long Sample Name'!A202</f>
        <v/>
      </c>
      <c r="B205" s="25" t="str">
        <f ca="1">'Input Sheet'!L204</f>
        <v/>
      </c>
      <c r="C205" s="26" t="str">
        <f ca="1">'Input Sheet'!M204</f>
        <v/>
      </c>
      <c r="D205" s="40">
        <f>'Input Sheet'!B204</f>
        <v>0</v>
      </c>
      <c r="E205" s="37">
        <f>'Input Sheet'!I204</f>
        <v>0</v>
      </c>
      <c r="F205" s="29">
        <f>('Input Sheet'!C204)/100</f>
        <v>0</v>
      </c>
      <c r="G205" s="29">
        <f>('Input Sheet'!F204)/100</f>
        <v>0</v>
      </c>
      <c r="H205" s="27">
        <f t="shared" si="36"/>
        <v>0</v>
      </c>
      <c r="I205" s="27">
        <f t="shared" si="30"/>
        <v>0</v>
      </c>
      <c r="J205" s="27">
        <f t="shared" si="31"/>
        <v>0</v>
      </c>
      <c r="K205" s="27">
        <f t="shared" si="32"/>
        <v>0</v>
      </c>
      <c r="L205" s="27">
        <f t="shared" si="33"/>
        <v>0</v>
      </c>
      <c r="M205" s="32" t="str">
        <f>'Input Sheet'!E204</f>
        <v/>
      </c>
      <c r="N205" s="32">
        <f t="shared" si="34"/>
        <v>0</v>
      </c>
      <c r="T205" s="32">
        <f t="shared" si="35"/>
        <v>0</v>
      </c>
      <c r="U205" s="32">
        <f t="shared" si="35"/>
        <v>0</v>
      </c>
      <c r="V205" s="32">
        <f t="shared" si="35"/>
        <v>0</v>
      </c>
      <c r="W205" s="32">
        <f t="shared" si="35"/>
        <v>0</v>
      </c>
      <c r="X205" s="32">
        <f t="shared" si="35"/>
        <v>0</v>
      </c>
    </row>
    <row r="206" spans="1:24" ht="16.5" customHeight="1" x14ac:dyDescent="0.25">
      <c r="A206" s="39" t="str">
        <f>'Long Sample Name'!A203</f>
        <v/>
      </c>
      <c r="B206" s="25" t="str">
        <f ca="1">'Input Sheet'!L205</f>
        <v/>
      </c>
      <c r="C206" s="26" t="str">
        <f ca="1">'Input Sheet'!M205</f>
        <v/>
      </c>
      <c r="D206" s="40">
        <f>'Input Sheet'!B205</f>
        <v>0</v>
      </c>
      <c r="E206" s="37">
        <f>'Input Sheet'!I205</f>
        <v>0</v>
      </c>
      <c r="F206" s="29">
        <f>('Input Sheet'!C205)/100</f>
        <v>0</v>
      </c>
      <c r="G206" s="29">
        <f>('Input Sheet'!F205)/100</f>
        <v>0</v>
      </c>
      <c r="H206" s="27">
        <f t="shared" si="36"/>
        <v>0</v>
      </c>
      <c r="I206" s="27">
        <f t="shared" si="30"/>
        <v>0</v>
      </c>
      <c r="J206" s="27">
        <f t="shared" si="31"/>
        <v>0</v>
      </c>
      <c r="K206" s="27">
        <f t="shared" si="32"/>
        <v>0</v>
      </c>
      <c r="L206" s="27">
        <f t="shared" si="33"/>
        <v>0</v>
      </c>
      <c r="M206" s="32" t="str">
        <f>'Input Sheet'!E205</f>
        <v/>
      </c>
      <c r="N206" s="32">
        <f t="shared" si="34"/>
        <v>0</v>
      </c>
      <c r="T206" s="32">
        <f t="shared" si="35"/>
        <v>0</v>
      </c>
      <c r="U206" s="32">
        <f t="shared" si="35"/>
        <v>0</v>
      </c>
      <c r="V206" s="32">
        <f t="shared" si="35"/>
        <v>0</v>
      </c>
      <c r="W206" s="32">
        <f t="shared" si="35"/>
        <v>0</v>
      </c>
      <c r="X206" s="32">
        <f t="shared" si="35"/>
        <v>0</v>
      </c>
    </row>
    <row r="207" spans="1:24" ht="16.5" customHeight="1" x14ac:dyDescent="0.25">
      <c r="A207" s="39" t="str">
        <f>'Long Sample Name'!A204</f>
        <v/>
      </c>
      <c r="B207" s="25" t="str">
        <f ca="1">'Input Sheet'!L206</f>
        <v/>
      </c>
      <c r="C207" s="26" t="str">
        <f ca="1">'Input Sheet'!M206</f>
        <v/>
      </c>
      <c r="D207" s="40">
        <f>'Input Sheet'!B206</f>
        <v>0</v>
      </c>
      <c r="E207" s="37">
        <f>'Input Sheet'!I206</f>
        <v>0</v>
      </c>
      <c r="F207" s="29">
        <f>('Input Sheet'!C206)/100</f>
        <v>0</v>
      </c>
      <c r="G207" s="29">
        <f>('Input Sheet'!F206)/100</f>
        <v>0</v>
      </c>
      <c r="H207" s="27">
        <f t="shared" si="36"/>
        <v>0</v>
      </c>
      <c r="I207" s="27">
        <f t="shared" si="30"/>
        <v>0</v>
      </c>
      <c r="J207" s="27">
        <f t="shared" si="31"/>
        <v>0</v>
      </c>
      <c r="K207" s="27">
        <f t="shared" si="32"/>
        <v>0</v>
      </c>
      <c r="L207" s="27">
        <f t="shared" si="33"/>
        <v>0</v>
      </c>
      <c r="M207" s="32" t="str">
        <f>'Input Sheet'!E206</f>
        <v/>
      </c>
      <c r="N207" s="32">
        <f t="shared" si="34"/>
        <v>0</v>
      </c>
      <c r="T207" s="32">
        <f t="shared" si="35"/>
        <v>0</v>
      </c>
      <c r="U207" s="32">
        <f t="shared" si="35"/>
        <v>0</v>
      </c>
      <c r="V207" s="32">
        <f t="shared" si="35"/>
        <v>0</v>
      </c>
      <c r="W207" s="32">
        <f t="shared" si="35"/>
        <v>0</v>
      </c>
      <c r="X207" s="32">
        <f t="shared" si="35"/>
        <v>0</v>
      </c>
    </row>
    <row r="208" spans="1:24" ht="16.5" customHeight="1" x14ac:dyDescent="0.25">
      <c r="A208" s="39" t="str">
        <f>'Long Sample Name'!A205</f>
        <v/>
      </c>
      <c r="B208" s="25" t="str">
        <f ca="1">'Input Sheet'!L207</f>
        <v/>
      </c>
      <c r="C208" s="26" t="str">
        <f ca="1">'Input Sheet'!M207</f>
        <v/>
      </c>
      <c r="D208" s="40">
        <f>'Input Sheet'!B207</f>
        <v>0</v>
      </c>
      <c r="E208" s="37">
        <f>'Input Sheet'!I207</f>
        <v>0</v>
      </c>
      <c r="F208" s="29">
        <f>('Input Sheet'!C207)/100</f>
        <v>0</v>
      </c>
      <c r="G208" s="29">
        <f>('Input Sheet'!F207)/100</f>
        <v>0</v>
      </c>
      <c r="H208" s="27">
        <f t="shared" si="36"/>
        <v>0</v>
      </c>
      <c r="I208" s="27">
        <f t="shared" si="30"/>
        <v>0</v>
      </c>
      <c r="J208" s="27">
        <f t="shared" si="31"/>
        <v>0</v>
      </c>
      <c r="K208" s="27">
        <f t="shared" si="32"/>
        <v>0</v>
      </c>
      <c r="L208" s="27">
        <f t="shared" si="33"/>
        <v>0</v>
      </c>
      <c r="M208" s="32" t="str">
        <f>'Input Sheet'!E207</f>
        <v/>
      </c>
      <c r="N208" s="32">
        <f t="shared" si="34"/>
        <v>0</v>
      </c>
      <c r="T208" s="32">
        <f t="shared" si="35"/>
        <v>0</v>
      </c>
      <c r="U208" s="32">
        <f t="shared" si="35"/>
        <v>0</v>
      </c>
      <c r="V208" s="32">
        <f t="shared" si="35"/>
        <v>0</v>
      </c>
      <c r="W208" s="32">
        <f t="shared" si="35"/>
        <v>0</v>
      </c>
      <c r="X208" s="32">
        <f t="shared" si="35"/>
        <v>0</v>
      </c>
    </row>
    <row r="209" spans="1:24" ht="16.5" customHeight="1" x14ac:dyDescent="0.25">
      <c r="A209" s="39" t="str">
        <f>'Long Sample Name'!A206</f>
        <v/>
      </c>
      <c r="B209" s="25" t="str">
        <f ca="1">'Input Sheet'!L208</f>
        <v/>
      </c>
      <c r="C209" s="26" t="str">
        <f ca="1">'Input Sheet'!M208</f>
        <v/>
      </c>
      <c r="D209" s="40">
        <f>'Input Sheet'!B208</f>
        <v>0</v>
      </c>
      <c r="E209" s="37">
        <f>'Input Sheet'!I208</f>
        <v>0</v>
      </c>
      <c r="F209" s="29">
        <f>('Input Sheet'!C208)/100</f>
        <v>0</v>
      </c>
      <c r="G209" s="29">
        <f>('Input Sheet'!F208)/100</f>
        <v>0</v>
      </c>
      <c r="H209" s="27">
        <f t="shared" si="36"/>
        <v>0</v>
      </c>
      <c r="I209" s="27">
        <f t="shared" si="30"/>
        <v>0</v>
      </c>
      <c r="J209" s="27">
        <f t="shared" si="31"/>
        <v>0</v>
      </c>
      <c r="K209" s="27">
        <f t="shared" si="32"/>
        <v>0</v>
      </c>
      <c r="L209" s="27">
        <f t="shared" si="33"/>
        <v>0</v>
      </c>
      <c r="M209" s="32" t="str">
        <f>'Input Sheet'!E208</f>
        <v/>
      </c>
      <c r="N209" s="32">
        <f t="shared" si="34"/>
        <v>0</v>
      </c>
      <c r="T209" s="32">
        <f t="shared" si="35"/>
        <v>0</v>
      </c>
      <c r="U209" s="32">
        <f t="shared" si="35"/>
        <v>0</v>
      </c>
      <c r="V209" s="32">
        <f t="shared" si="35"/>
        <v>0</v>
      </c>
      <c r="W209" s="32">
        <f t="shared" si="35"/>
        <v>0</v>
      </c>
      <c r="X209" s="32">
        <f t="shared" si="35"/>
        <v>0</v>
      </c>
    </row>
    <row r="210" spans="1:24" ht="16.5" customHeight="1" x14ac:dyDescent="0.25">
      <c r="A210" s="39" t="str">
        <f>'Long Sample Name'!A207</f>
        <v/>
      </c>
      <c r="B210" s="25" t="str">
        <f ca="1">'Input Sheet'!L209</f>
        <v/>
      </c>
      <c r="C210" s="26" t="str">
        <f ca="1">'Input Sheet'!M209</f>
        <v/>
      </c>
      <c r="D210" s="40">
        <f>'Input Sheet'!B209</f>
        <v>0</v>
      </c>
      <c r="E210" s="37">
        <f>'Input Sheet'!I209</f>
        <v>0</v>
      </c>
      <c r="F210" s="29">
        <f>('Input Sheet'!C209)/100</f>
        <v>0</v>
      </c>
      <c r="G210" s="29">
        <f>('Input Sheet'!F209)/100</f>
        <v>0</v>
      </c>
      <c r="H210" s="27">
        <f t="shared" si="36"/>
        <v>0</v>
      </c>
      <c r="I210" s="27">
        <f t="shared" si="30"/>
        <v>0</v>
      </c>
      <c r="J210" s="27">
        <f t="shared" si="31"/>
        <v>0</v>
      </c>
      <c r="K210" s="27">
        <f t="shared" si="32"/>
        <v>0</v>
      </c>
      <c r="L210" s="27">
        <f t="shared" si="33"/>
        <v>0</v>
      </c>
      <c r="M210" s="32" t="str">
        <f>'Input Sheet'!E209</f>
        <v/>
      </c>
      <c r="N210" s="32">
        <f t="shared" si="34"/>
        <v>0</v>
      </c>
      <c r="T210" s="32">
        <f t="shared" si="35"/>
        <v>0</v>
      </c>
      <c r="U210" s="32">
        <f t="shared" si="35"/>
        <v>0</v>
      </c>
      <c r="V210" s="32">
        <f t="shared" si="35"/>
        <v>0</v>
      </c>
      <c r="W210" s="32">
        <f t="shared" si="35"/>
        <v>0</v>
      </c>
      <c r="X210" s="32">
        <f t="shared" si="35"/>
        <v>0</v>
      </c>
    </row>
    <row r="211" spans="1:24" ht="16.5" customHeight="1" x14ac:dyDescent="0.25">
      <c r="A211" s="39" t="str">
        <f>'Long Sample Name'!A208</f>
        <v/>
      </c>
      <c r="B211" s="25" t="str">
        <f ca="1">'Input Sheet'!L210</f>
        <v/>
      </c>
      <c r="C211" s="26" t="str">
        <f ca="1">'Input Sheet'!M210</f>
        <v/>
      </c>
      <c r="D211" s="40">
        <f>'Input Sheet'!B210</f>
        <v>0</v>
      </c>
      <c r="E211" s="37">
        <f>'Input Sheet'!I210</f>
        <v>0</v>
      </c>
      <c r="F211" s="29">
        <f>('Input Sheet'!C210)/100</f>
        <v>0</v>
      </c>
      <c r="G211" s="29">
        <f>('Input Sheet'!F210)/100</f>
        <v>0</v>
      </c>
      <c r="H211" s="27">
        <f t="shared" si="36"/>
        <v>0</v>
      </c>
      <c r="I211" s="27">
        <f t="shared" si="30"/>
        <v>0</v>
      </c>
      <c r="J211" s="27">
        <f t="shared" si="31"/>
        <v>0</v>
      </c>
      <c r="K211" s="27">
        <f t="shared" si="32"/>
        <v>0</v>
      </c>
      <c r="L211" s="27">
        <f t="shared" si="33"/>
        <v>0</v>
      </c>
      <c r="M211" s="32" t="str">
        <f>'Input Sheet'!E210</f>
        <v/>
      </c>
      <c r="N211" s="32">
        <f t="shared" si="34"/>
        <v>0</v>
      </c>
      <c r="T211" s="32">
        <f t="shared" si="35"/>
        <v>0</v>
      </c>
      <c r="U211" s="32">
        <f t="shared" si="35"/>
        <v>0</v>
      </c>
      <c r="V211" s="32">
        <f t="shared" si="35"/>
        <v>0</v>
      </c>
      <c r="W211" s="32">
        <f t="shared" si="35"/>
        <v>0</v>
      </c>
      <c r="X211" s="32">
        <f t="shared" si="35"/>
        <v>0</v>
      </c>
    </row>
    <row r="212" spans="1:24" ht="16.5" customHeight="1" x14ac:dyDescent="0.25">
      <c r="A212" s="39" t="str">
        <f>'Long Sample Name'!A209</f>
        <v/>
      </c>
      <c r="B212" s="25" t="str">
        <f ca="1">'Input Sheet'!L211</f>
        <v/>
      </c>
      <c r="C212" s="26" t="str">
        <f ca="1">'Input Sheet'!M211</f>
        <v/>
      </c>
      <c r="D212" s="40">
        <f>'Input Sheet'!B211</f>
        <v>0</v>
      </c>
      <c r="E212" s="37">
        <f>'Input Sheet'!I211</f>
        <v>0</v>
      </c>
      <c r="F212" s="29">
        <f>('Input Sheet'!C211)/100</f>
        <v>0</v>
      </c>
      <c r="G212" s="29">
        <f>('Input Sheet'!F211)/100</f>
        <v>0</v>
      </c>
      <c r="H212" s="27">
        <f t="shared" si="36"/>
        <v>0</v>
      </c>
      <c r="I212" s="27">
        <f t="shared" si="30"/>
        <v>0</v>
      </c>
      <c r="J212" s="27">
        <f t="shared" si="31"/>
        <v>0</v>
      </c>
      <c r="K212" s="27">
        <f t="shared" si="32"/>
        <v>0</v>
      </c>
      <c r="L212" s="27">
        <f t="shared" si="33"/>
        <v>0</v>
      </c>
      <c r="M212" s="32" t="str">
        <f>'Input Sheet'!E211</f>
        <v/>
      </c>
      <c r="N212" s="32">
        <f t="shared" si="34"/>
        <v>0</v>
      </c>
      <c r="T212" s="32">
        <f t="shared" si="35"/>
        <v>0</v>
      </c>
      <c r="U212" s="32">
        <f t="shared" si="35"/>
        <v>0</v>
      </c>
      <c r="V212" s="32">
        <f t="shared" si="35"/>
        <v>0</v>
      </c>
      <c r="W212" s="32">
        <f t="shared" si="35"/>
        <v>0</v>
      </c>
      <c r="X212" s="32">
        <f t="shared" si="35"/>
        <v>0</v>
      </c>
    </row>
    <row r="213" spans="1:24" ht="16.5" customHeight="1" x14ac:dyDescent="0.25">
      <c r="A213" s="39" t="str">
        <f>'Long Sample Name'!A210</f>
        <v/>
      </c>
      <c r="B213" s="25" t="str">
        <f ca="1">'Input Sheet'!L212</f>
        <v/>
      </c>
      <c r="C213" s="26" t="str">
        <f ca="1">'Input Sheet'!M212</f>
        <v/>
      </c>
      <c r="D213" s="40">
        <f>'Input Sheet'!B212</f>
        <v>0</v>
      </c>
      <c r="E213" s="37">
        <f>'Input Sheet'!I212</f>
        <v>0</v>
      </c>
      <c r="F213" s="29">
        <f>('Input Sheet'!C212)/100</f>
        <v>0</v>
      </c>
      <c r="G213" s="29">
        <f>('Input Sheet'!F212)/100</f>
        <v>0</v>
      </c>
      <c r="H213" s="27">
        <f t="shared" si="36"/>
        <v>0</v>
      </c>
      <c r="I213" s="27">
        <f t="shared" si="30"/>
        <v>0</v>
      </c>
      <c r="J213" s="27">
        <f t="shared" si="31"/>
        <v>0</v>
      </c>
      <c r="K213" s="27">
        <f t="shared" si="32"/>
        <v>0</v>
      </c>
      <c r="L213" s="27">
        <f t="shared" si="33"/>
        <v>0</v>
      </c>
      <c r="M213" s="32" t="str">
        <f>'Input Sheet'!E212</f>
        <v/>
      </c>
      <c r="N213" s="32">
        <f t="shared" si="34"/>
        <v>0</v>
      </c>
      <c r="T213" s="32">
        <f t="shared" ref="T213:X228" si="37">IF($M213=T$1,$H213,0)</f>
        <v>0</v>
      </c>
      <c r="U213" s="32">
        <f t="shared" si="37"/>
        <v>0</v>
      </c>
      <c r="V213" s="32">
        <f t="shared" si="37"/>
        <v>0</v>
      </c>
      <c r="W213" s="32">
        <f t="shared" si="37"/>
        <v>0</v>
      </c>
      <c r="X213" s="32">
        <f t="shared" si="37"/>
        <v>0</v>
      </c>
    </row>
    <row r="214" spans="1:24" ht="16.5" customHeight="1" x14ac:dyDescent="0.25">
      <c r="A214" s="39" t="str">
        <f>'Long Sample Name'!A211</f>
        <v/>
      </c>
      <c r="B214" s="25" t="str">
        <f ca="1">'Input Sheet'!L213</f>
        <v/>
      </c>
      <c r="C214" s="26" t="str">
        <f ca="1">'Input Sheet'!M213</f>
        <v/>
      </c>
      <c r="D214" s="40">
        <f>'Input Sheet'!B213</f>
        <v>0</v>
      </c>
      <c r="E214" s="37">
        <f>'Input Sheet'!I213</f>
        <v>0</v>
      </c>
      <c r="F214" s="29">
        <f>('Input Sheet'!C213)/100</f>
        <v>0</v>
      </c>
      <c r="G214" s="29">
        <f>('Input Sheet'!F213)/100</f>
        <v>0</v>
      </c>
      <c r="H214" s="27">
        <f t="shared" si="36"/>
        <v>0</v>
      </c>
      <c r="I214" s="27">
        <f t="shared" si="30"/>
        <v>0</v>
      </c>
      <c r="J214" s="27">
        <f t="shared" si="31"/>
        <v>0</v>
      </c>
      <c r="K214" s="27">
        <f t="shared" si="32"/>
        <v>0</v>
      </c>
      <c r="L214" s="27">
        <f t="shared" si="33"/>
        <v>0</v>
      </c>
      <c r="M214" s="32" t="str">
        <f>'Input Sheet'!E213</f>
        <v/>
      </c>
      <c r="N214" s="32">
        <f t="shared" si="34"/>
        <v>0</v>
      </c>
      <c r="T214" s="32">
        <f t="shared" si="37"/>
        <v>0</v>
      </c>
      <c r="U214" s="32">
        <f t="shared" si="37"/>
        <v>0</v>
      </c>
      <c r="V214" s="32">
        <f t="shared" si="37"/>
        <v>0</v>
      </c>
      <c r="W214" s="32">
        <f t="shared" si="37"/>
        <v>0</v>
      </c>
      <c r="X214" s="32">
        <f t="shared" si="37"/>
        <v>0</v>
      </c>
    </row>
    <row r="215" spans="1:24" ht="16.5" customHeight="1" x14ac:dyDescent="0.25">
      <c r="A215" s="39" t="str">
        <f>'Long Sample Name'!A212</f>
        <v/>
      </c>
      <c r="B215" s="25" t="str">
        <f ca="1">'Input Sheet'!L214</f>
        <v/>
      </c>
      <c r="C215" s="26" t="str">
        <f ca="1">'Input Sheet'!M214</f>
        <v/>
      </c>
      <c r="D215" s="40">
        <f>'Input Sheet'!B214</f>
        <v>0</v>
      </c>
      <c r="E215" s="37">
        <f>'Input Sheet'!I214</f>
        <v>0</v>
      </c>
      <c r="F215" s="29">
        <f>('Input Sheet'!C214)/100</f>
        <v>0</v>
      </c>
      <c r="G215" s="29">
        <f>('Input Sheet'!F214)/100</f>
        <v>0</v>
      </c>
      <c r="H215" s="27">
        <f t="shared" si="36"/>
        <v>0</v>
      </c>
      <c r="I215" s="27">
        <f t="shared" si="30"/>
        <v>0</v>
      </c>
      <c r="J215" s="27">
        <f t="shared" si="31"/>
        <v>0</v>
      </c>
      <c r="K215" s="27">
        <f t="shared" si="32"/>
        <v>0</v>
      </c>
      <c r="L215" s="27">
        <f t="shared" si="33"/>
        <v>0</v>
      </c>
      <c r="M215" s="32" t="str">
        <f>'Input Sheet'!E214</f>
        <v/>
      </c>
      <c r="N215" s="32">
        <f t="shared" si="34"/>
        <v>0</v>
      </c>
      <c r="T215" s="32">
        <f t="shared" si="37"/>
        <v>0</v>
      </c>
      <c r="U215" s="32">
        <f t="shared" si="37"/>
        <v>0</v>
      </c>
      <c r="V215" s="32">
        <f t="shared" si="37"/>
        <v>0</v>
      </c>
      <c r="W215" s="32">
        <f t="shared" si="37"/>
        <v>0</v>
      </c>
      <c r="X215" s="32">
        <f t="shared" si="37"/>
        <v>0</v>
      </c>
    </row>
    <row r="216" spans="1:24" ht="16.5" customHeight="1" x14ac:dyDescent="0.25">
      <c r="A216" s="39" t="str">
        <f>'Long Sample Name'!A213</f>
        <v/>
      </c>
      <c r="B216" s="25" t="str">
        <f ca="1">'Input Sheet'!L215</f>
        <v/>
      </c>
      <c r="C216" s="26" t="str">
        <f ca="1">'Input Sheet'!M215</f>
        <v/>
      </c>
      <c r="D216" s="40">
        <f>'Input Sheet'!B215</f>
        <v>0</v>
      </c>
      <c r="E216" s="37">
        <f>'Input Sheet'!I215</f>
        <v>0</v>
      </c>
      <c r="F216" s="29">
        <f>('Input Sheet'!C215)/100</f>
        <v>0</v>
      </c>
      <c r="G216" s="29">
        <f>('Input Sheet'!F215)/100</f>
        <v>0</v>
      </c>
      <c r="H216" s="27">
        <f t="shared" si="36"/>
        <v>0</v>
      </c>
      <c r="I216" s="27">
        <f t="shared" si="30"/>
        <v>0</v>
      </c>
      <c r="J216" s="27">
        <f t="shared" si="31"/>
        <v>0</v>
      </c>
      <c r="K216" s="27">
        <f t="shared" si="32"/>
        <v>0</v>
      </c>
      <c r="L216" s="27">
        <f t="shared" si="33"/>
        <v>0</v>
      </c>
      <c r="M216" s="32" t="str">
        <f>'Input Sheet'!E215</f>
        <v/>
      </c>
      <c r="N216" s="32">
        <f t="shared" si="34"/>
        <v>0</v>
      </c>
      <c r="T216" s="32">
        <f t="shared" si="37"/>
        <v>0</v>
      </c>
      <c r="U216" s="32">
        <f t="shared" si="37"/>
        <v>0</v>
      </c>
      <c r="V216" s="32">
        <f t="shared" si="37"/>
        <v>0</v>
      </c>
      <c r="W216" s="32">
        <f t="shared" si="37"/>
        <v>0</v>
      </c>
      <c r="X216" s="32">
        <f t="shared" si="37"/>
        <v>0</v>
      </c>
    </row>
    <row r="217" spans="1:24" ht="16.5" customHeight="1" x14ac:dyDescent="0.25">
      <c r="A217" s="39" t="str">
        <f>'Long Sample Name'!A214</f>
        <v/>
      </c>
      <c r="B217" s="25" t="str">
        <f ca="1">'Input Sheet'!L216</f>
        <v/>
      </c>
      <c r="C217" s="26" t="str">
        <f ca="1">'Input Sheet'!M216</f>
        <v/>
      </c>
      <c r="D217" s="40">
        <f>'Input Sheet'!B216</f>
        <v>0</v>
      </c>
      <c r="E217" s="37">
        <f>'Input Sheet'!I216</f>
        <v>0</v>
      </c>
      <c r="F217" s="29">
        <f>('Input Sheet'!C216)/100</f>
        <v>0</v>
      </c>
      <c r="G217" s="29">
        <f>('Input Sheet'!F216)/100</f>
        <v>0</v>
      </c>
      <c r="H217" s="27">
        <f t="shared" si="36"/>
        <v>0</v>
      </c>
      <c r="I217" s="27">
        <f t="shared" si="30"/>
        <v>0</v>
      </c>
      <c r="J217" s="27">
        <f t="shared" si="31"/>
        <v>0</v>
      </c>
      <c r="K217" s="27">
        <f t="shared" si="32"/>
        <v>0</v>
      </c>
      <c r="L217" s="27">
        <f t="shared" si="33"/>
        <v>0</v>
      </c>
      <c r="M217" s="32" t="str">
        <f>'Input Sheet'!E216</f>
        <v/>
      </c>
      <c r="N217" s="32">
        <f t="shared" si="34"/>
        <v>0</v>
      </c>
      <c r="T217" s="32">
        <f t="shared" si="37"/>
        <v>0</v>
      </c>
      <c r="U217" s="32">
        <f t="shared" si="37"/>
        <v>0</v>
      </c>
      <c r="V217" s="32">
        <f t="shared" si="37"/>
        <v>0</v>
      </c>
      <c r="W217" s="32">
        <f t="shared" si="37"/>
        <v>0</v>
      </c>
      <c r="X217" s="32">
        <f t="shared" si="37"/>
        <v>0</v>
      </c>
    </row>
    <row r="218" spans="1:24" ht="16.5" customHeight="1" x14ac:dyDescent="0.25">
      <c r="A218" s="39" t="str">
        <f>'Long Sample Name'!A215</f>
        <v/>
      </c>
      <c r="B218" s="25" t="str">
        <f ca="1">'Input Sheet'!L217</f>
        <v/>
      </c>
      <c r="C218" s="26" t="str">
        <f ca="1">'Input Sheet'!M217</f>
        <v/>
      </c>
      <c r="D218" s="40">
        <f>'Input Sheet'!B217</f>
        <v>0</v>
      </c>
      <c r="E218" s="37">
        <f>'Input Sheet'!I217</f>
        <v>0</v>
      </c>
      <c r="F218" s="29">
        <f>('Input Sheet'!C217)/100</f>
        <v>0</v>
      </c>
      <c r="G218" s="29">
        <f>('Input Sheet'!F217)/100</f>
        <v>0</v>
      </c>
      <c r="H218" s="27">
        <f t="shared" si="36"/>
        <v>0</v>
      </c>
      <c r="I218" s="27">
        <f t="shared" si="30"/>
        <v>0</v>
      </c>
      <c r="J218" s="27">
        <f t="shared" si="31"/>
        <v>0</v>
      </c>
      <c r="K218" s="27">
        <f t="shared" si="32"/>
        <v>0</v>
      </c>
      <c r="L218" s="27">
        <f t="shared" si="33"/>
        <v>0</v>
      </c>
      <c r="M218" s="32" t="str">
        <f>'Input Sheet'!E217</f>
        <v/>
      </c>
      <c r="N218" s="32">
        <f t="shared" si="34"/>
        <v>0</v>
      </c>
      <c r="T218" s="32">
        <f t="shared" si="37"/>
        <v>0</v>
      </c>
      <c r="U218" s="32">
        <f t="shared" si="37"/>
        <v>0</v>
      </c>
      <c r="V218" s="32">
        <f t="shared" si="37"/>
        <v>0</v>
      </c>
      <c r="W218" s="32">
        <f t="shared" si="37"/>
        <v>0</v>
      </c>
      <c r="X218" s="32">
        <f t="shared" si="37"/>
        <v>0</v>
      </c>
    </row>
    <row r="219" spans="1:24" ht="16.5" customHeight="1" x14ac:dyDescent="0.25">
      <c r="A219" s="39" t="str">
        <f>'Long Sample Name'!A216</f>
        <v/>
      </c>
      <c r="B219" s="25" t="str">
        <f ca="1">'Input Sheet'!L218</f>
        <v/>
      </c>
      <c r="C219" s="26" t="str">
        <f ca="1">'Input Sheet'!M218</f>
        <v/>
      </c>
      <c r="D219" s="40">
        <f>'Input Sheet'!B218</f>
        <v>0</v>
      </c>
      <c r="E219" s="37">
        <f>'Input Sheet'!I218</f>
        <v>0</v>
      </c>
      <c r="F219" s="29">
        <f>('Input Sheet'!C218)/100</f>
        <v>0</v>
      </c>
      <c r="G219" s="29">
        <f>('Input Sheet'!F218)/100</f>
        <v>0</v>
      </c>
      <c r="H219" s="27">
        <f t="shared" si="36"/>
        <v>0</v>
      </c>
      <c r="I219" s="27">
        <f t="shared" si="30"/>
        <v>0</v>
      </c>
      <c r="J219" s="27">
        <f t="shared" si="31"/>
        <v>0</v>
      </c>
      <c r="K219" s="27">
        <f t="shared" si="32"/>
        <v>0</v>
      </c>
      <c r="L219" s="27">
        <f t="shared" si="33"/>
        <v>0</v>
      </c>
      <c r="M219" s="32" t="str">
        <f>'Input Sheet'!E218</f>
        <v/>
      </c>
      <c r="N219" s="32">
        <f t="shared" si="34"/>
        <v>0</v>
      </c>
      <c r="T219" s="32">
        <f t="shared" si="37"/>
        <v>0</v>
      </c>
      <c r="U219" s="32">
        <f t="shared" si="37"/>
        <v>0</v>
      </c>
      <c r="V219" s="32">
        <f t="shared" si="37"/>
        <v>0</v>
      </c>
      <c r="W219" s="32">
        <f t="shared" si="37"/>
        <v>0</v>
      </c>
      <c r="X219" s="32">
        <f t="shared" si="37"/>
        <v>0</v>
      </c>
    </row>
    <row r="220" spans="1:24" ht="16.5" customHeight="1" x14ac:dyDescent="0.25">
      <c r="A220" s="39" t="str">
        <f>'Long Sample Name'!A217</f>
        <v/>
      </c>
      <c r="B220" s="25" t="str">
        <f ca="1">'Input Sheet'!L219</f>
        <v/>
      </c>
      <c r="C220" s="26" t="str">
        <f ca="1">'Input Sheet'!M219</f>
        <v/>
      </c>
      <c r="D220" s="40">
        <f>'Input Sheet'!B219</f>
        <v>0</v>
      </c>
      <c r="E220" s="37">
        <f>'Input Sheet'!I219</f>
        <v>0</v>
      </c>
      <c r="F220" s="29">
        <f>('Input Sheet'!C219)/100</f>
        <v>0</v>
      </c>
      <c r="G220" s="29">
        <f>('Input Sheet'!F219)/100</f>
        <v>0</v>
      </c>
      <c r="H220" s="27">
        <f t="shared" si="36"/>
        <v>0</v>
      </c>
      <c r="I220" s="27">
        <f t="shared" si="30"/>
        <v>0</v>
      </c>
      <c r="J220" s="27">
        <f t="shared" si="31"/>
        <v>0</v>
      </c>
      <c r="K220" s="27">
        <f t="shared" si="32"/>
        <v>0</v>
      </c>
      <c r="L220" s="27">
        <f t="shared" si="33"/>
        <v>0</v>
      </c>
      <c r="M220" s="32" t="str">
        <f>'Input Sheet'!E219</f>
        <v/>
      </c>
      <c r="N220" s="32">
        <f t="shared" si="34"/>
        <v>0</v>
      </c>
      <c r="T220" s="32">
        <f t="shared" si="37"/>
        <v>0</v>
      </c>
      <c r="U220" s="32">
        <f t="shared" si="37"/>
        <v>0</v>
      </c>
      <c r="V220" s="32">
        <f t="shared" si="37"/>
        <v>0</v>
      </c>
      <c r="W220" s="32">
        <f t="shared" si="37"/>
        <v>0</v>
      </c>
      <c r="X220" s="32">
        <f t="shared" si="37"/>
        <v>0</v>
      </c>
    </row>
    <row r="221" spans="1:24" ht="16.5" customHeight="1" x14ac:dyDescent="0.25">
      <c r="A221" s="39" t="str">
        <f>'Long Sample Name'!A218</f>
        <v/>
      </c>
      <c r="B221" s="25" t="str">
        <f ca="1">'Input Sheet'!L220</f>
        <v/>
      </c>
      <c r="C221" s="26" t="str">
        <f ca="1">'Input Sheet'!M220</f>
        <v/>
      </c>
      <c r="D221" s="40">
        <f>'Input Sheet'!B220</f>
        <v>0</v>
      </c>
      <c r="E221" s="37">
        <f>'Input Sheet'!I220</f>
        <v>0</v>
      </c>
      <c r="F221" s="29">
        <f>('Input Sheet'!C220)/100</f>
        <v>0</v>
      </c>
      <c r="G221" s="29">
        <f>('Input Sheet'!F220)/100</f>
        <v>0</v>
      </c>
      <c r="H221" s="27">
        <f t="shared" si="36"/>
        <v>0</v>
      </c>
      <c r="I221" s="27">
        <f t="shared" si="30"/>
        <v>0</v>
      </c>
      <c r="J221" s="27">
        <f t="shared" si="31"/>
        <v>0</v>
      </c>
      <c r="K221" s="27">
        <f t="shared" si="32"/>
        <v>0</v>
      </c>
      <c r="L221" s="27">
        <f t="shared" si="33"/>
        <v>0</v>
      </c>
      <c r="M221" s="32" t="str">
        <f>'Input Sheet'!E220</f>
        <v/>
      </c>
      <c r="N221" s="32">
        <f t="shared" si="34"/>
        <v>0</v>
      </c>
      <c r="T221" s="32">
        <f t="shared" si="37"/>
        <v>0</v>
      </c>
      <c r="U221" s="32">
        <f t="shared" si="37"/>
        <v>0</v>
      </c>
      <c r="V221" s="32">
        <f t="shared" si="37"/>
        <v>0</v>
      </c>
      <c r="W221" s="32">
        <f t="shared" si="37"/>
        <v>0</v>
      </c>
      <c r="X221" s="32">
        <f t="shared" si="37"/>
        <v>0</v>
      </c>
    </row>
    <row r="222" spans="1:24" ht="16.5" customHeight="1" x14ac:dyDescent="0.25">
      <c r="A222" s="39" t="str">
        <f>'Long Sample Name'!A219</f>
        <v/>
      </c>
      <c r="B222" s="25" t="str">
        <f ca="1">'Input Sheet'!L221</f>
        <v/>
      </c>
      <c r="C222" s="26" t="str">
        <f ca="1">'Input Sheet'!M221</f>
        <v/>
      </c>
      <c r="D222" s="40">
        <f>'Input Sheet'!B221</f>
        <v>0</v>
      </c>
      <c r="E222" s="37">
        <f>'Input Sheet'!I221</f>
        <v>0</v>
      </c>
      <c r="F222" s="29">
        <f>('Input Sheet'!C221)/100</f>
        <v>0</v>
      </c>
      <c r="G222" s="29">
        <f>('Input Sheet'!F221)/100</f>
        <v>0</v>
      </c>
      <c r="H222" s="27">
        <f t="shared" si="36"/>
        <v>0</v>
      </c>
      <c r="I222" s="27">
        <f t="shared" si="30"/>
        <v>0</v>
      </c>
      <c r="J222" s="27">
        <f t="shared" si="31"/>
        <v>0</v>
      </c>
      <c r="K222" s="27">
        <f t="shared" si="32"/>
        <v>0</v>
      </c>
      <c r="L222" s="27">
        <f t="shared" si="33"/>
        <v>0</v>
      </c>
      <c r="M222" s="32" t="str">
        <f>'Input Sheet'!E221</f>
        <v/>
      </c>
      <c r="N222" s="32">
        <f t="shared" si="34"/>
        <v>0</v>
      </c>
      <c r="T222" s="32">
        <f t="shared" si="37"/>
        <v>0</v>
      </c>
      <c r="U222" s="32">
        <f t="shared" si="37"/>
        <v>0</v>
      </c>
      <c r="V222" s="32">
        <f t="shared" si="37"/>
        <v>0</v>
      </c>
      <c r="W222" s="32">
        <f t="shared" si="37"/>
        <v>0</v>
      </c>
      <c r="X222" s="32">
        <f t="shared" si="37"/>
        <v>0</v>
      </c>
    </row>
    <row r="223" spans="1:24" ht="16.5" customHeight="1" x14ac:dyDescent="0.25">
      <c r="A223" s="39" t="str">
        <f>'Long Sample Name'!A220</f>
        <v/>
      </c>
      <c r="B223" s="25" t="str">
        <f ca="1">'Input Sheet'!L222</f>
        <v/>
      </c>
      <c r="C223" s="26" t="str">
        <f ca="1">'Input Sheet'!M222</f>
        <v/>
      </c>
      <c r="D223" s="40">
        <f>'Input Sheet'!B222</f>
        <v>0</v>
      </c>
      <c r="E223" s="37">
        <f>'Input Sheet'!I222</f>
        <v>0</v>
      </c>
      <c r="F223" s="29">
        <f>('Input Sheet'!C222)/100</f>
        <v>0</v>
      </c>
      <c r="G223" s="29">
        <f>('Input Sheet'!F222)/100</f>
        <v>0</v>
      </c>
      <c r="H223" s="27">
        <f t="shared" si="36"/>
        <v>0</v>
      </c>
      <c r="I223" s="27">
        <f t="shared" si="30"/>
        <v>0</v>
      </c>
      <c r="J223" s="27">
        <f t="shared" si="31"/>
        <v>0</v>
      </c>
      <c r="K223" s="27">
        <f t="shared" si="32"/>
        <v>0</v>
      </c>
      <c r="L223" s="27">
        <f t="shared" si="33"/>
        <v>0</v>
      </c>
      <c r="M223" s="32" t="str">
        <f>'Input Sheet'!E222</f>
        <v/>
      </c>
      <c r="N223" s="32">
        <f t="shared" si="34"/>
        <v>0</v>
      </c>
      <c r="T223" s="32">
        <f t="shared" si="37"/>
        <v>0</v>
      </c>
      <c r="U223" s="32">
        <f t="shared" si="37"/>
        <v>0</v>
      </c>
      <c r="V223" s="32">
        <f t="shared" si="37"/>
        <v>0</v>
      </c>
      <c r="W223" s="32">
        <f t="shared" si="37"/>
        <v>0</v>
      </c>
      <c r="X223" s="32">
        <f t="shared" si="37"/>
        <v>0</v>
      </c>
    </row>
    <row r="224" spans="1:24" ht="16.5" customHeight="1" x14ac:dyDescent="0.25">
      <c r="A224" s="39" t="str">
        <f>'Long Sample Name'!A221</f>
        <v/>
      </c>
      <c r="B224" s="25" t="str">
        <f ca="1">'Input Sheet'!L223</f>
        <v/>
      </c>
      <c r="C224" s="26" t="str">
        <f ca="1">'Input Sheet'!M223</f>
        <v/>
      </c>
      <c r="D224" s="40">
        <f>'Input Sheet'!B223</f>
        <v>0</v>
      </c>
      <c r="E224" s="37">
        <f>'Input Sheet'!I223</f>
        <v>0</v>
      </c>
      <c r="F224" s="29">
        <f>('Input Sheet'!C223)/100</f>
        <v>0</v>
      </c>
      <c r="G224" s="29">
        <f>('Input Sheet'!F223)/100</f>
        <v>0</v>
      </c>
      <c r="H224" s="27">
        <f t="shared" si="36"/>
        <v>0</v>
      </c>
      <c r="I224" s="27">
        <f t="shared" si="30"/>
        <v>0</v>
      </c>
      <c r="J224" s="27">
        <f t="shared" si="31"/>
        <v>0</v>
      </c>
      <c r="K224" s="27">
        <f t="shared" si="32"/>
        <v>0</v>
      </c>
      <c r="L224" s="27">
        <f t="shared" si="33"/>
        <v>0</v>
      </c>
      <c r="M224" s="32" t="str">
        <f>'Input Sheet'!E223</f>
        <v/>
      </c>
      <c r="N224" s="32">
        <f t="shared" si="34"/>
        <v>0</v>
      </c>
      <c r="T224" s="32">
        <f t="shared" si="37"/>
        <v>0</v>
      </c>
      <c r="U224" s="32">
        <f t="shared" si="37"/>
        <v>0</v>
      </c>
      <c r="V224" s="32">
        <f t="shared" si="37"/>
        <v>0</v>
      </c>
      <c r="W224" s="32">
        <f t="shared" si="37"/>
        <v>0</v>
      </c>
      <c r="X224" s="32">
        <f t="shared" si="37"/>
        <v>0</v>
      </c>
    </row>
    <row r="225" spans="1:24" ht="16.5" customHeight="1" x14ac:dyDescent="0.25">
      <c r="A225" s="39" t="str">
        <f>'Long Sample Name'!A222</f>
        <v/>
      </c>
      <c r="B225" s="25" t="str">
        <f ca="1">'Input Sheet'!L224</f>
        <v/>
      </c>
      <c r="C225" s="26" t="str">
        <f ca="1">'Input Sheet'!M224</f>
        <v/>
      </c>
      <c r="D225" s="40">
        <f>'Input Sheet'!B224</f>
        <v>0</v>
      </c>
      <c r="E225" s="37">
        <f>'Input Sheet'!I224</f>
        <v>0</v>
      </c>
      <c r="F225" s="29">
        <f>('Input Sheet'!C224)/100</f>
        <v>0</v>
      </c>
      <c r="G225" s="29">
        <f>('Input Sheet'!F224)/100</f>
        <v>0</v>
      </c>
      <c r="H225" s="27">
        <f t="shared" si="36"/>
        <v>0</v>
      </c>
      <c r="I225" s="27">
        <f t="shared" si="30"/>
        <v>0</v>
      </c>
      <c r="J225" s="27">
        <f t="shared" si="31"/>
        <v>0</v>
      </c>
      <c r="K225" s="27">
        <f t="shared" si="32"/>
        <v>0</v>
      </c>
      <c r="L225" s="27">
        <f t="shared" si="33"/>
        <v>0</v>
      </c>
      <c r="M225" s="32" t="str">
        <f>'Input Sheet'!E224</f>
        <v/>
      </c>
      <c r="N225" s="32">
        <f t="shared" si="34"/>
        <v>0</v>
      </c>
      <c r="T225" s="32">
        <f t="shared" si="37"/>
        <v>0</v>
      </c>
      <c r="U225" s="32">
        <f t="shared" si="37"/>
        <v>0</v>
      </c>
      <c r="V225" s="32">
        <f t="shared" si="37"/>
        <v>0</v>
      </c>
      <c r="W225" s="32">
        <f t="shared" si="37"/>
        <v>0</v>
      </c>
      <c r="X225" s="32">
        <f t="shared" si="37"/>
        <v>0</v>
      </c>
    </row>
    <row r="226" spans="1:24" ht="16.5" customHeight="1" x14ac:dyDescent="0.25">
      <c r="A226" s="39" t="str">
        <f>'Long Sample Name'!A223</f>
        <v/>
      </c>
      <c r="B226" s="25" t="str">
        <f ca="1">'Input Sheet'!L225</f>
        <v/>
      </c>
      <c r="C226" s="26" t="str">
        <f ca="1">'Input Sheet'!M225</f>
        <v/>
      </c>
      <c r="D226" s="40">
        <f>'Input Sheet'!B225</f>
        <v>0</v>
      </c>
      <c r="E226" s="37">
        <f>'Input Sheet'!I225</f>
        <v>0</v>
      </c>
      <c r="F226" s="29">
        <f>('Input Sheet'!C225)/100</f>
        <v>0</v>
      </c>
      <c r="G226" s="29">
        <f>('Input Sheet'!F225)/100</f>
        <v>0</v>
      </c>
      <c r="H226" s="27">
        <f t="shared" si="36"/>
        <v>0</v>
      </c>
      <c r="I226" s="27">
        <f t="shared" si="30"/>
        <v>0</v>
      </c>
      <c r="J226" s="27">
        <f t="shared" si="31"/>
        <v>0</v>
      </c>
      <c r="K226" s="27">
        <f t="shared" si="32"/>
        <v>0</v>
      </c>
      <c r="L226" s="27">
        <f t="shared" si="33"/>
        <v>0</v>
      </c>
      <c r="M226" s="32" t="str">
        <f>'Input Sheet'!E225</f>
        <v/>
      </c>
      <c r="N226" s="32">
        <f t="shared" si="34"/>
        <v>0</v>
      </c>
      <c r="T226" s="32">
        <f t="shared" si="37"/>
        <v>0</v>
      </c>
      <c r="U226" s="32">
        <f t="shared" si="37"/>
        <v>0</v>
      </c>
      <c r="V226" s="32">
        <f t="shared" si="37"/>
        <v>0</v>
      </c>
      <c r="W226" s="32">
        <f t="shared" si="37"/>
        <v>0</v>
      </c>
      <c r="X226" s="32">
        <f t="shared" si="37"/>
        <v>0</v>
      </c>
    </row>
    <row r="227" spans="1:24" ht="16.5" customHeight="1" x14ac:dyDescent="0.25">
      <c r="A227" s="39" t="str">
        <f>'Long Sample Name'!A224</f>
        <v/>
      </c>
      <c r="B227" s="25" t="str">
        <f ca="1">'Input Sheet'!L226</f>
        <v/>
      </c>
      <c r="C227" s="26" t="str">
        <f ca="1">'Input Sheet'!M226</f>
        <v/>
      </c>
      <c r="D227" s="40">
        <f>'Input Sheet'!B226</f>
        <v>0</v>
      </c>
      <c r="E227" s="37">
        <f>'Input Sheet'!I226</f>
        <v>0</v>
      </c>
      <c r="F227" s="29">
        <f>('Input Sheet'!C226)/100</f>
        <v>0</v>
      </c>
      <c r="G227" s="29">
        <f>('Input Sheet'!F226)/100</f>
        <v>0</v>
      </c>
      <c r="H227" s="27">
        <f t="shared" si="36"/>
        <v>0</v>
      </c>
      <c r="I227" s="27">
        <f t="shared" si="30"/>
        <v>0</v>
      </c>
      <c r="J227" s="27">
        <f t="shared" si="31"/>
        <v>0</v>
      </c>
      <c r="K227" s="27">
        <f t="shared" si="32"/>
        <v>0</v>
      </c>
      <c r="L227" s="27">
        <f t="shared" si="33"/>
        <v>0</v>
      </c>
      <c r="M227" s="32" t="str">
        <f>'Input Sheet'!E226</f>
        <v/>
      </c>
      <c r="N227" s="32">
        <f t="shared" si="34"/>
        <v>0</v>
      </c>
      <c r="T227" s="32">
        <f t="shared" si="37"/>
        <v>0</v>
      </c>
      <c r="U227" s="32">
        <f t="shared" si="37"/>
        <v>0</v>
      </c>
      <c r="V227" s="32">
        <f t="shared" si="37"/>
        <v>0</v>
      </c>
      <c r="W227" s="32">
        <f t="shared" si="37"/>
        <v>0</v>
      </c>
      <c r="X227" s="32">
        <f t="shared" si="37"/>
        <v>0</v>
      </c>
    </row>
    <row r="228" spans="1:24" ht="16.5" customHeight="1" x14ac:dyDescent="0.25">
      <c r="A228" s="39" t="str">
        <f>'Long Sample Name'!A225</f>
        <v/>
      </c>
      <c r="B228" s="25" t="str">
        <f ca="1">'Input Sheet'!L227</f>
        <v/>
      </c>
      <c r="C228" s="26" t="str">
        <f ca="1">'Input Sheet'!M227</f>
        <v/>
      </c>
      <c r="D228" s="40">
        <f>'Input Sheet'!B227</f>
        <v>0</v>
      </c>
      <c r="E228" s="37">
        <f>'Input Sheet'!I227</f>
        <v>0</v>
      </c>
      <c r="F228" s="29">
        <f>('Input Sheet'!C227)/100</f>
        <v>0</v>
      </c>
      <c r="G228" s="29">
        <f>('Input Sheet'!F227)/100</f>
        <v>0</v>
      </c>
      <c r="H228" s="27">
        <f t="shared" si="36"/>
        <v>0</v>
      </c>
      <c r="I228" s="27">
        <f t="shared" si="30"/>
        <v>0</v>
      </c>
      <c r="J228" s="27">
        <f t="shared" si="31"/>
        <v>0</v>
      </c>
      <c r="K228" s="27">
        <f t="shared" si="32"/>
        <v>0</v>
      </c>
      <c r="L228" s="27">
        <f t="shared" si="33"/>
        <v>0</v>
      </c>
      <c r="M228" s="32" t="str">
        <f>'Input Sheet'!E227</f>
        <v/>
      </c>
      <c r="N228" s="32">
        <f t="shared" si="34"/>
        <v>0</v>
      </c>
      <c r="T228" s="32">
        <f t="shared" si="37"/>
        <v>0</v>
      </c>
      <c r="U228" s="32">
        <f t="shared" si="37"/>
        <v>0</v>
      </c>
      <c r="V228" s="32">
        <f t="shared" si="37"/>
        <v>0</v>
      </c>
      <c r="W228" s="32">
        <f t="shared" si="37"/>
        <v>0</v>
      </c>
      <c r="X228" s="32">
        <f t="shared" si="37"/>
        <v>0</v>
      </c>
    </row>
    <row r="229" spans="1:24" ht="16.5" customHeight="1" x14ac:dyDescent="0.25">
      <c r="A229" s="39" t="str">
        <f>'Long Sample Name'!A226</f>
        <v/>
      </c>
      <c r="B229" s="25" t="str">
        <f ca="1">'Input Sheet'!L228</f>
        <v/>
      </c>
      <c r="C229" s="26" t="str">
        <f ca="1">'Input Sheet'!M228</f>
        <v/>
      </c>
      <c r="D229" s="40">
        <f>'Input Sheet'!B228</f>
        <v>0</v>
      </c>
      <c r="E229" s="37">
        <f>'Input Sheet'!I228</f>
        <v>0</v>
      </c>
      <c r="F229" s="29">
        <f>('Input Sheet'!C228)/100</f>
        <v>0</v>
      </c>
      <c r="G229" s="29">
        <f>('Input Sheet'!F228)/100</f>
        <v>0</v>
      </c>
      <c r="H229" s="27">
        <f t="shared" si="36"/>
        <v>0</v>
      </c>
      <c r="I229" s="27">
        <f t="shared" si="30"/>
        <v>0</v>
      </c>
      <c r="J229" s="27">
        <f t="shared" si="31"/>
        <v>0</v>
      </c>
      <c r="K229" s="27">
        <f t="shared" si="32"/>
        <v>0</v>
      </c>
      <c r="L229" s="27">
        <f t="shared" si="33"/>
        <v>0</v>
      </c>
      <c r="M229" s="32" t="str">
        <f>'Input Sheet'!E228</f>
        <v/>
      </c>
      <c r="N229" s="32">
        <f t="shared" si="34"/>
        <v>0</v>
      </c>
      <c r="T229" s="32">
        <f t="shared" ref="T229:X244" si="38">IF($M229=T$1,$H229,0)</f>
        <v>0</v>
      </c>
      <c r="U229" s="32">
        <f t="shared" si="38"/>
        <v>0</v>
      </c>
      <c r="V229" s="32">
        <f t="shared" si="38"/>
        <v>0</v>
      </c>
      <c r="W229" s="32">
        <f t="shared" si="38"/>
        <v>0</v>
      </c>
      <c r="X229" s="32">
        <f t="shared" si="38"/>
        <v>0</v>
      </c>
    </row>
    <row r="230" spans="1:24" ht="16.5" customHeight="1" x14ac:dyDescent="0.25">
      <c r="A230" s="39" t="str">
        <f>'Long Sample Name'!A227</f>
        <v/>
      </c>
      <c r="B230" s="25" t="str">
        <f ca="1">'Input Sheet'!L229</f>
        <v/>
      </c>
      <c r="C230" s="26" t="str">
        <f ca="1">'Input Sheet'!M229</f>
        <v/>
      </c>
      <c r="D230" s="40">
        <f>'Input Sheet'!B229</f>
        <v>0</v>
      </c>
      <c r="E230" s="37">
        <f>'Input Sheet'!I229</f>
        <v>0</v>
      </c>
      <c r="F230" s="29">
        <f>('Input Sheet'!C229)/100</f>
        <v>0</v>
      </c>
      <c r="G230" s="29">
        <f>('Input Sheet'!F229)/100</f>
        <v>0</v>
      </c>
      <c r="H230" s="27">
        <f t="shared" si="36"/>
        <v>0</v>
      </c>
      <c r="I230" s="27">
        <f t="shared" si="30"/>
        <v>0</v>
      </c>
      <c r="J230" s="27">
        <f t="shared" si="31"/>
        <v>0</v>
      </c>
      <c r="K230" s="27">
        <f t="shared" si="32"/>
        <v>0</v>
      </c>
      <c r="L230" s="27">
        <f t="shared" si="33"/>
        <v>0</v>
      </c>
      <c r="M230" s="32" t="str">
        <f>'Input Sheet'!E229</f>
        <v/>
      </c>
      <c r="N230" s="32">
        <f t="shared" si="34"/>
        <v>0</v>
      </c>
      <c r="T230" s="32">
        <f t="shared" si="38"/>
        <v>0</v>
      </c>
      <c r="U230" s="32">
        <f t="shared" si="38"/>
        <v>0</v>
      </c>
      <c r="V230" s="32">
        <f t="shared" si="38"/>
        <v>0</v>
      </c>
      <c r="W230" s="32">
        <f t="shared" si="38"/>
        <v>0</v>
      </c>
      <c r="X230" s="32">
        <f t="shared" si="38"/>
        <v>0</v>
      </c>
    </row>
    <row r="231" spans="1:24" ht="16.5" customHeight="1" x14ac:dyDescent="0.25">
      <c r="A231" s="39" t="str">
        <f>'Long Sample Name'!A228</f>
        <v/>
      </c>
      <c r="B231" s="25" t="str">
        <f ca="1">'Input Sheet'!L230</f>
        <v/>
      </c>
      <c r="C231" s="26" t="str">
        <f ca="1">'Input Sheet'!M230</f>
        <v/>
      </c>
      <c r="D231" s="40">
        <f>'Input Sheet'!B230</f>
        <v>0</v>
      </c>
      <c r="E231" s="37">
        <f>'Input Sheet'!I230</f>
        <v>0</v>
      </c>
      <c r="F231" s="29">
        <f>('Input Sheet'!C230)/100</f>
        <v>0</v>
      </c>
      <c r="G231" s="29">
        <f>('Input Sheet'!F230)/100</f>
        <v>0</v>
      </c>
      <c r="H231" s="27">
        <f t="shared" si="36"/>
        <v>0</v>
      </c>
      <c r="I231" s="27">
        <f t="shared" si="30"/>
        <v>0</v>
      </c>
      <c r="J231" s="27">
        <f t="shared" si="31"/>
        <v>0</v>
      </c>
      <c r="K231" s="27">
        <f t="shared" si="32"/>
        <v>0</v>
      </c>
      <c r="L231" s="27">
        <f t="shared" si="33"/>
        <v>0</v>
      </c>
      <c r="M231" s="32" t="str">
        <f>'Input Sheet'!E230</f>
        <v/>
      </c>
      <c r="N231" s="32">
        <f t="shared" si="34"/>
        <v>0</v>
      </c>
      <c r="T231" s="32">
        <f t="shared" si="38"/>
        <v>0</v>
      </c>
      <c r="U231" s="32">
        <f t="shared" si="38"/>
        <v>0</v>
      </c>
      <c r="V231" s="32">
        <f t="shared" si="38"/>
        <v>0</v>
      </c>
      <c r="W231" s="32">
        <f t="shared" si="38"/>
        <v>0</v>
      </c>
      <c r="X231" s="32">
        <f t="shared" si="38"/>
        <v>0</v>
      </c>
    </row>
    <row r="232" spans="1:24" ht="16.5" customHeight="1" x14ac:dyDescent="0.25">
      <c r="A232" s="39" t="str">
        <f>'Long Sample Name'!A229</f>
        <v/>
      </c>
      <c r="B232" s="25" t="str">
        <f ca="1">'Input Sheet'!L231</f>
        <v/>
      </c>
      <c r="C232" s="26" t="str">
        <f ca="1">'Input Sheet'!M231</f>
        <v/>
      </c>
      <c r="D232" s="40">
        <f>'Input Sheet'!B231</f>
        <v>0</v>
      </c>
      <c r="E232" s="37">
        <f>'Input Sheet'!I231</f>
        <v>0</v>
      </c>
      <c r="F232" s="29">
        <f>('Input Sheet'!C231)/100</f>
        <v>0</v>
      </c>
      <c r="G232" s="29">
        <f>('Input Sheet'!F231)/100</f>
        <v>0</v>
      </c>
      <c r="H232" s="27">
        <f t="shared" si="36"/>
        <v>0</v>
      </c>
      <c r="I232" s="27">
        <f t="shared" si="30"/>
        <v>0</v>
      </c>
      <c r="J232" s="27">
        <f t="shared" si="31"/>
        <v>0</v>
      </c>
      <c r="K232" s="27">
        <f t="shared" si="32"/>
        <v>0</v>
      </c>
      <c r="L232" s="27">
        <f t="shared" si="33"/>
        <v>0</v>
      </c>
      <c r="M232" s="32" t="str">
        <f>'Input Sheet'!E231</f>
        <v/>
      </c>
      <c r="N232" s="32">
        <f t="shared" si="34"/>
        <v>0</v>
      </c>
      <c r="T232" s="32">
        <f t="shared" si="38"/>
        <v>0</v>
      </c>
      <c r="U232" s="32">
        <f t="shared" si="38"/>
        <v>0</v>
      </c>
      <c r="V232" s="32">
        <f t="shared" si="38"/>
        <v>0</v>
      </c>
      <c r="W232" s="32">
        <f t="shared" si="38"/>
        <v>0</v>
      </c>
      <c r="X232" s="32">
        <f t="shared" si="38"/>
        <v>0</v>
      </c>
    </row>
    <row r="233" spans="1:24" ht="16.5" customHeight="1" x14ac:dyDescent="0.25">
      <c r="A233" s="39" t="str">
        <f>'Long Sample Name'!A230</f>
        <v/>
      </c>
      <c r="B233" s="25" t="str">
        <f ca="1">'Input Sheet'!L232</f>
        <v/>
      </c>
      <c r="C233" s="26" t="str">
        <f ca="1">'Input Sheet'!M232</f>
        <v/>
      </c>
      <c r="D233" s="40">
        <f>'Input Sheet'!B232</f>
        <v>0</v>
      </c>
      <c r="E233" s="37">
        <f>'Input Sheet'!I232</f>
        <v>0</v>
      </c>
      <c r="F233" s="29">
        <f>('Input Sheet'!C232)/100</f>
        <v>0</v>
      </c>
      <c r="G233" s="29">
        <f>('Input Sheet'!F232)/100</f>
        <v>0</v>
      </c>
      <c r="H233" s="27">
        <f t="shared" si="36"/>
        <v>0</v>
      </c>
      <c r="I233" s="27">
        <f t="shared" si="30"/>
        <v>0</v>
      </c>
      <c r="J233" s="27">
        <f t="shared" si="31"/>
        <v>0</v>
      </c>
      <c r="K233" s="27">
        <f t="shared" si="32"/>
        <v>0</v>
      </c>
      <c r="L233" s="27">
        <f t="shared" si="33"/>
        <v>0</v>
      </c>
      <c r="M233" s="32" t="str">
        <f>'Input Sheet'!E232</f>
        <v/>
      </c>
      <c r="N233" s="32">
        <f t="shared" si="34"/>
        <v>0</v>
      </c>
      <c r="T233" s="32">
        <f t="shared" si="38"/>
        <v>0</v>
      </c>
      <c r="U233" s="32">
        <f t="shared" si="38"/>
        <v>0</v>
      </c>
      <c r="V233" s="32">
        <f t="shared" si="38"/>
        <v>0</v>
      </c>
      <c r="W233" s="32">
        <f t="shared" si="38"/>
        <v>0</v>
      </c>
      <c r="X233" s="32">
        <f t="shared" si="38"/>
        <v>0</v>
      </c>
    </row>
    <row r="234" spans="1:24" ht="16.5" customHeight="1" x14ac:dyDescent="0.25">
      <c r="A234" s="39" t="str">
        <f>'Long Sample Name'!A231</f>
        <v/>
      </c>
      <c r="B234" s="25" t="str">
        <f ca="1">'Input Sheet'!L233</f>
        <v/>
      </c>
      <c r="C234" s="26" t="str">
        <f ca="1">'Input Sheet'!M233</f>
        <v/>
      </c>
      <c r="D234" s="40">
        <f>'Input Sheet'!B233</f>
        <v>0</v>
      </c>
      <c r="E234" s="37">
        <f>'Input Sheet'!I233</f>
        <v>0</v>
      </c>
      <c r="F234" s="29">
        <f>('Input Sheet'!C233)/100</f>
        <v>0</v>
      </c>
      <c r="G234" s="29">
        <f>('Input Sheet'!F233)/100</f>
        <v>0</v>
      </c>
      <c r="H234" s="27">
        <f t="shared" si="36"/>
        <v>0</v>
      </c>
      <c r="I234" s="27">
        <f t="shared" si="30"/>
        <v>0</v>
      </c>
      <c r="J234" s="27">
        <f t="shared" si="31"/>
        <v>0</v>
      </c>
      <c r="K234" s="27">
        <f t="shared" si="32"/>
        <v>0</v>
      </c>
      <c r="L234" s="27">
        <f t="shared" si="33"/>
        <v>0</v>
      </c>
      <c r="M234" s="32" t="str">
        <f>'Input Sheet'!E233</f>
        <v/>
      </c>
      <c r="N234" s="32">
        <f t="shared" si="34"/>
        <v>0</v>
      </c>
      <c r="T234" s="32">
        <f t="shared" si="38"/>
        <v>0</v>
      </c>
      <c r="U234" s="32">
        <f t="shared" si="38"/>
        <v>0</v>
      </c>
      <c r="V234" s="32">
        <f t="shared" si="38"/>
        <v>0</v>
      </c>
      <c r="W234" s="32">
        <f t="shared" si="38"/>
        <v>0</v>
      </c>
      <c r="X234" s="32">
        <f t="shared" si="38"/>
        <v>0</v>
      </c>
    </row>
    <row r="235" spans="1:24" ht="16.5" customHeight="1" x14ac:dyDescent="0.25">
      <c r="A235" s="39" t="str">
        <f>'Long Sample Name'!A232</f>
        <v/>
      </c>
      <c r="B235" s="25" t="str">
        <f ca="1">'Input Sheet'!L234</f>
        <v/>
      </c>
      <c r="C235" s="26" t="str">
        <f ca="1">'Input Sheet'!M234</f>
        <v/>
      </c>
      <c r="D235" s="40">
        <f>'Input Sheet'!B234</f>
        <v>0</v>
      </c>
      <c r="E235" s="37">
        <f>'Input Sheet'!I234</f>
        <v>0</v>
      </c>
      <c r="F235" s="29">
        <f>('Input Sheet'!C234)/100</f>
        <v>0</v>
      </c>
      <c r="G235" s="29">
        <f>('Input Sheet'!F234)/100</f>
        <v>0</v>
      </c>
      <c r="H235" s="27">
        <f t="shared" si="36"/>
        <v>0</v>
      </c>
      <c r="I235" s="27">
        <f t="shared" si="30"/>
        <v>0</v>
      </c>
      <c r="J235" s="27">
        <f t="shared" si="31"/>
        <v>0</v>
      </c>
      <c r="K235" s="27">
        <f t="shared" si="32"/>
        <v>0</v>
      </c>
      <c r="L235" s="27">
        <f t="shared" si="33"/>
        <v>0</v>
      </c>
      <c r="M235" s="32" t="str">
        <f>'Input Sheet'!E234</f>
        <v/>
      </c>
      <c r="N235" s="32">
        <f t="shared" si="34"/>
        <v>0</v>
      </c>
      <c r="T235" s="32">
        <f t="shared" si="38"/>
        <v>0</v>
      </c>
      <c r="U235" s="32">
        <f t="shared" si="38"/>
        <v>0</v>
      </c>
      <c r="V235" s="32">
        <f t="shared" si="38"/>
        <v>0</v>
      </c>
      <c r="W235" s="32">
        <f t="shared" si="38"/>
        <v>0</v>
      </c>
      <c r="X235" s="32">
        <f t="shared" si="38"/>
        <v>0</v>
      </c>
    </row>
    <row r="236" spans="1:24" ht="16.5" customHeight="1" x14ac:dyDescent="0.25">
      <c r="A236" s="39" t="str">
        <f>'Long Sample Name'!A233</f>
        <v/>
      </c>
      <c r="B236" s="25" t="str">
        <f ca="1">'Input Sheet'!L235</f>
        <v/>
      </c>
      <c r="C236" s="26" t="str">
        <f ca="1">'Input Sheet'!M235</f>
        <v/>
      </c>
      <c r="D236" s="40">
        <f>'Input Sheet'!B235</f>
        <v>0</v>
      </c>
      <c r="E236" s="37">
        <f>'Input Sheet'!I235</f>
        <v>0</v>
      </c>
      <c r="F236" s="29">
        <f>('Input Sheet'!C235)/100</f>
        <v>0</v>
      </c>
      <c r="G236" s="29">
        <f>('Input Sheet'!F235)/100</f>
        <v>0</v>
      </c>
      <c r="H236" s="27">
        <f t="shared" si="36"/>
        <v>0</v>
      </c>
      <c r="I236" s="27">
        <f t="shared" si="30"/>
        <v>0</v>
      </c>
      <c r="J236" s="27">
        <f t="shared" si="31"/>
        <v>0</v>
      </c>
      <c r="K236" s="27">
        <f t="shared" si="32"/>
        <v>0</v>
      </c>
      <c r="L236" s="27">
        <f t="shared" si="33"/>
        <v>0</v>
      </c>
      <c r="M236" s="32" t="str">
        <f>'Input Sheet'!E235</f>
        <v/>
      </c>
      <c r="N236" s="32">
        <f t="shared" si="34"/>
        <v>0</v>
      </c>
      <c r="T236" s="32">
        <f t="shared" si="38"/>
        <v>0</v>
      </c>
      <c r="U236" s="32">
        <f t="shared" si="38"/>
        <v>0</v>
      </c>
      <c r="V236" s="32">
        <f t="shared" si="38"/>
        <v>0</v>
      </c>
      <c r="W236" s="32">
        <f t="shared" si="38"/>
        <v>0</v>
      </c>
      <c r="X236" s="32">
        <f t="shared" si="38"/>
        <v>0</v>
      </c>
    </row>
    <row r="237" spans="1:24" ht="16.5" customHeight="1" x14ac:dyDescent="0.25">
      <c r="A237" s="39" t="str">
        <f>'Long Sample Name'!A234</f>
        <v/>
      </c>
      <c r="B237" s="25" t="str">
        <f ca="1">'Input Sheet'!L236</f>
        <v/>
      </c>
      <c r="C237" s="26" t="str">
        <f ca="1">'Input Sheet'!M236</f>
        <v/>
      </c>
      <c r="D237" s="40">
        <f>'Input Sheet'!B236</f>
        <v>0</v>
      </c>
      <c r="E237" s="37">
        <f>'Input Sheet'!I236</f>
        <v>0</v>
      </c>
      <c r="F237" s="29">
        <f>('Input Sheet'!C236)/100</f>
        <v>0</v>
      </c>
      <c r="G237" s="29">
        <f>('Input Sheet'!F236)/100</f>
        <v>0</v>
      </c>
      <c r="H237" s="27">
        <f t="shared" si="36"/>
        <v>0</v>
      </c>
      <c r="I237" s="27">
        <f t="shared" si="30"/>
        <v>0</v>
      </c>
      <c r="J237" s="27">
        <f t="shared" si="31"/>
        <v>0</v>
      </c>
      <c r="K237" s="27">
        <f t="shared" si="32"/>
        <v>0</v>
      </c>
      <c r="L237" s="27">
        <f t="shared" si="33"/>
        <v>0</v>
      </c>
      <c r="M237" s="32" t="str">
        <f>'Input Sheet'!E236</f>
        <v/>
      </c>
      <c r="N237" s="32">
        <f t="shared" si="34"/>
        <v>0</v>
      </c>
      <c r="T237" s="32">
        <f t="shared" si="38"/>
        <v>0</v>
      </c>
      <c r="U237" s="32">
        <f t="shared" si="38"/>
        <v>0</v>
      </c>
      <c r="V237" s="32">
        <f t="shared" si="38"/>
        <v>0</v>
      </c>
      <c r="W237" s="32">
        <f t="shared" si="38"/>
        <v>0</v>
      </c>
      <c r="X237" s="32">
        <f t="shared" si="38"/>
        <v>0</v>
      </c>
    </row>
    <row r="238" spans="1:24" ht="16.5" customHeight="1" x14ac:dyDescent="0.25">
      <c r="A238" s="39" t="str">
        <f>'Long Sample Name'!A235</f>
        <v/>
      </c>
      <c r="B238" s="25" t="str">
        <f ca="1">'Input Sheet'!L237</f>
        <v/>
      </c>
      <c r="C238" s="26" t="str">
        <f ca="1">'Input Sheet'!M237</f>
        <v/>
      </c>
      <c r="D238" s="40">
        <f>'Input Sheet'!B237</f>
        <v>0</v>
      </c>
      <c r="E238" s="37">
        <f>'Input Sheet'!I237</f>
        <v>0</v>
      </c>
      <c r="F238" s="29">
        <f>('Input Sheet'!C237)/100</f>
        <v>0</v>
      </c>
      <c r="G238" s="29">
        <f>('Input Sheet'!F237)/100</f>
        <v>0</v>
      </c>
      <c r="H238" s="27">
        <f t="shared" si="36"/>
        <v>0</v>
      </c>
      <c r="I238" s="27">
        <f t="shared" si="30"/>
        <v>0</v>
      </c>
      <c r="J238" s="27">
        <f t="shared" si="31"/>
        <v>0</v>
      </c>
      <c r="K238" s="27">
        <f t="shared" si="32"/>
        <v>0</v>
      </c>
      <c r="L238" s="27">
        <f t="shared" si="33"/>
        <v>0</v>
      </c>
      <c r="M238" s="32" t="str">
        <f>'Input Sheet'!E237</f>
        <v/>
      </c>
      <c r="N238" s="32">
        <f t="shared" si="34"/>
        <v>0</v>
      </c>
      <c r="T238" s="32">
        <f t="shared" si="38"/>
        <v>0</v>
      </c>
      <c r="U238" s="32">
        <f t="shared" si="38"/>
        <v>0</v>
      </c>
      <c r="V238" s="32">
        <f t="shared" si="38"/>
        <v>0</v>
      </c>
      <c r="W238" s="32">
        <f t="shared" si="38"/>
        <v>0</v>
      </c>
      <c r="X238" s="32">
        <f t="shared" si="38"/>
        <v>0</v>
      </c>
    </row>
    <row r="239" spans="1:24" ht="16.5" customHeight="1" x14ac:dyDescent="0.25">
      <c r="A239" s="39" t="str">
        <f>'Long Sample Name'!A236</f>
        <v/>
      </c>
      <c r="B239" s="25" t="str">
        <f ca="1">'Input Sheet'!L238</f>
        <v/>
      </c>
      <c r="C239" s="26" t="str">
        <f ca="1">'Input Sheet'!M238</f>
        <v/>
      </c>
      <c r="D239" s="40">
        <f>'Input Sheet'!B238</f>
        <v>0</v>
      </c>
      <c r="E239" s="37">
        <f>'Input Sheet'!I238</f>
        <v>0</v>
      </c>
      <c r="F239" s="29">
        <f>('Input Sheet'!C238)/100</f>
        <v>0</v>
      </c>
      <c r="G239" s="29">
        <f>('Input Sheet'!F238)/100</f>
        <v>0</v>
      </c>
      <c r="H239" s="27">
        <f t="shared" si="36"/>
        <v>0</v>
      </c>
      <c r="I239" s="27">
        <f t="shared" si="30"/>
        <v>0</v>
      </c>
      <c r="J239" s="27">
        <f t="shared" si="31"/>
        <v>0</v>
      </c>
      <c r="K239" s="27">
        <f t="shared" si="32"/>
        <v>0</v>
      </c>
      <c r="L239" s="27">
        <f t="shared" si="33"/>
        <v>0</v>
      </c>
      <c r="M239" s="32" t="str">
        <f>'Input Sheet'!E238</f>
        <v/>
      </c>
      <c r="N239" s="32">
        <f t="shared" si="34"/>
        <v>0</v>
      </c>
      <c r="T239" s="32">
        <f t="shared" si="38"/>
        <v>0</v>
      </c>
      <c r="U239" s="32">
        <f t="shared" si="38"/>
        <v>0</v>
      </c>
      <c r="V239" s="32">
        <f t="shared" si="38"/>
        <v>0</v>
      </c>
      <c r="W239" s="32">
        <f t="shared" si="38"/>
        <v>0</v>
      </c>
      <c r="X239" s="32">
        <f t="shared" si="38"/>
        <v>0</v>
      </c>
    </row>
    <row r="240" spans="1:24" ht="16.5" customHeight="1" x14ac:dyDescent="0.25">
      <c r="A240" s="39" t="str">
        <f>'Long Sample Name'!A237</f>
        <v/>
      </c>
      <c r="B240" s="25" t="str">
        <f ca="1">'Input Sheet'!L239</f>
        <v/>
      </c>
      <c r="C240" s="26" t="str">
        <f ca="1">'Input Sheet'!M239</f>
        <v/>
      </c>
      <c r="D240" s="40">
        <f>'Input Sheet'!B239</f>
        <v>0</v>
      </c>
      <c r="E240" s="37">
        <f>'Input Sheet'!I239</f>
        <v>0</v>
      </c>
      <c r="F240" s="29">
        <f>('Input Sheet'!C239)/100</f>
        <v>0</v>
      </c>
      <c r="G240" s="29">
        <f>('Input Sheet'!F239)/100</f>
        <v>0</v>
      </c>
      <c r="H240" s="27">
        <f t="shared" si="36"/>
        <v>0</v>
      </c>
      <c r="I240" s="27">
        <f t="shared" si="30"/>
        <v>0</v>
      </c>
      <c r="J240" s="27">
        <f t="shared" si="31"/>
        <v>0</v>
      </c>
      <c r="K240" s="27">
        <f t="shared" si="32"/>
        <v>0</v>
      </c>
      <c r="L240" s="27">
        <f t="shared" si="33"/>
        <v>0</v>
      </c>
      <c r="M240" s="32" t="str">
        <f>'Input Sheet'!E239</f>
        <v/>
      </c>
      <c r="N240" s="32">
        <f t="shared" si="34"/>
        <v>0</v>
      </c>
      <c r="T240" s="32">
        <f t="shared" si="38"/>
        <v>0</v>
      </c>
      <c r="U240" s="32">
        <f t="shared" si="38"/>
        <v>0</v>
      </c>
      <c r="V240" s="32">
        <f t="shared" si="38"/>
        <v>0</v>
      </c>
      <c r="W240" s="32">
        <f t="shared" si="38"/>
        <v>0</v>
      </c>
      <c r="X240" s="32">
        <f t="shared" si="38"/>
        <v>0</v>
      </c>
    </row>
    <row r="241" spans="1:24" ht="16.5" customHeight="1" x14ac:dyDescent="0.25">
      <c r="A241" s="39" t="str">
        <f>'Long Sample Name'!A238</f>
        <v/>
      </c>
      <c r="B241" s="25" t="str">
        <f ca="1">'Input Sheet'!L240</f>
        <v/>
      </c>
      <c r="C241" s="26" t="str">
        <f ca="1">'Input Sheet'!M240</f>
        <v/>
      </c>
      <c r="D241" s="40">
        <f>'Input Sheet'!B240</f>
        <v>0</v>
      </c>
      <c r="E241" s="37">
        <f>'Input Sheet'!I240</f>
        <v>0</v>
      </c>
      <c r="F241" s="29">
        <f>('Input Sheet'!C240)/100</f>
        <v>0</v>
      </c>
      <c r="G241" s="29">
        <f>('Input Sheet'!F240)/100</f>
        <v>0</v>
      </c>
      <c r="H241" s="27">
        <f t="shared" si="36"/>
        <v>0</v>
      </c>
      <c r="I241" s="27">
        <f t="shared" si="30"/>
        <v>0</v>
      </c>
      <c r="J241" s="27">
        <f t="shared" si="31"/>
        <v>0</v>
      </c>
      <c r="K241" s="27">
        <f t="shared" si="32"/>
        <v>0</v>
      </c>
      <c r="L241" s="27">
        <f t="shared" si="33"/>
        <v>0</v>
      </c>
      <c r="M241" s="32" t="str">
        <f>'Input Sheet'!E240</f>
        <v/>
      </c>
      <c r="N241" s="32">
        <f t="shared" si="34"/>
        <v>0</v>
      </c>
      <c r="T241" s="32">
        <f t="shared" si="38"/>
        <v>0</v>
      </c>
      <c r="U241" s="32">
        <f t="shared" si="38"/>
        <v>0</v>
      </c>
      <c r="V241" s="32">
        <f t="shared" si="38"/>
        <v>0</v>
      </c>
      <c r="W241" s="32">
        <f t="shared" si="38"/>
        <v>0</v>
      </c>
      <c r="X241" s="32">
        <f t="shared" si="38"/>
        <v>0</v>
      </c>
    </row>
    <row r="242" spans="1:24" ht="16.5" customHeight="1" x14ac:dyDescent="0.25">
      <c r="A242" s="39" t="str">
        <f>'Long Sample Name'!A239</f>
        <v/>
      </c>
      <c r="B242" s="25" t="str">
        <f ca="1">'Input Sheet'!L241</f>
        <v/>
      </c>
      <c r="C242" s="26" t="str">
        <f ca="1">'Input Sheet'!M241</f>
        <v/>
      </c>
      <c r="D242" s="40">
        <f>'Input Sheet'!B241</f>
        <v>0</v>
      </c>
      <c r="E242" s="37">
        <f>'Input Sheet'!I241</f>
        <v>0</v>
      </c>
      <c r="F242" s="29">
        <f>('Input Sheet'!C241)/100</f>
        <v>0</v>
      </c>
      <c r="G242" s="29">
        <f>('Input Sheet'!F241)/100</f>
        <v>0</v>
      </c>
      <c r="H242" s="27">
        <f t="shared" si="36"/>
        <v>0</v>
      </c>
      <c r="I242" s="27">
        <f t="shared" si="30"/>
        <v>0</v>
      </c>
      <c r="J242" s="27">
        <f t="shared" si="31"/>
        <v>0</v>
      </c>
      <c r="K242" s="27">
        <f t="shared" si="32"/>
        <v>0</v>
      </c>
      <c r="L242" s="27">
        <f t="shared" si="33"/>
        <v>0</v>
      </c>
      <c r="M242" s="32" t="str">
        <f>'Input Sheet'!E241</f>
        <v/>
      </c>
      <c r="N242" s="32">
        <f t="shared" si="34"/>
        <v>0</v>
      </c>
      <c r="T242" s="32">
        <f t="shared" si="38"/>
        <v>0</v>
      </c>
      <c r="U242" s="32">
        <f t="shared" si="38"/>
        <v>0</v>
      </c>
      <c r="V242" s="32">
        <f t="shared" si="38"/>
        <v>0</v>
      </c>
      <c r="W242" s="32">
        <f t="shared" si="38"/>
        <v>0</v>
      </c>
      <c r="X242" s="32">
        <f t="shared" si="38"/>
        <v>0</v>
      </c>
    </row>
    <row r="243" spans="1:24" ht="16.5" customHeight="1" x14ac:dyDescent="0.25">
      <c r="A243" s="39" t="str">
        <f>'Long Sample Name'!A240</f>
        <v/>
      </c>
      <c r="B243" s="25" t="str">
        <f ca="1">'Input Sheet'!L242</f>
        <v/>
      </c>
      <c r="C243" s="26" t="str">
        <f ca="1">'Input Sheet'!M242</f>
        <v/>
      </c>
      <c r="D243" s="40">
        <f>'Input Sheet'!B242</f>
        <v>0</v>
      </c>
      <c r="E243" s="37">
        <f>'Input Sheet'!I242</f>
        <v>0</v>
      </c>
      <c r="F243" s="29">
        <f>('Input Sheet'!C242)/100</f>
        <v>0</v>
      </c>
      <c r="G243" s="29">
        <f>('Input Sheet'!F242)/100</f>
        <v>0</v>
      </c>
      <c r="H243" s="27">
        <f t="shared" si="36"/>
        <v>0</v>
      </c>
      <c r="I243" s="27">
        <f t="shared" si="30"/>
        <v>0</v>
      </c>
      <c r="J243" s="27">
        <f t="shared" si="31"/>
        <v>0</v>
      </c>
      <c r="K243" s="27">
        <f t="shared" si="32"/>
        <v>0</v>
      </c>
      <c r="L243" s="27">
        <f t="shared" si="33"/>
        <v>0</v>
      </c>
      <c r="M243" s="32" t="str">
        <f>'Input Sheet'!E242</f>
        <v/>
      </c>
      <c r="N243" s="32">
        <f t="shared" si="34"/>
        <v>0</v>
      </c>
      <c r="T243" s="32">
        <f t="shared" si="38"/>
        <v>0</v>
      </c>
      <c r="U243" s="32">
        <f t="shared" si="38"/>
        <v>0</v>
      </c>
      <c r="V243" s="32">
        <f t="shared" si="38"/>
        <v>0</v>
      </c>
      <c r="W243" s="32">
        <f t="shared" si="38"/>
        <v>0</v>
      </c>
      <c r="X243" s="32">
        <f t="shared" si="38"/>
        <v>0</v>
      </c>
    </row>
    <row r="244" spans="1:24" ht="16.5" customHeight="1" x14ac:dyDescent="0.25">
      <c r="A244" s="39" t="str">
        <f>'Long Sample Name'!A241</f>
        <v/>
      </c>
      <c r="B244" s="25" t="str">
        <f ca="1">'Input Sheet'!L243</f>
        <v/>
      </c>
      <c r="C244" s="26" t="str">
        <f ca="1">'Input Sheet'!M243</f>
        <v/>
      </c>
      <c r="D244" s="40">
        <f>'Input Sheet'!B243</f>
        <v>0</v>
      </c>
      <c r="E244" s="37">
        <f>'Input Sheet'!I243</f>
        <v>0</v>
      </c>
      <c r="F244" s="29">
        <f>('Input Sheet'!C243)/100</f>
        <v>0</v>
      </c>
      <c r="G244" s="29">
        <f>('Input Sheet'!F243)/100</f>
        <v>0</v>
      </c>
      <c r="H244" s="27">
        <f t="shared" si="36"/>
        <v>0</v>
      </c>
      <c r="I244" s="27">
        <f t="shared" si="30"/>
        <v>0</v>
      </c>
      <c r="J244" s="27">
        <f t="shared" si="31"/>
        <v>0</v>
      </c>
      <c r="K244" s="27">
        <f t="shared" si="32"/>
        <v>0</v>
      </c>
      <c r="L244" s="27">
        <f t="shared" si="33"/>
        <v>0</v>
      </c>
      <c r="M244" s="32" t="str">
        <f>'Input Sheet'!E243</f>
        <v/>
      </c>
      <c r="N244" s="32">
        <f t="shared" si="34"/>
        <v>0</v>
      </c>
      <c r="T244" s="32">
        <f t="shared" si="38"/>
        <v>0</v>
      </c>
      <c r="U244" s="32">
        <f t="shared" si="38"/>
        <v>0</v>
      </c>
      <c r="V244" s="32">
        <f t="shared" si="38"/>
        <v>0</v>
      </c>
      <c r="W244" s="32">
        <f t="shared" si="38"/>
        <v>0</v>
      </c>
      <c r="X244" s="32">
        <f t="shared" si="38"/>
        <v>0</v>
      </c>
    </row>
    <row r="245" spans="1:24" ht="16.5" customHeight="1" x14ac:dyDescent="0.25">
      <c r="A245" s="39" t="str">
        <f>'Long Sample Name'!A242</f>
        <v/>
      </c>
      <c r="B245" s="25" t="str">
        <f ca="1">'Input Sheet'!L244</f>
        <v/>
      </c>
      <c r="C245" s="26" t="str">
        <f ca="1">'Input Sheet'!M244</f>
        <v/>
      </c>
      <c r="D245" s="40">
        <f>'Input Sheet'!B244</f>
        <v>0</v>
      </c>
      <c r="E245" s="37">
        <f>'Input Sheet'!I244</f>
        <v>0</v>
      </c>
      <c r="F245" s="29">
        <f>('Input Sheet'!C244)/100</f>
        <v>0</v>
      </c>
      <c r="G245" s="29">
        <f>('Input Sheet'!F244)/100</f>
        <v>0</v>
      </c>
      <c r="H245" s="27">
        <f t="shared" si="36"/>
        <v>0</v>
      </c>
      <c r="I245" s="27">
        <f t="shared" si="30"/>
        <v>0</v>
      </c>
      <c r="J245" s="27">
        <f t="shared" si="31"/>
        <v>0</v>
      </c>
      <c r="K245" s="27">
        <f t="shared" si="32"/>
        <v>0</v>
      </c>
      <c r="L245" s="27">
        <f t="shared" si="33"/>
        <v>0</v>
      </c>
      <c r="M245" s="32" t="str">
        <f>'Input Sheet'!E244</f>
        <v/>
      </c>
      <c r="N245" s="32">
        <f t="shared" si="34"/>
        <v>0</v>
      </c>
      <c r="T245" s="32">
        <f t="shared" ref="T245:X260" si="39">IF($M245=T$1,$H245,0)</f>
        <v>0</v>
      </c>
      <c r="U245" s="32">
        <f t="shared" si="39"/>
        <v>0</v>
      </c>
      <c r="V245" s="32">
        <f t="shared" si="39"/>
        <v>0</v>
      </c>
      <c r="W245" s="32">
        <f t="shared" si="39"/>
        <v>0</v>
      </c>
      <c r="X245" s="32">
        <f t="shared" si="39"/>
        <v>0</v>
      </c>
    </row>
    <row r="246" spans="1:24" ht="16.5" customHeight="1" x14ac:dyDescent="0.25">
      <c r="A246" s="39" t="str">
        <f>'Long Sample Name'!A243</f>
        <v/>
      </c>
      <c r="B246" s="25" t="str">
        <f ca="1">'Input Sheet'!L245</f>
        <v/>
      </c>
      <c r="C246" s="26" t="str">
        <f ca="1">'Input Sheet'!M245</f>
        <v/>
      </c>
      <c r="D246" s="40">
        <f>'Input Sheet'!B245</f>
        <v>0</v>
      </c>
      <c r="E246" s="37">
        <f>'Input Sheet'!I245</f>
        <v>0</v>
      </c>
      <c r="F246" s="29">
        <f>('Input Sheet'!C245)/100</f>
        <v>0</v>
      </c>
      <c r="G246" s="29">
        <f>('Input Sheet'!F245)/100</f>
        <v>0</v>
      </c>
      <c r="H246" s="27">
        <f t="shared" si="36"/>
        <v>0</v>
      </c>
      <c r="I246" s="27">
        <f t="shared" si="30"/>
        <v>0</v>
      </c>
      <c r="J246" s="27">
        <f t="shared" si="31"/>
        <v>0</v>
      </c>
      <c r="K246" s="27">
        <f t="shared" si="32"/>
        <v>0</v>
      </c>
      <c r="L246" s="27">
        <f t="shared" si="33"/>
        <v>0</v>
      </c>
      <c r="M246" s="32" t="str">
        <f>'Input Sheet'!E245</f>
        <v/>
      </c>
      <c r="N246" s="32">
        <f t="shared" si="34"/>
        <v>0</v>
      </c>
      <c r="T246" s="32">
        <f t="shared" si="39"/>
        <v>0</v>
      </c>
      <c r="U246" s="32">
        <f t="shared" si="39"/>
        <v>0</v>
      </c>
      <c r="V246" s="32">
        <f t="shared" si="39"/>
        <v>0</v>
      </c>
      <c r="W246" s="32">
        <f t="shared" si="39"/>
        <v>0</v>
      </c>
      <c r="X246" s="32">
        <f t="shared" si="39"/>
        <v>0</v>
      </c>
    </row>
    <row r="247" spans="1:24" ht="16.5" customHeight="1" x14ac:dyDescent="0.25">
      <c r="A247" s="39" t="str">
        <f>'Long Sample Name'!A244</f>
        <v/>
      </c>
      <c r="B247" s="25" t="str">
        <f ca="1">'Input Sheet'!L246</f>
        <v/>
      </c>
      <c r="C247" s="26" t="str">
        <f ca="1">'Input Sheet'!M246</f>
        <v/>
      </c>
      <c r="D247" s="40">
        <f>'Input Sheet'!B246</f>
        <v>0</v>
      </c>
      <c r="E247" s="37">
        <f>'Input Sheet'!I246</f>
        <v>0</v>
      </c>
      <c r="F247" s="29">
        <f>('Input Sheet'!C246)/100</f>
        <v>0</v>
      </c>
      <c r="G247" s="29">
        <f>('Input Sheet'!F246)/100</f>
        <v>0</v>
      </c>
      <c r="H247" s="27">
        <f t="shared" si="36"/>
        <v>0</v>
      </c>
      <c r="I247" s="27">
        <f t="shared" si="30"/>
        <v>0</v>
      </c>
      <c r="J247" s="27">
        <f t="shared" si="31"/>
        <v>0</v>
      </c>
      <c r="K247" s="27">
        <f t="shared" si="32"/>
        <v>0</v>
      </c>
      <c r="L247" s="27">
        <f t="shared" si="33"/>
        <v>0</v>
      </c>
      <c r="M247" s="32" t="str">
        <f>'Input Sheet'!E246</f>
        <v/>
      </c>
      <c r="N247" s="32">
        <f t="shared" si="34"/>
        <v>0</v>
      </c>
      <c r="T247" s="32">
        <f t="shared" si="39"/>
        <v>0</v>
      </c>
      <c r="U247" s="32">
        <f t="shared" si="39"/>
        <v>0</v>
      </c>
      <c r="V247" s="32">
        <f t="shared" si="39"/>
        <v>0</v>
      </c>
      <c r="W247" s="32">
        <f t="shared" si="39"/>
        <v>0</v>
      </c>
      <c r="X247" s="32">
        <f t="shared" si="39"/>
        <v>0</v>
      </c>
    </row>
    <row r="248" spans="1:24" ht="16.5" customHeight="1" x14ac:dyDescent="0.25">
      <c r="A248" s="39" t="str">
        <f>'Long Sample Name'!A245</f>
        <v/>
      </c>
      <c r="B248" s="25" t="str">
        <f ca="1">'Input Sheet'!L247</f>
        <v/>
      </c>
      <c r="C248" s="26" t="str">
        <f ca="1">'Input Sheet'!M247</f>
        <v/>
      </c>
      <c r="D248" s="40">
        <f>'Input Sheet'!B247</f>
        <v>0</v>
      </c>
      <c r="E248" s="37">
        <f>'Input Sheet'!I247</f>
        <v>0</v>
      </c>
      <c r="F248" s="29">
        <f>('Input Sheet'!C247)/100</f>
        <v>0</v>
      </c>
      <c r="G248" s="29">
        <f>('Input Sheet'!F247)/100</f>
        <v>0</v>
      </c>
      <c r="H248" s="27">
        <f t="shared" si="36"/>
        <v>0</v>
      </c>
      <c r="I248" s="27">
        <f t="shared" si="30"/>
        <v>0</v>
      </c>
      <c r="J248" s="27">
        <f t="shared" si="31"/>
        <v>0</v>
      </c>
      <c r="K248" s="27">
        <f t="shared" si="32"/>
        <v>0</v>
      </c>
      <c r="L248" s="27">
        <f t="shared" si="33"/>
        <v>0</v>
      </c>
      <c r="M248" s="32" t="str">
        <f>'Input Sheet'!E247</f>
        <v/>
      </c>
      <c r="N248" s="32">
        <f t="shared" si="34"/>
        <v>0</v>
      </c>
      <c r="T248" s="32">
        <f t="shared" si="39"/>
        <v>0</v>
      </c>
      <c r="U248" s="32">
        <f t="shared" si="39"/>
        <v>0</v>
      </c>
      <c r="V248" s="32">
        <f t="shared" si="39"/>
        <v>0</v>
      </c>
      <c r="W248" s="32">
        <f t="shared" si="39"/>
        <v>0</v>
      </c>
      <c r="X248" s="32">
        <f t="shared" si="39"/>
        <v>0</v>
      </c>
    </row>
    <row r="249" spans="1:24" ht="16.5" customHeight="1" x14ac:dyDescent="0.25">
      <c r="A249" s="39" t="str">
        <f>'Long Sample Name'!A246</f>
        <v/>
      </c>
      <c r="B249" s="25" t="str">
        <f ca="1">'Input Sheet'!L248</f>
        <v/>
      </c>
      <c r="C249" s="26" t="str">
        <f ca="1">'Input Sheet'!M248</f>
        <v/>
      </c>
      <c r="D249" s="40">
        <f>'Input Sheet'!B248</f>
        <v>0</v>
      </c>
      <c r="E249" s="37">
        <f>'Input Sheet'!I248</f>
        <v>0</v>
      </c>
      <c r="F249" s="29">
        <f>('Input Sheet'!C248)/100</f>
        <v>0</v>
      </c>
      <c r="G249" s="29">
        <f>('Input Sheet'!F248)/100</f>
        <v>0</v>
      </c>
      <c r="H249" s="27">
        <f t="shared" si="36"/>
        <v>0</v>
      </c>
      <c r="I249" s="27">
        <f t="shared" si="30"/>
        <v>0</v>
      </c>
      <c r="J249" s="27">
        <f t="shared" si="31"/>
        <v>0</v>
      </c>
      <c r="K249" s="27">
        <f t="shared" si="32"/>
        <v>0</v>
      </c>
      <c r="L249" s="27">
        <f t="shared" si="33"/>
        <v>0</v>
      </c>
      <c r="M249" s="32" t="str">
        <f>'Input Sheet'!E248</f>
        <v/>
      </c>
      <c r="N249" s="32">
        <f t="shared" si="34"/>
        <v>0</v>
      </c>
      <c r="T249" s="32">
        <f t="shared" si="39"/>
        <v>0</v>
      </c>
      <c r="U249" s="32">
        <f t="shared" si="39"/>
        <v>0</v>
      </c>
      <c r="V249" s="32">
        <f t="shared" si="39"/>
        <v>0</v>
      </c>
      <c r="W249" s="32">
        <f t="shared" si="39"/>
        <v>0</v>
      </c>
      <c r="X249" s="32">
        <f t="shared" si="39"/>
        <v>0</v>
      </c>
    </row>
    <row r="250" spans="1:24" ht="16.5" customHeight="1" x14ac:dyDescent="0.25">
      <c r="A250" s="39" t="str">
        <f>'Long Sample Name'!A247</f>
        <v/>
      </c>
      <c r="B250" s="25" t="str">
        <f ca="1">'Input Sheet'!L249</f>
        <v/>
      </c>
      <c r="C250" s="26" t="str">
        <f ca="1">'Input Sheet'!M249</f>
        <v/>
      </c>
      <c r="D250" s="40">
        <f>'Input Sheet'!B249</f>
        <v>0</v>
      </c>
      <c r="E250" s="37">
        <f>'Input Sheet'!I249</f>
        <v>0</v>
      </c>
      <c r="F250" s="29">
        <f>('Input Sheet'!C249)/100</f>
        <v>0</v>
      </c>
      <c r="G250" s="29">
        <f>('Input Sheet'!F249)/100</f>
        <v>0</v>
      </c>
      <c r="H250" s="27">
        <f t="shared" si="36"/>
        <v>0</v>
      </c>
      <c r="I250" s="27">
        <f t="shared" si="30"/>
        <v>0</v>
      </c>
      <c r="J250" s="27">
        <f t="shared" si="31"/>
        <v>0</v>
      </c>
      <c r="K250" s="27">
        <f t="shared" si="32"/>
        <v>0</v>
      </c>
      <c r="L250" s="27">
        <f t="shared" si="33"/>
        <v>0</v>
      </c>
      <c r="M250" s="32" t="str">
        <f>'Input Sheet'!E249</f>
        <v/>
      </c>
      <c r="N250" s="32">
        <f t="shared" si="34"/>
        <v>0</v>
      </c>
      <c r="T250" s="32">
        <f t="shared" si="39"/>
        <v>0</v>
      </c>
      <c r="U250" s="32">
        <f t="shared" si="39"/>
        <v>0</v>
      </c>
      <c r="V250" s="32">
        <f t="shared" si="39"/>
        <v>0</v>
      </c>
      <c r="W250" s="32">
        <f t="shared" si="39"/>
        <v>0</v>
      </c>
      <c r="X250" s="32">
        <f t="shared" si="39"/>
        <v>0</v>
      </c>
    </row>
    <row r="251" spans="1:24" ht="16.5" customHeight="1" x14ac:dyDescent="0.25">
      <c r="A251" s="39" t="str">
        <f>'Long Sample Name'!A248</f>
        <v/>
      </c>
      <c r="B251" s="25" t="str">
        <f ca="1">'Input Sheet'!L250</f>
        <v/>
      </c>
      <c r="C251" s="26" t="str">
        <f ca="1">'Input Sheet'!M250</f>
        <v/>
      </c>
      <c r="D251" s="40">
        <f>'Input Sheet'!B250</f>
        <v>0</v>
      </c>
      <c r="E251" s="37">
        <f>'Input Sheet'!I250</f>
        <v>0</v>
      </c>
      <c r="F251" s="29">
        <f>('Input Sheet'!C250)/100</f>
        <v>0</v>
      </c>
      <c r="G251" s="29">
        <f>('Input Sheet'!F250)/100</f>
        <v>0</v>
      </c>
      <c r="H251" s="27">
        <f t="shared" si="36"/>
        <v>0</v>
      </c>
      <c r="I251" s="27">
        <f t="shared" si="30"/>
        <v>0</v>
      </c>
      <c r="J251" s="27">
        <f t="shared" si="31"/>
        <v>0</v>
      </c>
      <c r="K251" s="27">
        <f t="shared" si="32"/>
        <v>0</v>
      </c>
      <c r="L251" s="27">
        <f t="shared" si="33"/>
        <v>0</v>
      </c>
      <c r="M251" s="32" t="str">
        <f>'Input Sheet'!E250</f>
        <v/>
      </c>
      <c r="N251" s="32">
        <f t="shared" si="34"/>
        <v>0</v>
      </c>
      <c r="T251" s="32">
        <f t="shared" si="39"/>
        <v>0</v>
      </c>
      <c r="U251" s="32">
        <f t="shared" si="39"/>
        <v>0</v>
      </c>
      <c r="V251" s="32">
        <f t="shared" si="39"/>
        <v>0</v>
      </c>
      <c r="W251" s="32">
        <f t="shared" si="39"/>
        <v>0</v>
      </c>
      <c r="X251" s="32">
        <f t="shared" si="39"/>
        <v>0</v>
      </c>
    </row>
    <row r="252" spans="1:24" ht="16.5" customHeight="1" x14ac:dyDescent="0.25">
      <c r="A252" s="39" t="str">
        <f>'Long Sample Name'!A249</f>
        <v/>
      </c>
      <c r="B252" s="25" t="str">
        <f ca="1">'Input Sheet'!L251</f>
        <v/>
      </c>
      <c r="C252" s="26" t="str">
        <f ca="1">'Input Sheet'!M251</f>
        <v/>
      </c>
      <c r="D252" s="40">
        <f>'Input Sheet'!B251</f>
        <v>0</v>
      </c>
      <c r="E252" s="37">
        <f>'Input Sheet'!I251</f>
        <v>0</v>
      </c>
      <c r="F252" s="29">
        <f>('Input Sheet'!C251)/100</f>
        <v>0</v>
      </c>
      <c r="G252" s="29">
        <f>('Input Sheet'!F251)/100</f>
        <v>0</v>
      </c>
      <c r="H252" s="27">
        <f t="shared" si="36"/>
        <v>0</v>
      </c>
      <c r="I252" s="27">
        <f t="shared" si="30"/>
        <v>0</v>
      </c>
      <c r="J252" s="27">
        <f t="shared" si="31"/>
        <v>0</v>
      </c>
      <c r="K252" s="27">
        <f t="shared" si="32"/>
        <v>0</v>
      </c>
      <c r="L252" s="27">
        <f t="shared" si="33"/>
        <v>0</v>
      </c>
      <c r="M252" s="32" t="str">
        <f>'Input Sheet'!E251</f>
        <v/>
      </c>
      <c r="N252" s="32">
        <f t="shared" si="34"/>
        <v>0</v>
      </c>
      <c r="T252" s="32">
        <f t="shared" si="39"/>
        <v>0</v>
      </c>
      <c r="U252" s="32">
        <f t="shared" si="39"/>
        <v>0</v>
      </c>
      <c r="V252" s="32">
        <f t="shared" si="39"/>
        <v>0</v>
      </c>
      <c r="W252" s="32">
        <f t="shared" si="39"/>
        <v>0</v>
      </c>
      <c r="X252" s="32">
        <f t="shared" si="39"/>
        <v>0</v>
      </c>
    </row>
    <row r="253" spans="1:24" ht="16.5" customHeight="1" x14ac:dyDescent="0.25">
      <c r="A253" s="39" t="str">
        <f>'Long Sample Name'!A250</f>
        <v/>
      </c>
      <c r="B253" s="25" t="str">
        <f ca="1">'Input Sheet'!L252</f>
        <v/>
      </c>
      <c r="C253" s="26" t="str">
        <f ca="1">'Input Sheet'!M252</f>
        <v/>
      </c>
      <c r="D253" s="40">
        <f>'Input Sheet'!B252</f>
        <v>0</v>
      </c>
      <c r="E253" s="37">
        <f>'Input Sheet'!I252</f>
        <v>0</v>
      </c>
      <c r="F253" s="29">
        <f>('Input Sheet'!C252)/100</f>
        <v>0</v>
      </c>
      <c r="G253" s="29">
        <f>('Input Sheet'!F252)/100</f>
        <v>0</v>
      </c>
      <c r="H253" s="27">
        <f t="shared" si="36"/>
        <v>0</v>
      </c>
      <c r="I253" s="27">
        <f t="shared" si="30"/>
        <v>0</v>
      </c>
      <c r="J253" s="27">
        <f t="shared" si="31"/>
        <v>0</v>
      </c>
      <c r="K253" s="27">
        <f t="shared" si="32"/>
        <v>0</v>
      </c>
      <c r="L253" s="27">
        <f t="shared" si="33"/>
        <v>0</v>
      </c>
      <c r="M253" s="32" t="str">
        <f>'Input Sheet'!E252</f>
        <v/>
      </c>
      <c r="N253" s="32">
        <f t="shared" si="34"/>
        <v>0</v>
      </c>
      <c r="T253" s="32">
        <f t="shared" si="39"/>
        <v>0</v>
      </c>
      <c r="U253" s="32">
        <f t="shared" si="39"/>
        <v>0</v>
      </c>
      <c r="V253" s="32">
        <f t="shared" si="39"/>
        <v>0</v>
      </c>
      <c r="W253" s="32">
        <f t="shared" si="39"/>
        <v>0</v>
      </c>
      <c r="X253" s="32">
        <f t="shared" si="39"/>
        <v>0</v>
      </c>
    </row>
    <row r="254" spans="1:24" ht="16.5" customHeight="1" x14ac:dyDescent="0.25">
      <c r="A254" s="39" t="str">
        <f>'Long Sample Name'!A251</f>
        <v/>
      </c>
      <c r="B254" s="25" t="str">
        <f ca="1">'Input Sheet'!L253</f>
        <v/>
      </c>
      <c r="C254" s="26" t="str">
        <f ca="1">'Input Sheet'!M253</f>
        <v/>
      </c>
      <c r="D254" s="40">
        <f>'Input Sheet'!B253</f>
        <v>0</v>
      </c>
      <c r="E254" s="37">
        <f>'Input Sheet'!I253</f>
        <v>0</v>
      </c>
      <c r="F254" s="29">
        <f>('Input Sheet'!C253)/100</f>
        <v>0</v>
      </c>
      <c r="G254" s="29">
        <f>('Input Sheet'!F253)/100</f>
        <v>0</v>
      </c>
      <c r="H254" s="27">
        <f t="shared" si="36"/>
        <v>0</v>
      </c>
      <c r="I254" s="27">
        <f t="shared" si="30"/>
        <v>0</v>
      </c>
      <c r="J254" s="27">
        <f t="shared" si="31"/>
        <v>0</v>
      </c>
      <c r="K254" s="27">
        <f t="shared" si="32"/>
        <v>0</v>
      </c>
      <c r="L254" s="27">
        <f t="shared" si="33"/>
        <v>0</v>
      </c>
      <c r="M254" s="32" t="str">
        <f>'Input Sheet'!E253</f>
        <v/>
      </c>
      <c r="N254" s="32">
        <f t="shared" si="34"/>
        <v>0</v>
      </c>
      <c r="T254" s="32">
        <f t="shared" si="39"/>
        <v>0</v>
      </c>
      <c r="U254" s="32">
        <f t="shared" si="39"/>
        <v>0</v>
      </c>
      <c r="V254" s="32">
        <f t="shared" si="39"/>
        <v>0</v>
      </c>
      <c r="W254" s="32">
        <f t="shared" si="39"/>
        <v>0</v>
      </c>
      <c r="X254" s="32">
        <f t="shared" si="39"/>
        <v>0</v>
      </c>
    </row>
    <row r="255" spans="1:24" ht="16.5" customHeight="1" x14ac:dyDescent="0.25">
      <c r="A255" s="39" t="str">
        <f>'Long Sample Name'!A252</f>
        <v/>
      </c>
      <c r="B255" s="25" t="str">
        <f ca="1">'Input Sheet'!L254</f>
        <v/>
      </c>
      <c r="C255" s="26" t="str">
        <f ca="1">'Input Sheet'!M254</f>
        <v/>
      </c>
      <c r="D255" s="40">
        <f>'Input Sheet'!B254</f>
        <v>0</v>
      </c>
      <c r="E255" s="37">
        <f>'Input Sheet'!I254</f>
        <v>0</v>
      </c>
      <c r="F255" s="29">
        <f>('Input Sheet'!C254)/100</f>
        <v>0</v>
      </c>
      <c r="G255" s="29">
        <f>('Input Sheet'!F254)/100</f>
        <v>0</v>
      </c>
      <c r="H255" s="27">
        <f t="shared" si="36"/>
        <v>0</v>
      </c>
      <c r="I255" s="27">
        <f t="shared" si="30"/>
        <v>0</v>
      </c>
      <c r="J255" s="27">
        <f t="shared" si="31"/>
        <v>0</v>
      </c>
      <c r="K255" s="27">
        <f t="shared" si="32"/>
        <v>0</v>
      </c>
      <c r="L255" s="27">
        <f t="shared" si="33"/>
        <v>0</v>
      </c>
      <c r="M255" s="32" t="str">
        <f>'Input Sheet'!E254</f>
        <v/>
      </c>
      <c r="N255" s="32">
        <f t="shared" si="34"/>
        <v>0</v>
      </c>
      <c r="T255" s="32">
        <f t="shared" si="39"/>
        <v>0</v>
      </c>
      <c r="U255" s="32">
        <f t="shared" si="39"/>
        <v>0</v>
      </c>
      <c r="V255" s="32">
        <f t="shared" si="39"/>
        <v>0</v>
      </c>
      <c r="W255" s="32">
        <f t="shared" si="39"/>
        <v>0</v>
      </c>
      <c r="X255" s="32">
        <f t="shared" si="39"/>
        <v>0</v>
      </c>
    </row>
    <row r="256" spans="1:24" ht="16.5" customHeight="1" x14ac:dyDescent="0.25">
      <c r="A256" s="39" t="str">
        <f>'Long Sample Name'!A253</f>
        <v/>
      </c>
      <c r="B256" s="25" t="str">
        <f ca="1">'Input Sheet'!L255</f>
        <v/>
      </c>
      <c r="C256" s="26" t="str">
        <f ca="1">'Input Sheet'!M255</f>
        <v/>
      </c>
      <c r="D256" s="40">
        <f>'Input Sheet'!B255</f>
        <v>0</v>
      </c>
      <c r="E256" s="37">
        <f>'Input Sheet'!I255</f>
        <v>0</v>
      </c>
      <c r="F256" s="29">
        <f>('Input Sheet'!C255)/100</f>
        <v>0</v>
      </c>
      <c r="G256" s="29">
        <f>('Input Sheet'!F255)/100</f>
        <v>0</v>
      </c>
      <c r="H256" s="27">
        <f t="shared" si="36"/>
        <v>0</v>
      </c>
      <c r="I256" s="27">
        <f t="shared" si="30"/>
        <v>0</v>
      </c>
      <c r="J256" s="27">
        <f t="shared" si="31"/>
        <v>0</v>
      </c>
      <c r="K256" s="27">
        <f t="shared" si="32"/>
        <v>0</v>
      </c>
      <c r="L256" s="27">
        <f t="shared" si="33"/>
        <v>0</v>
      </c>
      <c r="M256" s="32" t="str">
        <f>'Input Sheet'!E255</f>
        <v/>
      </c>
      <c r="N256" s="32">
        <f t="shared" si="34"/>
        <v>0</v>
      </c>
      <c r="T256" s="32">
        <f t="shared" si="39"/>
        <v>0</v>
      </c>
      <c r="U256" s="32">
        <f t="shared" si="39"/>
        <v>0</v>
      </c>
      <c r="V256" s="32">
        <f t="shared" si="39"/>
        <v>0</v>
      </c>
      <c r="W256" s="32">
        <f t="shared" si="39"/>
        <v>0</v>
      </c>
      <c r="X256" s="32">
        <f t="shared" si="39"/>
        <v>0</v>
      </c>
    </row>
    <row r="257" spans="1:24" ht="16.5" customHeight="1" x14ac:dyDescent="0.25">
      <c r="A257" s="39" t="str">
        <f>'Long Sample Name'!A254</f>
        <v/>
      </c>
      <c r="B257" s="25" t="str">
        <f ca="1">'Input Sheet'!L256</f>
        <v/>
      </c>
      <c r="C257" s="26" t="str">
        <f ca="1">'Input Sheet'!M256</f>
        <v/>
      </c>
      <c r="D257" s="40">
        <f>'Input Sheet'!B256</f>
        <v>0</v>
      </c>
      <c r="E257" s="37">
        <f>'Input Sheet'!I256</f>
        <v>0</v>
      </c>
      <c r="F257" s="29">
        <f>('Input Sheet'!C256)/100</f>
        <v>0</v>
      </c>
      <c r="G257" s="29">
        <f>('Input Sheet'!F256)/100</f>
        <v>0</v>
      </c>
      <c r="H257" s="27">
        <f t="shared" si="36"/>
        <v>0</v>
      </c>
      <c r="I257" s="27">
        <f t="shared" si="30"/>
        <v>0</v>
      </c>
      <c r="J257" s="27">
        <f t="shared" si="31"/>
        <v>0</v>
      </c>
      <c r="K257" s="27">
        <f t="shared" si="32"/>
        <v>0</v>
      </c>
      <c r="L257" s="27">
        <f t="shared" si="33"/>
        <v>0</v>
      </c>
      <c r="M257" s="32" t="str">
        <f>'Input Sheet'!E256</f>
        <v/>
      </c>
      <c r="N257" s="32">
        <f t="shared" si="34"/>
        <v>0</v>
      </c>
      <c r="T257" s="32">
        <f t="shared" si="39"/>
        <v>0</v>
      </c>
      <c r="U257" s="32">
        <f t="shared" si="39"/>
        <v>0</v>
      </c>
      <c r="V257" s="32">
        <f t="shared" si="39"/>
        <v>0</v>
      </c>
      <c r="W257" s="32">
        <f t="shared" si="39"/>
        <v>0</v>
      </c>
      <c r="X257" s="32">
        <f t="shared" si="39"/>
        <v>0</v>
      </c>
    </row>
    <row r="258" spans="1:24" ht="16.5" customHeight="1" x14ac:dyDescent="0.25">
      <c r="A258" s="39" t="str">
        <f>'Long Sample Name'!A255</f>
        <v/>
      </c>
      <c r="B258" s="25" t="str">
        <f ca="1">'Input Sheet'!L257</f>
        <v/>
      </c>
      <c r="C258" s="26" t="str">
        <f ca="1">'Input Sheet'!M257</f>
        <v/>
      </c>
      <c r="D258" s="40">
        <f>'Input Sheet'!B257</f>
        <v>0</v>
      </c>
      <c r="E258" s="37">
        <f>'Input Sheet'!I257</f>
        <v>0</v>
      </c>
      <c r="F258" s="29">
        <f>('Input Sheet'!C257)/100</f>
        <v>0</v>
      </c>
      <c r="G258" s="29">
        <f>('Input Sheet'!F257)/100</f>
        <v>0</v>
      </c>
      <c r="H258" s="27">
        <f t="shared" si="36"/>
        <v>0</v>
      </c>
      <c r="I258" s="27">
        <f t="shared" si="30"/>
        <v>0</v>
      </c>
      <c r="J258" s="27">
        <f t="shared" si="31"/>
        <v>0</v>
      </c>
      <c r="K258" s="27">
        <f t="shared" si="32"/>
        <v>0</v>
      </c>
      <c r="L258" s="27">
        <f t="shared" si="33"/>
        <v>0</v>
      </c>
      <c r="M258" s="32" t="str">
        <f>'Input Sheet'!E257</f>
        <v/>
      </c>
      <c r="N258" s="32">
        <f t="shared" si="34"/>
        <v>0</v>
      </c>
      <c r="T258" s="32">
        <f t="shared" si="39"/>
        <v>0</v>
      </c>
      <c r="U258" s="32">
        <f t="shared" si="39"/>
        <v>0</v>
      </c>
      <c r="V258" s="32">
        <f t="shared" si="39"/>
        <v>0</v>
      </c>
      <c r="W258" s="32">
        <f t="shared" si="39"/>
        <v>0</v>
      </c>
      <c r="X258" s="32">
        <f t="shared" si="39"/>
        <v>0</v>
      </c>
    </row>
    <row r="259" spans="1:24" ht="16.5" customHeight="1" x14ac:dyDescent="0.25">
      <c r="A259" s="39" t="str">
        <f>'Long Sample Name'!A256</f>
        <v/>
      </c>
      <c r="B259" s="25" t="str">
        <f ca="1">'Input Sheet'!L258</f>
        <v/>
      </c>
      <c r="C259" s="26" t="str">
        <f ca="1">'Input Sheet'!M258</f>
        <v/>
      </c>
      <c r="D259" s="40">
        <f>'Input Sheet'!B258</f>
        <v>0</v>
      </c>
      <c r="E259" s="37">
        <f>'Input Sheet'!I258</f>
        <v>0</v>
      </c>
      <c r="F259" s="29">
        <f>('Input Sheet'!C258)/100</f>
        <v>0</v>
      </c>
      <c r="G259" s="29">
        <f>('Input Sheet'!F258)/100</f>
        <v>0</v>
      </c>
      <c r="H259" s="27">
        <f t="shared" si="36"/>
        <v>0</v>
      </c>
      <c r="I259" s="27">
        <f t="shared" si="30"/>
        <v>0</v>
      </c>
      <c r="J259" s="27">
        <f t="shared" si="31"/>
        <v>0</v>
      </c>
      <c r="K259" s="27">
        <f t="shared" si="32"/>
        <v>0</v>
      </c>
      <c r="L259" s="27">
        <f t="shared" si="33"/>
        <v>0</v>
      </c>
      <c r="M259" s="32" t="str">
        <f>'Input Sheet'!E258</f>
        <v/>
      </c>
      <c r="N259" s="32">
        <f t="shared" si="34"/>
        <v>0</v>
      </c>
      <c r="T259" s="32">
        <f t="shared" si="39"/>
        <v>0</v>
      </c>
      <c r="U259" s="32">
        <f t="shared" si="39"/>
        <v>0</v>
      </c>
      <c r="V259" s="32">
        <f t="shared" si="39"/>
        <v>0</v>
      </c>
      <c r="W259" s="32">
        <f t="shared" si="39"/>
        <v>0</v>
      </c>
      <c r="X259" s="32">
        <f t="shared" si="39"/>
        <v>0</v>
      </c>
    </row>
    <row r="260" spans="1:24" ht="16.5" customHeight="1" x14ac:dyDescent="0.25">
      <c r="A260" s="39" t="str">
        <f>'Long Sample Name'!A257</f>
        <v/>
      </c>
      <c r="B260" s="25" t="str">
        <f ca="1">'Input Sheet'!L259</f>
        <v/>
      </c>
      <c r="C260" s="26" t="str">
        <f ca="1">'Input Sheet'!M259</f>
        <v/>
      </c>
      <c r="D260" s="40">
        <f>'Input Sheet'!B259</f>
        <v>0</v>
      </c>
      <c r="E260" s="37">
        <f>'Input Sheet'!I259</f>
        <v>0</v>
      </c>
      <c r="F260" s="29">
        <f>('Input Sheet'!C259)/100</f>
        <v>0</v>
      </c>
      <c r="G260" s="29">
        <f>('Input Sheet'!F259)/100</f>
        <v>0</v>
      </c>
      <c r="H260" s="27">
        <f t="shared" si="36"/>
        <v>0</v>
      </c>
      <c r="I260" s="27">
        <f t="shared" si="30"/>
        <v>0</v>
      </c>
      <c r="J260" s="27">
        <f t="shared" si="31"/>
        <v>0</v>
      </c>
      <c r="K260" s="27">
        <f t="shared" si="32"/>
        <v>0</v>
      </c>
      <c r="L260" s="27">
        <f t="shared" si="33"/>
        <v>0</v>
      </c>
      <c r="M260" s="32" t="str">
        <f>'Input Sheet'!E259</f>
        <v/>
      </c>
      <c r="N260" s="32">
        <f t="shared" si="34"/>
        <v>0</v>
      </c>
      <c r="T260" s="32">
        <f t="shared" si="39"/>
        <v>0</v>
      </c>
      <c r="U260" s="32">
        <f t="shared" si="39"/>
        <v>0</v>
      </c>
      <c r="V260" s="32">
        <f t="shared" si="39"/>
        <v>0</v>
      </c>
      <c r="W260" s="32">
        <f t="shared" si="39"/>
        <v>0</v>
      </c>
      <c r="X260" s="32">
        <f t="shared" si="39"/>
        <v>0</v>
      </c>
    </row>
    <row r="261" spans="1:24" ht="16.5" customHeight="1" x14ac:dyDescent="0.25">
      <c r="A261" s="39" t="str">
        <f>'Long Sample Name'!A258</f>
        <v/>
      </c>
      <c r="B261" s="25" t="str">
        <f ca="1">'Input Sheet'!L260</f>
        <v/>
      </c>
      <c r="C261" s="26" t="str">
        <f ca="1">'Input Sheet'!M260</f>
        <v/>
      </c>
      <c r="D261" s="40">
        <f>'Input Sheet'!B260</f>
        <v>0</v>
      </c>
      <c r="E261" s="37">
        <f>'Input Sheet'!I260</f>
        <v>0</v>
      </c>
      <c r="F261" s="29">
        <f>('Input Sheet'!C260)/100</f>
        <v>0</v>
      </c>
      <c r="G261" s="29">
        <f>('Input Sheet'!F260)/100</f>
        <v>0</v>
      </c>
      <c r="H261" s="27">
        <f t="shared" si="36"/>
        <v>0</v>
      </c>
      <c r="I261" s="27">
        <f t="shared" ref="I261:I324" si="40">IF(AND(F261&gt;=$F$2,G261&gt;=$G$2),H261,0)</f>
        <v>0</v>
      </c>
      <c r="J261" s="27">
        <f t="shared" ref="J261:J324" si="41">IF(I261&gt;0,I261*F261,0)</f>
        <v>0</v>
      </c>
      <c r="K261" s="27">
        <f t="shared" ref="K261:K324" si="42">IF(AND(F261&gt;=$F$3,G261&gt;=$G$3),H261,0)</f>
        <v>0</v>
      </c>
      <c r="L261" s="27">
        <f t="shared" ref="L261:L324" si="43">IF(K261&gt;0,K261*F261,0)</f>
        <v>0</v>
      </c>
      <c r="M261" s="32" t="str">
        <f>'Input Sheet'!E260</f>
        <v/>
      </c>
      <c r="N261" s="32">
        <f t="shared" ref="N261:N324" si="44">IF(M261="VF",1,IF(M261="F",2,IF(M261="M",3,IF(M261="C",4,IF(M261="VC",5,0)))))</f>
        <v>0</v>
      </c>
      <c r="T261" s="32">
        <f t="shared" ref="T261:X276" si="45">IF($M261=T$1,$H261,0)</f>
        <v>0</v>
      </c>
      <c r="U261" s="32">
        <f t="shared" si="45"/>
        <v>0</v>
      </c>
      <c r="V261" s="32">
        <f t="shared" si="45"/>
        <v>0</v>
      </c>
      <c r="W261" s="32">
        <f t="shared" si="45"/>
        <v>0</v>
      </c>
      <c r="X261" s="32">
        <f t="shared" si="45"/>
        <v>0</v>
      </c>
    </row>
    <row r="262" spans="1:24" ht="16.5" customHeight="1" x14ac:dyDescent="0.25">
      <c r="A262" s="39" t="str">
        <f>'Long Sample Name'!A259</f>
        <v/>
      </c>
      <c r="B262" s="25" t="str">
        <f ca="1">'Input Sheet'!L261</f>
        <v/>
      </c>
      <c r="C262" s="26" t="str">
        <f ca="1">'Input Sheet'!M261</f>
        <v/>
      </c>
      <c r="D262" s="40">
        <f>'Input Sheet'!B261</f>
        <v>0</v>
      </c>
      <c r="E262" s="37">
        <f>'Input Sheet'!I261</f>
        <v>0</v>
      </c>
      <c r="F262" s="29">
        <f>('Input Sheet'!C261)/100</f>
        <v>0</v>
      </c>
      <c r="G262" s="29">
        <f>('Input Sheet'!F261)/100</f>
        <v>0</v>
      </c>
      <c r="H262" s="27">
        <f t="shared" ref="H262:H325" si="46">IF(D262&lt;&gt;"",D262-D261,"")</f>
        <v>0</v>
      </c>
      <c r="I262" s="27">
        <f t="shared" si="40"/>
        <v>0</v>
      </c>
      <c r="J262" s="27">
        <f t="shared" si="41"/>
        <v>0</v>
      </c>
      <c r="K262" s="27">
        <f t="shared" si="42"/>
        <v>0</v>
      </c>
      <c r="L262" s="27">
        <f t="shared" si="43"/>
        <v>0</v>
      </c>
      <c r="M262" s="32" t="str">
        <f>'Input Sheet'!E261</f>
        <v/>
      </c>
      <c r="N262" s="32">
        <f t="shared" si="44"/>
        <v>0</v>
      </c>
      <c r="T262" s="32">
        <f t="shared" si="45"/>
        <v>0</v>
      </c>
      <c r="U262" s="32">
        <f t="shared" si="45"/>
        <v>0</v>
      </c>
      <c r="V262" s="32">
        <f t="shared" si="45"/>
        <v>0</v>
      </c>
      <c r="W262" s="32">
        <f t="shared" si="45"/>
        <v>0</v>
      </c>
      <c r="X262" s="32">
        <f t="shared" si="45"/>
        <v>0</v>
      </c>
    </row>
    <row r="263" spans="1:24" ht="16.5" customHeight="1" x14ac:dyDescent="0.25">
      <c r="A263" s="39" t="str">
        <f>'Long Sample Name'!A260</f>
        <v/>
      </c>
      <c r="B263" s="25" t="str">
        <f ca="1">'Input Sheet'!L262</f>
        <v/>
      </c>
      <c r="C263" s="26" t="str">
        <f ca="1">'Input Sheet'!M262</f>
        <v/>
      </c>
      <c r="D263" s="40">
        <f>'Input Sheet'!B262</f>
        <v>0</v>
      </c>
      <c r="E263" s="37">
        <f>'Input Sheet'!I262</f>
        <v>0</v>
      </c>
      <c r="F263" s="29">
        <f>('Input Sheet'!C262)/100</f>
        <v>0</v>
      </c>
      <c r="G263" s="29">
        <f>('Input Sheet'!F262)/100</f>
        <v>0</v>
      </c>
      <c r="H263" s="27">
        <f t="shared" si="46"/>
        <v>0</v>
      </c>
      <c r="I263" s="27">
        <f t="shared" si="40"/>
        <v>0</v>
      </c>
      <c r="J263" s="27">
        <f t="shared" si="41"/>
        <v>0</v>
      </c>
      <c r="K263" s="27">
        <f t="shared" si="42"/>
        <v>0</v>
      </c>
      <c r="L263" s="27">
        <f t="shared" si="43"/>
        <v>0</v>
      </c>
      <c r="M263" s="32" t="str">
        <f>'Input Sheet'!E262</f>
        <v/>
      </c>
      <c r="N263" s="32">
        <f t="shared" si="44"/>
        <v>0</v>
      </c>
      <c r="T263" s="32">
        <f t="shared" si="45"/>
        <v>0</v>
      </c>
      <c r="U263" s="32">
        <f t="shared" si="45"/>
        <v>0</v>
      </c>
      <c r="V263" s="32">
        <f t="shared" si="45"/>
        <v>0</v>
      </c>
      <c r="W263" s="32">
        <f t="shared" si="45"/>
        <v>0</v>
      </c>
      <c r="X263" s="32">
        <f t="shared" si="45"/>
        <v>0</v>
      </c>
    </row>
    <row r="264" spans="1:24" ht="16.5" customHeight="1" x14ac:dyDescent="0.25">
      <c r="A264" s="39" t="str">
        <f>'Long Sample Name'!A261</f>
        <v/>
      </c>
      <c r="B264" s="25" t="str">
        <f ca="1">'Input Sheet'!L263</f>
        <v/>
      </c>
      <c r="C264" s="26" t="str">
        <f ca="1">'Input Sheet'!M263</f>
        <v/>
      </c>
      <c r="D264" s="40">
        <f>'Input Sheet'!B263</f>
        <v>0</v>
      </c>
      <c r="E264" s="37">
        <f>'Input Sheet'!I263</f>
        <v>0</v>
      </c>
      <c r="F264" s="29">
        <f>('Input Sheet'!C263)/100</f>
        <v>0</v>
      </c>
      <c r="G264" s="29">
        <f>('Input Sheet'!F263)/100</f>
        <v>0</v>
      </c>
      <c r="H264" s="27">
        <f t="shared" si="46"/>
        <v>0</v>
      </c>
      <c r="I264" s="27">
        <f t="shared" si="40"/>
        <v>0</v>
      </c>
      <c r="J264" s="27">
        <f t="shared" si="41"/>
        <v>0</v>
      </c>
      <c r="K264" s="27">
        <f t="shared" si="42"/>
        <v>0</v>
      </c>
      <c r="L264" s="27">
        <f t="shared" si="43"/>
        <v>0</v>
      </c>
      <c r="M264" s="32" t="str">
        <f>'Input Sheet'!E263</f>
        <v/>
      </c>
      <c r="N264" s="32">
        <f t="shared" si="44"/>
        <v>0</v>
      </c>
      <c r="T264" s="32">
        <f t="shared" si="45"/>
        <v>0</v>
      </c>
      <c r="U264" s="32">
        <f t="shared" si="45"/>
        <v>0</v>
      </c>
      <c r="V264" s="32">
        <f t="shared" si="45"/>
        <v>0</v>
      </c>
      <c r="W264" s="32">
        <f t="shared" si="45"/>
        <v>0</v>
      </c>
      <c r="X264" s="32">
        <f t="shared" si="45"/>
        <v>0</v>
      </c>
    </row>
    <row r="265" spans="1:24" ht="16.5" customHeight="1" x14ac:dyDescent="0.25">
      <c r="A265" s="39" t="str">
        <f>'Long Sample Name'!A262</f>
        <v/>
      </c>
      <c r="B265" s="25" t="str">
        <f ca="1">'Input Sheet'!L264</f>
        <v/>
      </c>
      <c r="C265" s="26" t="str">
        <f ca="1">'Input Sheet'!M264</f>
        <v/>
      </c>
      <c r="D265" s="40">
        <f>'Input Sheet'!B264</f>
        <v>0</v>
      </c>
      <c r="E265" s="37">
        <f>'Input Sheet'!I264</f>
        <v>0</v>
      </c>
      <c r="F265" s="29">
        <f>('Input Sheet'!C264)/100</f>
        <v>0</v>
      </c>
      <c r="G265" s="29">
        <f>('Input Sheet'!F264)/100</f>
        <v>0</v>
      </c>
      <c r="H265" s="27">
        <f t="shared" si="46"/>
        <v>0</v>
      </c>
      <c r="I265" s="27">
        <f t="shared" si="40"/>
        <v>0</v>
      </c>
      <c r="J265" s="27">
        <f t="shared" si="41"/>
        <v>0</v>
      </c>
      <c r="K265" s="27">
        <f t="shared" si="42"/>
        <v>0</v>
      </c>
      <c r="L265" s="27">
        <f t="shared" si="43"/>
        <v>0</v>
      </c>
      <c r="M265" s="32" t="str">
        <f>'Input Sheet'!E264</f>
        <v/>
      </c>
      <c r="N265" s="32">
        <f t="shared" si="44"/>
        <v>0</v>
      </c>
      <c r="T265" s="32">
        <f t="shared" si="45"/>
        <v>0</v>
      </c>
      <c r="U265" s="32">
        <f t="shared" si="45"/>
        <v>0</v>
      </c>
      <c r="V265" s="32">
        <f t="shared" si="45"/>
        <v>0</v>
      </c>
      <c r="W265" s="32">
        <f t="shared" si="45"/>
        <v>0</v>
      </c>
      <c r="X265" s="32">
        <f t="shared" si="45"/>
        <v>0</v>
      </c>
    </row>
    <row r="266" spans="1:24" ht="16.5" customHeight="1" x14ac:dyDescent="0.25">
      <c r="A266" s="39" t="str">
        <f>'Long Sample Name'!A263</f>
        <v/>
      </c>
      <c r="B266" s="25" t="str">
        <f ca="1">'Input Sheet'!L265</f>
        <v/>
      </c>
      <c r="C266" s="26" t="str">
        <f ca="1">'Input Sheet'!M265</f>
        <v/>
      </c>
      <c r="D266" s="40">
        <f>'Input Sheet'!B265</f>
        <v>0</v>
      </c>
      <c r="E266" s="37">
        <f>'Input Sheet'!I265</f>
        <v>0</v>
      </c>
      <c r="F266" s="29">
        <f>('Input Sheet'!C265)/100</f>
        <v>0</v>
      </c>
      <c r="G266" s="29">
        <f>('Input Sheet'!F265)/100</f>
        <v>0</v>
      </c>
      <c r="H266" s="27">
        <f t="shared" si="46"/>
        <v>0</v>
      </c>
      <c r="I266" s="27">
        <f t="shared" si="40"/>
        <v>0</v>
      </c>
      <c r="J266" s="27">
        <f t="shared" si="41"/>
        <v>0</v>
      </c>
      <c r="K266" s="27">
        <f t="shared" si="42"/>
        <v>0</v>
      </c>
      <c r="L266" s="27">
        <f t="shared" si="43"/>
        <v>0</v>
      </c>
      <c r="M266" s="32" t="str">
        <f>'Input Sheet'!E265</f>
        <v/>
      </c>
      <c r="N266" s="32">
        <f t="shared" si="44"/>
        <v>0</v>
      </c>
      <c r="T266" s="32">
        <f t="shared" si="45"/>
        <v>0</v>
      </c>
      <c r="U266" s="32">
        <f t="shared" si="45"/>
        <v>0</v>
      </c>
      <c r="V266" s="32">
        <f t="shared" si="45"/>
        <v>0</v>
      </c>
      <c r="W266" s="32">
        <f t="shared" si="45"/>
        <v>0</v>
      </c>
      <c r="X266" s="32">
        <f t="shared" si="45"/>
        <v>0</v>
      </c>
    </row>
    <row r="267" spans="1:24" ht="16.5" customHeight="1" x14ac:dyDescent="0.25">
      <c r="A267" s="39" t="str">
        <f>'Long Sample Name'!A264</f>
        <v/>
      </c>
      <c r="B267" s="25" t="str">
        <f ca="1">'Input Sheet'!L266</f>
        <v/>
      </c>
      <c r="C267" s="26" t="str">
        <f ca="1">'Input Sheet'!M266</f>
        <v/>
      </c>
      <c r="D267" s="40">
        <f>'Input Sheet'!B266</f>
        <v>0</v>
      </c>
      <c r="E267" s="37">
        <f>'Input Sheet'!I266</f>
        <v>0</v>
      </c>
      <c r="F267" s="29">
        <f>('Input Sheet'!C266)/100</f>
        <v>0</v>
      </c>
      <c r="G267" s="29">
        <f>('Input Sheet'!F266)/100</f>
        <v>0</v>
      </c>
      <c r="H267" s="27">
        <f t="shared" si="46"/>
        <v>0</v>
      </c>
      <c r="I267" s="27">
        <f t="shared" si="40"/>
        <v>0</v>
      </c>
      <c r="J267" s="27">
        <f t="shared" si="41"/>
        <v>0</v>
      </c>
      <c r="K267" s="27">
        <f t="shared" si="42"/>
        <v>0</v>
      </c>
      <c r="L267" s="27">
        <f t="shared" si="43"/>
        <v>0</v>
      </c>
      <c r="M267" s="32" t="str">
        <f>'Input Sheet'!E266</f>
        <v/>
      </c>
      <c r="N267" s="32">
        <f t="shared" si="44"/>
        <v>0</v>
      </c>
      <c r="T267" s="32">
        <f t="shared" si="45"/>
        <v>0</v>
      </c>
      <c r="U267" s="32">
        <f t="shared" si="45"/>
        <v>0</v>
      </c>
      <c r="V267" s="32">
        <f t="shared" si="45"/>
        <v>0</v>
      </c>
      <c r="W267" s="32">
        <f t="shared" si="45"/>
        <v>0</v>
      </c>
      <c r="X267" s="32">
        <f t="shared" si="45"/>
        <v>0</v>
      </c>
    </row>
    <row r="268" spans="1:24" ht="16.5" customHeight="1" x14ac:dyDescent="0.25">
      <c r="A268" s="39" t="str">
        <f>'Long Sample Name'!A265</f>
        <v/>
      </c>
      <c r="B268" s="25" t="str">
        <f ca="1">'Input Sheet'!L267</f>
        <v/>
      </c>
      <c r="C268" s="26" t="str">
        <f ca="1">'Input Sheet'!M267</f>
        <v/>
      </c>
      <c r="D268" s="40">
        <f>'Input Sheet'!B267</f>
        <v>0</v>
      </c>
      <c r="E268" s="37">
        <f>'Input Sheet'!I267</f>
        <v>0</v>
      </c>
      <c r="F268" s="29">
        <f>('Input Sheet'!C267)/100</f>
        <v>0</v>
      </c>
      <c r="G268" s="29">
        <f>('Input Sheet'!F267)/100</f>
        <v>0</v>
      </c>
      <c r="H268" s="27">
        <f t="shared" si="46"/>
        <v>0</v>
      </c>
      <c r="I268" s="27">
        <f t="shared" si="40"/>
        <v>0</v>
      </c>
      <c r="J268" s="27">
        <f t="shared" si="41"/>
        <v>0</v>
      </c>
      <c r="K268" s="27">
        <f t="shared" si="42"/>
        <v>0</v>
      </c>
      <c r="L268" s="27">
        <f t="shared" si="43"/>
        <v>0</v>
      </c>
      <c r="M268" s="32" t="str">
        <f>'Input Sheet'!E267</f>
        <v/>
      </c>
      <c r="N268" s="32">
        <f t="shared" si="44"/>
        <v>0</v>
      </c>
      <c r="T268" s="32">
        <f t="shared" si="45"/>
        <v>0</v>
      </c>
      <c r="U268" s="32">
        <f t="shared" si="45"/>
        <v>0</v>
      </c>
      <c r="V268" s="32">
        <f t="shared" si="45"/>
        <v>0</v>
      </c>
      <c r="W268" s="32">
        <f t="shared" si="45"/>
        <v>0</v>
      </c>
      <c r="X268" s="32">
        <f t="shared" si="45"/>
        <v>0</v>
      </c>
    </row>
    <row r="269" spans="1:24" ht="16.5" customHeight="1" x14ac:dyDescent="0.25">
      <c r="A269" s="39" t="str">
        <f>'Long Sample Name'!A266</f>
        <v/>
      </c>
      <c r="B269" s="25" t="str">
        <f ca="1">'Input Sheet'!L268</f>
        <v/>
      </c>
      <c r="C269" s="26" t="str">
        <f ca="1">'Input Sheet'!M268</f>
        <v/>
      </c>
      <c r="D269" s="40">
        <f>'Input Sheet'!B268</f>
        <v>0</v>
      </c>
      <c r="E269" s="37">
        <f>'Input Sheet'!I268</f>
        <v>0</v>
      </c>
      <c r="F269" s="29">
        <f>('Input Sheet'!C268)/100</f>
        <v>0</v>
      </c>
      <c r="G269" s="29">
        <f>('Input Sheet'!F268)/100</f>
        <v>0</v>
      </c>
      <c r="H269" s="27">
        <f t="shared" si="46"/>
        <v>0</v>
      </c>
      <c r="I269" s="27">
        <f t="shared" si="40"/>
        <v>0</v>
      </c>
      <c r="J269" s="27">
        <f t="shared" si="41"/>
        <v>0</v>
      </c>
      <c r="K269" s="27">
        <f t="shared" si="42"/>
        <v>0</v>
      </c>
      <c r="L269" s="27">
        <f t="shared" si="43"/>
        <v>0</v>
      </c>
      <c r="M269" s="32" t="str">
        <f>'Input Sheet'!E268</f>
        <v/>
      </c>
      <c r="N269" s="32">
        <f t="shared" si="44"/>
        <v>0</v>
      </c>
      <c r="T269" s="32">
        <f t="shared" si="45"/>
        <v>0</v>
      </c>
      <c r="U269" s="32">
        <f t="shared" si="45"/>
        <v>0</v>
      </c>
      <c r="V269" s="32">
        <f t="shared" si="45"/>
        <v>0</v>
      </c>
      <c r="W269" s="32">
        <f t="shared" si="45"/>
        <v>0</v>
      </c>
      <c r="X269" s="32">
        <f t="shared" si="45"/>
        <v>0</v>
      </c>
    </row>
    <row r="270" spans="1:24" ht="16.5" customHeight="1" x14ac:dyDescent="0.25">
      <c r="A270" s="39" t="str">
        <f>'Long Sample Name'!A267</f>
        <v/>
      </c>
      <c r="B270" s="25" t="str">
        <f ca="1">'Input Sheet'!L269</f>
        <v/>
      </c>
      <c r="C270" s="26" t="str">
        <f ca="1">'Input Sheet'!M269</f>
        <v/>
      </c>
      <c r="D270" s="40">
        <f>'Input Sheet'!B269</f>
        <v>0</v>
      </c>
      <c r="E270" s="37">
        <f>'Input Sheet'!I269</f>
        <v>0</v>
      </c>
      <c r="F270" s="29">
        <f>('Input Sheet'!C269)/100</f>
        <v>0</v>
      </c>
      <c r="G270" s="29">
        <f>('Input Sheet'!F269)/100</f>
        <v>0</v>
      </c>
      <c r="H270" s="27">
        <f t="shared" si="46"/>
        <v>0</v>
      </c>
      <c r="I270" s="27">
        <f t="shared" si="40"/>
        <v>0</v>
      </c>
      <c r="J270" s="27">
        <f t="shared" si="41"/>
        <v>0</v>
      </c>
      <c r="K270" s="27">
        <f t="shared" si="42"/>
        <v>0</v>
      </c>
      <c r="L270" s="27">
        <f t="shared" si="43"/>
        <v>0</v>
      </c>
      <c r="M270" s="32" t="str">
        <f>'Input Sheet'!E269</f>
        <v/>
      </c>
      <c r="N270" s="32">
        <f t="shared" si="44"/>
        <v>0</v>
      </c>
      <c r="T270" s="32">
        <f t="shared" si="45"/>
        <v>0</v>
      </c>
      <c r="U270" s="32">
        <f t="shared" si="45"/>
        <v>0</v>
      </c>
      <c r="V270" s="32">
        <f t="shared" si="45"/>
        <v>0</v>
      </c>
      <c r="W270" s="32">
        <f t="shared" si="45"/>
        <v>0</v>
      </c>
      <c r="X270" s="32">
        <f t="shared" si="45"/>
        <v>0</v>
      </c>
    </row>
    <row r="271" spans="1:24" ht="16.5" customHeight="1" x14ac:dyDescent="0.25">
      <c r="A271" s="39" t="str">
        <f>'Long Sample Name'!A268</f>
        <v/>
      </c>
      <c r="B271" s="25" t="str">
        <f ca="1">'Input Sheet'!L270</f>
        <v/>
      </c>
      <c r="C271" s="26" t="str">
        <f ca="1">'Input Sheet'!M270</f>
        <v/>
      </c>
      <c r="D271" s="40">
        <f>'Input Sheet'!B270</f>
        <v>0</v>
      </c>
      <c r="E271" s="37">
        <f>'Input Sheet'!I270</f>
        <v>0</v>
      </c>
      <c r="F271" s="29">
        <f>('Input Sheet'!C270)/100</f>
        <v>0</v>
      </c>
      <c r="G271" s="29">
        <f>('Input Sheet'!F270)/100</f>
        <v>0</v>
      </c>
      <c r="H271" s="27">
        <f t="shared" si="46"/>
        <v>0</v>
      </c>
      <c r="I271" s="27">
        <f t="shared" si="40"/>
        <v>0</v>
      </c>
      <c r="J271" s="27">
        <f t="shared" si="41"/>
        <v>0</v>
      </c>
      <c r="K271" s="27">
        <f t="shared" si="42"/>
        <v>0</v>
      </c>
      <c r="L271" s="27">
        <f t="shared" si="43"/>
        <v>0</v>
      </c>
      <c r="M271" s="32" t="str">
        <f>'Input Sheet'!E270</f>
        <v/>
      </c>
      <c r="N271" s="32">
        <f t="shared" si="44"/>
        <v>0</v>
      </c>
      <c r="T271" s="32">
        <f t="shared" si="45"/>
        <v>0</v>
      </c>
      <c r="U271" s="32">
        <f t="shared" si="45"/>
        <v>0</v>
      </c>
      <c r="V271" s="32">
        <f t="shared" si="45"/>
        <v>0</v>
      </c>
      <c r="W271" s="32">
        <f t="shared" si="45"/>
        <v>0</v>
      </c>
      <c r="X271" s="32">
        <f t="shared" si="45"/>
        <v>0</v>
      </c>
    </row>
    <row r="272" spans="1:24" ht="16.5" customHeight="1" x14ac:dyDescent="0.25">
      <c r="A272" s="39" t="str">
        <f>'Long Sample Name'!A269</f>
        <v/>
      </c>
      <c r="B272" s="25" t="str">
        <f ca="1">'Input Sheet'!L271</f>
        <v/>
      </c>
      <c r="C272" s="26" t="str">
        <f ca="1">'Input Sheet'!M271</f>
        <v/>
      </c>
      <c r="D272" s="40">
        <f>'Input Sheet'!B271</f>
        <v>0</v>
      </c>
      <c r="E272" s="37">
        <f>'Input Sheet'!I271</f>
        <v>0</v>
      </c>
      <c r="F272" s="29">
        <f>('Input Sheet'!C271)/100</f>
        <v>0</v>
      </c>
      <c r="G272" s="29">
        <f>('Input Sheet'!F271)/100</f>
        <v>0</v>
      </c>
      <c r="H272" s="27">
        <f t="shared" si="46"/>
        <v>0</v>
      </c>
      <c r="I272" s="27">
        <f t="shared" si="40"/>
        <v>0</v>
      </c>
      <c r="J272" s="27">
        <f t="shared" si="41"/>
        <v>0</v>
      </c>
      <c r="K272" s="27">
        <f t="shared" si="42"/>
        <v>0</v>
      </c>
      <c r="L272" s="27">
        <f t="shared" si="43"/>
        <v>0</v>
      </c>
      <c r="M272" s="32" t="str">
        <f>'Input Sheet'!E271</f>
        <v/>
      </c>
      <c r="N272" s="32">
        <f t="shared" si="44"/>
        <v>0</v>
      </c>
      <c r="T272" s="32">
        <f t="shared" si="45"/>
        <v>0</v>
      </c>
      <c r="U272" s="32">
        <f t="shared" si="45"/>
        <v>0</v>
      </c>
      <c r="V272" s="32">
        <f t="shared" si="45"/>
        <v>0</v>
      </c>
      <c r="W272" s="32">
        <f t="shared" si="45"/>
        <v>0</v>
      </c>
      <c r="X272" s="32">
        <f t="shared" si="45"/>
        <v>0</v>
      </c>
    </row>
    <row r="273" spans="1:24" ht="16.5" customHeight="1" x14ac:dyDescent="0.25">
      <c r="A273" s="39" t="str">
        <f>'Long Sample Name'!A270</f>
        <v/>
      </c>
      <c r="B273" s="25" t="str">
        <f ca="1">'Input Sheet'!L272</f>
        <v/>
      </c>
      <c r="C273" s="26" t="str">
        <f ca="1">'Input Sheet'!M272</f>
        <v/>
      </c>
      <c r="D273" s="40">
        <f>'Input Sheet'!B272</f>
        <v>0</v>
      </c>
      <c r="E273" s="37">
        <f>'Input Sheet'!I272</f>
        <v>0</v>
      </c>
      <c r="F273" s="29">
        <f>('Input Sheet'!C272)/100</f>
        <v>0</v>
      </c>
      <c r="G273" s="29">
        <f>('Input Sheet'!F272)/100</f>
        <v>0</v>
      </c>
      <c r="H273" s="27">
        <f t="shared" si="46"/>
        <v>0</v>
      </c>
      <c r="I273" s="27">
        <f t="shared" si="40"/>
        <v>0</v>
      </c>
      <c r="J273" s="27">
        <f t="shared" si="41"/>
        <v>0</v>
      </c>
      <c r="K273" s="27">
        <f t="shared" si="42"/>
        <v>0</v>
      </c>
      <c r="L273" s="27">
        <f t="shared" si="43"/>
        <v>0</v>
      </c>
      <c r="M273" s="32" t="str">
        <f>'Input Sheet'!E272</f>
        <v/>
      </c>
      <c r="N273" s="32">
        <f t="shared" si="44"/>
        <v>0</v>
      </c>
      <c r="T273" s="32">
        <f t="shared" si="45"/>
        <v>0</v>
      </c>
      <c r="U273" s="32">
        <f t="shared" si="45"/>
        <v>0</v>
      </c>
      <c r="V273" s="32">
        <f t="shared" si="45"/>
        <v>0</v>
      </c>
      <c r="W273" s="32">
        <f t="shared" si="45"/>
        <v>0</v>
      </c>
      <c r="X273" s="32">
        <f t="shared" si="45"/>
        <v>0</v>
      </c>
    </row>
    <row r="274" spans="1:24" ht="16.5" customHeight="1" x14ac:dyDescent="0.25">
      <c r="A274" s="39" t="str">
        <f>'Long Sample Name'!A271</f>
        <v/>
      </c>
      <c r="B274" s="25" t="str">
        <f ca="1">'Input Sheet'!L273</f>
        <v/>
      </c>
      <c r="C274" s="26" t="str">
        <f ca="1">'Input Sheet'!M273</f>
        <v/>
      </c>
      <c r="D274" s="40">
        <f>'Input Sheet'!B273</f>
        <v>0</v>
      </c>
      <c r="E274" s="37">
        <f>'Input Sheet'!I273</f>
        <v>0</v>
      </c>
      <c r="F274" s="29">
        <f>('Input Sheet'!C273)/100</f>
        <v>0</v>
      </c>
      <c r="G274" s="29">
        <f>('Input Sheet'!F273)/100</f>
        <v>0</v>
      </c>
      <c r="H274" s="27">
        <f t="shared" si="46"/>
        <v>0</v>
      </c>
      <c r="I274" s="27">
        <f t="shared" si="40"/>
        <v>0</v>
      </c>
      <c r="J274" s="27">
        <f t="shared" si="41"/>
        <v>0</v>
      </c>
      <c r="K274" s="27">
        <f t="shared" si="42"/>
        <v>0</v>
      </c>
      <c r="L274" s="27">
        <f t="shared" si="43"/>
        <v>0</v>
      </c>
      <c r="M274" s="32" t="str">
        <f>'Input Sheet'!E273</f>
        <v/>
      </c>
      <c r="N274" s="32">
        <f t="shared" si="44"/>
        <v>0</v>
      </c>
      <c r="T274" s="32">
        <f t="shared" si="45"/>
        <v>0</v>
      </c>
      <c r="U274" s="32">
        <f t="shared" si="45"/>
        <v>0</v>
      </c>
      <c r="V274" s="32">
        <f t="shared" si="45"/>
        <v>0</v>
      </c>
      <c r="W274" s="32">
        <f t="shared" si="45"/>
        <v>0</v>
      </c>
      <c r="X274" s="32">
        <f t="shared" si="45"/>
        <v>0</v>
      </c>
    </row>
    <row r="275" spans="1:24" ht="16.5" customHeight="1" x14ac:dyDescent="0.25">
      <c r="A275" s="39" t="str">
        <f>'Long Sample Name'!A272</f>
        <v/>
      </c>
      <c r="B275" s="25" t="str">
        <f ca="1">'Input Sheet'!L274</f>
        <v/>
      </c>
      <c r="C275" s="26" t="str">
        <f ca="1">'Input Sheet'!M274</f>
        <v/>
      </c>
      <c r="D275" s="40">
        <f>'Input Sheet'!B274</f>
        <v>0</v>
      </c>
      <c r="E275" s="37">
        <f>'Input Sheet'!I274</f>
        <v>0</v>
      </c>
      <c r="F275" s="29">
        <f>('Input Sheet'!C274)/100</f>
        <v>0</v>
      </c>
      <c r="G275" s="29">
        <f>('Input Sheet'!F274)/100</f>
        <v>0</v>
      </c>
      <c r="H275" s="27">
        <f t="shared" si="46"/>
        <v>0</v>
      </c>
      <c r="I275" s="27">
        <f t="shared" si="40"/>
        <v>0</v>
      </c>
      <c r="J275" s="27">
        <f t="shared" si="41"/>
        <v>0</v>
      </c>
      <c r="K275" s="27">
        <f t="shared" si="42"/>
        <v>0</v>
      </c>
      <c r="L275" s="27">
        <f t="shared" si="43"/>
        <v>0</v>
      </c>
      <c r="M275" s="32" t="str">
        <f>'Input Sheet'!E274</f>
        <v/>
      </c>
      <c r="N275" s="32">
        <f t="shared" si="44"/>
        <v>0</v>
      </c>
      <c r="T275" s="32">
        <f t="shared" si="45"/>
        <v>0</v>
      </c>
      <c r="U275" s="32">
        <f t="shared" si="45"/>
        <v>0</v>
      </c>
      <c r="V275" s="32">
        <f t="shared" si="45"/>
        <v>0</v>
      </c>
      <c r="W275" s="32">
        <f t="shared" si="45"/>
        <v>0</v>
      </c>
      <c r="X275" s="32">
        <f t="shared" si="45"/>
        <v>0</v>
      </c>
    </row>
    <row r="276" spans="1:24" ht="16.5" customHeight="1" x14ac:dyDescent="0.25">
      <c r="A276" s="39" t="str">
        <f>'Long Sample Name'!A273</f>
        <v/>
      </c>
      <c r="B276" s="25" t="str">
        <f ca="1">'Input Sheet'!L275</f>
        <v/>
      </c>
      <c r="C276" s="26" t="str">
        <f ca="1">'Input Sheet'!M275</f>
        <v/>
      </c>
      <c r="D276" s="40">
        <f>'Input Sheet'!B275</f>
        <v>0</v>
      </c>
      <c r="E276" s="37">
        <f>'Input Sheet'!I275</f>
        <v>0</v>
      </c>
      <c r="F276" s="29">
        <f>('Input Sheet'!C275)/100</f>
        <v>0</v>
      </c>
      <c r="G276" s="29">
        <f>('Input Sheet'!F275)/100</f>
        <v>0</v>
      </c>
      <c r="H276" s="27">
        <f t="shared" si="46"/>
        <v>0</v>
      </c>
      <c r="I276" s="27">
        <f t="shared" si="40"/>
        <v>0</v>
      </c>
      <c r="J276" s="27">
        <f t="shared" si="41"/>
        <v>0</v>
      </c>
      <c r="K276" s="27">
        <f t="shared" si="42"/>
        <v>0</v>
      </c>
      <c r="L276" s="27">
        <f t="shared" si="43"/>
        <v>0</v>
      </c>
      <c r="M276" s="32" t="str">
        <f>'Input Sheet'!E275</f>
        <v/>
      </c>
      <c r="N276" s="32">
        <f t="shared" si="44"/>
        <v>0</v>
      </c>
      <c r="T276" s="32">
        <f t="shared" si="45"/>
        <v>0</v>
      </c>
      <c r="U276" s="32">
        <f t="shared" si="45"/>
        <v>0</v>
      </c>
      <c r="V276" s="32">
        <f t="shared" si="45"/>
        <v>0</v>
      </c>
      <c r="W276" s="32">
        <f t="shared" si="45"/>
        <v>0</v>
      </c>
      <c r="X276" s="32">
        <f t="shared" si="45"/>
        <v>0</v>
      </c>
    </row>
    <row r="277" spans="1:24" ht="16.5" customHeight="1" x14ac:dyDescent="0.25">
      <c r="A277" s="39" t="str">
        <f>'Long Sample Name'!A274</f>
        <v/>
      </c>
      <c r="B277" s="25" t="str">
        <f ca="1">'Input Sheet'!L276</f>
        <v/>
      </c>
      <c r="C277" s="26" t="str">
        <f ca="1">'Input Sheet'!M276</f>
        <v/>
      </c>
      <c r="D277" s="40">
        <f>'Input Sheet'!B276</f>
        <v>0</v>
      </c>
      <c r="E277" s="37">
        <f>'Input Sheet'!I276</f>
        <v>0</v>
      </c>
      <c r="F277" s="29">
        <f>('Input Sheet'!C276)/100</f>
        <v>0</v>
      </c>
      <c r="G277" s="29">
        <f>('Input Sheet'!F276)/100</f>
        <v>0</v>
      </c>
      <c r="H277" s="27">
        <f t="shared" si="46"/>
        <v>0</v>
      </c>
      <c r="I277" s="27">
        <f t="shared" si="40"/>
        <v>0</v>
      </c>
      <c r="J277" s="27">
        <f t="shared" si="41"/>
        <v>0</v>
      </c>
      <c r="K277" s="27">
        <f t="shared" si="42"/>
        <v>0</v>
      </c>
      <c r="L277" s="27">
        <f t="shared" si="43"/>
        <v>0</v>
      </c>
      <c r="M277" s="32" t="str">
        <f>'Input Sheet'!E276</f>
        <v/>
      </c>
      <c r="N277" s="32">
        <f t="shared" si="44"/>
        <v>0</v>
      </c>
      <c r="T277" s="32">
        <f t="shared" ref="T277:X292" si="47">IF($M277=T$1,$H277,0)</f>
        <v>0</v>
      </c>
      <c r="U277" s="32">
        <f t="shared" si="47"/>
        <v>0</v>
      </c>
      <c r="V277" s="32">
        <f t="shared" si="47"/>
        <v>0</v>
      </c>
      <c r="W277" s="32">
        <f t="shared" si="47"/>
        <v>0</v>
      </c>
      <c r="X277" s="32">
        <f t="shared" si="47"/>
        <v>0</v>
      </c>
    </row>
    <row r="278" spans="1:24" ht="16.5" customHeight="1" x14ac:dyDescent="0.25">
      <c r="A278" s="39" t="str">
        <f>'Long Sample Name'!A275</f>
        <v/>
      </c>
      <c r="B278" s="25" t="str">
        <f ca="1">'Input Sheet'!L277</f>
        <v/>
      </c>
      <c r="C278" s="26" t="str">
        <f ca="1">'Input Sheet'!M277</f>
        <v/>
      </c>
      <c r="D278" s="40">
        <f>'Input Sheet'!B277</f>
        <v>0</v>
      </c>
      <c r="E278" s="37">
        <f>'Input Sheet'!I277</f>
        <v>0</v>
      </c>
      <c r="F278" s="29">
        <f>('Input Sheet'!C277)/100</f>
        <v>0</v>
      </c>
      <c r="G278" s="29">
        <f>('Input Sheet'!F277)/100</f>
        <v>0</v>
      </c>
      <c r="H278" s="27">
        <f t="shared" si="46"/>
        <v>0</v>
      </c>
      <c r="I278" s="27">
        <f t="shared" si="40"/>
        <v>0</v>
      </c>
      <c r="J278" s="27">
        <f t="shared" si="41"/>
        <v>0</v>
      </c>
      <c r="K278" s="27">
        <f t="shared" si="42"/>
        <v>0</v>
      </c>
      <c r="L278" s="27">
        <f t="shared" si="43"/>
        <v>0</v>
      </c>
      <c r="M278" s="32" t="str">
        <f>'Input Sheet'!E277</f>
        <v/>
      </c>
      <c r="N278" s="32">
        <f t="shared" si="44"/>
        <v>0</v>
      </c>
      <c r="T278" s="32">
        <f t="shared" si="47"/>
        <v>0</v>
      </c>
      <c r="U278" s="32">
        <f t="shared" si="47"/>
        <v>0</v>
      </c>
      <c r="V278" s="32">
        <f t="shared" si="47"/>
        <v>0</v>
      </c>
      <c r="W278" s="32">
        <f t="shared" si="47"/>
        <v>0</v>
      </c>
      <c r="X278" s="32">
        <f t="shared" si="47"/>
        <v>0</v>
      </c>
    </row>
    <row r="279" spans="1:24" ht="16.5" customHeight="1" x14ac:dyDescent="0.25">
      <c r="A279" s="39" t="str">
        <f>'Long Sample Name'!A276</f>
        <v/>
      </c>
      <c r="B279" s="25" t="str">
        <f ca="1">'Input Sheet'!L278</f>
        <v/>
      </c>
      <c r="C279" s="26" t="str">
        <f ca="1">'Input Sheet'!M278</f>
        <v/>
      </c>
      <c r="D279" s="40">
        <f>'Input Sheet'!B278</f>
        <v>0</v>
      </c>
      <c r="E279" s="37">
        <f>'Input Sheet'!I278</f>
        <v>0</v>
      </c>
      <c r="F279" s="29">
        <f>('Input Sheet'!C278)/100</f>
        <v>0</v>
      </c>
      <c r="G279" s="29">
        <f>('Input Sheet'!F278)/100</f>
        <v>0</v>
      </c>
      <c r="H279" s="27">
        <f t="shared" si="46"/>
        <v>0</v>
      </c>
      <c r="I279" s="27">
        <f t="shared" si="40"/>
        <v>0</v>
      </c>
      <c r="J279" s="27">
        <f t="shared" si="41"/>
        <v>0</v>
      </c>
      <c r="K279" s="27">
        <f t="shared" si="42"/>
        <v>0</v>
      </c>
      <c r="L279" s="27">
        <f t="shared" si="43"/>
        <v>0</v>
      </c>
      <c r="M279" s="32" t="str">
        <f>'Input Sheet'!E278</f>
        <v/>
      </c>
      <c r="N279" s="32">
        <f t="shared" si="44"/>
        <v>0</v>
      </c>
      <c r="T279" s="32">
        <f t="shared" si="47"/>
        <v>0</v>
      </c>
      <c r="U279" s="32">
        <f t="shared" si="47"/>
        <v>0</v>
      </c>
      <c r="V279" s="32">
        <f t="shared" si="47"/>
        <v>0</v>
      </c>
      <c r="W279" s="32">
        <f t="shared" si="47"/>
        <v>0</v>
      </c>
      <c r="X279" s="32">
        <f t="shared" si="47"/>
        <v>0</v>
      </c>
    </row>
    <row r="280" spans="1:24" ht="16.5" customHeight="1" x14ac:dyDescent="0.25">
      <c r="A280" s="39" t="str">
        <f>'Long Sample Name'!A277</f>
        <v/>
      </c>
      <c r="B280" s="25" t="str">
        <f ca="1">'Input Sheet'!L279</f>
        <v/>
      </c>
      <c r="C280" s="26" t="str">
        <f ca="1">'Input Sheet'!M279</f>
        <v/>
      </c>
      <c r="D280" s="40">
        <f>'Input Sheet'!B279</f>
        <v>0</v>
      </c>
      <c r="E280" s="37">
        <f>'Input Sheet'!I279</f>
        <v>0</v>
      </c>
      <c r="F280" s="29">
        <f>('Input Sheet'!C279)/100</f>
        <v>0</v>
      </c>
      <c r="G280" s="29">
        <f>('Input Sheet'!F279)/100</f>
        <v>0</v>
      </c>
      <c r="H280" s="27">
        <f t="shared" si="46"/>
        <v>0</v>
      </c>
      <c r="I280" s="27">
        <f t="shared" si="40"/>
        <v>0</v>
      </c>
      <c r="J280" s="27">
        <f t="shared" si="41"/>
        <v>0</v>
      </c>
      <c r="K280" s="27">
        <f t="shared" si="42"/>
        <v>0</v>
      </c>
      <c r="L280" s="27">
        <f t="shared" si="43"/>
        <v>0</v>
      </c>
      <c r="M280" s="32" t="str">
        <f>'Input Sheet'!E279</f>
        <v/>
      </c>
      <c r="N280" s="32">
        <f t="shared" si="44"/>
        <v>0</v>
      </c>
      <c r="T280" s="32">
        <f t="shared" si="47"/>
        <v>0</v>
      </c>
      <c r="U280" s="32">
        <f t="shared" si="47"/>
        <v>0</v>
      </c>
      <c r="V280" s="32">
        <f t="shared" si="47"/>
        <v>0</v>
      </c>
      <c r="W280" s="32">
        <f t="shared" si="47"/>
        <v>0</v>
      </c>
      <c r="X280" s="32">
        <f t="shared" si="47"/>
        <v>0</v>
      </c>
    </row>
    <row r="281" spans="1:24" ht="16.5" customHeight="1" x14ac:dyDescent="0.25">
      <c r="A281" s="39" t="str">
        <f>'Long Sample Name'!A278</f>
        <v/>
      </c>
      <c r="B281" s="25" t="str">
        <f ca="1">'Input Sheet'!L280</f>
        <v/>
      </c>
      <c r="C281" s="26" t="str">
        <f ca="1">'Input Sheet'!M280</f>
        <v/>
      </c>
      <c r="D281" s="40">
        <f>'Input Sheet'!B280</f>
        <v>0</v>
      </c>
      <c r="E281" s="37">
        <f>'Input Sheet'!I280</f>
        <v>0</v>
      </c>
      <c r="F281" s="29">
        <f>('Input Sheet'!C280)/100</f>
        <v>0</v>
      </c>
      <c r="G281" s="29">
        <f>('Input Sheet'!F280)/100</f>
        <v>0</v>
      </c>
      <c r="H281" s="27">
        <f t="shared" si="46"/>
        <v>0</v>
      </c>
      <c r="I281" s="27">
        <f t="shared" si="40"/>
        <v>0</v>
      </c>
      <c r="J281" s="27">
        <f t="shared" si="41"/>
        <v>0</v>
      </c>
      <c r="K281" s="27">
        <f t="shared" si="42"/>
        <v>0</v>
      </c>
      <c r="L281" s="27">
        <f t="shared" si="43"/>
        <v>0</v>
      </c>
      <c r="M281" s="32" t="str">
        <f>'Input Sheet'!E280</f>
        <v/>
      </c>
      <c r="N281" s="32">
        <f t="shared" si="44"/>
        <v>0</v>
      </c>
      <c r="T281" s="32">
        <f t="shared" si="47"/>
        <v>0</v>
      </c>
      <c r="U281" s="32">
        <f t="shared" si="47"/>
        <v>0</v>
      </c>
      <c r="V281" s="32">
        <f t="shared" si="47"/>
        <v>0</v>
      </c>
      <c r="W281" s="32">
        <f t="shared" si="47"/>
        <v>0</v>
      </c>
      <c r="X281" s="32">
        <f t="shared" si="47"/>
        <v>0</v>
      </c>
    </row>
    <row r="282" spans="1:24" ht="16.5" customHeight="1" x14ac:dyDescent="0.25">
      <c r="A282" s="39" t="str">
        <f>'Long Sample Name'!A279</f>
        <v/>
      </c>
      <c r="B282" s="25" t="str">
        <f ca="1">'Input Sheet'!L281</f>
        <v/>
      </c>
      <c r="C282" s="26" t="str">
        <f ca="1">'Input Sheet'!M281</f>
        <v/>
      </c>
      <c r="D282" s="40">
        <f>'Input Sheet'!B281</f>
        <v>0</v>
      </c>
      <c r="E282" s="37">
        <f>'Input Sheet'!I281</f>
        <v>0</v>
      </c>
      <c r="F282" s="29">
        <f>('Input Sheet'!C281)/100</f>
        <v>0</v>
      </c>
      <c r="G282" s="29">
        <f>('Input Sheet'!F281)/100</f>
        <v>0</v>
      </c>
      <c r="H282" s="27">
        <f t="shared" si="46"/>
        <v>0</v>
      </c>
      <c r="I282" s="27">
        <f t="shared" si="40"/>
        <v>0</v>
      </c>
      <c r="J282" s="27">
        <f t="shared" si="41"/>
        <v>0</v>
      </c>
      <c r="K282" s="27">
        <f t="shared" si="42"/>
        <v>0</v>
      </c>
      <c r="L282" s="27">
        <f t="shared" si="43"/>
        <v>0</v>
      </c>
      <c r="M282" s="32" t="str">
        <f>'Input Sheet'!E281</f>
        <v/>
      </c>
      <c r="N282" s="32">
        <f t="shared" si="44"/>
        <v>0</v>
      </c>
      <c r="T282" s="32">
        <f t="shared" si="47"/>
        <v>0</v>
      </c>
      <c r="U282" s="32">
        <f t="shared" si="47"/>
        <v>0</v>
      </c>
      <c r="V282" s="32">
        <f t="shared" si="47"/>
        <v>0</v>
      </c>
      <c r="W282" s="32">
        <f t="shared" si="47"/>
        <v>0</v>
      </c>
      <c r="X282" s="32">
        <f t="shared" si="47"/>
        <v>0</v>
      </c>
    </row>
    <row r="283" spans="1:24" ht="16.5" customHeight="1" x14ac:dyDescent="0.25">
      <c r="A283" s="39" t="str">
        <f>'Long Sample Name'!A280</f>
        <v/>
      </c>
      <c r="B283" s="25" t="str">
        <f ca="1">'Input Sheet'!L282</f>
        <v/>
      </c>
      <c r="C283" s="26" t="str">
        <f ca="1">'Input Sheet'!M282</f>
        <v/>
      </c>
      <c r="D283" s="40">
        <f>'Input Sheet'!B282</f>
        <v>0</v>
      </c>
      <c r="E283" s="37">
        <f>'Input Sheet'!I282</f>
        <v>0</v>
      </c>
      <c r="F283" s="29">
        <f>('Input Sheet'!C282)/100</f>
        <v>0</v>
      </c>
      <c r="G283" s="29">
        <f>('Input Sheet'!F282)/100</f>
        <v>0</v>
      </c>
      <c r="H283" s="27">
        <f t="shared" si="46"/>
        <v>0</v>
      </c>
      <c r="I283" s="27">
        <f t="shared" si="40"/>
        <v>0</v>
      </c>
      <c r="J283" s="27">
        <f t="shared" si="41"/>
        <v>0</v>
      </c>
      <c r="K283" s="27">
        <f t="shared" si="42"/>
        <v>0</v>
      </c>
      <c r="L283" s="27">
        <f t="shared" si="43"/>
        <v>0</v>
      </c>
      <c r="M283" s="32" t="str">
        <f>'Input Sheet'!E282</f>
        <v/>
      </c>
      <c r="N283" s="32">
        <f t="shared" si="44"/>
        <v>0</v>
      </c>
      <c r="T283" s="32">
        <f t="shared" si="47"/>
        <v>0</v>
      </c>
      <c r="U283" s="32">
        <f t="shared" si="47"/>
        <v>0</v>
      </c>
      <c r="V283" s="32">
        <f t="shared" si="47"/>
        <v>0</v>
      </c>
      <c r="W283" s="32">
        <f t="shared" si="47"/>
        <v>0</v>
      </c>
      <c r="X283" s="32">
        <f t="shared" si="47"/>
        <v>0</v>
      </c>
    </row>
    <row r="284" spans="1:24" ht="16.5" customHeight="1" x14ac:dyDescent="0.25">
      <c r="A284" s="39" t="str">
        <f>'Long Sample Name'!A281</f>
        <v/>
      </c>
      <c r="B284" s="25" t="str">
        <f ca="1">'Input Sheet'!L283</f>
        <v/>
      </c>
      <c r="C284" s="26" t="str">
        <f ca="1">'Input Sheet'!M283</f>
        <v/>
      </c>
      <c r="D284" s="40">
        <f>'Input Sheet'!B283</f>
        <v>0</v>
      </c>
      <c r="E284" s="37">
        <f>'Input Sheet'!I283</f>
        <v>0</v>
      </c>
      <c r="F284" s="29">
        <f>('Input Sheet'!C283)/100</f>
        <v>0</v>
      </c>
      <c r="G284" s="29">
        <f>('Input Sheet'!F283)/100</f>
        <v>0</v>
      </c>
      <c r="H284" s="27">
        <f t="shared" si="46"/>
        <v>0</v>
      </c>
      <c r="I284" s="27">
        <f t="shared" si="40"/>
        <v>0</v>
      </c>
      <c r="J284" s="27">
        <f t="shared" si="41"/>
        <v>0</v>
      </c>
      <c r="K284" s="27">
        <f t="shared" si="42"/>
        <v>0</v>
      </c>
      <c r="L284" s="27">
        <f t="shared" si="43"/>
        <v>0</v>
      </c>
      <c r="M284" s="32" t="str">
        <f>'Input Sheet'!E283</f>
        <v/>
      </c>
      <c r="N284" s="32">
        <f t="shared" si="44"/>
        <v>0</v>
      </c>
      <c r="T284" s="32">
        <f t="shared" si="47"/>
        <v>0</v>
      </c>
      <c r="U284" s="32">
        <f t="shared" si="47"/>
        <v>0</v>
      </c>
      <c r="V284" s="32">
        <f t="shared" si="47"/>
        <v>0</v>
      </c>
      <c r="W284" s="32">
        <f t="shared" si="47"/>
        <v>0</v>
      </c>
      <c r="X284" s="32">
        <f t="shared" si="47"/>
        <v>0</v>
      </c>
    </row>
    <row r="285" spans="1:24" ht="16.5" customHeight="1" x14ac:dyDescent="0.25">
      <c r="A285" s="39" t="str">
        <f>'Long Sample Name'!A282</f>
        <v/>
      </c>
      <c r="B285" s="25" t="str">
        <f ca="1">'Input Sheet'!L284</f>
        <v/>
      </c>
      <c r="C285" s="26" t="str">
        <f ca="1">'Input Sheet'!M284</f>
        <v/>
      </c>
      <c r="D285" s="40">
        <f>'Input Sheet'!B284</f>
        <v>0</v>
      </c>
      <c r="E285" s="37">
        <f>'Input Sheet'!I284</f>
        <v>0</v>
      </c>
      <c r="F285" s="29">
        <f>('Input Sheet'!C284)/100</f>
        <v>0</v>
      </c>
      <c r="G285" s="29">
        <f>('Input Sheet'!F284)/100</f>
        <v>0</v>
      </c>
      <c r="H285" s="27">
        <f t="shared" si="46"/>
        <v>0</v>
      </c>
      <c r="I285" s="27">
        <f t="shared" si="40"/>
        <v>0</v>
      </c>
      <c r="J285" s="27">
        <f t="shared" si="41"/>
        <v>0</v>
      </c>
      <c r="K285" s="27">
        <f t="shared" si="42"/>
        <v>0</v>
      </c>
      <c r="L285" s="27">
        <f t="shared" si="43"/>
        <v>0</v>
      </c>
      <c r="M285" s="32" t="str">
        <f>'Input Sheet'!E284</f>
        <v/>
      </c>
      <c r="N285" s="32">
        <f t="shared" si="44"/>
        <v>0</v>
      </c>
      <c r="T285" s="32">
        <f t="shared" si="47"/>
        <v>0</v>
      </c>
      <c r="U285" s="32">
        <f t="shared" si="47"/>
        <v>0</v>
      </c>
      <c r="V285" s="32">
        <f t="shared" si="47"/>
        <v>0</v>
      </c>
      <c r="W285" s="32">
        <f t="shared" si="47"/>
        <v>0</v>
      </c>
      <c r="X285" s="32">
        <f t="shared" si="47"/>
        <v>0</v>
      </c>
    </row>
    <row r="286" spans="1:24" ht="16.5" customHeight="1" x14ac:dyDescent="0.25">
      <c r="A286" s="39" t="str">
        <f>'Long Sample Name'!A283</f>
        <v/>
      </c>
      <c r="B286" s="25" t="str">
        <f ca="1">'Input Sheet'!L285</f>
        <v/>
      </c>
      <c r="C286" s="26" t="str">
        <f ca="1">'Input Sheet'!M285</f>
        <v/>
      </c>
      <c r="D286" s="40">
        <f>'Input Sheet'!B285</f>
        <v>0</v>
      </c>
      <c r="E286" s="37">
        <f>'Input Sheet'!I285</f>
        <v>0</v>
      </c>
      <c r="F286" s="29">
        <f>('Input Sheet'!C285)/100</f>
        <v>0</v>
      </c>
      <c r="G286" s="29">
        <f>('Input Sheet'!F285)/100</f>
        <v>0</v>
      </c>
      <c r="H286" s="27">
        <f t="shared" si="46"/>
        <v>0</v>
      </c>
      <c r="I286" s="27">
        <f t="shared" si="40"/>
        <v>0</v>
      </c>
      <c r="J286" s="27">
        <f t="shared" si="41"/>
        <v>0</v>
      </c>
      <c r="K286" s="27">
        <f t="shared" si="42"/>
        <v>0</v>
      </c>
      <c r="L286" s="27">
        <f t="shared" si="43"/>
        <v>0</v>
      </c>
      <c r="M286" s="32" t="str">
        <f>'Input Sheet'!E285</f>
        <v/>
      </c>
      <c r="N286" s="32">
        <f t="shared" si="44"/>
        <v>0</v>
      </c>
      <c r="T286" s="32">
        <f t="shared" si="47"/>
        <v>0</v>
      </c>
      <c r="U286" s="32">
        <f t="shared" si="47"/>
        <v>0</v>
      </c>
      <c r="V286" s="32">
        <f t="shared" si="47"/>
        <v>0</v>
      </c>
      <c r="W286" s="32">
        <f t="shared" si="47"/>
        <v>0</v>
      </c>
      <c r="X286" s="32">
        <f t="shared" si="47"/>
        <v>0</v>
      </c>
    </row>
    <row r="287" spans="1:24" ht="16.5" customHeight="1" x14ac:dyDescent="0.25">
      <c r="A287" s="39" t="str">
        <f>'Long Sample Name'!A284</f>
        <v/>
      </c>
      <c r="B287" s="25" t="str">
        <f ca="1">'Input Sheet'!L286</f>
        <v/>
      </c>
      <c r="C287" s="26" t="str">
        <f ca="1">'Input Sheet'!M286</f>
        <v/>
      </c>
      <c r="D287" s="40">
        <f>'Input Sheet'!B286</f>
        <v>0</v>
      </c>
      <c r="E287" s="37">
        <f>'Input Sheet'!I286</f>
        <v>0</v>
      </c>
      <c r="F287" s="29">
        <f>('Input Sheet'!C286)/100</f>
        <v>0</v>
      </c>
      <c r="G287" s="29">
        <f>('Input Sheet'!F286)/100</f>
        <v>0</v>
      </c>
      <c r="H287" s="27">
        <f t="shared" si="46"/>
        <v>0</v>
      </c>
      <c r="I287" s="27">
        <f t="shared" si="40"/>
        <v>0</v>
      </c>
      <c r="J287" s="27">
        <f t="shared" si="41"/>
        <v>0</v>
      </c>
      <c r="K287" s="27">
        <f t="shared" si="42"/>
        <v>0</v>
      </c>
      <c r="L287" s="27">
        <f t="shared" si="43"/>
        <v>0</v>
      </c>
      <c r="M287" s="32" t="str">
        <f>'Input Sheet'!E286</f>
        <v/>
      </c>
      <c r="N287" s="32">
        <f t="shared" si="44"/>
        <v>0</v>
      </c>
      <c r="T287" s="32">
        <f t="shared" si="47"/>
        <v>0</v>
      </c>
      <c r="U287" s="32">
        <f t="shared" si="47"/>
        <v>0</v>
      </c>
      <c r="V287" s="32">
        <f t="shared" si="47"/>
        <v>0</v>
      </c>
      <c r="W287" s="32">
        <f t="shared" si="47"/>
        <v>0</v>
      </c>
      <c r="X287" s="32">
        <f t="shared" si="47"/>
        <v>0</v>
      </c>
    </row>
    <row r="288" spans="1:24" ht="16.5" customHeight="1" x14ac:dyDescent="0.25">
      <c r="A288" s="39" t="str">
        <f>'Long Sample Name'!A285</f>
        <v/>
      </c>
      <c r="B288" s="25" t="str">
        <f ca="1">'Input Sheet'!L287</f>
        <v/>
      </c>
      <c r="C288" s="26" t="str">
        <f ca="1">'Input Sheet'!M287</f>
        <v/>
      </c>
      <c r="D288" s="40">
        <f>'Input Sheet'!B287</f>
        <v>0</v>
      </c>
      <c r="E288" s="37">
        <f>'Input Sheet'!I287</f>
        <v>0</v>
      </c>
      <c r="F288" s="29">
        <f>('Input Sheet'!C287)/100</f>
        <v>0</v>
      </c>
      <c r="G288" s="29">
        <f>('Input Sheet'!F287)/100</f>
        <v>0</v>
      </c>
      <c r="H288" s="27">
        <f t="shared" si="46"/>
        <v>0</v>
      </c>
      <c r="I288" s="27">
        <f t="shared" si="40"/>
        <v>0</v>
      </c>
      <c r="J288" s="27">
        <f t="shared" si="41"/>
        <v>0</v>
      </c>
      <c r="K288" s="27">
        <f t="shared" si="42"/>
        <v>0</v>
      </c>
      <c r="L288" s="27">
        <f t="shared" si="43"/>
        <v>0</v>
      </c>
      <c r="M288" s="32" t="str">
        <f>'Input Sheet'!E287</f>
        <v/>
      </c>
      <c r="N288" s="32">
        <f t="shared" si="44"/>
        <v>0</v>
      </c>
      <c r="T288" s="32">
        <f t="shared" si="47"/>
        <v>0</v>
      </c>
      <c r="U288" s="32">
        <f t="shared" si="47"/>
        <v>0</v>
      </c>
      <c r="V288" s="32">
        <f t="shared" si="47"/>
        <v>0</v>
      </c>
      <c r="W288" s="32">
        <f t="shared" si="47"/>
        <v>0</v>
      </c>
      <c r="X288" s="32">
        <f t="shared" si="47"/>
        <v>0</v>
      </c>
    </row>
    <row r="289" spans="1:24" ht="16.5" customHeight="1" x14ac:dyDescent="0.25">
      <c r="A289" s="39" t="str">
        <f>'Long Sample Name'!A286</f>
        <v/>
      </c>
      <c r="B289" s="25" t="str">
        <f ca="1">'Input Sheet'!L288</f>
        <v/>
      </c>
      <c r="C289" s="26" t="str">
        <f ca="1">'Input Sheet'!M288</f>
        <v/>
      </c>
      <c r="D289" s="40">
        <f>'Input Sheet'!B288</f>
        <v>0</v>
      </c>
      <c r="E289" s="37">
        <f>'Input Sheet'!I288</f>
        <v>0</v>
      </c>
      <c r="F289" s="29">
        <f>('Input Sheet'!C288)/100</f>
        <v>0</v>
      </c>
      <c r="G289" s="29">
        <f>('Input Sheet'!F288)/100</f>
        <v>0</v>
      </c>
      <c r="H289" s="27">
        <f t="shared" si="46"/>
        <v>0</v>
      </c>
      <c r="I289" s="27">
        <f t="shared" si="40"/>
        <v>0</v>
      </c>
      <c r="J289" s="27">
        <f t="shared" si="41"/>
        <v>0</v>
      </c>
      <c r="K289" s="27">
        <f t="shared" si="42"/>
        <v>0</v>
      </c>
      <c r="L289" s="27">
        <f t="shared" si="43"/>
        <v>0</v>
      </c>
      <c r="M289" s="32" t="str">
        <f>'Input Sheet'!E288</f>
        <v/>
      </c>
      <c r="N289" s="32">
        <f t="shared" si="44"/>
        <v>0</v>
      </c>
      <c r="T289" s="32">
        <f t="shared" si="47"/>
        <v>0</v>
      </c>
      <c r="U289" s="32">
        <f t="shared" si="47"/>
        <v>0</v>
      </c>
      <c r="V289" s="32">
        <f t="shared" si="47"/>
        <v>0</v>
      </c>
      <c r="W289" s="32">
        <f t="shared" si="47"/>
        <v>0</v>
      </c>
      <c r="X289" s="32">
        <f t="shared" si="47"/>
        <v>0</v>
      </c>
    </row>
    <row r="290" spans="1:24" ht="16.5" customHeight="1" x14ac:dyDescent="0.25">
      <c r="A290" s="39" t="str">
        <f>'Long Sample Name'!A287</f>
        <v/>
      </c>
      <c r="B290" s="25" t="str">
        <f ca="1">'Input Sheet'!L289</f>
        <v/>
      </c>
      <c r="C290" s="26" t="str">
        <f ca="1">'Input Sheet'!M289</f>
        <v/>
      </c>
      <c r="D290" s="40">
        <f>'Input Sheet'!B289</f>
        <v>0</v>
      </c>
      <c r="E290" s="37">
        <f>'Input Sheet'!I289</f>
        <v>0</v>
      </c>
      <c r="F290" s="29">
        <f>('Input Sheet'!C289)/100</f>
        <v>0</v>
      </c>
      <c r="G290" s="29">
        <f>('Input Sheet'!F289)/100</f>
        <v>0</v>
      </c>
      <c r="H290" s="27">
        <f t="shared" si="46"/>
        <v>0</v>
      </c>
      <c r="I290" s="27">
        <f t="shared" si="40"/>
        <v>0</v>
      </c>
      <c r="J290" s="27">
        <f t="shared" si="41"/>
        <v>0</v>
      </c>
      <c r="K290" s="27">
        <f t="shared" si="42"/>
        <v>0</v>
      </c>
      <c r="L290" s="27">
        <f t="shared" si="43"/>
        <v>0</v>
      </c>
      <c r="M290" s="32" t="str">
        <f>'Input Sheet'!E289</f>
        <v/>
      </c>
      <c r="N290" s="32">
        <f t="shared" si="44"/>
        <v>0</v>
      </c>
      <c r="T290" s="32">
        <f t="shared" si="47"/>
        <v>0</v>
      </c>
      <c r="U290" s="32">
        <f t="shared" si="47"/>
        <v>0</v>
      </c>
      <c r="V290" s="32">
        <f t="shared" si="47"/>
        <v>0</v>
      </c>
      <c r="W290" s="32">
        <f t="shared" si="47"/>
        <v>0</v>
      </c>
      <c r="X290" s="32">
        <f t="shared" si="47"/>
        <v>0</v>
      </c>
    </row>
    <row r="291" spans="1:24" ht="16.5" customHeight="1" x14ac:dyDescent="0.25">
      <c r="A291" s="39" t="str">
        <f>'Long Sample Name'!A288</f>
        <v/>
      </c>
      <c r="B291" s="25" t="str">
        <f ca="1">'Input Sheet'!L290</f>
        <v/>
      </c>
      <c r="C291" s="26" t="str">
        <f ca="1">'Input Sheet'!M290</f>
        <v/>
      </c>
      <c r="D291" s="40">
        <f>'Input Sheet'!B290</f>
        <v>0</v>
      </c>
      <c r="E291" s="37">
        <f>'Input Sheet'!I290</f>
        <v>0</v>
      </c>
      <c r="F291" s="29">
        <f>('Input Sheet'!C290)/100</f>
        <v>0</v>
      </c>
      <c r="G291" s="29">
        <f>('Input Sheet'!F290)/100</f>
        <v>0</v>
      </c>
      <c r="H291" s="27">
        <f t="shared" si="46"/>
        <v>0</v>
      </c>
      <c r="I291" s="27">
        <f t="shared" si="40"/>
        <v>0</v>
      </c>
      <c r="J291" s="27">
        <f t="shared" si="41"/>
        <v>0</v>
      </c>
      <c r="K291" s="27">
        <f t="shared" si="42"/>
        <v>0</v>
      </c>
      <c r="L291" s="27">
        <f t="shared" si="43"/>
        <v>0</v>
      </c>
      <c r="M291" s="32" t="str">
        <f>'Input Sheet'!E290</f>
        <v/>
      </c>
      <c r="N291" s="32">
        <f t="shared" si="44"/>
        <v>0</v>
      </c>
      <c r="T291" s="32">
        <f t="shared" si="47"/>
        <v>0</v>
      </c>
      <c r="U291" s="32">
        <f t="shared" si="47"/>
        <v>0</v>
      </c>
      <c r="V291" s="32">
        <f t="shared" si="47"/>
        <v>0</v>
      </c>
      <c r="W291" s="32">
        <f t="shared" si="47"/>
        <v>0</v>
      </c>
      <c r="X291" s="32">
        <f t="shared" si="47"/>
        <v>0</v>
      </c>
    </row>
    <row r="292" spans="1:24" ht="16.5" customHeight="1" x14ac:dyDescent="0.25">
      <c r="A292" s="39" t="str">
        <f>'Long Sample Name'!A289</f>
        <v/>
      </c>
      <c r="B292" s="25" t="str">
        <f ca="1">'Input Sheet'!L291</f>
        <v/>
      </c>
      <c r="C292" s="26" t="str">
        <f ca="1">'Input Sheet'!M291</f>
        <v/>
      </c>
      <c r="D292" s="40">
        <f>'Input Sheet'!B291</f>
        <v>0</v>
      </c>
      <c r="E292" s="37">
        <f>'Input Sheet'!I291</f>
        <v>0</v>
      </c>
      <c r="F292" s="29">
        <f>('Input Sheet'!C291)/100</f>
        <v>0</v>
      </c>
      <c r="G292" s="29">
        <f>('Input Sheet'!F291)/100</f>
        <v>0</v>
      </c>
      <c r="H292" s="27">
        <f t="shared" si="46"/>
        <v>0</v>
      </c>
      <c r="I292" s="27">
        <f t="shared" si="40"/>
        <v>0</v>
      </c>
      <c r="J292" s="27">
        <f t="shared" si="41"/>
        <v>0</v>
      </c>
      <c r="K292" s="27">
        <f t="shared" si="42"/>
        <v>0</v>
      </c>
      <c r="L292" s="27">
        <f t="shared" si="43"/>
        <v>0</v>
      </c>
      <c r="M292" s="32" t="str">
        <f>'Input Sheet'!E291</f>
        <v/>
      </c>
      <c r="N292" s="32">
        <f t="shared" si="44"/>
        <v>0</v>
      </c>
      <c r="T292" s="32">
        <f t="shared" si="47"/>
        <v>0</v>
      </c>
      <c r="U292" s="32">
        <f t="shared" si="47"/>
        <v>0</v>
      </c>
      <c r="V292" s="32">
        <f t="shared" si="47"/>
        <v>0</v>
      </c>
      <c r="W292" s="32">
        <f t="shared" si="47"/>
        <v>0</v>
      </c>
      <c r="X292" s="32">
        <f t="shared" si="47"/>
        <v>0</v>
      </c>
    </row>
    <row r="293" spans="1:24" ht="16.5" customHeight="1" x14ac:dyDescent="0.25">
      <c r="A293" s="39" t="str">
        <f>'Long Sample Name'!A290</f>
        <v/>
      </c>
      <c r="B293" s="25" t="str">
        <f ca="1">'Input Sheet'!L292</f>
        <v/>
      </c>
      <c r="C293" s="26" t="str">
        <f ca="1">'Input Sheet'!M292</f>
        <v/>
      </c>
      <c r="D293" s="40">
        <f>'Input Sheet'!B292</f>
        <v>0</v>
      </c>
      <c r="E293" s="37">
        <f>'Input Sheet'!I292</f>
        <v>0</v>
      </c>
      <c r="F293" s="29">
        <f>('Input Sheet'!C292)/100</f>
        <v>0</v>
      </c>
      <c r="G293" s="29">
        <f>('Input Sheet'!F292)/100</f>
        <v>0</v>
      </c>
      <c r="H293" s="27">
        <f t="shared" si="46"/>
        <v>0</v>
      </c>
      <c r="I293" s="27">
        <f t="shared" si="40"/>
        <v>0</v>
      </c>
      <c r="J293" s="27">
        <f t="shared" si="41"/>
        <v>0</v>
      </c>
      <c r="K293" s="27">
        <f t="shared" si="42"/>
        <v>0</v>
      </c>
      <c r="L293" s="27">
        <f t="shared" si="43"/>
        <v>0</v>
      </c>
      <c r="M293" s="32" t="str">
        <f>'Input Sheet'!E292</f>
        <v/>
      </c>
      <c r="N293" s="32">
        <f t="shared" si="44"/>
        <v>0</v>
      </c>
      <c r="T293" s="32">
        <f t="shared" ref="T293:X308" si="48">IF($M293=T$1,$H293,0)</f>
        <v>0</v>
      </c>
      <c r="U293" s="32">
        <f t="shared" si="48"/>
        <v>0</v>
      </c>
      <c r="V293" s="32">
        <f t="shared" si="48"/>
        <v>0</v>
      </c>
      <c r="W293" s="32">
        <f t="shared" si="48"/>
        <v>0</v>
      </c>
      <c r="X293" s="32">
        <f t="shared" si="48"/>
        <v>0</v>
      </c>
    </row>
    <row r="294" spans="1:24" ht="16.5" customHeight="1" x14ac:dyDescent="0.25">
      <c r="A294" s="39" t="str">
        <f>'Long Sample Name'!A291</f>
        <v/>
      </c>
      <c r="B294" s="25" t="str">
        <f ca="1">'Input Sheet'!L293</f>
        <v/>
      </c>
      <c r="C294" s="26" t="str">
        <f ca="1">'Input Sheet'!M293</f>
        <v/>
      </c>
      <c r="D294" s="40">
        <f>'Input Sheet'!B293</f>
        <v>0</v>
      </c>
      <c r="E294" s="37">
        <f>'Input Sheet'!I293</f>
        <v>0</v>
      </c>
      <c r="F294" s="29">
        <f>('Input Sheet'!C293)/100</f>
        <v>0</v>
      </c>
      <c r="G294" s="29">
        <f>('Input Sheet'!F293)/100</f>
        <v>0</v>
      </c>
      <c r="H294" s="27">
        <f t="shared" si="46"/>
        <v>0</v>
      </c>
      <c r="I294" s="27">
        <f t="shared" si="40"/>
        <v>0</v>
      </c>
      <c r="J294" s="27">
        <f t="shared" si="41"/>
        <v>0</v>
      </c>
      <c r="K294" s="27">
        <f t="shared" si="42"/>
        <v>0</v>
      </c>
      <c r="L294" s="27">
        <f t="shared" si="43"/>
        <v>0</v>
      </c>
      <c r="M294" s="32" t="str">
        <f>'Input Sheet'!E293</f>
        <v/>
      </c>
      <c r="N294" s="32">
        <f t="shared" si="44"/>
        <v>0</v>
      </c>
      <c r="T294" s="32">
        <f t="shared" si="48"/>
        <v>0</v>
      </c>
      <c r="U294" s="32">
        <f t="shared" si="48"/>
        <v>0</v>
      </c>
      <c r="V294" s="32">
        <f t="shared" si="48"/>
        <v>0</v>
      </c>
      <c r="W294" s="32">
        <f t="shared" si="48"/>
        <v>0</v>
      </c>
      <c r="X294" s="32">
        <f t="shared" si="48"/>
        <v>0</v>
      </c>
    </row>
    <row r="295" spans="1:24" ht="16.5" customHeight="1" x14ac:dyDescent="0.25">
      <c r="A295" s="39" t="str">
        <f>'Long Sample Name'!A292</f>
        <v/>
      </c>
      <c r="B295" s="25" t="str">
        <f ca="1">'Input Sheet'!L294</f>
        <v/>
      </c>
      <c r="C295" s="26" t="str">
        <f ca="1">'Input Sheet'!M294</f>
        <v/>
      </c>
      <c r="D295" s="40">
        <f>'Input Sheet'!B294</f>
        <v>0</v>
      </c>
      <c r="E295" s="37">
        <f>'Input Sheet'!I294</f>
        <v>0</v>
      </c>
      <c r="F295" s="29">
        <f>('Input Sheet'!C294)/100</f>
        <v>0</v>
      </c>
      <c r="G295" s="29">
        <f>('Input Sheet'!F294)/100</f>
        <v>0</v>
      </c>
      <c r="H295" s="27">
        <f t="shared" si="46"/>
        <v>0</v>
      </c>
      <c r="I295" s="27">
        <f t="shared" si="40"/>
        <v>0</v>
      </c>
      <c r="J295" s="27">
        <f t="shared" si="41"/>
        <v>0</v>
      </c>
      <c r="K295" s="27">
        <f t="shared" si="42"/>
        <v>0</v>
      </c>
      <c r="L295" s="27">
        <f t="shared" si="43"/>
        <v>0</v>
      </c>
      <c r="M295" s="32" t="str">
        <f>'Input Sheet'!E294</f>
        <v/>
      </c>
      <c r="N295" s="32">
        <f t="shared" si="44"/>
        <v>0</v>
      </c>
      <c r="T295" s="32">
        <f t="shared" si="48"/>
        <v>0</v>
      </c>
      <c r="U295" s="32">
        <f t="shared" si="48"/>
        <v>0</v>
      </c>
      <c r="V295" s="32">
        <f t="shared" si="48"/>
        <v>0</v>
      </c>
      <c r="W295" s="32">
        <f t="shared" si="48"/>
        <v>0</v>
      </c>
      <c r="X295" s="32">
        <f t="shared" si="48"/>
        <v>0</v>
      </c>
    </row>
    <row r="296" spans="1:24" ht="16.5" customHeight="1" x14ac:dyDescent="0.25">
      <c r="A296" s="39" t="str">
        <f>'Long Sample Name'!A293</f>
        <v/>
      </c>
      <c r="B296" s="25" t="str">
        <f ca="1">'Input Sheet'!L295</f>
        <v/>
      </c>
      <c r="C296" s="26" t="str">
        <f ca="1">'Input Sheet'!M295</f>
        <v/>
      </c>
      <c r="D296" s="40">
        <f>'Input Sheet'!B295</f>
        <v>0</v>
      </c>
      <c r="E296" s="37">
        <f>'Input Sheet'!I295</f>
        <v>0</v>
      </c>
      <c r="F296" s="29">
        <f>('Input Sheet'!C295)/100</f>
        <v>0</v>
      </c>
      <c r="G296" s="29">
        <f>('Input Sheet'!F295)/100</f>
        <v>0</v>
      </c>
      <c r="H296" s="27">
        <f t="shared" si="46"/>
        <v>0</v>
      </c>
      <c r="I296" s="27">
        <f t="shared" si="40"/>
        <v>0</v>
      </c>
      <c r="J296" s="27">
        <f t="shared" si="41"/>
        <v>0</v>
      </c>
      <c r="K296" s="27">
        <f t="shared" si="42"/>
        <v>0</v>
      </c>
      <c r="L296" s="27">
        <f t="shared" si="43"/>
        <v>0</v>
      </c>
      <c r="M296" s="32" t="str">
        <f>'Input Sheet'!E295</f>
        <v/>
      </c>
      <c r="N296" s="32">
        <f t="shared" si="44"/>
        <v>0</v>
      </c>
      <c r="T296" s="32">
        <f t="shared" si="48"/>
        <v>0</v>
      </c>
      <c r="U296" s="32">
        <f t="shared" si="48"/>
        <v>0</v>
      </c>
      <c r="V296" s="32">
        <f t="shared" si="48"/>
        <v>0</v>
      </c>
      <c r="W296" s="32">
        <f t="shared" si="48"/>
        <v>0</v>
      </c>
      <c r="X296" s="32">
        <f t="shared" si="48"/>
        <v>0</v>
      </c>
    </row>
    <row r="297" spans="1:24" ht="16.5" customHeight="1" x14ac:dyDescent="0.25">
      <c r="A297" s="39" t="str">
        <f>'Long Sample Name'!A294</f>
        <v/>
      </c>
      <c r="B297" s="25" t="str">
        <f ca="1">'Input Sheet'!L296</f>
        <v/>
      </c>
      <c r="C297" s="26" t="str">
        <f ca="1">'Input Sheet'!M296</f>
        <v/>
      </c>
      <c r="D297" s="40">
        <f>'Input Sheet'!B296</f>
        <v>0</v>
      </c>
      <c r="E297" s="37">
        <f>'Input Sheet'!I296</f>
        <v>0</v>
      </c>
      <c r="F297" s="29">
        <f>('Input Sheet'!C296)/100</f>
        <v>0</v>
      </c>
      <c r="G297" s="29">
        <f>('Input Sheet'!F296)/100</f>
        <v>0</v>
      </c>
      <c r="H297" s="27">
        <f t="shared" si="46"/>
        <v>0</v>
      </c>
      <c r="I297" s="27">
        <f t="shared" si="40"/>
        <v>0</v>
      </c>
      <c r="J297" s="27">
        <f t="shared" si="41"/>
        <v>0</v>
      </c>
      <c r="K297" s="27">
        <f t="shared" si="42"/>
        <v>0</v>
      </c>
      <c r="L297" s="27">
        <f t="shared" si="43"/>
        <v>0</v>
      </c>
      <c r="M297" s="32" t="str">
        <f>'Input Sheet'!E296</f>
        <v/>
      </c>
      <c r="N297" s="32">
        <f t="shared" si="44"/>
        <v>0</v>
      </c>
      <c r="T297" s="32">
        <f t="shared" si="48"/>
        <v>0</v>
      </c>
      <c r="U297" s="32">
        <f t="shared" si="48"/>
        <v>0</v>
      </c>
      <c r="V297" s="32">
        <f t="shared" si="48"/>
        <v>0</v>
      </c>
      <c r="W297" s="32">
        <f t="shared" si="48"/>
        <v>0</v>
      </c>
      <c r="X297" s="32">
        <f t="shared" si="48"/>
        <v>0</v>
      </c>
    </row>
    <row r="298" spans="1:24" ht="16.5" customHeight="1" x14ac:dyDescent="0.25">
      <c r="A298" s="39" t="str">
        <f>'Long Sample Name'!A295</f>
        <v/>
      </c>
      <c r="B298" s="25" t="str">
        <f ca="1">'Input Sheet'!L297</f>
        <v/>
      </c>
      <c r="C298" s="26" t="str">
        <f ca="1">'Input Sheet'!M297</f>
        <v/>
      </c>
      <c r="D298" s="40">
        <f>'Input Sheet'!B297</f>
        <v>0</v>
      </c>
      <c r="E298" s="37">
        <f>'Input Sheet'!I297</f>
        <v>0</v>
      </c>
      <c r="F298" s="29">
        <f>('Input Sheet'!C297)/100</f>
        <v>0</v>
      </c>
      <c r="G298" s="29">
        <f>('Input Sheet'!F297)/100</f>
        <v>0</v>
      </c>
      <c r="H298" s="27">
        <f t="shared" si="46"/>
        <v>0</v>
      </c>
      <c r="I298" s="27">
        <f t="shared" si="40"/>
        <v>0</v>
      </c>
      <c r="J298" s="27">
        <f t="shared" si="41"/>
        <v>0</v>
      </c>
      <c r="K298" s="27">
        <f t="shared" si="42"/>
        <v>0</v>
      </c>
      <c r="L298" s="27">
        <f t="shared" si="43"/>
        <v>0</v>
      </c>
      <c r="M298" s="32" t="str">
        <f>'Input Sheet'!E297</f>
        <v/>
      </c>
      <c r="N298" s="32">
        <f t="shared" si="44"/>
        <v>0</v>
      </c>
      <c r="T298" s="32">
        <f t="shared" si="48"/>
        <v>0</v>
      </c>
      <c r="U298" s="32">
        <f t="shared" si="48"/>
        <v>0</v>
      </c>
      <c r="V298" s="32">
        <f t="shared" si="48"/>
        <v>0</v>
      </c>
      <c r="W298" s="32">
        <f t="shared" si="48"/>
        <v>0</v>
      </c>
      <c r="X298" s="32">
        <f t="shared" si="48"/>
        <v>0</v>
      </c>
    </row>
    <row r="299" spans="1:24" ht="16.5" customHeight="1" x14ac:dyDescent="0.25">
      <c r="A299" s="39" t="str">
        <f>'Long Sample Name'!A296</f>
        <v/>
      </c>
      <c r="B299" s="25" t="str">
        <f ca="1">'Input Sheet'!L298</f>
        <v/>
      </c>
      <c r="C299" s="26" t="str">
        <f ca="1">'Input Sheet'!M298</f>
        <v/>
      </c>
      <c r="D299" s="40">
        <f>'Input Sheet'!B298</f>
        <v>0</v>
      </c>
      <c r="E299" s="37">
        <f>'Input Sheet'!I298</f>
        <v>0</v>
      </c>
      <c r="F299" s="29">
        <f>('Input Sheet'!C298)/100</f>
        <v>0</v>
      </c>
      <c r="G299" s="29">
        <f>('Input Sheet'!F298)/100</f>
        <v>0</v>
      </c>
      <c r="H299" s="27">
        <f t="shared" si="46"/>
        <v>0</v>
      </c>
      <c r="I299" s="27">
        <f t="shared" si="40"/>
        <v>0</v>
      </c>
      <c r="J299" s="27">
        <f t="shared" si="41"/>
        <v>0</v>
      </c>
      <c r="K299" s="27">
        <f t="shared" si="42"/>
        <v>0</v>
      </c>
      <c r="L299" s="27">
        <f t="shared" si="43"/>
        <v>0</v>
      </c>
      <c r="M299" s="32" t="str">
        <f>'Input Sheet'!E298</f>
        <v/>
      </c>
      <c r="N299" s="32">
        <f t="shared" si="44"/>
        <v>0</v>
      </c>
      <c r="T299" s="32">
        <f t="shared" si="48"/>
        <v>0</v>
      </c>
      <c r="U299" s="32">
        <f t="shared" si="48"/>
        <v>0</v>
      </c>
      <c r="V299" s="32">
        <f t="shared" si="48"/>
        <v>0</v>
      </c>
      <c r="W299" s="32">
        <f t="shared" si="48"/>
        <v>0</v>
      </c>
      <c r="X299" s="32">
        <f t="shared" si="48"/>
        <v>0</v>
      </c>
    </row>
    <row r="300" spans="1:24" ht="16.5" customHeight="1" x14ac:dyDescent="0.25">
      <c r="A300" s="39" t="str">
        <f>'Long Sample Name'!A297</f>
        <v/>
      </c>
      <c r="B300" s="25" t="str">
        <f ca="1">'Input Sheet'!L299</f>
        <v/>
      </c>
      <c r="C300" s="26" t="str">
        <f ca="1">'Input Sheet'!M299</f>
        <v/>
      </c>
      <c r="D300" s="40">
        <f>'Input Sheet'!B299</f>
        <v>0</v>
      </c>
      <c r="E300" s="37">
        <f>'Input Sheet'!I299</f>
        <v>0</v>
      </c>
      <c r="F300" s="29">
        <f>('Input Sheet'!C299)/100</f>
        <v>0</v>
      </c>
      <c r="G300" s="29">
        <f>('Input Sheet'!F299)/100</f>
        <v>0</v>
      </c>
      <c r="H300" s="27">
        <f t="shared" si="46"/>
        <v>0</v>
      </c>
      <c r="I300" s="27">
        <f t="shared" si="40"/>
        <v>0</v>
      </c>
      <c r="J300" s="27">
        <f t="shared" si="41"/>
        <v>0</v>
      </c>
      <c r="K300" s="27">
        <f t="shared" si="42"/>
        <v>0</v>
      </c>
      <c r="L300" s="27">
        <f t="shared" si="43"/>
        <v>0</v>
      </c>
      <c r="M300" s="32" t="str">
        <f>'Input Sheet'!E299</f>
        <v/>
      </c>
      <c r="N300" s="32">
        <f t="shared" si="44"/>
        <v>0</v>
      </c>
      <c r="T300" s="32">
        <f t="shared" si="48"/>
        <v>0</v>
      </c>
      <c r="U300" s="32">
        <f t="shared" si="48"/>
        <v>0</v>
      </c>
      <c r="V300" s="32">
        <f t="shared" si="48"/>
        <v>0</v>
      </c>
      <c r="W300" s="32">
        <f t="shared" si="48"/>
        <v>0</v>
      </c>
      <c r="X300" s="32">
        <f t="shared" si="48"/>
        <v>0</v>
      </c>
    </row>
    <row r="301" spans="1:24" ht="16.5" customHeight="1" x14ac:dyDescent="0.25">
      <c r="A301" s="39" t="str">
        <f>'Long Sample Name'!A298</f>
        <v/>
      </c>
      <c r="B301" s="25" t="str">
        <f ca="1">'Input Sheet'!L300</f>
        <v/>
      </c>
      <c r="C301" s="26" t="str">
        <f ca="1">'Input Sheet'!M300</f>
        <v/>
      </c>
      <c r="D301" s="40">
        <f>'Input Sheet'!B300</f>
        <v>0</v>
      </c>
      <c r="E301" s="37">
        <f>'Input Sheet'!I300</f>
        <v>0</v>
      </c>
      <c r="F301" s="29">
        <f>('Input Sheet'!C300)/100</f>
        <v>0</v>
      </c>
      <c r="G301" s="29">
        <f>('Input Sheet'!F300)/100</f>
        <v>0</v>
      </c>
      <c r="H301" s="27">
        <f t="shared" si="46"/>
        <v>0</v>
      </c>
      <c r="I301" s="27">
        <f t="shared" si="40"/>
        <v>0</v>
      </c>
      <c r="J301" s="27">
        <f t="shared" si="41"/>
        <v>0</v>
      </c>
      <c r="K301" s="27">
        <f t="shared" si="42"/>
        <v>0</v>
      </c>
      <c r="L301" s="27">
        <f t="shared" si="43"/>
        <v>0</v>
      </c>
      <c r="M301" s="32" t="str">
        <f>'Input Sheet'!E300</f>
        <v/>
      </c>
      <c r="N301" s="32">
        <f t="shared" si="44"/>
        <v>0</v>
      </c>
      <c r="T301" s="32">
        <f t="shared" si="48"/>
        <v>0</v>
      </c>
      <c r="U301" s="32">
        <f t="shared" si="48"/>
        <v>0</v>
      </c>
      <c r="V301" s="32">
        <f t="shared" si="48"/>
        <v>0</v>
      </c>
      <c r="W301" s="32">
        <f t="shared" si="48"/>
        <v>0</v>
      </c>
      <c r="X301" s="32">
        <f t="shared" si="48"/>
        <v>0</v>
      </c>
    </row>
    <row r="302" spans="1:24" ht="16.5" customHeight="1" x14ac:dyDescent="0.25">
      <c r="A302" s="39" t="str">
        <f>'Long Sample Name'!A299</f>
        <v/>
      </c>
      <c r="B302" s="25" t="str">
        <f ca="1">'Input Sheet'!L301</f>
        <v/>
      </c>
      <c r="C302" s="26" t="str">
        <f ca="1">'Input Sheet'!M301</f>
        <v/>
      </c>
      <c r="D302" s="40">
        <f>'Input Sheet'!B301</f>
        <v>0</v>
      </c>
      <c r="E302" s="37">
        <f>'Input Sheet'!I301</f>
        <v>0</v>
      </c>
      <c r="F302" s="29">
        <f>('Input Sheet'!C301)/100</f>
        <v>0</v>
      </c>
      <c r="G302" s="29">
        <f>('Input Sheet'!F301)/100</f>
        <v>0</v>
      </c>
      <c r="H302" s="27">
        <f t="shared" si="46"/>
        <v>0</v>
      </c>
      <c r="I302" s="27">
        <f t="shared" si="40"/>
        <v>0</v>
      </c>
      <c r="J302" s="27">
        <f t="shared" si="41"/>
        <v>0</v>
      </c>
      <c r="K302" s="27">
        <f t="shared" si="42"/>
        <v>0</v>
      </c>
      <c r="L302" s="27">
        <f t="shared" si="43"/>
        <v>0</v>
      </c>
      <c r="M302" s="32" t="str">
        <f>'Input Sheet'!E301</f>
        <v/>
      </c>
      <c r="N302" s="32">
        <f t="shared" si="44"/>
        <v>0</v>
      </c>
      <c r="T302" s="32">
        <f t="shared" si="48"/>
        <v>0</v>
      </c>
      <c r="U302" s="32">
        <f t="shared" si="48"/>
        <v>0</v>
      </c>
      <c r="V302" s="32">
        <f t="shared" si="48"/>
        <v>0</v>
      </c>
      <c r="W302" s="32">
        <f t="shared" si="48"/>
        <v>0</v>
      </c>
      <c r="X302" s="32">
        <f t="shared" si="48"/>
        <v>0</v>
      </c>
    </row>
    <row r="303" spans="1:24" ht="16.5" customHeight="1" x14ac:dyDescent="0.25">
      <c r="A303" s="39" t="str">
        <f>'Long Sample Name'!A300</f>
        <v/>
      </c>
      <c r="B303" s="25" t="str">
        <f ca="1">'Input Sheet'!L302</f>
        <v/>
      </c>
      <c r="C303" s="26" t="str">
        <f ca="1">'Input Sheet'!M302</f>
        <v/>
      </c>
      <c r="D303" s="40">
        <f>'Input Sheet'!B302</f>
        <v>0</v>
      </c>
      <c r="E303" s="37">
        <f>'Input Sheet'!I302</f>
        <v>0</v>
      </c>
      <c r="F303" s="29">
        <f>('Input Sheet'!C302)/100</f>
        <v>0</v>
      </c>
      <c r="G303" s="29">
        <f>('Input Sheet'!F302)/100</f>
        <v>0</v>
      </c>
      <c r="H303" s="27">
        <f t="shared" si="46"/>
        <v>0</v>
      </c>
      <c r="I303" s="27">
        <f t="shared" si="40"/>
        <v>0</v>
      </c>
      <c r="J303" s="27">
        <f t="shared" si="41"/>
        <v>0</v>
      </c>
      <c r="K303" s="27">
        <f t="shared" si="42"/>
        <v>0</v>
      </c>
      <c r="L303" s="27">
        <f t="shared" si="43"/>
        <v>0</v>
      </c>
      <c r="M303" s="32" t="str">
        <f>'Input Sheet'!E302</f>
        <v/>
      </c>
      <c r="N303" s="32">
        <f t="shared" si="44"/>
        <v>0</v>
      </c>
      <c r="T303" s="32">
        <f t="shared" si="48"/>
        <v>0</v>
      </c>
      <c r="U303" s="32">
        <f t="shared" si="48"/>
        <v>0</v>
      </c>
      <c r="V303" s="32">
        <f t="shared" si="48"/>
        <v>0</v>
      </c>
      <c r="W303" s="32">
        <f t="shared" si="48"/>
        <v>0</v>
      </c>
      <c r="X303" s="32">
        <f t="shared" si="48"/>
        <v>0</v>
      </c>
    </row>
    <row r="304" spans="1:24" ht="16.5" customHeight="1" x14ac:dyDescent="0.25">
      <c r="A304" s="39" t="str">
        <f>'Long Sample Name'!A301</f>
        <v/>
      </c>
      <c r="B304" s="25" t="str">
        <f ca="1">'Input Sheet'!L303</f>
        <v/>
      </c>
      <c r="C304" s="26" t="str">
        <f ca="1">'Input Sheet'!M303</f>
        <v/>
      </c>
      <c r="D304" s="40">
        <f>'Input Sheet'!B303</f>
        <v>0</v>
      </c>
      <c r="E304" s="37">
        <f>'Input Sheet'!I303</f>
        <v>0</v>
      </c>
      <c r="F304" s="29">
        <f>('Input Sheet'!C303)/100</f>
        <v>0</v>
      </c>
      <c r="G304" s="29">
        <f>('Input Sheet'!F303)/100</f>
        <v>0</v>
      </c>
      <c r="H304" s="27">
        <f t="shared" si="46"/>
        <v>0</v>
      </c>
      <c r="I304" s="27">
        <f t="shared" si="40"/>
        <v>0</v>
      </c>
      <c r="J304" s="27">
        <f t="shared" si="41"/>
        <v>0</v>
      </c>
      <c r="K304" s="27">
        <f t="shared" si="42"/>
        <v>0</v>
      </c>
      <c r="L304" s="27">
        <f t="shared" si="43"/>
        <v>0</v>
      </c>
      <c r="M304" s="32" t="str">
        <f>'Input Sheet'!E303</f>
        <v/>
      </c>
      <c r="N304" s="32">
        <f t="shared" si="44"/>
        <v>0</v>
      </c>
      <c r="T304" s="32">
        <f t="shared" si="48"/>
        <v>0</v>
      </c>
      <c r="U304" s="32">
        <f t="shared" si="48"/>
        <v>0</v>
      </c>
      <c r="V304" s="32">
        <f t="shared" si="48"/>
        <v>0</v>
      </c>
      <c r="W304" s="32">
        <f t="shared" si="48"/>
        <v>0</v>
      </c>
      <c r="X304" s="32">
        <f t="shared" si="48"/>
        <v>0</v>
      </c>
    </row>
    <row r="305" spans="1:24" ht="16.5" customHeight="1" x14ac:dyDescent="0.25">
      <c r="A305" s="39" t="str">
        <f>'Long Sample Name'!A302</f>
        <v/>
      </c>
      <c r="B305" s="25" t="str">
        <f ca="1">'Input Sheet'!L304</f>
        <v/>
      </c>
      <c r="C305" s="26" t="str">
        <f ca="1">'Input Sheet'!M304</f>
        <v/>
      </c>
      <c r="D305" s="40">
        <f>'Input Sheet'!B304</f>
        <v>0</v>
      </c>
      <c r="E305" s="37">
        <f>'Input Sheet'!I304</f>
        <v>0</v>
      </c>
      <c r="F305" s="29">
        <f>('Input Sheet'!C304)/100</f>
        <v>0</v>
      </c>
      <c r="G305" s="29">
        <f>('Input Sheet'!F304)/100</f>
        <v>0</v>
      </c>
      <c r="H305" s="27">
        <f t="shared" si="46"/>
        <v>0</v>
      </c>
      <c r="I305" s="27">
        <f t="shared" si="40"/>
        <v>0</v>
      </c>
      <c r="J305" s="27">
        <f t="shared" si="41"/>
        <v>0</v>
      </c>
      <c r="K305" s="27">
        <f t="shared" si="42"/>
        <v>0</v>
      </c>
      <c r="L305" s="27">
        <f t="shared" si="43"/>
        <v>0</v>
      </c>
      <c r="M305" s="32" t="str">
        <f>'Input Sheet'!E304</f>
        <v/>
      </c>
      <c r="N305" s="32">
        <f t="shared" si="44"/>
        <v>0</v>
      </c>
      <c r="T305" s="32">
        <f t="shared" si="48"/>
        <v>0</v>
      </c>
      <c r="U305" s="32">
        <f t="shared" si="48"/>
        <v>0</v>
      </c>
      <c r="V305" s="32">
        <f t="shared" si="48"/>
        <v>0</v>
      </c>
      <c r="W305" s="32">
        <f t="shared" si="48"/>
        <v>0</v>
      </c>
      <c r="X305" s="32">
        <f t="shared" si="48"/>
        <v>0</v>
      </c>
    </row>
    <row r="306" spans="1:24" ht="16.5" customHeight="1" x14ac:dyDescent="0.25">
      <c r="A306" s="39" t="str">
        <f>'Long Sample Name'!A303</f>
        <v/>
      </c>
      <c r="B306" s="25" t="str">
        <f ca="1">'Input Sheet'!L305</f>
        <v/>
      </c>
      <c r="C306" s="26" t="str">
        <f ca="1">'Input Sheet'!M305</f>
        <v/>
      </c>
      <c r="D306" s="40">
        <f>'Input Sheet'!B305</f>
        <v>0</v>
      </c>
      <c r="E306" s="37">
        <f>'Input Sheet'!I305</f>
        <v>0</v>
      </c>
      <c r="F306" s="29">
        <f>('Input Sheet'!C305)/100</f>
        <v>0</v>
      </c>
      <c r="G306" s="29">
        <f>('Input Sheet'!F305)/100</f>
        <v>0</v>
      </c>
      <c r="H306" s="27">
        <f t="shared" si="46"/>
        <v>0</v>
      </c>
      <c r="I306" s="27">
        <f t="shared" si="40"/>
        <v>0</v>
      </c>
      <c r="J306" s="27">
        <f t="shared" si="41"/>
        <v>0</v>
      </c>
      <c r="K306" s="27">
        <f t="shared" si="42"/>
        <v>0</v>
      </c>
      <c r="L306" s="27">
        <f t="shared" si="43"/>
        <v>0</v>
      </c>
      <c r="M306" s="32" t="str">
        <f>'Input Sheet'!E305</f>
        <v/>
      </c>
      <c r="N306" s="32">
        <f t="shared" si="44"/>
        <v>0</v>
      </c>
      <c r="T306" s="32">
        <f t="shared" si="48"/>
        <v>0</v>
      </c>
      <c r="U306" s="32">
        <f t="shared" si="48"/>
        <v>0</v>
      </c>
      <c r="V306" s="32">
        <f t="shared" si="48"/>
        <v>0</v>
      </c>
      <c r="W306" s="32">
        <f t="shared" si="48"/>
        <v>0</v>
      </c>
      <c r="X306" s="32">
        <f t="shared" si="48"/>
        <v>0</v>
      </c>
    </row>
    <row r="307" spans="1:24" ht="16.5" customHeight="1" x14ac:dyDescent="0.25">
      <c r="A307" s="39" t="str">
        <f>'Long Sample Name'!A304</f>
        <v/>
      </c>
      <c r="B307" s="25" t="str">
        <f ca="1">'Input Sheet'!L306</f>
        <v/>
      </c>
      <c r="C307" s="26" t="str">
        <f ca="1">'Input Sheet'!M306</f>
        <v/>
      </c>
      <c r="D307" s="40">
        <f>'Input Sheet'!B306</f>
        <v>0</v>
      </c>
      <c r="E307" s="37">
        <f>'Input Sheet'!I306</f>
        <v>0</v>
      </c>
      <c r="F307" s="29">
        <f>('Input Sheet'!C306)/100</f>
        <v>0</v>
      </c>
      <c r="G307" s="29">
        <f>('Input Sheet'!F306)/100</f>
        <v>0</v>
      </c>
      <c r="H307" s="27">
        <f t="shared" si="46"/>
        <v>0</v>
      </c>
      <c r="I307" s="27">
        <f t="shared" si="40"/>
        <v>0</v>
      </c>
      <c r="J307" s="27">
        <f t="shared" si="41"/>
        <v>0</v>
      </c>
      <c r="K307" s="27">
        <f t="shared" si="42"/>
        <v>0</v>
      </c>
      <c r="L307" s="27">
        <f t="shared" si="43"/>
        <v>0</v>
      </c>
      <c r="M307" s="32" t="str">
        <f>'Input Sheet'!E306</f>
        <v/>
      </c>
      <c r="N307" s="32">
        <f t="shared" si="44"/>
        <v>0</v>
      </c>
      <c r="T307" s="32">
        <f t="shared" si="48"/>
        <v>0</v>
      </c>
      <c r="U307" s="32">
        <f t="shared" si="48"/>
        <v>0</v>
      </c>
      <c r="V307" s="32">
        <f t="shared" si="48"/>
        <v>0</v>
      </c>
      <c r="W307" s="32">
        <f t="shared" si="48"/>
        <v>0</v>
      </c>
      <c r="X307" s="32">
        <f t="shared" si="48"/>
        <v>0</v>
      </c>
    </row>
    <row r="308" spans="1:24" ht="16.5" customHeight="1" x14ac:dyDescent="0.25">
      <c r="A308" s="39" t="str">
        <f>'Long Sample Name'!A305</f>
        <v/>
      </c>
      <c r="B308" s="25" t="str">
        <f ca="1">'Input Sheet'!L307</f>
        <v/>
      </c>
      <c r="C308" s="26" t="str">
        <f ca="1">'Input Sheet'!M307</f>
        <v/>
      </c>
      <c r="D308" s="40">
        <f>'Input Sheet'!B307</f>
        <v>0</v>
      </c>
      <c r="E308" s="37">
        <f>'Input Sheet'!I307</f>
        <v>0</v>
      </c>
      <c r="F308" s="29">
        <f>('Input Sheet'!C307)/100</f>
        <v>0</v>
      </c>
      <c r="G308" s="29">
        <f>('Input Sheet'!F307)/100</f>
        <v>0</v>
      </c>
      <c r="H308" s="27">
        <f t="shared" si="46"/>
        <v>0</v>
      </c>
      <c r="I308" s="27">
        <f t="shared" si="40"/>
        <v>0</v>
      </c>
      <c r="J308" s="27">
        <f t="shared" si="41"/>
        <v>0</v>
      </c>
      <c r="K308" s="27">
        <f t="shared" si="42"/>
        <v>0</v>
      </c>
      <c r="L308" s="27">
        <f t="shared" si="43"/>
        <v>0</v>
      </c>
      <c r="M308" s="32" t="str">
        <f>'Input Sheet'!E307</f>
        <v/>
      </c>
      <c r="N308" s="32">
        <f t="shared" si="44"/>
        <v>0</v>
      </c>
      <c r="T308" s="32">
        <f t="shared" si="48"/>
        <v>0</v>
      </c>
      <c r="U308" s="32">
        <f t="shared" si="48"/>
        <v>0</v>
      </c>
      <c r="V308" s="32">
        <f t="shared" si="48"/>
        <v>0</v>
      </c>
      <c r="W308" s="32">
        <f t="shared" si="48"/>
        <v>0</v>
      </c>
      <c r="X308" s="32">
        <f t="shared" si="48"/>
        <v>0</v>
      </c>
    </row>
    <row r="309" spans="1:24" ht="16.5" customHeight="1" x14ac:dyDescent="0.25">
      <c r="A309" s="39" t="str">
        <f>'Long Sample Name'!A306</f>
        <v/>
      </c>
      <c r="B309" s="25" t="str">
        <f ca="1">'Input Sheet'!L308</f>
        <v/>
      </c>
      <c r="C309" s="26" t="str">
        <f ca="1">'Input Sheet'!M308</f>
        <v/>
      </c>
      <c r="D309" s="40">
        <f>'Input Sheet'!B308</f>
        <v>0</v>
      </c>
      <c r="E309" s="37">
        <f>'Input Sheet'!I308</f>
        <v>0</v>
      </c>
      <c r="F309" s="29">
        <f>('Input Sheet'!C308)/100</f>
        <v>0</v>
      </c>
      <c r="G309" s="29">
        <f>('Input Sheet'!F308)/100</f>
        <v>0</v>
      </c>
      <c r="H309" s="27">
        <f t="shared" si="46"/>
        <v>0</v>
      </c>
      <c r="I309" s="27">
        <f t="shared" si="40"/>
        <v>0</v>
      </c>
      <c r="J309" s="27">
        <f t="shared" si="41"/>
        <v>0</v>
      </c>
      <c r="K309" s="27">
        <f t="shared" si="42"/>
        <v>0</v>
      </c>
      <c r="L309" s="27">
        <f t="shared" si="43"/>
        <v>0</v>
      </c>
      <c r="M309" s="32" t="str">
        <f>'Input Sheet'!E308</f>
        <v/>
      </c>
      <c r="N309" s="32">
        <f t="shared" si="44"/>
        <v>0</v>
      </c>
      <c r="T309" s="32">
        <f t="shared" ref="T309:X324" si="49">IF($M309=T$1,$H309,0)</f>
        <v>0</v>
      </c>
      <c r="U309" s="32">
        <f t="shared" si="49"/>
        <v>0</v>
      </c>
      <c r="V309" s="32">
        <f t="shared" si="49"/>
        <v>0</v>
      </c>
      <c r="W309" s="32">
        <f t="shared" si="49"/>
        <v>0</v>
      </c>
      <c r="X309" s="32">
        <f t="shared" si="49"/>
        <v>0</v>
      </c>
    </row>
    <row r="310" spans="1:24" ht="16.5" customHeight="1" x14ac:dyDescent="0.25">
      <c r="A310" s="39" t="str">
        <f>'Long Sample Name'!A307</f>
        <v/>
      </c>
      <c r="B310" s="25" t="str">
        <f ca="1">'Input Sheet'!L309</f>
        <v/>
      </c>
      <c r="C310" s="26" t="str">
        <f ca="1">'Input Sheet'!M309</f>
        <v/>
      </c>
      <c r="D310" s="40">
        <f>'Input Sheet'!B309</f>
        <v>0</v>
      </c>
      <c r="E310" s="37">
        <f>'Input Sheet'!I309</f>
        <v>0</v>
      </c>
      <c r="F310" s="29">
        <f>('Input Sheet'!C309)/100</f>
        <v>0</v>
      </c>
      <c r="G310" s="29">
        <f>('Input Sheet'!F309)/100</f>
        <v>0</v>
      </c>
      <c r="H310" s="27">
        <f t="shared" si="46"/>
        <v>0</v>
      </c>
      <c r="I310" s="27">
        <f t="shared" si="40"/>
        <v>0</v>
      </c>
      <c r="J310" s="27">
        <f t="shared" si="41"/>
        <v>0</v>
      </c>
      <c r="K310" s="27">
        <f t="shared" si="42"/>
        <v>0</v>
      </c>
      <c r="L310" s="27">
        <f t="shared" si="43"/>
        <v>0</v>
      </c>
      <c r="M310" s="32" t="str">
        <f>'Input Sheet'!E309</f>
        <v/>
      </c>
      <c r="N310" s="32">
        <f t="shared" si="44"/>
        <v>0</v>
      </c>
      <c r="T310" s="32">
        <f t="shared" si="49"/>
        <v>0</v>
      </c>
      <c r="U310" s="32">
        <f t="shared" si="49"/>
        <v>0</v>
      </c>
      <c r="V310" s="32">
        <f t="shared" si="49"/>
        <v>0</v>
      </c>
      <c r="W310" s="32">
        <f t="shared" si="49"/>
        <v>0</v>
      </c>
      <c r="X310" s="32">
        <f t="shared" si="49"/>
        <v>0</v>
      </c>
    </row>
    <row r="311" spans="1:24" ht="16.5" customHeight="1" x14ac:dyDescent="0.25">
      <c r="A311" s="39" t="str">
        <f>'Long Sample Name'!A308</f>
        <v/>
      </c>
      <c r="B311" s="25" t="str">
        <f ca="1">'Input Sheet'!L310</f>
        <v/>
      </c>
      <c r="C311" s="26" t="str">
        <f ca="1">'Input Sheet'!M310</f>
        <v/>
      </c>
      <c r="D311" s="40">
        <f>'Input Sheet'!B310</f>
        <v>0</v>
      </c>
      <c r="E311" s="37">
        <f>'Input Sheet'!I310</f>
        <v>0</v>
      </c>
      <c r="F311" s="29">
        <f>('Input Sheet'!C310)/100</f>
        <v>0</v>
      </c>
      <c r="G311" s="29">
        <f>('Input Sheet'!F310)/100</f>
        <v>0</v>
      </c>
      <c r="H311" s="27">
        <f t="shared" si="46"/>
        <v>0</v>
      </c>
      <c r="I311" s="27">
        <f t="shared" si="40"/>
        <v>0</v>
      </c>
      <c r="J311" s="27">
        <f t="shared" si="41"/>
        <v>0</v>
      </c>
      <c r="K311" s="27">
        <f t="shared" si="42"/>
        <v>0</v>
      </c>
      <c r="L311" s="27">
        <f t="shared" si="43"/>
        <v>0</v>
      </c>
      <c r="M311" s="32" t="str">
        <f>'Input Sheet'!E310</f>
        <v/>
      </c>
      <c r="N311" s="32">
        <f t="shared" si="44"/>
        <v>0</v>
      </c>
      <c r="T311" s="32">
        <f t="shared" si="49"/>
        <v>0</v>
      </c>
      <c r="U311" s="32">
        <f t="shared" si="49"/>
        <v>0</v>
      </c>
      <c r="V311" s="32">
        <f t="shared" si="49"/>
        <v>0</v>
      </c>
      <c r="W311" s="32">
        <f t="shared" si="49"/>
        <v>0</v>
      </c>
      <c r="X311" s="32">
        <f t="shared" si="49"/>
        <v>0</v>
      </c>
    </row>
    <row r="312" spans="1:24" ht="16.5" customHeight="1" x14ac:dyDescent="0.25">
      <c r="A312" s="39" t="str">
        <f>'Long Sample Name'!A309</f>
        <v/>
      </c>
      <c r="B312" s="25" t="str">
        <f ca="1">'Input Sheet'!L311</f>
        <v/>
      </c>
      <c r="C312" s="26" t="str">
        <f ca="1">'Input Sheet'!M311</f>
        <v/>
      </c>
      <c r="D312" s="40">
        <f>'Input Sheet'!B311</f>
        <v>0</v>
      </c>
      <c r="E312" s="37">
        <f>'Input Sheet'!I311</f>
        <v>0</v>
      </c>
      <c r="F312" s="29">
        <f>('Input Sheet'!C311)/100</f>
        <v>0</v>
      </c>
      <c r="G312" s="29">
        <f>('Input Sheet'!F311)/100</f>
        <v>0</v>
      </c>
      <c r="H312" s="27">
        <f t="shared" si="46"/>
        <v>0</v>
      </c>
      <c r="I312" s="27">
        <f t="shared" si="40"/>
        <v>0</v>
      </c>
      <c r="J312" s="27">
        <f t="shared" si="41"/>
        <v>0</v>
      </c>
      <c r="K312" s="27">
        <f t="shared" si="42"/>
        <v>0</v>
      </c>
      <c r="L312" s="27">
        <f t="shared" si="43"/>
        <v>0</v>
      </c>
      <c r="M312" s="32" t="str">
        <f>'Input Sheet'!E311</f>
        <v/>
      </c>
      <c r="N312" s="32">
        <f t="shared" si="44"/>
        <v>0</v>
      </c>
      <c r="T312" s="32">
        <f t="shared" si="49"/>
        <v>0</v>
      </c>
      <c r="U312" s="32">
        <f t="shared" si="49"/>
        <v>0</v>
      </c>
      <c r="V312" s="32">
        <f t="shared" si="49"/>
        <v>0</v>
      </c>
      <c r="W312" s="32">
        <f t="shared" si="49"/>
        <v>0</v>
      </c>
      <c r="X312" s="32">
        <f t="shared" si="49"/>
        <v>0</v>
      </c>
    </row>
    <row r="313" spans="1:24" ht="16.5" customHeight="1" x14ac:dyDescent="0.25">
      <c r="A313" s="39" t="str">
        <f>'Long Sample Name'!A310</f>
        <v/>
      </c>
      <c r="B313" s="25" t="str">
        <f ca="1">'Input Sheet'!L312</f>
        <v/>
      </c>
      <c r="C313" s="26" t="str">
        <f ca="1">'Input Sheet'!M312</f>
        <v/>
      </c>
      <c r="D313" s="40">
        <f>'Input Sheet'!B312</f>
        <v>0</v>
      </c>
      <c r="E313" s="37">
        <f>'Input Sheet'!I312</f>
        <v>0</v>
      </c>
      <c r="F313" s="29">
        <f>('Input Sheet'!C312)/100</f>
        <v>0</v>
      </c>
      <c r="G313" s="29">
        <f>('Input Sheet'!F312)/100</f>
        <v>0</v>
      </c>
      <c r="H313" s="27">
        <f t="shared" si="46"/>
        <v>0</v>
      </c>
      <c r="I313" s="27">
        <f t="shared" si="40"/>
        <v>0</v>
      </c>
      <c r="J313" s="27">
        <f t="shared" si="41"/>
        <v>0</v>
      </c>
      <c r="K313" s="27">
        <f t="shared" si="42"/>
        <v>0</v>
      </c>
      <c r="L313" s="27">
        <f t="shared" si="43"/>
        <v>0</v>
      </c>
      <c r="M313" s="32" t="str">
        <f>'Input Sheet'!E312</f>
        <v/>
      </c>
      <c r="N313" s="32">
        <f t="shared" si="44"/>
        <v>0</v>
      </c>
      <c r="T313" s="32">
        <f t="shared" si="49"/>
        <v>0</v>
      </c>
      <c r="U313" s="32">
        <f t="shared" si="49"/>
        <v>0</v>
      </c>
      <c r="V313" s="32">
        <f t="shared" si="49"/>
        <v>0</v>
      </c>
      <c r="W313" s="32">
        <f t="shared" si="49"/>
        <v>0</v>
      </c>
      <c r="X313" s="32">
        <f t="shared" si="49"/>
        <v>0</v>
      </c>
    </row>
    <row r="314" spans="1:24" ht="16.5" customHeight="1" x14ac:dyDescent="0.25">
      <c r="A314" s="39" t="str">
        <f>'Long Sample Name'!A311</f>
        <v/>
      </c>
      <c r="B314" s="25" t="str">
        <f ca="1">'Input Sheet'!L313</f>
        <v/>
      </c>
      <c r="C314" s="26" t="str">
        <f ca="1">'Input Sheet'!M313</f>
        <v/>
      </c>
      <c r="D314" s="40">
        <f>'Input Sheet'!B313</f>
        <v>0</v>
      </c>
      <c r="E314" s="37">
        <f>'Input Sheet'!I313</f>
        <v>0</v>
      </c>
      <c r="F314" s="29">
        <f>('Input Sheet'!C313)/100</f>
        <v>0</v>
      </c>
      <c r="G314" s="29">
        <f>('Input Sheet'!F313)/100</f>
        <v>0</v>
      </c>
      <c r="H314" s="27">
        <f t="shared" si="46"/>
        <v>0</v>
      </c>
      <c r="I314" s="27">
        <f t="shared" si="40"/>
        <v>0</v>
      </c>
      <c r="J314" s="27">
        <f t="shared" si="41"/>
        <v>0</v>
      </c>
      <c r="K314" s="27">
        <f t="shared" si="42"/>
        <v>0</v>
      </c>
      <c r="L314" s="27">
        <f t="shared" si="43"/>
        <v>0</v>
      </c>
      <c r="M314" s="32" t="str">
        <f>'Input Sheet'!E313</f>
        <v/>
      </c>
      <c r="N314" s="32">
        <f t="shared" si="44"/>
        <v>0</v>
      </c>
      <c r="T314" s="32">
        <f t="shared" si="49"/>
        <v>0</v>
      </c>
      <c r="U314" s="32">
        <f t="shared" si="49"/>
        <v>0</v>
      </c>
      <c r="V314" s="32">
        <f t="shared" si="49"/>
        <v>0</v>
      </c>
      <c r="W314" s="32">
        <f t="shared" si="49"/>
        <v>0</v>
      </c>
      <c r="X314" s="32">
        <f t="shared" si="49"/>
        <v>0</v>
      </c>
    </row>
    <row r="315" spans="1:24" ht="16.5" customHeight="1" x14ac:dyDescent="0.25">
      <c r="A315" s="39" t="str">
        <f>'Long Sample Name'!A312</f>
        <v/>
      </c>
      <c r="B315" s="25" t="str">
        <f ca="1">'Input Sheet'!L314</f>
        <v/>
      </c>
      <c r="C315" s="26" t="str">
        <f ca="1">'Input Sheet'!M314</f>
        <v/>
      </c>
      <c r="D315" s="40">
        <f>'Input Sheet'!B314</f>
        <v>0</v>
      </c>
      <c r="E315" s="37">
        <f>'Input Sheet'!I314</f>
        <v>0</v>
      </c>
      <c r="F315" s="29">
        <f>('Input Sheet'!C314)/100</f>
        <v>0</v>
      </c>
      <c r="G315" s="29">
        <f>('Input Sheet'!F314)/100</f>
        <v>0</v>
      </c>
      <c r="H315" s="27">
        <f t="shared" si="46"/>
        <v>0</v>
      </c>
      <c r="I315" s="27">
        <f t="shared" si="40"/>
        <v>0</v>
      </c>
      <c r="J315" s="27">
        <f t="shared" si="41"/>
        <v>0</v>
      </c>
      <c r="K315" s="27">
        <f t="shared" si="42"/>
        <v>0</v>
      </c>
      <c r="L315" s="27">
        <f t="shared" si="43"/>
        <v>0</v>
      </c>
      <c r="M315" s="32" t="str">
        <f>'Input Sheet'!E314</f>
        <v/>
      </c>
      <c r="N315" s="32">
        <f t="shared" si="44"/>
        <v>0</v>
      </c>
      <c r="T315" s="32">
        <f t="shared" si="49"/>
        <v>0</v>
      </c>
      <c r="U315" s="32">
        <f t="shared" si="49"/>
        <v>0</v>
      </c>
      <c r="V315" s="32">
        <f t="shared" si="49"/>
        <v>0</v>
      </c>
      <c r="W315" s="32">
        <f t="shared" si="49"/>
        <v>0</v>
      </c>
      <c r="X315" s="32">
        <f t="shared" si="49"/>
        <v>0</v>
      </c>
    </row>
    <row r="316" spans="1:24" ht="16.5" customHeight="1" x14ac:dyDescent="0.25">
      <c r="A316" s="39" t="str">
        <f>'Long Sample Name'!A313</f>
        <v/>
      </c>
      <c r="B316" s="25" t="str">
        <f ca="1">'Input Sheet'!L315</f>
        <v/>
      </c>
      <c r="C316" s="26" t="str">
        <f ca="1">'Input Sheet'!M315</f>
        <v/>
      </c>
      <c r="D316" s="40">
        <f>'Input Sheet'!B315</f>
        <v>0</v>
      </c>
      <c r="E316" s="37">
        <f>'Input Sheet'!I315</f>
        <v>0</v>
      </c>
      <c r="F316" s="29">
        <f>('Input Sheet'!C315)/100</f>
        <v>0</v>
      </c>
      <c r="G316" s="29">
        <f>('Input Sheet'!F315)/100</f>
        <v>0</v>
      </c>
      <c r="H316" s="27">
        <f t="shared" si="46"/>
        <v>0</v>
      </c>
      <c r="I316" s="27">
        <f t="shared" si="40"/>
        <v>0</v>
      </c>
      <c r="J316" s="27">
        <f t="shared" si="41"/>
        <v>0</v>
      </c>
      <c r="K316" s="27">
        <f t="shared" si="42"/>
        <v>0</v>
      </c>
      <c r="L316" s="27">
        <f t="shared" si="43"/>
        <v>0</v>
      </c>
      <c r="M316" s="32" t="str">
        <f>'Input Sheet'!E315</f>
        <v/>
      </c>
      <c r="N316" s="32">
        <f t="shared" si="44"/>
        <v>0</v>
      </c>
      <c r="T316" s="32">
        <f t="shared" si="49"/>
        <v>0</v>
      </c>
      <c r="U316" s="32">
        <f t="shared" si="49"/>
        <v>0</v>
      </c>
      <c r="V316" s="32">
        <f t="shared" si="49"/>
        <v>0</v>
      </c>
      <c r="W316" s="32">
        <f t="shared" si="49"/>
        <v>0</v>
      </c>
      <c r="X316" s="32">
        <f t="shared" si="49"/>
        <v>0</v>
      </c>
    </row>
    <row r="317" spans="1:24" ht="16.5" customHeight="1" x14ac:dyDescent="0.25">
      <c r="A317" s="39" t="str">
        <f>'Long Sample Name'!A314</f>
        <v/>
      </c>
      <c r="B317" s="25" t="str">
        <f ca="1">'Input Sheet'!L316</f>
        <v/>
      </c>
      <c r="C317" s="26" t="str">
        <f ca="1">'Input Sheet'!M316</f>
        <v/>
      </c>
      <c r="D317" s="40">
        <f>'Input Sheet'!B316</f>
        <v>0</v>
      </c>
      <c r="E317" s="37">
        <f>'Input Sheet'!I316</f>
        <v>0</v>
      </c>
      <c r="F317" s="29">
        <f>('Input Sheet'!C316)/100</f>
        <v>0</v>
      </c>
      <c r="G317" s="29">
        <f>('Input Sheet'!F316)/100</f>
        <v>0</v>
      </c>
      <c r="H317" s="27">
        <f t="shared" si="46"/>
        <v>0</v>
      </c>
      <c r="I317" s="27">
        <f t="shared" si="40"/>
        <v>0</v>
      </c>
      <c r="J317" s="27">
        <f t="shared" si="41"/>
        <v>0</v>
      </c>
      <c r="K317" s="27">
        <f t="shared" si="42"/>
        <v>0</v>
      </c>
      <c r="L317" s="27">
        <f t="shared" si="43"/>
        <v>0</v>
      </c>
      <c r="M317" s="32" t="str">
        <f>'Input Sheet'!E316</f>
        <v/>
      </c>
      <c r="N317" s="32">
        <f t="shared" si="44"/>
        <v>0</v>
      </c>
      <c r="T317" s="32">
        <f t="shared" si="49"/>
        <v>0</v>
      </c>
      <c r="U317" s="32">
        <f t="shared" si="49"/>
        <v>0</v>
      </c>
      <c r="V317" s="32">
        <f t="shared" si="49"/>
        <v>0</v>
      </c>
      <c r="W317" s="32">
        <f t="shared" si="49"/>
        <v>0</v>
      </c>
      <c r="X317" s="32">
        <f t="shared" si="49"/>
        <v>0</v>
      </c>
    </row>
    <row r="318" spans="1:24" ht="16.5" customHeight="1" x14ac:dyDescent="0.25">
      <c r="A318" s="39" t="str">
        <f>'Long Sample Name'!A315</f>
        <v/>
      </c>
      <c r="B318" s="25" t="str">
        <f ca="1">'Input Sheet'!L317</f>
        <v/>
      </c>
      <c r="C318" s="26" t="str">
        <f ca="1">'Input Sheet'!M317</f>
        <v/>
      </c>
      <c r="D318" s="40">
        <f>'Input Sheet'!B317</f>
        <v>0</v>
      </c>
      <c r="E318" s="37">
        <f>'Input Sheet'!I317</f>
        <v>0</v>
      </c>
      <c r="F318" s="29">
        <f>('Input Sheet'!C317)/100</f>
        <v>0</v>
      </c>
      <c r="G318" s="29">
        <f>('Input Sheet'!F317)/100</f>
        <v>0</v>
      </c>
      <c r="H318" s="27">
        <f t="shared" si="46"/>
        <v>0</v>
      </c>
      <c r="I318" s="27">
        <f t="shared" si="40"/>
        <v>0</v>
      </c>
      <c r="J318" s="27">
        <f t="shared" si="41"/>
        <v>0</v>
      </c>
      <c r="K318" s="27">
        <f t="shared" si="42"/>
        <v>0</v>
      </c>
      <c r="L318" s="27">
        <f t="shared" si="43"/>
        <v>0</v>
      </c>
      <c r="M318" s="32" t="str">
        <f>'Input Sheet'!E317</f>
        <v/>
      </c>
      <c r="N318" s="32">
        <f t="shared" si="44"/>
        <v>0</v>
      </c>
      <c r="T318" s="32">
        <f t="shared" si="49"/>
        <v>0</v>
      </c>
      <c r="U318" s="32">
        <f t="shared" si="49"/>
        <v>0</v>
      </c>
      <c r="V318" s="32">
        <f t="shared" si="49"/>
        <v>0</v>
      </c>
      <c r="W318" s="32">
        <f t="shared" si="49"/>
        <v>0</v>
      </c>
      <c r="X318" s="32">
        <f t="shared" si="49"/>
        <v>0</v>
      </c>
    </row>
    <row r="319" spans="1:24" ht="16.5" customHeight="1" x14ac:dyDescent="0.25">
      <c r="A319" s="39" t="str">
        <f>'Long Sample Name'!A316</f>
        <v/>
      </c>
      <c r="B319" s="25" t="str">
        <f ca="1">'Input Sheet'!L318</f>
        <v/>
      </c>
      <c r="C319" s="26" t="str">
        <f ca="1">'Input Sheet'!M318</f>
        <v/>
      </c>
      <c r="D319" s="40">
        <f>'Input Sheet'!B318</f>
        <v>0</v>
      </c>
      <c r="E319" s="37">
        <f>'Input Sheet'!I318</f>
        <v>0</v>
      </c>
      <c r="F319" s="29">
        <f>('Input Sheet'!C318)/100</f>
        <v>0</v>
      </c>
      <c r="G319" s="29">
        <f>('Input Sheet'!F318)/100</f>
        <v>0</v>
      </c>
      <c r="H319" s="27">
        <f t="shared" si="46"/>
        <v>0</v>
      </c>
      <c r="I319" s="27">
        <f t="shared" si="40"/>
        <v>0</v>
      </c>
      <c r="J319" s="27">
        <f t="shared" si="41"/>
        <v>0</v>
      </c>
      <c r="K319" s="27">
        <f t="shared" si="42"/>
        <v>0</v>
      </c>
      <c r="L319" s="27">
        <f t="shared" si="43"/>
        <v>0</v>
      </c>
      <c r="M319" s="32" t="str">
        <f>'Input Sheet'!E318</f>
        <v/>
      </c>
      <c r="N319" s="32">
        <f t="shared" si="44"/>
        <v>0</v>
      </c>
      <c r="T319" s="32">
        <f t="shared" si="49"/>
        <v>0</v>
      </c>
      <c r="U319" s="32">
        <f t="shared" si="49"/>
        <v>0</v>
      </c>
      <c r="V319" s="32">
        <f t="shared" si="49"/>
        <v>0</v>
      </c>
      <c r="W319" s="32">
        <f t="shared" si="49"/>
        <v>0</v>
      </c>
      <c r="X319" s="32">
        <f t="shared" si="49"/>
        <v>0</v>
      </c>
    </row>
    <row r="320" spans="1:24" ht="16.5" customHeight="1" x14ac:dyDescent="0.25">
      <c r="A320" s="39" t="str">
        <f>'Long Sample Name'!A317</f>
        <v/>
      </c>
      <c r="B320" s="25" t="str">
        <f ca="1">'Input Sheet'!L319</f>
        <v/>
      </c>
      <c r="C320" s="26" t="str">
        <f ca="1">'Input Sheet'!M319</f>
        <v/>
      </c>
      <c r="D320" s="40">
        <f>'Input Sheet'!B319</f>
        <v>0</v>
      </c>
      <c r="E320" s="37">
        <f>'Input Sheet'!I319</f>
        <v>0</v>
      </c>
      <c r="F320" s="29">
        <f>('Input Sheet'!C319)/100</f>
        <v>0</v>
      </c>
      <c r="G320" s="29">
        <f>('Input Sheet'!F319)/100</f>
        <v>0</v>
      </c>
      <c r="H320" s="27">
        <f t="shared" si="46"/>
        <v>0</v>
      </c>
      <c r="I320" s="27">
        <f t="shared" si="40"/>
        <v>0</v>
      </c>
      <c r="J320" s="27">
        <f t="shared" si="41"/>
        <v>0</v>
      </c>
      <c r="K320" s="27">
        <f t="shared" si="42"/>
        <v>0</v>
      </c>
      <c r="L320" s="27">
        <f t="shared" si="43"/>
        <v>0</v>
      </c>
      <c r="M320" s="32" t="str">
        <f>'Input Sheet'!E319</f>
        <v/>
      </c>
      <c r="N320" s="32">
        <f t="shared" si="44"/>
        <v>0</v>
      </c>
      <c r="T320" s="32">
        <f t="shared" si="49"/>
        <v>0</v>
      </c>
      <c r="U320" s="32">
        <f t="shared" si="49"/>
        <v>0</v>
      </c>
      <c r="V320" s="32">
        <f t="shared" si="49"/>
        <v>0</v>
      </c>
      <c r="W320" s="32">
        <f t="shared" si="49"/>
        <v>0</v>
      </c>
      <c r="X320" s="32">
        <f t="shared" si="49"/>
        <v>0</v>
      </c>
    </row>
    <row r="321" spans="1:24" ht="16.5" customHeight="1" x14ac:dyDescent="0.25">
      <c r="A321" s="39" t="str">
        <f>'Long Sample Name'!A318</f>
        <v/>
      </c>
      <c r="B321" s="25" t="str">
        <f ca="1">'Input Sheet'!L320</f>
        <v/>
      </c>
      <c r="C321" s="26" t="str">
        <f ca="1">'Input Sheet'!M320</f>
        <v/>
      </c>
      <c r="D321" s="40">
        <f>'Input Sheet'!B320</f>
        <v>0</v>
      </c>
      <c r="E321" s="37">
        <f>'Input Sheet'!I320</f>
        <v>0</v>
      </c>
      <c r="F321" s="29">
        <f>('Input Sheet'!C320)/100</f>
        <v>0</v>
      </c>
      <c r="G321" s="29">
        <f>('Input Sheet'!F320)/100</f>
        <v>0</v>
      </c>
      <c r="H321" s="27">
        <f t="shared" si="46"/>
        <v>0</v>
      </c>
      <c r="I321" s="27">
        <f t="shared" si="40"/>
        <v>0</v>
      </c>
      <c r="J321" s="27">
        <f t="shared" si="41"/>
        <v>0</v>
      </c>
      <c r="K321" s="27">
        <f t="shared" si="42"/>
        <v>0</v>
      </c>
      <c r="L321" s="27">
        <f t="shared" si="43"/>
        <v>0</v>
      </c>
      <c r="M321" s="32" t="str">
        <f>'Input Sheet'!E320</f>
        <v/>
      </c>
      <c r="N321" s="32">
        <f t="shared" si="44"/>
        <v>0</v>
      </c>
      <c r="T321" s="32">
        <f t="shared" si="49"/>
        <v>0</v>
      </c>
      <c r="U321" s="32">
        <f t="shared" si="49"/>
        <v>0</v>
      </c>
      <c r="V321" s="32">
        <f t="shared" si="49"/>
        <v>0</v>
      </c>
      <c r="W321" s="32">
        <f t="shared" si="49"/>
        <v>0</v>
      </c>
      <c r="X321" s="32">
        <f t="shared" si="49"/>
        <v>0</v>
      </c>
    </row>
    <row r="322" spans="1:24" ht="16.5" customHeight="1" x14ac:dyDescent="0.25">
      <c r="A322" s="39" t="str">
        <f>'Long Sample Name'!A319</f>
        <v/>
      </c>
      <c r="B322" s="25" t="str">
        <f ca="1">'Input Sheet'!L321</f>
        <v/>
      </c>
      <c r="C322" s="26" t="str">
        <f ca="1">'Input Sheet'!M321</f>
        <v/>
      </c>
      <c r="D322" s="40">
        <f>'Input Sheet'!B321</f>
        <v>0</v>
      </c>
      <c r="E322" s="37">
        <f>'Input Sheet'!I321</f>
        <v>0</v>
      </c>
      <c r="F322" s="29">
        <f>('Input Sheet'!C321)/100</f>
        <v>0</v>
      </c>
      <c r="G322" s="29">
        <f>('Input Sheet'!F321)/100</f>
        <v>0</v>
      </c>
      <c r="H322" s="27">
        <f t="shared" si="46"/>
        <v>0</v>
      </c>
      <c r="I322" s="27">
        <f t="shared" si="40"/>
        <v>0</v>
      </c>
      <c r="J322" s="27">
        <f t="shared" si="41"/>
        <v>0</v>
      </c>
      <c r="K322" s="27">
        <f t="shared" si="42"/>
        <v>0</v>
      </c>
      <c r="L322" s="27">
        <f t="shared" si="43"/>
        <v>0</v>
      </c>
      <c r="M322" s="32" t="str">
        <f>'Input Sheet'!E321</f>
        <v/>
      </c>
      <c r="N322" s="32">
        <f t="shared" si="44"/>
        <v>0</v>
      </c>
      <c r="T322" s="32">
        <f t="shared" si="49"/>
        <v>0</v>
      </c>
      <c r="U322" s="32">
        <f t="shared" si="49"/>
        <v>0</v>
      </c>
      <c r="V322" s="32">
        <f t="shared" si="49"/>
        <v>0</v>
      </c>
      <c r="W322" s="32">
        <f t="shared" si="49"/>
        <v>0</v>
      </c>
      <c r="X322" s="32">
        <f t="shared" si="49"/>
        <v>0</v>
      </c>
    </row>
    <row r="323" spans="1:24" ht="16.5" customHeight="1" x14ac:dyDescent="0.25">
      <c r="A323" s="39" t="str">
        <f>'Long Sample Name'!A320</f>
        <v/>
      </c>
      <c r="B323" s="25" t="str">
        <f ca="1">'Input Sheet'!L322</f>
        <v/>
      </c>
      <c r="C323" s="26" t="str">
        <f ca="1">'Input Sheet'!M322</f>
        <v/>
      </c>
      <c r="D323" s="40">
        <f>'Input Sheet'!B322</f>
        <v>0</v>
      </c>
      <c r="E323" s="37">
        <f>'Input Sheet'!I322</f>
        <v>0</v>
      </c>
      <c r="F323" s="29">
        <f>('Input Sheet'!C322)/100</f>
        <v>0</v>
      </c>
      <c r="G323" s="29">
        <f>('Input Sheet'!F322)/100</f>
        <v>0</v>
      </c>
      <c r="H323" s="27">
        <f t="shared" si="46"/>
        <v>0</v>
      </c>
      <c r="I323" s="27">
        <f t="shared" si="40"/>
        <v>0</v>
      </c>
      <c r="J323" s="27">
        <f t="shared" si="41"/>
        <v>0</v>
      </c>
      <c r="K323" s="27">
        <f t="shared" si="42"/>
        <v>0</v>
      </c>
      <c r="L323" s="27">
        <f t="shared" si="43"/>
        <v>0</v>
      </c>
      <c r="M323" s="32" t="str">
        <f>'Input Sheet'!E322</f>
        <v/>
      </c>
      <c r="N323" s="32">
        <f t="shared" si="44"/>
        <v>0</v>
      </c>
      <c r="T323" s="32">
        <f t="shared" si="49"/>
        <v>0</v>
      </c>
      <c r="U323" s="32">
        <f t="shared" si="49"/>
        <v>0</v>
      </c>
      <c r="V323" s="32">
        <f t="shared" si="49"/>
        <v>0</v>
      </c>
      <c r="W323" s="32">
        <f t="shared" si="49"/>
        <v>0</v>
      </c>
      <c r="X323" s="32">
        <f t="shared" si="49"/>
        <v>0</v>
      </c>
    </row>
    <row r="324" spans="1:24" ht="16.5" customHeight="1" x14ac:dyDescent="0.25">
      <c r="A324" s="39" t="str">
        <f>'Long Sample Name'!A321</f>
        <v/>
      </c>
      <c r="B324" s="25" t="str">
        <f ca="1">'Input Sheet'!L323</f>
        <v/>
      </c>
      <c r="C324" s="26" t="str">
        <f ca="1">'Input Sheet'!M323</f>
        <v/>
      </c>
      <c r="D324" s="40">
        <f>'Input Sheet'!B323</f>
        <v>0</v>
      </c>
      <c r="E324" s="37">
        <f>'Input Sheet'!I323</f>
        <v>0</v>
      </c>
      <c r="F324" s="29">
        <f>('Input Sheet'!C323)/100</f>
        <v>0</v>
      </c>
      <c r="G324" s="29">
        <f>('Input Sheet'!F323)/100</f>
        <v>0</v>
      </c>
      <c r="H324" s="27">
        <f t="shared" si="46"/>
        <v>0</v>
      </c>
      <c r="I324" s="27">
        <f t="shared" si="40"/>
        <v>0</v>
      </c>
      <c r="J324" s="27">
        <f t="shared" si="41"/>
        <v>0</v>
      </c>
      <c r="K324" s="27">
        <f t="shared" si="42"/>
        <v>0</v>
      </c>
      <c r="L324" s="27">
        <f t="shared" si="43"/>
        <v>0</v>
      </c>
      <c r="M324" s="32" t="str">
        <f>'Input Sheet'!E323</f>
        <v/>
      </c>
      <c r="N324" s="32">
        <f t="shared" si="44"/>
        <v>0</v>
      </c>
      <c r="T324" s="32">
        <f t="shared" si="49"/>
        <v>0</v>
      </c>
      <c r="U324" s="32">
        <f t="shared" si="49"/>
        <v>0</v>
      </c>
      <c r="V324" s="32">
        <f t="shared" si="49"/>
        <v>0</v>
      </c>
      <c r="W324" s="32">
        <f t="shared" si="49"/>
        <v>0</v>
      </c>
      <c r="X324" s="32">
        <f t="shared" si="49"/>
        <v>0</v>
      </c>
    </row>
    <row r="325" spans="1:24" ht="16.5" customHeight="1" x14ac:dyDescent="0.25">
      <c r="A325" s="39" t="str">
        <f>'Long Sample Name'!A322</f>
        <v/>
      </c>
      <c r="B325" s="25" t="str">
        <f ca="1">'Input Sheet'!L324</f>
        <v/>
      </c>
      <c r="C325" s="26" t="str">
        <f ca="1">'Input Sheet'!M324</f>
        <v/>
      </c>
      <c r="D325" s="40">
        <f>'Input Sheet'!B324</f>
        <v>0</v>
      </c>
      <c r="E325" s="37">
        <f>'Input Sheet'!I324</f>
        <v>0</v>
      </c>
      <c r="F325" s="29">
        <f>('Input Sheet'!C324)/100</f>
        <v>0</v>
      </c>
      <c r="G325" s="29">
        <f>('Input Sheet'!F324)/100</f>
        <v>0</v>
      </c>
      <c r="H325" s="27">
        <f t="shared" si="46"/>
        <v>0</v>
      </c>
      <c r="I325" s="27">
        <f t="shared" ref="I325:I388" si="50">IF(AND(F325&gt;=$F$2,G325&gt;=$G$2),H325,0)</f>
        <v>0</v>
      </c>
      <c r="J325" s="27">
        <f t="shared" ref="J325:J388" si="51">IF(I325&gt;0,I325*F325,0)</f>
        <v>0</v>
      </c>
      <c r="K325" s="27">
        <f t="shared" ref="K325:K388" si="52">IF(AND(F325&gt;=$F$3,G325&gt;=$G$3),H325,0)</f>
        <v>0</v>
      </c>
      <c r="L325" s="27">
        <f t="shared" ref="L325:L388" si="53">IF(K325&gt;0,K325*F325,0)</f>
        <v>0</v>
      </c>
      <c r="M325" s="32" t="str">
        <f>'Input Sheet'!E324</f>
        <v/>
      </c>
      <c r="N325" s="32">
        <f t="shared" ref="N325:N388" si="54">IF(M325="VF",1,IF(M325="F",2,IF(M325="M",3,IF(M325="C",4,IF(M325="VC",5,0)))))</f>
        <v>0</v>
      </c>
      <c r="T325" s="32">
        <f t="shared" ref="T325:X340" si="55">IF($M325=T$1,$H325,0)</f>
        <v>0</v>
      </c>
      <c r="U325" s="32">
        <f t="shared" si="55"/>
        <v>0</v>
      </c>
      <c r="V325" s="32">
        <f t="shared" si="55"/>
        <v>0</v>
      </c>
      <c r="W325" s="32">
        <f t="shared" si="55"/>
        <v>0</v>
      </c>
      <c r="X325" s="32">
        <f t="shared" si="55"/>
        <v>0</v>
      </c>
    </row>
    <row r="326" spans="1:24" ht="16.5" customHeight="1" x14ac:dyDescent="0.25">
      <c r="A326" s="39" t="str">
        <f>'Long Sample Name'!A323</f>
        <v/>
      </c>
      <c r="B326" s="25" t="str">
        <f ca="1">'Input Sheet'!L325</f>
        <v/>
      </c>
      <c r="C326" s="26" t="str">
        <f ca="1">'Input Sheet'!M325</f>
        <v/>
      </c>
      <c r="D326" s="40">
        <f>'Input Sheet'!B325</f>
        <v>0</v>
      </c>
      <c r="E326" s="37">
        <f>'Input Sheet'!I325</f>
        <v>0</v>
      </c>
      <c r="F326" s="29">
        <f>('Input Sheet'!C325)/100</f>
        <v>0</v>
      </c>
      <c r="G326" s="29">
        <f>('Input Sheet'!F325)/100</f>
        <v>0</v>
      </c>
      <c r="H326" s="27">
        <f t="shared" ref="H326:H389" si="56">IF(D326&lt;&gt;"",D326-D325,"")</f>
        <v>0</v>
      </c>
      <c r="I326" s="27">
        <f t="shared" si="50"/>
        <v>0</v>
      </c>
      <c r="J326" s="27">
        <f t="shared" si="51"/>
        <v>0</v>
      </c>
      <c r="K326" s="27">
        <f t="shared" si="52"/>
        <v>0</v>
      </c>
      <c r="L326" s="27">
        <f t="shared" si="53"/>
        <v>0</v>
      </c>
      <c r="M326" s="32" t="str">
        <f>'Input Sheet'!E325</f>
        <v/>
      </c>
      <c r="N326" s="32">
        <f t="shared" si="54"/>
        <v>0</v>
      </c>
      <c r="T326" s="32">
        <f t="shared" si="55"/>
        <v>0</v>
      </c>
      <c r="U326" s="32">
        <f t="shared" si="55"/>
        <v>0</v>
      </c>
      <c r="V326" s="32">
        <f t="shared" si="55"/>
        <v>0</v>
      </c>
      <c r="W326" s="32">
        <f t="shared" si="55"/>
        <v>0</v>
      </c>
      <c r="X326" s="32">
        <f t="shared" si="55"/>
        <v>0</v>
      </c>
    </row>
    <row r="327" spans="1:24" ht="16.5" customHeight="1" x14ac:dyDescent="0.25">
      <c r="A327" s="39" t="str">
        <f>'Long Sample Name'!A324</f>
        <v/>
      </c>
      <c r="B327" s="25" t="str">
        <f ca="1">'Input Sheet'!L326</f>
        <v/>
      </c>
      <c r="C327" s="26" t="str">
        <f ca="1">'Input Sheet'!M326</f>
        <v/>
      </c>
      <c r="D327" s="40">
        <f>'Input Sheet'!B326</f>
        <v>0</v>
      </c>
      <c r="E327" s="37">
        <f>'Input Sheet'!I326</f>
        <v>0</v>
      </c>
      <c r="F327" s="29">
        <f>('Input Sheet'!C326)/100</f>
        <v>0</v>
      </c>
      <c r="G327" s="29">
        <f>('Input Sheet'!F326)/100</f>
        <v>0</v>
      </c>
      <c r="H327" s="27">
        <f t="shared" si="56"/>
        <v>0</v>
      </c>
      <c r="I327" s="27">
        <f t="shared" si="50"/>
        <v>0</v>
      </c>
      <c r="J327" s="27">
        <f t="shared" si="51"/>
        <v>0</v>
      </c>
      <c r="K327" s="27">
        <f t="shared" si="52"/>
        <v>0</v>
      </c>
      <c r="L327" s="27">
        <f t="shared" si="53"/>
        <v>0</v>
      </c>
      <c r="M327" s="32" t="str">
        <f>'Input Sheet'!E326</f>
        <v/>
      </c>
      <c r="N327" s="32">
        <f t="shared" si="54"/>
        <v>0</v>
      </c>
      <c r="T327" s="32">
        <f t="shared" si="55"/>
        <v>0</v>
      </c>
      <c r="U327" s="32">
        <f t="shared" si="55"/>
        <v>0</v>
      </c>
      <c r="V327" s="32">
        <f t="shared" si="55"/>
        <v>0</v>
      </c>
      <c r="W327" s="32">
        <f t="shared" si="55"/>
        <v>0</v>
      </c>
      <c r="X327" s="32">
        <f t="shared" si="55"/>
        <v>0</v>
      </c>
    </row>
    <row r="328" spans="1:24" ht="16.5" customHeight="1" x14ac:dyDescent="0.25">
      <c r="A328" s="39" t="str">
        <f>'Long Sample Name'!A325</f>
        <v/>
      </c>
      <c r="B328" s="25" t="str">
        <f ca="1">'Input Sheet'!L327</f>
        <v/>
      </c>
      <c r="C328" s="26" t="str">
        <f ca="1">'Input Sheet'!M327</f>
        <v/>
      </c>
      <c r="D328" s="40">
        <f>'Input Sheet'!B327</f>
        <v>0</v>
      </c>
      <c r="E328" s="37">
        <f>'Input Sheet'!I327</f>
        <v>0</v>
      </c>
      <c r="F328" s="29">
        <f>('Input Sheet'!C327)/100</f>
        <v>0</v>
      </c>
      <c r="G328" s="29">
        <f>('Input Sheet'!F327)/100</f>
        <v>0</v>
      </c>
      <c r="H328" s="27">
        <f t="shared" si="56"/>
        <v>0</v>
      </c>
      <c r="I328" s="27">
        <f t="shared" si="50"/>
        <v>0</v>
      </c>
      <c r="J328" s="27">
        <f t="shared" si="51"/>
        <v>0</v>
      </c>
      <c r="K328" s="27">
        <f t="shared" si="52"/>
        <v>0</v>
      </c>
      <c r="L328" s="27">
        <f t="shared" si="53"/>
        <v>0</v>
      </c>
      <c r="M328" s="32" t="str">
        <f>'Input Sheet'!E327</f>
        <v/>
      </c>
      <c r="N328" s="32">
        <f t="shared" si="54"/>
        <v>0</v>
      </c>
      <c r="T328" s="32">
        <f t="shared" si="55"/>
        <v>0</v>
      </c>
      <c r="U328" s="32">
        <f t="shared" si="55"/>
        <v>0</v>
      </c>
      <c r="V328" s="32">
        <f t="shared" si="55"/>
        <v>0</v>
      </c>
      <c r="W328" s="32">
        <f t="shared" si="55"/>
        <v>0</v>
      </c>
      <c r="X328" s="32">
        <f t="shared" si="55"/>
        <v>0</v>
      </c>
    </row>
    <row r="329" spans="1:24" ht="16.5" customHeight="1" x14ac:dyDescent="0.25">
      <c r="A329" s="39" t="str">
        <f>'Long Sample Name'!A326</f>
        <v/>
      </c>
      <c r="B329" s="25" t="str">
        <f ca="1">'Input Sheet'!L328</f>
        <v/>
      </c>
      <c r="C329" s="26" t="str">
        <f ca="1">'Input Sheet'!M328</f>
        <v/>
      </c>
      <c r="D329" s="40">
        <f>'Input Sheet'!B328</f>
        <v>0</v>
      </c>
      <c r="E329" s="37">
        <f>'Input Sheet'!I328</f>
        <v>0</v>
      </c>
      <c r="F329" s="29">
        <f>('Input Sheet'!C328)/100</f>
        <v>0</v>
      </c>
      <c r="G329" s="29">
        <f>('Input Sheet'!F328)/100</f>
        <v>0</v>
      </c>
      <c r="H329" s="27">
        <f t="shared" si="56"/>
        <v>0</v>
      </c>
      <c r="I329" s="27">
        <f t="shared" si="50"/>
        <v>0</v>
      </c>
      <c r="J329" s="27">
        <f t="shared" si="51"/>
        <v>0</v>
      </c>
      <c r="K329" s="27">
        <f t="shared" si="52"/>
        <v>0</v>
      </c>
      <c r="L329" s="27">
        <f t="shared" si="53"/>
        <v>0</v>
      </c>
      <c r="M329" s="32" t="str">
        <f>'Input Sheet'!E328</f>
        <v/>
      </c>
      <c r="N329" s="32">
        <f t="shared" si="54"/>
        <v>0</v>
      </c>
      <c r="T329" s="32">
        <f t="shared" si="55"/>
        <v>0</v>
      </c>
      <c r="U329" s="32">
        <f t="shared" si="55"/>
        <v>0</v>
      </c>
      <c r="V329" s="32">
        <f t="shared" si="55"/>
        <v>0</v>
      </c>
      <c r="W329" s="32">
        <f t="shared" si="55"/>
        <v>0</v>
      </c>
      <c r="X329" s="32">
        <f t="shared" si="55"/>
        <v>0</v>
      </c>
    </row>
    <row r="330" spans="1:24" ht="16.5" customHeight="1" x14ac:dyDescent="0.25">
      <c r="A330" s="39" t="str">
        <f>'Long Sample Name'!A327</f>
        <v/>
      </c>
      <c r="B330" s="25" t="str">
        <f ca="1">'Input Sheet'!L329</f>
        <v/>
      </c>
      <c r="C330" s="26" t="str">
        <f ca="1">'Input Sheet'!M329</f>
        <v/>
      </c>
      <c r="D330" s="40">
        <f>'Input Sheet'!B329</f>
        <v>0</v>
      </c>
      <c r="E330" s="37">
        <f>'Input Sheet'!I329</f>
        <v>0</v>
      </c>
      <c r="F330" s="29">
        <f>('Input Sheet'!C329)/100</f>
        <v>0</v>
      </c>
      <c r="G330" s="29">
        <f>('Input Sheet'!F329)/100</f>
        <v>0</v>
      </c>
      <c r="H330" s="27">
        <f t="shared" si="56"/>
        <v>0</v>
      </c>
      <c r="I330" s="27">
        <f t="shared" si="50"/>
        <v>0</v>
      </c>
      <c r="J330" s="27">
        <f t="shared" si="51"/>
        <v>0</v>
      </c>
      <c r="K330" s="27">
        <f t="shared" si="52"/>
        <v>0</v>
      </c>
      <c r="L330" s="27">
        <f t="shared" si="53"/>
        <v>0</v>
      </c>
      <c r="M330" s="32" t="str">
        <f>'Input Sheet'!E329</f>
        <v/>
      </c>
      <c r="N330" s="32">
        <f t="shared" si="54"/>
        <v>0</v>
      </c>
      <c r="T330" s="32">
        <f t="shared" si="55"/>
        <v>0</v>
      </c>
      <c r="U330" s="32">
        <f t="shared" si="55"/>
        <v>0</v>
      </c>
      <c r="V330" s="32">
        <f t="shared" si="55"/>
        <v>0</v>
      </c>
      <c r="W330" s="32">
        <f t="shared" si="55"/>
        <v>0</v>
      </c>
      <c r="X330" s="32">
        <f t="shared" si="55"/>
        <v>0</v>
      </c>
    </row>
    <row r="331" spans="1:24" ht="16.5" customHeight="1" x14ac:dyDescent="0.25">
      <c r="A331" s="39" t="str">
        <f>'Long Sample Name'!A328</f>
        <v/>
      </c>
      <c r="B331" s="25" t="str">
        <f ca="1">'Input Sheet'!L330</f>
        <v/>
      </c>
      <c r="C331" s="26" t="str">
        <f ca="1">'Input Sheet'!M330</f>
        <v/>
      </c>
      <c r="D331" s="40">
        <f>'Input Sheet'!B330</f>
        <v>0</v>
      </c>
      <c r="E331" s="37">
        <f>'Input Sheet'!I330</f>
        <v>0</v>
      </c>
      <c r="F331" s="29">
        <f>('Input Sheet'!C330)/100</f>
        <v>0</v>
      </c>
      <c r="G331" s="29">
        <f>('Input Sheet'!F330)/100</f>
        <v>0</v>
      </c>
      <c r="H331" s="27">
        <f t="shared" si="56"/>
        <v>0</v>
      </c>
      <c r="I331" s="27">
        <f t="shared" si="50"/>
        <v>0</v>
      </c>
      <c r="J331" s="27">
        <f t="shared" si="51"/>
        <v>0</v>
      </c>
      <c r="K331" s="27">
        <f t="shared" si="52"/>
        <v>0</v>
      </c>
      <c r="L331" s="27">
        <f t="shared" si="53"/>
        <v>0</v>
      </c>
      <c r="M331" s="32" t="str">
        <f>'Input Sheet'!E330</f>
        <v/>
      </c>
      <c r="N331" s="32">
        <f t="shared" si="54"/>
        <v>0</v>
      </c>
      <c r="T331" s="32">
        <f t="shared" si="55"/>
        <v>0</v>
      </c>
      <c r="U331" s="32">
        <f t="shared" si="55"/>
        <v>0</v>
      </c>
      <c r="V331" s="32">
        <f t="shared" si="55"/>
        <v>0</v>
      </c>
      <c r="W331" s="32">
        <f t="shared" si="55"/>
        <v>0</v>
      </c>
      <c r="X331" s="32">
        <f t="shared" si="55"/>
        <v>0</v>
      </c>
    </row>
    <row r="332" spans="1:24" ht="16.5" customHeight="1" x14ac:dyDescent="0.25">
      <c r="A332" s="39" t="str">
        <f>'Long Sample Name'!A329</f>
        <v/>
      </c>
      <c r="B332" s="25" t="str">
        <f ca="1">'Input Sheet'!L331</f>
        <v/>
      </c>
      <c r="C332" s="26" t="str">
        <f ca="1">'Input Sheet'!M331</f>
        <v/>
      </c>
      <c r="D332" s="40">
        <f>'Input Sheet'!B331</f>
        <v>0</v>
      </c>
      <c r="E332" s="37">
        <f>'Input Sheet'!I331</f>
        <v>0</v>
      </c>
      <c r="F332" s="29">
        <f>('Input Sheet'!C331)/100</f>
        <v>0</v>
      </c>
      <c r="G332" s="29">
        <f>('Input Sheet'!F331)/100</f>
        <v>0</v>
      </c>
      <c r="H332" s="27">
        <f t="shared" si="56"/>
        <v>0</v>
      </c>
      <c r="I332" s="27">
        <f t="shared" si="50"/>
        <v>0</v>
      </c>
      <c r="J332" s="27">
        <f t="shared" si="51"/>
        <v>0</v>
      </c>
      <c r="K332" s="27">
        <f t="shared" si="52"/>
        <v>0</v>
      </c>
      <c r="L332" s="27">
        <f t="shared" si="53"/>
        <v>0</v>
      </c>
      <c r="M332" s="32" t="str">
        <f>'Input Sheet'!E331</f>
        <v/>
      </c>
      <c r="N332" s="32">
        <f t="shared" si="54"/>
        <v>0</v>
      </c>
      <c r="T332" s="32">
        <f t="shared" si="55"/>
        <v>0</v>
      </c>
      <c r="U332" s="32">
        <f t="shared" si="55"/>
        <v>0</v>
      </c>
      <c r="V332" s="32">
        <f t="shared" si="55"/>
        <v>0</v>
      </c>
      <c r="W332" s="32">
        <f t="shared" si="55"/>
        <v>0</v>
      </c>
      <c r="X332" s="32">
        <f t="shared" si="55"/>
        <v>0</v>
      </c>
    </row>
    <row r="333" spans="1:24" ht="16.5" customHeight="1" x14ac:dyDescent="0.25">
      <c r="A333" s="39" t="str">
        <f>'Long Sample Name'!A330</f>
        <v/>
      </c>
      <c r="B333" s="25" t="str">
        <f ca="1">'Input Sheet'!L332</f>
        <v/>
      </c>
      <c r="C333" s="26" t="str">
        <f ca="1">'Input Sheet'!M332</f>
        <v/>
      </c>
      <c r="D333" s="40">
        <f>'Input Sheet'!B332</f>
        <v>0</v>
      </c>
      <c r="E333" s="37">
        <f>'Input Sheet'!I332</f>
        <v>0</v>
      </c>
      <c r="F333" s="29">
        <f>('Input Sheet'!C332)/100</f>
        <v>0</v>
      </c>
      <c r="G333" s="29">
        <f>('Input Sheet'!F332)/100</f>
        <v>0</v>
      </c>
      <c r="H333" s="27">
        <f t="shared" si="56"/>
        <v>0</v>
      </c>
      <c r="I333" s="27">
        <f t="shared" si="50"/>
        <v>0</v>
      </c>
      <c r="J333" s="27">
        <f t="shared" si="51"/>
        <v>0</v>
      </c>
      <c r="K333" s="27">
        <f t="shared" si="52"/>
        <v>0</v>
      </c>
      <c r="L333" s="27">
        <f t="shared" si="53"/>
        <v>0</v>
      </c>
      <c r="M333" s="32" t="str">
        <f>'Input Sheet'!E332</f>
        <v/>
      </c>
      <c r="N333" s="32">
        <f t="shared" si="54"/>
        <v>0</v>
      </c>
      <c r="T333" s="32">
        <f t="shared" si="55"/>
        <v>0</v>
      </c>
      <c r="U333" s="32">
        <f t="shared" si="55"/>
        <v>0</v>
      </c>
      <c r="V333" s="32">
        <f t="shared" si="55"/>
        <v>0</v>
      </c>
      <c r="W333" s="32">
        <f t="shared" si="55"/>
        <v>0</v>
      </c>
      <c r="X333" s="32">
        <f t="shared" si="55"/>
        <v>0</v>
      </c>
    </row>
    <row r="334" spans="1:24" ht="16.5" customHeight="1" x14ac:dyDescent="0.25">
      <c r="A334" s="39" t="str">
        <f>'Long Sample Name'!A331</f>
        <v/>
      </c>
      <c r="B334" s="25" t="str">
        <f ca="1">'Input Sheet'!L333</f>
        <v/>
      </c>
      <c r="C334" s="26" t="str">
        <f ca="1">'Input Sheet'!M333</f>
        <v/>
      </c>
      <c r="D334" s="40">
        <f>'Input Sheet'!B333</f>
        <v>0</v>
      </c>
      <c r="E334" s="37">
        <f>'Input Sheet'!I333</f>
        <v>0</v>
      </c>
      <c r="F334" s="29">
        <f>('Input Sheet'!C333)/100</f>
        <v>0</v>
      </c>
      <c r="G334" s="29">
        <f>('Input Sheet'!F333)/100</f>
        <v>0</v>
      </c>
      <c r="H334" s="27">
        <f t="shared" si="56"/>
        <v>0</v>
      </c>
      <c r="I334" s="27">
        <f t="shared" si="50"/>
        <v>0</v>
      </c>
      <c r="J334" s="27">
        <f t="shared" si="51"/>
        <v>0</v>
      </c>
      <c r="K334" s="27">
        <f t="shared" si="52"/>
        <v>0</v>
      </c>
      <c r="L334" s="27">
        <f t="shared" si="53"/>
        <v>0</v>
      </c>
      <c r="M334" s="32" t="str">
        <f>'Input Sheet'!E333</f>
        <v/>
      </c>
      <c r="N334" s="32">
        <f t="shared" si="54"/>
        <v>0</v>
      </c>
      <c r="T334" s="32">
        <f t="shared" si="55"/>
        <v>0</v>
      </c>
      <c r="U334" s="32">
        <f t="shared" si="55"/>
        <v>0</v>
      </c>
      <c r="V334" s="32">
        <f t="shared" si="55"/>
        <v>0</v>
      </c>
      <c r="W334" s="32">
        <f t="shared" si="55"/>
        <v>0</v>
      </c>
      <c r="X334" s="32">
        <f t="shared" si="55"/>
        <v>0</v>
      </c>
    </row>
    <row r="335" spans="1:24" ht="16.5" customHeight="1" x14ac:dyDescent="0.25">
      <c r="A335" s="39" t="str">
        <f>'Long Sample Name'!A332</f>
        <v/>
      </c>
      <c r="B335" s="25" t="str">
        <f ca="1">'Input Sheet'!L334</f>
        <v/>
      </c>
      <c r="C335" s="26" t="str">
        <f ca="1">'Input Sheet'!M334</f>
        <v/>
      </c>
      <c r="D335" s="40">
        <f>'Input Sheet'!B334</f>
        <v>0</v>
      </c>
      <c r="E335" s="37">
        <f>'Input Sheet'!I334</f>
        <v>0</v>
      </c>
      <c r="F335" s="29">
        <f>('Input Sheet'!C334)/100</f>
        <v>0</v>
      </c>
      <c r="G335" s="29">
        <f>('Input Sheet'!F334)/100</f>
        <v>0</v>
      </c>
      <c r="H335" s="27">
        <f t="shared" si="56"/>
        <v>0</v>
      </c>
      <c r="I335" s="27">
        <f t="shared" si="50"/>
        <v>0</v>
      </c>
      <c r="J335" s="27">
        <f t="shared" si="51"/>
        <v>0</v>
      </c>
      <c r="K335" s="27">
        <f t="shared" si="52"/>
        <v>0</v>
      </c>
      <c r="L335" s="27">
        <f t="shared" si="53"/>
        <v>0</v>
      </c>
      <c r="M335" s="32" t="str">
        <f>'Input Sheet'!E334</f>
        <v/>
      </c>
      <c r="N335" s="32">
        <f t="shared" si="54"/>
        <v>0</v>
      </c>
      <c r="T335" s="32">
        <f t="shared" si="55"/>
        <v>0</v>
      </c>
      <c r="U335" s="32">
        <f t="shared" si="55"/>
        <v>0</v>
      </c>
      <c r="V335" s="32">
        <f t="shared" si="55"/>
        <v>0</v>
      </c>
      <c r="W335" s="32">
        <f t="shared" si="55"/>
        <v>0</v>
      </c>
      <c r="X335" s="32">
        <f t="shared" si="55"/>
        <v>0</v>
      </c>
    </row>
    <row r="336" spans="1:24" ht="16.5" customHeight="1" x14ac:dyDescent="0.25">
      <c r="A336" s="39" t="str">
        <f>'Long Sample Name'!A333</f>
        <v/>
      </c>
      <c r="B336" s="25" t="str">
        <f ca="1">'Input Sheet'!L335</f>
        <v/>
      </c>
      <c r="C336" s="26" t="str">
        <f ca="1">'Input Sheet'!M335</f>
        <v/>
      </c>
      <c r="D336" s="40">
        <f>'Input Sheet'!B335</f>
        <v>0</v>
      </c>
      <c r="E336" s="37">
        <f>'Input Sheet'!I335</f>
        <v>0</v>
      </c>
      <c r="F336" s="29">
        <f>('Input Sheet'!C335)/100</f>
        <v>0</v>
      </c>
      <c r="G336" s="29">
        <f>('Input Sheet'!F335)/100</f>
        <v>0</v>
      </c>
      <c r="H336" s="27">
        <f t="shared" si="56"/>
        <v>0</v>
      </c>
      <c r="I336" s="27">
        <f t="shared" si="50"/>
        <v>0</v>
      </c>
      <c r="J336" s="27">
        <f t="shared" si="51"/>
        <v>0</v>
      </c>
      <c r="K336" s="27">
        <f t="shared" si="52"/>
        <v>0</v>
      </c>
      <c r="L336" s="27">
        <f t="shared" si="53"/>
        <v>0</v>
      </c>
      <c r="M336" s="32" t="str">
        <f>'Input Sheet'!E335</f>
        <v/>
      </c>
      <c r="N336" s="32">
        <f t="shared" si="54"/>
        <v>0</v>
      </c>
      <c r="T336" s="32">
        <f t="shared" si="55"/>
        <v>0</v>
      </c>
      <c r="U336" s="32">
        <f t="shared" si="55"/>
        <v>0</v>
      </c>
      <c r="V336" s="32">
        <f t="shared" si="55"/>
        <v>0</v>
      </c>
      <c r="W336" s="32">
        <f t="shared" si="55"/>
        <v>0</v>
      </c>
      <c r="X336" s="32">
        <f t="shared" si="55"/>
        <v>0</v>
      </c>
    </row>
    <row r="337" spans="1:24" ht="16.5" customHeight="1" x14ac:dyDescent="0.25">
      <c r="A337" s="39" t="str">
        <f>'Long Sample Name'!A334</f>
        <v/>
      </c>
      <c r="B337" s="25" t="str">
        <f ca="1">'Input Sheet'!L336</f>
        <v/>
      </c>
      <c r="C337" s="26" t="str">
        <f ca="1">'Input Sheet'!M336</f>
        <v/>
      </c>
      <c r="D337" s="40">
        <f>'Input Sheet'!B336</f>
        <v>0</v>
      </c>
      <c r="E337" s="37">
        <f>'Input Sheet'!I336</f>
        <v>0</v>
      </c>
      <c r="F337" s="29">
        <f>('Input Sheet'!C336)/100</f>
        <v>0</v>
      </c>
      <c r="G337" s="29">
        <f>('Input Sheet'!F336)/100</f>
        <v>0</v>
      </c>
      <c r="H337" s="27">
        <f t="shared" si="56"/>
        <v>0</v>
      </c>
      <c r="I337" s="27">
        <f t="shared" si="50"/>
        <v>0</v>
      </c>
      <c r="J337" s="27">
        <f t="shared" si="51"/>
        <v>0</v>
      </c>
      <c r="K337" s="27">
        <f t="shared" si="52"/>
        <v>0</v>
      </c>
      <c r="L337" s="27">
        <f t="shared" si="53"/>
        <v>0</v>
      </c>
      <c r="M337" s="32" t="str">
        <f>'Input Sheet'!E336</f>
        <v/>
      </c>
      <c r="N337" s="32">
        <f t="shared" si="54"/>
        <v>0</v>
      </c>
      <c r="T337" s="32">
        <f t="shared" si="55"/>
        <v>0</v>
      </c>
      <c r="U337" s="32">
        <f t="shared" si="55"/>
        <v>0</v>
      </c>
      <c r="V337" s="32">
        <f t="shared" si="55"/>
        <v>0</v>
      </c>
      <c r="W337" s="32">
        <f t="shared" si="55"/>
        <v>0</v>
      </c>
      <c r="X337" s="32">
        <f t="shared" si="55"/>
        <v>0</v>
      </c>
    </row>
    <row r="338" spans="1:24" ht="16.5" customHeight="1" x14ac:dyDescent="0.25">
      <c r="A338" s="39" t="str">
        <f>'Long Sample Name'!A335</f>
        <v/>
      </c>
      <c r="B338" s="25" t="str">
        <f ca="1">'Input Sheet'!L337</f>
        <v/>
      </c>
      <c r="C338" s="26" t="str">
        <f ca="1">'Input Sheet'!M337</f>
        <v/>
      </c>
      <c r="D338" s="40">
        <f>'Input Sheet'!B337</f>
        <v>0</v>
      </c>
      <c r="E338" s="37">
        <f>'Input Sheet'!I337</f>
        <v>0</v>
      </c>
      <c r="F338" s="29">
        <f>('Input Sheet'!C337)/100</f>
        <v>0</v>
      </c>
      <c r="G338" s="29">
        <f>('Input Sheet'!F337)/100</f>
        <v>0</v>
      </c>
      <c r="H338" s="27">
        <f t="shared" si="56"/>
        <v>0</v>
      </c>
      <c r="I338" s="27">
        <f t="shared" si="50"/>
        <v>0</v>
      </c>
      <c r="J338" s="27">
        <f t="shared" si="51"/>
        <v>0</v>
      </c>
      <c r="K338" s="27">
        <f t="shared" si="52"/>
        <v>0</v>
      </c>
      <c r="L338" s="27">
        <f t="shared" si="53"/>
        <v>0</v>
      </c>
      <c r="M338" s="32" t="str">
        <f>'Input Sheet'!E337</f>
        <v/>
      </c>
      <c r="N338" s="32">
        <f t="shared" si="54"/>
        <v>0</v>
      </c>
      <c r="T338" s="32">
        <f t="shared" si="55"/>
        <v>0</v>
      </c>
      <c r="U338" s="32">
        <f t="shared" si="55"/>
        <v>0</v>
      </c>
      <c r="V338" s="32">
        <f t="shared" si="55"/>
        <v>0</v>
      </c>
      <c r="W338" s="32">
        <f t="shared" si="55"/>
        <v>0</v>
      </c>
      <c r="X338" s="32">
        <f t="shared" si="55"/>
        <v>0</v>
      </c>
    </row>
    <row r="339" spans="1:24" ht="16.5" customHeight="1" x14ac:dyDescent="0.25">
      <c r="A339" s="39" t="str">
        <f>'Long Sample Name'!A336</f>
        <v/>
      </c>
      <c r="B339" s="25" t="str">
        <f ca="1">'Input Sheet'!L338</f>
        <v/>
      </c>
      <c r="C339" s="26" t="str">
        <f ca="1">'Input Sheet'!M338</f>
        <v/>
      </c>
      <c r="D339" s="40">
        <f>'Input Sheet'!B338</f>
        <v>0</v>
      </c>
      <c r="E339" s="37">
        <f>'Input Sheet'!I338</f>
        <v>0</v>
      </c>
      <c r="F339" s="29">
        <f>('Input Sheet'!C338)/100</f>
        <v>0</v>
      </c>
      <c r="G339" s="29">
        <f>('Input Sheet'!F338)/100</f>
        <v>0</v>
      </c>
      <c r="H339" s="27">
        <f t="shared" si="56"/>
        <v>0</v>
      </c>
      <c r="I339" s="27">
        <f t="shared" si="50"/>
        <v>0</v>
      </c>
      <c r="J339" s="27">
        <f t="shared" si="51"/>
        <v>0</v>
      </c>
      <c r="K339" s="27">
        <f t="shared" si="52"/>
        <v>0</v>
      </c>
      <c r="L339" s="27">
        <f t="shared" si="53"/>
        <v>0</v>
      </c>
      <c r="M339" s="32" t="str">
        <f>'Input Sheet'!E338</f>
        <v/>
      </c>
      <c r="N339" s="32">
        <f t="shared" si="54"/>
        <v>0</v>
      </c>
      <c r="T339" s="32">
        <f t="shared" si="55"/>
        <v>0</v>
      </c>
      <c r="U339" s="32">
        <f t="shared" si="55"/>
        <v>0</v>
      </c>
      <c r="V339" s="32">
        <f t="shared" si="55"/>
        <v>0</v>
      </c>
      <c r="W339" s="32">
        <f t="shared" si="55"/>
        <v>0</v>
      </c>
      <c r="X339" s="32">
        <f t="shared" si="55"/>
        <v>0</v>
      </c>
    </row>
    <row r="340" spans="1:24" ht="16.5" customHeight="1" x14ac:dyDescent="0.25">
      <c r="A340" s="39" t="str">
        <f>'Long Sample Name'!A337</f>
        <v/>
      </c>
      <c r="B340" s="25" t="str">
        <f ca="1">'Input Sheet'!L339</f>
        <v/>
      </c>
      <c r="C340" s="26" t="str">
        <f ca="1">'Input Sheet'!M339</f>
        <v/>
      </c>
      <c r="D340" s="40">
        <f>'Input Sheet'!B339</f>
        <v>0</v>
      </c>
      <c r="E340" s="37">
        <f>'Input Sheet'!I339</f>
        <v>0</v>
      </c>
      <c r="F340" s="29">
        <f>('Input Sheet'!C339)/100</f>
        <v>0</v>
      </c>
      <c r="G340" s="29">
        <f>('Input Sheet'!F339)/100</f>
        <v>0</v>
      </c>
      <c r="H340" s="27">
        <f t="shared" si="56"/>
        <v>0</v>
      </c>
      <c r="I340" s="27">
        <f t="shared" si="50"/>
        <v>0</v>
      </c>
      <c r="J340" s="27">
        <f t="shared" si="51"/>
        <v>0</v>
      </c>
      <c r="K340" s="27">
        <f t="shared" si="52"/>
        <v>0</v>
      </c>
      <c r="L340" s="27">
        <f t="shared" si="53"/>
        <v>0</v>
      </c>
      <c r="M340" s="32" t="str">
        <f>'Input Sheet'!E339</f>
        <v/>
      </c>
      <c r="N340" s="32">
        <f t="shared" si="54"/>
        <v>0</v>
      </c>
      <c r="T340" s="32">
        <f t="shared" si="55"/>
        <v>0</v>
      </c>
      <c r="U340" s="32">
        <f t="shared" si="55"/>
        <v>0</v>
      </c>
      <c r="V340" s="32">
        <f t="shared" si="55"/>
        <v>0</v>
      </c>
      <c r="W340" s="32">
        <f t="shared" si="55"/>
        <v>0</v>
      </c>
      <c r="X340" s="32">
        <f t="shared" si="55"/>
        <v>0</v>
      </c>
    </row>
    <row r="341" spans="1:24" ht="16.5" customHeight="1" x14ac:dyDescent="0.25">
      <c r="A341" s="39" t="str">
        <f>'Long Sample Name'!A338</f>
        <v/>
      </c>
      <c r="B341" s="25" t="str">
        <f ca="1">'Input Sheet'!L340</f>
        <v/>
      </c>
      <c r="C341" s="26" t="str">
        <f ca="1">'Input Sheet'!M340</f>
        <v/>
      </c>
      <c r="D341" s="40">
        <f>'Input Sheet'!B340</f>
        <v>0</v>
      </c>
      <c r="E341" s="37">
        <f>'Input Sheet'!I340</f>
        <v>0</v>
      </c>
      <c r="F341" s="29">
        <f>('Input Sheet'!C340)/100</f>
        <v>0</v>
      </c>
      <c r="G341" s="29">
        <f>('Input Sheet'!F340)/100</f>
        <v>0</v>
      </c>
      <c r="H341" s="27">
        <f t="shared" si="56"/>
        <v>0</v>
      </c>
      <c r="I341" s="27">
        <f t="shared" si="50"/>
        <v>0</v>
      </c>
      <c r="J341" s="27">
        <f t="shared" si="51"/>
        <v>0</v>
      </c>
      <c r="K341" s="27">
        <f t="shared" si="52"/>
        <v>0</v>
      </c>
      <c r="L341" s="27">
        <f t="shared" si="53"/>
        <v>0</v>
      </c>
      <c r="M341" s="32" t="str">
        <f>'Input Sheet'!E340</f>
        <v/>
      </c>
      <c r="N341" s="32">
        <f t="shared" si="54"/>
        <v>0</v>
      </c>
      <c r="T341" s="32">
        <f t="shared" ref="T341:X356" si="57">IF($M341=T$1,$H341,0)</f>
        <v>0</v>
      </c>
      <c r="U341" s="32">
        <f t="shared" si="57"/>
        <v>0</v>
      </c>
      <c r="V341" s="32">
        <f t="shared" si="57"/>
        <v>0</v>
      </c>
      <c r="W341" s="32">
        <f t="shared" si="57"/>
        <v>0</v>
      </c>
      <c r="X341" s="32">
        <f t="shared" si="57"/>
        <v>0</v>
      </c>
    </row>
    <row r="342" spans="1:24" ht="16.5" customHeight="1" x14ac:dyDescent="0.25">
      <c r="A342" s="39" t="str">
        <f>'Long Sample Name'!A339</f>
        <v/>
      </c>
      <c r="B342" s="25" t="str">
        <f ca="1">'Input Sheet'!L341</f>
        <v/>
      </c>
      <c r="C342" s="26" t="str">
        <f ca="1">'Input Sheet'!M341</f>
        <v/>
      </c>
      <c r="D342" s="40">
        <f>'Input Sheet'!B341</f>
        <v>0</v>
      </c>
      <c r="E342" s="37">
        <f>'Input Sheet'!I341</f>
        <v>0</v>
      </c>
      <c r="F342" s="29">
        <f>('Input Sheet'!C341)/100</f>
        <v>0</v>
      </c>
      <c r="G342" s="29">
        <f>('Input Sheet'!F341)/100</f>
        <v>0</v>
      </c>
      <c r="H342" s="27">
        <f t="shared" si="56"/>
        <v>0</v>
      </c>
      <c r="I342" s="27">
        <f t="shared" si="50"/>
        <v>0</v>
      </c>
      <c r="J342" s="27">
        <f t="shared" si="51"/>
        <v>0</v>
      </c>
      <c r="K342" s="27">
        <f t="shared" si="52"/>
        <v>0</v>
      </c>
      <c r="L342" s="27">
        <f t="shared" si="53"/>
        <v>0</v>
      </c>
      <c r="M342" s="32" t="str">
        <f>'Input Sheet'!E341</f>
        <v/>
      </c>
      <c r="N342" s="32">
        <f t="shared" si="54"/>
        <v>0</v>
      </c>
      <c r="T342" s="32">
        <f t="shared" si="57"/>
        <v>0</v>
      </c>
      <c r="U342" s="32">
        <f t="shared" si="57"/>
        <v>0</v>
      </c>
      <c r="V342" s="32">
        <f t="shared" si="57"/>
        <v>0</v>
      </c>
      <c r="W342" s="32">
        <f t="shared" si="57"/>
        <v>0</v>
      </c>
      <c r="X342" s="32">
        <f t="shared" si="57"/>
        <v>0</v>
      </c>
    </row>
    <row r="343" spans="1:24" ht="16.5" customHeight="1" x14ac:dyDescent="0.25">
      <c r="A343" s="39" t="str">
        <f>'Long Sample Name'!A340</f>
        <v/>
      </c>
      <c r="B343" s="25" t="str">
        <f ca="1">'Input Sheet'!L342</f>
        <v/>
      </c>
      <c r="C343" s="26" t="str">
        <f ca="1">'Input Sheet'!M342</f>
        <v/>
      </c>
      <c r="D343" s="40">
        <f>'Input Sheet'!B342</f>
        <v>0</v>
      </c>
      <c r="E343" s="37">
        <f>'Input Sheet'!I342</f>
        <v>0</v>
      </c>
      <c r="F343" s="29">
        <f>('Input Sheet'!C342)/100</f>
        <v>0</v>
      </c>
      <c r="G343" s="29">
        <f>('Input Sheet'!F342)/100</f>
        <v>0</v>
      </c>
      <c r="H343" s="27">
        <f t="shared" si="56"/>
        <v>0</v>
      </c>
      <c r="I343" s="27">
        <f t="shared" si="50"/>
        <v>0</v>
      </c>
      <c r="J343" s="27">
        <f t="shared" si="51"/>
        <v>0</v>
      </c>
      <c r="K343" s="27">
        <f t="shared" si="52"/>
        <v>0</v>
      </c>
      <c r="L343" s="27">
        <f t="shared" si="53"/>
        <v>0</v>
      </c>
      <c r="M343" s="32" t="str">
        <f>'Input Sheet'!E342</f>
        <v/>
      </c>
      <c r="N343" s="32">
        <f t="shared" si="54"/>
        <v>0</v>
      </c>
      <c r="T343" s="32">
        <f t="shared" si="57"/>
        <v>0</v>
      </c>
      <c r="U343" s="32">
        <f t="shared" si="57"/>
        <v>0</v>
      </c>
      <c r="V343" s="32">
        <f t="shared" si="57"/>
        <v>0</v>
      </c>
      <c r="W343" s="32">
        <f t="shared" si="57"/>
        <v>0</v>
      </c>
      <c r="X343" s="32">
        <f t="shared" si="57"/>
        <v>0</v>
      </c>
    </row>
    <row r="344" spans="1:24" ht="16.5" customHeight="1" x14ac:dyDescent="0.25">
      <c r="A344" s="39" t="str">
        <f>'Long Sample Name'!A341</f>
        <v/>
      </c>
      <c r="B344" s="25" t="str">
        <f ca="1">'Input Sheet'!L343</f>
        <v/>
      </c>
      <c r="C344" s="26" t="str">
        <f ca="1">'Input Sheet'!M343</f>
        <v/>
      </c>
      <c r="D344" s="40">
        <f>'Input Sheet'!B343</f>
        <v>0</v>
      </c>
      <c r="E344" s="37">
        <f>'Input Sheet'!I343</f>
        <v>0</v>
      </c>
      <c r="F344" s="29">
        <f>('Input Sheet'!C343)/100</f>
        <v>0</v>
      </c>
      <c r="G344" s="29">
        <f>('Input Sheet'!F343)/100</f>
        <v>0</v>
      </c>
      <c r="H344" s="27">
        <f t="shared" si="56"/>
        <v>0</v>
      </c>
      <c r="I344" s="27">
        <f t="shared" si="50"/>
        <v>0</v>
      </c>
      <c r="J344" s="27">
        <f t="shared" si="51"/>
        <v>0</v>
      </c>
      <c r="K344" s="27">
        <f t="shared" si="52"/>
        <v>0</v>
      </c>
      <c r="L344" s="27">
        <f t="shared" si="53"/>
        <v>0</v>
      </c>
      <c r="M344" s="32" t="str">
        <f>'Input Sheet'!E343</f>
        <v/>
      </c>
      <c r="N344" s="32">
        <f t="shared" si="54"/>
        <v>0</v>
      </c>
      <c r="T344" s="32">
        <f t="shared" si="57"/>
        <v>0</v>
      </c>
      <c r="U344" s="32">
        <f t="shared" si="57"/>
        <v>0</v>
      </c>
      <c r="V344" s="32">
        <f t="shared" si="57"/>
        <v>0</v>
      </c>
      <c r="W344" s="32">
        <f t="shared" si="57"/>
        <v>0</v>
      </c>
      <c r="X344" s="32">
        <f t="shared" si="57"/>
        <v>0</v>
      </c>
    </row>
    <row r="345" spans="1:24" ht="16.5" customHeight="1" x14ac:dyDescent="0.25">
      <c r="A345" s="39" t="str">
        <f>'Long Sample Name'!A342</f>
        <v/>
      </c>
      <c r="B345" s="25" t="str">
        <f ca="1">'Input Sheet'!L344</f>
        <v/>
      </c>
      <c r="C345" s="26" t="str">
        <f ca="1">'Input Sheet'!M344</f>
        <v/>
      </c>
      <c r="D345" s="40">
        <f>'Input Sheet'!B344</f>
        <v>0</v>
      </c>
      <c r="E345" s="37">
        <f>'Input Sheet'!I344</f>
        <v>0</v>
      </c>
      <c r="F345" s="29">
        <f>('Input Sheet'!C344)/100</f>
        <v>0</v>
      </c>
      <c r="G345" s="29">
        <f>('Input Sheet'!F344)/100</f>
        <v>0</v>
      </c>
      <c r="H345" s="27">
        <f t="shared" si="56"/>
        <v>0</v>
      </c>
      <c r="I345" s="27">
        <f t="shared" si="50"/>
        <v>0</v>
      </c>
      <c r="J345" s="27">
        <f t="shared" si="51"/>
        <v>0</v>
      </c>
      <c r="K345" s="27">
        <f t="shared" si="52"/>
        <v>0</v>
      </c>
      <c r="L345" s="27">
        <f t="shared" si="53"/>
        <v>0</v>
      </c>
      <c r="M345" s="32" t="str">
        <f>'Input Sheet'!E344</f>
        <v/>
      </c>
      <c r="N345" s="32">
        <f t="shared" si="54"/>
        <v>0</v>
      </c>
      <c r="T345" s="32">
        <f t="shared" si="57"/>
        <v>0</v>
      </c>
      <c r="U345" s="32">
        <f t="shared" si="57"/>
        <v>0</v>
      </c>
      <c r="V345" s="32">
        <f t="shared" si="57"/>
        <v>0</v>
      </c>
      <c r="W345" s="32">
        <f t="shared" si="57"/>
        <v>0</v>
      </c>
      <c r="X345" s="32">
        <f t="shared" si="57"/>
        <v>0</v>
      </c>
    </row>
    <row r="346" spans="1:24" ht="16.5" customHeight="1" x14ac:dyDescent="0.25">
      <c r="A346" s="39" t="str">
        <f>'Long Sample Name'!A343</f>
        <v/>
      </c>
      <c r="B346" s="25" t="str">
        <f ca="1">'Input Sheet'!L345</f>
        <v/>
      </c>
      <c r="C346" s="26" t="str">
        <f ca="1">'Input Sheet'!M345</f>
        <v/>
      </c>
      <c r="D346" s="40">
        <f>'Input Sheet'!B345</f>
        <v>0</v>
      </c>
      <c r="E346" s="37">
        <f>'Input Sheet'!I345</f>
        <v>0</v>
      </c>
      <c r="F346" s="29">
        <f>('Input Sheet'!C345)/100</f>
        <v>0</v>
      </c>
      <c r="G346" s="29">
        <f>('Input Sheet'!F345)/100</f>
        <v>0</v>
      </c>
      <c r="H346" s="27">
        <f t="shared" si="56"/>
        <v>0</v>
      </c>
      <c r="I346" s="27">
        <f t="shared" si="50"/>
        <v>0</v>
      </c>
      <c r="J346" s="27">
        <f t="shared" si="51"/>
        <v>0</v>
      </c>
      <c r="K346" s="27">
        <f t="shared" si="52"/>
        <v>0</v>
      </c>
      <c r="L346" s="27">
        <f t="shared" si="53"/>
        <v>0</v>
      </c>
      <c r="M346" s="32" t="str">
        <f>'Input Sheet'!E345</f>
        <v/>
      </c>
      <c r="N346" s="32">
        <f t="shared" si="54"/>
        <v>0</v>
      </c>
      <c r="T346" s="32">
        <f t="shared" si="57"/>
        <v>0</v>
      </c>
      <c r="U346" s="32">
        <f t="shared" si="57"/>
        <v>0</v>
      </c>
      <c r="V346" s="32">
        <f t="shared" si="57"/>
        <v>0</v>
      </c>
      <c r="W346" s="32">
        <f t="shared" si="57"/>
        <v>0</v>
      </c>
      <c r="X346" s="32">
        <f t="shared" si="57"/>
        <v>0</v>
      </c>
    </row>
    <row r="347" spans="1:24" ht="16.5" customHeight="1" x14ac:dyDescent="0.25">
      <c r="A347" s="39" t="str">
        <f>'Long Sample Name'!A344</f>
        <v/>
      </c>
      <c r="B347" s="25" t="str">
        <f ca="1">'Input Sheet'!L346</f>
        <v/>
      </c>
      <c r="C347" s="26" t="str">
        <f ca="1">'Input Sheet'!M346</f>
        <v/>
      </c>
      <c r="D347" s="40">
        <f>'Input Sheet'!B346</f>
        <v>0</v>
      </c>
      <c r="E347" s="37">
        <f>'Input Sheet'!I346</f>
        <v>0</v>
      </c>
      <c r="F347" s="29">
        <f>('Input Sheet'!C346)/100</f>
        <v>0</v>
      </c>
      <c r="G347" s="29">
        <f>('Input Sheet'!F346)/100</f>
        <v>0</v>
      </c>
      <c r="H347" s="27">
        <f t="shared" si="56"/>
        <v>0</v>
      </c>
      <c r="I347" s="27">
        <f t="shared" si="50"/>
        <v>0</v>
      </c>
      <c r="J347" s="27">
        <f t="shared" si="51"/>
        <v>0</v>
      </c>
      <c r="K347" s="27">
        <f t="shared" si="52"/>
        <v>0</v>
      </c>
      <c r="L347" s="27">
        <f t="shared" si="53"/>
        <v>0</v>
      </c>
      <c r="M347" s="32" t="str">
        <f>'Input Sheet'!E346</f>
        <v/>
      </c>
      <c r="N347" s="32">
        <f t="shared" si="54"/>
        <v>0</v>
      </c>
      <c r="T347" s="32">
        <f t="shared" si="57"/>
        <v>0</v>
      </c>
      <c r="U347" s="32">
        <f t="shared" si="57"/>
        <v>0</v>
      </c>
      <c r="V347" s="32">
        <f t="shared" si="57"/>
        <v>0</v>
      </c>
      <c r="W347" s="32">
        <f t="shared" si="57"/>
        <v>0</v>
      </c>
      <c r="X347" s="32">
        <f t="shared" si="57"/>
        <v>0</v>
      </c>
    </row>
    <row r="348" spans="1:24" ht="16.5" customHeight="1" x14ac:dyDescent="0.25">
      <c r="A348" s="39" t="str">
        <f>'Long Sample Name'!A345</f>
        <v/>
      </c>
      <c r="B348" s="25" t="str">
        <f ca="1">'Input Sheet'!L347</f>
        <v/>
      </c>
      <c r="C348" s="26" t="str">
        <f ca="1">'Input Sheet'!M347</f>
        <v/>
      </c>
      <c r="D348" s="40">
        <f>'Input Sheet'!B347</f>
        <v>0</v>
      </c>
      <c r="E348" s="37">
        <f>'Input Sheet'!I347</f>
        <v>0</v>
      </c>
      <c r="F348" s="29">
        <f>('Input Sheet'!C347)/100</f>
        <v>0</v>
      </c>
      <c r="G348" s="29">
        <f>('Input Sheet'!F347)/100</f>
        <v>0</v>
      </c>
      <c r="H348" s="27">
        <f t="shared" si="56"/>
        <v>0</v>
      </c>
      <c r="I348" s="27">
        <f t="shared" si="50"/>
        <v>0</v>
      </c>
      <c r="J348" s="27">
        <f t="shared" si="51"/>
        <v>0</v>
      </c>
      <c r="K348" s="27">
        <f t="shared" si="52"/>
        <v>0</v>
      </c>
      <c r="L348" s="27">
        <f t="shared" si="53"/>
        <v>0</v>
      </c>
      <c r="M348" s="32" t="str">
        <f>'Input Sheet'!E347</f>
        <v/>
      </c>
      <c r="N348" s="32">
        <f t="shared" si="54"/>
        <v>0</v>
      </c>
      <c r="T348" s="32">
        <f t="shared" si="57"/>
        <v>0</v>
      </c>
      <c r="U348" s="32">
        <f t="shared" si="57"/>
        <v>0</v>
      </c>
      <c r="V348" s="32">
        <f t="shared" si="57"/>
        <v>0</v>
      </c>
      <c r="W348" s="32">
        <f t="shared" si="57"/>
        <v>0</v>
      </c>
      <c r="X348" s="32">
        <f t="shared" si="57"/>
        <v>0</v>
      </c>
    </row>
    <row r="349" spans="1:24" ht="16.5" customHeight="1" x14ac:dyDescent="0.25">
      <c r="A349" s="39" t="str">
        <f>'Long Sample Name'!A346</f>
        <v/>
      </c>
      <c r="B349" s="25" t="str">
        <f ca="1">'Input Sheet'!L348</f>
        <v/>
      </c>
      <c r="C349" s="26" t="str">
        <f ca="1">'Input Sheet'!M348</f>
        <v/>
      </c>
      <c r="D349" s="40">
        <f>'Input Sheet'!B348</f>
        <v>0</v>
      </c>
      <c r="E349" s="37">
        <f>'Input Sheet'!I348</f>
        <v>0</v>
      </c>
      <c r="F349" s="29">
        <f>('Input Sheet'!C348)/100</f>
        <v>0</v>
      </c>
      <c r="G349" s="29">
        <f>('Input Sheet'!F348)/100</f>
        <v>0</v>
      </c>
      <c r="H349" s="27">
        <f t="shared" si="56"/>
        <v>0</v>
      </c>
      <c r="I349" s="27">
        <f t="shared" si="50"/>
        <v>0</v>
      </c>
      <c r="J349" s="27">
        <f t="shared" si="51"/>
        <v>0</v>
      </c>
      <c r="K349" s="27">
        <f t="shared" si="52"/>
        <v>0</v>
      </c>
      <c r="L349" s="27">
        <f t="shared" si="53"/>
        <v>0</v>
      </c>
      <c r="M349" s="32" t="str">
        <f>'Input Sheet'!E348</f>
        <v/>
      </c>
      <c r="N349" s="32">
        <f t="shared" si="54"/>
        <v>0</v>
      </c>
      <c r="T349" s="32">
        <f t="shared" si="57"/>
        <v>0</v>
      </c>
      <c r="U349" s="32">
        <f t="shared" si="57"/>
        <v>0</v>
      </c>
      <c r="V349" s="32">
        <f t="shared" si="57"/>
        <v>0</v>
      </c>
      <c r="W349" s="32">
        <f t="shared" si="57"/>
        <v>0</v>
      </c>
      <c r="X349" s="32">
        <f t="shared" si="57"/>
        <v>0</v>
      </c>
    </row>
    <row r="350" spans="1:24" ht="16.5" customHeight="1" x14ac:dyDescent="0.25">
      <c r="A350" s="39" t="str">
        <f>'Long Sample Name'!A347</f>
        <v/>
      </c>
      <c r="B350" s="25" t="str">
        <f ca="1">'Input Sheet'!L349</f>
        <v/>
      </c>
      <c r="C350" s="26" t="str">
        <f ca="1">'Input Sheet'!M349</f>
        <v/>
      </c>
      <c r="D350" s="40">
        <f>'Input Sheet'!B349</f>
        <v>0</v>
      </c>
      <c r="E350" s="37">
        <f>'Input Sheet'!I349</f>
        <v>0</v>
      </c>
      <c r="F350" s="29">
        <f>('Input Sheet'!C349)/100</f>
        <v>0</v>
      </c>
      <c r="G350" s="29">
        <f>('Input Sheet'!F349)/100</f>
        <v>0</v>
      </c>
      <c r="H350" s="27">
        <f t="shared" si="56"/>
        <v>0</v>
      </c>
      <c r="I350" s="27">
        <f t="shared" si="50"/>
        <v>0</v>
      </c>
      <c r="J350" s="27">
        <f t="shared" si="51"/>
        <v>0</v>
      </c>
      <c r="K350" s="27">
        <f t="shared" si="52"/>
        <v>0</v>
      </c>
      <c r="L350" s="27">
        <f t="shared" si="53"/>
        <v>0</v>
      </c>
      <c r="M350" s="32" t="str">
        <f>'Input Sheet'!E349</f>
        <v/>
      </c>
      <c r="N350" s="32">
        <f t="shared" si="54"/>
        <v>0</v>
      </c>
      <c r="T350" s="32">
        <f t="shared" si="57"/>
        <v>0</v>
      </c>
      <c r="U350" s="32">
        <f t="shared" si="57"/>
        <v>0</v>
      </c>
      <c r="V350" s="32">
        <f t="shared" si="57"/>
        <v>0</v>
      </c>
      <c r="W350" s="32">
        <f t="shared" si="57"/>
        <v>0</v>
      </c>
      <c r="X350" s="32">
        <f t="shared" si="57"/>
        <v>0</v>
      </c>
    </row>
    <row r="351" spans="1:24" ht="16.5" customHeight="1" x14ac:dyDescent="0.25">
      <c r="A351" s="39" t="str">
        <f>'Long Sample Name'!A348</f>
        <v/>
      </c>
      <c r="B351" s="25" t="str">
        <f ca="1">'Input Sheet'!L350</f>
        <v/>
      </c>
      <c r="C351" s="26" t="str">
        <f ca="1">'Input Sheet'!M350</f>
        <v/>
      </c>
      <c r="D351" s="40">
        <f>'Input Sheet'!B350</f>
        <v>0</v>
      </c>
      <c r="E351" s="37">
        <f>'Input Sheet'!I350</f>
        <v>0</v>
      </c>
      <c r="F351" s="29">
        <f>('Input Sheet'!C350)/100</f>
        <v>0</v>
      </c>
      <c r="G351" s="29">
        <f>('Input Sheet'!F350)/100</f>
        <v>0</v>
      </c>
      <c r="H351" s="27">
        <f t="shared" si="56"/>
        <v>0</v>
      </c>
      <c r="I351" s="27">
        <f t="shared" si="50"/>
        <v>0</v>
      </c>
      <c r="J351" s="27">
        <f t="shared" si="51"/>
        <v>0</v>
      </c>
      <c r="K351" s="27">
        <f t="shared" si="52"/>
        <v>0</v>
      </c>
      <c r="L351" s="27">
        <f t="shared" si="53"/>
        <v>0</v>
      </c>
      <c r="M351" s="32" t="str">
        <f>'Input Sheet'!E350</f>
        <v/>
      </c>
      <c r="N351" s="32">
        <f t="shared" si="54"/>
        <v>0</v>
      </c>
      <c r="T351" s="32">
        <f t="shared" si="57"/>
        <v>0</v>
      </c>
      <c r="U351" s="32">
        <f t="shared" si="57"/>
        <v>0</v>
      </c>
      <c r="V351" s="32">
        <f t="shared" si="57"/>
        <v>0</v>
      </c>
      <c r="W351" s="32">
        <f t="shared" si="57"/>
        <v>0</v>
      </c>
      <c r="X351" s="32">
        <f t="shared" si="57"/>
        <v>0</v>
      </c>
    </row>
    <row r="352" spans="1:24" ht="16.5" customHeight="1" x14ac:dyDescent="0.25">
      <c r="A352" s="39" t="str">
        <f>'Long Sample Name'!A349</f>
        <v/>
      </c>
      <c r="B352" s="25" t="str">
        <f ca="1">'Input Sheet'!L351</f>
        <v/>
      </c>
      <c r="C352" s="26" t="str">
        <f ca="1">'Input Sheet'!M351</f>
        <v/>
      </c>
      <c r="D352" s="40">
        <f>'Input Sheet'!B351</f>
        <v>0</v>
      </c>
      <c r="E352" s="37">
        <f>'Input Sheet'!I351</f>
        <v>0</v>
      </c>
      <c r="F352" s="29">
        <f>('Input Sheet'!C351)/100</f>
        <v>0</v>
      </c>
      <c r="G352" s="29">
        <f>('Input Sheet'!F351)/100</f>
        <v>0</v>
      </c>
      <c r="H352" s="27">
        <f t="shared" si="56"/>
        <v>0</v>
      </c>
      <c r="I352" s="27">
        <f t="shared" si="50"/>
        <v>0</v>
      </c>
      <c r="J352" s="27">
        <f t="shared" si="51"/>
        <v>0</v>
      </c>
      <c r="K352" s="27">
        <f t="shared" si="52"/>
        <v>0</v>
      </c>
      <c r="L352" s="27">
        <f t="shared" si="53"/>
        <v>0</v>
      </c>
      <c r="M352" s="32" t="str">
        <f>'Input Sheet'!E351</f>
        <v/>
      </c>
      <c r="N352" s="32">
        <f t="shared" si="54"/>
        <v>0</v>
      </c>
      <c r="T352" s="32">
        <f t="shared" si="57"/>
        <v>0</v>
      </c>
      <c r="U352" s="32">
        <f t="shared" si="57"/>
        <v>0</v>
      </c>
      <c r="V352" s="32">
        <f t="shared" si="57"/>
        <v>0</v>
      </c>
      <c r="W352" s="32">
        <f t="shared" si="57"/>
        <v>0</v>
      </c>
      <c r="X352" s="32">
        <f t="shared" si="57"/>
        <v>0</v>
      </c>
    </row>
    <row r="353" spans="1:24" ht="16.5" customHeight="1" x14ac:dyDescent="0.25">
      <c r="A353" s="39" t="str">
        <f>'Long Sample Name'!A350</f>
        <v/>
      </c>
      <c r="B353" s="25" t="str">
        <f ca="1">'Input Sheet'!L352</f>
        <v/>
      </c>
      <c r="C353" s="26" t="str">
        <f ca="1">'Input Sheet'!M352</f>
        <v/>
      </c>
      <c r="D353" s="40">
        <f>'Input Sheet'!B352</f>
        <v>0</v>
      </c>
      <c r="E353" s="37">
        <f>'Input Sheet'!I352</f>
        <v>0</v>
      </c>
      <c r="F353" s="29">
        <f>('Input Sheet'!C352)/100</f>
        <v>0</v>
      </c>
      <c r="G353" s="29">
        <f>('Input Sheet'!F352)/100</f>
        <v>0</v>
      </c>
      <c r="H353" s="27">
        <f t="shared" si="56"/>
        <v>0</v>
      </c>
      <c r="I353" s="27">
        <f t="shared" si="50"/>
        <v>0</v>
      </c>
      <c r="J353" s="27">
        <f t="shared" si="51"/>
        <v>0</v>
      </c>
      <c r="K353" s="27">
        <f t="shared" si="52"/>
        <v>0</v>
      </c>
      <c r="L353" s="27">
        <f t="shared" si="53"/>
        <v>0</v>
      </c>
      <c r="M353" s="32" t="str">
        <f>'Input Sheet'!E352</f>
        <v/>
      </c>
      <c r="N353" s="32">
        <f t="shared" si="54"/>
        <v>0</v>
      </c>
      <c r="T353" s="32">
        <f t="shared" si="57"/>
        <v>0</v>
      </c>
      <c r="U353" s="32">
        <f t="shared" si="57"/>
        <v>0</v>
      </c>
      <c r="V353" s="32">
        <f t="shared" si="57"/>
        <v>0</v>
      </c>
      <c r="W353" s="32">
        <f t="shared" si="57"/>
        <v>0</v>
      </c>
      <c r="X353" s="32">
        <f t="shared" si="57"/>
        <v>0</v>
      </c>
    </row>
    <row r="354" spans="1:24" ht="16.5" customHeight="1" x14ac:dyDescent="0.25">
      <c r="A354" s="39" t="str">
        <f>'Long Sample Name'!A351</f>
        <v/>
      </c>
      <c r="B354" s="25" t="str">
        <f ca="1">'Input Sheet'!L353</f>
        <v/>
      </c>
      <c r="C354" s="26" t="str">
        <f ca="1">'Input Sheet'!M353</f>
        <v/>
      </c>
      <c r="D354" s="40">
        <f>'Input Sheet'!B353</f>
        <v>0</v>
      </c>
      <c r="E354" s="37">
        <f>'Input Sheet'!I353</f>
        <v>0</v>
      </c>
      <c r="F354" s="29">
        <f>('Input Sheet'!C353)/100</f>
        <v>0</v>
      </c>
      <c r="G354" s="29">
        <f>('Input Sheet'!F353)/100</f>
        <v>0</v>
      </c>
      <c r="H354" s="27">
        <f t="shared" si="56"/>
        <v>0</v>
      </c>
      <c r="I354" s="27">
        <f t="shared" si="50"/>
        <v>0</v>
      </c>
      <c r="J354" s="27">
        <f t="shared" si="51"/>
        <v>0</v>
      </c>
      <c r="K354" s="27">
        <f t="shared" si="52"/>
        <v>0</v>
      </c>
      <c r="L354" s="27">
        <f t="shared" si="53"/>
        <v>0</v>
      </c>
      <c r="M354" s="32" t="str">
        <f>'Input Sheet'!E353</f>
        <v/>
      </c>
      <c r="N354" s="32">
        <f t="shared" si="54"/>
        <v>0</v>
      </c>
      <c r="T354" s="32">
        <f t="shared" si="57"/>
        <v>0</v>
      </c>
      <c r="U354" s="32">
        <f t="shared" si="57"/>
        <v>0</v>
      </c>
      <c r="V354" s="32">
        <f t="shared" si="57"/>
        <v>0</v>
      </c>
      <c r="W354" s="32">
        <f t="shared" si="57"/>
        <v>0</v>
      </c>
      <c r="X354" s="32">
        <f t="shared" si="57"/>
        <v>0</v>
      </c>
    </row>
    <row r="355" spans="1:24" ht="16.5" customHeight="1" x14ac:dyDescent="0.25">
      <c r="A355" s="39" t="str">
        <f>'Long Sample Name'!A352</f>
        <v/>
      </c>
      <c r="B355" s="25" t="str">
        <f ca="1">'Input Sheet'!L354</f>
        <v/>
      </c>
      <c r="C355" s="26" t="str">
        <f ca="1">'Input Sheet'!M354</f>
        <v/>
      </c>
      <c r="D355" s="40">
        <f>'Input Sheet'!B354</f>
        <v>0</v>
      </c>
      <c r="E355" s="37">
        <f>'Input Sheet'!I354</f>
        <v>0</v>
      </c>
      <c r="F355" s="29">
        <f>('Input Sheet'!C354)/100</f>
        <v>0</v>
      </c>
      <c r="G355" s="29">
        <f>('Input Sheet'!F354)/100</f>
        <v>0</v>
      </c>
      <c r="H355" s="27">
        <f t="shared" si="56"/>
        <v>0</v>
      </c>
      <c r="I355" s="27">
        <f t="shared" si="50"/>
        <v>0</v>
      </c>
      <c r="J355" s="27">
        <f t="shared" si="51"/>
        <v>0</v>
      </c>
      <c r="K355" s="27">
        <f t="shared" si="52"/>
        <v>0</v>
      </c>
      <c r="L355" s="27">
        <f t="shared" si="53"/>
        <v>0</v>
      </c>
      <c r="M355" s="32" t="str">
        <f>'Input Sheet'!E354</f>
        <v/>
      </c>
      <c r="N355" s="32">
        <f t="shared" si="54"/>
        <v>0</v>
      </c>
      <c r="T355" s="32">
        <f t="shared" si="57"/>
        <v>0</v>
      </c>
      <c r="U355" s="32">
        <f t="shared" si="57"/>
        <v>0</v>
      </c>
      <c r="V355" s="32">
        <f t="shared" si="57"/>
        <v>0</v>
      </c>
      <c r="W355" s="32">
        <f t="shared" si="57"/>
        <v>0</v>
      </c>
      <c r="X355" s="32">
        <f t="shared" si="57"/>
        <v>0</v>
      </c>
    </row>
    <row r="356" spans="1:24" ht="16.5" customHeight="1" x14ac:dyDescent="0.25">
      <c r="A356" s="39" t="str">
        <f>'Long Sample Name'!A353</f>
        <v/>
      </c>
      <c r="B356" s="25" t="str">
        <f ca="1">'Input Sheet'!L355</f>
        <v/>
      </c>
      <c r="C356" s="26" t="str">
        <f ca="1">'Input Sheet'!M355</f>
        <v/>
      </c>
      <c r="D356" s="40">
        <f>'Input Sheet'!B355</f>
        <v>0</v>
      </c>
      <c r="E356" s="37">
        <f>'Input Sheet'!I355</f>
        <v>0</v>
      </c>
      <c r="F356" s="29">
        <f>('Input Sheet'!C355)/100</f>
        <v>0</v>
      </c>
      <c r="G356" s="29">
        <f>('Input Sheet'!F355)/100</f>
        <v>0</v>
      </c>
      <c r="H356" s="27">
        <f t="shared" si="56"/>
        <v>0</v>
      </c>
      <c r="I356" s="27">
        <f t="shared" si="50"/>
        <v>0</v>
      </c>
      <c r="J356" s="27">
        <f t="shared" si="51"/>
        <v>0</v>
      </c>
      <c r="K356" s="27">
        <f t="shared" si="52"/>
        <v>0</v>
      </c>
      <c r="L356" s="27">
        <f t="shared" si="53"/>
        <v>0</v>
      </c>
      <c r="M356" s="32" t="str">
        <f>'Input Sheet'!E355</f>
        <v/>
      </c>
      <c r="N356" s="32">
        <f t="shared" si="54"/>
        <v>0</v>
      </c>
      <c r="T356" s="32">
        <f t="shared" si="57"/>
        <v>0</v>
      </c>
      <c r="U356" s="32">
        <f t="shared" si="57"/>
        <v>0</v>
      </c>
      <c r="V356" s="32">
        <f t="shared" si="57"/>
        <v>0</v>
      </c>
      <c r="W356" s="32">
        <f t="shared" si="57"/>
        <v>0</v>
      </c>
      <c r="X356" s="32">
        <f t="shared" si="57"/>
        <v>0</v>
      </c>
    </row>
    <row r="357" spans="1:24" ht="16.5" customHeight="1" x14ac:dyDescent="0.25">
      <c r="A357" s="39" t="str">
        <f>'Long Sample Name'!A354</f>
        <v/>
      </c>
      <c r="B357" s="25" t="str">
        <f ca="1">'Input Sheet'!L356</f>
        <v/>
      </c>
      <c r="C357" s="26" t="str">
        <f ca="1">'Input Sheet'!M356</f>
        <v/>
      </c>
      <c r="D357" s="40">
        <f>'Input Sheet'!B356</f>
        <v>0</v>
      </c>
      <c r="E357" s="37">
        <f>'Input Sheet'!I356</f>
        <v>0</v>
      </c>
      <c r="F357" s="29">
        <f>('Input Sheet'!C356)/100</f>
        <v>0</v>
      </c>
      <c r="G357" s="29">
        <f>('Input Sheet'!F356)/100</f>
        <v>0</v>
      </c>
      <c r="H357" s="27">
        <f t="shared" si="56"/>
        <v>0</v>
      </c>
      <c r="I357" s="27">
        <f t="shared" si="50"/>
        <v>0</v>
      </c>
      <c r="J357" s="27">
        <f t="shared" si="51"/>
        <v>0</v>
      </c>
      <c r="K357" s="27">
        <f t="shared" si="52"/>
        <v>0</v>
      </c>
      <c r="L357" s="27">
        <f t="shared" si="53"/>
        <v>0</v>
      </c>
      <c r="M357" s="32" t="str">
        <f>'Input Sheet'!E356</f>
        <v/>
      </c>
      <c r="N357" s="32">
        <f t="shared" si="54"/>
        <v>0</v>
      </c>
      <c r="T357" s="32">
        <f t="shared" ref="T357:X372" si="58">IF($M357=T$1,$H357,0)</f>
        <v>0</v>
      </c>
      <c r="U357" s="32">
        <f t="shared" si="58"/>
        <v>0</v>
      </c>
      <c r="V357" s="32">
        <f t="shared" si="58"/>
        <v>0</v>
      </c>
      <c r="W357" s="32">
        <f t="shared" si="58"/>
        <v>0</v>
      </c>
      <c r="X357" s="32">
        <f t="shared" si="58"/>
        <v>0</v>
      </c>
    </row>
    <row r="358" spans="1:24" ht="16.5" customHeight="1" x14ac:dyDescent="0.25">
      <c r="A358" s="39" t="str">
        <f>'Long Sample Name'!A355</f>
        <v/>
      </c>
      <c r="B358" s="25" t="str">
        <f ca="1">'Input Sheet'!L357</f>
        <v/>
      </c>
      <c r="C358" s="26" t="str">
        <f ca="1">'Input Sheet'!M357</f>
        <v/>
      </c>
      <c r="D358" s="40">
        <f>'Input Sheet'!B357</f>
        <v>0</v>
      </c>
      <c r="E358" s="37">
        <f>'Input Sheet'!I357</f>
        <v>0</v>
      </c>
      <c r="F358" s="29">
        <f>('Input Sheet'!C357)/100</f>
        <v>0</v>
      </c>
      <c r="G358" s="29">
        <f>('Input Sheet'!F357)/100</f>
        <v>0</v>
      </c>
      <c r="H358" s="27">
        <f t="shared" si="56"/>
        <v>0</v>
      </c>
      <c r="I358" s="27">
        <f t="shared" si="50"/>
        <v>0</v>
      </c>
      <c r="J358" s="27">
        <f t="shared" si="51"/>
        <v>0</v>
      </c>
      <c r="K358" s="27">
        <f t="shared" si="52"/>
        <v>0</v>
      </c>
      <c r="L358" s="27">
        <f t="shared" si="53"/>
        <v>0</v>
      </c>
      <c r="M358" s="32" t="str">
        <f>'Input Sheet'!E357</f>
        <v/>
      </c>
      <c r="N358" s="32">
        <f t="shared" si="54"/>
        <v>0</v>
      </c>
      <c r="T358" s="32">
        <f t="shared" si="58"/>
        <v>0</v>
      </c>
      <c r="U358" s="32">
        <f t="shared" si="58"/>
        <v>0</v>
      </c>
      <c r="V358" s="32">
        <f t="shared" si="58"/>
        <v>0</v>
      </c>
      <c r="W358" s="32">
        <f t="shared" si="58"/>
        <v>0</v>
      </c>
      <c r="X358" s="32">
        <f t="shared" si="58"/>
        <v>0</v>
      </c>
    </row>
    <row r="359" spans="1:24" ht="16.5" customHeight="1" x14ac:dyDescent="0.25">
      <c r="A359" s="39" t="str">
        <f>'Long Sample Name'!A356</f>
        <v/>
      </c>
      <c r="B359" s="25" t="str">
        <f ca="1">'Input Sheet'!L358</f>
        <v/>
      </c>
      <c r="C359" s="26" t="str">
        <f ca="1">'Input Sheet'!M358</f>
        <v/>
      </c>
      <c r="D359" s="40">
        <f>'Input Sheet'!B358</f>
        <v>0</v>
      </c>
      <c r="E359" s="37">
        <f>'Input Sheet'!I358</f>
        <v>0</v>
      </c>
      <c r="F359" s="29">
        <f>('Input Sheet'!C358)/100</f>
        <v>0</v>
      </c>
      <c r="G359" s="29">
        <f>('Input Sheet'!F358)/100</f>
        <v>0</v>
      </c>
      <c r="H359" s="27">
        <f t="shared" si="56"/>
        <v>0</v>
      </c>
      <c r="I359" s="27">
        <f t="shared" si="50"/>
        <v>0</v>
      </c>
      <c r="J359" s="27">
        <f t="shared" si="51"/>
        <v>0</v>
      </c>
      <c r="K359" s="27">
        <f t="shared" si="52"/>
        <v>0</v>
      </c>
      <c r="L359" s="27">
        <f t="shared" si="53"/>
        <v>0</v>
      </c>
      <c r="M359" s="32" t="str">
        <f>'Input Sheet'!E358</f>
        <v/>
      </c>
      <c r="N359" s="32">
        <f t="shared" si="54"/>
        <v>0</v>
      </c>
      <c r="T359" s="32">
        <f t="shared" si="58"/>
        <v>0</v>
      </c>
      <c r="U359" s="32">
        <f t="shared" si="58"/>
        <v>0</v>
      </c>
      <c r="V359" s="32">
        <f t="shared" si="58"/>
        <v>0</v>
      </c>
      <c r="W359" s="32">
        <f t="shared" si="58"/>
        <v>0</v>
      </c>
      <c r="X359" s="32">
        <f t="shared" si="58"/>
        <v>0</v>
      </c>
    </row>
    <row r="360" spans="1:24" ht="16.5" customHeight="1" x14ac:dyDescent="0.25">
      <c r="A360" s="39" t="str">
        <f>'Long Sample Name'!A357</f>
        <v/>
      </c>
      <c r="B360" s="25" t="str">
        <f ca="1">'Input Sheet'!L359</f>
        <v/>
      </c>
      <c r="C360" s="26" t="str">
        <f ca="1">'Input Sheet'!M359</f>
        <v/>
      </c>
      <c r="D360" s="40">
        <f>'Input Sheet'!B359</f>
        <v>0</v>
      </c>
      <c r="E360" s="37">
        <f>'Input Sheet'!I359</f>
        <v>0</v>
      </c>
      <c r="F360" s="29">
        <f>('Input Sheet'!C359)/100</f>
        <v>0</v>
      </c>
      <c r="G360" s="29">
        <f>('Input Sheet'!F359)/100</f>
        <v>0</v>
      </c>
      <c r="H360" s="27">
        <f t="shared" si="56"/>
        <v>0</v>
      </c>
      <c r="I360" s="27">
        <f t="shared" si="50"/>
        <v>0</v>
      </c>
      <c r="J360" s="27">
        <f t="shared" si="51"/>
        <v>0</v>
      </c>
      <c r="K360" s="27">
        <f t="shared" si="52"/>
        <v>0</v>
      </c>
      <c r="L360" s="27">
        <f t="shared" si="53"/>
        <v>0</v>
      </c>
      <c r="M360" s="32" t="str">
        <f>'Input Sheet'!E359</f>
        <v/>
      </c>
      <c r="N360" s="32">
        <f t="shared" si="54"/>
        <v>0</v>
      </c>
      <c r="T360" s="32">
        <f t="shared" si="58"/>
        <v>0</v>
      </c>
      <c r="U360" s="32">
        <f t="shared" si="58"/>
        <v>0</v>
      </c>
      <c r="V360" s="32">
        <f t="shared" si="58"/>
        <v>0</v>
      </c>
      <c r="W360" s="32">
        <f t="shared" si="58"/>
        <v>0</v>
      </c>
      <c r="X360" s="32">
        <f t="shared" si="58"/>
        <v>0</v>
      </c>
    </row>
    <row r="361" spans="1:24" ht="16.5" customHeight="1" x14ac:dyDescent="0.25">
      <c r="A361" s="39" t="str">
        <f>'Long Sample Name'!A358</f>
        <v/>
      </c>
      <c r="B361" s="25" t="str">
        <f ca="1">'Input Sheet'!L360</f>
        <v/>
      </c>
      <c r="C361" s="26" t="str">
        <f ca="1">'Input Sheet'!M360</f>
        <v/>
      </c>
      <c r="D361" s="40">
        <f>'Input Sheet'!B360</f>
        <v>0</v>
      </c>
      <c r="E361" s="37">
        <f>'Input Sheet'!I360</f>
        <v>0</v>
      </c>
      <c r="F361" s="29">
        <f>('Input Sheet'!C360)/100</f>
        <v>0</v>
      </c>
      <c r="G361" s="29">
        <f>('Input Sheet'!F360)/100</f>
        <v>0</v>
      </c>
      <c r="H361" s="27">
        <f t="shared" si="56"/>
        <v>0</v>
      </c>
      <c r="I361" s="27">
        <f t="shared" si="50"/>
        <v>0</v>
      </c>
      <c r="J361" s="27">
        <f t="shared" si="51"/>
        <v>0</v>
      </c>
      <c r="K361" s="27">
        <f t="shared" si="52"/>
        <v>0</v>
      </c>
      <c r="L361" s="27">
        <f t="shared" si="53"/>
        <v>0</v>
      </c>
      <c r="M361" s="32" t="str">
        <f>'Input Sheet'!E360</f>
        <v/>
      </c>
      <c r="N361" s="32">
        <f t="shared" si="54"/>
        <v>0</v>
      </c>
      <c r="T361" s="32">
        <f t="shared" si="58"/>
        <v>0</v>
      </c>
      <c r="U361" s="32">
        <f t="shared" si="58"/>
        <v>0</v>
      </c>
      <c r="V361" s="32">
        <f t="shared" si="58"/>
        <v>0</v>
      </c>
      <c r="W361" s="32">
        <f t="shared" si="58"/>
        <v>0</v>
      </c>
      <c r="X361" s="32">
        <f t="shared" si="58"/>
        <v>0</v>
      </c>
    </row>
    <row r="362" spans="1:24" ht="16.5" customHeight="1" x14ac:dyDescent="0.25">
      <c r="A362" s="39" t="str">
        <f>'Long Sample Name'!A359</f>
        <v/>
      </c>
      <c r="B362" s="25" t="str">
        <f ca="1">'Input Sheet'!L361</f>
        <v/>
      </c>
      <c r="C362" s="26" t="str">
        <f ca="1">'Input Sheet'!M361</f>
        <v/>
      </c>
      <c r="D362" s="40">
        <f>'Input Sheet'!B361</f>
        <v>0</v>
      </c>
      <c r="E362" s="37">
        <f>'Input Sheet'!I361</f>
        <v>0</v>
      </c>
      <c r="F362" s="29">
        <f>('Input Sheet'!C361)/100</f>
        <v>0</v>
      </c>
      <c r="G362" s="29">
        <f>('Input Sheet'!F361)/100</f>
        <v>0</v>
      </c>
      <c r="H362" s="27">
        <f t="shared" si="56"/>
        <v>0</v>
      </c>
      <c r="I362" s="27">
        <f t="shared" si="50"/>
        <v>0</v>
      </c>
      <c r="J362" s="27">
        <f t="shared" si="51"/>
        <v>0</v>
      </c>
      <c r="K362" s="27">
        <f t="shared" si="52"/>
        <v>0</v>
      </c>
      <c r="L362" s="27">
        <f t="shared" si="53"/>
        <v>0</v>
      </c>
      <c r="M362" s="32" t="str">
        <f>'Input Sheet'!E361</f>
        <v/>
      </c>
      <c r="N362" s="32">
        <f t="shared" si="54"/>
        <v>0</v>
      </c>
      <c r="T362" s="32">
        <f t="shared" si="58"/>
        <v>0</v>
      </c>
      <c r="U362" s="32">
        <f t="shared" si="58"/>
        <v>0</v>
      </c>
      <c r="V362" s="32">
        <f t="shared" si="58"/>
        <v>0</v>
      </c>
      <c r="W362" s="32">
        <f t="shared" si="58"/>
        <v>0</v>
      </c>
      <c r="X362" s="32">
        <f t="shared" si="58"/>
        <v>0</v>
      </c>
    </row>
    <row r="363" spans="1:24" ht="16.5" customHeight="1" x14ac:dyDescent="0.25">
      <c r="A363" s="39" t="str">
        <f>'Long Sample Name'!A360</f>
        <v/>
      </c>
      <c r="B363" s="25" t="str">
        <f ca="1">'Input Sheet'!L362</f>
        <v/>
      </c>
      <c r="C363" s="26" t="str">
        <f ca="1">'Input Sheet'!M362</f>
        <v/>
      </c>
      <c r="D363" s="40">
        <f>'Input Sheet'!B362</f>
        <v>0</v>
      </c>
      <c r="E363" s="37">
        <f>'Input Sheet'!I362</f>
        <v>0</v>
      </c>
      <c r="F363" s="29">
        <f>('Input Sheet'!C362)/100</f>
        <v>0</v>
      </c>
      <c r="G363" s="29">
        <f>('Input Sheet'!F362)/100</f>
        <v>0</v>
      </c>
      <c r="H363" s="27">
        <f t="shared" si="56"/>
        <v>0</v>
      </c>
      <c r="I363" s="27">
        <f t="shared" si="50"/>
        <v>0</v>
      </c>
      <c r="J363" s="27">
        <f t="shared" si="51"/>
        <v>0</v>
      </c>
      <c r="K363" s="27">
        <f t="shared" si="52"/>
        <v>0</v>
      </c>
      <c r="L363" s="27">
        <f t="shared" si="53"/>
        <v>0</v>
      </c>
      <c r="M363" s="32" t="str">
        <f>'Input Sheet'!E362</f>
        <v/>
      </c>
      <c r="N363" s="32">
        <f t="shared" si="54"/>
        <v>0</v>
      </c>
      <c r="T363" s="32">
        <f t="shared" si="58"/>
        <v>0</v>
      </c>
      <c r="U363" s="32">
        <f t="shared" si="58"/>
        <v>0</v>
      </c>
      <c r="V363" s="32">
        <f t="shared" si="58"/>
        <v>0</v>
      </c>
      <c r="W363" s="32">
        <f t="shared" si="58"/>
        <v>0</v>
      </c>
      <c r="X363" s="32">
        <f t="shared" si="58"/>
        <v>0</v>
      </c>
    </row>
    <row r="364" spans="1:24" ht="16.5" customHeight="1" x14ac:dyDescent="0.25">
      <c r="A364" s="39" t="str">
        <f>'Long Sample Name'!A361</f>
        <v/>
      </c>
      <c r="B364" s="25" t="str">
        <f ca="1">'Input Sheet'!L363</f>
        <v/>
      </c>
      <c r="C364" s="26" t="str">
        <f ca="1">'Input Sheet'!M363</f>
        <v/>
      </c>
      <c r="D364" s="40">
        <f>'Input Sheet'!B363</f>
        <v>0</v>
      </c>
      <c r="E364" s="37">
        <f>'Input Sheet'!I363</f>
        <v>0</v>
      </c>
      <c r="F364" s="29">
        <f>('Input Sheet'!C363)/100</f>
        <v>0</v>
      </c>
      <c r="G364" s="29">
        <f>('Input Sheet'!F363)/100</f>
        <v>0</v>
      </c>
      <c r="H364" s="27">
        <f t="shared" si="56"/>
        <v>0</v>
      </c>
      <c r="I364" s="27">
        <f t="shared" si="50"/>
        <v>0</v>
      </c>
      <c r="J364" s="27">
        <f t="shared" si="51"/>
        <v>0</v>
      </c>
      <c r="K364" s="27">
        <f t="shared" si="52"/>
        <v>0</v>
      </c>
      <c r="L364" s="27">
        <f t="shared" si="53"/>
        <v>0</v>
      </c>
      <c r="M364" s="32" t="str">
        <f>'Input Sheet'!E363</f>
        <v/>
      </c>
      <c r="N364" s="32">
        <f t="shared" si="54"/>
        <v>0</v>
      </c>
      <c r="T364" s="32">
        <f t="shared" si="58"/>
        <v>0</v>
      </c>
      <c r="U364" s="32">
        <f t="shared" si="58"/>
        <v>0</v>
      </c>
      <c r="V364" s="32">
        <f t="shared" si="58"/>
        <v>0</v>
      </c>
      <c r="W364" s="32">
        <f t="shared" si="58"/>
        <v>0</v>
      </c>
      <c r="X364" s="32">
        <f t="shared" si="58"/>
        <v>0</v>
      </c>
    </row>
    <row r="365" spans="1:24" ht="16.5" customHeight="1" x14ac:dyDescent="0.25">
      <c r="A365" s="39" t="str">
        <f>'Long Sample Name'!A362</f>
        <v/>
      </c>
      <c r="B365" s="25" t="str">
        <f ca="1">'Input Sheet'!L364</f>
        <v/>
      </c>
      <c r="C365" s="26" t="str">
        <f ca="1">'Input Sheet'!M364</f>
        <v/>
      </c>
      <c r="D365" s="40">
        <f>'Input Sheet'!B364</f>
        <v>0</v>
      </c>
      <c r="E365" s="37">
        <f>'Input Sheet'!I364</f>
        <v>0</v>
      </c>
      <c r="F365" s="29">
        <f>('Input Sheet'!C364)/100</f>
        <v>0</v>
      </c>
      <c r="G365" s="29">
        <f>('Input Sheet'!F364)/100</f>
        <v>0</v>
      </c>
      <c r="H365" s="27">
        <f t="shared" si="56"/>
        <v>0</v>
      </c>
      <c r="I365" s="27">
        <f t="shared" si="50"/>
        <v>0</v>
      </c>
      <c r="J365" s="27">
        <f t="shared" si="51"/>
        <v>0</v>
      </c>
      <c r="K365" s="27">
        <f t="shared" si="52"/>
        <v>0</v>
      </c>
      <c r="L365" s="27">
        <f t="shared" si="53"/>
        <v>0</v>
      </c>
      <c r="M365" s="32" t="str">
        <f>'Input Sheet'!E364</f>
        <v/>
      </c>
      <c r="N365" s="32">
        <f t="shared" si="54"/>
        <v>0</v>
      </c>
      <c r="T365" s="32">
        <f t="shared" si="58"/>
        <v>0</v>
      </c>
      <c r="U365" s="32">
        <f t="shared" si="58"/>
        <v>0</v>
      </c>
      <c r="V365" s="32">
        <f t="shared" si="58"/>
        <v>0</v>
      </c>
      <c r="W365" s="32">
        <f t="shared" si="58"/>
        <v>0</v>
      </c>
      <c r="X365" s="32">
        <f t="shared" si="58"/>
        <v>0</v>
      </c>
    </row>
    <row r="366" spans="1:24" ht="16.5" customHeight="1" x14ac:dyDescent="0.25">
      <c r="A366" s="39" t="str">
        <f>'Long Sample Name'!A363</f>
        <v/>
      </c>
      <c r="B366" s="25" t="str">
        <f ca="1">'Input Sheet'!L365</f>
        <v/>
      </c>
      <c r="C366" s="26" t="str">
        <f ca="1">'Input Sheet'!M365</f>
        <v/>
      </c>
      <c r="D366" s="40">
        <f>'Input Sheet'!B365</f>
        <v>0</v>
      </c>
      <c r="E366" s="37">
        <f>'Input Sheet'!I365</f>
        <v>0</v>
      </c>
      <c r="F366" s="29">
        <f>('Input Sheet'!C365)/100</f>
        <v>0</v>
      </c>
      <c r="G366" s="29">
        <f>('Input Sheet'!F365)/100</f>
        <v>0</v>
      </c>
      <c r="H366" s="27">
        <f t="shared" si="56"/>
        <v>0</v>
      </c>
      <c r="I366" s="27">
        <f t="shared" si="50"/>
        <v>0</v>
      </c>
      <c r="J366" s="27">
        <f t="shared" si="51"/>
        <v>0</v>
      </c>
      <c r="K366" s="27">
        <f t="shared" si="52"/>
        <v>0</v>
      </c>
      <c r="L366" s="27">
        <f t="shared" si="53"/>
        <v>0</v>
      </c>
      <c r="M366" s="32" t="str">
        <f>'Input Sheet'!E365</f>
        <v/>
      </c>
      <c r="N366" s="32">
        <f t="shared" si="54"/>
        <v>0</v>
      </c>
      <c r="T366" s="32">
        <f t="shared" si="58"/>
        <v>0</v>
      </c>
      <c r="U366" s="32">
        <f t="shared" si="58"/>
        <v>0</v>
      </c>
      <c r="V366" s="32">
        <f t="shared" si="58"/>
        <v>0</v>
      </c>
      <c r="W366" s="32">
        <f t="shared" si="58"/>
        <v>0</v>
      </c>
      <c r="X366" s="32">
        <f t="shared" si="58"/>
        <v>0</v>
      </c>
    </row>
    <row r="367" spans="1:24" ht="16.5" customHeight="1" x14ac:dyDescent="0.25">
      <c r="A367" s="39" t="str">
        <f>'Long Sample Name'!A364</f>
        <v/>
      </c>
      <c r="B367" s="25" t="str">
        <f ca="1">'Input Sheet'!L366</f>
        <v/>
      </c>
      <c r="C367" s="26" t="str">
        <f ca="1">'Input Sheet'!M366</f>
        <v/>
      </c>
      <c r="D367" s="40">
        <f>'Input Sheet'!B366</f>
        <v>0</v>
      </c>
      <c r="E367" s="37">
        <f>'Input Sheet'!I366</f>
        <v>0</v>
      </c>
      <c r="F367" s="29">
        <f>('Input Sheet'!C366)/100</f>
        <v>0</v>
      </c>
      <c r="G367" s="29">
        <f>('Input Sheet'!F366)/100</f>
        <v>0</v>
      </c>
      <c r="H367" s="27">
        <f t="shared" si="56"/>
        <v>0</v>
      </c>
      <c r="I367" s="27">
        <f t="shared" si="50"/>
        <v>0</v>
      </c>
      <c r="J367" s="27">
        <f t="shared" si="51"/>
        <v>0</v>
      </c>
      <c r="K367" s="27">
        <f t="shared" si="52"/>
        <v>0</v>
      </c>
      <c r="L367" s="27">
        <f t="shared" si="53"/>
        <v>0</v>
      </c>
      <c r="M367" s="32" t="str">
        <f>'Input Sheet'!E366</f>
        <v/>
      </c>
      <c r="N367" s="32">
        <f t="shared" si="54"/>
        <v>0</v>
      </c>
      <c r="T367" s="32">
        <f t="shared" si="58"/>
        <v>0</v>
      </c>
      <c r="U367" s="32">
        <f t="shared" si="58"/>
        <v>0</v>
      </c>
      <c r="V367" s="32">
        <f t="shared" si="58"/>
        <v>0</v>
      </c>
      <c r="W367" s="32">
        <f t="shared" si="58"/>
        <v>0</v>
      </c>
      <c r="X367" s="32">
        <f t="shared" si="58"/>
        <v>0</v>
      </c>
    </row>
    <row r="368" spans="1:24" ht="16.5" customHeight="1" x14ac:dyDescent="0.25">
      <c r="A368" s="39" t="str">
        <f>'Long Sample Name'!A365</f>
        <v/>
      </c>
      <c r="B368" s="25" t="str">
        <f ca="1">'Input Sheet'!L367</f>
        <v/>
      </c>
      <c r="C368" s="26" t="str">
        <f ca="1">'Input Sheet'!M367</f>
        <v/>
      </c>
      <c r="D368" s="40">
        <f>'Input Sheet'!B367</f>
        <v>0</v>
      </c>
      <c r="E368" s="37">
        <f>'Input Sheet'!I367</f>
        <v>0</v>
      </c>
      <c r="F368" s="29">
        <f>('Input Sheet'!C367)/100</f>
        <v>0</v>
      </c>
      <c r="G368" s="29">
        <f>('Input Sheet'!F367)/100</f>
        <v>0</v>
      </c>
      <c r="H368" s="27">
        <f t="shared" si="56"/>
        <v>0</v>
      </c>
      <c r="I368" s="27">
        <f t="shared" si="50"/>
        <v>0</v>
      </c>
      <c r="J368" s="27">
        <f t="shared" si="51"/>
        <v>0</v>
      </c>
      <c r="K368" s="27">
        <f t="shared" si="52"/>
        <v>0</v>
      </c>
      <c r="L368" s="27">
        <f t="shared" si="53"/>
        <v>0</v>
      </c>
      <c r="M368" s="32" t="str">
        <f>'Input Sheet'!E367</f>
        <v/>
      </c>
      <c r="N368" s="32">
        <f t="shared" si="54"/>
        <v>0</v>
      </c>
      <c r="T368" s="32">
        <f t="shared" si="58"/>
        <v>0</v>
      </c>
      <c r="U368" s="32">
        <f t="shared" si="58"/>
        <v>0</v>
      </c>
      <c r="V368" s="32">
        <f t="shared" si="58"/>
        <v>0</v>
      </c>
      <c r="W368" s="32">
        <f t="shared" si="58"/>
        <v>0</v>
      </c>
      <c r="X368" s="32">
        <f t="shared" si="58"/>
        <v>0</v>
      </c>
    </row>
    <row r="369" spans="1:24" ht="16.5" customHeight="1" x14ac:dyDescent="0.25">
      <c r="A369" s="39" t="str">
        <f>'Long Sample Name'!A366</f>
        <v/>
      </c>
      <c r="B369" s="25" t="str">
        <f ca="1">'Input Sheet'!L368</f>
        <v/>
      </c>
      <c r="C369" s="26" t="str">
        <f ca="1">'Input Sheet'!M368</f>
        <v/>
      </c>
      <c r="D369" s="40">
        <f>'Input Sheet'!B368</f>
        <v>0</v>
      </c>
      <c r="E369" s="37">
        <f>'Input Sheet'!I368</f>
        <v>0</v>
      </c>
      <c r="F369" s="29">
        <f>('Input Sheet'!C368)/100</f>
        <v>0</v>
      </c>
      <c r="G369" s="29">
        <f>('Input Sheet'!F368)/100</f>
        <v>0</v>
      </c>
      <c r="H369" s="27">
        <f t="shared" si="56"/>
        <v>0</v>
      </c>
      <c r="I369" s="27">
        <f t="shared" si="50"/>
        <v>0</v>
      </c>
      <c r="J369" s="27">
        <f t="shared" si="51"/>
        <v>0</v>
      </c>
      <c r="K369" s="27">
        <f t="shared" si="52"/>
        <v>0</v>
      </c>
      <c r="L369" s="27">
        <f t="shared" si="53"/>
        <v>0</v>
      </c>
      <c r="M369" s="32" t="str">
        <f>'Input Sheet'!E368</f>
        <v/>
      </c>
      <c r="N369" s="32">
        <f t="shared" si="54"/>
        <v>0</v>
      </c>
      <c r="T369" s="32">
        <f t="shared" si="58"/>
        <v>0</v>
      </c>
      <c r="U369" s="32">
        <f t="shared" si="58"/>
        <v>0</v>
      </c>
      <c r="V369" s="32">
        <f t="shared" si="58"/>
        <v>0</v>
      </c>
      <c r="W369" s="32">
        <f t="shared" si="58"/>
        <v>0</v>
      </c>
      <c r="X369" s="32">
        <f t="shared" si="58"/>
        <v>0</v>
      </c>
    </row>
    <row r="370" spans="1:24" ht="16.5" customHeight="1" x14ac:dyDescent="0.25">
      <c r="A370" s="39" t="str">
        <f>'Long Sample Name'!A367</f>
        <v/>
      </c>
      <c r="B370" s="25" t="str">
        <f ca="1">'Input Sheet'!L369</f>
        <v/>
      </c>
      <c r="C370" s="26" t="str">
        <f ca="1">'Input Sheet'!M369</f>
        <v/>
      </c>
      <c r="D370" s="40">
        <f>'Input Sheet'!B369</f>
        <v>0</v>
      </c>
      <c r="E370" s="37">
        <f>'Input Sheet'!I369</f>
        <v>0</v>
      </c>
      <c r="F370" s="29">
        <f>('Input Sheet'!C369)/100</f>
        <v>0</v>
      </c>
      <c r="G370" s="29">
        <f>('Input Sheet'!F369)/100</f>
        <v>0</v>
      </c>
      <c r="H370" s="27">
        <f t="shared" si="56"/>
        <v>0</v>
      </c>
      <c r="I370" s="27">
        <f t="shared" si="50"/>
        <v>0</v>
      </c>
      <c r="J370" s="27">
        <f t="shared" si="51"/>
        <v>0</v>
      </c>
      <c r="K370" s="27">
        <f t="shared" si="52"/>
        <v>0</v>
      </c>
      <c r="L370" s="27">
        <f t="shared" si="53"/>
        <v>0</v>
      </c>
      <c r="M370" s="32" t="str">
        <f>'Input Sheet'!E369</f>
        <v/>
      </c>
      <c r="N370" s="32">
        <f t="shared" si="54"/>
        <v>0</v>
      </c>
      <c r="T370" s="32">
        <f t="shared" si="58"/>
        <v>0</v>
      </c>
      <c r="U370" s="32">
        <f t="shared" si="58"/>
        <v>0</v>
      </c>
      <c r="V370" s="32">
        <f t="shared" si="58"/>
        <v>0</v>
      </c>
      <c r="W370" s="32">
        <f t="shared" si="58"/>
        <v>0</v>
      </c>
      <c r="X370" s="32">
        <f t="shared" si="58"/>
        <v>0</v>
      </c>
    </row>
    <row r="371" spans="1:24" ht="16.5" customHeight="1" x14ac:dyDescent="0.25">
      <c r="A371" s="39" t="str">
        <f>'Long Sample Name'!A368</f>
        <v/>
      </c>
      <c r="B371" s="25" t="str">
        <f ca="1">'Input Sheet'!L370</f>
        <v/>
      </c>
      <c r="C371" s="26" t="str">
        <f ca="1">'Input Sheet'!M370</f>
        <v/>
      </c>
      <c r="D371" s="40">
        <f>'Input Sheet'!B370</f>
        <v>0</v>
      </c>
      <c r="E371" s="37">
        <f>'Input Sheet'!I370</f>
        <v>0</v>
      </c>
      <c r="F371" s="29">
        <f>('Input Sheet'!C370)/100</f>
        <v>0</v>
      </c>
      <c r="G371" s="29">
        <f>('Input Sheet'!F370)/100</f>
        <v>0</v>
      </c>
      <c r="H371" s="27">
        <f t="shared" si="56"/>
        <v>0</v>
      </c>
      <c r="I371" s="27">
        <f t="shared" si="50"/>
        <v>0</v>
      </c>
      <c r="J371" s="27">
        <f t="shared" si="51"/>
        <v>0</v>
      </c>
      <c r="K371" s="27">
        <f t="shared" si="52"/>
        <v>0</v>
      </c>
      <c r="L371" s="27">
        <f t="shared" si="53"/>
        <v>0</v>
      </c>
      <c r="M371" s="32" t="str">
        <f>'Input Sheet'!E370</f>
        <v/>
      </c>
      <c r="N371" s="32">
        <f t="shared" si="54"/>
        <v>0</v>
      </c>
      <c r="T371" s="32">
        <f t="shared" si="58"/>
        <v>0</v>
      </c>
      <c r="U371" s="32">
        <f t="shared" si="58"/>
        <v>0</v>
      </c>
      <c r="V371" s="32">
        <f t="shared" si="58"/>
        <v>0</v>
      </c>
      <c r="W371" s="32">
        <f t="shared" si="58"/>
        <v>0</v>
      </c>
      <c r="X371" s="32">
        <f t="shared" si="58"/>
        <v>0</v>
      </c>
    </row>
    <row r="372" spans="1:24" ht="16.5" customHeight="1" x14ac:dyDescent="0.25">
      <c r="A372" s="39" t="str">
        <f>'Long Sample Name'!A369</f>
        <v/>
      </c>
      <c r="B372" s="25" t="str">
        <f ca="1">'Input Sheet'!L371</f>
        <v/>
      </c>
      <c r="C372" s="26" t="str">
        <f ca="1">'Input Sheet'!M371</f>
        <v/>
      </c>
      <c r="D372" s="40">
        <f>'Input Sheet'!B371</f>
        <v>0</v>
      </c>
      <c r="E372" s="37">
        <f>'Input Sheet'!I371</f>
        <v>0</v>
      </c>
      <c r="F372" s="29">
        <f>('Input Sheet'!C371)/100</f>
        <v>0</v>
      </c>
      <c r="G372" s="29">
        <f>('Input Sheet'!F371)/100</f>
        <v>0</v>
      </c>
      <c r="H372" s="27">
        <f t="shared" si="56"/>
        <v>0</v>
      </c>
      <c r="I372" s="27">
        <f t="shared" si="50"/>
        <v>0</v>
      </c>
      <c r="J372" s="27">
        <f t="shared" si="51"/>
        <v>0</v>
      </c>
      <c r="K372" s="27">
        <f t="shared" si="52"/>
        <v>0</v>
      </c>
      <c r="L372" s="27">
        <f t="shared" si="53"/>
        <v>0</v>
      </c>
      <c r="M372" s="32" t="str">
        <f>'Input Sheet'!E371</f>
        <v/>
      </c>
      <c r="N372" s="32">
        <f t="shared" si="54"/>
        <v>0</v>
      </c>
      <c r="T372" s="32">
        <f t="shared" si="58"/>
        <v>0</v>
      </c>
      <c r="U372" s="32">
        <f t="shared" si="58"/>
        <v>0</v>
      </c>
      <c r="V372" s="32">
        <f t="shared" si="58"/>
        <v>0</v>
      </c>
      <c r="W372" s="32">
        <f t="shared" si="58"/>
        <v>0</v>
      </c>
      <c r="X372" s="32">
        <f t="shared" si="58"/>
        <v>0</v>
      </c>
    </row>
    <row r="373" spans="1:24" ht="16.5" customHeight="1" x14ac:dyDescent="0.25">
      <c r="A373" s="39" t="str">
        <f>'Long Sample Name'!A370</f>
        <v/>
      </c>
      <c r="B373" s="25" t="str">
        <f ca="1">'Input Sheet'!L372</f>
        <v/>
      </c>
      <c r="C373" s="26" t="str">
        <f ca="1">'Input Sheet'!M372</f>
        <v/>
      </c>
      <c r="D373" s="40">
        <f>'Input Sheet'!B372</f>
        <v>0</v>
      </c>
      <c r="E373" s="37">
        <f>'Input Sheet'!I372</f>
        <v>0</v>
      </c>
      <c r="F373" s="29">
        <f>('Input Sheet'!C372)/100</f>
        <v>0</v>
      </c>
      <c r="G373" s="29">
        <f>('Input Sheet'!F372)/100</f>
        <v>0</v>
      </c>
      <c r="H373" s="27">
        <f t="shared" si="56"/>
        <v>0</v>
      </c>
      <c r="I373" s="27">
        <f t="shared" si="50"/>
        <v>0</v>
      </c>
      <c r="J373" s="27">
        <f t="shared" si="51"/>
        <v>0</v>
      </c>
      <c r="K373" s="27">
        <f t="shared" si="52"/>
        <v>0</v>
      </c>
      <c r="L373" s="27">
        <f t="shared" si="53"/>
        <v>0</v>
      </c>
      <c r="M373" s="32" t="str">
        <f>'Input Sheet'!E372</f>
        <v/>
      </c>
      <c r="N373" s="32">
        <f t="shared" si="54"/>
        <v>0</v>
      </c>
      <c r="T373" s="32">
        <f t="shared" ref="T373:X388" si="59">IF($M373=T$1,$H373,0)</f>
        <v>0</v>
      </c>
      <c r="U373" s="32">
        <f t="shared" si="59"/>
        <v>0</v>
      </c>
      <c r="V373" s="32">
        <f t="shared" si="59"/>
        <v>0</v>
      </c>
      <c r="W373" s="32">
        <f t="shared" si="59"/>
        <v>0</v>
      </c>
      <c r="X373" s="32">
        <f t="shared" si="59"/>
        <v>0</v>
      </c>
    </row>
    <row r="374" spans="1:24" ht="16.5" customHeight="1" x14ac:dyDescent="0.25">
      <c r="A374" s="39" t="str">
        <f>'Long Sample Name'!A371</f>
        <v/>
      </c>
      <c r="B374" s="25" t="str">
        <f ca="1">'Input Sheet'!L373</f>
        <v/>
      </c>
      <c r="C374" s="26" t="str">
        <f ca="1">'Input Sheet'!M373</f>
        <v/>
      </c>
      <c r="D374" s="40">
        <f>'Input Sheet'!B373</f>
        <v>0</v>
      </c>
      <c r="E374" s="37">
        <f>'Input Sheet'!I373</f>
        <v>0</v>
      </c>
      <c r="F374" s="29">
        <f>('Input Sheet'!C373)/100</f>
        <v>0</v>
      </c>
      <c r="G374" s="29">
        <f>('Input Sheet'!F373)/100</f>
        <v>0</v>
      </c>
      <c r="H374" s="27">
        <f t="shared" si="56"/>
        <v>0</v>
      </c>
      <c r="I374" s="27">
        <f t="shared" si="50"/>
        <v>0</v>
      </c>
      <c r="J374" s="27">
        <f t="shared" si="51"/>
        <v>0</v>
      </c>
      <c r="K374" s="27">
        <f t="shared" si="52"/>
        <v>0</v>
      </c>
      <c r="L374" s="27">
        <f t="shared" si="53"/>
        <v>0</v>
      </c>
      <c r="M374" s="32" t="str">
        <f>'Input Sheet'!E373</f>
        <v/>
      </c>
      <c r="N374" s="32">
        <f t="shared" si="54"/>
        <v>0</v>
      </c>
      <c r="T374" s="32">
        <f t="shared" si="59"/>
        <v>0</v>
      </c>
      <c r="U374" s="32">
        <f t="shared" si="59"/>
        <v>0</v>
      </c>
      <c r="V374" s="32">
        <f t="shared" si="59"/>
        <v>0</v>
      </c>
      <c r="W374" s="32">
        <f t="shared" si="59"/>
        <v>0</v>
      </c>
      <c r="X374" s="32">
        <f t="shared" si="59"/>
        <v>0</v>
      </c>
    </row>
    <row r="375" spans="1:24" ht="16.5" customHeight="1" x14ac:dyDescent="0.25">
      <c r="A375" s="39" t="str">
        <f>'Long Sample Name'!A372</f>
        <v/>
      </c>
      <c r="B375" s="25" t="str">
        <f ca="1">'Input Sheet'!L374</f>
        <v/>
      </c>
      <c r="C375" s="26" t="str">
        <f ca="1">'Input Sheet'!M374</f>
        <v/>
      </c>
      <c r="D375" s="40">
        <f>'Input Sheet'!B374</f>
        <v>0</v>
      </c>
      <c r="E375" s="37">
        <f>'Input Sheet'!I374</f>
        <v>0</v>
      </c>
      <c r="F375" s="29">
        <f>('Input Sheet'!C374)/100</f>
        <v>0</v>
      </c>
      <c r="G375" s="29">
        <f>('Input Sheet'!F374)/100</f>
        <v>0</v>
      </c>
      <c r="H375" s="27">
        <f t="shared" si="56"/>
        <v>0</v>
      </c>
      <c r="I375" s="27">
        <f t="shared" si="50"/>
        <v>0</v>
      </c>
      <c r="J375" s="27">
        <f t="shared" si="51"/>
        <v>0</v>
      </c>
      <c r="K375" s="27">
        <f t="shared" si="52"/>
        <v>0</v>
      </c>
      <c r="L375" s="27">
        <f t="shared" si="53"/>
        <v>0</v>
      </c>
      <c r="M375" s="32" t="str">
        <f>'Input Sheet'!E374</f>
        <v/>
      </c>
      <c r="N375" s="32">
        <f t="shared" si="54"/>
        <v>0</v>
      </c>
      <c r="T375" s="32">
        <f t="shared" si="59"/>
        <v>0</v>
      </c>
      <c r="U375" s="32">
        <f t="shared" si="59"/>
        <v>0</v>
      </c>
      <c r="V375" s="32">
        <f t="shared" si="59"/>
        <v>0</v>
      </c>
      <c r="W375" s="32">
        <f t="shared" si="59"/>
        <v>0</v>
      </c>
      <c r="X375" s="32">
        <f t="shared" si="59"/>
        <v>0</v>
      </c>
    </row>
    <row r="376" spans="1:24" ht="16.5" customHeight="1" x14ac:dyDescent="0.25">
      <c r="A376" s="39" t="str">
        <f>'Long Sample Name'!A373</f>
        <v/>
      </c>
      <c r="B376" s="25" t="str">
        <f ca="1">'Input Sheet'!L375</f>
        <v/>
      </c>
      <c r="C376" s="26" t="str">
        <f ca="1">'Input Sheet'!M375</f>
        <v/>
      </c>
      <c r="D376" s="40">
        <f>'Input Sheet'!B375</f>
        <v>0</v>
      </c>
      <c r="E376" s="37">
        <f>'Input Sheet'!I375</f>
        <v>0</v>
      </c>
      <c r="F376" s="29">
        <f>('Input Sheet'!C375)/100</f>
        <v>0</v>
      </c>
      <c r="G376" s="29">
        <f>('Input Sheet'!F375)/100</f>
        <v>0</v>
      </c>
      <c r="H376" s="27">
        <f t="shared" si="56"/>
        <v>0</v>
      </c>
      <c r="I376" s="27">
        <f t="shared" si="50"/>
        <v>0</v>
      </c>
      <c r="J376" s="27">
        <f t="shared" si="51"/>
        <v>0</v>
      </c>
      <c r="K376" s="27">
        <f t="shared" si="52"/>
        <v>0</v>
      </c>
      <c r="L376" s="27">
        <f t="shared" si="53"/>
        <v>0</v>
      </c>
      <c r="M376" s="32" t="str">
        <f>'Input Sheet'!E375</f>
        <v/>
      </c>
      <c r="N376" s="32">
        <f t="shared" si="54"/>
        <v>0</v>
      </c>
      <c r="T376" s="32">
        <f t="shared" si="59"/>
        <v>0</v>
      </c>
      <c r="U376" s="32">
        <f t="shared" si="59"/>
        <v>0</v>
      </c>
      <c r="V376" s="32">
        <f t="shared" si="59"/>
        <v>0</v>
      </c>
      <c r="W376" s="32">
        <f t="shared" si="59"/>
        <v>0</v>
      </c>
      <c r="X376" s="32">
        <f t="shared" si="59"/>
        <v>0</v>
      </c>
    </row>
    <row r="377" spans="1:24" ht="16.5" customHeight="1" x14ac:dyDescent="0.25">
      <c r="A377" s="39" t="str">
        <f>'Long Sample Name'!A374</f>
        <v/>
      </c>
      <c r="B377" s="25" t="str">
        <f ca="1">'Input Sheet'!L376</f>
        <v/>
      </c>
      <c r="C377" s="26" t="str">
        <f ca="1">'Input Sheet'!M376</f>
        <v/>
      </c>
      <c r="D377" s="40">
        <f>'Input Sheet'!B376</f>
        <v>0</v>
      </c>
      <c r="E377" s="37">
        <f>'Input Sheet'!I376</f>
        <v>0</v>
      </c>
      <c r="F377" s="29">
        <f>('Input Sheet'!C376)/100</f>
        <v>0</v>
      </c>
      <c r="G377" s="29">
        <f>('Input Sheet'!F376)/100</f>
        <v>0</v>
      </c>
      <c r="H377" s="27">
        <f t="shared" si="56"/>
        <v>0</v>
      </c>
      <c r="I377" s="27">
        <f t="shared" si="50"/>
        <v>0</v>
      </c>
      <c r="J377" s="27">
        <f t="shared" si="51"/>
        <v>0</v>
      </c>
      <c r="K377" s="27">
        <f t="shared" si="52"/>
        <v>0</v>
      </c>
      <c r="L377" s="27">
        <f t="shared" si="53"/>
        <v>0</v>
      </c>
      <c r="M377" s="32" t="str">
        <f>'Input Sheet'!E376</f>
        <v/>
      </c>
      <c r="N377" s="32">
        <f t="shared" si="54"/>
        <v>0</v>
      </c>
      <c r="T377" s="32">
        <f t="shared" si="59"/>
        <v>0</v>
      </c>
      <c r="U377" s="32">
        <f t="shared" si="59"/>
        <v>0</v>
      </c>
      <c r="V377" s="32">
        <f t="shared" si="59"/>
        <v>0</v>
      </c>
      <c r="W377" s="32">
        <f t="shared" si="59"/>
        <v>0</v>
      </c>
      <c r="X377" s="32">
        <f t="shared" si="59"/>
        <v>0</v>
      </c>
    </row>
    <row r="378" spans="1:24" ht="16.5" customHeight="1" x14ac:dyDescent="0.25">
      <c r="A378" s="39" t="str">
        <f>'Long Sample Name'!A375</f>
        <v/>
      </c>
      <c r="B378" s="25" t="str">
        <f ca="1">'Input Sheet'!L377</f>
        <v/>
      </c>
      <c r="C378" s="26" t="str">
        <f ca="1">'Input Sheet'!M377</f>
        <v/>
      </c>
      <c r="D378" s="40">
        <f>'Input Sheet'!B377</f>
        <v>0</v>
      </c>
      <c r="E378" s="37">
        <f>'Input Sheet'!I377</f>
        <v>0</v>
      </c>
      <c r="F378" s="29">
        <f>('Input Sheet'!C377)/100</f>
        <v>0</v>
      </c>
      <c r="G378" s="29">
        <f>('Input Sheet'!F377)/100</f>
        <v>0</v>
      </c>
      <c r="H378" s="27">
        <f t="shared" si="56"/>
        <v>0</v>
      </c>
      <c r="I378" s="27">
        <f t="shared" si="50"/>
        <v>0</v>
      </c>
      <c r="J378" s="27">
        <f t="shared" si="51"/>
        <v>0</v>
      </c>
      <c r="K378" s="27">
        <f t="shared" si="52"/>
        <v>0</v>
      </c>
      <c r="L378" s="27">
        <f t="shared" si="53"/>
        <v>0</v>
      </c>
      <c r="M378" s="32" t="str">
        <f>'Input Sheet'!E377</f>
        <v/>
      </c>
      <c r="N378" s="32">
        <f t="shared" si="54"/>
        <v>0</v>
      </c>
      <c r="T378" s="32">
        <f t="shared" si="59"/>
        <v>0</v>
      </c>
      <c r="U378" s="32">
        <f t="shared" si="59"/>
        <v>0</v>
      </c>
      <c r="V378" s="32">
        <f t="shared" si="59"/>
        <v>0</v>
      </c>
      <c r="W378" s="32">
        <f t="shared" si="59"/>
        <v>0</v>
      </c>
      <c r="X378" s="32">
        <f t="shared" si="59"/>
        <v>0</v>
      </c>
    </row>
    <row r="379" spans="1:24" ht="16.5" customHeight="1" x14ac:dyDescent="0.25">
      <c r="A379" s="39" t="str">
        <f>'Long Sample Name'!A376</f>
        <v/>
      </c>
      <c r="B379" s="25" t="str">
        <f ca="1">'Input Sheet'!L378</f>
        <v/>
      </c>
      <c r="C379" s="26" t="str">
        <f ca="1">'Input Sheet'!M378</f>
        <v/>
      </c>
      <c r="D379" s="40">
        <f>'Input Sheet'!B378</f>
        <v>0</v>
      </c>
      <c r="E379" s="37">
        <f>'Input Sheet'!I378</f>
        <v>0</v>
      </c>
      <c r="F379" s="29">
        <f>('Input Sheet'!C378)/100</f>
        <v>0</v>
      </c>
      <c r="G379" s="29">
        <f>('Input Sheet'!F378)/100</f>
        <v>0</v>
      </c>
      <c r="H379" s="27">
        <f t="shared" si="56"/>
        <v>0</v>
      </c>
      <c r="I379" s="27">
        <f t="shared" si="50"/>
        <v>0</v>
      </c>
      <c r="J379" s="27">
        <f t="shared" si="51"/>
        <v>0</v>
      </c>
      <c r="K379" s="27">
        <f t="shared" si="52"/>
        <v>0</v>
      </c>
      <c r="L379" s="27">
        <f t="shared" si="53"/>
        <v>0</v>
      </c>
      <c r="M379" s="32" t="str">
        <f>'Input Sheet'!E378</f>
        <v/>
      </c>
      <c r="N379" s="32">
        <f t="shared" si="54"/>
        <v>0</v>
      </c>
      <c r="T379" s="32">
        <f t="shared" si="59"/>
        <v>0</v>
      </c>
      <c r="U379" s="32">
        <f t="shared" si="59"/>
        <v>0</v>
      </c>
      <c r="V379" s="32">
        <f t="shared" si="59"/>
        <v>0</v>
      </c>
      <c r="W379" s="32">
        <f t="shared" si="59"/>
        <v>0</v>
      </c>
      <c r="X379" s="32">
        <f t="shared" si="59"/>
        <v>0</v>
      </c>
    </row>
    <row r="380" spans="1:24" ht="16.5" customHeight="1" x14ac:dyDescent="0.25">
      <c r="A380" s="39" t="str">
        <f>'Long Sample Name'!A377</f>
        <v/>
      </c>
      <c r="B380" s="25" t="str">
        <f ca="1">'Input Sheet'!L379</f>
        <v/>
      </c>
      <c r="C380" s="26" t="str">
        <f ca="1">'Input Sheet'!M379</f>
        <v/>
      </c>
      <c r="D380" s="40">
        <f>'Input Sheet'!B379</f>
        <v>0</v>
      </c>
      <c r="E380" s="37">
        <f>'Input Sheet'!I379</f>
        <v>0</v>
      </c>
      <c r="F380" s="29">
        <f>('Input Sheet'!C379)/100</f>
        <v>0</v>
      </c>
      <c r="G380" s="29">
        <f>('Input Sheet'!F379)/100</f>
        <v>0</v>
      </c>
      <c r="H380" s="27">
        <f t="shared" si="56"/>
        <v>0</v>
      </c>
      <c r="I380" s="27">
        <f t="shared" si="50"/>
        <v>0</v>
      </c>
      <c r="J380" s="27">
        <f t="shared" si="51"/>
        <v>0</v>
      </c>
      <c r="K380" s="27">
        <f t="shared" si="52"/>
        <v>0</v>
      </c>
      <c r="L380" s="27">
        <f t="shared" si="53"/>
        <v>0</v>
      </c>
      <c r="M380" s="32" t="str">
        <f>'Input Sheet'!E379</f>
        <v/>
      </c>
      <c r="N380" s="32">
        <f t="shared" si="54"/>
        <v>0</v>
      </c>
      <c r="T380" s="32">
        <f t="shared" si="59"/>
        <v>0</v>
      </c>
      <c r="U380" s="32">
        <f t="shared" si="59"/>
        <v>0</v>
      </c>
      <c r="V380" s="32">
        <f t="shared" si="59"/>
        <v>0</v>
      </c>
      <c r="W380" s="32">
        <f t="shared" si="59"/>
        <v>0</v>
      </c>
      <c r="X380" s="32">
        <f t="shared" si="59"/>
        <v>0</v>
      </c>
    </row>
    <row r="381" spans="1:24" ht="16.5" customHeight="1" x14ac:dyDescent="0.25">
      <c r="A381" s="39" t="str">
        <f>'Long Sample Name'!A378</f>
        <v/>
      </c>
      <c r="B381" s="25" t="str">
        <f ca="1">'Input Sheet'!L380</f>
        <v/>
      </c>
      <c r="C381" s="26" t="str">
        <f ca="1">'Input Sheet'!M380</f>
        <v/>
      </c>
      <c r="D381" s="40">
        <f>'Input Sheet'!B380</f>
        <v>0</v>
      </c>
      <c r="E381" s="37">
        <f>'Input Sheet'!I380</f>
        <v>0</v>
      </c>
      <c r="F381" s="29">
        <f>('Input Sheet'!C380)/100</f>
        <v>0</v>
      </c>
      <c r="G381" s="29">
        <f>('Input Sheet'!F380)/100</f>
        <v>0</v>
      </c>
      <c r="H381" s="27">
        <f t="shared" si="56"/>
        <v>0</v>
      </c>
      <c r="I381" s="27">
        <f t="shared" si="50"/>
        <v>0</v>
      </c>
      <c r="J381" s="27">
        <f t="shared" si="51"/>
        <v>0</v>
      </c>
      <c r="K381" s="27">
        <f t="shared" si="52"/>
        <v>0</v>
      </c>
      <c r="L381" s="27">
        <f t="shared" si="53"/>
        <v>0</v>
      </c>
      <c r="M381" s="32" t="str">
        <f>'Input Sheet'!E380</f>
        <v/>
      </c>
      <c r="N381" s="32">
        <f t="shared" si="54"/>
        <v>0</v>
      </c>
      <c r="T381" s="32">
        <f t="shared" si="59"/>
        <v>0</v>
      </c>
      <c r="U381" s="32">
        <f t="shared" si="59"/>
        <v>0</v>
      </c>
      <c r="V381" s="32">
        <f t="shared" si="59"/>
        <v>0</v>
      </c>
      <c r="W381" s="32">
        <f t="shared" si="59"/>
        <v>0</v>
      </c>
      <c r="X381" s="32">
        <f t="shared" si="59"/>
        <v>0</v>
      </c>
    </row>
    <row r="382" spans="1:24" ht="16.5" customHeight="1" x14ac:dyDescent="0.25">
      <c r="A382" s="39" t="str">
        <f>'Long Sample Name'!A379</f>
        <v/>
      </c>
      <c r="B382" s="25" t="str">
        <f ca="1">'Input Sheet'!L381</f>
        <v/>
      </c>
      <c r="C382" s="26" t="str">
        <f ca="1">'Input Sheet'!M381</f>
        <v/>
      </c>
      <c r="D382" s="40">
        <f>'Input Sheet'!B381</f>
        <v>0</v>
      </c>
      <c r="E382" s="37">
        <f>'Input Sheet'!I381</f>
        <v>0</v>
      </c>
      <c r="F382" s="29">
        <f>('Input Sheet'!C381)/100</f>
        <v>0</v>
      </c>
      <c r="G382" s="29">
        <f>('Input Sheet'!F381)/100</f>
        <v>0</v>
      </c>
      <c r="H382" s="27">
        <f t="shared" si="56"/>
        <v>0</v>
      </c>
      <c r="I382" s="27">
        <f t="shared" si="50"/>
        <v>0</v>
      </c>
      <c r="J382" s="27">
        <f t="shared" si="51"/>
        <v>0</v>
      </c>
      <c r="K382" s="27">
        <f t="shared" si="52"/>
        <v>0</v>
      </c>
      <c r="L382" s="27">
        <f t="shared" si="53"/>
        <v>0</v>
      </c>
      <c r="M382" s="32" t="str">
        <f>'Input Sheet'!E381</f>
        <v/>
      </c>
      <c r="N382" s="32">
        <f t="shared" si="54"/>
        <v>0</v>
      </c>
      <c r="T382" s="32">
        <f t="shared" si="59"/>
        <v>0</v>
      </c>
      <c r="U382" s="32">
        <f t="shared" si="59"/>
        <v>0</v>
      </c>
      <c r="V382" s="32">
        <f t="shared" si="59"/>
        <v>0</v>
      </c>
      <c r="W382" s="32">
        <f t="shared" si="59"/>
        <v>0</v>
      </c>
      <c r="X382" s="32">
        <f t="shared" si="59"/>
        <v>0</v>
      </c>
    </row>
    <row r="383" spans="1:24" ht="16.5" customHeight="1" x14ac:dyDescent="0.25">
      <c r="A383" s="39" t="str">
        <f>'Long Sample Name'!A380</f>
        <v/>
      </c>
      <c r="B383" s="25" t="str">
        <f ca="1">'Input Sheet'!L382</f>
        <v/>
      </c>
      <c r="C383" s="26" t="str">
        <f ca="1">'Input Sheet'!M382</f>
        <v/>
      </c>
      <c r="D383" s="40">
        <f>'Input Sheet'!B382</f>
        <v>0</v>
      </c>
      <c r="E383" s="37">
        <f>'Input Sheet'!I382</f>
        <v>0</v>
      </c>
      <c r="F383" s="29">
        <f>('Input Sheet'!C382)/100</f>
        <v>0</v>
      </c>
      <c r="G383" s="29">
        <f>('Input Sheet'!F382)/100</f>
        <v>0</v>
      </c>
      <c r="H383" s="27">
        <f t="shared" si="56"/>
        <v>0</v>
      </c>
      <c r="I383" s="27">
        <f t="shared" si="50"/>
        <v>0</v>
      </c>
      <c r="J383" s="27">
        <f t="shared" si="51"/>
        <v>0</v>
      </c>
      <c r="K383" s="27">
        <f t="shared" si="52"/>
        <v>0</v>
      </c>
      <c r="L383" s="27">
        <f t="shared" si="53"/>
        <v>0</v>
      </c>
      <c r="M383" s="32" t="str">
        <f>'Input Sheet'!E382</f>
        <v/>
      </c>
      <c r="N383" s="32">
        <f t="shared" si="54"/>
        <v>0</v>
      </c>
      <c r="T383" s="32">
        <f t="shared" si="59"/>
        <v>0</v>
      </c>
      <c r="U383" s="32">
        <f t="shared" si="59"/>
        <v>0</v>
      </c>
      <c r="V383" s="32">
        <f t="shared" si="59"/>
        <v>0</v>
      </c>
      <c r="W383" s="32">
        <f t="shared" si="59"/>
        <v>0</v>
      </c>
      <c r="X383" s="32">
        <f t="shared" si="59"/>
        <v>0</v>
      </c>
    </row>
    <row r="384" spans="1:24" ht="16.5" customHeight="1" x14ac:dyDescent="0.25">
      <c r="A384" s="39" t="str">
        <f>'Long Sample Name'!A381</f>
        <v/>
      </c>
      <c r="B384" s="25" t="str">
        <f ca="1">'Input Sheet'!L383</f>
        <v/>
      </c>
      <c r="C384" s="26" t="str">
        <f ca="1">'Input Sheet'!M383</f>
        <v/>
      </c>
      <c r="D384" s="40">
        <f>'Input Sheet'!B383</f>
        <v>0</v>
      </c>
      <c r="E384" s="37">
        <f>'Input Sheet'!I383</f>
        <v>0</v>
      </c>
      <c r="F384" s="29">
        <f>('Input Sheet'!C383)/100</f>
        <v>0</v>
      </c>
      <c r="G384" s="29">
        <f>('Input Sheet'!F383)/100</f>
        <v>0</v>
      </c>
      <c r="H384" s="27">
        <f t="shared" si="56"/>
        <v>0</v>
      </c>
      <c r="I384" s="27">
        <f t="shared" si="50"/>
        <v>0</v>
      </c>
      <c r="J384" s="27">
        <f t="shared" si="51"/>
        <v>0</v>
      </c>
      <c r="K384" s="27">
        <f t="shared" si="52"/>
        <v>0</v>
      </c>
      <c r="L384" s="27">
        <f t="shared" si="53"/>
        <v>0</v>
      </c>
      <c r="M384" s="32" t="str">
        <f>'Input Sheet'!E383</f>
        <v/>
      </c>
      <c r="N384" s="32">
        <f t="shared" si="54"/>
        <v>0</v>
      </c>
      <c r="T384" s="32">
        <f t="shared" si="59"/>
        <v>0</v>
      </c>
      <c r="U384" s="32">
        <f t="shared" si="59"/>
        <v>0</v>
      </c>
      <c r="V384" s="32">
        <f t="shared" si="59"/>
        <v>0</v>
      </c>
      <c r="W384" s="32">
        <f t="shared" si="59"/>
        <v>0</v>
      </c>
      <c r="X384" s="32">
        <f t="shared" si="59"/>
        <v>0</v>
      </c>
    </row>
    <row r="385" spans="1:24" ht="16.5" customHeight="1" x14ac:dyDescent="0.25">
      <c r="A385" s="39" t="str">
        <f>'Long Sample Name'!A382</f>
        <v/>
      </c>
      <c r="B385" s="25" t="str">
        <f ca="1">'Input Sheet'!L384</f>
        <v/>
      </c>
      <c r="C385" s="26" t="str">
        <f ca="1">'Input Sheet'!M384</f>
        <v/>
      </c>
      <c r="D385" s="40">
        <f>'Input Sheet'!B384</f>
        <v>0</v>
      </c>
      <c r="E385" s="37">
        <f>'Input Sheet'!I384</f>
        <v>0</v>
      </c>
      <c r="F385" s="29">
        <f>('Input Sheet'!C384)/100</f>
        <v>0</v>
      </c>
      <c r="G385" s="29">
        <f>('Input Sheet'!F384)/100</f>
        <v>0</v>
      </c>
      <c r="H385" s="27">
        <f t="shared" si="56"/>
        <v>0</v>
      </c>
      <c r="I385" s="27">
        <f t="shared" si="50"/>
        <v>0</v>
      </c>
      <c r="J385" s="27">
        <f t="shared" si="51"/>
        <v>0</v>
      </c>
      <c r="K385" s="27">
        <f t="shared" si="52"/>
        <v>0</v>
      </c>
      <c r="L385" s="27">
        <f t="shared" si="53"/>
        <v>0</v>
      </c>
      <c r="M385" s="32" t="str">
        <f>'Input Sheet'!E384</f>
        <v/>
      </c>
      <c r="N385" s="32">
        <f t="shared" si="54"/>
        <v>0</v>
      </c>
      <c r="T385" s="32">
        <f t="shared" si="59"/>
        <v>0</v>
      </c>
      <c r="U385" s="32">
        <f t="shared" si="59"/>
        <v>0</v>
      </c>
      <c r="V385" s="32">
        <f t="shared" si="59"/>
        <v>0</v>
      </c>
      <c r="W385" s="32">
        <f t="shared" si="59"/>
        <v>0</v>
      </c>
      <c r="X385" s="32">
        <f t="shared" si="59"/>
        <v>0</v>
      </c>
    </row>
    <row r="386" spans="1:24" ht="16.5" customHeight="1" x14ac:dyDescent="0.25">
      <c r="A386" s="39" t="str">
        <f>'Long Sample Name'!A383</f>
        <v/>
      </c>
      <c r="B386" s="25" t="str">
        <f ca="1">'Input Sheet'!L385</f>
        <v/>
      </c>
      <c r="C386" s="26" t="str">
        <f ca="1">'Input Sheet'!M385</f>
        <v/>
      </c>
      <c r="D386" s="40">
        <f>'Input Sheet'!B385</f>
        <v>0</v>
      </c>
      <c r="E386" s="37">
        <f>'Input Sheet'!I385</f>
        <v>0</v>
      </c>
      <c r="F386" s="29">
        <f>('Input Sheet'!C385)/100</f>
        <v>0</v>
      </c>
      <c r="G386" s="29">
        <f>('Input Sheet'!F385)/100</f>
        <v>0</v>
      </c>
      <c r="H386" s="27">
        <f t="shared" si="56"/>
        <v>0</v>
      </c>
      <c r="I386" s="27">
        <f t="shared" si="50"/>
        <v>0</v>
      </c>
      <c r="J386" s="27">
        <f t="shared" si="51"/>
        <v>0</v>
      </c>
      <c r="K386" s="27">
        <f t="shared" si="52"/>
        <v>0</v>
      </c>
      <c r="L386" s="27">
        <f t="shared" si="53"/>
        <v>0</v>
      </c>
      <c r="M386" s="32" t="str">
        <f>'Input Sheet'!E385</f>
        <v/>
      </c>
      <c r="N386" s="32">
        <f t="shared" si="54"/>
        <v>0</v>
      </c>
      <c r="T386" s="32">
        <f t="shared" si="59"/>
        <v>0</v>
      </c>
      <c r="U386" s="32">
        <f t="shared" si="59"/>
        <v>0</v>
      </c>
      <c r="V386" s="32">
        <f t="shared" si="59"/>
        <v>0</v>
      </c>
      <c r="W386" s="32">
        <f t="shared" si="59"/>
        <v>0</v>
      </c>
      <c r="X386" s="32">
        <f t="shared" si="59"/>
        <v>0</v>
      </c>
    </row>
    <row r="387" spans="1:24" ht="16.5" customHeight="1" x14ac:dyDescent="0.25">
      <c r="A387" s="39" t="str">
        <f>'Long Sample Name'!A384</f>
        <v/>
      </c>
      <c r="B387" s="25" t="str">
        <f ca="1">'Input Sheet'!L386</f>
        <v/>
      </c>
      <c r="C387" s="26" t="str">
        <f ca="1">'Input Sheet'!M386</f>
        <v/>
      </c>
      <c r="D387" s="40">
        <f>'Input Sheet'!B386</f>
        <v>0</v>
      </c>
      <c r="E387" s="37">
        <f>'Input Sheet'!I386</f>
        <v>0</v>
      </c>
      <c r="F387" s="29">
        <f>('Input Sheet'!C386)/100</f>
        <v>0</v>
      </c>
      <c r="G387" s="29">
        <f>('Input Sheet'!F386)/100</f>
        <v>0</v>
      </c>
      <c r="H387" s="27">
        <f t="shared" si="56"/>
        <v>0</v>
      </c>
      <c r="I387" s="27">
        <f t="shared" si="50"/>
        <v>0</v>
      </c>
      <c r="J387" s="27">
        <f t="shared" si="51"/>
        <v>0</v>
      </c>
      <c r="K387" s="27">
        <f t="shared" si="52"/>
        <v>0</v>
      </c>
      <c r="L387" s="27">
        <f t="shared" si="53"/>
        <v>0</v>
      </c>
      <c r="M387" s="32" t="str">
        <f>'Input Sheet'!E386</f>
        <v/>
      </c>
      <c r="N387" s="32">
        <f t="shared" si="54"/>
        <v>0</v>
      </c>
      <c r="T387" s="32">
        <f t="shared" si="59"/>
        <v>0</v>
      </c>
      <c r="U387" s="32">
        <f t="shared" si="59"/>
        <v>0</v>
      </c>
      <c r="V387" s="32">
        <f t="shared" si="59"/>
        <v>0</v>
      </c>
      <c r="W387" s="32">
        <f t="shared" si="59"/>
        <v>0</v>
      </c>
      <c r="X387" s="32">
        <f t="shared" si="59"/>
        <v>0</v>
      </c>
    </row>
    <row r="388" spans="1:24" ht="16.5" customHeight="1" x14ac:dyDescent="0.25">
      <c r="A388" s="39" t="str">
        <f>'Long Sample Name'!A385</f>
        <v/>
      </c>
      <c r="B388" s="25" t="str">
        <f ca="1">'Input Sheet'!L387</f>
        <v/>
      </c>
      <c r="C388" s="26" t="str">
        <f ca="1">'Input Sheet'!M387</f>
        <v/>
      </c>
      <c r="D388" s="40">
        <f>'Input Sheet'!B387</f>
        <v>0</v>
      </c>
      <c r="E388" s="37">
        <f>'Input Sheet'!I387</f>
        <v>0</v>
      </c>
      <c r="F388" s="29">
        <f>('Input Sheet'!C387)/100</f>
        <v>0</v>
      </c>
      <c r="G388" s="29">
        <f>('Input Sheet'!F387)/100</f>
        <v>0</v>
      </c>
      <c r="H388" s="27">
        <f t="shared" si="56"/>
        <v>0</v>
      </c>
      <c r="I388" s="27">
        <f t="shared" si="50"/>
        <v>0</v>
      </c>
      <c r="J388" s="27">
        <f t="shared" si="51"/>
        <v>0</v>
      </c>
      <c r="K388" s="27">
        <f t="shared" si="52"/>
        <v>0</v>
      </c>
      <c r="L388" s="27">
        <f t="shared" si="53"/>
        <v>0</v>
      </c>
      <c r="M388" s="32" t="str">
        <f>'Input Sheet'!E387</f>
        <v/>
      </c>
      <c r="N388" s="32">
        <f t="shared" si="54"/>
        <v>0</v>
      </c>
      <c r="T388" s="32">
        <f t="shared" si="59"/>
        <v>0</v>
      </c>
      <c r="U388" s="32">
        <f t="shared" si="59"/>
        <v>0</v>
      </c>
      <c r="V388" s="32">
        <f t="shared" si="59"/>
        <v>0</v>
      </c>
      <c r="W388" s="32">
        <f t="shared" si="59"/>
        <v>0</v>
      </c>
      <c r="X388" s="32">
        <f t="shared" si="59"/>
        <v>0</v>
      </c>
    </row>
    <row r="389" spans="1:24" ht="16.5" customHeight="1" x14ac:dyDescent="0.25">
      <c r="A389" s="39" t="str">
        <f>'Long Sample Name'!A386</f>
        <v/>
      </c>
      <c r="B389" s="25" t="str">
        <f ca="1">'Input Sheet'!L388</f>
        <v/>
      </c>
      <c r="C389" s="26" t="str">
        <f ca="1">'Input Sheet'!M388</f>
        <v/>
      </c>
      <c r="D389" s="40">
        <f>'Input Sheet'!B388</f>
        <v>0</v>
      </c>
      <c r="E389" s="37">
        <f>'Input Sheet'!I388</f>
        <v>0</v>
      </c>
      <c r="F389" s="29">
        <f>('Input Sheet'!C388)/100</f>
        <v>0</v>
      </c>
      <c r="G389" s="29">
        <f>('Input Sheet'!F388)/100</f>
        <v>0</v>
      </c>
      <c r="H389" s="27">
        <f t="shared" si="56"/>
        <v>0</v>
      </c>
      <c r="I389" s="27">
        <f t="shared" ref="I389:I439" si="60">IF(AND(F389&gt;=$F$2,G389&gt;=$G$2),H389,0)</f>
        <v>0</v>
      </c>
      <c r="J389" s="27">
        <f t="shared" ref="J389:J439" si="61">IF(I389&gt;0,I389*F389,0)</f>
        <v>0</v>
      </c>
      <c r="K389" s="27">
        <f t="shared" ref="K389:K439" si="62">IF(AND(F389&gt;=$F$3,G389&gt;=$G$3),H389,0)</f>
        <v>0</v>
      </c>
      <c r="L389" s="27">
        <f t="shared" ref="L389:L439" si="63">IF(K389&gt;0,K389*F389,0)</f>
        <v>0</v>
      </c>
      <c r="M389" s="32" t="str">
        <f>'Input Sheet'!E388</f>
        <v/>
      </c>
      <c r="N389" s="32">
        <f t="shared" ref="N389:N439" si="64">IF(M389="VF",1,IF(M389="F",2,IF(M389="M",3,IF(M389="C",4,IF(M389="VC",5,0)))))</f>
        <v>0</v>
      </c>
      <c r="T389" s="32">
        <f t="shared" ref="T389:X404" si="65">IF($M389=T$1,$H389,0)</f>
        <v>0</v>
      </c>
      <c r="U389" s="32">
        <f t="shared" si="65"/>
        <v>0</v>
      </c>
      <c r="V389" s="32">
        <f t="shared" si="65"/>
        <v>0</v>
      </c>
      <c r="W389" s="32">
        <f t="shared" si="65"/>
        <v>0</v>
      </c>
      <c r="X389" s="32">
        <f t="shared" si="65"/>
        <v>0</v>
      </c>
    </row>
    <row r="390" spans="1:24" ht="16.5" customHeight="1" x14ac:dyDescent="0.25">
      <c r="A390" s="39" t="str">
        <f>'Long Sample Name'!A387</f>
        <v/>
      </c>
      <c r="B390" s="25" t="str">
        <f ca="1">'Input Sheet'!L389</f>
        <v/>
      </c>
      <c r="C390" s="26" t="str">
        <f ca="1">'Input Sheet'!M389</f>
        <v/>
      </c>
      <c r="D390" s="40">
        <f>'Input Sheet'!B389</f>
        <v>0</v>
      </c>
      <c r="E390" s="37">
        <f>'Input Sheet'!I389</f>
        <v>0</v>
      </c>
      <c r="F390" s="29">
        <f>('Input Sheet'!C389)/100</f>
        <v>0</v>
      </c>
      <c r="G390" s="29">
        <f>('Input Sheet'!F389)/100</f>
        <v>0</v>
      </c>
      <c r="H390" s="27">
        <f t="shared" ref="H390:H439" si="66">IF(D390&lt;&gt;"",D390-D389,"")</f>
        <v>0</v>
      </c>
      <c r="I390" s="27">
        <f t="shared" si="60"/>
        <v>0</v>
      </c>
      <c r="J390" s="27">
        <f t="shared" si="61"/>
        <v>0</v>
      </c>
      <c r="K390" s="27">
        <f t="shared" si="62"/>
        <v>0</v>
      </c>
      <c r="L390" s="27">
        <f t="shared" si="63"/>
        <v>0</v>
      </c>
      <c r="M390" s="32" t="str">
        <f>'Input Sheet'!E389</f>
        <v/>
      </c>
      <c r="N390" s="32">
        <f t="shared" si="64"/>
        <v>0</v>
      </c>
      <c r="T390" s="32">
        <f t="shared" si="65"/>
        <v>0</v>
      </c>
      <c r="U390" s="32">
        <f t="shared" si="65"/>
        <v>0</v>
      </c>
      <c r="V390" s="32">
        <f t="shared" si="65"/>
        <v>0</v>
      </c>
      <c r="W390" s="32">
        <f t="shared" si="65"/>
        <v>0</v>
      </c>
      <c r="X390" s="32">
        <f t="shared" si="65"/>
        <v>0</v>
      </c>
    </row>
    <row r="391" spans="1:24" ht="16.5" customHeight="1" x14ac:dyDescent="0.25">
      <c r="A391" s="39" t="str">
        <f>'Long Sample Name'!A388</f>
        <v/>
      </c>
      <c r="B391" s="25" t="str">
        <f ca="1">'Input Sheet'!L390</f>
        <v/>
      </c>
      <c r="C391" s="26" t="str">
        <f ca="1">'Input Sheet'!M390</f>
        <v/>
      </c>
      <c r="D391" s="40">
        <f>'Input Sheet'!B390</f>
        <v>0</v>
      </c>
      <c r="E391" s="37">
        <f>'Input Sheet'!I390</f>
        <v>0</v>
      </c>
      <c r="F391" s="29">
        <f>('Input Sheet'!C390)/100</f>
        <v>0</v>
      </c>
      <c r="G391" s="29">
        <f>('Input Sheet'!F390)/100</f>
        <v>0</v>
      </c>
      <c r="H391" s="27">
        <f t="shared" si="66"/>
        <v>0</v>
      </c>
      <c r="I391" s="27">
        <f t="shared" si="60"/>
        <v>0</v>
      </c>
      <c r="J391" s="27">
        <f t="shared" si="61"/>
        <v>0</v>
      </c>
      <c r="K391" s="27">
        <f t="shared" si="62"/>
        <v>0</v>
      </c>
      <c r="L391" s="27">
        <f t="shared" si="63"/>
        <v>0</v>
      </c>
      <c r="M391" s="32" t="str">
        <f>'Input Sheet'!E390</f>
        <v/>
      </c>
      <c r="N391" s="32">
        <f t="shared" si="64"/>
        <v>0</v>
      </c>
      <c r="T391" s="32">
        <f t="shared" si="65"/>
        <v>0</v>
      </c>
      <c r="U391" s="32">
        <f t="shared" si="65"/>
        <v>0</v>
      </c>
      <c r="V391" s="32">
        <f t="shared" si="65"/>
        <v>0</v>
      </c>
      <c r="W391" s="32">
        <f t="shared" si="65"/>
        <v>0</v>
      </c>
      <c r="X391" s="32">
        <f t="shared" si="65"/>
        <v>0</v>
      </c>
    </row>
    <row r="392" spans="1:24" ht="16.5" customHeight="1" x14ac:dyDescent="0.25">
      <c r="A392" s="39" t="str">
        <f>'Long Sample Name'!A389</f>
        <v/>
      </c>
      <c r="B392" s="25" t="str">
        <f ca="1">'Input Sheet'!L391</f>
        <v/>
      </c>
      <c r="C392" s="26" t="str">
        <f ca="1">'Input Sheet'!M391</f>
        <v/>
      </c>
      <c r="D392" s="40">
        <f>'Input Sheet'!B391</f>
        <v>0</v>
      </c>
      <c r="E392" s="37">
        <f>'Input Sheet'!I391</f>
        <v>0</v>
      </c>
      <c r="F392" s="29">
        <f>('Input Sheet'!C391)/100</f>
        <v>0</v>
      </c>
      <c r="G392" s="29">
        <f>('Input Sheet'!F391)/100</f>
        <v>0</v>
      </c>
      <c r="H392" s="27">
        <f t="shared" si="66"/>
        <v>0</v>
      </c>
      <c r="I392" s="27">
        <f t="shared" si="60"/>
        <v>0</v>
      </c>
      <c r="J392" s="27">
        <f t="shared" si="61"/>
        <v>0</v>
      </c>
      <c r="K392" s="27">
        <f t="shared" si="62"/>
        <v>0</v>
      </c>
      <c r="L392" s="27">
        <f t="shared" si="63"/>
        <v>0</v>
      </c>
      <c r="M392" s="32" t="str">
        <f>'Input Sheet'!E391</f>
        <v/>
      </c>
      <c r="N392" s="32">
        <f t="shared" si="64"/>
        <v>0</v>
      </c>
      <c r="T392" s="32">
        <f t="shared" si="65"/>
        <v>0</v>
      </c>
      <c r="U392" s="32">
        <f t="shared" si="65"/>
        <v>0</v>
      </c>
      <c r="V392" s="32">
        <f t="shared" si="65"/>
        <v>0</v>
      </c>
      <c r="W392" s="32">
        <f t="shared" si="65"/>
        <v>0</v>
      </c>
      <c r="X392" s="32">
        <f t="shared" si="65"/>
        <v>0</v>
      </c>
    </row>
    <row r="393" spans="1:24" ht="16.5" customHeight="1" x14ac:dyDescent="0.25">
      <c r="A393" s="39" t="str">
        <f>'Long Sample Name'!A390</f>
        <v/>
      </c>
      <c r="B393" s="25" t="str">
        <f ca="1">'Input Sheet'!L392</f>
        <v/>
      </c>
      <c r="C393" s="26" t="str">
        <f ca="1">'Input Sheet'!M392</f>
        <v/>
      </c>
      <c r="D393" s="40">
        <f>'Input Sheet'!B392</f>
        <v>0</v>
      </c>
      <c r="E393" s="37">
        <f>'Input Sheet'!I392</f>
        <v>0</v>
      </c>
      <c r="F393" s="29">
        <f>('Input Sheet'!C392)/100</f>
        <v>0</v>
      </c>
      <c r="G393" s="29">
        <f>('Input Sheet'!F392)/100</f>
        <v>0</v>
      </c>
      <c r="H393" s="27">
        <f t="shared" si="66"/>
        <v>0</v>
      </c>
      <c r="I393" s="27">
        <f t="shared" si="60"/>
        <v>0</v>
      </c>
      <c r="J393" s="27">
        <f t="shared" si="61"/>
        <v>0</v>
      </c>
      <c r="K393" s="27">
        <f t="shared" si="62"/>
        <v>0</v>
      </c>
      <c r="L393" s="27">
        <f t="shared" si="63"/>
        <v>0</v>
      </c>
      <c r="M393" s="32" t="str">
        <f>'Input Sheet'!E392</f>
        <v/>
      </c>
      <c r="N393" s="32">
        <f t="shared" si="64"/>
        <v>0</v>
      </c>
      <c r="T393" s="32">
        <f t="shared" si="65"/>
        <v>0</v>
      </c>
      <c r="U393" s="32">
        <f t="shared" si="65"/>
        <v>0</v>
      </c>
      <c r="V393" s="32">
        <f t="shared" si="65"/>
        <v>0</v>
      </c>
      <c r="W393" s="32">
        <f t="shared" si="65"/>
        <v>0</v>
      </c>
      <c r="X393" s="32">
        <f t="shared" si="65"/>
        <v>0</v>
      </c>
    </row>
    <row r="394" spans="1:24" ht="16.5" customHeight="1" x14ac:dyDescent="0.25">
      <c r="A394" s="39" t="str">
        <f>'Long Sample Name'!A391</f>
        <v/>
      </c>
      <c r="B394" s="25" t="str">
        <f ca="1">'Input Sheet'!L393</f>
        <v/>
      </c>
      <c r="C394" s="26" t="str">
        <f ca="1">'Input Sheet'!M393</f>
        <v/>
      </c>
      <c r="D394" s="40">
        <f>'Input Sheet'!B393</f>
        <v>0</v>
      </c>
      <c r="E394" s="37">
        <f>'Input Sheet'!I393</f>
        <v>0</v>
      </c>
      <c r="F394" s="29">
        <f>('Input Sheet'!C393)/100</f>
        <v>0</v>
      </c>
      <c r="G394" s="29">
        <f>('Input Sheet'!F393)/100</f>
        <v>0</v>
      </c>
      <c r="H394" s="27">
        <f t="shared" si="66"/>
        <v>0</v>
      </c>
      <c r="I394" s="27">
        <f t="shared" si="60"/>
        <v>0</v>
      </c>
      <c r="J394" s="27">
        <f t="shared" si="61"/>
        <v>0</v>
      </c>
      <c r="K394" s="27">
        <f t="shared" si="62"/>
        <v>0</v>
      </c>
      <c r="L394" s="27">
        <f t="shared" si="63"/>
        <v>0</v>
      </c>
      <c r="M394" s="32" t="str">
        <f>'Input Sheet'!E393</f>
        <v/>
      </c>
      <c r="N394" s="32">
        <f t="shared" si="64"/>
        <v>0</v>
      </c>
      <c r="T394" s="32">
        <f t="shared" si="65"/>
        <v>0</v>
      </c>
      <c r="U394" s="32">
        <f t="shared" si="65"/>
        <v>0</v>
      </c>
      <c r="V394" s="32">
        <f t="shared" si="65"/>
        <v>0</v>
      </c>
      <c r="W394" s="32">
        <f t="shared" si="65"/>
        <v>0</v>
      </c>
      <c r="X394" s="32">
        <f t="shared" si="65"/>
        <v>0</v>
      </c>
    </row>
    <row r="395" spans="1:24" ht="16.5" customHeight="1" x14ac:dyDescent="0.25">
      <c r="A395" s="39" t="str">
        <f>'Long Sample Name'!A392</f>
        <v/>
      </c>
      <c r="B395" s="25" t="str">
        <f ca="1">'Input Sheet'!L394</f>
        <v/>
      </c>
      <c r="C395" s="26" t="str">
        <f ca="1">'Input Sheet'!M394</f>
        <v/>
      </c>
      <c r="D395" s="40">
        <f>'Input Sheet'!B394</f>
        <v>0</v>
      </c>
      <c r="E395" s="37">
        <f>'Input Sheet'!I394</f>
        <v>0</v>
      </c>
      <c r="F395" s="29">
        <f>('Input Sheet'!C394)/100</f>
        <v>0</v>
      </c>
      <c r="G395" s="29">
        <f>('Input Sheet'!F394)/100</f>
        <v>0</v>
      </c>
      <c r="H395" s="27">
        <f t="shared" si="66"/>
        <v>0</v>
      </c>
      <c r="I395" s="27">
        <f t="shared" si="60"/>
        <v>0</v>
      </c>
      <c r="J395" s="27">
        <f t="shared" si="61"/>
        <v>0</v>
      </c>
      <c r="K395" s="27">
        <f t="shared" si="62"/>
        <v>0</v>
      </c>
      <c r="L395" s="27">
        <f t="shared" si="63"/>
        <v>0</v>
      </c>
      <c r="M395" s="32" t="str">
        <f>'Input Sheet'!E394</f>
        <v/>
      </c>
      <c r="N395" s="32">
        <f t="shared" si="64"/>
        <v>0</v>
      </c>
      <c r="T395" s="32">
        <f t="shared" si="65"/>
        <v>0</v>
      </c>
      <c r="U395" s="32">
        <f t="shared" si="65"/>
        <v>0</v>
      </c>
      <c r="V395" s="32">
        <f t="shared" si="65"/>
        <v>0</v>
      </c>
      <c r="W395" s="32">
        <f t="shared" si="65"/>
        <v>0</v>
      </c>
      <c r="X395" s="32">
        <f t="shared" si="65"/>
        <v>0</v>
      </c>
    </row>
    <row r="396" spans="1:24" ht="16.5" customHeight="1" x14ac:dyDescent="0.25">
      <c r="A396" s="39" t="str">
        <f>'Long Sample Name'!A393</f>
        <v/>
      </c>
      <c r="B396" s="25" t="str">
        <f ca="1">'Input Sheet'!L395</f>
        <v/>
      </c>
      <c r="C396" s="26" t="str">
        <f ca="1">'Input Sheet'!M395</f>
        <v/>
      </c>
      <c r="D396" s="40">
        <f>'Input Sheet'!B395</f>
        <v>0</v>
      </c>
      <c r="E396" s="37">
        <f>'Input Sheet'!I395</f>
        <v>0</v>
      </c>
      <c r="F396" s="29">
        <f>('Input Sheet'!C395)/100</f>
        <v>0</v>
      </c>
      <c r="G396" s="29">
        <f>('Input Sheet'!F395)/100</f>
        <v>0</v>
      </c>
      <c r="H396" s="27">
        <f t="shared" si="66"/>
        <v>0</v>
      </c>
      <c r="I396" s="27">
        <f t="shared" si="60"/>
        <v>0</v>
      </c>
      <c r="J396" s="27">
        <f t="shared" si="61"/>
        <v>0</v>
      </c>
      <c r="K396" s="27">
        <f t="shared" si="62"/>
        <v>0</v>
      </c>
      <c r="L396" s="27">
        <f t="shared" si="63"/>
        <v>0</v>
      </c>
      <c r="M396" s="32" t="str">
        <f>'Input Sheet'!E395</f>
        <v/>
      </c>
      <c r="N396" s="32">
        <f t="shared" si="64"/>
        <v>0</v>
      </c>
      <c r="T396" s="32">
        <f t="shared" si="65"/>
        <v>0</v>
      </c>
      <c r="U396" s="32">
        <f t="shared" si="65"/>
        <v>0</v>
      </c>
      <c r="V396" s="32">
        <f t="shared" si="65"/>
        <v>0</v>
      </c>
      <c r="W396" s="32">
        <f t="shared" si="65"/>
        <v>0</v>
      </c>
      <c r="X396" s="32">
        <f t="shared" si="65"/>
        <v>0</v>
      </c>
    </row>
    <row r="397" spans="1:24" ht="16.5" customHeight="1" x14ac:dyDescent="0.25">
      <c r="A397" s="39" t="str">
        <f>'Long Sample Name'!A394</f>
        <v/>
      </c>
      <c r="B397" s="25" t="str">
        <f ca="1">'Input Sheet'!L396</f>
        <v/>
      </c>
      <c r="C397" s="26" t="str">
        <f ca="1">'Input Sheet'!M396</f>
        <v/>
      </c>
      <c r="D397" s="40">
        <f>'Input Sheet'!B396</f>
        <v>0</v>
      </c>
      <c r="E397" s="37">
        <f>'Input Sheet'!I396</f>
        <v>0</v>
      </c>
      <c r="F397" s="29">
        <f>('Input Sheet'!C396)/100</f>
        <v>0</v>
      </c>
      <c r="G397" s="29">
        <f>('Input Sheet'!F396)/100</f>
        <v>0</v>
      </c>
      <c r="H397" s="27">
        <f t="shared" si="66"/>
        <v>0</v>
      </c>
      <c r="I397" s="27">
        <f t="shared" si="60"/>
        <v>0</v>
      </c>
      <c r="J397" s="27">
        <f t="shared" si="61"/>
        <v>0</v>
      </c>
      <c r="K397" s="27">
        <f t="shared" si="62"/>
        <v>0</v>
      </c>
      <c r="L397" s="27">
        <f t="shared" si="63"/>
        <v>0</v>
      </c>
      <c r="M397" s="32" t="str">
        <f>'Input Sheet'!E396</f>
        <v/>
      </c>
      <c r="N397" s="32">
        <f t="shared" si="64"/>
        <v>0</v>
      </c>
      <c r="T397" s="32">
        <f t="shared" si="65"/>
        <v>0</v>
      </c>
      <c r="U397" s="32">
        <f t="shared" si="65"/>
        <v>0</v>
      </c>
      <c r="V397" s="32">
        <f t="shared" si="65"/>
        <v>0</v>
      </c>
      <c r="W397" s="32">
        <f t="shared" si="65"/>
        <v>0</v>
      </c>
      <c r="X397" s="32">
        <f t="shared" si="65"/>
        <v>0</v>
      </c>
    </row>
    <row r="398" spans="1:24" ht="16.5" customHeight="1" x14ac:dyDescent="0.25">
      <c r="A398" s="39" t="str">
        <f>'Long Sample Name'!A395</f>
        <v/>
      </c>
      <c r="B398" s="25" t="str">
        <f ca="1">'Input Sheet'!L397</f>
        <v/>
      </c>
      <c r="C398" s="26" t="str">
        <f ca="1">'Input Sheet'!M397</f>
        <v/>
      </c>
      <c r="D398" s="40">
        <f>'Input Sheet'!B397</f>
        <v>0</v>
      </c>
      <c r="E398" s="37">
        <f>'Input Sheet'!I397</f>
        <v>0</v>
      </c>
      <c r="F398" s="29">
        <f>('Input Sheet'!C397)/100</f>
        <v>0</v>
      </c>
      <c r="G398" s="29">
        <f>('Input Sheet'!F397)/100</f>
        <v>0</v>
      </c>
      <c r="H398" s="27">
        <f t="shared" si="66"/>
        <v>0</v>
      </c>
      <c r="I398" s="27">
        <f t="shared" si="60"/>
        <v>0</v>
      </c>
      <c r="J398" s="27">
        <f t="shared" si="61"/>
        <v>0</v>
      </c>
      <c r="K398" s="27">
        <f t="shared" si="62"/>
        <v>0</v>
      </c>
      <c r="L398" s="27">
        <f t="shared" si="63"/>
        <v>0</v>
      </c>
      <c r="M398" s="32" t="str">
        <f>'Input Sheet'!E397</f>
        <v/>
      </c>
      <c r="N398" s="32">
        <f t="shared" si="64"/>
        <v>0</v>
      </c>
      <c r="T398" s="32">
        <f t="shared" si="65"/>
        <v>0</v>
      </c>
      <c r="U398" s="32">
        <f t="shared" si="65"/>
        <v>0</v>
      </c>
      <c r="V398" s="32">
        <f t="shared" si="65"/>
        <v>0</v>
      </c>
      <c r="W398" s="32">
        <f t="shared" si="65"/>
        <v>0</v>
      </c>
      <c r="X398" s="32">
        <f t="shared" si="65"/>
        <v>0</v>
      </c>
    </row>
    <row r="399" spans="1:24" ht="16.5" customHeight="1" x14ac:dyDescent="0.25">
      <c r="A399" s="39" t="str">
        <f>'Long Sample Name'!A396</f>
        <v/>
      </c>
      <c r="B399" s="25" t="str">
        <f ca="1">'Input Sheet'!L398</f>
        <v/>
      </c>
      <c r="C399" s="26" t="str">
        <f ca="1">'Input Sheet'!M398</f>
        <v/>
      </c>
      <c r="D399" s="40">
        <f>'Input Sheet'!B398</f>
        <v>0</v>
      </c>
      <c r="E399" s="37">
        <f>'Input Sheet'!I398</f>
        <v>0</v>
      </c>
      <c r="F399" s="29">
        <f>('Input Sheet'!C398)/100</f>
        <v>0</v>
      </c>
      <c r="G399" s="29">
        <f>('Input Sheet'!F398)/100</f>
        <v>0</v>
      </c>
      <c r="H399" s="27">
        <f t="shared" si="66"/>
        <v>0</v>
      </c>
      <c r="I399" s="27">
        <f t="shared" si="60"/>
        <v>0</v>
      </c>
      <c r="J399" s="27">
        <f t="shared" si="61"/>
        <v>0</v>
      </c>
      <c r="K399" s="27">
        <f t="shared" si="62"/>
        <v>0</v>
      </c>
      <c r="L399" s="27">
        <f t="shared" si="63"/>
        <v>0</v>
      </c>
      <c r="M399" s="32" t="str">
        <f>'Input Sheet'!E398</f>
        <v/>
      </c>
      <c r="N399" s="32">
        <f t="shared" si="64"/>
        <v>0</v>
      </c>
      <c r="T399" s="32">
        <f t="shared" si="65"/>
        <v>0</v>
      </c>
      <c r="U399" s="32">
        <f t="shared" si="65"/>
        <v>0</v>
      </c>
      <c r="V399" s="32">
        <f t="shared" si="65"/>
        <v>0</v>
      </c>
      <c r="W399" s="32">
        <f t="shared" si="65"/>
        <v>0</v>
      </c>
      <c r="X399" s="32">
        <f t="shared" si="65"/>
        <v>0</v>
      </c>
    </row>
    <row r="400" spans="1:24" ht="16.5" customHeight="1" x14ac:dyDescent="0.25">
      <c r="A400" s="39" t="str">
        <f>'Long Sample Name'!A397</f>
        <v/>
      </c>
      <c r="B400" s="25" t="str">
        <f ca="1">'Input Sheet'!L399</f>
        <v/>
      </c>
      <c r="C400" s="26" t="str">
        <f ca="1">'Input Sheet'!M399</f>
        <v/>
      </c>
      <c r="D400" s="40">
        <f>'Input Sheet'!B399</f>
        <v>0</v>
      </c>
      <c r="E400" s="37">
        <f>'Input Sheet'!I399</f>
        <v>0</v>
      </c>
      <c r="F400" s="29">
        <f>('Input Sheet'!C399)/100</f>
        <v>0</v>
      </c>
      <c r="G400" s="29">
        <f>('Input Sheet'!F399)/100</f>
        <v>0</v>
      </c>
      <c r="H400" s="27">
        <f t="shared" si="66"/>
        <v>0</v>
      </c>
      <c r="I400" s="27">
        <f t="shared" si="60"/>
        <v>0</v>
      </c>
      <c r="J400" s="27">
        <f t="shared" si="61"/>
        <v>0</v>
      </c>
      <c r="K400" s="27">
        <f t="shared" si="62"/>
        <v>0</v>
      </c>
      <c r="L400" s="27">
        <f t="shared" si="63"/>
        <v>0</v>
      </c>
      <c r="M400" s="32" t="str">
        <f>'Input Sheet'!E399</f>
        <v/>
      </c>
      <c r="N400" s="32">
        <f t="shared" si="64"/>
        <v>0</v>
      </c>
      <c r="T400" s="32">
        <f t="shared" si="65"/>
        <v>0</v>
      </c>
      <c r="U400" s="32">
        <f t="shared" si="65"/>
        <v>0</v>
      </c>
      <c r="V400" s="32">
        <f t="shared" si="65"/>
        <v>0</v>
      </c>
      <c r="W400" s="32">
        <f t="shared" si="65"/>
        <v>0</v>
      </c>
      <c r="X400" s="32">
        <f t="shared" si="65"/>
        <v>0</v>
      </c>
    </row>
    <row r="401" spans="1:24" ht="16.5" customHeight="1" x14ac:dyDescent="0.25">
      <c r="A401" s="39" t="str">
        <f>'Long Sample Name'!A398</f>
        <v/>
      </c>
      <c r="B401" s="25" t="str">
        <f ca="1">'Input Sheet'!L400</f>
        <v/>
      </c>
      <c r="C401" s="26" t="str">
        <f ca="1">'Input Sheet'!M400</f>
        <v/>
      </c>
      <c r="D401" s="40">
        <f>'Input Sheet'!B400</f>
        <v>0</v>
      </c>
      <c r="E401" s="37">
        <f>'Input Sheet'!I400</f>
        <v>0</v>
      </c>
      <c r="F401" s="29">
        <f>('Input Sheet'!C400)/100</f>
        <v>0</v>
      </c>
      <c r="G401" s="29">
        <f>('Input Sheet'!F400)/100</f>
        <v>0</v>
      </c>
      <c r="H401" s="27">
        <f t="shared" si="66"/>
        <v>0</v>
      </c>
      <c r="I401" s="27">
        <f t="shared" si="60"/>
        <v>0</v>
      </c>
      <c r="J401" s="27">
        <f t="shared" si="61"/>
        <v>0</v>
      </c>
      <c r="K401" s="27">
        <f t="shared" si="62"/>
        <v>0</v>
      </c>
      <c r="L401" s="27">
        <f t="shared" si="63"/>
        <v>0</v>
      </c>
      <c r="M401" s="32" t="str">
        <f>'Input Sheet'!E400</f>
        <v/>
      </c>
      <c r="N401" s="32">
        <f t="shared" si="64"/>
        <v>0</v>
      </c>
      <c r="T401" s="32">
        <f t="shared" si="65"/>
        <v>0</v>
      </c>
      <c r="U401" s="32">
        <f t="shared" si="65"/>
        <v>0</v>
      </c>
      <c r="V401" s="32">
        <f t="shared" si="65"/>
        <v>0</v>
      </c>
      <c r="W401" s="32">
        <f t="shared" si="65"/>
        <v>0</v>
      </c>
      <c r="X401" s="32">
        <f t="shared" si="65"/>
        <v>0</v>
      </c>
    </row>
    <row r="402" spans="1:24" ht="16.5" customHeight="1" x14ac:dyDescent="0.25">
      <c r="A402" s="39" t="str">
        <f>'Long Sample Name'!A399</f>
        <v/>
      </c>
      <c r="B402" s="25" t="str">
        <f ca="1">'Input Sheet'!L401</f>
        <v/>
      </c>
      <c r="C402" s="26" t="str">
        <f ca="1">'Input Sheet'!M401</f>
        <v/>
      </c>
      <c r="D402" s="40">
        <f>'Input Sheet'!B401</f>
        <v>0</v>
      </c>
      <c r="E402" s="37">
        <f>'Input Sheet'!I401</f>
        <v>0</v>
      </c>
      <c r="F402" s="29">
        <f>('Input Sheet'!C401)/100</f>
        <v>0</v>
      </c>
      <c r="G402" s="29">
        <f>('Input Sheet'!F401)/100</f>
        <v>0</v>
      </c>
      <c r="H402" s="27">
        <f t="shared" si="66"/>
        <v>0</v>
      </c>
      <c r="I402" s="27">
        <f t="shared" si="60"/>
        <v>0</v>
      </c>
      <c r="J402" s="27">
        <f t="shared" si="61"/>
        <v>0</v>
      </c>
      <c r="K402" s="27">
        <f t="shared" si="62"/>
        <v>0</v>
      </c>
      <c r="L402" s="27">
        <f t="shared" si="63"/>
        <v>0</v>
      </c>
      <c r="M402" s="32" t="str">
        <f>'Input Sheet'!E401</f>
        <v/>
      </c>
      <c r="N402" s="32">
        <f t="shared" si="64"/>
        <v>0</v>
      </c>
      <c r="T402" s="32">
        <f t="shared" si="65"/>
        <v>0</v>
      </c>
      <c r="U402" s="32">
        <f t="shared" si="65"/>
        <v>0</v>
      </c>
      <c r="V402" s="32">
        <f t="shared" si="65"/>
        <v>0</v>
      </c>
      <c r="W402" s="32">
        <f t="shared" si="65"/>
        <v>0</v>
      </c>
      <c r="X402" s="32">
        <f t="shared" si="65"/>
        <v>0</v>
      </c>
    </row>
    <row r="403" spans="1:24" ht="16.5" customHeight="1" x14ac:dyDescent="0.25">
      <c r="A403" s="39" t="str">
        <f>'Long Sample Name'!A400</f>
        <v/>
      </c>
      <c r="B403" s="25" t="str">
        <f ca="1">'Input Sheet'!L402</f>
        <v/>
      </c>
      <c r="C403" s="26" t="str">
        <f ca="1">'Input Sheet'!M402</f>
        <v/>
      </c>
      <c r="D403" s="40">
        <f>'Input Sheet'!B402</f>
        <v>0</v>
      </c>
      <c r="E403" s="37">
        <f>'Input Sheet'!I402</f>
        <v>0</v>
      </c>
      <c r="F403" s="29">
        <f>('Input Sheet'!C402)/100</f>
        <v>0</v>
      </c>
      <c r="G403" s="29">
        <f>('Input Sheet'!F402)/100</f>
        <v>0</v>
      </c>
      <c r="H403" s="27">
        <f t="shared" si="66"/>
        <v>0</v>
      </c>
      <c r="I403" s="27">
        <f t="shared" si="60"/>
        <v>0</v>
      </c>
      <c r="J403" s="27">
        <f t="shared" si="61"/>
        <v>0</v>
      </c>
      <c r="K403" s="27">
        <f t="shared" si="62"/>
        <v>0</v>
      </c>
      <c r="L403" s="27">
        <f t="shared" si="63"/>
        <v>0</v>
      </c>
      <c r="M403" s="32" t="str">
        <f>'Input Sheet'!E402</f>
        <v/>
      </c>
      <c r="N403" s="32">
        <f t="shared" si="64"/>
        <v>0</v>
      </c>
      <c r="T403" s="32">
        <f t="shared" si="65"/>
        <v>0</v>
      </c>
      <c r="U403" s="32">
        <f t="shared" si="65"/>
        <v>0</v>
      </c>
      <c r="V403" s="32">
        <f t="shared" si="65"/>
        <v>0</v>
      </c>
      <c r="W403" s="32">
        <f t="shared" si="65"/>
        <v>0</v>
      </c>
      <c r="X403" s="32">
        <f t="shared" si="65"/>
        <v>0</v>
      </c>
    </row>
    <row r="404" spans="1:24" ht="16.5" customHeight="1" x14ac:dyDescent="0.25">
      <c r="A404" s="39" t="str">
        <f>'Long Sample Name'!A401</f>
        <v/>
      </c>
      <c r="B404" s="25" t="str">
        <f ca="1">'Input Sheet'!L403</f>
        <v/>
      </c>
      <c r="C404" s="26" t="str">
        <f ca="1">'Input Sheet'!M403</f>
        <v/>
      </c>
      <c r="D404" s="40">
        <f>'Input Sheet'!B403</f>
        <v>0</v>
      </c>
      <c r="E404" s="37">
        <f>'Input Sheet'!I403</f>
        <v>0</v>
      </c>
      <c r="F404" s="29">
        <f>('Input Sheet'!C403)/100</f>
        <v>0</v>
      </c>
      <c r="G404" s="29">
        <f>('Input Sheet'!F403)/100</f>
        <v>0</v>
      </c>
      <c r="H404" s="27">
        <f t="shared" si="66"/>
        <v>0</v>
      </c>
      <c r="I404" s="27">
        <f t="shared" si="60"/>
        <v>0</v>
      </c>
      <c r="J404" s="27">
        <f t="shared" si="61"/>
        <v>0</v>
      </c>
      <c r="K404" s="27">
        <f t="shared" si="62"/>
        <v>0</v>
      </c>
      <c r="L404" s="27">
        <f t="shared" si="63"/>
        <v>0</v>
      </c>
      <c r="M404" s="32" t="str">
        <f>'Input Sheet'!E403</f>
        <v/>
      </c>
      <c r="N404" s="32">
        <f t="shared" si="64"/>
        <v>0</v>
      </c>
      <c r="T404" s="32">
        <f t="shared" si="65"/>
        <v>0</v>
      </c>
      <c r="U404" s="32">
        <f t="shared" si="65"/>
        <v>0</v>
      </c>
      <c r="V404" s="32">
        <f t="shared" si="65"/>
        <v>0</v>
      </c>
      <c r="W404" s="32">
        <f t="shared" si="65"/>
        <v>0</v>
      </c>
      <c r="X404" s="32">
        <f t="shared" si="65"/>
        <v>0</v>
      </c>
    </row>
    <row r="405" spans="1:24" ht="16.5" customHeight="1" x14ac:dyDescent="0.25">
      <c r="A405" s="39" t="str">
        <f>'Long Sample Name'!A402</f>
        <v/>
      </c>
      <c r="B405" s="25" t="str">
        <f ca="1">'Input Sheet'!L404</f>
        <v/>
      </c>
      <c r="C405" s="26" t="str">
        <f ca="1">'Input Sheet'!M404</f>
        <v/>
      </c>
      <c r="D405" s="40">
        <f>'Input Sheet'!B404</f>
        <v>0</v>
      </c>
      <c r="E405" s="37">
        <f>'Input Sheet'!I404</f>
        <v>0</v>
      </c>
      <c r="F405" s="29">
        <f>('Input Sheet'!C404)/100</f>
        <v>0</v>
      </c>
      <c r="G405" s="29">
        <f>('Input Sheet'!F404)/100</f>
        <v>0</v>
      </c>
      <c r="H405" s="27">
        <f t="shared" si="66"/>
        <v>0</v>
      </c>
      <c r="I405" s="27">
        <f t="shared" si="60"/>
        <v>0</v>
      </c>
      <c r="J405" s="27">
        <f t="shared" si="61"/>
        <v>0</v>
      </c>
      <c r="K405" s="27">
        <f t="shared" si="62"/>
        <v>0</v>
      </c>
      <c r="L405" s="27">
        <f t="shared" si="63"/>
        <v>0</v>
      </c>
      <c r="M405" s="32" t="str">
        <f>'Input Sheet'!E404</f>
        <v/>
      </c>
      <c r="N405" s="32">
        <f t="shared" si="64"/>
        <v>0</v>
      </c>
      <c r="T405" s="32">
        <f t="shared" ref="T405:X420" si="67">IF($M405=T$1,$H405,0)</f>
        <v>0</v>
      </c>
      <c r="U405" s="32">
        <f t="shared" si="67"/>
        <v>0</v>
      </c>
      <c r="V405" s="32">
        <f t="shared" si="67"/>
        <v>0</v>
      </c>
      <c r="W405" s="32">
        <f t="shared" si="67"/>
        <v>0</v>
      </c>
      <c r="X405" s="32">
        <f t="shared" si="67"/>
        <v>0</v>
      </c>
    </row>
    <row r="406" spans="1:24" ht="16.5" customHeight="1" x14ac:dyDescent="0.25">
      <c r="A406" s="39" t="str">
        <f>'Long Sample Name'!A403</f>
        <v/>
      </c>
      <c r="B406" s="25" t="str">
        <f ca="1">'Input Sheet'!L405</f>
        <v/>
      </c>
      <c r="C406" s="26" t="str">
        <f ca="1">'Input Sheet'!M405</f>
        <v/>
      </c>
      <c r="D406" s="40">
        <f>'Input Sheet'!B405</f>
        <v>0</v>
      </c>
      <c r="E406" s="37">
        <f>'Input Sheet'!I405</f>
        <v>0</v>
      </c>
      <c r="F406" s="29">
        <f>('Input Sheet'!C405)/100</f>
        <v>0</v>
      </c>
      <c r="G406" s="29">
        <f>('Input Sheet'!F405)/100</f>
        <v>0</v>
      </c>
      <c r="H406" s="27">
        <f t="shared" si="66"/>
        <v>0</v>
      </c>
      <c r="I406" s="27">
        <f t="shared" si="60"/>
        <v>0</v>
      </c>
      <c r="J406" s="27">
        <f t="shared" si="61"/>
        <v>0</v>
      </c>
      <c r="K406" s="27">
        <f t="shared" si="62"/>
        <v>0</v>
      </c>
      <c r="L406" s="27">
        <f t="shared" si="63"/>
        <v>0</v>
      </c>
      <c r="M406" s="32" t="str">
        <f>'Input Sheet'!E405</f>
        <v/>
      </c>
      <c r="N406" s="32">
        <f t="shared" si="64"/>
        <v>0</v>
      </c>
      <c r="T406" s="32">
        <f t="shared" si="67"/>
        <v>0</v>
      </c>
      <c r="U406" s="32">
        <f t="shared" si="67"/>
        <v>0</v>
      </c>
      <c r="V406" s="32">
        <f t="shared" si="67"/>
        <v>0</v>
      </c>
      <c r="W406" s="32">
        <f t="shared" si="67"/>
        <v>0</v>
      </c>
      <c r="X406" s="32">
        <f t="shared" si="67"/>
        <v>0</v>
      </c>
    </row>
    <row r="407" spans="1:24" ht="16.5" customHeight="1" x14ac:dyDescent="0.25">
      <c r="A407" s="39" t="str">
        <f>'Long Sample Name'!A404</f>
        <v/>
      </c>
      <c r="B407" s="25" t="str">
        <f ca="1">'Input Sheet'!L406</f>
        <v/>
      </c>
      <c r="C407" s="26" t="str">
        <f ca="1">'Input Sheet'!M406</f>
        <v/>
      </c>
      <c r="D407" s="40">
        <f>'Input Sheet'!B406</f>
        <v>0</v>
      </c>
      <c r="E407" s="37">
        <f>'Input Sheet'!I406</f>
        <v>0</v>
      </c>
      <c r="F407" s="29">
        <f>('Input Sheet'!C406)/100</f>
        <v>0</v>
      </c>
      <c r="G407" s="29">
        <f>('Input Sheet'!F406)/100</f>
        <v>0</v>
      </c>
      <c r="H407" s="27">
        <f t="shared" si="66"/>
        <v>0</v>
      </c>
      <c r="I407" s="27">
        <f t="shared" si="60"/>
        <v>0</v>
      </c>
      <c r="J407" s="27">
        <f t="shared" si="61"/>
        <v>0</v>
      </c>
      <c r="K407" s="27">
        <f t="shared" si="62"/>
        <v>0</v>
      </c>
      <c r="L407" s="27">
        <f t="shared" si="63"/>
        <v>0</v>
      </c>
      <c r="M407" s="32" t="str">
        <f>'Input Sheet'!E406</f>
        <v/>
      </c>
      <c r="N407" s="32">
        <f t="shared" si="64"/>
        <v>0</v>
      </c>
      <c r="T407" s="32">
        <f t="shared" si="67"/>
        <v>0</v>
      </c>
      <c r="U407" s="32">
        <f t="shared" si="67"/>
        <v>0</v>
      </c>
      <c r="V407" s="32">
        <f t="shared" si="67"/>
        <v>0</v>
      </c>
      <c r="W407" s="32">
        <f t="shared" si="67"/>
        <v>0</v>
      </c>
      <c r="X407" s="32">
        <f t="shared" si="67"/>
        <v>0</v>
      </c>
    </row>
    <row r="408" spans="1:24" ht="16.5" customHeight="1" x14ac:dyDescent="0.25">
      <c r="A408" s="39" t="str">
        <f>'Long Sample Name'!A405</f>
        <v/>
      </c>
      <c r="B408" s="25" t="str">
        <f ca="1">'Input Sheet'!L407</f>
        <v/>
      </c>
      <c r="C408" s="26" t="str">
        <f ca="1">'Input Sheet'!M407</f>
        <v/>
      </c>
      <c r="D408" s="40">
        <f>'Input Sheet'!B407</f>
        <v>0</v>
      </c>
      <c r="E408" s="37">
        <f>'Input Sheet'!I407</f>
        <v>0</v>
      </c>
      <c r="F408" s="29">
        <f>('Input Sheet'!C407)/100</f>
        <v>0</v>
      </c>
      <c r="G408" s="29">
        <f>('Input Sheet'!F407)/100</f>
        <v>0</v>
      </c>
      <c r="H408" s="27">
        <f t="shared" si="66"/>
        <v>0</v>
      </c>
      <c r="I408" s="27">
        <f t="shared" si="60"/>
        <v>0</v>
      </c>
      <c r="J408" s="27">
        <f t="shared" si="61"/>
        <v>0</v>
      </c>
      <c r="K408" s="27">
        <f t="shared" si="62"/>
        <v>0</v>
      </c>
      <c r="L408" s="27">
        <f t="shared" si="63"/>
        <v>0</v>
      </c>
      <c r="M408" s="32" t="str">
        <f>'Input Sheet'!E407</f>
        <v/>
      </c>
      <c r="N408" s="32">
        <f t="shared" si="64"/>
        <v>0</v>
      </c>
      <c r="T408" s="32">
        <f t="shared" si="67"/>
        <v>0</v>
      </c>
      <c r="U408" s="32">
        <f t="shared" si="67"/>
        <v>0</v>
      </c>
      <c r="V408" s="32">
        <f t="shared" si="67"/>
        <v>0</v>
      </c>
      <c r="W408" s="32">
        <f t="shared" si="67"/>
        <v>0</v>
      </c>
      <c r="X408" s="32">
        <f t="shared" si="67"/>
        <v>0</v>
      </c>
    </row>
    <row r="409" spans="1:24" ht="16.5" customHeight="1" x14ac:dyDescent="0.25">
      <c r="A409" s="39" t="str">
        <f>'Long Sample Name'!A406</f>
        <v/>
      </c>
      <c r="B409" s="25" t="str">
        <f ca="1">'Input Sheet'!L408</f>
        <v/>
      </c>
      <c r="C409" s="26" t="str">
        <f ca="1">'Input Sheet'!M408</f>
        <v/>
      </c>
      <c r="D409" s="40">
        <f>'Input Sheet'!B408</f>
        <v>0</v>
      </c>
      <c r="E409" s="37">
        <f>'Input Sheet'!I408</f>
        <v>0</v>
      </c>
      <c r="F409" s="29">
        <f>('Input Sheet'!C408)/100</f>
        <v>0</v>
      </c>
      <c r="G409" s="29">
        <f>('Input Sheet'!F408)/100</f>
        <v>0</v>
      </c>
      <c r="H409" s="27">
        <f t="shared" si="66"/>
        <v>0</v>
      </c>
      <c r="I409" s="27">
        <f t="shared" si="60"/>
        <v>0</v>
      </c>
      <c r="J409" s="27">
        <f t="shared" si="61"/>
        <v>0</v>
      </c>
      <c r="K409" s="27">
        <f t="shared" si="62"/>
        <v>0</v>
      </c>
      <c r="L409" s="27">
        <f t="shared" si="63"/>
        <v>0</v>
      </c>
      <c r="M409" s="32" t="str">
        <f>'Input Sheet'!E408</f>
        <v/>
      </c>
      <c r="N409" s="32">
        <f t="shared" si="64"/>
        <v>0</v>
      </c>
      <c r="T409" s="32">
        <f t="shared" si="67"/>
        <v>0</v>
      </c>
      <c r="U409" s="32">
        <f t="shared" si="67"/>
        <v>0</v>
      </c>
      <c r="V409" s="32">
        <f t="shared" si="67"/>
        <v>0</v>
      </c>
      <c r="W409" s="32">
        <f t="shared" si="67"/>
        <v>0</v>
      </c>
      <c r="X409" s="32">
        <f t="shared" si="67"/>
        <v>0</v>
      </c>
    </row>
    <row r="410" spans="1:24" ht="16.5" customHeight="1" x14ac:dyDescent="0.25">
      <c r="A410" s="39" t="str">
        <f>'Long Sample Name'!A407</f>
        <v/>
      </c>
      <c r="B410" s="25" t="str">
        <f ca="1">'Input Sheet'!L409</f>
        <v/>
      </c>
      <c r="C410" s="26" t="str">
        <f ca="1">'Input Sheet'!M409</f>
        <v/>
      </c>
      <c r="D410" s="40">
        <f>'Input Sheet'!B409</f>
        <v>0</v>
      </c>
      <c r="E410" s="37">
        <f>'Input Sheet'!I409</f>
        <v>0</v>
      </c>
      <c r="F410" s="29">
        <f>('Input Sheet'!C409)/100</f>
        <v>0</v>
      </c>
      <c r="G410" s="29">
        <f>('Input Sheet'!F409)/100</f>
        <v>0</v>
      </c>
      <c r="H410" s="27">
        <f t="shared" si="66"/>
        <v>0</v>
      </c>
      <c r="I410" s="27">
        <f t="shared" si="60"/>
        <v>0</v>
      </c>
      <c r="J410" s="27">
        <f t="shared" si="61"/>
        <v>0</v>
      </c>
      <c r="K410" s="27">
        <f t="shared" si="62"/>
        <v>0</v>
      </c>
      <c r="L410" s="27">
        <f t="shared" si="63"/>
        <v>0</v>
      </c>
      <c r="M410" s="32" t="str">
        <f>'Input Sheet'!E409</f>
        <v/>
      </c>
      <c r="N410" s="32">
        <f t="shared" si="64"/>
        <v>0</v>
      </c>
      <c r="T410" s="32">
        <f t="shared" si="67"/>
        <v>0</v>
      </c>
      <c r="U410" s="32">
        <f t="shared" si="67"/>
        <v>0</v>
      </c>
      <c r="V410" s="32">
        <f t="shared" si="67"/>
        <v>0</v>
      </c>
      <c r="W410" s="32">
        <f t="shared" si="67"/>
        <v>0</v>
      </c>
      <c r="X410" s="32">
        <f t="shared" si="67"/>
        <v>0</v>
      </c>
    </row>
    <row r="411" spans="1:24" ht="16.5" customHeight="1" x14ac:dyDescent="0.25">
      <c r="A411" s="39" t="str">
        <f>'Long Sample Name'!A408</f>
        <v/>
      </c>
      <c r="B411" s="25" t="str">
        <f ca="1">'Input Sheet'!L410</f>
        <v/>
      </c>
      <c r="C411" s="26" t="str">
        <f ca="1">'Input Sheet'!M410</f>
        <v/>
      </c>
      <c r="D411" s="40">
        <f>'Input Sheet'!B410</f>
        <v>0</v>
      </c>
      <c r="E411" s="37">
        <f>'Input Sheet'!I410</f>
        <v>0</v>
      </c>
      <c r="F411" s="29">
        <f>('Input Sheet'!C410)/100</f>
        <v>0</v>
      </c>
      <c r="G411" s="29">
        <f>('Input Sheet'!F410)/100</f>
        <v>0</v>
      </c>
      <c r="H411" s="27">
        <f t="shared" si="66"/>
        <v>0</v>
      </c>
      <c r="I411" s="27">
        <f t="shared" si="60"/>
        <v>0</v>
      </c>
      <c r="J411" s="27">
        <f t="shared" si="61"/>
        <v>0</v>
      </c>
      <c r="K411" s="27">
        <f t="shared" si="62"/>
        <v>0</v>
      </c>
      <c r="L411" s="27">
        <f t="shared" si="63"/>
        <v>0</v>
      </c>
      <c r="M411" s="32" t="str">
        <f>'Input Sheet'!E410</f>
        <v/>
      </c>
      <c r="N411" s="32">
        <f t="shared" si="64"/>
        <v>0</v>
      </c>
      <c r="T411" s="32">
        <f t="shared" si="67"/>
        <v>0</v>
      </c>
      <c r="U411" s="32">
        <f t="shared" si="67"/>
        <v>0</v>
      </c>
      <c r="V411" s="32">
        <f t="shared" si="67"/>
        <v>0</v>
      </c>
      <c r="W411" s="32">
        <f t="shared" si="67"/>
        <v>0</v>
      </c>
      <c r="X411" s="32">
        <f t="shared" si="67"/>
        <v>0</v>
      </c>
    </row>
    <row r="412" spans="1:24" ht="16.5" customHeight="1" x14ac:dyDescent="0.25">
      <c r="A412" s="39" t="str">
        <f>'Long Sample Name'!A409</f>
        <v/>
      </c>
      <c r="B412" s="25" t="str">
        <f ca="1">'Input Sheet'!L411</f>
        <v/>
      </c>
      <c r="C412" s="26" t="str">
        <f ca="1">'Input Sheet'!M411</f>
        <v/>
      </c>
      <c r="D412" s="40">
        <f>'Input Sheet'!B411</f>
        <v>0</v>
      </c>
      <c r="E412" s="37">
        <f>'Input Sheet'!I411</f>
        <v>0</v>
      </c>
      <c r="F412" s="29">
        <f>('Input Sheet'!C411)/100</f>
        <v>0</v>
      </c>
      <c r="G412" s="29">
        <f>('Input Sheet'!F411)/100</f>
        <v>0</v>
      </c>
      <c r="H412" s="27">
        <f t="shared" si="66"/>
        <v>0</v>
      </c>
      <c r="I412" s="27">
        <f t="shared" si="60"/>
        <v>0</v>
      </c>
      <c r="J412" s="27">
        <f t="shared" si="61"/>
        <v>0</v>
      </c>
      <c r="K412" s="27">
        <f t="shared" si="62"/>
        <v>0</v>
      </c>
      <c r="L412" s="27">
        <f t="shared" si="63"/>
        <v>0</v>
      </c>
      <c r="M412" s="32" t="str">
        <f>'Input Sheet'!E411</f>
        <v/>
      </c>
      <c r="N412" s="32">
        <f t="shared" si="64"/>
        <v>0</v>
      </c>
      <c r="T412" s="32">
        <f t="shared" si="67"/>
        <v>0</v>
      </c>
      <c r="U412" s="32">
        <f t="shared" si="67"/>
        <v>0</v>
      </c>
      <c r="V412" s="32">
        <f t="shared" si="67"/>
        <v>0</v>
      </c>
      <c r="W412" s="32">
        <f t="shared" si="67"/>
        <v>0</v>
      </c>
      <c r="X412" s="32">
        <f t="shared" si="67"/>
        <v>0</v>
      </c>
    </row>
    <row r="413" spans="1:24" ht="16.5" customHeight="1" x14ac:dyDescent="0.25">
      <c r="A413" s="39" t="str">
        <f>'Long Sample Name'!A410</f>
        <v/>
      </c>
      <c r="B413" s="25" t="str">
        <f ca="1">'Input Sheet'!L412</f>
        <v/>
      </c>
      <c r="C413" s="26" t="str">
        <f ca="1">'Input Sheet'!M412</f>
        <v/>
      </c>
      <c r="D413" s="40">
        <f>'Input Sheet'!B412</f>
        <v>0</v>
      </c>
      <c r="E413" s="37">
        <f>'Input Sheet'!I412</f>
        <v>0</v>
      </c>
      <c r="F413" s="29">
        <f>('Input Sheet'!C412)/100</f>
        <v>0</v>
      </c>
      <c r="G413" s="29">
        <f>('Input Sheet'!F412)/100</f>
        <v>0</v>
      </c>
      <c r="H413" s="27">
        <f t="shared" si="66"/>
        <v>0</v>
      </c>
      <c r="I413" s="27">
        <f t="shared" si="60"/>
        <v>0</v>
      </c>
      <c r="J413" s="27">
        <f t="shared" si="61"/>
        <v>0</v>
      </c>
      <c r="K413" s="27">
        <f t="shared" si="62"/>
        <v>0</v>
      </c>
      <c r="L413" s="27">
        <f t="shared" si="63"/>
        <v>0</v>
      </c>
      <c r="M413" s="32" t="str">
        <f>'Input Sheet'!E412</f>
        <v/>
      </c>
      <c r="N413" s="32">
        <f t="shared" si="64"/>
        <v>0</v>
      </c>
      <c r="T413" s="32">
        <f t="shared" si="67"/>
        <v>0</v>
      </c>
      <c r="U413" s="32">
        <f t="shared" si="67"/>
        <v>0</v>
      </c>
      <c r="V413" s="32">
        <f t="shared" si="67"/>
        <v>0</v>
      </c>
      <c r="W413" s="32">
        <f t="shared" si="67"/>
        <v>0</v>
      </c>
      <c r="X413" s="32">
        <f t="shared" si="67"/>
        <v>0</v>
      </c>
    </row>
    <row r="414" spans="1:24" ht="16.5" customHeight="1" x14ac:dyDescent="0.25">
      <c r="A414" s="39" t="str">
        <f>'Long Sample Name'!A411</f>
        <v/>
      </c>
      <c r="B414" s="25" t="str">
        <f ca="1">'Input Sheet'!L413</f>
        <v/>
      </c>
      <c r="C414" s="26" t="str">
        <f ca="1">'Input Sheet'!M413</f>
        <v/>
      </c>
      <c r="D414" s="40">
        <f>'Input Sheet'!B413</f>
        <v>0</v>
      </c>
      <c r="E414" s="37">
        <f>'Input Sheet'!I413</f>
        <v>0</v>
      </c>
      <c r="F414" s="29">
        <f>('Input Sheet'!C413)/100</f>
        <v>0</v>
      </c>
      <c r="G414" s="29">
        <f>('Input Sheet'!F413)/100</f>
        <v>0</v>
      </c>
      <c r="H414" s="27">
        <f t="shared" si="66"/>
        <v>0</v>
      </c>
      <c r="I414" s="27">
        <f t="shared" si="60"/>
        <v>0</v>
      </c>
      <c r="J414" s="27">
        <f t="shared" si="61"/>
        <v>0</v>
      </c>
      <c r="K414" s="27">
        <f t="shared" si="62"/>
        <v>0</v>
      </c>
      <c r="L414" s="27">
        <f t="shared" si="63"/>
        <v>0</v>
      </c>
      <c r="M414" s="32" t="str">
        <f>'Input Sheet'!E413</f>
        <v/>
      </c>
      <c r="N414" s="32">
        <f t="shared" si="64"/>
        <v>0</v>
      </c>
      <c r="T414" s="32">
        <f t="shared" si="67"/>
        <v>0</v>
      </c>
      <c r="U414" s="32">
        <f t="shared" si="67"/>
        <v>0</v>
      </c>
      <c r="V414" s="32">
        <f t="shared" si="67"/>
        <v>0</v>
      </c>
      <c r="W414" s="32">
        <f t="shared" si="67"/>
        <v>0</v>
      </c>
      <c r="X414" s="32">
        <f t="shared" si="67"/>
        <v>0</v>
      </c>
    </row>
    <row r="415" spans="1:24" ht="16.5" customHeight="1" x14ac:dyDescent="0.25">
      <c r="A415" s="39" t="str">
        <f>'Long Sample Name'!A412</f>
        <v/>
      </c>
      <c r="B415" s="25" t="str">
        <f ca="1">'Input Sheet'!L414</f>
        <v/>
      </c>
      <c r="C415" s="26" t="str">
        <f ca="1">'Input Sheet'!M414</f>
        <v/>
      </c>
      <c r="D415" s="40">
        <f>'Input Sheet'!B414</f>
        <v>0</v>
      </c>
      <c r="E415" s="37">
        <f>'Input Sheet'!I414</f>
        <v>0</v>
      </c>
      <c r="F415" s="29">
        <f>('Input Sheet'!C414)/100</f>
        <v>0</v>
      </c>
      <c r="G415" s="29">
        <f>('Input Sheet'!F414)/100</f>
        <v>0</v>
      </c>
      <c r="H415" s="27">
        <f t="shared" si="66"/>
        <v>0</v>
      </c>
      <c r="I415" s="27">
        <f t="shared" si="60"/>
        <v>0</v>
      </c>
      <c r="J415" s="27">
        <f t="shared" si="61"/>
        <v>0</v>
      </c>
      <c r="K415" s="27">
        <f t="shared" si="62"/>
        <v>0</v>
      </c>
      <c r="L415" s="27">
        <f t="shared" si="63"/>
        <v>0</v>
      </c>
      <c r="M415" s="32" t="str">
        <f>'Input Sheet'!E414</f>
        <v/>
      </c>
      <c r="N415" s="32">
        <f t="shared" si="64"/>
        <v>0</v>
      </c>
      <c r="T415" s="32">
        <f t="shared" si="67"/>
        <v>0</v>
      </c>
      <c r="U415" s="32">
        <f t="shared" si="67"/>
        <v>0</v>
      </c>
      <c r="V415" s="32">
        <f t="shared" si="67"/>
        <v>0</v>
      </c>
      <c r="W415" s="32">
        <f t="shared" si="67"/>
        <v>0</v>
      </c>
      <c r="X415" s="32">
        <f t="shared" si="67"/>
        <v>0</v>
      </c>
    </row>
    <row r="416" spans="1:24" ht="16.5" customHeight="1" x14ac:dyDescent="0.25">
      <c r="A416" s="39" t="str">
        <f>'Long Sample Name'!A413</f>
        <v/>
      </c>
      <c r="B416" s="25" t="str">
        <f ca="1">'Input Sheet'!L415</f>
        <v/>
      </c>
      <c r="C416" s="26" t="str">
        <f ca="1">'Input Sheet'!M415</f>
        <v/>
      </c>
      <c r="D416" s="40">
        <f>'Input Sheet'!B415</f>
        <v>0</v>
      </c>
      <c r="E416" s="37">
        <f>'Input Sheet'!I415</f>
        <v>0</v>
      </c>
      <c r="F416" s="29">
        <f>('Input Sheet'!C415)/100</f>
        <v>0</v>
      </c>
      <c r="G416" s="29">
        <f>('Input Sheet'!F415)/100</f>
        <v>0</v>
      </c>
      <c r="H416" s="27">
        <f t="shared" si="66"/>
        <v>0</v>
      </c>
      <c r="I416" s="27">
        <f t="shared" si="60"/>
        <v>0</v>
      </c>
      <c r="J416" s="27">
        <f t="shared" si="61"/>
        <v>0</v>
      </c>
      <c r="K416" s="27">
        <f t="shared" si="62"/>
        <v>0</v>
      </c>
      <c r="L416" s="27">
        <f t="shared" si="63"/>
        <v>0</v>
      </c>
      <c r="M416" s="32" t="str">
        <f>'Input Sheet'!E415</f>
        <v/>
      </c>
      <c r="N416" s="32">
        <f t="shared" si="64"/>
        <v>0</v>
      </c>
      <c r="T416" s="32">
        <f t="shared" si="67"/>
        <v>0</v>
      </c>
      <c r="U416" s="32">
        <f t="shared" si="67"/>
        <v>0</v>
      </c>
      <c r="V416" s="32">
        <f t="shared" si="67"/>
        <v>0</v>
      </c>
      <c r="W416" s="32">
        <f t="shared" si="67"/>
        <v>0</v>
      </c>
      <c r="X416" s="32">
        <f t="shared" si="67"/>
        <v>0</v>
      </c>
    </row>
    <row r="417" spans="1:24" ht="16.5" customHeight="1" x14ac:dyDescent="0.25">
      <c r="A417" s="39" t="str">
        <f>'Long Sample Name'!A414</f>
        <v/>
      </c>
      <c r="B417" s="25" t="str">
        <f ca="1">'Input Sheet'!L416</f>
        <v/>
      </c>
      <c r="C417" s="26" t="str">
        <f ca="1">'Input Sheet'!M416</f>
        <v/>
      </c>
      <c r="D417" s="40">
        <f>'Input Sheet'!B416</f>
        <v>0</v>
      </c>
      <c r="E417" s="37">
        <f>'Input Sheet'!I416</f>
        <v>0</v>
      </c>
      <c r="F417" s="29">
        <f>('Input Sheet'!C416)/100</f>
        <v>0</v>
      </c>
      <c r="G417" s="29">
        <f>('Input Sheet'!F416)/100</f>
        <v>0</v>
      </c>
      <c r="H417" s="27">
        <f t="shared" si="66"/>
        <v>0</v>
      </c>
      <c r="I417" s="27">
        <f t="shared" si="60"/>
        <v>0</v>
      </c>
      <c r="J417" s="27">
        <f t="shared" si="61"/>
        <v>0</v>
      </c>
      <c r="K417" s="27">
        <f t="shared" si="62"/>
        <v>0</v>
      </c>
      <c r="L417" s="27">
        <f t="shared" si="63"/>
        <v>0</v>
      </c>
      <c r="M417" s="32" t="str">
        <f>'Input Sheet'!E416</f>
        <v/>
      </c>
      <c r="N417" s="32">
        <f t="shared" si="64"/>
        <v>0</v>
      </c>
      <c r="T417" s="32">
        <f t="shared" si="67"/>
        <v>0</v>
      </c>
      <c r="U417" s="32">
        <f t="shared" si="67"/>
        <v>0</v>
      </c>
      <c r="V417" s="32">
        <f t="shared" si="67"/>
        <v>0</v>
      </c>
      <c r="W417" s="32">
        <f t="shared" si="67"/>
        <v>0</v>
      </c>
      <c r="X417" s="32">
        <f t="shared" si="67"/>
        <v>0</v>
      </c>
    </row>
    <row r="418" spans="1:24" ht="16.5" customHeight="1" x14ac:dyDescent="0.25">
      <c r="A418" s="39" t="str">
        <f>'Long Sample Name'!A415</f>
        <v/>
      </c>
      <c r="B418" s="25" t="str">
        <f ca="1">'Input Sheet'!L417</f>
        <v/>
      </c>
      <c r="C418" s="26" t="str">
        <f ca="1">'Input Sheet'!M417</f>
        <v/>
      </c>
      <c r="D418" s="40">
        <f>'Input Sheet'!B417</f>
        <v>0</v>
      </c>
      <c r="E418" s="37">
        <f>'Input Sheet'!I417</f>
        <v>0</v>
      </c>
      <c r="F418" s="29">
        <f>('Input Sheet'!C417)/100</f>
        <v>0</v>
      </c>
      <c r="G418" s="29">
        <f>('Input Sheet'!F417)/100</f>
        <v>0</v>
      </c>
      <c r="H418" s="27">
        <f t="shared" si="66"/>
        <v>0</v>
      </c>
      <c r="I418" s="27">
        <f t="shared" si="60"/>
        <v>0</v>
      </c>
      <c r="J418" s="27">
        <f t="shared" si="61"/>
        <v>0</v>
      </c>
      <c r="K418" s="27">
        <f t="shared" si="62"/>
        <v>0</v>
      </c>
      <c r="L418" s="27">
        <f t="shared" si="63"/>
        <v>0</v>
      </c>
      <c r="M418" s="32" t="str">
        <f>'Input Sheet'!E417</f>
        <v/>
      </c>
      <c r="N418" s="32">
        <f t="shared" si="64"/>
        <v>0</v>
      </c>
      <c r="T418" s="32">
        <f t="shared" si="67"/>
        <v>0</v>
      </c>
      <c r="U418" s="32">
        <f t="shared" si="67"/>
        <v>0</v>
      </c>
      <c r="V418" s="32">
        <f t="shared" si="67"/>
        <v>0</v>
      </c>
      <c r="W418" s="32">
        <f t="shared" si="67"/>
        <v>0</v>
      </c>
      <c r="X418" s="32">
        <f t="shared" si="67"/>
        <v>0</v>
      </c>
    </row>
    <row r="419" spans="1:24" ht="16.5" customHeight="1" x14ac:dyDescent="0.25">
      <c r="A419" s="39" t="str">
        <f>'Long Sample Name'!A416</f>
        <v/>
      </c>
      <c r="B419" s="25" t="str">
        <f ca="1">'Input Sheet'!L418</f>
        <v/>
      </c>
      <c r="C419" s="26" t="str">
        <f ca="1">'Input Sheet'!M418</f>
        <v/>
      </c>
      <c r="D419" s="40">
        <f>'Input Sheet'!B418</f>
        <v>0</v>
      </c>
      <c r="E419" s="37">
        <f>'Input Sheet'!I418</f>
        <v>0</v>
      </c>
      <c r="F419" s="29">
        <f>('Input Sheet'!C418)/100</f>
        <v>0</v>
      </c>
      <c r="G419" s="29">
        <f>('Input Sheet'!F418)/100</f>
        <v>0</v>
      </c>
      <c r="H419" s="27">
        <f t="shared" si="66"/>
        <v>0</v>
      </c>
      <c r="I419" s="27">
        <f t="shared" si="60"/>
        <v>0</v>
      </c>
      <c r="J419" s="27">
        <f t="shared" si="61"/>
        <v>0</v>
      </c>
      <c r="K419" s="27">
        <f t="shared" si="62"/>
        <v>0</v>
      </c>
      <c r="L419" s="27">
        <f t="shared" si="63"/>
        <v>0</v>
      </c>
      <c r="M419" s="32" t="str">
        <f>'Input Sheet'!E418</f>
        <v/>
      </c>
      <c r="N419" s="32">
        <f t="shared" si="64"/>
        <v>0</v>
      </c>
      <c r="T419" s="32">
        <f t="shared" si="67"/>
        <v>0</v>
      </c>
      <c r="U419" s="32">
        <f t="shared" si="67"/>
        <v>0</v>
      </c>
      <c r="V419" s="32">
        <f t="shared" si="67"/>
        <v>0</v>
      </c>
      <c r="W419" s="32">
        <f t="shared" si="67"/>
        <v>0</v>
      </c>
      <c r="X419" s="32">
        <f t="shared" si="67"/>
        <v>0</v>
      </c>
    </row>
    <row r="420" spans="1:24" ht="16.5" customHeight="1" x14ac:dyDescent="0.25">
      <c r="A420" s="39" t="str">
        <f>'Long Sample Name'!A417</f>
        <v/>
      </c>
      <c r="B420" s="25" t="str">
        <f ca="1">'Input Sheet'!L419</f>
        <v/>
      </c>
      <c r="C420" s="26" t="str">
        <f ca="1">'Input Sheet'!M419</f>
        <v/>
      </c>
      <c r="D420" s="40">
        <f>'Input Sheet'!B419</f>
        <v>0</v>
      </c>
      <c r="E420" s="37">
        <f>'Input Sheet'!I419</f>
        <v>0</v>
      </c>
      <c r="F420" s="29">
        <f>('Input Sheet'!C419)/100</f>
        <v>0</v>
      </c>
      <c r="G420" s="29">
        <f>('Input Sheet'!F419)/100</f>
        <v>0</v>
      </c>
      <c r="H420" s="27">
        <f t="shared" si="66"/>
        <v>0</v>
      </c>
      <c r="I420" s="27">
        <f t="shared" si="60"/>
        <v>0</v>
      </c>
      <c r="J420" s="27">
        <f t="shared" si="61"/>
        <v>0</v>
      </c>
      <c r="K420" s="27">
        <f t="shared" si="62"/>
        <v>0</v>
      </c>
      <c r="L420" s="27">
        <f t="shared" si="63"/>
        <v>0</v>
      </c>
      <c r="M420" s="32" t="str">
        <f>'Input Sheet'!E419</f>
        <v/>
      </c>
      <c r="N420" s="32">
        <f t="shared" si="64"/>
        <v>0</v>
      </c>
      <c r="T420" s="32">
        <f t="shared" si="67"/>
        <v>0</v>
      </c>
      <c r="U420" s="32">
        <f t="shared" si="67"/>
        <v>0</v>
      </c>
      <c r="V420" s="32">
        <f t="shared" si="67"/>
        <v>0</v>
      </c>
      <c r="W420" s="32">
        <f t="shared" si="67"/>
        <v>0</v>
      </c>
      <c r="X420" s="32">
        <f t="shared" si="67"/>
        <v>0</v>
      </c>
    </row>
    <row r="421" spans="1:24" ht="16.5" customHeight="1" x14ac:dyDescent="0.25">
      <c r="A421" s="39" t="str">
        <f>'Long Sample Name'!A418</f>
        <v/>
      </c>
      <c r="B421" s="25" t="str">
        <f ca="1">'Input Sheet'!L420</f>
        <v/>
      </c>
      <c r="C421" s="26" t="str">
        <f ca="1">'Input Sheet'!M420</f>
        <v/>
      </c>
      <c r="D421" s="40">
        <f>'Input Sheet'!B420</f>
        <v>0</v>
      </c>
      <c r="E421" s="37">
        <f>'Input Sheet'!I420</f>
        <v>0</v>
      </c>
      <c r="F421" s="29">
        <f>('Input Sheet'!C420)/100</f>
        <v>0</v>
      </c>
      <c r="G421" s="29">
        <f>('Input Sheet'!F420)/100</f>
        <v>0</v>
      </c>
      <c r="H421" s="27">
        <f t="shared" si="66"/>
        <v>0</v>
      </c>
      <c r="I421" s="27">
        <f t="shared" si="60"/>
        <v>0</v>
      </c>
      <c r="J421" s="27">
        <f t="shared" si="61"/>
        <v>0</v>
      </c>
      <c r="K421" s="27">
        <f t="shared" si="62"/>
        <v>0</v>
      </c>
      <c r="L421" s="27">
        <f t="shared" si="63"/>
        <v>0</v>
      </c>
      <c r="M421" s="32" t="str">
        <f>'Input Sheet'!E420</f>
        <v/>
      </c>
      <c r="N421" s="32">
        <f t="shared" si="64"/>
        <v>0</v>
      </c>
      <c r="T421" s="32">
        <f t="shared" ref="T421:X436" si="68">IF($M421=T$1,$H421,0)</f>
        <v>0</v>
      </c>
      <c r="U421" s="32">
        <f t="shared" si="68"/>
        <v>0</v>
      </c>
      <c r="V421" s="32">
        <f t="shared" si="68"/>
        <v>0</v>
      </c>
      <c r="W421" s="32">
        <f t="shared" si="68"/>
        <v>0</v>
      </c>
      <c r="X421" s="32">
        <f t="shared" si="68"/>
        <v>0</v>
      </c>
    </row>
    <row r="422" spans="1:24" ht="16.5" customHeight="1" x14ac:dyDescent="0.25">
      <c r="A422" s="39" t="str">
        <f>'Long Sample Name'!A419</f>
        <v/>
      </c>
      <c r="B422" s="25" t="str">
        <f ca="1">'Input Sheet'!L421</f>
        <v/>
      </c>
      <c r="C422" s="26" t="str">
        <f ca="1">'Input Sheet'!M421</f>
        <v/>
      </c>
      <c r="D422" s="40">
        <f>'Input Sheet'!B421</f>
        <v>0</v>
      </c>
      <c r="E422" s="37">
        <f>'Input Sheet'!I421</f>
        <v>0</v>
      </c>
      <c r="F422" s="29">
        <f>('Input Sheet'!C421)/100</f>
        <v>0</v>
      </c>
      <c r="G422" s="29">
        <f>('Input Sheet'!F421)/100</f>
        <v>0</v>
      </c>
      <c r="H422" s="27">
        <f t="shared" si="66"/>
        <v>0</v>
      </c>
      <c r="I422" s="27">
        <f t="shared" si="60"/>
        <v>0</v>
      </c>
      <c r="J422" s="27">
        <f t="shared" si="61"/>
        <v>0</v>
      </c>
      <c r="K422" s="27">
        <f t="shared" si="62"/>
        <v>0</v>
      </c>
      <c r="L422" s="27">
        <f t="shared" si="63"/>
        <v>0</v>
      </c>
      <c r="M422" s="32" t="str">
        <f>'Input Sheet'!E421</f>
        <v/>
      </c>
      <c r="N422" s="32">
        <f t="shared" si="64"/>
        <v>0</v>
      </c>
      <c r="T422" s="32">
        <f t="shared" si="68"/>
        <v>0</v>
      </c>
      <c r="U422" s="32">
        <f t="shared" si="68"/>
        <v>0</v>
      </c>
      <c r="V422" s="32">
        <f t="shared" si="68"/>
        <v>0</v>
      </c>
      <c r="W422" s="32">
        <f t="shared" si="68"/>
        <v>0</v>
      </c>
      <c r="X422" s="32">
        <f t="shared" si="68"/>
        <v>0</v>
      </c>
    </row>
    <row r="423" spans="1:24" ht="16.5" customHeight="1" x14ac:dyDescent="0.25">
      <c r="A423" s="39" t="str">
        <f>'Long Sample Name'!A420</f>
        <v/>
      </c>
      <c r="B423" s="25" t="str">
        <f ca="1">'Input Sheet'!L422</f>
        <v/>
      </c>
      <c r="C423" s="26" t="str">
        <f ca="1">'Input Sheet'!M422</f>
        <v/>
      </c>
      <c r="D423" s="40">
        <f>'Input Sheet'!B422</f>
        <v>0</v>
      </c>
      <c r="E423" s="37">
        <f>'Input Sheet'!I422</f>
        <v>0</v>
      </c>
      <c r="F423" s="29">
        <f>('Input Sheet'!C422)/100</f>
        <v>0</v>
      </c>
      <c r="G423" s="29">
        <f>('Input Sheet'!F422)/100</f>
        <v>0</v>
      </c>
      <c r="H423" s="27">
        <f t="shared" si="66"/>
        <v>0</v>
      </c>
      <c r="I423" s="27">
        <f t="shared" si="60"/>
        <v>0</v>
      </c>
      <c r="J423" s="27">
        <f t="shared" si="61"/>
        <v>0</v>
      </c>
      <c r="K423" s="27">
        <f t="shared" si="62"/>
        <v>0</v>
      </c>
      <c r="L423" s="27">
        <f t="shared" si="63"/>
        <v>0</v>
      </c>
      <c r="M423" s="32" t="str">
        <f>'Input Sheet'!E422</f>
        <v/>
      </c>
      <c r="N423" s="32">
        <f t="shared" si="64"/>
        <v>0</v>
      </c>
      <c r="T423" s="32">
        <f t="shared" si="68"/>
        <v>0</v>
      </c>
      <c r="U423" s="32">
        <f t="shared" si="68"/>
        <v>0</v>
      </c>
      <c r="V423" s="32">
        <f t="shared" si="68"/>
        <v>0</v>
      </c>
      <c r="W423" s="32">
        <f t="shared" si="68"/>
        <v>0</v>
      </c>
      <c r="X423" s="32">
        <f t="shared" si="68"/>
        <v>0</v>
      </c>
    </row>
    <row r="424" spans="1:24" ht="16.5" customHeight="1" x14ac:dyDescent="0.25">
      <c r="A424" s="39" t="str">
        <f>'Long Sample Name'!A421</f>
        <v/>
      </c>
      <c r="B424" s="25" t="str">
        <f ca="1">'Input Sheet'!L423</f>
        <v/>
      </c>
      <c r="C424" s="26" t="str">
        <f ca="1">'Input Sheet'!M423</f>
        <v/>
      </c>
      <c r="D424" s="40">
        <f>'Input Sheet'!B423</f>
        <v>0</v>
      </c>
      <c r="E424" s="37">
        <f>'Input Sheet'!I423</f>
        <v>0</v>
      </c>
      <c r="F424" s="29">
        <f>('Input Sheet'!C423)/100</f>
        <v>0</v>
      </c>
      <c r="G424" s="29">
        <f>('Input Sheet'!F423)/100</f>
        <v>0</v>
      </c>
      <c r="H424" s="27">
        <f t="shared" si="66"/>
        <v>0</v>
      </c>
      <c r="I424" s="27">
        <f t="shared" si="60"/>
        <v>0</v>
      </c>
      <c r="J424" s="27">
        <f t="shared" si="61"/>
        <v>0</v>
      </c>
      <c r="K424" s="27">
        <f t="shared" si="62"/>
        <v>0</v>
      </c>
      <c r="L424" s="27">
        <f t="shared" si="63"/>
        <v>0</v>
      </c>
      <c r="M424" s="32" t="str">
        <f>'Input Sheet'!E423</f>
        <v/>
      </c>
      <c r="N424" s="32">
        <f t="shared" si="64"/>
        <v>0</v>
      </c>
      <c r="T424" s="32">
        <f t="shared" si="68"/>
        <v>0</v>
      </c>
      <c r="U424" s="32">
        <f t="shared" si="68"/>
        <v>0</v>
      </c>
      <c r="V424" s="32">
        <f t="shared" si="68"/>
        <v>0</v>
      </c>
      <c r="W424" s="32">
        <f t="shared" si="68"/>
        <v>0</v>
      </c>
      <c r="X424" s="32">
        <f t="shared" si="68"/>
        <v>0</v>
      </c>
    </row>
    <row r="425" spans="1:24" ht="16.5" customHeight="1" x14ac:dyDescent="0.25">
      <c r="A425" s="39" t="str">
        <f>'Long Sample Name'!A422</f>
        <v/>
      </c>
      <c r="B425" s="25" t="str">
        <f ca="1">'Input Sheet'!L424</f>
        <v/>
      </c>
      <c r="C425" s="26" t="str">
        <f ca="1">'Input Sheet'!M424</f>
        <v/>
      </c>
      <c r="D425" s="40">
        <f>'Input Sheet'!B424</f>
        <v>0</v>
      </c>
      <c r="E425" s="37">
        <f>'Input Sheet'!I424</f>
        <v>0</v>
      </c>
      <c r="F425" s="29">
        <f>('Input Sheet'!C424)/100</f>
        <v>0</v>
      </c>
      <c r="G425" s="29">
        <f>('Input Sheet'!F424)/100</f>
        <v>0</v>
      </c>
      <c r="H425" s="27">
        <f t="shared" si="66"/>
        <v>0</v>
      </c>
      <c r="I425" s="27">
        <f t="shared" si="60"/>
        <v>0</v>
      </c>
      <c r="J425" s="27">
        <f t="shared" si="61"/>
        <v>0</v>
      </c>
      <c r="K425" s="27">
        <f t="shared" si="62"/>
        <v>0</v>
      </c>
      <c r="L425" s="27">
        <f t="shared" si="63"/>
        <v>0</v>
      </c>
      <c r="M425" s="32" t="str">
        <f>'Input Sheet'!E424</f>
        <v/>
      </c>
      <c r="N425" s="32">
        <f t="shared" si="64"/>
        <v>0</v>
      </c>
      <c r="T425" s="32">
        <f t="shared" si="68"/>
        <v>0</v>
      </c>
      <c r="U425" s="32">
        <f t="shared" si="68"/>
        <v>0</v>
      </c>
      <c r="V425" s="32">
        <f t="shared" si="68"/>
        <v>0</v>
      </c>
      <c r="W425" s="32">
        <f t="shared" si="68"/>
        <v>0</v>
      </c>
      <c r="X425" s="32">
        <f t="shared" si="68"/>
        <v>0</v>
      </c>
    </row>
    <row r="426" spans="1:24" ht="16.5" customHeight="1" x14ac:dyDescent="0.25">
      <c r="A426" s="39" t="str">
        <f>'Long Sample Name'!A423</f>
        <v/>
      </c>
      <c r="B426" s="25" t="str">
        <f ca="1">'Input Sheet'!L425</f>
        <v/>
      </c>
      <c r="C426" s="26" t="str">
        <f ca="1">'Input Sheet'!M425</f>
        <v/>
      </c>
      <c r="D426" s="40">
        <f>'Input Sheet'!B425</f>
        <v>0</v>
      </c>
      <c r="E426" s="37">
        <f>'Input Sheet'!I425</f>
        <v>0</v>
      </c>
      <c r="F426" s="29">
        <f>('Input Sheet'!C425)/100</f>
        <v>0</v>
      </c>
      <c r="G426" s="29">
        <f>('Input Sheet'!F425)/100</f>
        <v>0</v>
      </c>
      <c r="H426" s="27">
        <f t="shared" si="66"/>
        <v>0</v>
      </c>
      <c r="I426" s="27">
        <f t="shared" si="60"/>
        <v>0</v>
      </c>
      <c r="J426" s="27">
        <f t="shared" si="61"/>
        <v>0</v>
      </c>
      <c r="K426" s="27">
        <f t="shared" si="62"/>
        <v>0</v>
      </c>
      <c r="L426" s="27">
        <f t="shared" si="63"/>
        <v>0</v>
      </c>
      <c r="M426" s="32" t="str">
        <f>'Input Sheet'!E425</f>
        <v/>
      </c>
      <c r="N426" s="32">
        <f t="shared" si="64"/>
        <v>0</v>
      </c>
      <c r="T426" s="32">
        <f t="shared" si="68"/>
        <v>0</v>
      </c>
      <c r="U426" s="32">
        <f t="shared" si="68"/>
        <v>0</v>
      </c>
      <c r="V426" s="32">
        <f t="shared" si="68"/>
        <v>0</v>
      </c>
      <c r="W426" s="32">
        <f t="shared" si="68"/>
        <v>0</v>
      </c>
      <c r="X426" s="32">
        <f t="shared" si="68"/>
        <v>0</v>
      </c>
    </row>
    <row r="427" spans="1:24" ht="16.5" customHeight="1" x14ac:dyDescent="0.25">
      <c r="A427" s="39" t="str">
        <f>'Long Sample Name'!A424</f>
        <v/>
      </c>
      <c r="B427" s="25" t="str">
        <f ca="1">'Input Sheet'!L426</f>
        <v/>
      </c>
      <c r="C427" s="26" t="str">
        <f ca="1">'Input Sheet'!M426</f>
        <v/>
      </c>
      <c r="D427" s="40">
        <f>'Input Sheet'!B426</f>
        <v>0</v>
      </c>
      <c r="E427" s="37">
        <f>'Input Sheet'!I426</f>
        <v>0</v>
      </c>
      <c r="F427" s="29">
        <f>('Input Sheet'!C426)/100</f>
        <v>0</v>
      </c>
      <c r="G427" s="29">
        <f>('Input Sheet'!F426)/100</f>
        <v>0</v>
      </c>
      <c r="H427" s="27">
        <f t="shared" si="66"/>
        <v>0</v>
      </c>
      <c r="I427" s="27">
        <f t="shared" si="60"/>
        <v>0</v>
      </c>
      <c r="J427" s="27">
        <f t="shared" si="61"/>
        <v>0</v>
      </c>
      <c r="K427" s="27">
        <f t="shared" si="62"/>
        <v>0</v>
      </c>
      <c r="L427" s="27">
        <f t="shared" si="63"/>
        <v>0</v>
      </c>
      <c r="M427" s="32" t="str">
        <f>'Input Sheet'!E426</f>
        <v/>
      </c>
      <c r="N427" s="32">
        <f t="shared" si="64"/>
        <v>0</v>
      </c>
      <c r="T427" s="32">
        <f t="shared" si="68"/>
        <v>0</v>
      </c>
      <c r="U427" s="32">
        <f t="shared" si="68"/>
        <v>0</v>
      </c>
      <c r="V427" s="32">
        <f t="shared" si="68"/>
        <v>0</v>
      </c>
      <c r="W427" s="32">
        <f t="shared" si="68"/>
        <v>0</v>
      </c>
      <c r="X427" s="32">
        <f t="shared" si="68"/>
        <v>0</v>
      </c>
    </row>
    <row r="428" spans="1:24" ht="16.5" customHeight="1" x14ac:dyDescent="0.25">
      <c r="A428" s="39" t="str">
        <f>'Long Sample Name'!A425</f>
        <v/>
      </c>
      <c r="B428" s="25" t="str">
        <f ca="1">'Input Sheet'!L427</f>
        <v/>
      </c>
      <c r="C428" s="26" t="str">
        <f ca="1">'Input Sheet'!M427</f>
        <v/>
      </c>
      <c r="D428" s="40">
        <f>'Input Sheet'!B427</f>
        <v>0</v>
      </c>
      <c r="E428" s="37">
        <f>'Input Sheet'!I427</f>
        <v>0</v>
      </c>
      <c r="F428" s="29">
        <f>('Input Sheet'!C427)/100</f>
        <v>0</v>
      </c>
      <c r="G428" s="29">
        <f>('Input Sheet'!F427)/100</f>
        <v>0</v>
      </c>
      <c r="H428" s="27">
        <f t="shared" si="66"/>
        <v>0</v>
      </c>
      <c r="I428" s="27">
        <f t="shared" si="60"/>
        <v>0</v>
      </c>
      <c r="J428" s="27">
        <f t="shared" si="61"/>
        <v>0</v>
      </c>
      <c r="K428" s="27">
        <f t="shared" si="62"/>
        <v>0</v>
      </c>
      <c r="L428" s="27">
        <f t="shared" si="63"/>
        <v>0</v>
      </c>
      <c r="M428" s="32" t="str">
        <f>'Input Sheet'!E427</f>
        <v/>
      </c>
      <c r="N428" s="32">
        <f t="shared" si="64"/>
        <v>0</v>
      </c>
      <c r="T428" s="32">
        <f t="shared" si="68"/>
        <v>0</v>
      </c>
      <c r="U428" s="32">
        <f t="shared" si="68"/>
        <v>0</v>
      </c>
      <c r="V428" s="32">
        <f t="shared" si="68"/>
        <v>0</v>
      </c>
      <c r="W428" s="32">
        <f t="shared" si="68"/>
        <v>0</v>
      </c>
      <c r="X428" s="32">
        <f t="shared" si="68"/>
        <v>0</v>
      </c>
    </row>
    <row r="429" spans="1:24" ht="16.5" customHeight="1" x14ac:dyDescent="0.25">
      <c r="A429" s="39" t="str">
        <f>'Long Sample Name'!A426</f>
        <v/>
      </c>
      <c r="B429" s="25" t="str">
        <f ca="1">'Input Sheet'!L428</f>
        <v/>
      </c>
      <c r="C429" s="26" t="str">
        <f ca="1">'Input Sheet'!M428</f>
        <v/>
      </c>
      <c r="D429" s="40">
        <f>'Input Sheet'!B428</f>
        <v>0</v>
      </c>
      <c r="E429" s="37">
        <f>'Input Sheet'!I428</f>
        <v>0</v>
      </c>
      <c r="F429" s="29">
        <f>('Input Sheet'!C428)/100</f>
        <v>0</v>
      </c>
      <c r="G429" s="29">
        <f>('Input Sheet'!F428)/100</f>
        <v>0</v>
      </c>
      <c r="H429" s="27">
        <f t="shared" si="66"/>
        <v>0</v>
      </c>
      <c r="I429" s="27">
        <f t="shared" si="60"/>
        <v>0</v>
      </c>
      <c r="J429" s="27">
        <f t="shared" si="61"/>
        <v>0</v>
      </c>
      <c r="K429" s="27">
        <f t="shared" si="62"/>
        <v>0</v>
      </c>
      <c r="L429" s="27">
        <f t="shared" si="63"/>
        <v>0</v>
      </c>
      <c r="M429" s="32" t="str">
        <f>'Input Sheet'!E428</f>
        <v/>
      </c>
      <c r="N429" s="32">
        <f t="shared" si="64"/>
        <v>0</v>
      </c>
      <c r="T429" s="32">
        <f t="shared" si="68"/>
        <v>0</v>
      </c>
      <c r="U429" s="32">
        <f t="shared" si="68"/>
        <v>0</v>
      </c>
      <c r="V429" s="32">
        <f t="shared" si="68"/>
        <v>0</v>
      </c>
      <c r="W429" s="32">
        <f t="shared" si="68"/>
        <v>0</v>
      </c>
      <c r="X429" s="32">
        <f t="shared" si="68"/>
        <v>0</v>
      </c>
    </row>
    <row r="430" spans="1:24" ht="16.5" customHeight="1" x14ac:dyDescent="0.25">
      <c r="A430" s="39" t="str">
        <f>'Long Sample Name'!A427</f>
        <v/>
      </c>
      <c r="B430" s="25" t="str">
        <f ca="1">'Input Sheet'!L429</f>
        <v/>
      </c>
      <c r="C430" s="26" t="str">
        <f ca="1">'Input Sheet'!M429</f>
        <v/>
      </c>
      <c r="D430" s="40">
        <f>'Input Sheet'!B429</f>
        <v>0</v>
      </c>
      <c r="E430" s="37">
        <f>'Input Sheet'!I429</f>
        <v>0</v>
      </c>
      <c r="F430" s="29">
        <f>('Input Sheet'!C429)/100</f>
        <v>0</v>
      </c>
      <c r="G430" s="29">
        <f>('Input Sheet'!F429)/100</f>
        <v>0</v>
      </c>
      <c r="H430" s="27">
        <f t="shared" si="66"/>
        <v>0</v>
      </c>
      <c r="I430" s="27">
        <f t="shared" si="60"/>
        <v>0</v>
      </c>
      <c r="J430" s="27">
        <f t="shared" si="61"/>
        <v>0</v>
      </c>
      <c r="K430" s="27">
        <f t="shared" si="62"/>
        <v>0</v>
      </c>
      <c r="L430" s="27">
        <f t="shared" si="63"/>
        <v>0</v>
      </c>
      <c r="M430" s="32" t="str">
        <f>'Input Sheet'!E429</f>
        <v/>
      </c>
      <c r="N430" s="32">
        <f t="shared" si="64"/>
        <v>0</v>
      </c>
      <c r="T430" s="32">
        <f t="shared" si="68"/>
        <v>0</v>
      </c>
      <c r="U430" s="32">
        <f t="shared" si="68"/>
        <v>0</v>
      </c>
      <c r="V430" s="32">
        <f t="shared" si="68"/>
        <v>0</v>
      </c>
      <c r="W430" s="32">
        <f t="shared" si="68"/>
        <v>0</v>
      </c>
      <c r="X430" s="32">
        <f t="shared" si="68"/>
        <v>0</v>
      </c>
    </row>
    <row r="431" spans="1:24" ht="16.5" customHeight="1" x14ac:dyDescent="0.25">
      <c r="A431" s="39" t="str">
        <f>'Long Sample Name'!A428</f>
        <v/>
      </c>
      <c r="B431" s="25" t="str">
        <f ca="1">'Input Sheet'!L430</f>
        <v/>
      </c>
      <c r="C431" s="26" t="str">
        <f ca="1">'Input Sheet'!M430</f>
        <v/>
      </c>
      <c r="D431" s="40">
        <f>'Input Sheet'!B430</f>
        <v>0</v>
      </c>
      <c r="E431" s="37">
        <f>'Input Sheet'!I430</f>
        <v>0</v>
      </c>
      <c r="F431" s="29">
        <f>('Input Sheet'!C430)/100</f>
        <v>0</v>
      </c>
      <c r="G431" s="29">
        <f>('Input Sheet'!F430)/100</f>
        <v>0</v>
      </c>
      <c r="H431" s="27">
        <f t="shared" si="66"/>
        <v>0</v>
      </c>
      <c r="I431" s="27">
        <f t="shared" si="60"/>
        <v>0</v>
      </c>
      <c r="J431" s="27">
        <f t="shared" si="61"/>
        <v>0</v>
      </c>
      <c r="K431" s="27">
        <f t="shared" si="62"/>
        <v>0</v>
      </c>
      <c r="L431" s="27">
        <f t="shared" si="63"/>
        <v>0</v>
      </c>
      <c r="M431" s="32" t="str">
        <f>'Input Sheet'!E430</f>
        <v/>
      </c>
      <c r="N431" s="32">
        <f t="shared" si="64"/>
        <v>0</v>
      </c>
      <c r="T431" s="32">
        <f t="shared" si="68"/>
        <v>0</v>
      </c>
      <c r="U431" s="32">
        <f t="shared" si="68"/>
        <v>0</v>
      </c>
      <c r="V431" s="32">
        <f t="shared" si="68"/>
        <v>0</v>
      </c>
      <c r="W431" s="32">
        <f t="shared" si="68"/>
        <v>0</v>
      </c>
      <c r="X431" s="32">
        <f t="shared" si="68"/>
        <v>0</v>
      </c>
    </row>
    <row r="432" spans="1:24" ht="16.5" customHeight="1" x14ac:dyDescent="0.25">
      <c r="A432" s="39" t="str">
        <f>'Long Sample Name'!A429</f>
        <v/>
      </c>
      <c r="B432" s="25" t="str">
        <f ca="1">'Input Sheet'!L431</f>
        <v/>
      </c>
      <c r="C432" s="26" t="str">
        <f ca="1">'Input Sheet'!M431</f>
        <v/>
      </c>
      <c r="D432" s="40">
        <f>'Input Sheet'!B431</f>
        <v>0</v>
      </c>
      <c r="E432" s="37">
        <f>'Input Sheet'!I431</f>
        <v>0</v>
      </c>
      <c r="F432" s="29">
        <f>('Input Sheet'!C431)/100</f>
        <v>0</v>
      </c>
      <c r="G432" s="29">
        <f>('Input Sheet'!F431)/100</f>
        <v>0</v>
      </c>
      <c r="H432" s="27">
        <f t="shared" si="66"/>
        <v>0</v>
      </c>
      <c r="I432" s="27">
        <f t="shared" si="60"/>
        <v>0</v>
      </c>
      <c r="J432" s="27">
        <f t="shared" si="61"/>
        <v>0</v>
      </c>
      <c r="K432" s="27">
        <f t="shared" si="62"/>
        <v>0</v>
      </c>
      <c r="L432" s="27">
        <f t="shared" si="63"/>
        <v>0</v>
      </c>
      <c r="M432" s="32" t="str">
        <f>'Input Sheet'!E431</f>
        <v/>
      </c>
      <c r="N432" s="32">
        <f t="shared" si="64"/>
        <v>0</v>
      </c>
      <c r="T432" s="32">
        <f t="shared" si="68"/>
        <v>0</v>
      </c>
      <c r="U432" s="32">
        <f t="shared" si="68"/>
        <v>0</v>
      </c>
      <c r="V432" s="32">
        <f t="shared" si="68"/>
        <v>0</v>
      </c>
      <c r="W432" s="32">
        <f t="shared" si="68"/>
        <v>0</v>
      </c>
      <c r="X432" s="32">
        <f t="shared" si="68"/>
        <v>0</v>
      </c>
    </row>
    <row r="433" spans="1:24" ht="16.5" customHeight="1" x14ac:dyDescent="0.25">
      <c r="A433" s="39" t="str">
        <f>'Long Sample Name'!A430</f>
        <v/>
      </c>
      <c r="B433" s="25" t="str">
        <f ca="1">'Input Sheet'!L432</f>
        <v/>
      </c>
      <c r="C433" s="26" t="str">
        <f ca="1">'Input Sheet'!M432</f>
        <v/>
      </c>
      <c r="D433" s="40">
        <f>'Input Sheet'!B432</f>
        <v>0</v>
      </c>
      <c r="E433" s="37">
        <f>'Input Sheet'!I432</f>
        <v>0</v>
      </c>
      <c r="F433" s="29">
        <f>('Input Sheet'!C432)/100</f>
        <v>0</v>
      </c>
      <c r="G433" s="29">
        <f>('Input Sheet'!F432)/100</f>
        <v>0</v>
      </c>
      <c r="H433" s="27">
        <f t="shared" si="66"/>
        <v>0</v>
      </c>
      <c r="I433" s="27">
        <f t="shared" si="60"/>
        <v>0</v>
      </c>
      <c r="J433" s="27">
        <f t="shared" si="61"/>
        <v>0</v>
      </c>
      <c r="K433" s="27">
        <f t="shared" si="62"/>
        <v>0</v>
      </c>
      <c r="L433" s="27">
        <f t="shared" si="63"/>
        <v>0</v>
      </c>
      <c r="M433" s="32" t="str">
        <f>'Input Sheet'!E432</f>
        <v/>
      </c>
      <c r="N433" s="32">
        <f t="shared" si="64"/>
        <v>0</v>
      </c>
      <c r="T433" s="32">
        <f t="shared" si="68"/>
        <v>0</v>
      </c>
      <c r="U433" s="32">
        <f t="shared" si="68"/>
        <v>0</v>
      </c>
      <c r="V433" s="32">
        <f t="shared" si="68"/>
        <v>0</v>
      </c>
      <c r="W433" s="32">
        <f t="shared" si="68"/>
        <v>0</v>
      </c>
      <c r="X433" s="32">
        <f t="shared" si="68"/>
        <v>0</v>
      </c>
    </row>
    <row r="434" spans="1:24" ht="16.5" customHeight="1" x14ac:dyDescent="0.25">
      <c r="A434" s="39" t="str">
        <f>'Long Sample Name'!A431</f>
        <v/>
      </c>
      <c r="B434" s="25" t="str">
        <f ca="1">'Input Sheet'!L433</f>
        <v/>
      </c>
      <c r="C434" s="26" t="str">
        <f ca="1">'Input Sheet'!M433</f>
        <v/>
      </c>
      <c r="D434" s="40">
        <f>'Input Sheet'!B433</f>
        <v>0</v>
      </c>
      <c r="E434" s="37">
        <f>'Input Sheet'!I433</f>
        <v>0</v>
      </c>
      <c r="F434" s="29">
        <f>('Input Sheet'!C433)/100</f>
        <v>0</v>
      </c>
      <c r="G434" s="29">
        <f>('Input Sheet'!F433)/100</f>
        <v>0</v>
      </c>
      <c r="H434" s="27">
        <f t="shared" si="66"/>
        <v>0</v>
      </c>
      <c r="I434" s="27">
        <f t="shared" si="60"/>
        <v>0</v>
      </c>
      <c r="J434" s="27">
        <f t="shared" si="61"/>
        <v>0</v>
      </c>
      <c r="K434" s="27">
        <f t="shared" si="62"/>
        <v>0</v>
      </c>
      <c r="L434" s="27">
        <f t="shared" si="63"/>
        <v>0</v>
      </c>
      <c r="M434" s="32" t="str">
        <f>'Input Sheet'!E433</f>
        <v/>
      </c>
      <c r="N434" s="32">
        <f t="shared" si="64"/>
        <v>0</v>
      </c>
      <c r="T434" s="32">
        <f t="shared" si="68"/>
        <v>0</v>
      </c>
      <c r="U434" s="32">
        <f t="shared" si="68"/>
        <v>0</v>
      </c>
      <c r="V434" s="32">
        <f t="shared" si="68"/>
        <v>0</v>
      </c>
      <c r="W434" s="32">
        <f t="shared" si="68"/>
        <v>0</v>
      </c>
      <c r="X434" s="32">
        <f t="shared" si="68"/>
        <v>0</v>
      </c>
    </row>
    <row r="435" spans="1:24" ht="16.5" customHeight="1" x14ac:dyDescent="0.25">
      <c r="A435" s="39" t="str">
        <f>'Long Sample Name'!A432</f>
        <v/>
      </c>
      <c r="B435" s="25" t="str">
        <f ca="1">'Input Sheet'!L434</f>
        <v/>
      </c>
      <c r="C435" s="26" t="str">
        <f ca="1">'Input Sheet'!M434</f>
        <v/>
      </c>
      <c r="D435" s="40">
        <f>'Input Sheet'!B434</f>
        <v>0</v>
      </c>
      <c r="E435" s="37">
        <f>'Input Sheet'!I434</f>
        <v>0</v>
      </c>
      <c r="F435" s="29">
        <f>('Input Sheet'!C434)/100</f>
        <v>0</v>
      </c>
      <c r="G435" s="29">
        <f>('Input Sheet'!F434)/100</f>
        <v>0</v>
      </c>
      <c r="H435" s="27">
        <f t="shared" si="66"/>
        <v>0</v>
      </c>
      <c r="I435" s="27">
        <f t="shared" si="60"/>
        <v>0</v>
      </c>
      <c r="J435" s="27">
        <f t="shared" si="61"/>
        <v>0</v>
      </c>
      <c r="K435" s="27">
        <f t="shared" si="62"/>
        <v>0</v>
      </c>
      <c r="L435" s="27">
        <f t="shared" si="63"/>
        <v>0</v>
      </c>
      <c r="M435" s="32" t="str">
        <f>'Input Sheet'!E434</f>
        <v/>
      </c>
      <c r="N435" s="32">
        <f t="shared" si="64"/>
        <v>0</v>
      </c>
      <c r="T435" s="32">
        <f t="shared" si="68"/>
        <v>0</v>
      </c>
      <c r="U435" s="32">
        <f t="shared" si="68"/>
        <v>0</v>
      </c>
      <c r="V435" s="32">
        <f t="shared" si="68"/>
        <v>0</v>
      </c>
      <c r="W435" s="32">
        <f t="shared" si="68"/>
        <v>0</v>
      </c>
      <c r="X435" s="32">
        <f t="shared" si="68"/>
        <v>0</v>
      </c>
    </row>
    <row r="436" spans="1:24" ht="16.5" customHeight="1" x14ac:dyDescent="0.25">
      <c r="A436" s="39" t="str">
        <f>'Long Sample Name'!A433</f>
        <v/>
      </c>
      <c r="B436" s="25" t="str">
        <f ca="1">'Input Sheet'!L435</f>
        <v/>
      </c>
      <c r="C436" s="26" t="str">
        <f ca="1">'Input Sheet'!M435</f>
        <v/>
      </c>
      <c r="D436" s="40">
        <f>'Input Sheet'!B435</f>
        <v>0</v>
      </c>
      <c r="E436" s="37">
        <f>'Input Sheet'!I435</f>
        <v>0</v>
      </c>
      <c r="F436" s="29">
        <f>('Input Sheet'!C435)/100</f>
        <v>0</v>
      </c>
      <c r="G436" s="29">
        <f>('Input Sheet'!F435)/100</f>
        <v>0</v>
      </c>
      <c r="H436" s="27">
        <f t="shared" si="66"/>
        <v>0</v>
      </c>
      <c r="I436" s="27">
        <f t="shared" si="60"/>
        <v>0</v>
      </c>
      <c r="J436" s="27">
        <f t="shared" si="61"/>
        <v>0</v>
      </c>
      <c r="K436" s="27">
        <f t="shared" si="62"/>
        <v>0</v>
      </c>
      <c r="L436" s="27">
        <f t="shared" si="63"/>
        <v>0</v>
      </c>
      <c r="M436" s="32" t="str">
        <f>'Input Sheet'!E435</f>
        <v/>
      </c>
      <c r="N436" s="32">
        <f t="shared" si="64"/>
        <v>0</v>
      </c>
      <c r="T436" s="32">
        <f t="shared" si="68"/>
        <v>0</v>
      </c>
      <c r="U436" s="32">
        <f t="shared" si="68"/>
        <v>0</v>
      </c>
      <c r="V436" s="32">
        <f t="shared" si="68"/>
        <v>0</v>
      </c>
      <c r="W436" s="32">
        <f t="shared" si="68"/>
        <v>0</v>
      </c>
      <c r="X436" s="32">
        <f t="shared" si="68"/>
        <v>0</v>
      </c>
    </row>
    <row r="437" spans="1:24" ht="16.5" customHeight="1" x14ac:dyDescent="0.25">
      <c r="A437" s="39" t="str">
        <f>'Long Sample Name'!A434</f>
        <v/>
      </c>
      <c r="B437" s="25" t="str">
        <f ca="1">'Input Sheet'!L436</f>
        <v/>
      </c>
      <c r="C437" s="26" t="str">
        <f ca="1">'Input Sheet'!M436</f>
        <v/>
      </c>
      <c r="D437" s="40">
        <f>'Input Sheet'!B436</f>
        <v>0</v>
      </c>
      <c r="E437" s="37">
        <f>'Input Sheet'!I436</f>
        <v>0</v>
      </c>
      <c r="F437" s="29">
        <f>('Input Sheet'!C436)/100</f>
        <v>0</v>
      </c>
      <c r="G437" s="29">
        <f>('Input Sheet'!F436)/100</f>
        <v>0</v>
      </c>
      <c r="H437" s="27">
        <f t="shared" si="66"/>
        <v>0</v>
      </c>
      <c r="I437" s="27">
        <f t="shared" si="60"/>
        <v>0</v>
      </c>
      <c r="J437" s="27">
        <f t="shared" si="61"/>
        <v>0</v>
      </c>
      <c r="K437" s="27">
        <f t="shared" si="62"/>
        <v>0</v>
      </c>
      <c r="L437" s="27">
        <f t="shared" si="63"/>
        <v>0</v>
      </c>
      <c r="M437" s="32" t="str">
        <f>'Input Sheet'!E436</f>
        <v/>
      </c>
      <c r="N437" s="32">
        <f t="shared" si="64"/>
        <v>0</v>
      </c>
      <c r="T437" s="32">
        <f t="shared" ref="T437:X439" si="69">IF($M437=T$1,$H437,0)</f>
        <v>0</v>
      </c>
      <c r="U437" s="32">
        <f t="shared" si="69"/>
        <v>0</v>
      </c>
      <c r="V437" s="32">
        <f t="shared" si="69"/>
        <v>0</v>
      </c>
      <c r="W437" s="32">
        <f t="shared" si="69"/>
        <v>0</v>
      </c>
      <c r="X437" s="32">
        <f t="shared" si="69"/>
        <v>0</v>
      </c>
    </row>
    <row r="438" spans="1:24" ht="16.5" customHeight="1" x14ac:dyDescent="0.25">
      <c r="A438" s="39" t="str">
        <f>'Long Sample Name'!A435</f>
        <v/>
      </c>
      <c r="B438" s="25" t="str">
        <f ca="1">'Input Sheet'!L437</f>
        <v/>
      </c>
      <c r="C438" s="26" t="str">
        <f ca="1">'Input Sheet'!M437</f>
        <v/>
      </c>
      <c r="D438" s="40">
        <f>'Input Sheet'!B437</f>
        <v>0</v>
      </c>
      <c r="E438" s="37">
        <f>'Input Sheet'!I437</f>
        <v>0</v>
      </c>
      <c r="F438" s="29">
        <f>('Input Sheet'!C437)/100</f>
        <v>0</v>
      </c>
      <c r="G438" s="29">
        <f>('Input Sheet'!F437)/100</f>
        <v>0</v>
      </c>
      <c r="H438" s="27">
        <f t="shared" si="66"/>
        <v>0</v>
      </c>
      <c r="I438" s="27">
        <f t="shared" si="60"/>
        <v>0</v>
      </c>
      <c r="J438" s="27">
        <f t="shared" si="61"/>
        <v>0</v>
      </c>
      <c r="K438" s="27">
        <f t="shared" si="62"/>
        <v>0</v>
      </c>
      <c r="L438" s="27">
        <f t="shared" si="63"/>
        <v>0</v>
      </c>
      <c r="M438" s="32" t="str">
        <f>'Input Sheet'!E437</f>
        <v/>
      </c>
      <c r="N438" s="32">
        <f t="shared" si="64"/>
        <v>0</v>
      </c>
      <c r="T438" s="32">
        <f t="shared" si="69"/>
        <v>0</v>
      </c>
      <c r="U438" s="32">
        <f t="shared" si="69"/>
        <v>0</v>
      </c>
      <c r="V438" s="32">
        <f t="shared" si="69"/>
        <v>0</v>
      </c>
      <c r="W438" s="32">
        <f t="shared" si="69"/>
        <v>0</v>
      </c>
      <c r="X438" s="32">
        <f t="shared" si="69"/>
        <v>0</v>
      </c>
    </row>
    <row r="439" spans="1:24" ht="16.5" customHeight="1" x14ac:dyDescent="0.25">
      <c r="A439" s="39" t="str">
        <f>'Long Sample Name'!A436</f>
        <v/>
      </c>
      <c r="B439" s="25" t="str">
        <f ca="1">'Input Sheet'!L438</f>
        <v/>
      </c>
      <c r="C439" s="26" t="str">
        <f ca="1">'Input Sheet'!M438</f>
        <v/>
      </c>
      <c r="D439" s="40">
        <f>'Input Sheet'!B438</f>
        <v>0</v>
      </c>
      <c r="E439" s="37">
        <f>'Input Sheet'!I438</f>
        <v>0</v>
      </c>
      <c r="F439" s="29">
        <f>('Input Sheet'!C438)/100</f>
        <v>0</v>
      </c>
      <c r="G439" s="29">
        <f>('Input Sheet'!F438)/100</f>
        <v>0</v>
      </c>
      <c r="H439" s="27">
        <f t="shared" si="66"/>
        <v>0</v>
      </c>
      <c r="I439" s="27">
        <f t="shared" si="60"/>
        <v>0</v>
      </c>
      <c r="J439" s="27">
        <f t="shared" si="61"/>
        <v>0</v>
      </c>
      <c r="K439" s="27">
        <f t="shared" si="62"/>
        <v>0</v>
      </c>
      <c r="L439" s="27">
        <f t="shared" si="63"/>
        <v>0</v>
      </c>
      <c r="M439" s="32" t="str">
        <f>'Input Sheet'!E438</f>
        <v/>
      </c>
      <c r="N439" s="32">
        <f t="shared" si="64"/>
        <v>0</v>
      </c>
      <c r="T439" s="32">
        <f t="shared" si="69"/>
        <v>0</v>
      </c>
      <c r="U439" s="32">
        <f t="shared" si="69"/>
        <v>0</v>
      </c>
      <c r="V439" s="32">
        <f t="shared" si="69"/>
        <v>0</v>
      </c>
      <c r="W439" s="32">
        <f t="shared" si="69"/>
        <v>0</v>
      </c>
      <c r="X439" s="32">
        <f t="shared" si="69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" xr:uid="{B107AFF6-0363-40AB-A325-A3967D5EC012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62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019068A-9273-4BD8-9A41-A39A11D4A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3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2026-06-21T22:11:00Z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