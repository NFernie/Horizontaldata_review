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os.sharepoint.com/sites/Dev-CoopOil/Shared Documents/Limestone Creek (Area)/McKinlay/Horizontal Well Sample Description Spreadsheets/"/>
    </mc:Choice>
  </mc:AlternateContent>
  <xr:revisionPtr revIDLastSave="30" documentId="8_{CDBFFFC5-D6EA-4B9C-83EF-FF21E3A330FD}" xr6:coauthVersionLast="47" xr6:coauthVersionMax="47" xr10:uidLastSave="{3EEE8E3C-4096-4A48-9A68-1ADFDEC97123}"/>
  <bookViews>
    <workbookView xWindow="25800" yWindow="0" windowWidth="25800" windowHeight="21000" activeTab="1" xr2:uid="{00000000-000D-0000-FFFF-FFFF00000000}"/>
  </bookViews>
  <sheets>
    <sheet name="Example Sheet" sheetId="16" r:id="rId1"/>
    <sheet name="Input Sheet" sheetId="14" r:id="rId2"/>
    <sheet name="Long Sample Name" sheetId="15" r:id="rId3"/>
    <sheet name="Calculations Sheet" sheetId="4" r:id="rId4"/>
    <sheet name="Lists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8" i="4" l="1"/>
  <c r="Y27" i="4"/>
  <c r="Y26" i="4"/>
  <c r="I3" i="4" l="1"/>
  <c r="Z2" i="4"/>
  <c r="L3" i="4"/>
  <c r="K3" i="4"/>
  <c r="J3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6" i="4"/>
  <c r="I7" i="4"/>
  <c r="E4" i="14" l="1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M59" i="4" s="1"/>
  <c r="E58" i="14"/>
  <c r="E59" i="14"/>
  <c r="M61" i="4" s="1"/>
  <c r="N61" i="4" s="1"/>
  <c r="E60" i="14"/>
  <c r="E61" i="14"/>
  <c r="M63" i="4" s="1"/>
  <c r="T63" i="4" s="1"/>
  <c r="E62" i="14"/>
  <c r="E63" i="14"/>
  <c r="E64" i="14"/>
  <c r="E65" i="14"/>
  <c r="M67" i="4" s="1"/>
  <c r="N67" i="4" s="1"/>
  <c r="E66" i="14"/>
  <c r="E67" i="14"/>
  <c r="M69" i="4" s="1"/>
  <c r="P69" i="4" s="1"/>
  <c r="E68" i="14"/>
  <c r="E69" i="14"/>
  <c r="M71" i="4" s="1"/>
  <c r="T71" i="4" s="1"/>
  <c r="E70" i="14"/>
  <c r="E71" i="14"/>
  <c r="E72" i="14"/>
  <c r="E73" i="14"/>
  <c r="M75" i="4" s="1"/>
  <c r="P75" i="4" s="1"/>
  <c r="E74" i="14"/>
  <c r="E75" i="14"/>
  <c r="M77" i="4" s="1"/>
  <c r="E76" i="14"/>
  <c r="E77" i="14"/>
  <c r="M79" i="4" s="1"/>
  <c r="T79" i="4" s="1"/>
  <c r="E78" i="14"/>
  <c r="E79" i="14"/>
  <c r="E80" i="14"/>
  <c r="E81" i="14"/>
  <c r="M83" i="4" s="1"/>
  <c r="N83" i="4" s="1"/>
  <c r="E82" i="14"/>
  <c r="E83" i="14"/>
  <c r="M85" i="4" s="1"/>
  <c r="P85" i="4" s="1"/>
  <c r="E84" i="14"/>
  <c r="E85" i="14"/>
  <c r="M87" i="4" s="1"/>
  <c r="T87" i="4" s="1"/>
  <c r="E86" i="14"/>
  <c r="E87" i="14"/>
  <c r="E88" i="14"/>
  <c r="E89" i="14"/>
  <c r="M91" i="4" s="1"/>
  <c r="N91" i="4" s="1"/>
  <c r="E90" i="14"/>
  <c r="E91" i="14"/>
  <c r="M93" i="4" s="1"/>
  <c r="T93" i="4" s="1"/>
  <c r="E92" i="14"/>
  <c r="E93" i="14"/>
  <c r="M95" i="4" s="1"/>
  <c r="E94" i="14"/>
  <c r="E95" i="14"/>
  <c r="E96" i="14"/>
  <c r="E97" i="14"/>
  <c r="M99" i="4" s="1"/>
  <c r="P99" i="4" s="1"/>
  <c r="E98" i="14"/>
  <c r="E99" i="14"/>
  <c r="M101" i="4" s="1"/>
  <c r="S101" i="4" s="1"/>
  <c r="E100" i="14"/>
  <c r="E101" i="14"/>
  <c r="M103" i="4" s="1"/>
  <c r="S103" i="4" s="1"/>
  <c r="E102" i="14"/>
  <c r="E103" i="14"/>
  <c r="E104" i="14"/>
  <c r="E105" i="14"/>
  <c r="M107" i="4" s="1"/>
  <c r="P107" i="4" s="1"/>
  <c r="E106" i="14"/>
  <c r="M108" i="4" s="1"/>
  <c r="Q108" i="4" s="1"/>
  <c r="E107" i="14"/>
  <c r="M109" i="4" s="1"/>
  <c r="N109" i="4" s="1"/>
  <c r="E108" i="14"/>
  <c r="E109" i="14"/>
  <c r="M111" i="4" s="1"/>
  <c r="E110" i="14"/>
  <c r="E111" i="14"/>
  <c r="E112" i="14"/>
  <c r="E113" i="14"/>
  <c r="M115" i="4" s="1"/>
  <c r="E114" i="14"/>
  <c r="M116" i="4" s="1"/>
  <c r="N116" i="4" s="1"/>
  <c r="E115" i="14"/>
  <c r="M117" i="4" s="1"/>
  <c r="S117" i="4" s="1"/>
  <c r="E116" i="14"/>
  <c r="E117" i="14"/>
  <c r="M119" i="4" s="1"/>
  <c r="P119" i="4" s="1"/>
  <c r="E118" i="14"/>
  <c r="E119" i="14"/>
  <c r="E120" i="14"/>
  <c r="E121" i="14"/>
  <c r="M123" i="4" s="1"/>
  <c r="Q123" i="4" s="1"/>
  <c r="E122" i="14"/>
  <c r="M124" i="4" s="1"/>
  <c r="E123" i="14"/>
  <c r="M125" i="4" s="1"/>
  <c r="E124" i="14"/>
  <c r="E125" i="14"/>
  <c r="M127" i="4" s="1"/>
  <c r="P127" i="4" s="1"/>
  <c r="E126" i="14"/>
  <c r="E127" i="14"/>
  <c r="E128" i="14"/>
  <c r="E129" i="14"/>
  <c r="M131" i="4" s="1"/>
  <c r="E130" i="14"/>
  <c r="M132" i="4" s="1"/>
  <c r="N132" i="4" s="1"/>
  <c r="E131" i="14"/>
  <c r="M133" i="4" s="1"/>
  <c r="T133" i="4" s="1"/>
  <c r="E132" i="14"/>
  <c r="E133" i="14"/>
  <c r="M135" i="4" s="1"/>
  <c r="P135" i="4" s="1"/>
  <c r="E134" i="14"/>
  <c r="E135" i="14"/>
  <c r="E136" i="14"/>
  <c r="M138" i="4" s="1"/>
  <c r="P138" i="4" s="1"/>
  <c r="E137" i="14"/>
  <c r="M139" i="4" s="1"/>
  <c r="Q139" i="4" s="1"/>
  <c r="E138" i="14"/>
  <c r="M140" i="4" s="1"/>
  <c r="N140" i="4" s="1"/>
  <c r="E139" i="14"/>
  <c r="M141" i="4" s="1"/>
  <c r="P141" i="4" s="1"/>
  <c r="E140" i="14"/>
  <c r="E141" i="14"/>
  <c r="M143" i="4" s="1"/>
  <c r="P143" i="4" s="1"/>
  <c r="E142" i="14"/>
  <c r="E143" i="14"/>
  <c r="E144" i="14"/>
  <c r="M146" i="4" s="1"/>
  <c r="P146" i="4" s="1"/>
  <c r="E145" i="14"/>
  <c r="M147" i="4" s="1"/>
  <c r="Q147" i="4" s="1"/>
  <c r="E146" i="14"/>
  <c r="M148" i="4" s="1"/>
  <c r="Q148" i="4" s="1"/>
  <c r="E147" i="14"/>
  <c r="M149" i="4" s="1"/>
  <c r="P149" i="4" s="1"/>
  <c r="E148" i="14"/>
  <c r="E149" i="14"/>
  <c r="M151" i="4" s="1"/>
  <c r="E150" i="14"/>
  <c r="E151" i="14"/>
  <c r="E152" i="14"/>
  <c r="M154" i="4" s="1"/>
  <c r="P154" i="4" s="1"/>
  <c r="E153" i="14"/>
  <c r="M155" i="4" s="1"/>
  <c r="T155" i="4" s="1"/>
  <c r="E154" i="14"/>
  <c r="E155" i="14"/>
  <c r="M157" i="4" s="1"/>
  <c r="E156" i="14"/>
  <c r="E157" i="14"/>
  <c r="M159" i="4" s="1"/>
  <c r="P159" i="4" s="1"/>
  <c r="E158" i="14"/>
  <c r="E159" i="14"/>
  <c r="E160" i="14"/>
  <c r="E161" i="14"/>
  <c r="M163" i="4" s="1"/>
  <c r="E162" i="14"/>
  <c r="E163" i="14"/>
  <c r="M165" i="4" s="1"/>
  <c r="P165" i="4" s="1"/>
  <c r="E164" i="14"/>
  <c r="E165" i="14"/>
  <c r="M167" i="4" s="1"/>
  <c r="P167" i="4" s="1"/>
  <c r="E166" i="14"/>
  <c r="E167" i="14"/>
  <c r="E168" i="14"/>
  <c r="E169" i="14"/>
  <c r="M171" i="4" s="1"/>
  <c r="T171" i="4" s="1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M190" i="4" s="1"/>
  <c r="N190" i="4" s="1"/>
  <c r="E194" i="14"/>
  <c r="E195" i="14"/>
  <c r="M191" i="4" s="1"/>
  <c r="N191" i="4" s="1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D58" i="4"/>
  <c r="E58" i="4"/>
  <c r="M58" i="4"/>
  <c r="S58" i="4" s="1"/>
  <c r="D59" i="4"/>
  <c r="E59" i="4"/>
  <c r="D60" i="4"/>
  <c r="E60" i="4"/>
  <c r="M60" i="4"/>
  <c r="N60" i="4" s="1"/>
  <c r="D61" i="4"/>
  <c r="H61" i="4" s="1"/>
  <c r="E61" i="4"/>
  <c r="D62" i="4"/>
  <c r="E62" i="4"/>
  <c r="M62" i="4"/>
  <c r="N62" i="4" s="1"/>
  <c r="D63" i="4"/>
  <c r="E63" i="4"/>
  <c r="D64" i="4"/>
  <c r="E64" i="4"/>
  <c r="M64" i="4"/>
  <c r="D65" i="4"/>
  <c r="E65" i="4"/>
  <c r="M65" i="4"/>
  <c r="N65" i="4" s="1"/>
  <c r="D66" i="4"/>
  <c r="E66" i="4"/>
  <c r="M66" i="4"/>
  <c r="R66" i="4" s="1"/>
  <c r="D67" i="4"/>
  <c r="E67" i="4"/>
  <c r="D68" i="4"/>
  <c r="E68" i="4"/>
  <c r="M68" i="4"/>
  <c r="N68" i="4" s="1"/>
  <c r="D69" i="4"/>
  <c r="H69" i="4" s="1"/>
  <c r="E69" i="4"/>
  <c r="D70" i="4"/>
  <c r="E70" i="4"/>
  <c r="M70" i="4"/>
  <c r="N70" i="4" s="1"/>
  <c r="D71" i="4"/>
  <c r="E71" i="4"/>
  <c r="D72" i="4"/>
  <c r="E72" i="4"/>
  <c r="M72" i="4"/>
  <c r="D73" i="4"/>
  <c r="E73" i="4"/>
  <c r="M73" i="4"/>
  <c r="N73" i="4" s="1"/>
  <c r="D74" i="4"/>
  <c r="E74" i="4"/>
  <c r="M74" i="4"/>
  <c r="S74" i="4" s="1"/>
  <c r="D75" i="4"/>
  <c r="E75" i="4"/>
  <c r="D76" i="4"/>
  <c r="E76" i="4"/>
  <c r="M76" i="4"/>
  <c r="R76" i="4" s="1"/>
  <c r="D77" i="4"/>
  <c r="E77" i="4"/>
  <c r="D78" i="4"/>
  <c r="E78" i="4"/>
  <c r="M78" i="4"/>
  <c r="N78" i="4" s="1"/>
  <c r="D79" i="4"/>
  <c r="E79" i="4"/>
  <c r="D80" i="4"/>
  <c r="E80" i="4"/>
  <c r="M80" i="4"/>
  <c r="D81" i="4"/>
  <c r="E81" i="4"/>
  <c r="M81" i="4"/>
  <c r="N81" i="4" s="1"/>
  <c r="D82" i="4"/>
  <c r="E82" i="4"/>
  <c r="M82" i="4"/>
  <c r="S82" i="4" s="1"/>
  <c r="D83" i="4"/>
  <c r="E83" i="4"/>
  <c r="D84" i="4"/>
  <c r="E84" i="4"/>
  <c r="M84" i="4"/>
  <c r="N84" i="4" s="1"/>
  <c r="D85" i="4"/>
  <c r="E85" i="4"/>
  <c r="D86" i="4"/>
  <c r="E86" i="4"/>
  <c r="M86" i="4"/>
  <c r="T86" i="4" s="1"/>
  <c r="D87" i="4"/>
  <c r="E87" i="4"/>
  <c r="D88" i="4"/>
  <c r="E88" i="4"/>
  <c r="M88" i="4"/>
  <c r="P88" i="4" s="1"/>
  <c r="D89" i="4"/>
  <c r="E89" i="4"/>
  <c r="M89" i="4"/>
  <c r="N89" i="4" s="1"/>
  <c r="D90" i="4"/>
  <c r="E90" i="4"/>
  <c r="M90" i="4"/>
  <c r="S90" i="4" s="1"/>
  <c r="D91" i="4"/>
  <c r="E91" i="4"/>
  <c r="D92" i="4"/>
  <c r="E92" i="4"/>
  <c r="M92" i="4"/>
  <c r="P92" i="4" s="1"/>
  <c r="D93" i="4"/>
  <c r="E93" i="4"/>
  <c r="D94" i="4"/>
  <c r="E94" i="4"/>
  <c r="M94" i="4"/>
  <c r="T94" i="4" s="1"/>
  <c r="D95" i="4"/>
  <c r="E95" i="4"/>
  <c r="D96" i="4"/>
  <c r="E96" i="4"/>
  <c r="M96" i="4"/>
  <c r="S96" i="4" s="1"/>
  <c r="D97" i="4"/>
  <c r="E97" i="4"/>
  <c r="M97" i="4"/>
  <c r="N97" i="4" s="1"/>
  <c r="D98" i="4"/>
  <c r="E98" i="4"/>
  <c r="M98" i="4"/>
  <c r="S98" i="4" s="1"/>
  <c r="D99" i="4"/>
  <c r="E99" i="4"/>
  <c r="D100" i="4"/>
  <c r="E100" i="4"/>
  <c r="M100" i="4"/>
  <c r="D101" i="4"/>
  <c r="E101" i="4"/>
  <c r="D102" i="4"/>
  <c r="E102" i="4"/>
  <c r="M102" i="4"/>
  <c r="D103" i="4"/>
  <c r="E103" i="4"/>
  <c r="D104" i="4"/>
  <c r="E104" i="4"/>
  <c r="M104" i="4"/>
  <c r="D105" i="4"/>
  <c r="E105" i="4"/>
  <c r="M105" i="4"/>
  <c r="N105" i="4" s="1"/>
  <c r="D106" i="4"/>
  <c r="E106" i="4"/>
  <c r="M106" i="4"/>
  <c r="S106" i="4" s="1"/>
  <c r="D107" i="4"/>
  <c r="E107" i="4"/>
  <c r="D108" i="4"/>
  <c r="E108" i="4"/>
  <c r="D109" i="4"/>
  <c r="E109" i="4"/>
  <c r="D110" i="4"/>
  <c r="E110" i="4"/>
  <c r="M110" i="4"/>
  <c r="N110" i="4" s="1"/>
  <c r="D111" i="4"/>
  <c r="E111" i="4"/>
  <c r="D112" i="4"/>
  <c r="E112" i="4"/>
  <c r="M112" i="4"/>
  <c r="N112" i="4" s="1"/>
  <c r="D113" i="4"/>
  <c r="E113" i="4"/>
  <c r="M113" i="4"/>
  <c r="T113" i="4" s="1"/>
  <c r="D114" i="4"/>
  <c r="E114" i="4"/>
  <c r="M114" i="4"/>
  <c r="P114" i="4" s="1"/>
  <c r="D115" i="4"/>
  <c r="E115" i="4"/>
  <c r="D116" i="4"/>
  <c r="E116" i="4"/>
  <c r="D117" i="4"/>
  <c r="E117" i="4"/>
  <c r="D118" i="4"/>
  <c r="E118" i="4"/>
  <c r="M118" i="4"/>
  <c r="S118" i="4" s="1"/>
  <c r="D119" i="4"/>
  <c r="E119" i="4"/>
  <c r="D120" i="4"/>
  <c r="E120" i="4"/>
  <c r="M120" i="4"/>
  <c r="P120" i="4" s="1"/>
  <c r="D121" i="4"/>
  <c r="E121" i="4"/>
  <c r="M121" i="4"/>
  <c r="S121" i="4" s="1"/>
  <c r="D122" i="4"/>
  <c r="E122" i="4"/>
  <c r="M122" i="4"/>
  <c r="P122" i="4" s="1"/>
  <c r="D123" i="4"/>
  <c r="E123" i="4"/>
  <c r="D124" i="4"/>
  <c r="E124" i="4"/>
  <c r="D125" i="4"/>
  <c r="E125" i="4"/>
  <c r="D126" i="4"/>
  <c r="E126" i="4"/>
  <c r="M126" i="4"/>
  <c r="N126" i="4" s="1"/>
  <c r="D127" i="4"/>
  <c r="E127" i="4"/>
  <c r="D128" i="4"/>
  <c r="E128" i="4"/>
  <c r="M128" i="4"/>
  <c r="P128" i="4" s="1"/>
  <c r="D129" i="4"/>
  <c r="E129" i="4"/>
  <c r="M129" i="4"/>
  <c r="T129" i="4" s="1"/>
  <c r="D130" i="4"/>
  <c r="E130" i="4"/>
  <c r="M130" i="4"/>
  <c r="P130" i="4" s="1"/>
  <c r="D131" i="4"/>
  <c r="E131" i="4"/>
  <c r="D132" i="4"/>
  <c r="E132" i="4"/>
  <c r="D133" i="4"/>
  <c r="E133" i="4"/>
  <c r="D134" i="4"/>
  <c r="E134" i="4"/>
  <c r="M134" i="4"/>
  <c r="S134" i="4" s="1"/>
  <c r="D135" i="4"/>
  <c r="E135" i="4"/>
  <c r="D136" i="4"/>
  <c r="E136" i="4"/>
  <c r="M136" i="4"/>
  <c r="R136" i="4" s="1"/>
  <c r="D137" i="4"/>
  <c r="E137" i="4"/>
  <c r="M137" i="4"/>
  <c r="D138" i="4"/>
  <c r="E138" i="4"/>
  <c r="D139" i="4"/>
  <c r="E139" i="4"/>
  <c r="D140" i="4"/>
  <c r="E140" i="4"/>
  <c r="D141" i="4"/>
  <c r="E141" i="4"/>
  <c r="D142" i="4"/>
  <c r="E142" i="4"/>
  <c r="M142" i="4"/>
  <c r="T142" i="4" s="1"/>
  <c r="D143" i="4"/>
  <c r="E143" i="4"/>
  <c r="D144" i="4"/>
  <c r="E144" i="4"/>
  <c r="M144" i="4"/>
  <c r="N144" i="4" s="1"/>
  <c r="D145" i="4"/>
  <c r="E145" i="4"/>
  <c r="M145" i="4"/>
  <c r="N145" i="4" s="1"/>
  <c r="D146" i="4"/>
  <c r="E146" i="4"/>
  <c r="D147" i="4"/>
  <c r="E147" i="4"/>
  <c r="D148" i="4"/>
  <c r="E148" i="4"/>
  <c r="D149" i="4"/>
  <c r="E149" i="4"/>
  <c r="D150" i="4"/>
  <c r="E150" i="4"/>
  <c r="M150" i="4"/>
  <c r="D151" i="4"/>
  <c r="E151" i="4"/>
  <c r="D152" i="4"/>
  <c r="E152" i="4"/>
  <c r="M152" i="4"/>
  <c r="P152" i="4" s="1"/>
  <c r="D153" i="4"/>
  <c r="E153" i="4"/>
  <c r="M153" i="4"/>
  <c r="T153" i="4" s="1"/>
  <c r="D154" i="4"/>
  <c r="E154" i="4"/>
  <c r="D155" i="4"/>
  <c r="E155" i="4"/>
  <c r="D156" i="4"/>
  <c r="E156" i="4"/>
  <c r="M156" i="4"/>
  <c r="N156" i="4" s="1"/>
  <c r="D157" i="4"/>
  <c r="E157" i="4"/>
  <c r="D158" i="4"/>
  <c r="E158" i="4"/>
  <c r="M158" i="4"/>
  <c r="D159" i="4"/>
  <c r="E159" i="4"/>
  <c r="D160" i="4"/>
  <c r="E160" i="4"/>
  <c r="M160" i="4"/>
  <c r="S160" i="4" s="1"/>
  <c r="D161" i="4"/>
  <c r="E161" i="4"/>
  <c r="M161" i="4"/>
  <c r="P161" i="4" s="1"/>
  <c r="D162" i="4"/>
  <c r="E162" i="4"/>
  <c r="M162" i="4"/>
  <c r="N162" i="4" s="1"/>
  <c r="D163" i="4"/>
  <c r="E163" i="4"/>
  <c r="D164" i="4"/>
  <c r="E164" i="4"/>
  <c r="M164" i="4"/>
  <c r="P164" i="4" s="1"/>
  <c r="D165" i="4"/>
  <c r="E165" i="4"/>
  <c r="D166" i="4"/>
  <c r="E166" i="4"/>
  <c r="M166" i="4"/>
  <c r="P166" i="4" s="1"/>
  <c r="D167" i="4"/>
  <c r="E167" i="4"/>
  <c r="D168" i="4"/>
  <c r="E168" i="4"/>
  <c r="M168" i="4"/>
  <c r="P168" i="4" s="1"/>
  <c r="D169" i="4"/>
  <c r="E169" i="4"/>
  <c r="M169" i="4"/>
  <c r="P169" i="4" s="1"/>
  <c r="D170" i="4"/>
  <c r="E170" i="4"/>
  <c r="M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M192" i="4"/>
  <c r="P192" i="4" s="1"/>
  <c r="D193" i="4"/>
  <c r="E193" i="4"/>
  <c r="M193" i="4"/>
  <c r="P193" i="4" s="1"/>
  <c r="D194" i="4"/>
  <c r="E194" i="4"/>
  <c r="M194" i="4"/>
  <c r="D195" i="4"/>
  <c r="E195" i="4"/>
  <c r="D196" i="4"/>
  <c r="E196" i="4"/>
  <c r="M196" i="4"/>
  <c r="D197" i="4"/>
  <c r="E197" i="4"/>
  <c r="M197" i="4"/>
  <c r="N197" i="4" s="1"/>
  <c r="D198" i="4"/>
  <c r="E198" i="4"/>
  <c r="D199" i="4"/>
  <c r="E199" i="4"/>
  <c r="D200" i="4"/>
  <c r="E200" i="4"/>
  <c r="D201" i="4"/>
  <c r="E201" i="4"/>
  <c r="D202" i="4"/>
  <c r="E202" i="4"/>
  <c r="D203" i="4"/>
  <c r="E203" i="4"/>
  <c r="D204" i="4"/>
  <c r="E204" i="4"/>
  <c r="D205" i="4"/>
  <c r="E205" i="4"/>
  <c r="D206" i="4"/>
  <c r="E206" i="4"/>
  <c r="D207" i="4"/>
  <c r="E207" i="4"/>
  <c r="D208" i="4"/>
  <c r="E208" i="4"/>
  <c r="D209" i="4"/>
  <c r="E209" i="4"/>
  <c r="D210" i="4"/>
  <c r="E210" i="4"/>
  <c r="D211" i="4"/>
  <c r="E211" i="4"/>
  <c r="D212" i="4"/>
  <c r="E212" i="4"/>
  <c r="D213" i="4"/>
  <c r="E213" i="4"/>
  <c r="D214" i="4"/>
  <c r="E214" i="4"/>
  <c r="D215" i="4"/>
  <c r="E215" i="4"/>
  <c r="D216" i="4"/>
  <c r="E216" i="4"/>
  <c r="D217" i="4"/>
  <c r="E217" i="4"/>
  <c r="D218" i="4"/>
  <c r="E218" i="4"/>
  <c r="D219" i="4"/>
  <c r="E219" i="4"/>
  <c r="D220" i="4"/>
  <c r="E220" i="4"/>
  <c r="D221" i="4"/>
  <c r="E221" i="4"/>
  <c r="D222" i="4"/>
  <c r="E222" i="4"/>
  <c r="D223" i="4"/>
  <c r="E223" i="4"/>
  <c r="D224" i="4"/>
  <c r="E224" i="4"/>
  <c r="D225" i="4"/>
  <c r="E225" i="4"/>
  <c r="D226" i="4"/>
  <c r="E226" i="4"/>
  <c r="D227" i="4"/>
  <c r="E227" i="4"/>
  <c r="D228" i="4"/>
  <c r="E228" i="4"/>
  <c r="D229" i="4"/>
  <c r="E229" i="4"/>
  <c r="D230" i="4"/>
  <c r="E230" i="4"/>
  <c r="D231" i="4"/>
  <c r="E231" i="4"/>
  <c r="D232" i="4"/>
  <c r="E232" i="4"/>
  <c r="D233" i="4"/>
  <c r="E233" i="4"/>
  <c r="D234" i="4"/>
  <c r="E234" i="4"/>
  <c r="D235" i="4"/>
  <c r="E235" i="4"/>
  <c r="D236" i="4"/>
  <c r="E236" i="4"/>
  <c r="D237" i="4"/>
  <c r="E237" i="4"/>
  <c r="D238" i="4"/>
  <c r="E238" i="4"/>
  <c r="D239" i="4"/>
  <c r="E239" i="4"/>
  <c r="D240" i="4"/>
  <c r="E240" i="4"/>
  <c r="D241" i="4"/>
  <c r="E241" i="4"/>
  <c r="D242" i="4"/>
  <c r="E242" i="4"/>
  <c r="D243" i="4"/>
  <c r="E243" i="4"/>
  <c r="D244" i="4"/>
  <c r="E244" i="4"/>
  <c r="D245" i="4"/>
  <c r="E245" i="4"/>
  <c r="D246" i="4"/>
  <c r="E246" i="4"/>
  <c r="D247" i="4"/>
  <c r="E247" i="4"/>
  <c r="D248" i="4"/>
  <c r="E248" i="4"/>
  <c r="D249" i="4"/>
  <c r="E249" i="4"/>
  <c r="D250" i="4"/>
  <c r="E250" i="4"/>
  <c r="D251" i="4"/>
  <c r="E251" i="4"/>
  <c r="D252" i="4"/>
  <c r="E252" i="4"/>
  <c r="D253" i="4"/>
  <c r="E253" i="4"/>
  <c r="D254" i="4"/>
  <c r="E254" i="4"/>
  <c r="D255" i="4"/>
  <c r="E255" i="4"/>
  <c r="D256" i="4"/>
  <c r="E256" i="4"/>
  <c r="D257" i="4"/>
  <c r="E257" i="4"/>
  <c r="D258" i="4"/>
  <c r="E258" i="4"/>
  <c r="D259" i="4"/>
  <c r="E259" i="4"/>
  <c r="D260" i="4"/>
  <c r="E260" i="4"/>
  <c r="D261" i="4"/>
  <c r="E261" i="4"/>
  <c r="D262" i="4"/>
  <c r="E262" i="4"/>
  <c r="D263" i="4"/>
  <c r="E263" i="4"/>
  <c r="D264" i="4"/>
  <c r="E264" i="4"/>
  <c r="D265" i="4"/>
  <c r="E265" i="4"/>
  <c r="D266" i="4"/>
  <c r="E266" i="4"/>
  <c r="D267" i="4"/>
  <c r="E267" i="4"/>
  <c r="D268" i="4"/>
  <c r="E268" i="4"/>
  <c r="D269" i="4"/>
  <c r="E269" i="4"/>
  <c r="D270" i="4"/>
  <c r="E270" i="4"/>
  <c r="D271" i="4"/>
  <c r="E271" i="4"/>
  <c r="D272" i="4"/>
  <c r="E272" i="4"/>
  <c r="D273" i="4"/>
  <c r="E273" i="4"/>
  <c r="D274" i="4"/>
  <c r="E274" i="4"/>
  <c r="D275" i="4"/>
  <c r="E275" i="4"/>
  <c r="D276" i="4"/>
  <c r="E276" i="4"/>
  <c r="D277" i="4"/>
  <c r="E277" i="4"/>
  <c r="D278" i="4"/>
  <c r="E278" i="4"/>
  <c r="D279" i="4"/>
  <c r="E279" i="4"/>
  <c r="D280" i="4"/>
  <c r="E280" i="4"/>
  <c r="D281" i="4"/>
  <c r="E281" i="4"/>
  <c r="D282" i="4"/>
  <c r="E282" i="4"/>
  <c r="D283" i="4"/>
  <c r="E283" i="4"/>
  <c r="D284" i="4"/>
  <c r="E284" i="4"/>
  <c r="D285" i="4"/>
  <c r="E285" i="4"/>
  <c r="D286" i="4"/>
  <c r="E286" i="4"/>
  <c r="D287" i="4"/>
  <c r="E287" i="4"/>
  <c r="D288" i="4"/>
  <c r="E288" i="4"/>
  <c r="D289" i="4"/>
  <c r="E289" i="4"/>
  <c r="D290" i="4"/>
  <c r="E290" i="4"/>
  <c r="D291" i="4"/>
  <c r="E291" i="4"/>
  <c r="D292" i="4"/>
  <c r="E292" i="4"/>
  <c r="D293" i="4"/>
  <c r="E293" i="4"/>
  <c r="D294" i="4"/>
  <c r="E294" i="4"/>
  <c r="D295" i="4"/>
  <c r="E295" i="4"/>
  <c r="D296" i="4"/>
  <c r="E296" i="4"/>
  <c r="D297" i="4"/>
  <c r="E297" i="4"/>
  <c r="D298" i="4"/>
  <c r="E298" i="4"/>
  <c r="D299" i="4"/>
  <c r="E299" i="4"/>
  <c r="D300" i="4"/>
  <c r="E300" i="4"/>
  <c r="D301" i="4"/>
  <c r="E301" i="4"/>
  <c r="D302" i="4"/>
  <c r="E302" i="4"/>
  <c r="D303" i="4"/>
  <c r="E303" i="4"/>
  <c r="D304" i="4"/>
  <c r="E304" i="4"/>
  <c r="D305" i="4"/>
  <c r="E305" i="4"/>
  <c r="D306" i="4"/>
  <c r="E306" i="4"/>
  <c r="D307" i="4"/>
  <c r="E307" i="4"/>
  <c r="D308" i="4"/>
  <c r="E308" i="4"/>
  <c r="D309" i="4"/>
  <c r="E309" i="4"/>
  <c r="D310" i="4"/>
  <c r="E310" i="4"/>
  <c r="D311" i="4"/>
  <c r="E311" i="4"/>
  <c r="D312" i="4"/>
  <c r="E312" i="4"/>
  <c r="D313" i="4"/>
  <c r="E313" i="4"/>
  <c r="D314" i="4"/>
  <c r="E314" i="4"/>
  <c r="D315" i="4"/>
  <c r="E315" i="4"/>
  <c r="D316" i="4"/>
  <c r="E316" i="4"/>
  <c r="D317" i="4"/>
  <c r="E317" i="4"/>
  <c r="D318" i="4"/>
  <c r="E318" i="4"/>
  <c r="D319" i="4"/>
  <c r="E319" i="4"/>
  <c r="D320" i="4"/>
  <c r="E320" i="4"/>
  <c r="D321" i="4"/>
  <c r="E321" i="4"/>
  <c r="D322" i="4"/>
  <c r="E322" i="4"/>
  <c r="D323" i="4"/>
  <c r="E323" i="4"/>
  <c r="D324" i="4"/>
  <c r="E324" i="4"/>
  <c r="D325" i="4"/>
  <c r="E325" i="4"/>
  <c r="D326" i="4"/>
  <c r="E326" i="4"/>
  <c r="D327" i="4"/>
  <c r="E327" i="4"/>
  <c r="D328" i="4"/>
  <c r="E328" i="4"/>
  <c r="D329" i="4"/>
  <c r="E329" i="4"/>
  <c r="D330" i="4"/>
  <c r="E330" i="4"/>
  <c r="D331" i="4"/>
  <c r="E331" i="4"/>
  <c r="D332" i="4"/>
  <c r="E332" i="4"/>
  <c r="D333" i="4"/>
  <c r="E333" i="4"/>
  <c r="D334" i="4"/>
  <c r="E334" i="4"/>
  <c r="D335" i="4"/>
  <c r="E335" i="4"/>
  <c r="D336" i="4"/>
  <c r="E336" i="4"/>
  <c r="D337" i="4"/>
  <c r="E337" i="4"/>
  <c r="D338" i="4"/>
  <c r="E338" i="4"/>
  <c r="D339" i="4"/>
  <c r="E339" i="4"/>
  <c r="D340" i="4"/>
  <c r="E340" i="4"/>
  <c r="D341" i="4"/>
  <c r="E341" i="4"/>
  <c r="D342" i="4"/>
  <c r="E342" i="4"/>
  <c r="D343" i="4"/>
  <c r="E343" i="4"/>
  <c r="D344" i="4"/>
  <c r="E344" i="4"/>
  <c r="D345" i="4"/>
  <c r="E345" i="4"/>
  <c r="D346" i="4"/>
  <c r="E346" i="4"/>
  <c r="D347" i="4"/>
  <c r="E347" i="4"/>
  <c r="D348" i="4"/>
  <c r="E348" i="4"/>
  <c r="D349" i="4"/>
  <c r="E349" i="4"/>
  <c r="D350" i="4"/>
  <c r="E350" i="4"/>
  <c r="D351" i="4"/>
  <c r="E351" i="4"/>
  <c r="D352" i="4"/>
  <c r="E352" i="4"/>
  <c r="D353" i="4"/>
  <c r="E353" i="4"/>
  <c r="D354" i="4"/>
  <c r="E354" i="4"/>
  <c r="D355" i="4"/>
  <c r="E355" i="4"/>
  <c r="D356" i="4"/>
  <c r="E356" i="4"/>
  <c r="D357" i="4"/>
  <c r="E357" i="4"/>
  <c r="D358" i="4"/>
  <c r="E358" i="4"/>
  <c r="D359" i="4"/>
  <c r="E359" i="4"/>
  <c r="D360" i="4"/>
  <c r="E360" i="4"/>
  <c r="D361" i="4"/>
  <c r="E361" i="4"/>
  <c r="D362" i="4"/>
  <c r="E362" i="4"/>
  <c r="D363" i="4"/>
  <c r="E363" i="4"/>
  <c r="D364" i="4"/>
  <c r="E364" i="4"/>
  <c r="D365" i="4"/>
  <c r="E365" i="4"/>
  <c r="D366" i="4"/>
  <c r="E366" i="4"/>
  <c r="D367" i="4"/>
  <c r="E367" i="4"/>
  <c r="D368" i="4"/>
  <c r="E368" i="4"/>
  <c r="D369" i="4"/>
  <c r="E369" i="4"/>
  <c r="D370" i="4"/>
  <c r="E370" i="4"/>
  <c r="D371" i="4"/>
  <c r="E371" i="4"/>
  <c r="D372" i="4"/>
  <c r="E372" i="4"/>
  <c r="D373" i="4"/>
  <c r="E373" i="4"/>
  <c r="D374" i="4"/>
  <c r="E374" i="4"/>
  <c r="D375" i="4"/>
  <c r="E375" i="4"/>
  <c r="D376" i="4"/>
  <c r="E376" i="4"/>
  <c r="D377" i="4"/>
  <c r="E377" i="4"/>
  <c r="D378" i="4"/>
  <c r="E378" i="4"/>
  <c r="D379" i="4"/>
  <c r="E379" i="4"/>
  <c r="D380" i="4"/>
  <c r="E380" i="4"/>
  <c r="D381" i="4"/>
  <c r="E381" i="4"/>
  <c r="D382" i="4"/>
  <c r="E382" i="4"/>
  <c r="D383" i="4"/>
  <c r="E383" i="4"/>
  <c r="D384" i="4"/>
  <c r="E384" i="4"/>
  <c r="D385" i="4"/>
  <c r="E385" i="4"/>
  <c r="D386" i="4"/>
  <c r="E386" i="4"/>
  <c r="D387" i="4"/>
  <c r="E387" i="4"/>
  <c r="D388" i="4"/>
  <c r="E388" i="4"/>
  <c r="D389" i="4"/>
  <c r="E389" i="4"/>
  <c r="D390" i="4"/>
  <c r="E390" i="4"/>
  <c r="D391" i="4"/>
  <c r="E391" i="4"/>
  <c r="D392" i="4"/>
  <c r="E392" i="4"/>
  <c r="D393" i="4"/>
  <c r="E393" i="4"/>
  <c r="D394" i="4"/>
  <c r="E394" i="4"/>
  <c r="D395" i="4"/>
  <c r="E395" i="4"/>
  <c r="D396" i="4"/>
  <c r="E396" i="4"/>
  <c r="D397" i="4"/>
  <c r="E397" i="4"/>
  <c r="D398" i="4"/>
  <c r="E398" i="4"/>
  <c r="D399" i="4"/>
  <c r="E399" i="4"/>
  <c r="D400" i="4"/>
  <c r="E400" i="4"/>
  <c r="D401" i="4"/>
  <c r="E401" i="4"/>
  <c r="D402" i="4"/>
  <c r="E402" i="4"/>
  <c r="D403" i="4"/>
  <c r="E403" i="4"/>
  <c r="D404" i="4"/>
  <c r="E404" i="4"/>
  <c r="D405" i="4"/>
  <c r="E405" i="4"/>
  <c r="D406" i="4"/>
  <c r="E406" i="4"/>
  <c r="D407" i="4"/>
  <c r="E407" i="4"/>
  <c r="D408" i="4"/>
  <c r="E408" i="4"/>
  <c r="D409" i="4"/>
  <c r="E409" i="4"/>
  <c r="D410" i="4"/>
  <c r="E410" i="4"/>
  <c r="D411" i="4"/>
  <c r="E411" i="4"/>
  <c r="D412" i="4"/>
  <c r="E412" i="4"/>
  <c r="D413" i="4"/>
  <c r="E413" i="4"/>
  <c r="D414" i="4"/>
  <c r="E414" i="4"/>
  <c r="D415" i="4"/>
  <c r="E415" i="4"/>
  <c r="D416" i="4"/>
  <c r="E416" i="4"/>
  <c r="D417" i="4"/>
  <c r="E417" i="4"/>
  <c r="Q122" i="4" l="1"/>
  <c r="T92" i="4"/>
  <c r="H148" i="4"/>
  <c r="K387" i="4"/>
  <c r="L387" i="4" s="1"/>
  <c r="K379" i="4"/>
  <c r="L379" i="4" s="1"/>
  <c r="K347" i="4"/>
  <c r="L347" i="4" s="1"/>
  <c r="K331" i="4"/>
  <c r="L331" i="4" s="1"/>
  <c r="K305" i="4"/>
  <c r="L305" i="4" s="1"/>
  <c r="K320" i="4"/>
  <c r="L320" i="4" s="1"/>
  <c r="K245" i="4"/>
  <c r="L245" i="4" s="1"/>
  <c r="K306" i="4"/>
  <c r="L306" i="4" s="1"/>
  <c r="H317" i="4"/>
  <c r="H306" i="4"/>
  <c r="I306" i="4" s="1"/>
  <c r="H304" i="4"/>
  <c r="I304" i="4" s="1"/>
  <c r="H302" i="4"/>
  <c r="I302" i="4" s="1"/>
  <c r="H300" i="4"/>
  <c r="I300" i="4" s="1"/>
  <c r="H298" i="4"/>
  <c r="I298" i="4" s="1"/>
  <c r="H274" i="4"/>
  <c r="I274" i="4" s="1"/>
  <c r="H159" i="4"/>
  <c r="R159" i="4" s="1"/>
  <c r="H72" i="4"/>
  <c r="K72" i="4" s="1"/>
  <c r="L72" i="4" s="1"/>
  <c r="K223" i="4"/>
  <c r="L223" i="4" s="1"/>
  <c r="H163" i="4"/>
  <c r="R163" i="4" s="1"/>
  <c r="S129" i="4"/>
  <c r="P129" i="4"/>
  <c r="K382" i="4"/>
  <c r="L382" i="4" s="1"/>
  <c r="K328" i="4"/>
  <c r="L328" i="4" s="1"/>
  <c r="K289" i="4"/>
  <c r="L289" i="4" s="1"/>
  <c r="K414" i="4"/>
  <c r="L414" i="4" s="1"/>
  <c r="K398" i="4"/>
  <c r="L398" i="4" s="1"/>
  <c r="K374" i="4"/>
  <c r="L374" i="4" s="1"/>
  <c r="K215" i="4"/>
  <c r="L215" i="4" s="1"/>
  <c r="K207" i="4"/>
  <c r="L207" i="4" s="1"/>
  <c r="H124" i="4"/>
  <c r="I124" i="4" s="1"/>
  <c r="H75" i="4"/>
  <c r="I75" i="4" s="1"/>
  <c r="H412" i="4"/>
  <c r="I412" i="4" s="1"/>
  <c r="H410" i="4"/>
  <c r="I410" i="4" s="1"/>
  <c r="H408" i="4"/>
  <c r="I408" i="4" s="1"/>
  <c r="H394" i="4"/>
  <c r="I394" i="4" s="1"/>
  <c r="H384" i="4"/>
  <c r="I384" i="4" s="1"/>
  <c r="H380" i="4"/>
  <c r="I380" i="4" s="1"/>
  <c r="H376" i="4"/>
  <c r="H269" i="4"/>
  <c r="I269" i="4" s="1"/>
  <c r="H268" i="4"/>
  <c r="I268" i="4" s="1"/>
  <c r="H253" i="4"/>
  <c r="I253" i="4" s="1"/>
  <c r="H247" i="4"/>
  <c r="I247" i="4" s="1"/>
  <c r="H245" i="4"/>
  <c r="I245" i="4" s="1"/>
  <c r="K238" i="4"/>
  <c r="L238" i="4" s="1"/>
  <c r="K230" i="4"/>
  <c r="L230" i="4" s="1"/>
  <c r="Q146" i="4"/>
  <c r="K283" i="4"/>
  <c r="L283" i="4" s="1"/>
  <c r="H416" i="4"/>
  <c r="I416" i="4" s="1"/>
  <c r="K317" i="4"/>
  <c r="L317" i="4" s="1"/>
  <c r="K369" i="4"/>
  <c r="L369" i="4" s="1"/>
  <c r="K353" i="4"/>
  <c r="L353" i="4" s="1"/>
  <c r="H314" i="4"/>
  <c r="I314" i="4" s="1"/>
  <c r="H308" i="4"/>
  <c r="I308" i="4" s="1"/>
  <c r="H209" i="4"/>
  <c r="I209" i="4" s="1"/>
  <c r="S167" i="4"/>
  <c r="H85" i="4"/>
  <c r="I85" i="4" s="1"/>
  <c r="H62" i="4"/>
  <c r="H59" i="4"/>
  <c r="K59" i="4" s="1"/>
  <c r="L59" i="4" s="1"/>
  <c r="H146" i="4"/>
  <c r="R146" i="4" s="1"/>
  <c r="H138" i="4"/>
  <c r="I138" i="4" s="1"/>
  <c r="S113" i="4"/>
  <c r="H102" i="4"/>
  <c r="Q102" i="4" s="1"/>
  <c r="H88" i="4"/>
  <c r="Q88" i="4" s="1"/>
  <c r="H77" i="4"/>
  <c r="K77" i="4" s="1"/>
  <c r="L77" i="4" s="1"/>
  <c r="R58" i="4"/>
  <c r="H371" i="4"/>
  <c r="I371" i="4" s="1"/>
  <c r="H369" i="4"/>
  <c r="I369" i="4" s="1"/>
  <c r="H276" i="4"/>
  <c r="I276" i="4" s="1"/>
  <c r="T128" i="4"/>
  <c r="P113" i="4"/>
  <c r="K368" i="4"/>
  <c r="L368" i="4" s="1"/>
  <c r="H348" i="4"/>
  <c r="I348" i="4" s="1"/>
  <c r="H323" i="4"/>
  <c r="I323" i="4" s="1"/>
  <c r="H321" i="4"/>
  <c r="I321" i="4" s="1"/>
  <c r="K275" i="4"/>
  <c r="L275" i="4" s="1"/>
  <c r="Q129" i="4"/>
  <c r="S128" i="4"/>
  <c r="N113" i="4"/>
  <c r="H87" i="4"/>
  <c r="Q87" i="4" s="1"/>
  <c r="S71" i="4"/>
  <c r="T68" i="4"/>
  <c r="S65" i="4"/>
  <c r="T62" i="4"/>
  <c r="H140" i="4"/>
  <c r="I140" i="4" s="1"/>
  <c r="S105" i="4"/>
  <c r="K413" i="4"/>
  <c r="L413" i="4" s="1"/>
  <c r="K405" i="4"/>
  <c r="L405" i="4" s="1"/>
  <c r="K326" i="4"/>
  <c r="L326" i="4" s="1"/>
  <c r="K263" i="4"/>
  <c r="L263" i="4" s="1"/>
  <c r="Q105" i="4"/>
  <c r="H93" i="4"/>
  <c r="K93" i="4" s="1"/>
  <c r="L93" i="4" s="1"/>
  <c r="Q155" i="4"/>
  <c r="S97" i="4"/>
  <c r="S83" i="4"/>
  <c r="K336" i="4"/>
  <c r="L336" i="4" s="1"/>
  <c r="H315" i="4"/>
  <c r="I315" i="4" s="1"/>
  <c r="K208" i="4"/>
  <c r="L208" i="4" s="1"/>
  <c r="H106" i="4"/>
  <c r="K106" i="4" s="1"/>
  <c r="L106" i="4" s="1"/>
  <c r="N101" i="4"/>
  <c r="R98" i="4"/>
  <c r="K376" i="4"/>
  <c r="L376" i="4" s="1"/>
  <c r="K352" i="4"/>
  <c r="L352" i="4" s="1"/>
  <c r="H99" i="4"/>
  <c r="Q99" i="4" s="1"/>
  <c r="K381" i="4"/>
  <c r="L381" i="4" s="1"/>
  <c r="H375" i="4"/>
  <c r="H350" i="4"/>
  <c r="H313" i="4"/>
  <c r="I313" i="4" s="1"/>
  <c r="H311" i="4"/>
  <c r="I311" i="4" s="1"/>
  <c r="K285" i="4"/>
  <c r="L285" i="4" s="1"/>
  <c r="H230" i="4"/>
  <c r="H222" i="4"/>
  <c r="I222" i="4" s="1"/>
  <c r="H216" i="4"/>
  <c r="I216" i="4" s="1"/>
  <c r="H195" i="4"/>
  <c r="I195" i="4" s="1"/>
  <c r="H103" i="4"/>
  <c r="Q103" i="4" s="1"/>
  <c r="H347" i="4"/>
  <c r="I347" i="4" s="1"/>
  <c r="H344" i="4"/>
  <c r="I344" i="4" s="1"/>
  <c r="H340" i="4"/>
  <c r="I340" i="4" s="1"/>
  <c r="H336" i="4"/>
  <c r="I336" i="4" s="1"/>
  <c r="K316" i="4"/>
  <c r="L316" i="4" s="1"/>
  <c r="H132" i="4"/>
  <c r="I132" i="4" s="1"/>
  <c r="H122" i="4"/>
  <c r="I122" i="4" s="1"/>
  <c r="H100" i="4"/>
  <c r="Q100" i="4" s="1"/>
  <c r="S63" i="4"/>
  <c r="K278" i="4"/>
  <c r="L278" i="4" s="1"/>
  <c r="H63" i="4"/>
  <c r="Q63" i="4" s="1"/>
  <c r="H415" i="4"/>
  <c r="I415" i="4" s="1"/>
  <c r="H407" i="4"/>
  <c r="I407" i="4" s="1"/>
  <c r="H404" i="4"/>
  <c r="I404" i="4" s="1"/>
  <c r="H401" i="4"/>
  <c r="H328" i="4"/>
  <c r="I328" i="4" s="1"/>
  <c r="H326" i="4"/>
  <c r="H324" i="4"/>
  <c r="I324" i="4" s="1"/>
  <c r="H299" i="4"/>
  <c r="I299" i="4" s="1"/>
  <c r="H293" i="4"/>
  <c r="I293" i="4" s="1"/>
  <c r="H291" i="4"/>
  <c r="I291" i="4" s="1"/>
  <c r="K243" i="4"/>
  <c r="L243" i="4" s="1"/>
  <c r="T145" i="4"/>
  <c r="N118" i="4"/>
  <c r="S87" i="4"/>
  <c r="R84" i="4"/>
  <c r="K402" i="4"/>
  <c r="L402" i="4" s="1"/>
  <c r="P160" i="4"/>
  <c r="N154" i="4"/>
  <c r="Q145" i="4"/>
  <c r="S109" i="4"/>
  <c r="P96" i="4"/>
  <c r="P73" i="4"/>
  <c r="H65" i="4"/>
  <c r="Q65" i="4" s="1"/>
  <c r="R60" i="4"/>
  <c r="I230" i="4"/>
  <c r="K210" i="4"/>
  <c r="L210" i="4" s="1"/>
  <c r="N169" i="4"/>
  <c r="T160" i="4"/>
  <c r="H155" i="4"/>
  <c r="R155" i="4" s="1"/>
  <c r="P153" i="4"/>
  <c r="N142" i="4"/>
  <c r="N130" i="4"/>
  <c r="R129" i="4"/>
  <c r="P126" i="4"/>
  <c r="T123" i="4"/>
  <c r="P118" i="4"/>
  <c r="N114" i="4"/>
  <c r="Q113" i="4"/>
  <c r="T109" i="4"/>
  <c r="P108" i="4"/>
  <c r="H80" i="4"/>
  <c r="I80" i="4" s="1"/>
  <c r="N77" i="4"/>
  <c r="I62" i="4"/>
  <c r="K393" i="4"/>
  <c r="L393" i="4" s="1"/>
  <c r="K231" i="4"/>
  <c r="L231" i="4" s="1"/>
  <c r="K385" i="4"/>
  <c r="L385" i="4" s="1"/>
  <c r="K360" i="4"/>
  <c r="L360" i="4" s="1"/>
  <c r="H353" i="4"/>
  <c r="I353" i="4" s="1"/>
  <c r="K292" i="4"/>
  <c r="L292" i="4" s="1"/>
  <c r="H279" i="4"/>
  <c r="I279" i="4" s="1"/>
  <c r="K270" i="4"/>
  <c r="L270" i="4" s="1"/>
  <c r="K262" i="4"/>
  <c r="L262" i="4" s="1"/>
  <c r="K202" i="4"/>
  <c r="L202" i="4" s="1"/>
  <c r="N134" i="4"/>
  <c r="N129" i="4"/>
  <c r="R128" i="4"/>
  <c r="P105" i="4"/>
  <c r="R92" i="4"/>
  <c r="R82" i="4"/>
  <c r="K237" i="4"/>
  <c r="L237" i="4" s="1"/>
  <c r="K400" i="4"/>
  <c r="L400" i="4" s="1"/>
  <c r="I326" i="4"/>
  <c r="H322" i="4"/>
  <c r="I322" i="4" s="1"/>
  <c r="H208" i="4"/>
  <c r="I208" i="4" s="1"/>
  <c r="T146" i="4"/>
  <c r="S145" i="4"/>
  <c r="H97" i="4"/>
  <c r="Q97" i="4" s="1"/>
  <c r="H94" i="4"/>
  <c r="I94" i="4" s="1"/>
  <c r="N92" i="4"/>
  <c r="P89" i="4"/>
  <c r="H84" i="4"/>
  <c r="K84" i="4" s="1"/>
  <c r="L84" i="4" s="1"/>
  <c r="P82" i="4"/>
  <c r="H246" i="4"/>
  <c r="I246" i="4" s="1"/>
  <c r="K227" i="4"/>
  <c r="L227" i="4" s="1"/>
  <c r="H364" i="4"/>
  <c r="I364" i="4" s="1"/>
  <c r="H360" i="4"/>
  <c r="I360" i="4" s="1"/>
  <c r="H356" i="4"/>
  <c r="I356" i="4" s="1"/>
  <c r="H335" i="4"/>
  <c r="I335" i="4" s="1"/>
  <c r="H333" i="4"/>
  <c r="I333" i="4" s="1"/>
  <c r="H260" i="4"/>
  <c r="I260" i="4" s="1"/>
  <c r="H250" i="4"/>
  <c r="H204" i="4"/>
  <c r="I204" i="4" s="1"/>
  <c r="H203" i="4"/>
  <c r="I203" i="4" s="1"/>
  <c r="H201" i="4"/>
  <c r="H188" i="4"/>
  <c r="K188" i="4" s="1"/>
  <c r="L188" i="4" s="1"/>
  <c r="H187" i="4"/>
  <c r="I187" i="4" s="1"/>
  <c r="H181" i="4"/>
  <c r="K181" i="4" s="1"/>
  <c r="L181" i="4" s="1"/>
  <c r="S142" i="4"/>
  <c r="H142" i="4"/>
  <c r="R142" i="4" s="1"/>
  <c r="H139" i="4"/>
  <c r="R139" i="4" s="1"/>
  <c r="T121" i="4"/>
  <c r="K313" i="4"/>
  <c r="L313" i="4" s="1"/>
  <c r="H363" i="4"/>
  <c r="I363" i="4" s="1"/>
  <c r="H417" i="4"/>
  <c r="I417" i="4" s="1"/>
  <c r="K392" i="4"/>
  <c r="L392" i="4" s="1"/>
  <c r="K363" i="4"/>
  <c r="L363" i="4" s="1"/>
  <c r="K342" i="4"/>
  <c r="L342" i="4" s="1"/>
  <c r="K334" i="4"/>
  <c r="L334" i="4" s="1"/>
  <c r="K297" i="4"/>
  <c r="L297" i="4" s="1"/>
  <c r="K269" i="4"/>
  <c r="L269" i="4" s="1"/>
  <c r="K218" i="4"/>
  <c r="L218" i="4" s="1"/>
  <c r="H154" i="4"/>
  <c r="I154" i="4" s="1"/>
  <c r="Q142" i="4"/>
  <c r="T126" i="4"/>
  <c r="T122" i="4"/>
  <c r="P121" i="4"/>
  <c r="T114" i="4"/>
  <c r="H109" i="4"/>
  <c r="S107" i="4"/>
  <c r="H81" i="4"/>
  <c r="I81" i="4" s="1"/>
  <c r="S77" i="4"/>
  <c r="N76" i="4"/>
  <c r="K406" i="4"/>
  <c r="L406" i="4" s="1"/>
  <c r="K298" i="4"/>
  <c r="L298" i="4" s="1"/>
  <c r="Q153" i="4"/>
  <c r="P142" i="4"/>
  <c r="S126" i="4"/>
  <c r="Q118" i="4"/>
  <c r="Q114" i="4"/>
  <c r="T108" i="4"/>
  <c r="R77" i="4"/>
  <c r="K62" i="4"/>
  <c r="L62" i="4" s="1"/>
  <c r="H400" i="4"/>
  <c r="I400" i="4" s="1"/>
  <c r="K377" i="4"/>
  <c r="L377" i="4" s="1"/>
  <c r="K361" i="4"/>
  <c r="L361" i="4" s="1"/>
  <c r="K345" i="4"/>
  <c r="L345" i="4" s="1"/>
  <c r="H327" i="4"/>
  <c r="I327" i="4" s="1"/>
  <c r="K325" i="4"/>
  <c r="L325" i="4" s="1"/>
  <c r="H307" i="4"/>
  <c r="I307" i="4" s="1"/>
  <c r="K277" i="4"/>
  <c r="L277" i="4" s="1"/>
  <c r="H252" i="4"/>
  <c r="I252" i="4" s="1"/>
  <c r="K239" i="4"/>
  <c r="L239" i="4" s="1"/>
  <c r="K235" i="4"/>
  <c r="L235" i="4" s="1"/>
  <c r="K233" i="4"/>
  <c r="L233" i="4" s="1"/>
  <c r="K229" i="4"/>
  <c r="L229" i="4" s="1"/>
  <c r="S155" i="4"/>
  <c r="N153" i="4"/>
  <c r="T147" i="4"/>
  <c r="N146" i="4"/>
  <c r="R145" i="4"/>
  <c r="Q121" i="4"/>
  <c r="N120" i="4"/>
  <c r="H101" i="4"/>
  <c r="Q101" i="4" s="1"/>
  <c r="T84" i="4"/>
  <c r="T83" i="4"/>
  <c r="H83" i="4"/>
  <c r="Q83" i="4" s="1"/>
  <c r="S81" i="4"/>
  <c r="T78" i="4"/>
  <c r="P76" i="4"/>
  <c r="Q69" i="4"/>
  <c r="H66" i="4"/>
  <c r="K66" i="4" s="1"/>
  <c r="L66" i="4" s="1"/>
  <c r="P58" i="4"/>
  <c r="H172" i="4"/>
  <c r="I172" i="4" s="1"/>
  <c r="H104" i="4"/>
  <c r="I104" i="4" s="1"/>
  <c r="H95" i="4"/>
  <c r="Q95" i="4" s="1"/>
  <c r="T67" i="4"/>
  <c r="H402" i="4"/>
  <c r="I402" i="4" s="1"/>
  <c r="H397" i="4"/>
  <c r="I397" i="4" s="1"/>
  <c r="H395" i="4"/>
  <c r="I395" i="4" s="1"/>
  <c r="H372" i="4"/>
  <c r="I372" i="4" s="1"/>
  <c r="H359" i="4"/>
  <c r="I359" i="4" s="1"/>
  <c r="H355" i="4"/>
  <c r="I355" i="4" s="1"/>
  <c r="K350" i="4"/>
  <c r="L350" i="4" s="1"/>
  <c r="H343" i="4"/>
  <c r="I343" i="4" s="1"/>
  <c r="H341" i="4"/>
  <c r="I341" i="4" s="1"/>
  <c r="H334" i="4"/>
  <c r="I334" i="4" s="1"/>
  <c r="H332" i="4"/>
  <c r="I332" i="4" s="1"/>
  <c r="H318" i="4"/>
  <c r="I318" i="4" s="1"/>
  <c r="K308" i="4"/>
  <c r="L308" i="4" s="1"/>
  <c r="H284" i="4"/>
  <c r="I284" i="4" s="1"/>
  <c r="H277" i="4"/>
  <c r="I277" i="4" s="1"/>
  <c r="K246" i="4"/>
  <c r="L246" i="4" s="1"/>
  <c r="H244" i="4"/>
  <c r="I244" i="4" s="1"/>
  <c r="K219" i="4"/>
  <c r="L219" i="4" s="1"/>
  <c r="H202" i="4"/>
  <c r="I202" i="4" s="1"/>
  <c r="H193" i="4"/>
  <c r="I193" i="4" s="1"/>
  <c r="T159" i="4"/>
  <c r="H158" i="4"/>
  <c r="R158" i="4" s="1"/>
  <c r="P155" i="4"/>
  <c r="T154" i="4"/>
  <c r="N148" i="4"/>
  <c r="P145" i="4"/>
  <c r="Q138" i="4"/>
  <c r="T134" i="4"/>
  <c r="N128" i="4"/>
  <c r="N121" i="4"/>
  <c r="H117" i="4"/>
  <c r="R117" i="4" s="1"/>
  <c r="P109" i="4"/>
  <c r="S108" i="4"/>
  <c r="N107" i="4"/>
  <c r="S99" i="4"/>
  <c r="S89" i="4"/>
  <c r="T85" i="4"/>
  <c r="P84" i="4"/>
  <c r="R83" i="4"/>
  <c r="H74" i="4"/>
  <c r="Q74" i="4" s="1"/>
  <c r="T69" i="4"/>
  <c r="R68" i="4"/>
  <c r="S67" i="4"/>
  <c r="T61" i="4"/>
  <c r="H388" i="4"/>
  <c r="I388" i="4" s="1"/>
  <c r="K416" i="4"/>
  <c r="L416" i="4" s="1"/>
  <c r="H379" i="4"/>
  <c r="I379" i="4" s="1"/>
  <c r="H325" i="4"/>
  <c r="I325" i="4" s="1"/>
  <c r="H305" i="4"/>
  <c r="I305" i="4" s="1"/>
  <c r="H301" i="4"/>
  <c r="I301" i="4" s="1"/>
  <c r="K294" i="4"/>
  <c r="L294" i="4" s="1"/>
  <c r="K287" i="4"/>
  <c r="L287" i="4" s="1"/>
  <c r="K267" i="4"/>
  <c r="L267" i="4" s="1"/>
  <c r="H237" i="4"/>
  <c r="I237" i="4" s="1"/>
  <c r="H229" i="4"/>
  <c r="I229" i="4" s="1"/>
  <c r="H228" i="4"/>
  <c r="I228" i="4" s="1"/>
  <c r="H225" i="4"/>
  <c r="I225" i="4" s="1"/>
  <c r="H214" i="4"/>
  <c r="I214" i="4" s="1"/>
  <c r="S193" i="4"/>
  <c r="H171" i="4"/>
  <c r="I171" i="4" s="1"/>
  <c r="S161" i="4"/>
  <c r="Q159" i="4"/>
  <c r="N155" i="4"/>
  <c r="S154" i="4"/>
  <c r="S140" i="4"/>
  <c r="N138" i="4"/>
  <c r="R134" i="4"/>
  <c r="R99" i="4"/>
  <c r="P98" i="4"/>
  <c r="P83" i="4"/>
  <c r="S73" i="4"/>
  <c r="S69" i="4"/>
  <c r="P68" i="4"/>
  <c r="R67" i="4"/>
  <c r="R61" i="4"/>
  <c r="I350" i="4"/>
  <c r="K344" i="4"/>
  <c r="L344" i="4" s="1"/>
  <c r="H292" i="4"/>
  <c r="I292" i="4" s="1"/>
  <c r="Q193" i="4"/>
  <c r="Q169" i="4"/>
  <c r="T165" i="4"/>
  <c r="Q161" i="4"/>
  <c r="Q154" i="4"/>
  <c r="H150" i="4"/>
  <c r="R150" i="4" s="1"/>
  <c r="Q140" i="4"/>
  <c r="Q134" i="4"/>
  <c r="P133" i="4"/>
  <c r="T130" i="4"/>
  <c r="H126" i="4"/>
  <c r="R126" i="4" s="1"/>
  <c r="T118" i="4"/>
  <c r="H114" i="4"/>
  <c r="K114" i="4" s="1"/>
  <c r="L114" i="4" s="1"/>
  <c r="N99" i="4"/>
  <c r="P90" i="4"/>
  <c r="P67" i="4"/>
  <c r="Q61" i="4"/>
  <c r="H381" i="4"/>
  <c r="I381" i="4" s="1"/>
  <c r="H389" i="4"/>
  <c r="I389" i="4" s="1"/>
  <c r="H383" i="4"/>
  <c r="I383" i="4" s="1"/>
  <c r="H366" i="4"/>
  <c r="I366" i="4" s="1"/>
  <c r="H289" i="4"/>
  <c r="I289" i="4" s="1"/>
  <c r="K259" i="4"/>
  <c r="L259" i="4" s="1"/>
  <c r="K253" i="4"/>
  <c r="L253" i="4" s="1"/>
  <c r="H218" i="4"/>
  <c r="I218" i="4" s="1"/>
  <c r="N193" i="4"/>
  <c r="H185" i="4"/>
  <c r="I185" i="4" s="1"/>
  <c r="H179" i="4"/>
  <c r="K179" i="4" s="1"/>
  <c r="L179" i="4" s="1"/>
  <c r="Q165" i="4"/>
  <c r="N161" i="4"/>
  <c r="S153" i="4"/>
  <c r="P134" i="4"/>
  <c r="Q130" i="4"/>
  <c r="H123" i="4"/>
  <c r="I123" i="4" s="1"/>
  <c r="H78" i="4"/>
  <c r="I78" i="4" s="1"/>
  <c r="R74" i="4"/>
  <c r="K384" i="4"/>
  <c r="L384" i="4" s="1"/>
  <c r="H362" i="4"/>
  <c r="I362" i="4" s="1"/>
  <c r="H361" i="4"/>
  <c r="I361" i="4" s="1"/>
  <c r="K322" i="4"/>
  <c r="L322" i="4" s="1"/>
  <c r="K366" i="4"/>
  <c r="L366" i="4" s="1"/>
  <c r="K329" i="4"/>
  <c r="L329" i="4" s="1"/>
  <c r="H409" i="4"/>
  <c r="I409" i="4" s="1"/>
  <c r="H330" i="4"/>
  <c r="I330" i="4" s="1"/>
  <c r="H329" i="4"/>
  <c r="I329" i="4" s="1"/>
  <c r="H316" i="4"/>
  <c r="I316" i="4" s="1"/>
  <c r="K314" i="4"/>
  <c r="L314" i="4" s="1"/>
  <c r="H385" i="4"/>
  <c r="I385" i="4" s="1"/>
  <c r="H367" i="4"/>
  <c r="I367" i="4" s="1"/>
  <c r="H309" i="4"/>
  <c r="I309" i="4" s="1"/>
  <c r="K371" i="4"/>
  <c r="L371" i="4" s="1"/>
  <c r="H396" i="4"/>
  <c r="I396" i="4" s="1"/>
  <c r="H373" i="4"/>
  <c r="I373" i="4" s="1"/>
  <c r="K311" i="4"/>
  <c r="L311" i="4" s="1"/>
  <c r="H413" i="4"/>
  <c r="I413" i="4" s="1"/>
  <c r="H357" i="4"/>
  <c r="I357" i="4" s="1"/>
  <c r="K395" i="4"/>
  <c r="L395" i="4" s="1"/>
  <c r="K403" i="4"/>
  <c r="L403" i="4" s="1"/>
  <c r="K390" i="4"/>
  <c r="L390" i="4" s="1"/>
  <c r="H346" i="4"/>
  <c r="I346" i="4" s="1"/>
  <c r="H345" i="4"/>
  <c r="I345" i="4" s="1"/>
  <c r="K302" i="4"/>
  <c r="L302" i="4" s="1"/>
  <c r="H411" i="4"/>
  <c r="I411" i="4" s="1"/>
  <c r="H378" i="4"/>
  <c r="I378" i="4" s="1"/>
  <c r="K356" i="4"/>
  <c r="L356" i="4" s="1"/>
  <c r="H217" i="4"/>
  <c r="I217" i="4" s="1"/>
  <c r="T164" i="4"/>
  <c r="P157" i="4"/>
  <c r="S157" i="4"/>
  <c r="T157" i="4"/>
  <c r="N168" i="4"/>
  <c r="S168" i="4"/>
  <c r="T168" i="4"/>
  <c r="H271" i="4"/>
  <c r="I271" i="4" s="1"/>
  <c r="H270" i="4"/>
  <c r="I270" i="4" s="1"/>
  <c r="N171" i="4"/>
  <c r="I401" i="4"/>
  <c r="H390" i="4"/>
  <c r="I390" i="4" s="1"/>
  <c r="H386" i="4"/>
  <c r="I386" i="4" s="1"/>
  <c r="H368" i="4"/>
  <c r="I368" i="4" s="1"/>
  <c r="K339" i="4"/>
  <c r="L339" i="4" s="1"/>
  <c r="K251" i="4"/>
  <c r="L251" i="4" s="1"/>
  <c r="T163" i="4"/>
  <c r="P163" i="4"/>
  <c r="Q163" i="4"/>
  <c r="S163" i="4"/>
  <c r="N163" i="4"/>
  <c r="K415" i="4"/>
  <c r="L415" i="4" s="1"/>
  <c r="K358" i="4"/>
  <c r="L358" i="4" s="1"/>
  <c r="K337" i="4"/>
  <c r="L337" i="4" s="1"/>
  <c r="T137" i="4"/>
  <c r="R137" i="4"/>
  <c r="P137" i="4"/>
  <c r="Q137" i="4"/>
  <c r="S137" i="4"/>
  <c r="N137" i="4"/>
  <c r="K300" i="4"/>
  <c r="L300" i="4" s="1"/>
  <c r="K408" i="4"/>
  <c r="L408" i="4" s="1"/>
  <c r="H370" i="4"/>
  <c r="I370" i="4" s="1"/>
  <c r="K355" i="4"/>
  <c r="L355" i="4" s="1"/>
  <c r="H351" i="4"/>
  <c r="I351" i="4" s="1"/>
  <c r="H339" i="4"/>
  <c r="I339" i="4" s="1"/>
  <c r="H312" i="4"/>
  <c r="I312" i="4" s="1"/>
  <c r="H285" i="4"/>
  <c r="I285" i="4" s="1"/>
  <c r="H243" i="4"/>
  <c r="I243" i="4" s="1"/>
  <c r="H242" i="4"/>
  <c r="I242" i="4" s="1"/>
  <c r="K216" i="4"/>
  <c r="L216" i="4" s="1"/>
  <c r="H156" i="4"/>
  <c r="K156" i="4" s="1"/>
  <c r="L156" i="4" s="1"/>
  <c r="H157" i="4"/>
  <c r="R157" i="4" s="1"/>
  <c r="H391" i="4"/>
  <c r="I391" i="4" s="1"/>
  <c r="K411" i="4"/>
  <c r="L411" i="4" s="1"/>
  <c r="H406" i="4"/>
  <c r="I406" i="4" s="1"/>
  <c r="H387" i="4"/>
  <c r="I387" i="4" s="1"/>
  <c r="H374" i="4"/>
  <c r="I374" i="4" s="1"/>
  <c r="H365" i="4"/>
  <c r="I365" i="4" s="1"/>
  <c r="H358" i="4"/>
  <c r="I358" i="4" s="1"/>
  <c r="H354" i="4"/>
  <c r="I354" i="4" s="1"/>
  <c r="H337" i="4"/>
  <c r="I337" i="4" s="1"/>
  <c r="K324" i="4"/>
  <c r="L324" i="4" s="1"/>
  <c r="Q157" i="4"/>
  <c r="H261" i="4"/>
  <c r="I261" i="4" s="1"/>
  <c r="H262" i="4"/>
  <c r="I262" i="4" s="1"/>
  <c r="K417" i="4"/>
  <c r="L417" i="4" s="1"/>
  <c r="H398" i="4"/>
  <c r="I398" i="4" s="1"/>
  <c r="H392" i="4"/>
  <c r="I392" i="4" s="1"/>
  <c r="H352" i="4"/>
  <c r="I352" i="4" s="1"/>
  <c r="H349" i="4"/>
  <c r="I349" i="4" s="1"/>
  <c r="K295" i="4"/>
  <c r="L295" i="4" s="1"/>
  <c r="H266" i="4"/>
  <c r="I266" i="4" s="1"/>
  <c r="Q168" i="4"/>
  <c r="N157" i="4"/>
  <c r="T138" i="4"/>
  <c r="T115" i="4"/>
  <c r="Q115" i="4"/>
  <c r="P59" i="4"/>
  <c r="N59" i="4"/>
  <c r="R59" i="4"/>
  <c r="S59" i="4"/>
  <c r="H86" i="4"/>
  <c r="I86" i="4" s="1"/>
  <c r="T117" i="4"/>
  <c r="P117" i="4"/>
  <c r="P112" i="4"/>
  <c r="T112" i="4"/>
  <c r="H79" i="4"/>
  <c r="Q79" i="4" s="1"/>
  <c r="T144" i="4"/>
  <c r="H96" i="4"/>
  <c r="K96" i="4" s="1"/>
  <c r="L96" i="4" s="1"/>
  <c r="R144" i="4"/>
  <c r="T141" i="4"/>
  <c r="S141" i="4"/>
  <c r="H131" i="4"/>
  <c r="K131" i="4" s="1"/>
  <c r="L131" i="4" s="1"/>
  <c r="H130" i="4"/>
  <c r="K130" i="4" s="1"/>
  <c r="L130" i="4" s="1"/>
  <c r="R91" i="4"/>
  <c r="H127" i="4"/>
  <c r="I127" i="4" s="1"/>
  <c r="P77" i="4"/>
  <c r="T77" i="4"/>
  <c r="P144" i="4"/>
  <c r="S144" i="4"/>
  <c r="S91" i="4"/>
  <c r="P91" i="4"/>
  <c r="T60" i="4"/>
  <c r="P60" i="4"/>
  <c r="H296" i="4"/>
  <c r="I296" i="4" s="1"/>
  <c r="H147" i="4"/>
  <c r="K147" i="4" s="1"/>
  <c r="L147" i="4" s="1"/>
  <c r="P136" i="4"/>
  <c r="S136" i="4"/>
  <c r="T136" i="4"/>
  <c r="N136" i="4"/>
  <c r="P111" i="4"/>
  <c r="N111" i="4"/>
  <c r="K94" i="4"/>
  <c r="L94" i="4" s="1"/>
  <c r="H70" i="4"/>
  <c r="Q70" i="4" s="1"/>
  <c r="K310" i="4"/>
  <c r="L310" i="4" s="1"/>
  <c r="K303" i="4"/>
  <c r="L303" i="4" s="1"/>
  <c r="H297" i="4"/>
  <c r="I297" i="4" s="1"/>
  <c r="H282" i="4"/>
  <c r="I282" i="4" s="1"/>
  <c r="H236" i="4"/>
  <c r="I236" i="4" s="1"/>
  <c r="H231" i="4"/>
  <c r="I231" i="4" s="1"/>
  <c r="H220" i="4"/>
  <c r="I220" i="4" s="1"/>
  <c r="K211" i="4"/>
  <c r="L211" i="4" s="1"/>
  <c r="H151" i="4"/>
  <c r="I151" i="4" s="1"/>
  <c r="S124" i="4"/>
  <c r="N124" i="4"/>
  <c r="Q124" i="4"/>
  <c r="H118" i="4"/>
  <c r="R118" i="4" s="1"/>
  <c r="H110" i="4"/>
  <c r="K110" i="4" s="1"/>
  <c r="L110" i="4" s="1"/>
  <c r="S93" i="4"/>
  <c r="R75" i="4"/>
  <c r="S75" i="4"/>
  <c r="T75" i="4"/>
  <c r="N75" i="4"/>
  <c r="K290" i="4"/>
  <c r="L290" i="4" s="1"/>
  <c r="H288" i="4"/>
  <c r="I288" i="4" s="1"/>
  <c r="H286" i="4"/>
  <c r="I286" i="4" s="1"/>
  <c r="K279" i="4"/>
  <c r="L279" i="4" s="1"/>
  <c r="N150" i="4"/>
  <c r="P150" i="4"/>
  <c r="Q150" i="4"/>
  <c r="S150" i="4"/>
  <c r="T150" i="4"/>
  <c r="H111" i="4"/>
  <c r="R111" i="4" s="1"/>
  <c r="R93" i="4"/>
  <c r="H71" i="4"/>
  <c r="Q71" i="4" s="1"/>
  <c r="H338" i="4"/>
  <c r="I338" i="4" s="1"/>
  <c r="H320" i="4"/>
  <c r="I320" i="4" s="1"/>
  <c r="H310" i="4"/>
  <c r="I310" i="4" s="1"/>
  <c r="H303" i="4"/>
  <c r="I303" i="4" s="1"/>
  <c r="H206" i="4"/>
  <c r="I206" i="4" s="1"/>
  <c r="P194" i="4"/>
  <c r="T194" i="4"/>
  <c r="N122" i="4"/>
  <c r="P93" i="4"/>
  <c r="S92" i="4"/>
  <c r="P61" i="4"/>
  <c r="S61" i="4"/>
  <c r="H342" i="4"/>
  <c r="I342" i="4" s="1"/>
  <c r="H331" i="4"/>
  <c r="I331" i="4" s="1"/>
  <c r="H294" i="4"/>
  <c r="I294" i="4" s="1"/>
  <c r="H263" i="4"/>
  <c r="I263" i="4" s="1"/>
  <c r="H116" i="4"/>
  <c r="K116" i="4" s="1"/>
  <c r="L116" i="4" s="1"/>
  <c r="S112" i="4"/>
  <c r="N100" i="4"/>
  <c r="P100" i="4"/>
  <c r="R100" i="4"/>
  <c r="S100" i="4"/>
  <c r="T100" i="4"/>
  <c r="N93" i="4"/>
  <c r="T76" i="4"/>
  <c r="S66" i="4"/>
  <c r="P66" i="4"/>
  <c r="H64" i="4"/>
  <c r="I64" i="4" s="1"/>
  <c r="K254" i="4"/>
  <c r="L254" i="4" s="1"/>
  <c r="H141" i="4"/>
  <c r="K141" i="4" s="1"/>
  <c r="L141" i="4" s="1"/>
  <c r="H133" i="4"/>
  <c r="K133" i="4" s="1"/>
  <c r="L133" i="4" s="1"/>
  <c r="Q93" i="4"/>
  <c r="H259" i="4"/>
  <c r="I259" i="4" s="1"/>
  <c r="H238" i="4"/>
  <c r="I238" i="4" s="1"/>
  <c r="H190" i="4"/>
  <c r="I190" i="4" s="1"/>
  <c r="H174" i="4"/>
  <c r="I174" i="4" s="1"/>
  <c r="N167" i="4"/>
  <c r="S165" i="4"/>
  <c r="S159" i="4"/>
  <c r="T156" i="4"/>
  <c r="Q126" i="4"/>
  <c r="Q109" i="4"/>
  <c r="N108" i="4"/>
  <c r="T101" i="4"/>
  <c r="R90" i="4"/>
  <c r="S85" i="4"/>
  <c r="H82" i="4"/>
  <c r="Q82" i="4" s="1"/>
  <c r="P74" i="4"/>
  <c r="H73" i="4"/>
  <c r="Q73" i="4" s="1"/>
  <c r="R69" i="4"/>
  <c r="P65" i="4"/>
  <c r="H60" i="4"/>
  <c r="H219" i="4"/>
  <c r="I219" i="4" s="1"/>
  <c r="K203" i="4"/>
  <c r="L203" i="4" s="1"/>
  <c r="H169" i="4"/>
  <c r="K169" i="4" s="1"/>
  <c r="L169" i="4" s="1"/>
  <c r="H149" i="4"/>
  <c r="K149" i="4" s="1"/>
  <c r="L149" i="4" s="1"/>
  <c r="H125" i="4"/>
  <c r="K125" i="4" s="1"/>
  <c r="L125" i="4" s="1"/>
  <c r="H112" i="4"/>
  <c r="I112" i="4" s="1"/>
  <c r="R101" i="4"/>
  <c r="H89" i="4"/>
  <c r="Q89" i="4" s="1"/>
  <c r="R85" i="4"/>
  <c r="K286" i="4"/>
  <c r="L286" i="4" s="1"/>
  <c r="K271" i="4"/>
  <c r="L271" i="4" s="1"/>
  <c r="K261" i="4"/>
  <c r="L261" i="4" s="1"/>
  <c r="H254" i="4"/>
  <c r="I254" i="4" s="1"/>
  <c r="K225" i="4"/>
  <c r="L225" i="4" s="1"/>
  <c r="K224" i="4"/>
  <c r="L224" i="4" s="1"/>
  <c r="S191" i="4"/>
  <c r="N165" i="4"/>
  <c r="T162" i="4"/>
  <c r="N159" i="4"/>
  <c r="S148" i="4"/>
  <c r="H134" i="4"/>
  <c r="K134" i="4" s="1"/>
  <c r="L134" i="4" s="1"/>
  <c r="T120" i="4"/>
  <c r="P106" i="4"/>
  <c r="P97" i="4"/>
  <c r="H92" i="4"/>
  <c r="K92" i="4" s="1"/>
  <c r="L92" i="4" s="1"/>
  <c r="N85" i="4"/>
  <c r="P81" i="4"/>
  <c r="S79" i="4"/>
  <c r="T70" i="4"/>
  <c r="N69" i="4"/>
  <c r="H251" i="4"/>
  <c r="I251" i="4" s="1"/>
  <c r="H212" i="4"/>
  <c r="I212" i="4" s="1"/>
  <c r="H164" i="4"/>
  <c r="K164" i="4" s="1"/>
  <c r="L164" i="4" s="1"/>
  <c r="H161" i="4"/>
  <c r="I161" i="4" s="1"/>
  <c r="S120" i="4"/>
  <c r="H105" i="4"/>
  <c r="K105" i="4" s="1"/>
  <c r="L105" i="4" s="1"/>
  <c r="P101" i="4"/>
  <c r="H67" i="4"/>
  <c r="Q67" i="4" s="1"/>
  <c r="T197" i="4"/>
  <c r="S197" i="4"/>
  <c r="Q197" i="4"/>
  <c r="P197" i="4"/>
  <c r="S194" i="4"/>
  <c r="H196" i="4"/>
  <c r="R196" i="4" s="1"/>
  <c r="H189" i="4"/>
  <c r="H177" i="4"/>
  <c r="I177" i="4" s="1"/>
  <c r="H182" i="4"/>
  <c r="I182" i="4" s="1"/>
  <c r="H180" i="4"/>
  <c r="K180" i="4" s="1"/>
  <c r="L180" i="4" s="1"/>
  <c r="H173" i="4"/>
  <c r="I173" i="4" s="1"/>
  <c r="P171" i="4"/>
  <c r="S171" i="4"/>
  <c r="Q171" i="4"/>
  <c r="K383" i="4"/>
  <c r="L383" i="4" s="1"/>
  <c r="H414" i="4"/>
  <c r="I414" i="4" s="1"/>
  <c r="K410" i="4"/>
  <c r="L410" i="4" s="1"/>
  <c r="H403" i="4"/>
  <c r="I403" i="4" s="1"/>
  <c r="K396" i="4"/>
  <c r="L396" i="4" s="1"/>
  <c r="K394" i="4"/>
  <c r="L394" i="4" s="1"/>
  <c r="K386" i="4"/>
  <c r="L386" i="4" s="1"/>
  <c r="K364" i="4"/>
  <c r="L364" i="4" s="1"/>
  <c r="K348" i="4"/>
  <c r="L348" i="4" s="1"/>
  <c r="K330" i="4"/>
  <c r="L330" i="4" s="1"/>
  <c r="H295" i="4"/>
  <c r="I295" i="4" s="1"/>
  <c r="K407" i="4"/>
  <c r="L407" i="4" s="1"/>
  <c r="K399" i="4"/>
  <c r="L399" i="4" s="1"/>
  <c r="K372" i="4"/>
  <c r="L372" i="4" s="1"/>
  <c r="K340" i="4"/>
  <c r="L340" i="4" s="1"/>
  <c r="K319" i="4"/>
  <c r="L319" i="4" s="1"/>
  <c r="K362" i="4"/>
  <c r="L362" i="4" s="1"/>
  <c r="K391" i="4"/>
  <c r="L391" i="4" s="1"/>
  <c r="K338" i="4"/>
  <c r="L338" i="4" s="1"/>
  <c r="K304" i="4"/>
  <c r="L304" i="4" s="1"/>
  <c r="K412" i="4"/>
  <c r="L412" i="4" s="1"/>
  <c r="H405" i="4"/>
  <c r="I405" i="4" s="1"/>
  <c r="K404" i="4"/>
  <c r="L404" i="4" s="1"/>
  <c r="I375" i="4"/>
  <c r="K375" i="4"/>
  <c r="L375" i="4" s="1"/>
  <c r="K288" i="4"/>
  <c r="L288" i="4" s="1"/>
  <c r="K247" i="4"/>
  <c r="L247" i="4" s="1"/>
  <c r="K220" i="4"/>
  <c r="L220" i="4" s="1"/>
  <c r="K312" i="4"/>
  <c r="L312" i="4" s="1"/>
  <c r="K409" i="4"/>
  <c r="L409" i="4" s="1"/>
  <c r="K401" i="4"/>
  <c r="L401" i="4" s="1"/>
  <c r="K388" i="4"/>
  <c r="L388" i="4" s="1"/>
  <c r="K378" i="4"/>
  <c r="L378" i="4" s="1"/>
  <c r="K367" i="4"/>
  <c r="L367" i="4" s="1"/>
  <c r="K332" i="4"/>
  <c r="L332" i="4" s="1"/>
  <c r="K296" i="4"/>
  <c r="L296" i="4" s="1"/>
  <c r="K257" i="4"/>
  <c r="L257" i="4" s="1"/>
  <c r="K346" i="4"/>
  <c r="L346" i="4" s="1"/>
  <c r="H399" i="4"/>
  <c r="I399" i="4" s="1"/>
  <c r="I376" i="4"/>
  <c r="K359" i="4"/>
  <c r="L359" i="4" s="1"/>
  <c r="K351" i="4"/>
  <c r="L351" i="4" s="1"/>
  <c r="K335" i="4"/>
  <c r="L335" i="4" s="1"/>
  <c r="K327" i="4"/>
  <c r="L327" i="4" s="1"/>
  <c r="K255" i="4"/>
  <c r="L255" i="4" s="1"/>
  <c r="K380" i="4"/>
  <c r="L380" i="4" s="1"/>
  <c r="K354" i="4"/>
  <c r="L354" i="4" s="1"/>
  <c r="H377" i="4"/>
  <c r="I377" i="4" s="1"/>
  <c r="K370" i="4"/>
  <c r="L370" i="4" s="1"/>
  <c r="H393" i="4"/>
  <c r="I393" i="4" s="1"/>
  <c r="K343" i="4"/>
  <c r="L343" i="4" s="1"/>
  <c r="K397" i="4"/>
  <c r="L397" i="4" s="1"/>
  <c r="K389" i="4"/>
  <c r="L389" i="4" s="1"/>
  <c r="H382" i="4"/>
  <c r="I382" i="4" s="1"/>
  <c r="K373" i="4"/>
  <c r="L373" i="4" s="1"/>
  <c r="K365" i="4"/>
  <c r="L365" i="4" s="1"/>
  <c r="K357" i="4"/>
  <c r="L357" i="4" s="1"/>
  <c r="K349" i="4"/>
  <c r="L349" i="4" s="1"/>
  <c r="K341" i="4"/>
  <c r="L341" i="4" s="1"/>
  <c r="K333" i="4"/>
  <c r="L333" i="4" s="1"/>
  <c r="K323" i="4"/>
  <c r="L323" i="4" s="1"/>
  <c r="K321" i="4"/>
  <c r="L321" i="4" s="1"/>
  <c r="K318" i="4"/>
  <c r="L318" i="4" s="1"/>
  <c r="H240" i="4"/>
  <c r="I240" i="4" s="1"/>
  <c r="H241" i="4"/>
  <c r="I241" i="4" s="1"/>
  <c r="H319" i="4"/>
  <c r="I319" i="4" s="1"/>
  <c r="K315" i="4"/>
  <c r="L315" i="4" s="1"/>
  <c r="K273" i="4"/>
  <c r="L273" i="4" s="1"/>
  <c r="K307" i="4"/>
  <c r="L307" i="4" s="1"/>
  <c r="K265" i="4"/>
  <c r="L265" i="4" s="1"/>
  <c r="H248" i="4"/>
  <c r="I248" i="4" s="1"/>
  <c r="H249" i="4"/>
  <c r="I249" i="4" s="1"/>
  <c r="H210" i="4"/>
  <c r="I210" i="4" s="1"/>
  <c r="H211" i="4"/>
  <c r="I211" i="4" s="1"/>
  <c r="K299" i="4"/>
  <c r="L299" i="4" s="1"/>
  <c r="H256" i="4"/>
  <c r="I256" i="4" s="1"/>
  <c r="H257" i="4"/>
  <c r="I257" i="4" s="1"/>
  <c r="H234" i="4"/>
  <c r="I234" i="4" s="1"/>
  <c r="H235" i="4"/>
  <c r="I235" i="4" s="1"/>
  <c r="H199" i="4"/>
  <c r="I199" i="4" s="1"/>
  <c r="H200" i="4"/>
  <c r="I200" i="4" s="1"/>
  <c r="I317" i="4"/>
  <c r="K309" i="4"/>
  <c r="L309" i="4" s="1"/>
  <c r="K301" i="4"/>
  <c r="L301" i="4" s="1"/>
  <c r="K291" i="4"/>
  <c r="L291" i="4" s="1"/>
  <c r="H290" i="4"/>
  <c r="I290" i="4" s="1"/>
  <c r="K249" i="4"/>
  <c r="L249" i="4" s="1"/>
  <c r="I201" i="4"/>
  <c r="K201" i="4"/>
  <c r="L201" i="4" s="1"/>
  <c r="K293" i="4"/>
  <c r="L293" i="4" s="1"/>
  <c r="H287" i="4"/>
  <c r="I287" i="4" s="1"/>
  <c r="H283" i="4"/>
  <c r="I283" i="4" s="1"/>
  <c r="H278" i="4"/>
  <c r="I278" i="4" s="1"/>
  <c r="H275" i="4"/>
  <c r="I275" i="4" s="1"/>
  <c r="H267" i="4"/>
  <c r="I267" i="4" s="1"/>
  <c r="H258" i="4"/>
  <c r="I258" i="4" s="1"/>
  <c r="K242" i="4"/>
  <c r="L242" i="4" s="1"/>
  <c r="H239" i="4"/>
  <c r="I239" i="4" s="1"/>
  <c r="K228" i="4"/>
  <c r="L228" i="4" s="1"/>
  <c r="H221" i="4"/>
  <c r="I221" i="4" s="1"/>
  <c r="K282" i="4"/>
  <c r="L282" i="4" s="1"/>
  <c r="K274" i="4"/>
  <c r="L274" i="4" s="1"/>
  <c r="K266" i="4"/>
  <c r="L266" i="4" s="1"/>
  <c r="H255" i="4"/>
  <c r="I255" i="4" s="1"/>
  <c r="I250" i="4"/>
  <c r="K250" i="4"/>
  <c r="L250" i="4" s="1"/>
  <c r="K236" i="4"/>
  <c r="L236" i="4" s="1"/>
  <c r="H232" i="4"/>
  <c r="I232" i="4" s="1"/>
  <c r="H233" i="4"/>
  <c r="I233" i="4" s="1"/>
  <c r="H226" i="4"/>
  <c r="I226" i="4" s="1"/>
  <c r="H227" i="4"/>
  <c r="I227" i="4" s="1"/>
  <c r="K280" i="4"/>
  <c r="L280" i="4" s="1"/>
  <c r="K258" i="4"/>
  <c r="L258" i="4" s="1"/>
  <c r="K244" i="4"/>
  <c r="L244" i="4" s="1"/>
  <c r="K222" i="4"/>
  <c r="L222" i="4" s="1"/>
  <c r="K217" i="4"/>
  <c r="L217" i="4" s="1"/>
  <c r="K205" i="4"/>
  <c r="L205" i="4" s="1"/>
  <c r="K284" i="4"/>
  <c r="L284" i="4" s="1"/>
  <c r="K281" i="4"/>
  <c r="L281" i="4" s="1"/>
  <c r="K276" i="4"/>
  <c r="L276" i="4" s="1"/>
  <c r="K272" i="4"/>
  <c r="L272" i="4" s="1"/>
  <c r="K268" i="4"/>
  <c r="L268" i="4" s="1"/>
  <c r="K264" i="4"/>
  <c r="L264" i="4" s="1"/>
  <c r="K252" i="4"/>
  <c r="L252" i="4" s="1"/>
  <c r="K241" i="4"/>
  <c r="L241" i="4" s="1"/>
  <c r="Q196" i="4"/>
  <c r="S196" i="4"/>
  <c r="T196" i="4"/>
  <c r="N196" i="4"/>
  <c r="P196" i="4"/>
  <c r="H280" i="4"/>
  <c r="I280" i="4" s="1"/>
  <c r="H281" i="4"/>
  <c r="I281" i="4" s="1"/>
  <c r="K260" i="4"/>
  <c r="L260" i="4" s="1"/>
  <c r="K240" i="4"/>
  <c r="L240" i="4" s="1"/>
  <c r="K204" i="4"/>
  <c r="L204" i="4" s="1"/>
  <c r="H272" i="4"/>
  <c r="I272" i="4" s="1"/>
  <c r="H273" i="4"/>
  <c r="I273" i="4" s="1"/>
  <c r="H264" i="4"/>
  <c r="I264" i="4" s="1"/>
  <c r="H265" i="4"/>
  <c r="I265" i="4" s="1"/>
  <c r="K256" i="4"/>
  <c r="L256" i="4" s="1"/>
  <c r="K248" i="4"/>
  <c r="L248" i="4" s="1"/>
  <c r="K234" i="4"/>
  <c r="L234" i="4" s="1"/>
  <c r="K221" i="4"/>
  <c r="L221" i="4" s="1"/>
  <c r="K232" i="4"/>
  <c r="L232" i="4" s="1"/>
  <c r="K226" i="4"/>
  <c r="L226" i="4" s="1"/>
  <c r="H213" i="4"/>
  <c r="I213" i="4" s="1"/>
  <c r="K195" i="4"/>
  <c r="L195" i="4" s="1"/>
  <c r="H191" i="4"/>
  <c r="R191" i="4" s="1"/>
  <c r="H192" i="4"/>
  <c r="I192" i="4" s="1"/>
  <c r="H183" i="4"/>
  <c r="I183" i="4" s="1"/>
  <c r="H184" i="4"/>
  <c r="I184" i="4" s="1"/>
  <c r="H223" i="4"/>
  <c r="I223" i="4" s="1"/>
  <c r="H215" i="4"/>
  <c r="I215" i="4" s="1"/>
  <c r="K213" i="4"/>
  <c r="L213" i="4" s="1"/>
  <c r="K209" i="4"/>
  <c r="L209" i="4" s="1"/>
  <c r="K206" i="4"/>
  <c r="L206" i="4" s="1"/>
  <c r="Q190" i="4"/>
  <c r="K212" i="4"/>
  <c r="L212" i="4" s="1"/>
  <c r="H197" i="4"/>
  <c r="I197" i="4" s="1"/>
  <c r="H198" i="4"/>
  <c r="I198" i="4" s="1"/>
  <c r="N192" i="4"/>
  <c r="S192" i="4"/>
  <c r="T192" i="4"/>
  <c r="Q192" i="4"/>
  <c r="P191" i="4"/>
  <c r="T191" i="4"/>
  <c r="Q191" i="4"/>
  <c r="H205" i="4"/>
  <c r="I205" i="4" s="1"/>
  <c r="S190" i="4"/>
  <c r="T190" i="4"/>
  <c r="P190" i="4"/>
  <c r="H166" i="4"/>
  <c r="K166" i="4" s="1"/>
  <c r="L166" i="4" s="1"/>
  <c r="H165" i="4"/>
  <c r="H224" i="4"/>
  <c r="I224" i="4" s="1"/>
  <c r="K214" i="4"/>
  <c r="L214" i="4" s="1"/>
  <c r="H207" i="4"/>
  <c r="I207" i="4" s="1"/>
  <c r="N170" i="4"/>
  <c r="P170" i="4"/>
  <c r="Q170" i="4"/>
  <c r="S170" i="4"/>
  <c r="H162" i="4"/>
  <c r="P158" i="4"/>
  <c r="Q158" i="4"/>
  <c r="S158" i="4"/>
  <c r="T158" i="4"/>
  <c r="N158" i="4"/>
  <c r="N125" i="4"/>
  <c r="Q125" i="4"/>
  <c r="S125" i="4"/>
  <c r="T125" i="4"/>
  <c r="P125" i="4"/>
  <c r="T95" i="4"/>
  <c r="N95" i="4"/>
  <c r="P95" i="4"/>
  <c r="R95" i="4"/>
  <c r="S95" i="4"/>
  <c r="H175" i="4"/>
  <c r="I175" i="4" s="1"/>
  <c r="H176" i="4"/>
  <c r="K174" i="4"/>
  <c r="L174" i="4" s="1"/>
  <c r="H167" i="4"/>
  <c r="I167" i="4" s="1"/>
  <c r="H168" i="4"/>
  <c r="I168" i="4" s="1"/>
  <c r="N194" i="4"/>
  <c r="Q194" i="4"/>
  <c r="H194" i="4"/>
  <c r="T193" i="4"/>
  <c r="H152" i="4"/>
  <c r="I152" i="4" s="1"/>
  <c r="H186" i="4"/>
  <c r="I186" i="4" s="1"/>
  <c r="H178" i="4"/>
  <c r="T170" i="4"/>
  <c r="H170" i="4"/>
  <c r="I170" i="4" s="1"/>
  <c r="N164" i="4"/>
  <c r="Q164" i="4"/>
  <c r="S164" i="4"/>
  <c r="S151" i="4"/>
  <c r="P151" i="4"/>
  <c r="Q151" i="4"/>
  <c r="T151" i="4"/>
  <c r="N151" i="4"/>
  <c r="N131" i="4"/>
  <c r="P131" i="4"/>
  <c r="S131" i="4"/>
  <c r="T131" i="4"/>
  <c r="Q131" i="4"/>
  <c r="Q166" i="4"/>
  <c r="S166" i="4"/>
  <c r="T166" i="4"/>
  <c r="N166" i="4"/>
  <c r="T167" i="4"/>
  <c r="S162" i="4"/>
  <c r="Q160" i="4"/>
  <c r="H160" i="4"/>
  <c r="R160" i="4" s="1"/>
  <c r="H136" i="4"/>
  <c r="I136" i="4" s="1"/>
  <c r="H137" i="4"/>
  <c r="K137" i="4" s="1"/>
  <c r="L137" i="4" s="1"/>
  <c r="N133" i="4"/>
  <c r="Q133" i="4"/>
  <c r="Q119" i="4"/>
  <c r="S119" i="4"/>
  <c r="T119" i="4"/>
  <c r="N119" i="4"/>
  <c r="I100" i="4"/>
  <c r="T169" i="4"/>
  <c r="Q162" i="4"/>
  <c r="T161" i="4"/>
  <c r="N160" i="4"/>
  <c r="S156" i="4"/>
  <c r="H153" i="4"/>
  <c r="K153" i="4" s="1"/>
  <c r="L153" i="4" s="1"/>
  <c r="T152" i="4"/>
  <c r="T149" i="4"/>
  <c r="R148" i="4"/>
  <c r="T148" i="4"/>
  <c r="P148" i="4"/>
  <c r="H143" i="4"/>
  <c r="R143" i="4" s="1"/>
  <c r="S132" i="4"/>
  <c r="H128" i="4"/>
  <c r="K128" i="4" s="1"/>
  <c r="L128" i="4" s="1"/>
  <c r="H129" i="4"/>
  <c r="K129" i="4" s="1"/>
  <c r="L129" i="4" s="1"/>
  <c r="N123" i="4"/>
  <c r="P123" i="4"/>
  <c r="S123" i="4"/>
  <c r="N117" i="4"/>
  <c r="Q117" i="4"/>
  <c r="S169" i="4"/>
  <c r="Q167" i="4"/>
  <c r="P162" i="4"/>
  <c r="S152" i="4"/>
  <c r="S149" i="4"/>
  <c r="T140" i="4"/>
  <c r="P140" i="4"/>
  <c r="R135" i="4"/>
  <c r="H135" i="4"/>
  <c r="I135" i="4" s="1"/>
  <c r="Q132" i="4"/>
  <c r="H120" i="4"/>
  <c r="R120" i="4" s="1"/>
  <c r="H121" i="4"/>
  <c r="H115" i="4"/>
  <c r="R109" i="4"/>
  <c r="K109" i="4"/>
  <c r="L109" i="4" s="1"/>
  <c r="Q156" i="4"/>
  <c r="Q143" i="4"/>
  <c r="S143" i="4"/>
  <c r="T143" i="4"/>
  <c r="N143" i="4"/>
  <c r="T139" i="4"/>
  <c r="S116" i="4"/>
  <c r="P156" i="4"/>
  <c r="Q152" i="4"/>
  <c r="N149" i="4"/>
  <c r="Q149" i="4"/>
  <c r="Q135" i="4"/>
  <c r="S135" i="4"/>
  <c r="T135" i="4"/>
  <c r="N135" i="4"/>
  <c r="T132" i="4"/>
  <c r="P132" i="4"/>
  <c r="Q116" i="4"/>
  <c r="N152" i="4"/>
  <c r="I148" i="4"/>
  <c r="K148" i="4"/>
  <c r="L148" i="4" s="1"/>
  <c r="N147" i="4"/>
  <c r="P147" i="4"/>
  <c r="S147" i="4"/>
  <c r="N141" i="4"/>
  <c r="Q141" i="4"/>
  <c r="S133" i="4"/>
  <c r="T124" i="4"/>
  <c r="P124" i="4"/>
  <c r="H119" i="4"/>
  <c r="I119" i="4" s="1"/>
  <c r="Q104" i="4"/>
  <c r="R104" i="4"/>
  <c r="T104" i="4"/>
  <c r="N104" i="4"/>
  <c r="S104" i="4"/>
  <c r="P104" i="4"/>
  <c r="H144" i="4"/>
  <c r="I144" i="4" s="1"/>
  <c r="H145" i="4"/>
  <c r="I145" i="4" s="1"/>
  <c r="N139" i="4"/>
  <c r="P139" i="4"/>
  <c r="S139" i="4"/>
  <c r="Q127" i="4"/>
  <c r="S127" i="4"/>
  <c r="T127" i="4"/>
  <c r="N127" i="4"/>
  <c r="T116" i="4"/>
  <c r="P116" i="4"/>
  <c r="S115" i="4"/>
  <c r="H113" i="4"/>
  <c r="R113" i="4" s="1"/>
  <c r="P110" i="4"/>
  <c r="S110" i="4"/>
  <c r="I69" i="4"/>
  <c r="K69" i="4"/>
  <c r="L69" i="4" s="1"/>
  <c r="S146" i="4"/>
  <c r="Q144" i="4"/>
  <c r="S138" i="4"/>
  <c r="Q136" i="4"/>
  <c r="S130" i="4"/>
  <c r="Q128" i="4"/>
  <c r="S122" i="4"/>
  <c r="Q120" i="4"/>
  <c r="P115" i="4"/>
  <c r="S114" i="4"/>
  <c r="Q112" i="4"/>
  <c r="T111" i="4"/>
  <c r="I109" i="4"/>
  <c r="H108" i="4"/>
  <c r="R108" i="4" s="1"/>
  <c r="N115" i="4"/>
  <c r="S111" i="4"/>
  <c r="T110" i="4"/>
  <c r="T103" i="4"/>
  <c r="N103" i="4"/>
  <c r="P103" i="4"/>
  <c r="R103" i="4"/>
  <c r="N94" i="4"/>
  <c r="P94" i="4"/>
  <c r="R94" i="4"/>
  <c r="S94" i="4"/>
  <c r="H91" i="4"/>
  <c r="K91" i="4" s="1"/>
  <c r="L91" i="4" s="1"/>
  <c r="R88" i="4"/>
  <c r="S88" i="4"/>
  <c r="T88" i="4"/>
  <c r="N88" i="4"/>
  <c r="T102" i="4"/>
  <c r="H68" i="4"/>
  <c r="P64" i="4"/>
  <c r="R64" i="4"/>
  <c r="S64" i="4"/>
  <c r="T64" i="4"/>
  <c r="N64" i="4"/>
  <c r="Q111" i="4"/>
  <c r="Q110" i="4"/>
  <c r="R96" i="4"/>
  <c r="T96" i="4"/>
  <c r="N96" i="4"/>
  <c r="H90" i="4"/>
  <c r="I90" i="4" s="1"/>
  <c r="I89" i="4"/>
  <c r="H76" i="4"/>
  <c r="P72" i="4"/>
  <c r="R72" i="4"/>
  <c r="S72" i="4"/>
  <c r="T72" i="4"/>
  <c r="N72" i="4"/>
  <c r="H107" i="4"/>
  <c r="R107" i="4" s="1"/>
  <c r="N102" i="4"/>
  <c r="P102" i="4"/>
  <c r="R102" i="4"/>
  <c r="S102" i="4"/>
  <c r="H98" i="4"/>
  <c r="I98" i="4" s="1"/>
  <c r="N86" i="4"/>
  <c r="P86" i="4"/>
  <c r="R86" i="4"/>
  <c r="S86" i="4"/>
  <c r="P80" i="4"/>
  <c r="R80" i="4"/>
  <c r="S80" i="4"/>
  <c r="T80" i="4"/>
  <c r="N80" i="4"/>
  <c r="I61" i="4"/>
  <c r="K61" i="4"/>
  <c r="L61" i="4" s="1"/>
  <c r="Q106" i="4"/>
  <c r="T105" i="4"/>
  <c r="T97" i="4"/>
  <c r="T89" i="4"/>
  <c r="R87" i="4"/>
  <c r="S84" i="4"/>
  <c r="T81" i="4"/>
  <c r="R79" i="4"/>
  <c r="S76" i="4"/>
  <c r="T73" i="4"/>
  <c r="R71" i="4"/>
  <c r="S68" i="4"/>
  <c r="T65" i="4"/>
  <c r="R63" i="4"/>
  <c r="S60" i="4"/>
  <c r="T107" i="4"/>
  <c r="N106" i="4"/>
  <c r="R105" i="4"/>
  <c r="T99" i="4"/>
  <c r="N98" i="4"/>
  <c r="R97" i="4"/>
  <c r="T91" i="4"/>
  <c r="N90" i="4"/>
  <c r="R89" i="4"/>
  <c r="P87" i="4"/>
  <c r="N82" i="4"/>
  <c r="R81" i="4"/>
  <c r="P79" i="4"/>
  <c r="S78" i="4"/>
  <c r="N74" i="4"/>
  <c r="R73" i="4"/>
  <c r="P71" i="4"/>
  <c r="S70" i="4"/>
  <c r="N66" i="4"/>
  <c r="R65" i="4"/>
  <c r="P63" i="4"/>
  <c r="S62" i="4"/>
  <c r="T59" i="4"/>
  <c r="N58" i="4"/>
  <c r="N87" i="4"/>
  <c r="N79" i="4"/>
  <c r="R78" i="4"/>
  <c r="N71" i="4"/>
  <c r="R70" i="4"/>
  <c r="N63" i="4"/>
  <c r="R62" i="4"/>
  <c r="Q62" i="4"/>
  <c r="Q107" i="4"/>
  <c r="T106" i="4"/>
  <c r="T98" i="4"/>
  <c r="T90" i="4"/>
  <c r="T82" i="4"/>
  <c r="P78" i="4"/>
  <c r="T74" i="4"/>
  <c r="P70" i="4"/>
  <c r="T66" i="4"/>
  <c r="P62" i="4"/>
  <c r="T58" i="4"/>
  <c r="I103" i="4" l="1"/>
  <c r="K155" i="4"/>
  <c r="L155" i="4" s="1"/>
  <c r="I146" i="4"/>
  <c r="K163" i="4"/>
  <c r="L163" i="4" s="1"/>
  <c r="I163" i="4"/>
  <c r="Q59" i="4"/>
  <c r="I155" i="4"/>
  <c r="K103" i="4"/>
  <c r="L103" i="4" s="1"/>
  <c r="I111" i="4"/>
  <c r="K100" i="4"/>
  <c r="L100" i="4" s="1"/>
  <c r="I59" i="4"/>
  <c r="R116" i="4"/>
  <c r="K150" i="4"/>
  <c r="L150" i="4" s="1"/>
  <c r="I82" i="4"/>
  <c r="I116" i="4"/>
  <c r="I158" i="4"/>
  <c r="R164" i="4"/>
  <c r="I159" i="4"/>
  <c r="K97" i="4"/>
  <c r="L97" i="4" s="1"/>
  <c r="I130" i="4"/>
  <c r="K158" i="4"/>
  <c r="L158" i="4" s="1"/>
  <c r="R169" i="4"/>
  <c r="I180" i="4"/>
  <c r="K88" i="4"/>
  <c r="L88" i="4" s="1"/>
  <c r="K159" i="4"/>
  <c r="L159" i="4" s="1"/>
  <c r="I169" i="4"/>
  <c r="K101" i="4"/>
  <c r="L101" i="4" s="1"/>
  <c r="I66" i="4"/>
  <c r="R138" i="4"/>
  <c r="I101" i="4"/>
  <c r="R140" i="4"/>
  <c r="K138" i="4"/>
  <c r="L138" i="4" s="1"/>
  <c r="Q66" i="4"/>
  <c r="K140" i="4"/>
  <c r="L140" i="4" s="1"/>
  <c r="I93" i="4"/>
  <c r="K80" i="4"/>
  <c r="L80" i="4" s="1"/>
  <c r="I71" i="4"/>
  <c r="R124" i="4"/>
  <c r="K117" i="4"/>
  <c r="L117" i="4" s="1"/>
  <c r="Q80" i="4"/>
  <c r="I142" i="4"/>
  <c r="K124" i="4"/>
  <c r="L124" i="4" s="1"/>
  <c r="Q72" i="4"/>
  <c r="I117" i="4"/>
  <c r="K142" i="4"/>
  <c r="L142" i="4" s="1"/>
  <c r="I77" i="4"/>
  <c r="I72" i="4"/>
  <c r="K139" i="4"/>
  <c r="L139" i="4" s="1"/>
  <c r="I99" i="4"/>
  <c r="K99" i="4"/>
  <c r="L99" i="4" s="1"/>
  <c r="I139" i="4"/>
  <c r="R106" i="4"/>
  <c r="R122" i="4"/>
  <c r="R132" i="4"/>
  <c r="I105" i="4"/>
  <c r="K132" i="4"/>
  <c r="L132" i="4" s="1"/>
  <c r="K75" i="4"/>
  <c r="L75" i="4" s="1"/>
  <c r="R130" i="4"/>
  <c r="I106" i="4"/>
  <c r="K146" i="4"/>
  <c r="L146" i="4" s="1"/>
  <c r="K122" i="4"/>
  <c r="L122" i="4" s="1"/>
  <c r="K102" i="4"/>
  <c r="L102" i="4" s="1"/>
  <c r="I118" i="4"/>
  <c r="I97" i="4"/>
  <c r="I102" i="4"/>
  <c r="I134" i="4"/>
  <c r="K190" i="4"/>
  <c r="L190" i="4" s="1"/>
  <c r="Q75" i="4"/>
  <c r="I95" i="4"/>
  <c r="Q78" i="4"/>
  <c r="K81" i="4"/>
  <c r="L81" i="4" s="1"/>
  <c r="Q84" i="4"/>
  <c r="I114" i="4"/>
  <c r="R190" i="4"/>
  <c r="K87" i="4"/>
  <c r="L87" i="4" s="1"/>
  <c r="Q77" i="4"/>
  <c r="I179" i="4"/>
  <c r="Q81" i="4"/>
  <c r="K67" i="4"/>
  <c r="L67" i="4" s="1"/>
  <c r="K85" i="4"/>
  <c r="L85" i="4" s="1"/>
  <c r="I88" i="4"/>
  <c r="K78" i="4"/>
  <c r="L78" i="4" s="1"/>
  <c r="K151" i="4"/>
  <c r="L151" i="4" s="1"/>
  <c r="Q85" i="4"/>
  <c r="I87" i="4"/>
  <c r="R151" i="4"/>
  <c r="K73" i="4"/>
  <c r="L73" i="4" s="1"/>
  <c r="K95" i="4"/>
  <c r="L95" i="4" s="1"/>
  <c r="I67" i="4"/>
  <c r="I181" i="4"/>
  <c r="I63" i="4"/>
  <c r="K118" i="4"/>
  <c r="L118" i="4" s="1"/>
  <c r="R171" i="4"/>
  <c r="K65" i="4"/>
  <c r="L65" i="4" s="1"/>
  <c r="K161" i="4"/>
  <c r="L161" i="4" s="1"/>
  <c r="K63" i="4"/>
  <c r="L63" i="4" s="1"/>
  <c r="K143" i="4"/>
  <c r="L143" i="4" s="1"/>
  <c r="I65" i="4"/>
  <c r="K185" i="4"/>
  <c r="L185" i="4" s="1"/>
  <c r="I156" i="4"/>
  <c r="R156" i="4"/>
  <c r="K177" i="4"/>
  <c r="L177" i="4" s="1"/>
  <c r="R154" i="4"/>
  <c r="R161" i="4"/>
  <c r="R114" i="4"/>
  <c r="R141" i="4"/>
  <c r="K187" i="4"/>
  <c r="L187" i="4" s="1"/>
  <c r="K171" i="4"/>
  <c r="L171" i="4" s="1"/>
  <c r="K154" i="4"/>
  <c r="L154" i="4" s="1"/>
  <c r="I150" i="4"/>
  <c r="I79" i="4"/>
  <c r="R193" i="4"/>
  <c r="K83" i="4"/>
  <c r="L83" i="4" s="1"/>
  <c r="K82" i="4"/>
  <c r="L82" i="4" s="1"/>
  <c r="I196" i="4"/>
  <c r="K172" i="4"/>
  <c r="L172" i="4" s="1"/>
  <c r="K111" i="4"/>
  <c r="L111" i="4" s="1"/>
  <c r="K104" i="4"/>
  <c r="L104" i="4" s="1"/>
  <c r="I84" i="4"/>
  <c r="R123" i="4"/>
  <c r="I191" i="4"/>
  <c r="I188" i="4"/>
  <c r="Q94" i="4"/>
  <c r="I141" i="4"/>
  <c r="I126" i="4"/>
  <c r="I157" i="4"/>
  <c r="I131" i="4"/>
  <c r="K193" i="4"/>
  <c r="L193" i="4" s="1"/>
  <c r="K79" i="4"/>
  <c r="L79" i="4" s="1"/>
  <c r="K98" i="4"/>
  <c r="L98" i="4" s="1"/>
  <c r="K112" i="4"/>
  <c r="L112" i="4" s="1"/>
  <c r="K126" i="4"/>
  <c r="L126" i="4" s="1"/>
  <c r="I143" i="4"/>
  <c r="K200" i="4"/>
  <c r="L200" i="4" s="1"/>
  <c r="R149" i="4"/>
  <c r="K123" i="4"/>
  <c r="L123" i="4" s="1"/>
  <c r="K183" i="4"/>
  <c r="L183" i="4" s="1"/>
  <c r="R147" i="4"/>
  <c r="K191" i="4"/>
  <c r="L191" i="4" s="1"/>
  <c r="I92" i="4"/>
  <c r="K175" i="4"/>
  <c r="L175" i="4" s="1"/>
  <c r="I83" i="4"/>
  <c r="K74" i="4"/>
  <c r="L74" i="4" s="1"/>
  <c r="I96" i="4"/>
  <c r="Q98" i="4"/>
  <c r="I74" i="4"/>
  <c r="Q96" i="4"/>
  <c r="I147" i="4"/>
  <c r="K196" i="4"/>
  <c r="L196" i="4" s="1"/>
  <c r="Q64" i="4"/>
  <c r="R131" i="4"/>
  <c r="K157" i="4"/>
  <c r="L157" i="4" s="1"/>
  <c r="I164" i="4"/>
  <c r="K199" i="4"/>
  <c r="L199" i="4" s="1"/>
  <c r="Q92" i="4"/>
  <c r="Q86" i="4"/>
  <c r="K64" i="4"/>
  <c r="L64" i="4" s="1"/>
  <c r="K127" i="4"/>
  <c r="L127" i="4" s="1"/>
  <c r="R133" i="4"/>
  <c r="I120" i="4"/>
  <c r="K170" i="4"/>
  <c r="L170" i="4" s="1"/>
  <c r="I73" i="4"/>
  <c r="R127" i="4"/>
  <c r="K198" i="4"/>
  <c r="L198" i="4" s="1"/>
  <c r="I178" i="4"/>
  <c r="K178" i="4"/>
  <c r="L178" i="4" s="1"/>
  <c r="I194" i="4"/>
  <c r="R194" i="4"/>
  <c r="I189" i="4"/>
  <c r="K189" i="4"/>
  <c r="L189" i="4" s="1"/>
  <c r="K145" i="4"/>
  <c r="L145" i="4" s="1"/>
  <c r="I125" i="4"/>
  <c r="K86" i="4"/>
  <c r="L86" i="4" s="1"/>
  <c r="K144" i="4"/>
  <c r="L144" i="4" s="1"/>
  <c r="I133" i="4"/>
  <c r="I149" i="4"/>
  <c r="I70" i="4"/>
  <c r="K70" i="4"/>
  <c r="L70" i="4" s="1"/>
  <c r="R170" i="4"/>
  <c r="R192" i="4"/>
  <c r="R119" i="4"/>
  <c r="K192" i="4"/>
  <c r="L192" i="4" s="1"/>
  <c r="K194" i="4"/>
  <c r="L194" i="4" s="1"/>
  <c r="K186" i="4"/>
  <c r="L186" i="4" s="1"/>
  <c r="K60" i="4"/>
  <c r="L60" i="4" s="1"/>
  <c r="I60" i="4"/>
  <c r="K184" i="4"/>
  <c r="L184" i="4" s="1"/>
  <c r="Q91" i="4"/>
  <c r="Q90" i="4"/>
  <c r="R197" i="4"/>
  <c r="K152" i="4"/>
  <c r="L152" i="4" s="1"/>
  <c r="K89" i="4"/>
  <c r="L89" i="4" s="1"/>
  <c r="Q60" i="4"/>
  <c r="I176" i="4"/>
  <c r="K176" i="4"/>
  <c r="L176" i="4" s="1"/>
  <c r="K182" i="4"/>
  <c r="L182" i="4" s="1"/>
  <c r="K197" i="4"/>
  <c r="L197" i="4" s="1"/>
  <c r="K71" i="4"/>
  <c r="L71" i="4" s="1"/>
  <c r="I128" i="4"/>
  <c r="R125" i="4"/>
  <c r="K173" i="4"/>
  <c r="L173" i="4" s="1"/>
  <c r="R110" i="4"/>
  <c r="I110" i="4"/>
  <c r="R112" i="4"/>
  <c r="I107" i="4"/>
  <c r="K115" i="4"/>
  <c r="L115" i="4" s="1"/>
  <c r="R115" i="4"/>
  <c r="I115" i="4"/>
  <c r="K165" i="4"/>
  <c r="L165" i="4" s="1"/>
  <c r="I165" i="4"/>
  <c r="R165" i="4"/>
  <c r="K90" i="4"/>
  <c r="L90" i="4" s="1"/>
  <c r="K136" i="4"/>
  <c r="L136" i="4" s="1"/>
  <c r="K119" i="4"/>
  <c r="L119" i="4" s="1"/>
  <c r="R153" i="4"/>
  <c r="I153" i="4"/>
  <c r="R167" i="4"/>
  <c r="I108" i="4"/>
  <c r="I91" i="4"/>
  <c r="K120" i="4"/>
  <c r="L120" i="4" s="1"/>
  <c r="K162" i="4"/>
  <c r="L162" i="4" s="1"/>
  <c r="I162" i="4"/>
  <c r="R162" i="4"/>
  <c r="K76" i="4"/>
  <c r="L76" i="4" s="1"/>
  <c r="I76" i="4"/>
  <c r="I113" i="4"/>
  <c r="K108" i="4"/>
  <c r="L108" i="4" s="1"/>
  <c r="K68" i="4"/>
  <c r="L68" i="4" s="1"/>
  <c r="I68" i="4"/>
  <c r="R152" i="4"/>
  <c r="I137" i="4"/>
  <c r="K167" i="4"/>
  <c r="L167" i="4" s="1"/>
  <c r="I166" i="4"/>
  <c r="R121" i="4"/>
  <c r="K121" i="4"/>
  <c r="L121" i="4" s="1"/>
  <c r="I121" i="4"/>
  <c r="Q76" i="4"/>
  <c r="K160" i="4"/>
  <c r="L160" i="4" s="1"/>
  <c r="I129" i="4"/>
  <c r="R166" i="4"/>
  <c r="K113" i="4"/>
  <c r="L113" i="4" s="1"/>
  <c r="K107" i="4"/>
  <c r="L107" i="4" s="1"/>
  <c r="Q68" i="4"/>
  <c r="I160" i="4"/>
  <c r="K135" i="4"/>
  <c r="L135" i="4" s="1"/>
  <c r="R168" i="4"/>
  <c r="K168" i="4"/>
  <c r="L168" i="4" s="1"/>
  <c r="D6" i="4" l="1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H58" i="4" s="1"/>
  <c r="Q58" i="4" l="1"/>
  <c r="I58" i="4"/>
  <c r="K58" i="4"/>
  <c r="L58" i="4" s="1"/>
  <c r="Q313" i="14"/>
  <c r="R313" i="14"/>
  <c r="Q314" i="14"/>
  <c r="R314" i="14"/>
  <c r="L314" i="14" s="1"/>
  <c r="C301" i="4" s="1"/>
  <c r="Q315" i="14"/>
  <c r="K315" i="14" s="1"/>
  <c r="B302" i="4" s="1"/>
  <c r="R315" i="14"/>
  <c r="L315" i="14" s="1"/>
  <c r="C302" i="4" s="1"/>
  <c r="Q316" i="14"/>
  <c r="K316" i="14" s="1"/>
  <c r="B303" i="4" s="1"/>
  <c r="R316" i="14"/>
  <c r="Q317" i="14"/>
  <c r="R317" i="14"/>
  <c r="L317" i="14" s="1"/>
  <c r="C304" i="4" s="1"/>
  <c r="Q318" i="14"/>
  <c r="R318" i="14"/>
  <c r="L318" i="14" s="1"/>
  <c r="C305" i="4" s="1"/>
  <c r="Q319" i="14"/>
  <c r="K319" i="14" s="1"/>
  <c r="B306" i="4" s="1"/>
  <c r="R319" i="14"/>
  <c r="L319" i="14" s="1"/>
  <c r="C306" i="4" s="1"/>
  <c r="Q320" i="14"/>
  <c r="K320" i="14" s="1"/>
  <c r="B307" i="4" s="1"/>
  <c r="R320" i="14"/>
  <c r="L320" i="14" s="1"/>
  <c r="C307" i="4" s="1"/>
  <c r="Q321" i="14"/>
  <c r="R321" i="14"/>
  <c r="Q322" i="14"/>
  <c r="R322" i="14"/>
  <c r="L322" i="14" s="1"/>
  <c r="C309" i="4" s="1"/>
  <c r="Q323" i="14"/>
  <c r="K323" i="14" s="1"/>
  <c r="B310" i="4" s="1"/>
  <c r="R323" i="14"/>
  <c r="L323" i="14" s="1"/>
  <c r="C310" i="4" s="1"/>
  <c r="Q324" i="14"/>
  <c r="K324" i="14" s="1"/>
  <c r="B311" i="4" s="1"/>
  <c r="R324" i="14"/>
  <c r="L324" i="14" s="1"/>
  <c r="C311" i="4" s="1"/>
  <c r="Q325" i="14"/>
  <c r="R325" i="14"/>
  <c r="L325" i="14" s="1"/>
  <c r="C312" i="4" s="1"/>
  <c r="Q326" i="14"/>
  <c r="R326" i="14"/>
  <c r="L326" i="14" s="1"/>
  <c r="C313" i="4" s="1"/>
  <c r="Q327" i="14"/>
  <c r="K327" i="14" s="1"/>
  <c r="B314" i="4" s="1"/>
  <c r="R327" i="14"/>
  <c r="L327" i="14" s="1"/>
  <c r="C314" i="4" s="1"/>
  <c r="Q328" i="14"/>
  <c r="K328" i="14" s="1"/>
  <c r="B315" i="4" s="1"/>
  <c r="R328" i="14"/>
  <c r="Q329" i="14"/>
  <c r="R329" i="14"/>
  <c r="L329" i="14" s="1"/>
  <c r="C316" i="4" s="1"/>
  <c r="Q330" i="14"/>
  <c r="R330" i="14"/>
  <c r="L330" i="14" s="1"/>
  <c r="C317" i="4" s="1"/>
  <c r="Q331" i="14"/>
  <c r="K331" i="14" s="1"/>
  <c r="B318" i="4" s="1"/>
  <c r="R331" i="14"/>
  <c r="L331" i="14" s="1"/>
  <c r="C318" i="4" s="1"/>
  <c r="Q332" i="14"/>
  <c r="K332" i="14" s="1"/>
  <c r="B319" i="4" s="1"/>
  <c r="R332" i="14"/>
  <c r="L332" i="14" s="1"/>
  <c r="C319" i="4" s="1"/>
  <c r="Q333" i="14"/>
  <c r="R333" i="14"/>
  <c r="Q334" i="14"/>
  <c r="R334" i="14"/>
  <c r="L334" i="14" s="1"/>
  <c r="C321" i="4" s="1"/>
  <c r="Q335" i="14"/>
  <c r="K335" i="14" s="1"/>
  <c r="B322" i="4" s="1"/>
  <c r="R335" i="14"/>
  <c r="L335" i="14" s="1"/>
  <c r="C322" i="4" s="1"/>
  <c r="Q336" i="14"/>
  <c r="K336" i="14" s="1"/>
  <c r="B323" i="4" s="1"/>
  <c r="R336" i="14"/>
  <c r="Q337" i="14"/>
  <c r="R337" i="14"/>
  <c r="Q338" i="14"/>
  <c r="R338" i="14"/>
  <c r="L338" i="14" s="1"/>
  <c r="C325" i="4" s="1"/>
  <c r="Q339" i="14"/>
  <c r="K339" i="14" s="1"/>
  <c r="B326" i="4" s="1"/>
  <c r="R339" i="14"/>
  <c r="L339" i="14" s="1"/>
  <c r="C326" i="4" s="1"/>
  <c r="Q340" i="14"/>
  <c r="K340" i="14" s="1"/>
  <c r="B327" i="4" s="1"/>
  <c r="R340" i="14"/>
  <c r="L340" i="14" s="1"/>
  <c r="C327" i="4" s="1"/>
  <c r="Q341" i="14"/>
  <c r="R341" i="14"/>
  <c r="Q342" i="14"/>
  <c r="R342" i="14"/>
  <c r="L342" i="14" s="1"/>
  <c r="C329" i="4" s="1"/>
  <c r="Q343" i="14"/>
  <c r="K343" i="14" s="1"/>
  <c r="B330" i="4" s="1"/>
  <c r="R343" i="14"/>
  <c r="L343" i="14" s="1"/>
  <c r="C330" i="4" s="1"/>
  <c r="Q344" i="14"/>
  <c r="K344" i="14" s="1"/>
  <c r="B331" i="4" s="1"/>
  <c r="R344" i="14"/>
  <c r="Q345" i="14"/>
  <c r="R345" i="14"/>
  <c r="Q346" i="14"/>
  <c r="R346" i="14"/>
  <c r="L346" i="14" s="1"/>
  <c r="C333" i="4" s="1"/>
  <c r="Q347" i="14"/>
  <c r="K347" i="14" s="1"/>
  <c r="B334" i="4" s="1"/>
  <c r="R347" i="14"/>
  <c r="L347" i="14" s="1"/>
  <c r="C334" i="4" s="1"/>
  <c r="Q348" i="14"/>
  <c r="K348" i="14" s="1"/>
  <c r="B335" i="4" s="1"/>
  <c r="R348" i="14"/>
  <c r="Q349" i="14"/>
  <c r="R349" i="14"/>
  <c r="L349" i="14" s="1"/>
  <c r="C336" i="4" s="1"/>
  <c r="Q350" i="14"/>
  <c r="R350" i="14"/>
  <c r="L350" i="14" s="1"/>
  <c r="C337" i="4" s="1"/>
  <c r="Q351" i="14"/>
  <c r="K351" i="14" s="1"/>
  <c r="B338" i="4" s="1"/>
  <c r="R351" i="14"/>
  <c r="L351" i="14" s="1"/>
  <c r="C338" i="4" s="1"/>
  <c r="Q352" i="14"/>
  <c r="K352" i="14" s="1"/>
  <c r="B339" i="4" s="1"/>
  <c r="R352" i="14"/>
  <c r="Q353" i="14"/>
  <c r="R353" i="14"/>
  <c r="Q354" i="14"/>
  <c r="R354" i="14"/>
  <c r="L354" i="14" s="1"/>
  <c r="C341" i="4" s="1"/>
  <c r="Q355" i="14"/>
  <c r="K355" i="14" s="1"/>
  <c r="B342" i="4" s="1"/>
  <c r="R355" i="14"/>
  <c r="L355" i="14" s="1"/>
  <c r="C342" i="4" s="1"/>
  <c r="Q356" i="14"/>
  <c r="K356" i="14" s="1"/>
  <c r="B343" i="4" s="1"/>
  <c r="R356" i="14"/>
  <c r="L356" i="14" s="1"/>
  <c r="C343" i="4" s="1"/>
  <c r="Q357" i="14"/>
  <c r="R357" i="14"/>
  <c r="L357" i="14" s="1"/>
  <c r="C344" i="4" s="1"/>
  <c r="Q358" i="14"/>
  <c r="R358" i="14"/>
  <c r="L358" i="14" s="1"/>
  <c r="C345" i="4" s="1"/>
  <c r="Q359" i="14"/>
  <c r="K359" i="14" s="1"/>
  <c r="B346" i="4" s="1"/>
  <c r="R359" i="14"/>
  <c r="L359" i="14" s="1"/>
  <c r="C346" i="4" s="1"/>
  <c r="Q360" i="14"/>
  <c r="K360" i="14" s="1"/>
  <c r="B347" i="4" s="1"/>
  <c r="R360" i="14"/>
  <c r="Q361" i="14"/>
  <c r="R361" i="14"/>
  <c r="L361" i="14" s="1"/>
  <c r="C348" i="4" s="1"/>
  <c r="Q362" i="14"/>
  <c r="R362" i="14"/>
  <c r="L362" i="14" s="1"/>
  <c r="C349" i="4" s="1"/>
  <c r="Q363" i="14"/>
  <c r="K363" i="14" s="1"/>
  <c r="B350" i="4" s="1"/>
  <c r="R363" i="14"/>
  <c r="L363" i="14" s="1"/>
  <c r="C350" i="4" s="1"/>
  <c r="Q364" i="14"/>
  <c r="K364" i="14" s="1"/>
  <c r="B351" i="4" s="1"/>
  <c r="R364" i="14"/>
  <c r="Q365" i="14"/>
  <c r="R365" i="14"/>
  <c r="Q366" i="14"/>
  <c r="R366" i="14"/>
  <c r="L366" i="14" s="1"/>
  <c r="C353" i="4" s="1"/>
  <c r="Q367" i="14"/>
  <c r="K367" i="14" s="1"/>
  <c r="B354" i="4" s="1"/>
  <c r="R367" i="14"/>
  <c r="L367" i="14" s="1"/>
  <c r="C354" i="4" s="1"/>
  <c r="Q368" i="14"/>
  <c r="K368" i="14" s="1"/>
  <c r="B355" i="4" s="1"/>
  <c r="R368" i="14"/>
  <c r="Q369" i="14"/>
  <c r="R369" i="14"/>
  <c r="L369" i="14" s="1"/>
  <c r="C356" i="4" s="1"/>
  <c r="Q370" i="14"/>
  <c r="R370" i="14"/>
  <c r="L370" i="14" s="1"/>
  <c r="C357" i="4" s="1"/>
  <c r="Q371" i="14"/>
  <c r="K371" i="14" s="1"/>
  <c r="B358" i="4" s="1"/>
  <c r="R371" i="14"/>
  <c r="L371" i="14" s="1"/>
  <c r="C358" i="4" s="1"/>
  <c r="Q372" i="14"/>
  <c r="K372" i="14" s="1"/>
  <c r="B359" i="4" s="1"/>
  <c r="R372" i="14"/>
  <c r="Q373" i="14"/>
  <c r="R373" i="14"/>
  <c r="L373" i="14" s="1"/>
  <c r="C360" i="4" s="1"/>
  <c r="Q374" i="14"/>
  <c r="R374" i="14"/>
  <c r="L374" i="14" s="1"/>
  <c r="C361" i="4" s="1"/>
  <c r="Q375" i="14"/>
  <c r="K375" i="14" s="1"/>
  <c r="B362" i="4" s="1"/>
  <c r="R375" i="14"/>
  <c r="L375" i="14" s="1"/>
  <c r="C362" i="4" s="1"/>
  <c r="Q376" i="14"/>
  <c r="K376" i="14" s="1"/>
  <c r="B363" i="4" s="1"/>
  <c r="R376" i="14"/>
  <c r="L376" i="14" s="1"/>
  <c r="C363" i="4" s="1"/>
  <c r="Q377" i="14"/>
  <c r="R377" i="14"/>
  <c r="Q378" i="14"/>
  <c r="R378" i="14"/>
  <c r="L378" i="14" s="1"/>
  <c r="C365" i="4" s="1"/>
  <c r="Q379" i="14"/>
  <c r="K379" i="14" s="1"/>
  <c r="B366" i="4" s="1"/>
  <c r="R379" i="14"/>
  <c r="L379" i="14" s="1"/>
  <c r="C366" i="4" s="1"/>
  <c r="Q380" i="14"/>
  <c r="K380" i="14" s="1"/>
  <c r="B367" i="4" s="1"/>
  <c r="R380" i="14"/>
  <c r="Q381" i="14"/>
  <c r="R381" i="14"/>
  <c r="L381" i="14" s="1"/>
  <c r="C368" i="4" s="1"/>
  <c r="Q382" i="14"/>
  <c r="R382" i="14"/>
  <c r="L382" i="14" s="1"/>
  <c r="C369" i="4" s="1"/>
  <c r="Q383" i="14"/>
  <c r="K383" i="14" s="1"/>
  <c r="B370" i="4" s="1"/>
  <c r="R383" i="14"/>
  <c r="L383" i="14" s="1"/>
  <c r="C370" i="4" s="1"/>
  <c r="Q384" i="14"/>
  <c r="K384" i="14" s="1"/>
  <c r="B371" i="4" s="1"/>
  <c r="R384" i="14"/>
  <c r="L384" i="14" s="1"/>
  <c r="C371" i="4" s="1"/>
  <c r="Q385" i="14"/>
  <c r="R385" i="14"/>
  <c r="L385" i="14" s="1"/>
  <c r="C372" i="4" s="1"/>
  <c r="Q386" i="14"/>
  <c r="R386" i="14"/>
  <c r="L386" i="14" s="1"/>
  <c r="C373" i="4" s="1"/>
  <c r="Q387" i="14"/>
  <c r="K387" i="14" s="1"/>
  <c r="B374" i="4" s="1"/>
  <c r="R387" i="14"/>
  <c r="L387" i="14" s="1"/>
  <c r="C374" i="4" s="1"/>
  <c r="Q388" i="14"/>
  <c r="K388" i="14" s="1"/>
  <c r="B375" i="4" s="1"/>
  <c r="R388" i="14"/>
  <c r="L388" i="14" s="1"/>
  <c r="C375" i="4" s="1"/>
  <c r="Q389" i="14"/>
  <c r="R389" i="14"/>
  <c r="Q390" i="14"/>
  <c r="R390" i="14"/>
  <c r="L390" i="14" s="1"/>
  <c r="C377" i="4" s="1"/>
  <c r="Q391" i="14"/>
  <c r="K391" i="14" s="1"/>
  <c r="B378" i="4" s="1"/>
  <c r="R391" i="14"/>
  <c r="L391" i="14" s="1"/>
  <c r="C378" i="4" s="1"/>
  <c r="Q392" i="14"/>
  <c r="K392" i="14" s="1"/>
  <c r="B379" i="4" s="1"/>
  <c r="R392" i="14"/>
  <c r="Q393" i="14"/>
  <c r="R393" i="14"/>
  <c r="Q394" i="14"/>
  <c r="R394" i="14"/>
  <c r="L394" i="14" s="1"/>
  <c r="C381" i="4" s="1"/>
  <c r="Q395" i="14"/>
  <c r="R395" i="14"/>
  <c r="L395" i="14" s="1"/>
  <c r="C382" i="4" s="1"/>
  <c r="Q396" i="14"/>
  <c r="K396" i="14" s="1"/>
  <c r="B383" i="4" s="1"/>
  <c r="R396" i="14"/>
  <c r="Q397" i="14"/>
  <c r="R397" i="14"/>
  <c r="Q398" i="14"/>
  <c r="R398" i="14"/>
  <c r="L398" i="14" s="1"/>
  <c r="C385" i="4" s="1"/>
  <c r="Q399" i="14"/>
  <c r="K399" i="14" s="1"/>
  <c r="B386" i="4" s="1"/>
  <c r="R399" i="14"/>
  <c r="L399" i="14" s="1"/>
  <c r="C386" i="4" s="1"/>
  <c r="Q400" i="14"/>
  <c r="K400" i="14" s="1"/>
  <c r="B387" i="4" s="1"/>
  <c r="R400" i="14"/>
  <c r="L400" i="14" s="1"/>
  <c r="C387" i="4" s="1"/>
  <c r="Q401" i="14"/>
  <c r="R401" i="14"/>
  <c r="Q402" i="14"/>
  <c r="R402" i="14"/>
  <c r="L402" i="14" s="1"/>
  <c r="C389" i="4" s="1"/>
  <c r="Q403" i="14"/>
  <c r="R403" i="14"/>
  <c r="L403" i="14" s="1"/>
  <c r="C390" i="4" s="1"/>
  <c r="Q404" i="14"/>
  <c r="K404" i="14" s="1"/>
  <c r="B391" i="4" s="1"/>
  <c r="R404" i="14"/>
  <c r="Q405" i="14"/>
  <c r="R405" i="14"/>
  <c r="Q406" i="14"/>
  <c r="R406" i="14"/>
  <c r="L406" i="14" s="1"/>
  <c r="C393" i="4" s="1"/>
  <c r="Q407" i="14"/>
  <c r="K407" i="14" s="1"/>
  <c r="B394" i="4" s="1"/>
  <c r="R407" i="14"/>
  <c r="L407" i="14" s="1"/>
  <c r="C394" i="4" s="1"/>
  <c r="Q408" i="14"/>
  <c r="K408" i="14" s="1"/>
  <c r="B395" i="4" s="1"/>
  <c r="R408" i="14"/>
  <c r="Q409" i="14"/>
  <c r="R409" i="14"/>
  <c r="Q410" i="14"/>
  <c r="R410" i="14"/>
  <c r="L410" i="14" s="1"/>
  <c r="C397" i="4" s="1"/>
  <c r="Q411" i="14"/>
  <c r="K411" i="14" s="1"/>
  <c r="B398" i="4" s="1"/>
  <c r="R411" i="14"/>
  <c r="L411" i="14" s="1"/>
  <c r="C398" i="4" s="1"/>
  <c r="Q412" i="14"/>
  <c r="K412" i="14" s="1"/>
  <c r="B399" i="4" s="1"/>
  <c r="R412" i="14"/>
  <c r="Q413" i="14"/>
  <c r="R413" i="14"/>
  <c r="Q414" i="14"/>
  <c r="R414" i="14"/>
  <c r="L414" i="14" s="1"/>
  <c r="C401" i="4" s="1"/>
  <c r="Q415" i="14"/>
  <c r="K415" i="14" s="1"/>
  <c r="B402" i="4" s="1"/>
  <c r="R415" i="14"/>
  <c r="L415" i="14" s="1"/>
  <c r="C402" i="4" s="1"/>
  <c r="Q416" i="14"/>
  <c r="K416" i="14" s="1"/>
  <c r="B403" i="4" s="1"/>
  <c r="R416" i="14"/>
  <c r="L416" i="14" s="1"/>
  <c r="C403" i="4" s="1"/>
  <c r="Q417" i="14"/>
  <c r="R417" i="14"/>
  <c r="Q418" i="14"/>
  <c r="R418" i="14"/>
  <c r="L418" i="14" s="1"/>
  <c r="C405" i="4" s="1"/>
  <c r="Q419" i="14"/>
  <c r="K419" i="14" s="1"/>
  <c r="B406" i="4" s="1"/>
  <c r="R419" i="14"/>
  <c r="L419" i="14" s="1"/>
  <c r="C406" i="4" s="1"/>
  <c r="Q420" i="14"/>
  <c r="K420" i="14" s="1"/>
  <c r="B407" i="4" s="1"/>
  <c r="R420" i="14"/>
  <c r="Q421" i="14"/>
  <c r="R421" i="14"/>
  <c r="Q422" i="14"/>
  <c r="R422" i="14"/>
  <c r="L422" i="14" s="1"/>
  <c r="C409" i="4" s="1"/>
  <c r="Q423" i="14"/>
  <c r="K423" i="14" s="1"/>
  <c r="B410" i="4" s="1"/>
  <c r="R423" i="14"/>
  <c r="L423" i="14" s="1"/>
  <c r="C410" i="4" s="1"/>
  <c r="Q424" i="14"/>
  <c r="K424" i="14" s="1"/>
  <c r="B411" i="4" s="1"/>
  <c r="R424" i="14"/>
  <c r="Q425" i="14"/>
  <c r="R425" i="14"/>
  <c r="Q426" i="14"/>
  <c r="R426" i="14"/>
  <c r="L426" i="14" s="1"/>
  <c r="C413" i="4" s="1"/>
  <c r="Q427" i="14"/>
  <c r="R427" i="14"/>
  <c r="L427" i="14" s="1"/>
  <c r="C414" i="4" s="1"/>
  <c r="Q428" i="14"/>
  <c r="K428" i="14" s="1"/>
  <c r="B415" i="4" s="1"/>
  <c r="R428" i="14"/>
  <c r="L428" i="14" s="1"/>
  <c r="C415" i="4" s="1"/>
  <c r="Q429" i="14"/>
  <c r="R429" i="14"/>
  <c r="Q430" i="14"/>
  <c r="R430" i="14"/>
  <c r="L430" i="14" s="1"/>
  <c r="C417" i="4" s="1"/>
  <c r="Q431" i="14"/>
  <c r="K431" i="14" s="1"/>
  <c r="R431" i="14"/>
  <c r="L431" i="14" s="1"/>
  <c r="Q432" i="14"/>
  <c r="K432" i="14" s="1"/>
  <c r="R432" i="14"/>
  <c r="Q433" i="14"/>
  <c r="R433" i="14"/>
  <c r="Q434" i="14"/>
  <c r="R434" i="14"/>
  <c r="L434" i="14" s="1"/>
  <c r="Q435" i="14"/>
  <c r="R435" i="14"/>
  <c r="L435" i="14" s="1"/>
  <c r="Q436" i="14"/>
  <c r="K436" i="14" s="1"/>
  <c r="R436" i="14"/>
  <c r="Q437" i="14"/>
  <c r="R437" i="14"/>
  <c r="Q438" i="14"/>
  <c r="R438" i="14"/>
  <c r="L438" i="14" s="1"/>
  <c r="Q439" i="14"/>
  <c r="K439" i="14" s="1"/>
  <c r="R439" i="14"/>
  <c r="L439" i="14" s="1"/>
  <c r="Q440" i="14"/>
  <c r="K440" i="14" s="1"/>
  <c r="R440" i="14"/>
  <c r="Q441" i="14"/>
  <c r="R441" i="14"/>
  <c r="Q442" i="14"/>
  <c r="R442" i="14"/>
  <c r="L442" i="14" s="1"/>
  <c r="Q443" i="14"/>
  <c r="K443" i="14" s="1"/>
  <c r="R443" i="14"/>
  <c r="L443" i="14" s="1"/>
  <c r="Q444" i="14"/>
  <c r="K444" i="14" s="1"/>
  <c r="R444" i="14"/>
  <c r="Q445" i="14"/>
  <c r="R445" i="14"/>
  <c r="Q446" i="14"/>
  <c r="R446" i="14"/>
  <c r="L446" i="14" s="1"/>
  <c r="Q447" i="14"/>
  <c r="R447" i="14"/>
  <c r="L447" i="14" s="1"/>
  <c r="Q448" i="14"/>
  <c r="K448" i="14" s="1"/>
  <c r="R448" i="14"/>
  <c r="L448" i="14" s="1"/>
  <c r="Q449" i="14"/>
  <c r="R449" i="14"/>
  <c r="Q450" i="14"/>
  <c r="R450" i="14"/>
  <c r="L450" i="14" s="1"/>
  <c r="Q451" i="14"/>
  <c r="K451" i="14" s="1"/>
  <c r="R451" i="14"/>
  <c r="L451" i="14" s="1"/>
  <c r="Q452" i="14"/>
  <c r="K452" i="14" s="1"/>
  <c r="R452" i="14"/>
  <c r="L452" i="14" s="1"/>
  <c r="Q453" i="14"/>
  <c r="R453" i="14"/>
  <c r="Q454" i="14"/>
  <c r="R454" i="14"/>
  <c r="L454" i="14" s="1"/>
  <c r="Q455" i="14"/>
  <c r="R455" i="14"/>
  <c r="L455" i="14" s="1"/>
  <c r="Q456" i="14"/>
  <c r="K456" i="14" s="1"/>
  <c r="R456" i="14"/>
  <c r="L456" i="14" s="1"/>
  <c r="Q457" i="14"/>
  <c r="R457" i="14"/>
  <c r="Q458" i="14"/>
  <c r="R458" i="14"/>
  <c r="L458" i="14" s="1"/>
  <c r="Q459" i="14"/>
  <c r="K459" i="14" s="1"/>
  <c r="R459" i="14"/>
  <c r="L459" i="14" s="1"/>
  <c r="Q460" i="14"/>
  <c r="K460" i="14" s="1"/>
  <c r="R460" i="14"/>
  <c r="Q461" i="14"/>
  <c r="R461" i="14"/>
  <c r="Q462" i="14"/>
  <c r="R462" i="14"/>
  <c r="L462" i="14" s="1"/>
  <c r="Q463" i="14"/>
  <c r="K463" i="14" s="1"/>
  <c r="R463" i="14"/>
  <c r="L463" i="14" s="1"/>
  <c r="Q464" i="14"/>
  <c r="K464" i="14" s="1"/>
  <c r="R464" i="14"/>
  <c r="L464" i="14" s="1"/>
  <c r="Q465" i="14"/>
  <c r="R465" i="14"/>
  <c r="Q466" i="14"/>
  <c r="R466" i="14"/>
  <c r="L466" i="14" s="1"/>
  <c r="Q467" i="14"/>
  <c r="K467" i="14" s="1"/>
  <c r="R467" i="14"/>
  <c r="L467" i="14" s="1"/>
  <c r="Q468" i="14"/>
  <c r="K468" i="14" s="1"/>
  <c r="R468" i="14"/>
  <c r="Q469" i="14"/>
  <c r="R469" i="14"/>
  <c r="Q470" i="14"/>
  <c r="R470" i="14"/>
  <c r="L470" i="14" s="1"/>
  <c r="Q471" i="14"/>
  <c r="K471" i="14" s="1"/>
  <c r="R471" i="14"/>
  <c r="L471" i="14" s="1"/>
  <c r="Q472" i="14"/>
  <c r="K472" i="14" s="1"/>
  <c r="R472" i="14"/>
  <c r="Q473" i="14"/>
  <c r="R473" i="14"/>
  <c r="Q474" i="14"/>
  <c r="R474" i="14"/>
  <c r="L474" i="14" s="1"/>
  <c r="Q475" i="14"/>
  <c r="K475" i="14" s="1"/>
  <c r="R475" i="14"/>
  <c r="L475" i="14" s="1"/>
  <c r="Q476" i="14"/>
  <c r="K476" i="14" s="1"/>
  <c r="R476" i="14"/>
  <c r="Q477" i="14"/>
  <c r="R477" i="14"/>
  <c r="Q478" i="14"/>
  <c r="R478" i="14"/>
  <c r="L478" i="14" s="1"/>
  <c r="Q479" i="14"/>
  <c r="R479" i="14"/>
  <c r="L479" i="14" s="1"/>
  <c r="Q480" i="14"/>
  <c r="K480" i="14" s="1"/>
  <c r="R480" i="14"/>
  <c r="L480" i="14" s="1"/>
  <c r="Q481" i="14"/>
  <c r="R481" i="14"/>
  <c r="Q482" i="14"/>
  <c r="R482" i="14"/>
  <c r="L482" i="14" s="1"/>
  <c r="Q483" i="14"/>
  <c r="K483" i="14" s="1"/>
  <c r="R483" i="14"/>
  <c r="L483" i="14" s="1"/>
  <c r="Q484" i="14"/>
  <c r="K484" i="14" s="1"/>
  <c r="R484" i="14"/>
  <c r="Q485" i="14"/>
  <c r="R485" i="14"/>
  <c r="Q486" i="14"/>
  <c r="R486" i="14"/>
  <c r="L486" i="14" s="1"/>
  <c r="Q487" i="14"/>
  <c r="R487" i="14"/>
  <c r="L487" i="14" s="1"/>
  <c r="Q488" i="14"/>
  <c r="K488" i="14" s="1"/>
  <c r="R488" i="14"/>
  <c r="L488" i="14" s="1"/>
  <c r="Q489" i="14"/>
  <c r="R489" i="14"/>
  <c r="Q490" i="14"/>
  <c r="R490" i="14"/>
  <c r="L490" i="14" s="1"/>
  <c r="Q491" i="14"/>
  <c r="K491" i="14" s="1"/>
  <c r="R491" i="14"/>
  <c r="L491" i="14" s="1"/>
  <c r="Q492" i="14"/>
  <c r="K492" i="14" s="1"/>
  <c r="R492" i="14"/>
  <c r="L492" i="14" s="1"/>
  <c r="Q493" i="14"/>
  <c r="R493" i="14"/>
  <c r="Q494" i="14"/>
  <c r="R494" i="14"/>
  <c r="L494" i="14" s="1"/>
  <c r="Q495" i="14"/>
  <c r="K495" i="14" s="1"/>
  <c r="R495" i="14"/>
  <c r="L495" i="14" s="1"/>
  <c r="Q496" i="14"/>
  <c r="K496" i="14" s="1"/>
  <c r="R496" i="14"/>
  <c r="Q497" i="14"/>
  <c r="R497" i="14"/>
  <c r="Q498" i="14"/>
  <c r="R498" i="14"/>
  <c r="L498" i="14" s="1"/>
  <c r="Q499" i="14"/>
  <c r="K499" i="14" s="1"/>
  <c r="R499" i="14"/>
  <c r="L499" i="14" s="1"/>
  <c r="Q500" i="14"/>
  <c r="K500" i="14" s="1"/>
  <c r="R500" i="14"/>
  <c r="Q501" i="14"/>
  <c r="R501" i="14"/>
  <c r="Q502" i="14"/>
  <c r="R502" i="14"/>
  <c r="L502" i="14" s="1"/>
  <c r="Q503" i="14"/>
  <c r="K503" i="14" s="1"/>
  <c r="R503" i="14"/>
  <c r="L503" i="14" s="1"/>
  <c r="Q504" i="14"/>
  <c r="K504" i="14" s="1"/>
  <c r="R504" i="14"/>
  <c r="Q505" i="14"/>
  <c r="R505" i="14"/>
  <c r="Q506" i="14"/>
  <c r="R506" i="14"/>
  <c r="L506" i="14" s="1"/>
  <c r="Q507" i="14"/>
  <c r="K507" i="14" s="1"/>
  <c r="R507" i="14"/>
  <c r="L507" i="14" s="1"/>
  <c r="Q508" i="14"/>
  <c r="K508" i="14" s="1"/>
  <c r="R508" i="14"/>
  <c r="Q509" i="14"/>
  <c r="R509" i="14"/>
  <c r="Q510" i="14"/>
  <c r="R510" i="14"/>
  <c r="L510" i="14" s="1"/>
  <c r="Q511" i="14"/>
  <c r="K511" i="14" s="1"/>
  <c r="R511" i="14"/>
  <c r="L511" i="14" s="1"/>
  <c r="Q512" i="14"/>
  <c r="K512" i="14" s="1"/>
  <c r="R512" i="14"/>
  <c r="Q513" i="14"/>
  <c r="R513" i="14"/>
  <c r="Q514" i="14"/>
  <c r="R514" i="14"/>
  <c r="L514" i="14" s="1"/>
  <c r="Q515" i="14"/>
  <c r="K515" i="14" s="1"/>
  <c r="R515" i="14"/>
  <c r="L515" i="14" s="1"/>
  <c r="Q516" i="14"/>
  <c r="K516" i="14" s="1"/>
  <c r="R516" i="14"/>
  <c r="L516" i="14" s="1"/>
  <c r="Q517" i="14"/>
  <c r="R517" i="14"/>
  <c r="Q518" i="14"/>
  <c r="R518" i="14"/>
  <c r="L518" i="14" s="1"/>
  <c r="Q519" i="14"/>
  <c r="K519" i="14" s="1"/>
  <c r="R519" i="14"/>
  <c r="L519" i="14" s="1"/>
  <c r="Q520" i="14"/>
  <c r="K520" i="14" s="1"/>
  <c r="R520" i="14"/>
  <c r="Q521" i="14"/>
  <c r="R521" i="14"/>
  <c r="Q522" i="14"/>
  <c r="R522" i="14"/>
  <c r="L522" i="14" s="1"/>
  <c r="Q523" i="14"/>
  <c r="R523" i="14"/>
  <c r="L523" i="14" s="1"/>
  <c r="Q524" i="14"/>
  <c r="K524" i="14" s="1"/>
  <c r="R524" i="14"/>
  <c r="Q525" i="14"/>
  <c r="R525" i="14"/>
  <c r="Q526" i="14"/>
  <c r="R526" i="14"/>
  <c r="L526" i="14" s="1"/>
  <c r="Q527" i="14"/>
  <c r="K527" i="14" s="1"/>
  <c r="R527" i="14"/>
  <c r="L527" i="14" s="1"/>
  <c r="Q528" i="14"/>
  <c r="K528" i="14" s="1"/>
  <c r="R528" i="14"/>
  <c r="Q529" i="14"/>
  <c r="R529" i="14"/>
  <c r="Q530" i="14"/>
  <c r="R530" i="14"/>
  <c r="L530" i="14" s="1"/>
  <c r="Q531" i="14"/>
  <c r="K531" i="14" s="1"/>
  <c r="R531" i="14"/>
  <c r="L531" i="14" s="1"/>
  <c r="Q532" i="14"/>
  <c r="K532" i="14" s="1"/>
  <c r="R532" i="14"/>
  <c r="Q533" i="14"/>
  <c r="R533" i="14"/>
  <c r="Q534" i="14"/>
  <c r="R534" i="14"/>
  <c r="L534" i="14" s="1"/>
  <c r="Q535" i="14"/>
  <c r="K535" i="14" s="1"/>
  <c r="R535" i="14"/>
  <c r="L535" i="14" s="1"/>
  <c r="Q536" i="14"/>
  <c r="K536" i="14" s="1"/>
  <c r="R536" i="14"/>
  <c r="Q537" i="14"/>
  <c r="R537" i="14"/>
  <c r="Q538" i="14"/>
  <c r="R538" i="14"/>
  <c r="L538" i="14" s="1"/>
  <c r="Q539" i="14"/>
  <c r="K539" i="14" s="1"/>
  <c r="R539" i="14"/>
  <c r="L539" i="14" s="1"/>
  <c r="Q540" i="14"/>
  <c r="K540" i="14" s="1"/>
  <c r="R540" i="14"/>
  <c r="Q541" i="14"/>
  <c r="R541" i="14"/>
  <c r="Q542" i="14"/>
  <c r="R542" i="14"/>
  <c r="L542" i="14" s="1"/>
  <c r="Q543" i="14"/>
  <c r="R543" i="14"/>
  <c r="L543" i="14" s="1"/>
  <c r="Q544" i="14"/>
  <c r="K544" i="14" s="1"/>
  <c r="R544" i="14"/>
  <c r="L544" i="14" s="1"/>
  <c r="Q545" i="14"/>
  <c r="R545" i="14"/>
  <c r="Q546" i="14"/>
  <c r="R546" i="14"/>
  <c r="L546" i="14" s="1"/>
  <c r="Q547" i="14"/>
  <c r="K547" i="14" s="1"/>
  <c r="R547" i="14"/>
  <c r="L547" i="14" s="1"/>
  <c r="Q548" i="14"/>
  <c r="K548" i="14" s="1"/>
  <c r="R548" i="14"/>
  <c r="L548" i="14" s="1"/>
  <c r="Q549" i="14"/>
  <c r="R549" i="14"/>
  <c r="Q550" i="14"/>
  <c r="R550" i="14"/>
  <c r="L550" i="14" s="1"/>
  <c r="Q551" i="14"/>
  <c r="K551" i="14" s="1"/>
  <c r="R551" i="14"/>
  <c r="L551" i="14" s="1"/>
  <c r="Q552" i="14"/>
  <c r="K552" i="14" s="1"/>
  <c r="R552" i="14"/>
  <c r="Q553" i="14"/>
  <c r="R553" i="14"/>
  <c r="Q554" i="14"/>
  <c r="R554" i="14"/>
  <c r="L554" i="14" s="1"/>
  <c r="Q555" i="14"/>
  <c r="K555" i="14" s="1"/>
  <c r="R555" i="14"/>
  <c r="L555" i="14" s="1"/>
  <c r="Q556" i="14"/>
  <c r="K556" i="14" s="1"/>
  <c r="R556" i="14"/>
  <c r="Q557" i="14"/>
  <c r="R557" i="14"/>
  <c r="Q558" i="14"/>
  <c r="R558" i="14"/>
  <c r="L558" i="14" s="1"/>
  <c r="Q559" i="14"/>
  <c r="K559" i="14" s="1"/>
  <c r="R559" i="14"/>
  <c r="L559" i="14" s="1"/>
  <c r="Q560" i="14"/>
  <c r="K560" i="14" s="1"/>
  <c r="R560" i="14"/>
  <c r="Q561" i="14"/>
  <c r="R561" i="14"/>
  <c r="Q562" i="14"/>
  <c r="R562" i="14"/>
  <c r="L562" i="14" s="1"/>
  <c r="Q563" i="14"/>
  <c r="K563" i="14" s="1"/>
  <c r="R563" i="14"/>
  <c r="L563" i="14" s="1"/>
  <c r="Q564" i="14"/>
  <c r="K564" i="14" s="1"/>
  <c r="R564" i="14"/>
  <c r="L564" i="14" s="1"/>
  <c r="Q565" i="14"/>
  <c r="R565" i="14"/>
  <c r="Q566" i="14"/>
  <c r="R566" i="14"/>
  <c r="L566" i="14" s="1"/>
  <c r="Q567" i="14"/>
  <c r="R567" i="14"/>
  <c r="L567" i="14" s="1"/>
  <c r="Q568" i="14"/>
  <c r="K568" i="14" s="1"/>
  <c r="R568" i="14"/>
  <c r="Q569" i="14"/>
  <c r="R569" i="14"/>
  <c r="Q570" i="14"/>
  <c r="R570" i="14"/>
  <c r="L570" i="14" s="1"/>
  <c r="Q571" i="14"/>
  <c r="K571" i="14" s="1"/>
  <c r="R571" i="14"/>
  <c r="L571" i="14" s="1"/>
  <c r="Q572" i="14"/>
  <c r="K572" i="14" s="1"/>
  <c r="R572" i="14"/>
  <c r="Q573" i="14"/>
  <c r="R573" i="14"/>
  <c r="Q574" i="14"/>
  <c r="R574" i="14"/>
  <c r="L574" i="14" s="1"/>
  <c r="Q575" i="14"/>
  <c r="R575" i="14"/>
  <c r="L575" i="14" s="1"/>
  <c r="Q576" i="14"/>
  <c r="K576" i="14" s="1"/>
  <c r="R576" i="14"/>
  <c r="L576" i="14" s="1"/>
  <c r="Q577" i="14"/>
  <c r="R577" i="14"/>
  <c r="Q578" i="14"/>
  <c r="R578" i="14"/>
  <c r="L578" i="14" s="1"/>
  <c r="Q579" i="14"/>
  <c r="K579" i="14" s="1"/>
  <c r="R579" i="14"/>
  <c r="L579" i="14" s="1"/>
  <c r="Q580" i="14"/>
  <c r="K580" i="14" s="1"/>
  <c r="R580" i="14"/>
  <c r="Q581" i="14"/>
  <c r="R581" i="14"/>
  <c r="Q582" i="14"/>
  <c r="R582" i="14"/>
  <c r="L582" i="14" s="1"/>
  <c r="Q583" i="14"/>
  <c r="K583" i="14" s="1"/>
  <c r="R583" i="14"/>
  <c r="L583" i="14" s="1"/>
  <c r="Q584" i="14"/>
  <c r="K584" i="14" s="1"/>
  <c r="R584" i="14"/>
  <c r="Q585" i="14"/>
  <c r="R585" i="14"/>
  <c r="Q586" i="14"/>
  <c r="R586" i="14"/>
  <c r="L586" i="14" s="1"/>
  <c r="Q587" i="14"/>
  <c r="K587" i="14" s="1"/>
  <c r="R587" i="14"/>
  <c r="L587" i="14" s="1"/>
  <c r="Q588" i="14"/>
  <c r="K588" i="14" s="1"/>
  <c r="R588" i="14"/>
  <c r="Q589" i="14"/>
  <c r="R589" i="14"/>
  <c r="Q590" i="14"/>
  <c r="R590" i="14"/>
  <c r="L590" i="14" s="1"/>
  <c r="Q591" i="14"/>
  <c r="K591" i="14" s="1"/>
  <c r="R591" i="14"/>
  <c r="L591" i="14" s="1"/>
  <c r="Q592" i="14"/>
  <c r="K592" i="14" s="1"/>
  <c r="R592" i="14"/>
  <c r="Q593" i="14"/>
  <c r="R593" i="14"/>
  <c r="Q594" i="14"/>
  <c r="R594" i="14"/>
  <c r="L594" i="14" s="1"/>
  <c r="Q595" i="14"/>
  <c r="K595" i="14" s="1"/>
  <c r="R595" i="14"/>
  <c r="L595" i="14" s="1"/>
  <c r="Q596" i="14"/>
  <c r="K596" i="14" s="1"/>
  <c r="R596" i="14"/>
  <c r="Q597" i="14"/>
  <c r="R597" i="14"/>
  <c r="Q598" i="14"/>
  <c r="R598" i="14"/>
  <c r="L598" i="14" s="1"/>
  <c r="Q599" i="14"/>
  <c r="K599" i="14" s="1"/>
  <c r="R599" i="14"/>
  <c r="L599" i="14" s="1"/>
  <c r="Q600" i="14"/>
  <c r="K600" i="14" s="1"/>
  <c r="R600" i="14"/>
  <c r="Q601" i="14"/>
  <c r="R601" i="14"/>
  <c r="Q602" i="14"/>
  <c r="R602" i="14"/>
  <c r="L602" i="14" s="1"/>
  <c r="Q603" i="14"/>
  <c r="K603" i="14" s="1"/>
  <c r="R603" i="14"/>
  <c r="L603" i="14" s="1"/>
  <c r="Q604" i="14"/>
  <c r="K604" i="14" s="1"/>
  <c r="R604" i="14"/>
  <c r="Q605" i="14"/>
  <c r="R605" i="14"/>
  <c r="Q606" i="14"/>
  <c r="R606" i="14"/>
  <c r="L606" i="14" s="1"/>
  <c r="Q607" i="14"/>
  <c r="K607" i="14" s="1"/>
  <c r="R607" i="14"/>
  <c r="L607" i="14" s="1"/>
  <c r="Q608" i="14"/>
  <c r="K608" i="14" s="1"/>
  <c r="R608" i="14"/>
  <c r="Q609" i="14"/>
  <c r="R609" i="14"/>
  <c r="Q610" i="14"/>
  <c r="R610" i="14"/>
  <c r="L610" i="14" s="1"/>
  <c r="Q611" i="14"/>
  <c r="K611" i="14" s="1"/>
  <c r="R611" i="14"/>
  <c r="L611" i="14" s="1"/>
  <c r="Q612" i="14"/>
  <c r="K612" i="14" s="1"/>
  <c r="R612" i="14"/>
  <c r="Q613" i="14"/>
  <c r="R613" i="14"/>
  <c r="Q614" i="14"/>
  <c r="R614" i="14"/>
  <c r="L614" i="14" s="1"/>
  <c r="Q615" i="14"/>
  <c r="K615" i="14" s="1"/>
  <c r="R615" i="14"/>
  <c r="L615" i="14" s="1"/>
  <c r="Q616" i="14"/>
  <c r="K616" i="14" s="1"/>
  <c r="R616" i="14"/>
  <c r="Q617" i="14"/>
  <c r="R617" i="14"/>
  <c r="Q618" i="14"/>
  <c r="R618" i="14"/>
  <c r="L618" i="14" s="1"/>
  <c r="Q619" i="14"/>
  <c r="K619" i="14" s="1"/>
  <c r="R619" i="14"/>
  <c r="L619" i="14" s="1"/>
  <c r="Q620" i="14"/>
  <c r="K620" i="14" s="1"/>
  <c r="R620" i="14"/>
  <c r="Q621" i="14"/>
  <c r="R621" i="14"/>
  <c r="Q622" i="14"/>
  <c r="R622" i="14"/>
  <c r="L622" i="14" s="1"/>
  <c r="Q623" i="14"/>
  <c r="K623" i="14" s="1"/>
  <c r="R623" i="14"/>
  <c r="L623" i="14" s="1"/>
  <c r="Q624" i="14"/>
  <c r="K624" i="14" s="1"/>
  <c r="R624" i="14"/>
  <c r="Q625" i="14"/>
  <c r="R625" i="14"/>
  <c r="Q626" i="14"/>
  <c r="R626" i="14"/>
  <c r="L626" i="14" s="1"/>
  <c r="Q627" i="14"/>
  <c r="K627" i="14" s="1"/>
  <c r="R627" i="14"/>
  <c r="L627" i="14" s="1"/>
  <c r="Q628" i="14"/>
  <c r="K628" i="14" s="1"/>
  <c r="R628" i="14"/>
  <c r="Q629" i="14"/>
  <c r="R629" i="14"/>
  <c r="Q630" i="14"/>
  <c r="R630" i="14"/>
  <c r="L630" i="14" s="1"/>
  <c r="Q631" i="14"/>
  <c r="R631" i="14"/>
  <c r="L631" i="14" s="1"/>
  <c r="Q632" i="14"/>
  <c r="K632" i="14" s="1"/>
  <c r="R632" i="14"/>
  <c r="L632" i="14" s="1"/>
  <c r="Q633" i="14"/>
  <c r="R633" i="14"/>
  <c r="Q634" i="14"/>
  <c r="R634" i="14"/>
  <c r="L634" i="14" s="1"/>
  <c r="Q635" i="14"/>
  <c r="K635" i="14" s="1"/>
  <c r="R635" i="14"/>
  <c r="L635" i="14" s="1"/>
  <c r="Q636" i="14"/>
  <c r="K636" i="14" s="1"/>
  <c r="R636" i="14"/>
  <c r="Q637" i="14"/>
  <c r="R637" i="14"/>
  <c r="Q638" i="14"/>
  <c r="R638" i="14"/>
  <c r="L638" i="14" s="1"/>
  <c r="Q639" i="14"/>
  <c r="K639" i="14" s="1"/>
  <c r="R639" i="14"/>
  <c r="L639" i="14" s="1"/>
  <c r="Q640" i="14"/>
  <c r="K640" i="14" s="1"/>
  <c r="R640" i="14"/>
  <c r="L640" i="14" s="1"/>
  <c r="Q641" i="14"/>
  <c r="R641" i="14"/>
  <c r="Q642" i="14"/>
  <c r="R642" i="14"/>
  <c r="L642" i="14" s="1"/>
  <c r="Q643" i="14"/>
  <c r="K643" i="14" s="1"/>
  <c r="R643" i="14"/>
  <c r="L643" i="14" s="1"/>
  <c r="Q644" i="14"/>
  <c r="K644" i="14" s="1"/>
  <c r="R644" i="14"/>
  <c r="Q645" i="14"/>
  <c r="R645" i="14"/>
  <c r="Q646" i="14"/>
  <c r="R646" i="14"/>
  <c r="L646" i="14" s="1"/>
  <c r="Q647" i="14"/>
  <c r="K647" i="14" s="1"/>
  <c r="R647" i="14"/>
  <c r="L647" i="14" s="1"/>
  <c r="Q648" i="14"/>
  <c r="K648" i="14" s="1"/>
  <c r="R648" i="14"/>
  <c r="Q649" i="14"/>
  <c r="R649" i="14"/>
  <c r="Q650" i="14"/>
  <c r="R650" i="14"/>
  <c r="L650" i="14" s="1"/>
  <c r="Q651" i="14"/>
  <c r="K651" i="14" s="1"/>
  <c r="R651" i="14"/>
  <c r="L651" i="14" s="1"/>
  <c r="Q652" i="14"/>
  <c r="K652" i="14" s="1"/>
  <c r="R652" i="14"/>
  <c r="Q653" i="14"/>
  <c r="R653" i="14"/>
  <c r="Q654" i="14"/>
  <c r="R654" i="14"/>
  <c r="L654" i="14" s="1"/>
  <c r="Q655" i="14"/>
  <c r="K655" i="14" s="1"/>
  <c r="R655" i="14"/>
  <c r="L655" i="14" s="1"/>
  <c r="Q656" i="14"/>
  <c r="K656" i="14" s="1"/>
  <c r="R656" i="14"/>
  <c r="Q657" i="14"/>
  <c r="R657" i="14"/>
  <c r="Q658" i="14"/>
  <c r="R658" i="14"/>
  <c r="L658" i="14" s="1"/>
  <c r="Q659" i="14"/>
  <c r="K659" i="14" s="1"/>
  <c r="R659" i="14"/>
  <c r="L659" i="14" s="1"/>
  <c r="Q660" i="14"/>
  <c r="K660" i="14" s="1"/>
  <c r="R660" i="14"/>
  <c r="Q661" i="14"/>
  <c r="R661" i="14"/>
  <c r="Q662" i="14"/>
  <c r="R662" i="14"/>
  <c r="L662" i="14" s="1"/>
  <c r="Q663" i="14"/>
  <c r="K663" i="14" s="1"/>
  <c r="R663" i="14"/>
  <c r="L663" i="14" s="1"/>
  <c r="Q664" i="14"/>
  <c r="K664" i="14" s="1"/>
  <c r="R664" i="14"/>
  <c r="Q665" i="14"/>
  <c r="R665" i="14"/>
  <c r="Q666" i="14"/>
  <c r="R666" i="14"/>
  <c r="L666" i="14" s="1"/>
  <c r="Q667" i="14"/>
  <c r="K667" i="14" s="1"/>
  <c r="R667" i="14"/>
  <c r="L667" i="14" s="1"/>
  <c r="Q668" i="14"/>
  <c r="K668" i="14" s="1"/>
  <c r="R668" i="14"/>
  <c r="Q669" i="14"/>
  <c r="R669" i="14"/>
  <c r="Q670" i="14"/>
  <c r="R670" i="14"/>
  <c r="L670" i="14" s="1"/>
  <c r="Q671" i="14"/>
  <c r="K671" i="14" s="1"/>
  <c r="R671" i="14"/>
  <c r="L671" i="14" s="1"/>
  <c r="Q672" i="14"/>
  <c r="K672" i="14" s="1"/>
  <c r="R672" i="14"/>
  <c r="Q673" i="14"/>
  <c r="R673" i="14"/>
  <c r="Q674" i="14"/>
  <c r="R674" i="14"/>
  <c r="L674" i="14" s="1"/>
  <c r="Q675" i="14"/>
  <c r="R675" i="14"/>
  <c r="L675" i="14" s="1"/>
  <c r="Q676" i="14"/>
  <c r="K676" i="14" s="1"/>
  <c r="R676" i="14"/>
  <c r="Q677" i="14"/>
  <c r="R677" i="14"/>
  <c r="Q678" i="14"/>
  <c r="R678" i="14"/>
  <c r="L678" i="14" s="1"/>
  <c r="Q679" i="14"/>
  <c r="K679" i="14" s="1"/>
  <c r="R679" i="14"/>
  <c r="L679" i="14" s="1"/>
  <c r="Q680" i="14"/>
  <c r="K680" i="14" s="1"/>
  <c r="R680" i="14"/>
  <c r="L680" i="14" s="1"/>
  <c r="Q681" i="14"/>
  <c r="R681" i="14"/>
  <c r="Q682" i="14"/>
  <c r="R682" i="14"/>
  <c r="L682" i="14" s="1"/>
  <c r="Q683" i="14"/>
  <c r="K683" i="14" s="1"/>
  <c r="R683" i="14"/>
  <c r="L683" i="14" s="1"/>
  <c r="Q684" i="14"/>
  <c r="K684" i="14" s="1"/>
  <c r="R684" i="14"/>
  <c r="Q685" i="14"/>
  <c r="R685" i="14"/>
  <c r="Q686" i="14"/>
  <c r="R686" i="14"/>
  <c r="L686" i="14" s="1"/>
  <c r="Q687" i="14"/>
  <c r="K687" i="14" s="1"/>
  <c r="R687" i="14"/>
  <c r="L687" i="14" s="1"/>
  <c r="Q688" i="14"/>
  <c r="K688" i="14" s="1"/>
  <c r="R688" i="14"/>
  <c r="L688" i="14" s="1"/>
  <c r="Q689" i="14"/>
  <c r="R689" i="14"/>
  <c r="Q690" i="14"/>
  <c r="R690" i="14"/>
  <c r="L690" i="14" s="1"/>
  <c r="Q691" i="14"/>
  <c r="K691" i="14" s="1"/>
  <c r="R691" i="14"/>
  <c r="L691" i="14" s="1"/>
  <c r="Q692" i="14"/>
  <c r="K692" i="14" s="1"/>
  <c r="R692" i="14"/>
  <c r="Q693" i="14"/>
  <c r="R693" i="14"/>
  <c r="Q694" i="14"/>
  <c r="R694" i="14"/>
  <c r="L694" i="14" s="1"/>
  <c r="Q695" i="14"/>
  <c r="K695" i="14" s="1"/>
  <c r="R695" i="14"/>
  <c r="L695" i="14" s="1"/>
  <c r="Q696" i="14"/>
  <c r="K696" i="14" s="1"/>
  <c r="R696" i="14"/>
  <c r="L696" i="14" s="1"/>
  <c r="Q697" i="14"/>
  <c r="R697" i="14"/>
  <c r="Q698" i="14"/>
  <c r="R698" i="14"/>
  <c r="L698" i="14" s="1"/>
  <c r="Q699" i="14"/>
  <c r="K699" i="14" s="1"/>
  <c r="R699" i="14"/>
  <c r="L699" i="14" s="1"/>
  <c r="Q700" i="14"/>
  <c r="K700" i="14" s="1"/>
  <c r="R700" i="14"/>
  <c r="Q701" i="14"/>
  <c r="R701" i="14"/>
  <c r="Q702" i="14"/>
  <c r="R702" i="14"/>
  <c r="L702" i="14" s="1"/>
  <c r="Q703" i="14"/>
  <c r="K703" i="14" s="1"/>
  <c r="R703" i="14"/>
  <c r="L703" i="14" s="1"/>
  <c r="Q704" i="14"/>
  <c r="K704" i="14" s="1"/>
  <c r="R704" i="14"/>
  <c r="L704" i="14" s="1"/>
  <c r="Q705" i="14"/>
  <c r="R705" i="14"/>
  <c r="Q706" i="14"/>
  <c r="R706" i="14"/>
  <c r="L706" i="14" s="1"/>
  <c r="Q707" i="14"/>
  <c r="K707" i="14" s="1"/>
  <c r="R707" i="14"/>
  <c r="L707" i="14" s="1"/>
  <c r="Q708" i="14"/>
  <c r="K708" i="14" s="1"/>
  <c r="R708" i="14"/>
  <c r="Q709" i="14"/>
  <c r="R709" i="14"/>
  <c r="Q710" i="14"/>
  <c r="R710" i="14"/>
  <c r="L710" i="14" s="1"/>
  <c r="Q711" i="14"/>
  <c r="K711" i="14" s="1"/>
  <c r="R711" i="14"/>
  <c r="L711" i="14" s="1"/>
  <c r="Q712" i="14"/>
  <c r="K712" i="14" s="1"/>
  <c r="R712" i="14"/>
  <c r="L712" i="14" s="1"/>
  <c r="Q713" i="14"/>
  <c r="R713" i="14"/>
  <c r="Q714" i="14"/>
  <c r="R714" i="14"/>
  <c r="L714" i="14" s="1"/>
  <c r="Q715" i="14"/>
  <c r="K715" i="14" s="1"/>
  <c r="R715" i="14"/>
  <c r="L715" i="14" s="1"/>
  <c r="Q716" i="14"/>
  <c r="K716" i="14" s="1"/>
  <c r="R716" i="14"/>
  <c r="Q717" i="14"/>
  <c r="R717" i="14"/>
  <c r="Q718" i="14"/>
  <c r="R718" i="14"/>
  <c r="L718" i="14" s="1"/>
  <c r="Q719" i="14"/>
  <c r="K719" i="14" s="1"/>
  <c r="R719" i="14"/>
  <c r="L719" i="14" s="1"/>
  <c r="Q720" i="14"/>
  <c r="K720" i="14" s="1"/>
  <c r="R720" i="14"/>
  <c r="L720" i="14" s="1"/>
  <c r="Q721" i="14"/>
  <c r="R721" i="14"/>
  <c r="Q722" i="14"/>
  <c r="R722" i="14"/>
  <c r="L722" i="14" s="1"/>
  <c r="Q723" i="14"/>
  <c r="K723" i="14" s="1"/>
  <c r="R723" i="14"/>
  <c r="L723" i="14" s="1"/>
  <c r="Q724" i="14"/>
  <c r="K724" i="14" s="1"/>
  <c r="R724" i="14"/>
  <c r="L724" i="14" s="1"/>
  <c r="Q725" i="14"/>
  <c r="R725" i="14"/>
  <c r="Q726" i="14"/>
  <c r="R726" i="14"/>
  <c r="L726" i="14" s="1"/>
  <c r="Q727" i="14"/>
  <c r="K727" i="14" s="1"/>
  <c r="R727" i="14"/>
  <c r="L727" i="14" s="1"/>
  <c r="Q728" i="14"/>
  <c r="K728" i="14" s="1"/>
  <c r="R728" i="14"/>
  <c r="L728" i="14" s="1"/>
  <c r="Q729" i="14"/>
  <c r="R729" i="14"/>
  <c r="Q730" i="14"/>
  <c r="R730" i="14"/>
  <c r="L730" i="14" s="1"/>
  <c r="Q731" i="14"/>
  <c r="K731" i="14" s="1"/>
  <c r="R731" i="14"/>
  <c r="L731" i="14" s="1"/>
  <c r="Q732" i="14"/>
  <c r="K732" i="14" s="1"/>
  <c r="R732" i="14"/>
  <c r="Q733" i="14"/>
  <c r="R733" i="14"/>
  <c r="Q734" i="14"/>
  <c r="R734" i="14"/>
  <c r="L734" i="14" s="1"/>
  <c r="Q735" i="14"/>
  <c r="K735" i="14" s="1"/>
  <c r="R735" i="14"/>
  <c r="L735" i="14" s="1"/>
  <c r="Q736" i="14"/>
  <c r="K736" i="14" s="1"/>
  <c r="R736" i="14"/>
  <c r="L736" i="14" s="1"/>
  <c r="Q737" i="14"/>
  <c r="R737" i="14"/>
  <c r="Q738" i="14"/>
  <c r="R738" i="14"/>
  <c r="L738" i="14" s="1"/>
  <c r="Q739" i="14"/>
  <c r="K739" i="14" s="1"/>
  <c r="R739" i="14"/>
  <c r="L739" i="14" s="1"/>
  <c r="Q740" i="14"/>
  <c r="K740" i="14" s="1"/>
  <c r="R740" i="14"/>
  <c r="Q741" i="14"/>
  <c r="R741" i="14"/>
  <c r="Q742" i="14"/>
  <c r="R742" i="14"/>
  <c r="L742" i="14" s="1"/>
  <c r="Q743" i="14"/>
  <c r="K743" i="14" s="1"/>
  <c r="R743" i="14"/>
  <c r="L743" i="14" s="1"/>
  <c r="Q744" i="14"/>
  <c r="K744" i="14" s="1"/>
  <c r="R744" i="14"/>
  <c r="L744" i="14" s="1"/>
  <c r="Q745" i="14"/>
  <c r="R745" i="14"/>
  <c r="Q746" i="14"/>
  <c r="R746" i="14"/>
  <c r="L746" i="14" s="1"/>
  <c r="Q747" i="14"/>
  <c r="K747" i="14" s="1"/>
  <c r="R747" i="14"/>
  <c r="L747" i="14" s="1"/>
  <c r="Q748" i="14"/>
  <c r="K748" i="14" s="1"/>
  <c r="R748" i="14"/>
  <c r="Q749" i="14"/>
  <c r="R749" i="14"/>
  <c r="Q750" i="14"/>
  <c r="R750" i="14"/>
  <c r="L750" i="14" s="1"/>
  <c r="Q751" i="14"/>
  <c r="K751" i="14" s="1"/>
  <c r="R751" i="14"/>
  <c r="L751" i="14" s="1"/>
  <c r="Q752" i="14"/>
  <c r="K752" i="14" s="1"/>
  <c r="R752" i="14"/>
  <c r="Q753" i="14"/>
  <c r="R753" i="14"/>
  <c r="Q754" i="14"/>
  <c r="R754" i="14"/>
  <c r="L754" i="14" s="1"/>
  <c r="Q755" i="14"/>
  <c r="R755" i="14"/>
  <c r="L755" i="14" s="1"/>
  <c r="Q756" i="14"/>
  <c r="K756" i="14" s="1"/>
  <c r="R756" i="14"/>
  <c r="Q757" i="14"/>
  <c r="R757" i="14"/>
  <c r="Q758" i="14"/>
  <c r="R758" i="14"/>
  <c r="L758" i="14" s="1"/>
  <c r="Q759" i="14"/>
  <c r="K759" i="14" s="1"/>
  <c r="R759" i="14"/>
  <c r="L759" i="14" s="1"/>
  <c r="Q760" i="14"/>
  <c r="K760" i="14" s="1"/>
  <c r="R760" i="14"/>
  <c r="L760" i="14" s="1"/>
  <c r="Q761" i="14"/>
  <c r="R761" i="14"/>
  <c r="Q762" i="14"/>
  <c r="R762" i="14"/>
  <c r="L762" i="14" s="1"/>
  <c r="Q763" i="14"/>
  <c r="K763" i="14" s="1"/>
  <c r="R763" i="14"/>
  <c r="L763" i="14" s="1"/>
  <c r="Q764" i="14"/>
  <c r="K764" i="14" s="1"/>
  <c r="R764" i="14"/>
  <c r="Q765" i="14"/>
  <c r="R765" i="14"/>
  <c r="Q766" i="14"/>
  <c r="R766" i="14"/>
  <c r="L766" i="14" s="1"/>
  <c r="Q767" i="14"/>
  <c r="K767" i="14" s="1"/>
  <c r="R767" i="14"/>
  <c r="L767" i="14" s="1"/>
  <c r="Q768" i="14"/>
  <c r="K768" i="14" s="1"/>
  <c r="R768" i="14"/>
  <c r="L768" i="14" s="1"/>
  <c r="Q769" i="14"/>
  <c r="R769" i="14"/>
  <c r="Q770" i="14"/>
  <c r="R770" i="14"/>
  <c r="L770" i="14" s="1"/>
  <c r="Q771" i="14"/>
  <c r="K771" i="14" s="1"/>
  <c r="R771" i="14"/>
  <c r="L771" i="14" s="1"/>
  <c r="Q772" i="14"/>
  <c r="K772" i="14" s="1"/>
  <c r="R772" i="14"/>
  <c r="L772" i="14" s="1"/>
  <c r="Q773" i="14"/>
  <c r="R773" i="14"/>
  <c r="Q774" i="14"/>
  <c r="R774" i="14"/>
  <c r="L774" i="14" s="1"/>
  <c r="Q775" i="14"/>
  <c r="K775" i="14" s="1"/>
  <c r="R775" i="14"/>
  <c r="L775" i="14" s="1"/>
  <c r="Q776" i="14"/>
  <c r="K776" i="14" s="1"/>
  <c r="R776" i="14"/>
  <c r="Q777" i="14"/>
  <c r="R777" i="14"/>
  <c r="Q778" i="14"/>
  <c r="R778" i="14"/>
  <c r="L778" i="14" s="1"/>
  <c r="Q779" i="14"/>
  <c r="K779" i="14" s="1"/>
  <c r="R779" i="14"/>
  <c r="L779" i="14" s="1"/>
  <c r="Q780" i="14"/>
  <c r="K780" i="14" s="1"/>
  <c r="R780" i="14"/>
  <c r="L780" i="14" s="1"/>
  <c r="Q781" i="14"/>
  <c r="R781" i="14"/>
  <c r="Q782" i="14"/>
  <c r="R782" i="14"/>
  <c r="L782" i="14" s="1"/>
  <c r="Q783" i="14"/>
  <c r="K783" i="14" s="1"/>
  <c r="R783" i="14"/>
  <c r="L783" i="14" s="1"/>
  <c r="Q784" i="14"/>
  <c r="K784" i="14" s="1"/>
  <c r="R784" i="14"/>
  <c r="Q785" i="14"/>
  <c r="R785" i="14"/>
  <c r="Q786" i="14"/>
  <c r="R786" i="14"/>
  <c r="L786" i="14" s="1"/>
  <c r="Q787" i="14"/>
  <c r="K787" i="14" s="1"/>
  <c r="R787" i="14"/>
  <c r="L787" i="14" s="1"/>
  <c r="Q788" i="14"/>
  <c r="K788" i="14" s="1"/>
  <c r="R788" i="14"/>
  <c r="L788" i="14" s="1"/>
  <c r="Q789" i="14"/>
  <c r="R789" i="14"/>
  <c r="Q790" i="14"/>
  <c r="R790" i="14"/>
  <c r="L790" i="14" s="1"/>
  <c r="Q791" i="14"/>
  <c r="K791" i="14" s="1"/>
  <c r="R791" i="14"/>
  <c r="L791" i="14" s="1"/>
  <c r="Q792" i="14"/>
  <c r="K792" i="14" s="1"/>
  <c r="R792" i="14"/>
  <c r="Q793" i="14"/>
  <c r="R793" i="14"/>
  <c r="Q794" i="14"/>
  <c r="R794" i="14"/>
  <c r="L794" i="14" s="1"/>
  <c r="Q795" i="14"/>
  <c r="K795" i="14" s="1"/>
  <c r="R795" i="14"/>
  <c r="L795" i="14" s="1"/>
  <c r="Q796" i="14"/>
  <c r="K796" i="14" s="1"/>
  <c r="R796" i="14"/>
  <c r="L796" i="14" s="1"/>
  <c r="Q797" i="14"/>
  <c r="R797" i="14"/>
  <c r="Q798" i="14"/>
  <c r="R798" i="14"/>
  <c r="L798" i="14" s="1"/>
  <c r="Q799" i="14"/>
  <c r="R799" i="14"/>
  <c r="L799" i="14" s="1"/>
  <c r="Q800" i="14"/>
  <c r="K800" i="14" s="1"/>
  <c r="R800" i="14"/>
  <c r="L800" i="14" s="1"/>
  <c r="Q801" i="14"/>
  <c r="R801" i="14"/>
  <c r="Q802" i="14"/>
  <c r="R802" i="14"/>
  <c r="L802" i="14" s="1"/>
  <c r="Q803" i="14"/>
  <c r="K803" i="14" s="1"/>
  <c r="R803" i="14"/>
  <c r="L803" i="14" s="1"/>
  <c r="Q804" i="14"/>
  <c r="K804" i="14" s="1"/>
  <c r="R804" i="14"/>
  <c r="L804" i="14" s="1"/>
  <c r="Q805" i="14"/>
  <c r="R805" i="14"/>
  <c r="Q806" i="14"/>
  <c r="R806" i="14"/>
  <c r="L806" i="14" s="1"/>
  <c r="Q807" i="14"/>
  <c r="R807" i="14"/>
  <c r="L807" i="14" s="1"/>
  <c r="Q808" i="14"/>
  <c r="K808" i="14" s="1"/>
  <c r="R808" i="14"/>
  <c r="L808" i="14" s="1"/>
  <c r="Q809" i="14"/>
  <c r="R809" i="14"/>
  <c r="Q810" i="14"/>
  <c r="R810" i="14"/>
  <c r="L810" i="14" s="1"/>
  <c r="Q811" i="14"/>
  <c r="K811" i="14" s="1"/>
  <c r="R811" i="14"/>
  <c r="L811" i="14" s="1"/>
  <c r="Q812" i="14"/>
  <c r="K812" i="14" s="1"/>
  <c r="R812" i="14"/>
  <c r="L812" i="14" s="1"/>
  <c r="Q813" i="14"/>
  <c r="R813" i="14"/>
  <c r="Q814" i="14"/>
  <c r="R814" i="14"/>
  <c r="L814" i="14" s="1"/>
  <c r="Q815" i="14"/>
  <c r="K815" i="14" s="1"/>
  <c r="R815" i="14"/>
  <c r="L815" i="14" s="1"/>
  <c r="Q816" i="14"/>
  <c r="K816" i="14" s="1"/>
  <c r="R816" i="14"/>
  <c r="L816" i="14" s="1"/>
  <c r="Q817" i="14"/>
  <c r="K817" i="14" s="1"/>
  <c r="R817" i="14"/>
  <c r="Q818" i="14"/>
  <c r="R818" i="14"/>
  <c r="L818" i="14" s="1"/>
  <c r="Q819" i="14"/>
  <c r="K819" i="14" s="1"/>
  <c r="R819" i="14"/>
  <c r="L819" i="14" s="1"/>
  <c r="Q820" i="14"/>
  <c r="K820" i="14" s="1"/>
  <c r="R820" i="14"/>
  <c r="L820" i="14" s="1"/>
  <c r="Q821" i="14"/>
  <c r="R821" i="14"/>
  <c r="Q822" i="14"/>
  <c r="R822" i="14"/>
  <c r="L822" i="14" s="1"/>
  <c r="Q823" i="14"/>
  <c r="K823" i="14" s="1"/>
  <c r="R823" i="14"/>
  <c r="L823" i="14" s="1"/>
  <c r="Q824" i="14"/>
  <c r="K824" i="14" s="1"/>
  <c r="R824" i="14"/>
  <c r="L824" i="14" s="1"/>
  <c r="Q825" i="14"/>
  <c r="K825" i="14" s="1"/>
  <c r="R825" i="14"/>
  <c r="Q826" i="14"/>
  <c r="R826" i="14"/>
  <c r="L826" i="14" s="1"/>
  <c r="Q827" i="14"/>
  <c r="K827" i="14" s="1"/>
  <c r="R827" i="14"/>
  <c r="L827" i="14" s="1"/>
  <c r="Q828" i="14"/>
  <c r="K828" i="14" s="1"/>
  <c r="R828" i="14"/>
  <c r="Q829" i="14"/>
  <c r="R829" i="14"/>
  <c r="Q830" i="14"/>
  <c r="R830" i="14"/>
  <c r="L830" i="14" s="1"/>
  <c r="Q831" i="14"/>
  <c r="K831" i="14" s="1"/>
  <c r="R831" i="14"/>
  <c r="L831" i="14" s="1"/>
  <c r="Q832" i="14"/>
  <c r="K832" i="14" s="1"/>
  <c r="R832" i="14"/>
  <c r="L832" i="14" s="1"/>
  <c r="Q833" i="14"/>
  <c r="K833" i="14" s="1"/>
  <c r="R833" i="14"/>
  <c r="Q834" i="14"/>
  <c r="R834" i="14"/>
  <c r="L834" i="14" s="1"/>
  <c r="Q835" i="14"/>
  <c r="K835" i="14" s="1"/>
  <c r="R835" i="14"/>
  <c r="L835" i="14" s="1"/>
  <c r="Q836" i="14"/>
  <c r="K836" i="14" s="1"/>
  <c r="R836" i="14"/>
  <c r="L836" i="14" s="1"/>
  <c r="Q837" i="14"/>
  <c r="R837" i="14"/>
  <c r="Q838" i="14"/>
  <c r="R838" i="14"/>
  <c r="L838" i="14" s="1"/>
  <c r="Q839" i="14"/>
  <c r="K839" i="14" s="1"/>
  <c r="R839" i="14"/>
  <c r="L839" i="14" s="1"/>
  <c r="Q840" i="14"/>
  <c r="K840" i="14" s="1"/>
  <c r="R840" i="14"/>
  <c r="Q841" i="14"/>
  <c r="K841" i="14" s="1"/>
  <c r="R841" i="14"/>
  <c r="Q842" i="14"/>
  <c r="R842" i="14"/>
  <c r="L842" i="14" s="1"/>
  <c r="Q843" i="14"/>
  <c r="K843" i="14" s="1"/>
  <c r="R843" i="14"/>
  <c r="L843" i="14" s="1"/>
  <c r="Q844" i="14"/>
  <c r="K844" i="14" s="1"/>
  <c r="R844" i="14"/>
  <c r="L844" i="14" s="1"/>
  <c r="Q845" i="14"/>
  <c r="R845" i="14"/>
  <c r="Q846" i="14"/>
  <c r="R846" i="14"/>
  <c r="L846" i="14" s="1"/>
  <c r="Q847" i="14"/>
  <c r="K847" i="14" s="1"/>
  <c r="R847" i="14"/>
  <c r="L847" i="14" s="1"/>
  <c r="Q848" i="14"/>
  <c r="K848" i="14" s="1"/>
  <c r="R848" i="14"/>
  <c r="Q849" i="14"/>
  <c r="K849" i="14" s="1"/>
  <c r="R849" i="14"/>
  <c r="Q850" i="14"/>
  <c r="R850" i="14"/>
  <c r="L850" i="14" s="1"/>
  <c r="Q851" i="14"/>
  <c r="K851" i="14" s="1"/>
  <c r="R851" i="14"/>
  <c r="L851" i="14" s="1"/>
  <c r="Q852" i="14"/>
  <c r="K852" i="14" s="1"/>
  <c r="R852" i="14"/>
  <c r="L852" i="14" s="1"/>
  <c r="Q853" i="14"/>
  <c r="R853" i="14"/>
  <c r="Q854" i="14"/>
  <c r="R854" i="14"/>
  <c r="L854" i="14" s="1"/>
  <c r="Q855" i="14"/>
  <c r="K855" i="14" s="1"/>
  <c r="R855" i="14"/>
  <c r="L855" i="14" s="1"/>
  <c r="Q856" i="14"/>
  <c r="K856" i="14" s="1"/>
  <c r="R856" i="14"/>
  <c r="Q857" i="14"/>
  <c r="K857" i="14" s="1"/>
  <c r="R857" i="14"/>
  <c r="Q858" i="14"/>
  <c r="R858" i="14"/>
  <c r="L858" i="14" s="1"/>
  <c r="Q859" i="14"/>
  <c r="K859" i="14" s="1"/>
  <c r="R859" i="14"/>
  <c r="L859" i="14" s="1"/>
  <c r="Q860" i="14"/>
  <c r="K860" i="14" s="1"/>
  <c r="R860" i="14"/>
  <c r="L860" i="14" s="1"/>
  <c r="Q861" i="14"/>
  <c r="R861" i="14"/>
  <c r="Q862" i="14"/>
  <c r="R862" i="14"/>
  <c r="L862" i="14" s="1"/>
  <c r="Q863" i="14"/>
  <c r="R863" i="14"/>
  <c r="L863" i="14" s="1"/>
  <c r="Q864" i="14"/>
  <c r="K864" i="14" s="1"/>
  <c r="R864" i="14"/>
  <c r="L864" i="14" s="1"/>
  <c r="Q865" i="14"/>
  <c r="K865" i="14" s="1"/>
  <c r="R865" i="14"/>
  <c r="Q866" i="14"/>
  <c r="R866" i="14"/>
  <c r="L866" i="14" s="1"/>
  <c r="Q867" i="14"/>
  <c r="K867" i="14" s="1"/>
  <c r="R867" i="14"/>
  <c r="L867" i="14" s="1"/>
  <c r="Q868" i="14"/>
  <c r="K868" i="14" s="1"/>
  <c r="R868" i="14"/>
  <c r="Q869" i="14"/>
  <c r="R869" i="14"/>
  <c r="Q870" i="14"/>
  <c r="R870" i="14"/>
  <c r="L870" i="14" s="1"/>
  <c r="Q871" i="14"/>
  <c r="K871" i="14" s="1"/>
  <c r="R871" i="14"/>
  <c r="L871" i="14" s="1"/>
  <c r="Q872" i="14"/>
  <c r="K872" i="14" s="1"/>
  <c r="R872" i="14"/>
  <c r="L872" i="14" s="1"/>
  <c r="Q873" i="14"/>
  <c r="K873" i="14" s="1"/>
  <c r="R873" i="14"/>
  <c r="Q874" i="14"/>
  <c r="R874" i="14"/>
  <c r="L874" i="14" s="1"/>
  <c r="Q875" i="14"/>
  <c r="K875" i="14" s="1"/>
  <c r="R875" i="14"/>
  <c r="L875" i="14" s="1"/>
  <c r="Q876" i="14"/>
  <c r="K876" i="14" s="1"/>
  <c r="R876" i="14"/>
  <c r="Q877" i="14"/>
  <c r="R877" i="14"/>
  <c r="Q878" i="14"/>
  <c r="R878" i="14"/>
  <c r="L878" i="14" s="1"/>
  <c r="Q879" i="14"/>
  <c r="K879" i="14" s="1"/>
  <c r="R879" i="14"/>
  <c r="L879" i="14" s="1"/>
  <c r="Q880" i="14"/>
  <c r="K880" i="14" s="1"/>
  <c r="R880" i="14"/>
  <c r="L880" i="14" s="1"/>
  <c r="Q881" i="14"/>
  <c r="K881" i="14" s="1"/>
  <c r="R881" i="14"/>
  <c r="Q882" i="14"/>
  <c r="R882" i="14"/>
  <c r="L882" i="14" s="1"/>
  <c r="Q883" i="14"/>
  <c r="K883" i="14" s="1"/>
  <c r="R883" i="14"/>
  <c r="L883" i="14" s="1"/>
  <c r="Q884" i="14"/>
  <c r="K884" i="14" s="1"/>
  <c r="R884" i="14"/>
  <c r="Q885" i="14"/>
  <c r="R885" i="14"/>
  <c r="Q886" i="14"/>
  <c r="R886" i="14"/>
  <c r="L886" i="14" s="1"/>
  <c r="Q887" i="14"/>
  <c r="K887" i="14" s="1"/>
  <c r="R887" i="14"/>
  <c r="L887" i="14" s="1"/>
  <c r="Q888" i="14"/>
  <c r="K888" i="14" s="1"/>
  <c r="R888" i="14"/>
  <c r="L888" i="14" s="1"/>
  <c r="Q889" i="14"/>
  <c r="R889" i="14"/>
  <c r="Q890" i="14"/>
  <c r="R890" i="14"/>
  <c r="L890" i="14" s="1"/>
  <c r="Q891" i="14"/>
  <c r="K891" i="14" s="1"/>
  <c r="R891" i="14"/>
  <c r="L891" i="14" s="1"/>
  <c r="Q892" i="14"/>
  <c r="K892" i="14" s="1"/>
  <c r="R892" i="14"/>
  <c r="L892" i="14" s="1"/>
  <c r="Q893" i="14"/>
  <c r="R893" i="14"/>
  <c r="Q894" i="14"/>
  <c r="R894" i="14"/>
  <c r="L894" i="14" s="1"/>
  <c r="Q895" i="14"/>
  <c r="K895" i="14" s="1"/>
  <c r="R895" i="14"/>
  <c r="L895" i="14" s="1"/>
  <c r="Q896" i="14"/>
  <c r="K896" i="14" s="1"/>
  <c r="R896" i="14"/>
  <c r="L896" i="14" s="1"/>
  <c r="Q897" i="14"/>
  <c r="K897" i="14" s="1"/>
  <c r="R897" i="14"/>
  <c r="Q898" i="14"/>
  <c r="R898" i="14"/>
  <c r="L898" i="14" s="1"/>
  <c r="Q899" i="14"/>
  <c r="K899" i="14" s="1"/>
  <c r="R899" i="14"/>
  <c r="L899" i="14" s="1"/>
  <c r="Q900" i="14"/>
  <c r="K900" i="14" s="1"/>
  <c r="R900" i="14"/>
  <c r="Q901" i="14"/>
  <c r="R901" i="14"/>
  <c r="Q902" i="14"/>
  <c r="R902" i="14"/>
  <c r="L902" i="14" s="1"/>
  <c r="Q903" i="14"/>
  <c r="K903" i="14" s="1"/>
  <c r="R903" i="14"/>
  <c r="L903" i="14" s="1"/>
  <c r="Q904" i="14"/>
  <c r="K904" i="14" s="1"/>
  <c r="R904" i="14"/>
  <c r="L904" i="14" s="1"/>
  <c r="Q905" i="14"/>
  <c r="K905" i="14" s="1"/>
  <c r="R905" i="14"/>
  <c r="Q906" i="14"/>
  <c r="R906" i="14"/>
  <c r="L906" i="14" s="1"/>
  <c r="Q907" i="14"/>
  <c r="K907" i="14" s="1"/>
  <c r="R907" i="14"/>
  <c r="L907" i="14" s="1"/>
  <c r="Q908" i="14"/>
  <c r="K908" i="14" s="1"/>
  <c r="R908" i="14"/>
  <c r="Q909" i="14"/>
  <c r="R909" i="14"/>
  <c r="Q910" i="14"/>
  <c r="R910" i="14"/>
  <c r="L910" i="14" s="1"/>
  <c r="Q911" i="14"/>
  <c r="K911" i="14" s="1"/>
  <c r="R911" i="14"/>
  <c r="L911" i="14" s="1"/>
  <c r="Q912" i="14"/>
  <c r="K912" i="14" s="1"/>
  <c r="R912" i="14"/>
  <c r="L912" i="14" s="1"/>
  <c r="Q913" i="14"/>
  <c r="R913" i="14"/>
  <c r="Q914" i="14"/>
  <c r="R914" i="14"/>
  <c r="L914" i="14" s="1"/>
  <c r="Q915" i="14"/>
  <c r="K915" i="14" s="1"/>
  <c r="R915" i="14"/>
  <c r="L915" i="14" s="1"/>
  <c r="Q916" i="14"/>
  <c r="K916" i="14" s="1"/>
  <c r="R916" i="14"/>
  <c r="Q917" i="14"/>
  <c r="R917" i="14"/>
  <c r="Q918" i="14"/>
  <c r="R918" i="14"/>
  <c r="L918" i="14" s="1"/>
  <c r="Q919" i="14"/>
  <c r="K919" i="14" s="1"/>
  <c r="R919" i="14"/>
  <c r="L919" i="14" s="1"/>
  <c r="Q920" i="14"/>
  <c r="K920" i="14" s="1"/>
  <c r="R920" i="14"/>
  <c r="L920" i="14" s="1"/>
  <c r="Q921" i="14"/>
  <c r="K921" i="14" s="1"/>
  <c r="R921" i="14"/>
  <c r="Q922" i="14"/>
  <c r="R922" i="14"/>
  <c r="L922" i="14" s="1"/>
  <c r="Q923" i="14"/>
  <c r="K923" i="14" s="1"/>
  <c r="R923" i="14"/>
  <c r="L923" i="14" s="1"/>
  <c r="Q924" i="14"/>
  <c r="K924" i="14" s="1"/>
  <c r="R924" i="14"/>
  <c r="L924" i="14" s="1"/>
  <c r="Q925" i="14"/>
  <c r="R925" i="14"/>
  <c r="Q926" i="14"/>
  <c r="R926" i="14"/>
  <c r="L926" i="14" s="1"/>
  <c r="Q927" i="14"/>
  <c r="K927" i="14" s="1"/>
  <c r="R927" i="14"/>
  <c r="L927" i="14" s="1"/>
  <c r="Q928" i="14"/>
  <c r="K928" i="14" s="1"/>
  <c r="R928" i="14"/>
  <c r="L928" i="14" s="1"/>
  <c r="Q929" i="14"/>
  <c r="K929" i="14" s="1"/>
  <c r="R929" i="14"/>
  <c r="Q930" i="14"/>
  <c r="R930" i="14"/>
  <c r="L930" i="14" s="1"/>
  <c r="Q931" i="14"/>
  <c r="K931" i="14" s="1"/>
  <c r="R931" i="14"/>
  <c r="L931" i="14" s="1"/>
  <c r="Q932" i="14"/>
  <c r="K932" i="14" s="1"/>
  <c r="R932" i="14"/>
  <c r="L932" i="14" s="1"/>
  <c r="Q933" i="14"/>
  <c r="R933" i="14"/>
  <c r="Q934" i="14"/>
  <c r="R934" i="14"/>
  <c r="L934" i="14" s="1"/>
  <c r="Q935" i="14"/>
  <c r="K935" i="14" s="1"/>
  <c r="R935" i="14"/>
  <c r="L935" i="14" s="1"/>
  <c r="Q936" i="14"/>
  <c r="K936" i="14" s="1"/>
  <c r="R936" i="14"/>
  <c r="L936" i="14" s="1"/>
  <c r="Q937" i="14"/>
  <c r="R937" i="14"/>
  <c r="Q938" i="14"/>
  <c r="R938" i="14"/>
  <c r="L938" i="14" s="1"/>
  <c r="Q939" i="14"/>
  <c r="K939" i="14" s="1"/>
  <c r="R939" i="14"/>
  <c r="L939" i="14" s="1"/>
  <c r="Q940" i="14"/>
  <c r="K940" i="14" s="1"/>
  <c r="R940" i="14"/>
  <c r="Q941" i="14"/>
  <c r="R941" i="14"/>
  <c r="Q942" i="14"/>
  <c r="R942" i="14"/>
  <c r="L942" i="14" s="1"/>
  <c r="Q943" i="14"/>
  <c r="K943" i="14" s="1"/>
  <c r="R943" i="14"/>
  <c r="L943" i="14" s="1"/>
  <c r="Q944" i="14"/>
  <c r="K944" i="14" s="1"/>
  <c r="R944" i="14"/>
  <c r="L944" i="14" s="1"/>
  <c r="Q945" i="14"/>
  <c r="R945" i="14"/>
  <c r="Q946" i="14"/>
  <c r="R946" i="14"/>
  <c r="L946" i="14" s="1"/>
  <c r="Q947" i="14"/>
  <c r="K947" i="14" s="1"/>
  <c r="R947" i="14"/>
  <c r="L947" i="14" s="1"/>
  <c r="Q948" i="14"/>
  <c r="K948" i="14" s="1"/>
  <c r="R948" i="14"/>
  <c r="Q949" i="14"/>
  <c r="R949" i="14"/>
  <c r="Q950" i="14"/>
  <c r="R950" i="14"/>
  <c r="L950" i="14" s="1"/>
  <c r="Q951" i="14"/>
  <c r="K951" i="14" s="1"/>
  <c r="R951" i="14"/>
  <c r="L951" i="14" s="1"/>
  <c r="Q952" i="14"/>
  <c r="K952" i="14" s="1"/>
  <c r="R952" i="14"/>
  <c r="L952" i="14" s="1"/>
  <c r="Q953" i="14"/>
  <c r="R953" i="14"/>
  <c r="Q954" i="14"/>
  <c r="R954" i="14"/>
  <c r="L954" i="14" s="1"/>
  <c r="Q955" i="14"/>
  <c r="K955" i="14" s="1"/>
  <c r="R955" i="14"/>
  <c r="L955" i="14" s="1"/>
  <c r="Q956" i="14"/>
  <c r="K956" i="14" s="1"/>
  <c r="R956" i="14"/>
  <c r="Q957" i="14"/>
  <c r="R957" i="14"/>
  <c r="Q958" i="14"/>
  <c r="R958" i="14"/>
  <c r="L958" i="14" s="1"/>
  <c r="Q959" i="14"/>
  <c r="K959" i="14" s="1"/>
  <c r="R959" i="14"/>
  <c r="L959" i="14" s="1"/>
  <c r="Q960" i="14"/>
  <c r="K960" i="14" s="1"/>
  <c r="R960" i="14"/>
  <c r="L960" i="14" s="1"/>
  <c r="Q961" i="14"/>
  <c r="R961" i="14"/>
  <c r="Q962" i="14"/>
  <c r="R962" i="14"/>
  <c r="L962" i="14" s="1"/>
  <c r="Q963" i="14"/>
  <c r="K963" i="14" s="1"/>
  <c r="R963" i="14"/>
  <c r="L963" i="14" s="1"/>
  <c r="Q964" i="14"/>
  <c r="K964" i="14" s="1"/>
  <c r="R964" i="14"/>
  <c r="Q965" i="14"/>
  <c r="R965" i="14"/>
  <c r="Q966" i="14"/>
  <c r="R966" i="14"/>
  <c r="L966" i="14" s="1"/>
  <c r="Q967" i="14"/>
  <c r="K967" i="14" s="1"/>
  <c r="R967" i="14"/>
  <c r="L967" i="14" s="1"/>
  <c r="Q968" i="14"/>
  <c r="K968" i="14" s="1"/>
  <c r="R968" i="14"/>
  <c r="L968" i="14" s="1"/>
  <c r="Q969" i="14"/>
  <c r="R969" i="14"/>
  <c r="Q970" i="14"/>
  <c r="R970" i="14"/>
  <c r="L970" i="14" s="1"/>
  <c r="Q971" i="14"/>
  <c r="K971" i="14" s="1"/>
  <c r="R971" i="14"/>
  <c r="L971" i="14" s="1"/>
  <c r="Q972" i="14"/>
  <c r="K972" i="14" s="1"/>
  <c r="R972" i="14"/>
  <c r="Q973" i="14"/>
  <c r="R973" i="14"/>
  <c r="Q974" i="14"/>
  <c r="R974" i="14"/>
  <c r="L974" i="14" s="1"/>
  <c r="Q975" i="14"/>
  <c r="K975" i="14" s="1"/>
  <c r="R975" i="14"/>
  <c r="L975" i="14" s="1"/>
  <c r="Q976" i="14"/>
  <c r="K976" i="14" s="1"/>
  <c r="R976" i="14"/>
  <c r="L976" i="14" s="1"/>
  <c r="Q977" i="14"/>
  <c r="R977" i="14"/>
  <c r="Q978" i="14"/>
  <c r="R978" i="14"/>
  <c r="L978" i="14" s="1"/>
  <c r="Q979" i="14"/>
  <c r="K979" i="14" s="1"/>
  <c r="R979" i="14"/>
  <c r="L979" i="14" s="1"/>
  <c r="Q980" i="14"/>
  <c r="K980" i="14" s="1"/>
  <c r="R980" i="14"/>
  <c r="L980" i="14" s="1"/>
  <c r="Q981" i="14"/>
  <c r="R981" i="14"/>
  <c r="Q982" i="14"/>
  <c r="R982" i="14"/>
  <c r="L982" i="14" s="1"/>
  <c r="Q983" i="14"/>
  <c r="K983" i="14" s="1"/>
  <c r="R983" i="14"/>
  <c r="L983" i="14" s="1"/>
  <c r="Q984" i="14"/>
  <c r="K984" i="14" s="1"/>
  <c r="R984" i="14"/>
  <c r="L984" i="14" s="1"/>
  <c r="Q985" i="14"/>
  <c r="K985" i="14" s="1"/>
  <c r="R985" i="14"/>
  <c r="Q986" i="14"/>
  <c r="R986" i="14"/>
  <c r="L986" i="14" s="1"/>
  <c r="Q987" i="14"/>
  <c r="K987" i="14" s="1"/>
  <c r="R987" i="14"/>
  <c r="L987" i="14" s="1"/>
  <c r="Q988" i="14"/>
  <c r="K988" i="14" s="1"/>
  <c r="R988" i="14"/>
  <c r="L988" i="14" s="1"/>
  <c r="Q989" i="14"/>
  <c r="R989" i="14"/>
  <c r="Q990" i="14"/>
  <c r="R990" i="14"/>
  <c r="L990" i="14" s="1"/>
  <c r="Q991" i="14"/>
  <c r="K991" i="14" s="1"/>
  <c r="R991" i="14"/>
  <c r="L991" i="14" s="1"/>
  <c r="Q992" i="14"/>
  <c r="K992" i="14" s="1"/>
  <c r="R992" i="14"/>
  <c r="L992" i="14" s="1"/>
  <c r="Q993" i="14"/>
  <c r="K993" i="14" s="1"/>
  <c r="R993" i="14"/>
  <c r="Q994" i="14"/>
  <c r="R994" i="14"/>
  <c r="L994" i="14" s="1"/>
  <c r="Q995" i="14"/>
  <c r="K995" i="14" s="1"/>
  <c r="R995" i="14"/>
  <c r="L995" i="14" s="1"/>
  <c r="Q996" i="14"/>
  <c r="K996" i="14" s="1"/>
  <c r="R996" i="14"/>
  <c r="Q997" i="14"/>
  <c r="R997" i="14"/>
  <c r="Q998" i="14"/>
  <c r="R998" i="14"/>
  <c r="L998" i="14" s="1"/>
  <c r="Q999" i="14"/>
  <c r="K999" i="14" s="1"/>
  <c r="R999" i="14"/>
  <c r="L999" i="14" s="1"/>
  <c r="Q1000" i="14"/>
  <c r="K1000" i="14" s="1"/>
  <c r="R1000" i="14"/>
  <c r="L1000" i="14" s="1"/>
  <c r="Q1001" i="14"/>
  <c r="K1001" i="14" s="1"/>
  <c r="R1001" i="14"/>
  <c r="Q1002" i="14"/>
  <c r="R1002" i="14"/>
  <c r="L1002" i="14" s="1"/>
  <c r="Q1003" i="14"/>
  <c r="K1003" i="14" s="1"/>
  <c r="R1003" i="14"/>
  <c r="L1003" i="14" s="1"/>
  <c r="Q1004" i="14"/>
  <c r="K1004" i="14" s="1"/>
  <c r="R1004" i="14"/>
  <c r="Q1005" i="14"/>
  <c r="R1005" i="14"/>
  <c r="Q1006" i="14"/>
  <c r="R1006" i="14"/>
  <c r="L1006" i="14" s="1"/>
  <c r="Q1007" i="14"/>
  <c r="K1007" i="14" s="1"/>
  <c r="R1007" i="14"/>
  <c r="L1007" i="14" s="1"/>
  <c r="Q1008" i="14"/>
  <c r="K1008" i="14" s="1"/>
  <c r="R1008" i="14"/>
  <c r="L1008" i="14" s="1"/>
  <c r="Q1009" i="14"/>
  <c r="R1009" i="14"/>
  <c r="Q1010" i="14"/>
  <c r="R1010" i="14"/>
  <c r="L1010" i="14" s="1"/>
  <c r="Q1011" i="14"/>
  <c r="R1011" i="14"/>
  <c r="L1011" i="14" s="1"/>
  <c r="Q1012" i="14"/>
  <c r="K1012" i="14" s="1"/>
  <c r="R1012" i="14"/>
  <c r="Q1013" i="14"/>
  <c r="R1013" i="14"/>
  <c r="Q1014" i="14"/>
  <c r="R1014" i="14"/>
  <c r="L1014" i="14" s="1"/>
  <c r="Q1015" i="14"/>
  <c r="K1015" i="14" s="1"/>
  <c r="R1015" i="14"/>
  <c r="L1015" i="14" s="1"/>
  <c r="Q1016" i="14"/>
  <c r="K1016" i="14" s="1"/>
  <c r="R1016" i="14"/>
  <c r="L1016" i="14" s="1"/>
  <c r="Q1017" i="14"/>
  <c r="R1017" i="14"/>
  <c r="Q1018" i="14"/>
  <c r="R1018" i="14"/>
  <c r="L1018" i="14" s="1"/>
  <c r="Q1019" i="14"/>
  <c r="K1019" i="14" s="1"/>
  <c r="R1019" i="14"/>
  <c r="L1019" i="14" s="1"/>
  <c r="Q1020" i="14"/>
  <c r="K1020" i="14" s="1"/>
  <c r="R1020" i="14"/>
  <c r="Q1021" i="14"/>
  <c r="R1021" i="14"/>
  <c r="Q1022" i="14"/>
  <c r="R1022" i="14"/>
  <c r="L1022" i="14" s="1"/>
  <c r="Q1023" i="14"/>
  <c r="K1023" i="14" s="1"/>
  <c r="R1023" i="14"/>
  <c r="L1023" i="14" s="1"/>
  <c r="Q1024" i="14"/>
  <c r="K1024" i="14" s="1"/>
  <c r="R1024" i="14"/>
  <c r="L1024" i="14" s="1"/>
  <c r="Q1025" i="14"/>
  <c r="R1025" i="14"/>
  <c r="Q1026" i="14"/>
  <c r="R1026" i="14"/>
  <c r="L1026" i="14" s="1"/>
  <c r="Q1027" i="14"/>
  <c r="K1027" i="14" s="1"/>
  <c r="R1027" i="14"/>
  <c r="L1027" i="14" s="1"/>
  <c r="Q1028" i="14"/>
  <c r="K1028" i="14" s="1"/>
  <c r="R1028" i="14"/>
  <c r="L1028" i="14" s="1"/>
  <c r="Q1029" i="14"/>
  <c r="R1029" i="14"/>
  <c r="Q1030" i="14"/>
  <c r="R1030" i="14"/>
  <c r="L1030" i="14" s="1"/>
  <c r="Q1031" i="14"/>
  <c r="K1031" i="14" s="1"/>
  <c r="R1031" i="14"/>
  <c r="L1031" i="14" s="1"/>
  <c r="Q1032" i="14"/>
  <c r="K1032" i="14" s="1"/>
  <c r="R1032" i="14"/>
  <c r="L1032" i="14" s="1"/>
  <c r="Q1033" i="14"/>
  <c r="R1033" i="14"/>
  <c r="Q1034" i="14"/>
  <c r="R1034" i="14"/>
  <c r="L1034" i="14" s="1"/>
  <c r="Q1035" i="14"/>
  <c r="K1035" i="14" s="1"/>
  <c r="R1035" i="14"/>
  <c r="L1035" i="14" s="1"/>
  <c r="Q1036" i="14"/>
  <c r="K1036" i="14" s="1"/>
  <c r="R1036" i="14"/>
  <c r="L1036" i="14" s="1"/>
  <c r="Q1037" i="14"/>
  <c r="R1037" i="14"/>
  <c r="Q1038" i="14"/>
  <c r="R1038" i="14"/>
  <c r="L1038" i="14" s="1"/>
  <c r="Q1039" i="14"/>
  <c r="K1039" i="14" s="1"/>
  <c r="R1039" i="14"/>
  <c r="L1039" i="14" s="1"/>
  <c r="Q1040" i="14"/>
  <c r="K1040" i="14" s="1"/>
  <c r="R1040" i="14"/>
  <c r="L1040" i="14" s="1"/>
  <c r="Q1041" i="14"/>
  <c r="R1041" i="14"/>
  <c r="Q1042" i="14"/>
  <c r="R1042" i="14"/>
  <c r="L1042" i="14" s="1"/>
  <c r="Q1043" i="14"/>
  <c r="K1043" i="14" s="1"/>
  <c r="R1043" i="14"/>
  <c r="L1043" i="14" s="1"/>
  <c r="Q1044" i="14"/>
  <c r="K1044" i="14" s="1"/>
  <c r="R1044" i="14"/>
  <c r="L1044" i="14" s="1"/>
  <c r="Q1045" i="14"/>
  <c r="R1045" i="14"/>
  <c r="Q1046" i="14"/>
  <c r="R1046" i="14"/>
  <c r="L1046" i="14" s="1"/>
  <c r="Q1047" i="14"/>
  <c r="K1047" i="14" s="1"/>
  <c r="R1047" i="14"/>
  <c r="L1047" i="14" s="1"/>
  <c r="Q1048" i="14"/>
  <c r="K1048" i="14" s="1"/>
  <c r="R1048" i="14"/>
  <c r="Q1049" i="14"/>
  <c r="R1049" i="14"/>
  <c r="Q1050" i="14"/>
  <c r="R1050" i="14"/>
  <c r="L1050" i="14" s="1"/>
  <c r="Q1051" i="14"/>
  <c r="K1051" i="14" s="1"/>
  <c r="R1051" i="14"/>
  <c r="L1051" i="14" s="1"/>
  <c r="Q1052" i="14"/>
  <c r="K1052" i="14" s="1"/>
  <c r="R1052" i="14"/>
  <c r="L1052" i="14" s="1"/>
  <c r="Q1053" i="14"/>
  <c r="R1053" i="14"/>
  <c r="Q1054" i="14"/>
  <c r="R1054" i="14"/>
  <c r="L1054" i="14" s="1"/>
  <c r="Q1055" i="14"/>
  <c r="K1055" i="14" s="1"/>
  <c r="R1055" i="14"/>
  <c r="L1055" i="14" s="1"/>
  <c r="Q1056" i="14"/>
  <c r="K1056" i="14" s="1"/>
  <c r="R1056" i="14"/>
  <c r="Q1057" i="14"/>
  <c r="R1057" i="14"/>
  <c r="Q1058" i="14"/>
  <c r="R1058" i="14"/>
  <c r="L1058" i="14" s="1"/>
  <c r="Q1059" i="14"/>
  <c r="K1059" i="14" s="1"/>
  <c r="R1059" i="14"/>
  <c r="L1059" i="14" s="1"/>
  <c r="Q1060" i="14"/>
  <c r="K1060" i="14" s="1"/>
  <c r="R1060" i="14"/>
  <c r="Q1061" i="14"/>
  <c r="R1061" i="14"/>
  <c r="Q1062" i="14"/>
  <c r="R1062" i="14"/>
  <c r="L1062" i="14" s="1"/>
  <c r="Q1063" i="14"/>
  <c r="K1063" i="14" s="1"/>
  <c r="R1063" i="14"/>
  <c r="L1063" i="14" s="1"/>
  <c r="Q1064" i="14"/>
  <c r="K1064" i="14" s="1"/>
  <c r="R1064" i="14"/>
  <c r="Q1065" i="14"/>
  <c r="R1065" i="14"/>
  <c r="Q1066" i="14"/>
  <c r="R1066" i="14"/>
  <c r="L1066" i="14" s="1"/>
  <c r="Q1067" i="14"/>
  <c r="K1067" i="14" s="1"/>
  <c r="R1067" i="14"/>
  <c r="L1067" i="14" s="1"/>
  <c r="Q1068" i="14"/>
  <c r="K1068" i="14" s="1"/>
  <c r="R1068" i="14"/>
  <c r="Q1069" i="14"/>
  <c r="R1069" i="14"/>
  <c r="Q1070" i="14"/>
  <c r="R1070" i="14"/>
  <c r="L1070" i="14" s="1"/>
  <c r="Q1071" i="14"/>
  <c r="K1071" i="14" s="1"/>
  <c r="R1071" i="14"/>
  <c r="L1071" i="14" s="1"/>
  <c r="Q1072" i="14"/>
  <c r="K1072" i="14" s="1"/>
  <c r="R1072" i="14"/>
  <c r="L1072" i="14" s="1"/>
  <c r="Q1073" i="14"/>
  <c r="R1073" i="14"/>
  <c r="Q1074" i="14"/>
  <c r="R1074" i="14"/>
  <c r="L1074" i="14" s="1"/>
  <c r="Q1075" i="14"/>
  <c r="K1075" i="14" s="1"/>
  <c r="R1075" i="14"/>
  <c r="L1075" i="14" s="1"/>
  <c r="Q1076" i="14"/>
  <c r="K1076" i="14" s="1"/>
  <c r="R1076" i="14"/>
  <c r="Q1077" i="14"/>
  <c r="R1077" i="14"/>
  <c r="Q1078" i="14"/>
  <c r="R1078" i="14"/>
  <c r="L1078" i="14" s="1"/>
  <c r="Q1079" i="14"/>
  <c r="K1079" i="14" s="1"/>
  <c r="R1079" i="14"/>
  <c r="L1079" i="14" s="1"/>
  <c r="Q1080" i="14"/>
  <c r="K1080" i="14" s="1"/>
  <c r="R1080" i="14"/>
  <c r="L1080" i="14" s="1"/>
  <c r="Q1081" i="14"/>
  <c r="R1081" i="14"/>
  <c r="Q1082" i="14"/>
  <c r="R1082" i="14"/>
  <c r="L1082" i="14" s="1"/>
  <c r="Q1083" i="14"/>
  <c r="K1083" i="14" s="1"/>
  <c r="R1083" i="14"/>
  <c r="L1083" i="14" s="1"/>
  <c r="Q1084" i="14"/>
  <c r="K1084" i="14" s="1"/>
  <c r="R1084" i="14"/>
  <c r="Q1085" i="14"/>
  <c r="R1085" i="14"/>
  <c r="Q1086" i="14"/>
  <c r="R1086" i="14"/>
  <c r="L1086" i="14" s="1"/>
  <c r="Q1087" i="14"/>
  <c r="K1087" i="14" s="1"/>
  <c r="R1087" i="14"/>
  <c r="L1087" i="14" s="1"/>
  <c r="Q1088" i="14"/>
  <c r="K1088" i="14" s="1"/>
  <c r="R1088" i="14"/>
  <c r="L1088" i="14" s="1"/>
  <c r="Q1089" i="14"/>
  <c r="R1089" i="14"/>
  <c r="Q1090" i="14"/>
  <c r="R1090" i="14"/>
  <c r="L1090" i="14" s="1"/>
  <c r="Q1091" i="14"/>
  <c r="K1091" i="14" s="1"/>
  <c r="R1091" i="14"/>
  <c r="L1091" i="14" s="1"/>
  <c r="Q1092" i="14"/>
  <c r="K1092" i="14" s="1"/>
  <c r="R1092" i="14"/>
  <c r="Q1093" i="14"/>
  <c r="R1093" i="14"/>
  <c r="Q1094" i="14"/>
  <c r="R1094" i="14"/>
  <c r="L1094" i="14" s="1"/>
  <c r="Q1095" i="14"/>
  <c r="K1095" i="14" s="1"/>
  <c r="R1095" i="14"/>
  <c r="L1095" i="14" s="1"/>
  <c r="Q1096" i="14"/>
  <c r="K1096" i="14" s="1"/>
  <c r="R1096" i="14"/>
  <c r="L1096" i="14" s="1"/>
  <c r="Q1097" i="14"/>
  <c r="R1097" i="14"/>
  <c r="Q1098" i="14"/>
  <c r="R1098" i="14"/>
  <c r="L1098" i="14" s="1"/>
  <c r="Q1099" i="14"/>
  <c r="K1099" i="14" s="1"/>
  <c r="R1099" i="14"/>
  <c r="L1099" i="14" s="1"/>
  <c r="Q1100" i="14"/>
  <c r="K1100" i="14" s="1"/>
  <c r="R1100" i="14"/>
  <c r="Q1101" i="14"/>
  <c r="R1101" i="14"/>
  <c r="Q1102" i="14"/>
  <c r="R1102" i="14"/>
  <c r="L1102" i="14" s="1"/>
  <c r="Q1103" i="14"/>
  <c r="K1103" i="14" s="1"/>
  <c r="R1103" i="14"/>
  <c r="L1103" i="14" s="1"/>
  <c r="Q1104" i="14"/>
  <c r="K1104" i="14" s="1"/>
  <c r="R1104" i="14"/>
  <c r="L1104" i="14" s="1"/>
  <c r="Q1105" i="14"/>
  <c r="R1105" i="14"/>
  <c r="Q1106" i="14"/>
  <c r="R1106" i="14"/>
  <c r="L1106" i="14" s="1"/>
  <c r="Q1107" i="14"/>
  <c r="K1107" i="14" s="1"/>
  <c r="R1107" i="14"/>
  <c r="L1107" i="14" s="1"/>
  <c r="Q1108" i="14"/>
  <c r="K1108" i="14" s="1"/>
  <c r="R1108" i="14"/>
  <c r="L1108" i="14" s="1"/>
  <c r="Q1109" i="14"/>
  <c r="R1109" i="14"/>
  <c r="Q1110" i="14"/>
  <c r="R1110" i="14"/>
  <c r="L1110" i="14" s="1"/>
  <c r="Q1111" i="14"/>
  <c r="K1111" i="14" s="1"/>
  <c r="R1111" i="14"/>
  <c r="L1111" i="14" s="1"/>
  <c r="Q1112" i="14"/>
  <c r="K1112" i="14" s="1"/>
  <c r="R1112" i="14"/>
  <c r="L1112" i="14" s="1"/>
  <c r="Q1113" i="14"/>
  <c r="K1113" i="14" s="1"/>
  <c r="R1113" i="14"/>
  <c r="Q1114" i="14"/>
  <c r="R1114" i="14"/>
  <c r="L1114" i="14" s="1"/>
  <c r="Q1115" i="14"/>
  <c r="K1115" i="14" s="1"/>
  <c r="R1115" i="14"/>
  <c r="L1115" i="14" s="1"/>
  <c r="Q1116" i="14"/>
  <c r="K1116" i="14" s="1"/>
  <c r="R1116" i="14"/>
  <c r="Q1117" i="14"/>
  <c r="R1117" i="14"/>
  <c r="Q1118" i="14"/>
  <c r="R1118" i="14"/>
  <c r="L1118" i="14" s="1"/>
  <c r="Q1119" i="14"/>
  <c r="K1119" i="14" s="1"/>
  <c r="R1119" i="14"/>
  <c r="L1119" i="14" s="1"/>
  <c r="Q1120" i="14"/>
  <c r="K1120" i="14" s="1"/>
  <c r="R1120" i="14"/>
  <c r="L1120" i="14" s="1"/>
  <c r="Q1121" i="14"/>
  <c r="K1121" i="14" s="1"/>
  <c r="R1121" i="14"/>
  <c r="Q1122" i="14"/>
  <c r="R1122" i="14"/>
  <c r="L1122" i="14" s="1"/>
  <c r="Q1123" i="14"/>
  <c r="K1123" i="14" s="1"/>
  <c r="R1123" i="14"/>
  <c r="L1123" i="14" s="1"/>
  <c r="Q1124" i="14"/>
  <c r="K1124" i="14" s="1"/>
  <c r="R1124" i="14"/>
  <c r="Q1125" i="14"/>
  <c r="R1125" i="14"/>
  <c r="Q1126" i="14"/>
  <c r="R1126" i="14"/>
  <c r="L1126" i="14" s="1"/>
  <c r="Q1127" i="14"/>
  <c r="K1127" i="14" s="1"/>
  <c r="R1127" i="14"/>
  <c r="L1127" i="14" s="1"/>
  <c r="Q1128" i="14"/>
  <c r="K1128" i="14" s="1"/>
  <c r="R1128" i="14"/>
  <c r="L1128" i="14" s="1"/>
  <c r="Q1129" i="14"/>
  <c r="K1129" i="14" s="1"/>
  <c r="R1129" i="14"/>
  <c r="Q1130" i="14"/>
  <c r="R1130" i="14"/>
  <c r="L1130" i="14" s="1"/>
  <c r="Q1131" i="14"/>
  <c r="K1131" i="14" s="1"/>
  <c r="R1131" i="14"/>
  <c r="L1131" i="14" s="1"/>
  <c r="Q1132" i="14"/>
  <c r="K1132" i="14" s="1"/>
  <c r="R1132" i="14"/>
  <c r="Q1133" i="14"/>
  <c r="R1133" i="14"/>
  <c r="Q1134" i="14"/>
  <c r="R1134" i="14"/>
  <c r="L1134" i="14" s="1"/>
  <c r="Q1135" i="14"/>
  <c r="K1135" i="14" s="1"/>
  <c r="R1135" i="14"/>
  <c r="L1135" i="14" s="1"/>
  <c r="Q1136" i="14"/>
  <c r="K1136" i="14" s="1"/>
  <c r="R1136" i="14"/>
  <c r="Q1137" i="14"/>
  <c r="K1137" i="14" s="1"/>
  <c r="R1137" i="14"/>
  <c r="Q1138" i="14"/>
  <c r="R1138" i="14"/>
  <c r="L1138" i="14" s="1"/>
  <c r="Q1139" i="14"/>
  <c r="K1139" i="14" s="1"/>
  <c r="R1139" i="14"/>
  <c r="L1139" i="14" s="1"/>
  <c r="Q1140" i="14"/>
  <c r="K1140" i="14" s="1"/>
  <c r="R1140" i="14"/>
  <c r="L1140" i="14" s="1"/>
  <c r="Q1141" i="14"/>
  <c r="R1141" i="14"/>
  <c r="Q1142" i="14"/>
  <c r="R1142" i="14"/>
  <c r="L1142" i="14" s="1"/>
  <c r="Q1143" i="14"/>
  <c r="K1143" i="14" s="1"/>
  <c r="R1143" i="14"/>
  <c r="L1143" i="14" s="1"/>
  <c r="Q1144" i="14"/>
  <c r="K1144" i="14" s="1"/>
  <c r="R1144" i="14"/>
  <c r="Q1145" i="14"/>
  <c r="K1145" i="14" s="1"/>
  <c r="R1145" i="14"/>
  <c r="Q1146" i="14"/>
  <c r="R1146" i="14"/>
  <c r="L1146" i="14" s="1"/>
  <c r="Q1147" i="14"/>
  <c r="K1147" i="14" s="1"/>
  <c r="R1147" i="14"/>
  <c r="L1147" i="14" s="1"/>
  <c r="Q1148" i="14"/>
  <c r="K1148" i="14" s="1"/>
  <c r="R1148" i="14"/>
  <c r="L1148" i="14" s="1"/>
  <c r="Q1149" i="14"/>
  <c r="R1149" i="14"/>
  <c r="Q1150" i="14"/>
  <c r="R1150" i="14"/>
  <c r="L1150" i="14" s="1"/>
  <c r="Q1151" i="14"/>
  <c r="K1151" i="14" s="1"/>
  <c r="R1151" i="14"/>
  <c r="L1151" i="14" s="1"/>
  <c r="Q1152" i="14"/>
  <c r="K1152" i="14" s="1"/>
  <c r="R1152" i="14"/>
  <c r="Q1153" i="14"/>
  <c r="R1153" i="14"/>
  <c r="Q1154" i="14"/>
  <c r="R1154" i="14"/>
  <c r="L1154" i="14" s="1"/>
  <c r="Q1155" i="14"/>
  <c r="K1155" i="14" s="1"/>
  <c r="R1155" i="14"/>
  <c r="L1155" i="14" s="1"/>
  <c r="Q1156" i="14"/>
  <c r="K1156" i="14" s="1"/>
  <c r="R1156" i="14"/>
  <c r="L1156" i="14" s="1"/>
  <c r="Q1157" i="14"/>
  <c r="R1157" i="14"/>
  <c r="Q1158" i="14"/>
  <c r="R1158" i="14"/>
  <c r="L1158" i="14" s="1"/>
  <c r="Q1159" i="14"/>
  <c r="K1159" i="14" s="1"/>
  <c r="R1159" i="14"/>
  <c r="L1159" i="14" s="1"/>
  <c r="Q1160" i="14"/>
  <c r="K1160" i="14" s="1"/>
  <c r="R1160" i="14"/>
  <c r="Q1161" i="14"/>
  <c r="R1161" i="14"/>
  <c r="Q1162" i="14"/>
  <c r="R1162" i="14"/>
  <c r="L1162" i="14" s="1"/>
  <c r="Q1163" i="14"/>
  <c r="K1163" i="14" s="1"/>
  <c r="R1163" i="14"/>
  <c r="L1163" i="14" s="1"/>
  <c r="Q1164" i="14"/>
  <c r="K1164" i="14" s="1"/>
  <c r="R1164" i="14"/>
  <c r="L1164" i="14" s="1"/>
  <c r="Q1165" i="14"/>
  <c r="R1165" i="14"/>
  <c r="Q1166" i="14"/>
  <c r="R1166" i="14"/>
  <c r="L1166" i="14" s="1"/>
  <c r="Q1167" i="14"/>
  <c r="K1167" i="14" s="1"/>
  <c r="R1167" i="14"/>
  <c r="L1167" i="14" s="1"/>
  <c r="Q1168" i="14"/>
  <c r="K1168" i="14" s="1"/>
  <c r="R1168" i="14"/>
  <c r="Q1169" i="14"/>
  <c r="R1169" i="14"/>
  <c r="Q1170" i="14"/>
  <c r="R1170" i="14"/>
  <c r="L1170" i="14" s="1"/>
  <c r="Q1171" i="14"/>
  <c r="K1171" i="14" s="1"/>
  <c r="R1171" i="14"/>
  <c r="L1171" i="14" s="1"/>
  <c r="Q1172" i="14"/>
  <c r="K1172" i="14" s="1"/>
  <c r="R1172" i="14"/>
  <c r="L1172" i="14" s="1"/>
  <c r="Q1173" i="14"/>
  <c r="R1173" i="14"/>
  <c r="Q1174" i="14"/>
  <c r="R1174" i="14"/>
  <c r="L1174" i="14" s="1"/>
  <c r="Q1175" i="14"/>
  <c r="K1175" i="14" s="1"/>
  <c r="R1175" i="14"/>
  <c r="L1175" i="14" s="1"/>
  <c r="Q1176" i="14"/>
  <c r="K1176" i="14" s="1"/>
  <c r="R1176" i="14"/>
  <c r="L1176" i="14" s="1"/>
  <c r="Q1177" i="14"/>
  <c r="R1177" i="14"/>
  <c r="Q1178" i="14"/>
  <c r="R1178" i="14"/>
  <c r="L1178" i="14" s="1"/>
  <c r="Q1179" i="14"/>
  <c r="K1179" i="14" s="1"/>
  <c r="R1179" i="14"/>
  <c r="L1179" i="14" s="1"/>
  <c r="Q1180" i="14"/>
  <c r="K1180" i="14" s="1"/>
  <c r="R1180" i="14"/>
  <c r="L1180" i="14" s="1"/>
  <c r="Q1181" i="14"/>
  <c r="R1181" i="14"/>
  <c r="Q1182" i="14"/>
  <c r="R1182" i="14"/>
  <c r="L1182" i="14" s="1"/>
  <c r="Q1183" i="14"/>
  <c r="K1183" i="14" s="1"/>
  <c r="R1183" i="14"/>
  <c r="L1183" i="14" s="1"/>
  <c r="Q1184" i="14"/>
  <c r="K1184" i="14" s="1"/>
  <c r="R1184" i="14"/>
  <c r="L1184" i="14" s="1"/>
  <c r="Q1185" i="14"/>
  <c r="R1185" i="14"/>
  <c r="Q1186" i="14"/>
  <c r="R1186" i="14"/>
  <c r="L1186" i="14" s="1"/>
  <c r="Q1187" i="14"/>
  <c r="K1187" i="14" s="1"/>
  <c r="R1187" i="14"/>
  <c r="L1187" i="14" s="1"/>
  <c r="Q1188" i="14"/>
  <c r="K1188" i="14" s="1"/>
  <c r="R1188" i="14"/>
  <c r="L1188" i="14" s="1"/>
  <c r="Q1189" i="14"/>
  <c r="R1189" i="14"/>
  <c r="Q1190" i="14"/>
  <c r="R1190" i="14"/>
  <c r="L1190" i="14" s="1"/>
  <c r="Q1191" i="14"/>
  <c r="K1191" i="14" s="1"/>
  <c r="R1191" i="14"/>
  <c r="L1191" i="14" s="1"/>
  <c r="Q1192" i="14"/>
  <c r="K1192" i="14" s="1"/>
  <c r="R1192" i="14"/>
  <c r="L1192" i="14" s="1"/>
  <c r="Q1193" i="14"/>
  <c r="R1193" i="14"/>
  <c r="Q1194" i="14"/>
  <c r="R1194" i="14"/>
  <c r="L1194" i="14" s="1"/>
  <c r="Q1195" i="14"/>
  <c r="K1195" i="14" s="1"/>
  <c r="R1195" i="14"/>
  <c r="L1195" i="14" s="1"/>
  <c r="Q1196" i="14"/>
  <c r="K1196" i="14" s="1"/>
  <c r="R1196" i="14"/>
  <c r="L1196" i="14" s="1"/>
  <c r="Q1197" i="14"/>
  <c r="R1197" i="14"/>
  <c r="Q1198" i="14"/>
  <c r="R1198" i="14"/>
  <c r="L1198" i="14" s="1"/>
  <c r="Q1199" i="14"/>
  <c r="K1199" i="14" s="1"/>
  <c r="R1199" i="14"/>
  <c r="L1199" i="14" s="1"/>
  <c r="Q1200" i="14"/>
  <c r="K1200" i="14" s="1"/>
  <c r="R1200" i="14"/>
  <c r="L1200" i="14" s="1"/>
  <c r="Q1201" i="14"/>
  <c r="R1201" i="14"/>
  <c r="Q1202" i="14"/>
  <c r="R1202" i="14"/>
  <c r="L1202" i="14" s="1"/>
  <c r="Q1203" i="14"/>
  <c r="K1203" i="14" s="1"/>
  <c r="R1203" i="14"/>
  <c r="L1203" i="14" s="1"/>
  <c r="Q1204" i="14"/>
  <c r="K1204" i="14" s="1"/>
  <c r="R1204" i="14"/>
  <c r="L1204" i="14" s="1"/>
  <c r="Q1205" i="14"/>
  <c r="K1205" i="14" s="1"/>
  <c r="R1205" i="14"/>
  <c r="Q1206" i="14"/>
  <c r="R1206" i="14"/>
  <c r="L1206" i="14" s="1"/>
  <c r="Q1207" i="14"/>
  <c r="K1207" i="14" s="1"/>
  <c r="R1207" i="14"/>
  <c r="L1207" i="14" s="1"/>
  <c r="Q1208" i="14"/>
  <c r="K1208" i="14" s="1"/>
  <c r="R1208" i="14"/>
  <c r="Q1209" i="14"/>
  <c r="R1209" i="14"/>
  <c r="Q1210" i="14"/>
  <c r="R1210" i="14"/>
  <c r="L1210" i="14" s="1"/>
  <c r="Q1211" i="14"/>
  <c r="K1211" i="14" s="1"/>
  <c r="R1211" i="14"/>
  <c r="L1211" i="14" s="1"/>
  <c r="Q1212" i="14"/>
  <c r="K1212" i="14" s="1"/>
  <c r="R1212" i="14"/>
  <c r="L1212" i="14" s="1"/>
  <c r="Q1213" i="14"/>
  <c r="K1213" i="14" s="1"/>
  <c r="R1213" i="14"/>
  <c r="Q1214" i="14"/>
  <c r="R1214" i="14"/>
  <c r="L1214" i="14" s="1"/>
  <c r="Q1215" i="14"/>
  <c r="K1215" i="14" s="1"/>
  <c r="R1215" i="14"/>
  <c r="L1215" i="14" s="1"/>
  <c r="Q1216" i="14"/>
  <c r="K1216" i="14" s="1"/>
  <c r="R1216" i="14"/>
  <c r="Q1217" i="14"/>
  <c r="R1217" i="14"/>
  <c r="Q1218" i="14"/>
  <c r="R1218" i="14"/>
  <c r="L1218" i="14" s="1"/>
  <c r="Q1219" i="14"/>
  <c r="K1219" i="14" s="1"/>
  <c r="R1219" i="14"/>
  <c r="L1219" i="14" s="1"/>
  <c r="Q1220" i="14"/>
  <c r="K1220" i="14" s="1"/>
  <c r="R1220" i="14"/>
  <c r="L1220" i="14" s="1"/>
  <c r="Q1221" i="14"/>
  <c r="K1221" i="14" s="1"/>
  <c r="R1221" i="14"/>
  <c r="Q1222" i="14"/>
  <c r="R1222" i="14"/>
  <c r="L1222" i="14" s="1"/>
  <c r="Q1223" i="14"/>
  <c r="K1223" i="14" s="1"/>
  <c r="R1223" i="14"/>
  <c r="L1223" i="14" s="1"/>
  <c r="Q1224" i="14"/>
  <c r="K1224" i="14" s="1"/>
  <c r="R1224" i="14"/>
  <c r="L1224" i="14" s="1"/>
  <c r="Q1225" i="14"/>
  <c r="R1225" i="14"/>
  <c r="Q1226" i="14"/>
  <c r="R1226" i="14"/>
  <c r="L1226" i="14" s="1"/>
  <c r="Q1227" i="14"/>
  <c r="K1227" i="14" s="1"/>
  <c r="R1227" i="14"/>
  <c r="L1227" i="14" s="1"/>
  <c r="Q1228" i="14"/>
  <c r="K1228" i="14" s="1"/>
  <c r="R1228" i="14"/>
  <c r="L1228" i="14" s="1"/>
  <c r="Q1229" i="14"/>
  <c r="K1229" i="14" s="1"/>
  <c r="R1229" i="14"/>
  <c r="Q1230" i="14"/>
  <c r="R1230" i="14"/>
  <c r="L1230" i="14" s="1"/>
  <c r="Q1231" i="14"/>
  <c r="K1231" i="14" s="1"/>
  <c r="R1231" i="14"/>
  <c r="L1231" i="14" s="1"/>
  <c r="Q1232" i="14"/>
  <c r="K1232" i="14" s="1"/>
  <c r="R1232" i="14"/>
  <c r="L1232" i="14" s="1"/>
  <c r="Q1233" i="14"/>
  <c r="R1233" i="14"/>
  <c r="Q1234" i="14"/>
  <c r="R1234" i="14"/>
  <c r="L1234" i="14" s="1"/>
  <c r="Q1235" i="14"/>
  <c r="K1235" i="14" s="1"/>
  <c r="R1235" i="14"/>
  <c r="L1235" i="14" s="1"/>
  <c r="Q1236" i="14"/>
  <c r="K1236" i="14" s="1"/>
  <c r="R1236" i="14"/>
  <c r="L1236" i="14" s="1"/>
  <c r="Q1237" i="14"/>
  <c r="K1237" i="14" s="1"/>
  <c r="R1237" i="14"/>
  <c r="Q1238" i="14"/>
  <c r="R1238" i="14"/>
  <c r="L1238" i="14" s="1"/>
  <c r="Q1239" i="14"/>
  <c r="K1239" i="14" s="1"/>
  <c r="R1239" i="14"/>
  <c r="L1239" i="14" s="1"/>
  <c r="Q1240" i="14"/>
  <c r="K1240" i="14" s="1"/>
  <c r="R1240" i="14"/>
  <c r="Q1241" i="14"/>
  <c r="R1241" i="14"/>
  <c r="Q1242" i="14"/>
  <c r="R1242" i="14"/>
  <c r="L1242" i="14" s="1"/>
  <c r="Q1243" i="14"/>
  <c r="K1243" i="14" s="1"/>
  <c r="R1243" i="14"/>
  <c r="L1243" i="14" s="1"/>
  <c r="Q1244" i="14"/>
  <c r="K1244" i="14" s="1"/>
  <c r="R1244" i="14"/>
  <c r="L1244" i="14" s="1"/>
  <c r="Q1245" i="14"/>
  <c r="K1245" i="14" s="1"/>
  <c r="R1245" i="14"/>
  <c r="Q1246" i="14"/>
  <c r="R1246" i="14"/>
  <c r="L1246" i="14" s="1"/>
  <c r="Q1247" i="14"/>
  <c r="K1247" i="14" s="1"/>
  <c r="R1247" i="14"/>
  <c r="L1247" i="14" s="1"/>
  <c r="Q1248" i="14"/>
  <c r="K1248" i="14" s="1"/>
  <c r="R1248" i="14"/>
  <c r="Q1249" i="14"/>
  <c r="R1249" i="14"/>
  <c r="Q1250" i="14"/>
  <c r="R1250" i="14"/>
  <c r="L1250" i="14" s="1"/>
  <c r="Q1251" i="14"/>
  <c r="K1251" i="14" s="1"/>
  <c r="R1251" i="14"/>
  <c r="L1251" i="14" s="1"/>
  <c r="Q1252" i="14"/>
  <c r="K1252" i="14" s="1"/>
  <c r="R1252" i="14"/>
  <c r="L1252" i="14" s="1"/>
  <c r="Q1253" i="14"/>
  <c r="K1253" i="14" s="1"/>
  <c r="R1253" i="14"/>
  <c r="Q1254" i="14"/>
  <c r="R1254" i="14"/>
  <c r="L1254" i="14" s="1"/>
  <c r="Q1255" i="14"/>
  <c r="K1255" i="14" s="1"/>
  <c r="R1255" i="14"/>
  <c r="L1255" i="14" s="1"/>
  <c r="Q1256" i="14"/>
  <c r="K1256" i="14" s="1"/>
  <c r="R1256" i="14"/>
  <c r="L1256" i="14" s="1"/>
  <c r="Q1257" i="14"/>
  <c r="R1257" i="14"/>
  <c r="Q1258" i="14"/>
  <c r="R1258" i="14"/>
  <c r="L1258" i="14" s="1"/>
  <c r="Q1259" i="14"/>
  <c r="K1259" i="14" s="1"/>
  <c r="R1259" i="14"/>
  <c r="L1259" i="14" s="1"/>
  <c r="Q1260" i="14"/>
  <c r="K1260" i="14" s="1"/>
  <c r="R1260" i="14"/>
  <c r="L1260" i="14" s="1"/>
  <c r="Q1261" i="14"/>
  <c r="R1261" i="14"/>
  <c r="Q1262" i="14"/>
  <c r="R1262" i="14"/>
  <c r="L1262" i="14" s="1"/>
  <c r="Q1263" i="14"/>
  <c r="K1263" i="14" s="1"/>
  <c r="R1263" i="14"/>
  <c r="L1263" i="14" s="1"/>
  <c r="Q1264" i="14"/>
  <c r="K1264" i="14" s="1"/>
  <c r="R1264" i="14"/>
  <c r="L1264" i="14" s="1"/>
  <c r="Q1265" i="14"/>
  <c r="R1265" i="14"/>
  <c r="Q1266" i="14"/>
  <c r="R1266" i="14"/>
  <c r="L1266" i="14" s="1"/>
  <c r="Q1267" i="14"/>
  <c r="K1267" i="14" s="1"/>
  <c r="R1267" i="14"/>
  <c r="L1267" i="14" s="1"/>
  <c r="Q1268" i="14"/>
  <c r="K1268" i="14" s="1"/>
  <c r="R1268" i="14"/>
  <c r="Q1269" i="14"/>
  <c r="R1269" i="14"/>
  <c r="Q1270" i="14"/>
  <c r="R1270" i="14"/>
  <c r="L1270" i="14" s="1"/>
  <c r="Q1271" i="14"/>
  <c r="K1271" i="14" s="1"/>
  <c r="R1271" i="14"/>
  <c r="L1271" i="14" s="1"/>
  <c r="Q1272" i="14"/>
  <c r="K1272" i="14" s="1"/>
  <c r="R1272" i="14"/>
  <c r="L1272" i="14" s="1"/>
  <c r="Q1273" i="14"/>
  <c r="R1273" i="14"/>
  <c r="Q1274" i="14"/>
  <c r="R1274" i="14"/>
  <c r="L1274" i="14" s="1"/>
  <c r="Q1275" i="14"/>
  <c r="K1275" i="14" s="1"/>
  <c r="R1275" i="14"/>
  <c r="L1275" i="14" s="1"/>
  <c r="Q1276" i="14"/>
  <c r="K1276" i="14" s="1"/>
  <c r="R1276" i="14"/>
  <c r="Q1277" i="14"/>
  <c r="R1277" i="14"/>
  <c r="Q1278" i="14"/>
  <c r="R1278" i="14"/>
  <c r="L1278" i="14" s="1"/>
  <c r="Q1279" i="14"/>
  <c r="K1279" i="14" s="1"/>
  <c r="R1279" i="14"/>
  <c r="L1279" i="14" s="1"/>
  <c r="Q1280" i="14"/>
  <c r="K1280" i="14" s="1"/>
  <c r="R1280" i="14"/>
  <c r="L1280" i="14" s="1"/>
  <c r="Q1281" i="14"/>
  <c r="R1281" i="14"/>
  <c r="Q1282" i="14"/>
  <c r="R1282" i="14"/>
  <c r="L1282" i="14" s="1"/>
  <c r="Q1283" i="14"/>
  <c r="K1283" i="14" s="1"/>
  <c r="R1283" i="14"/>
  <c r="L1283" i="14" s="1"/>
  <c r="Q1284" i="14"/>
  <c r="K1284" i="14" s="1"/>
  <c r="R1284" i="14"/>
  <c r="Q1285" i="14"/>
  <c r="R1285" i="14"/>
  <c r="Q1286" i="14"/>
  <c r="R1286" i="14"/>
  <c r="L1286" i="14" s="1"/>
  <c r="Q1287" i="14"/>
  <c r="K1287" i="14" s="1"/>
  <c r="R1287" i="14"/>
  <c r="L1287" i="14" s="1"/>
  <c r="Q1288" i="14"/>
  <c r="K1288" i="14" s="1"/>
  <c r="R1288" i="14"/>
  <c r="L1288" i="14" s="1"/>
  <c r="Q1289" i="14"/>
  <c r="R1289" i="14"/>
  <c r="Q1290" i="14"/>
  <c r="R1290" i="14"/>
  <c r="L1290" i="14" s="1"/>
  <c r="Q1291" i="14"/>
  <c r="K1291" i="14" s="1"/>
  <c r="R1291" i="14"/>
  <c r="L1291" i="14" s="1"/>
  <c r="Q1292" i="14"/>
  <c r="K1292" i="14" s="1"/>
  <c r="R1292" i="14"/>
  <c r="Q1293" i="14"/>
  <c r="R1293" i="14"/>
  <c r="Q1294" i="14"/>
  <c r="R1294" i="14"/>
  <c r="L1294" i="14" s="1"/>
  <c r="Q1295" i="14"/>
  <c r="K1295" i="14" s="1"/>
  <c r="R1295" i="14"/>
  <c r="L1295" i="14" s="1"/>
  <c r="Q1296" i="14"/>
  <c r="K1296" i="14" s="1"/>
  <c r="R1296" i="14"/>
  <c r="L1296" i="14" s="1"/>
  <c r="Q1297" i="14"/>
  <c r="R1297" i="14"/>
  <c r="Q1298" i="14"/>
  <c r="R1298" i="14"/>
  <c r="L1298" i="14" s="1"/>
  <c r="Q1299" i="14"/>
  <c r="K1299" i="14" s="1"/>
  <c r="R1299" i="14"/>
  <c r="L1299" i="14" s="1"/>
  <c r="Q1300" i="14"/>
  <c r="K1300" i="14" s="1"/>
  <c r="R1300" i="14"/>
  <c r="Q1301" i="14"/>
  <c r="R1301" i="14"/>
  <c r="Q1302" i="14"/>
  <c r="R1302" i="14"/>
  <c r="L1302" i="14" s="1"/>
  <c r="Q1303" i="14"/>
  <c r="K1303" i="14" s="1"/>
  <c r="R1303" i="14"/>
  <c r="L1303" i="14" s="1"/>
  <c r="Q1304" i="14"/>
  <c r="K1304" i="14" s="1"/>
  <c r="R1304" i="14"/>
  <c r="L1304" i="14" s="1"/>
  <c r="Q1305" i="14"/>
  <c r="R1305" i="14"/>
  <c r="Q1306" i="14"/>
  <c r="R1306" i="14"/>
  <c r="L1306" i="14" s="1"/>
  <c r="Q1307" i="14"/>
  <c r="K1307" i="14" s="1"/>
  <c r="R1307" i="14"/>
  <c r="L1307" i="14" s="1"/>
  <c r="Q1308" i="14"/>
  <c r="K1308" i="14" s="1"/>
  <c r="R1308" i="14"/>
  <c r="L1308" i="14" s="1"/>
  <c r="Q1309" i="14"/>
  <c r="R1309" i="14"/>
  <c r="Q1310" i="14"/>
  <c r="R1310" i="14"/>
  <c r="L1310" i="14" s="1"/>
  <c r="Q1311" i="14"/>
  <c r="K1311" i="14" s="1"/>
  <c r="R1311" i="14"/>
  <c r="L1311" i="14" s="1"/>
  <c r="Q1312" i="14"/>
  <c r="K1312" i="14" s="1"/>
  <c r="R1312" i="14"/>
  <c r="L1312" i="14" s="1"/>
  <c r="Q1313" i="14"/>
  <c r="R1313" i="14"/>
  <c r="Q1314" i="14"/>
  <c r="R1314" i="14"/>
  <c r="L1314" i="14" s="1"/>
  <c r="Q1315" i="14"/>
  <c r="K1315" i="14" s="1"/>
  <c r="R1315" i="14"/>
  <c r="L1315" i="14" s="1"/>
  <c r="Q1316" i="14"/>
  <c r="K1316" i="14" s="1"/>
  <c r="R1316" i="14"/>
  <c r="L1316" i="14" s="1"/>
  <c r="Q1317" i="14"/>
  <c r="R1317" i="14"/>
  <c r="Q1318" i="14"/>
  <c r="R1318" i="14"/>
  <c r="L1318" i="14" s="1"/>
  <c r="Q1319" i="14"/>
  <c r="K1319" i="14" s="1"/>
  <c r="R1319" i="14"/>
  <c r="L1319" i="14" s="1"/>
  <c r="Q1320" i="14"/>
  <c r="K1320" i="14" s="1"/>
  <c r="R1320" i="14"/>
  <c r="L1320" i="14" s="1"/>
  <c r="Q1321" i="14"/>
  <c r="R1321" i="14"/>
  <c r="Q1322" i="14"/>
  <c r="R1322" i="14"/>
  <c r="L1322" i="14" s="1"/>
  <c r="Q1323" i="14"/>
  <c r="K1323" i="14" s="1"/>
  <c r="R1323" i="14"/>
  <c r="L1323" i="14" s="1"/>
  <c r="Q1324" i="14"/>
  <c r="K1324" i="14" s="1"/>
  <c r="R1324" i="14"/>
  <c r="L1324" i="14" s="1"/>
  <c r="Q1325" i="14"/>
  <c r="R1325" i="14"/>
  <c r="Q1326" i="14"/>
  <c r="R1326" i="14"/>
  <c r="L1326" i="14" s="1"/>
  <c r="Q1327" i="14"/>
  <c r="K1327" i="14" s="1"/>
  <c r="R1327" i="14"/>
  <c r="L1327" i="14" s="1"/>
  <c r="Q1328" i="14"/>
  <c r="K1328" i="14" s="1"/>
  <c r="R1328" i="14"/>
  <c r="L1328" i="14" s="1"/>
  <c r="Q1329" i="14"/>
  <c r="R1329" i="14"/>
  <c r="Q1330" i="14"/>
  <c r="R1330" i="14"/>
  <c r="L1330" i="14" s="1"/>
  <c r="Q1331" i="14"/>
  <c r="K1331" i="14" s="1"/>
  <c r="R1331" i="14"/>
  <c r="L1331" i="14" s="1"/>
  <c r="Q1332" i="14"/>
  <c r="K1332" i="14" s="1"/>
  <c r="R1332" i="14"/>
  <c r="Q1333" i="14"/>
  <c r="R1333" i="14"/>
  <c r="Q1334" i="14"/>
  <c r="R1334" i="14"/>
  <c r="L1334" i="14" s="1"/>
  <c r="Q1335" i="14"/>
  <c r="K1335" i="14" s="1"/>
  <c r="R1335" i="14"/>
  <c r="L1335" i="14" s="1"/>
  <c r="Q1336" i="14"/>
  <c r="K1336" i="14" s="1"/>
  <c r="R1336" i="14"/>
  <c r="L1336" i="14" s="1"/>
  <c r="Q1337" i="14"/>
  <c r="R1337" i="14"/>
  <c r="Q1338" i="14"/>
  <c r="R1338" i="14"/>
  <c r="L1338" i="14" s="1"/>
  <c r="Q1339" i="14"/>
  <c r="K1339" i="14" s="1"/>
  <c r="R1339" i="14"/>
  <c r="L1339" i="14" s="1"/>
  <c r="Q1340" i="14"/>
  <c r="K1340" i="14" s="1"/>
  <c r="R1340" i="14"/>
  <c r="Q1341" i="14"/>
  <c r="R1341" i="14"/>
  <c r="Q1342" i="14"/>
  <c r="R1342" i="14"/>
  <c r="L1342" i="14" s="1"/>
  <c r="Q1343" i="14"/>
  <c r="K1343" i="14" s="1"/>
  <c r="R1343" i="14"/>
  <c r="L1343" i="14" s="1"/>
  <c r="Q1344" i="14"/>
  <c r="K1344" i="14" s="1"/>
  <c r="R1344" i="14"/>
  <c r="L1344" i="14" s="1"/>
  <c r="Q1345" i="14"/>
  <c r="K1345" i="14" s="1"/>
  <c r="R1345" i="14"/>
  <c r="Q1346" i="14"/>
  <c r="R1346" i="14"/>
  <c r="L1346" i="14" s="1"/>
  <c r="Q1347" i="14"/>
  <c r="K1347" i="14" s="1"/>
  <c r="R1347" i="14"/>
  <c r="L1347" i="14" s="1"/>
  <c r="Q1348" i="14"/>
  <c r="K1348" i="14" s="1"/>
  <c r="R1348" i="14"/>
  <c r="Q1349" i="14"/>
  <c r="R1349" i="14"/>
  <c r="Q1350" i="14"/>
  <c r="R1350" i="14"/>
  <c r="L1350" i="14" s="1"/>
  <c r="Q1351" i="14"/>
  <c r="K1351" i="14" s="1"/>
  <c r="R1351" i="14"/>
  <c r="L1351" i="14" s="1"/>
  <c r="Q1352" i="14"/>
  <c r="K1352" i="14" s="1"/>
  <c r="R1352" i="14"/>
  <c r="L1352" i="14" s="1"/>
  <c r="Q1353" i="14"/>
  <c r="K1353" i="14" s="1"/>
  <c r="R1353" i="14"/>
  <c r="Q1354" i="14"/>
  <c r="R1354" i="14"/>
  <c r="L1354" i="14" s="1"/>
  <c r="Q1355" i="14"/>
  <c r="K1355" i="14" s="1"/>
  <c r="R1355" i="14"/>
  <c r="L1355" i="14" s="1"/>
  <c r="Q1356" i="14"/>
  <c r="K1356" i="14" s="1"/>
  <c r="R1356" i="14"/>
  <c r="L1356" i="14" s="1"/>
  <c r="Q1357" i="14"/>
  <c r="R1357" i="14"/>
  <c r="Q1358" i="14"/>
  <c r="R1358" i="14"/>
  <c r="L1358" i="14" s="1"/>
  <c r="Q1359" i="14"/>
  <c r="K1359" i="14" s="1"/>
  <c r="R1359" i="14"/>
  <c r="L1359" i="14" s="1"/>
  <c r="Q1360" i="14"/>
  <c r="K1360" i="14" s="1"/>
  <c r="R1360" i="14"/>
  <c r="L1360" i="14" s="1"/>
  <c r="Q1361" i="14"/>
  <c r="K1361" i="14" s="1"/>
  <c r="R1361" i="14"/>
  <c r="Q1362" i="14"/>
  <c r="R1362" i="14"/>
  <c r="L1362" i="14" s="1"/>
  <c r="Q1363" i="14"/>
  <c r="K1363" i="14" s="1"/>
  <c r="R1363" i="14"/>
  <c r="L1363" i="14" s="1"/>
  <c r="Q1364" i="14"/>
  <c r="K1364" i="14" s="1"/>
  <c r="R1364" i="14"/>
  <c r="L1364" i="14" s="1"/>
  <c r="Q1365" i="14"/>
  <c r="R1365" i="14"/>
  <c r="Q1366" i="14"/>
  <c r="R1366" i="14"/>
  <c r="L1366" i="14" s="1"/>
  <c r="Q1367" i="14"/>
  <c r="K1367" i="14" s="1"/>
  <c r="R1367" i="14"/>
  <c r="L1367" i="14" s="1"/>
  <c r="Q1368" i="14"/>
  <c r="K1368" i="14" s="1"/>
  <c r="R1368" i="14"/>
  <c r="Q1369" i="14"/>
  <c r="K1369" i="14" s="1"/>
  <c r="R1369" i="14"/>
  <c r="Q1370" i="14"/>
  <c r="R1370" i="14"/>
  <c r="L1370" i="14" s="1"/>
  <c r="Q1371" i="14"/>
  <c r="K1371" i="14" s="1"/>
  <c r="R1371" i="14"/>
  <c r="L1371" i="14" s="1"/>
  <c r="Q1373" i="14"/>
  <c r="K1373" i="14" s="1"/>
  <c r="R1373" i="14"/>
  <c r="Q1374" i="14"/>
  <c r="R1374" i="14"/>
  <c r="Q1375" i="14"/>
  <c r="R1375" i="14"/>
  <c r="L1375" i="14" s="1"/>
  <c r="Q1376" i="14"/>
  <c r="K1376" i="14" s="1"/>
  <c r="R1376" i="14"/>
  <c r="L1376" i="14" s="1"/>
  <c r="Q1377" i="14"/>
  <c r="K1377" i="14" s="1"/>
  <c r="R1377" i="14"/>
  <c r="L1377" i="14" s="1"/>
  <c r="Q1378" i="14"/>
  <c r="K1378" i="14" s="1"/>
  <c r="R1378" i="14"/>
  <c r="Q1379" i="14"/>
  <c r="R1379" i="14"/>
  <c r="L1379" i="14" s="1"/>
  <c r="Q1380" i="14"/>
  <c r="K1380" i="14" s="1"/>
  <c r="R1380" i="14"/>
  <c r="L1380" i="14" s="1"/>
  <c r="Q1381" i="14"/>
  <c r="K1381" i="14" s="1"/>
  <c r="R1381" i="14"/>
  <c r="Q1382" i="14"/>
  <c r="R1382" i="14"/>
  <c r="Q1383" i="14"/>
  <c r="R1383" i="14"/>
  <c r="L1383" i="14" s="1"/>
  <c r="Q1384" i="14"/>
  <c r="K1384" i="14" s="1"/>
  <c r="R1384" i="14"/>
  <c r="L1384" i="14" s="1"/>
  <c r="Q1385" i="14"/>
  <c r="K1385" i="14" s="1"/>
  <c r="R1385" i="14"/>
  <c r="L1385" i="14" s="1"/>
  <c r="Q1386" i="14"/>
  <c r="K1386" i="14" s="1"/>
  <c r="R1386" i="14"/>
  <c r="Q1387" i="14"/>
  <c r="R1387" i="14"/>
  <c r="L1387" i="14" s="1"/>
  <c r="Q1388" i="14"/>
  <c r="K1388" i="14" s="1"/>
  <c r="R1388" i="14"/>
  <c r="L1388" i="14" s="1"/>
  <c r="Q1389" i="14"/>
  <c r="K1389" i="14" s="1"/>
  <c r="R1389" i="14"/>
  <c r="Q1390" i="14"/>
  <c r="R1390" i="14"/>
  <c r="Q1391" i="14"/>
  <c r="R1391" i="14"/>
  <c r="L1391" i="14" s="1"/>
  <c r="Q1392" i="14"/>
  <c r="K1392" i="14" s="1"/>
  <c r="R1392" i="14"/>
  <c r="L1392" i="14" s="1"/>
  <c r="Q1393" i="14"/>
  <c r="K1393" i="14" s="1"/>
  <c r="R1393" i="14"/>
  <c r="L1393" i="14" s="1"/>
  <c r="Q1394" i="14"/>
  <c r="K1394" i="14" s="1"/>
  <c r="R1394" i="14"/>
  <c r="Q1395" i="14"/>
  <c r="R1395" i="14"/>
  <c r="L1395" i="14" s="1"/>
  <c r="Q1396" i="14"/>
  <c r="K1396" i="14" s="1"/>
  <c r="R1396" i="14"/>
  <c r="L1396" i="14" s="1"/>
  <c r="Q1397" i="14"/>
  <c r="K1397" i="14" s="1"/>
  <c r="R1397" i="14"/>
  <c r="Q1398" i="14"/>
  <c r="R1398" i="14"/>
  <c r="Q1399" i="14"/>
  <c r="R1399" i="14"/>
  <c r="L1399" i="14" s="1"/>
  <c r="Q1400" i="14"/>
  <c r="K1400" i="14" s="1"/>
  <c r="R1400" i="14"/>
  <c r="L1400" i="14" s="1"/>
  <c r="Q1401" i="14"/>
  <c r="K1401" i="14" s="1"/>
  <c r="R1401" i="14"/>
  <c r="L1401" i="14" s="1"/>
  <c r="Q1402" i="14"/>
  <c r="K1402" i="14" s="1"/>
  <c r="R1402" i="14"/>
  <c r="Q1403" i="14"/>
  <c r="R1403" i="14"/>
  <c r="L1403" i="14" s="1"/>
  <c r="Q1404" i="14"/>
  <c r="K1404" i="14" s="1"/>
  <c r="R1404" i="14"/>
  <c r="L1404" i="14" s="1"/>
  <c r="Q1405" i="14"/>
  <c r="K1405" i="14" s="1"/>
  <c r="R1405" i="14"/>
  <c r="L1405" i="14" s="1"/>
  <c r="Q1406" i="14"/>
  <c r="R1406" i="14"/>
  <c r="Q1407" i="14"/>
  <c r="R1407" i="14"/>
  <c r="L1407" i="14" s="1"/>
  <c r="Q1408" i="14"/>
  <c r="K1408" i="14" s="1"/>
  <c r="R1408" i="14"/>
  <c r="L1408" i="14" s="1"/>
  <c r="Q1409" i="14"/>
  <c r="K1409" i="14" s="1"/>
  <c r="R1409" i="14"/>
  <c r="L1409" i="14" s="1"/>
  <c r="Q1410" i="14"/>
  <c r="K1410" i="14" s="1"/>
  <c r="R1410" i="14"/>
  <c r="Q1411" i="14"/>
  <c r="R1411" i="14"/>
  <c r="L1411" i="14" s="1"/>
  <c r="Q1412" i="14"/>
  <c r="K1412" i="14" s="1"/>
  <c r="R1412" i="14"/>
  <c r="L1412" i="14" s="1"/>
  <c r="Q1413" i="14"/>
  <c r="K1413" i="14" s="1"/>
  <c r="R1413" i="14"/>
  <c r="L1413" i="14" s="1"/>
  <c r="Q1414" i="14"/>
  <c r="R1414" i="14"/>
  <c r="Q1415" i="14"/>
  <c r="R1415" i="14"/>
  <c r="L1415" i="14" s="1"/>
  <c r="Q1416" i="14"/>
  <c r="K1416" i="14" s="1"/>
  <c r="R1416" i="14"/>
  <c r="L1416" i="14" s="1"/>
  <c r="Q1417" i="14"/>
  <c r="K1417" i="14" s="1"/>
  <c r="R1417" i="14"/>
  <c r="L1417" i="14" s="1"/>
  <c r="Q1418" i="14"/>
  <c r="K1418" i="14" s="1"/>
  <c r="R1418" i="14"/>
  <c r="Q1419" i="14"/>
  <c r="R1419" i="14"/>
  <c r="L1419" i="14" s="1"/>
  <c r="Q1420" i="14"/>
  <c r="K1420" i="14" s="1"/>
  <c r="R1420" i="14"/>
  <c r="L1420" i="14" s="1"/>
  <c r="Q1421" i="14"/>
  <c r="K1421" i="14" s="1"/>
  <c r="R1421" i="14"/>
  <c r="Q1422" i="14"/>
  <c r="R1422" i="14"/>
  <c r="Q1423" i="14"/>
  <c r="R1423" i="14"/>
  <c r="L1423" i="14" s="1"/>
  <c r="Q1424" i="14"/>
  <c r="K1424" i="14" s="1"/>
  <c r="R1424" i="14"/>
  <c r="L1424" i="14" s="1"/>
  <c r="Q1425" i="14"/>
  <c r="K1425" i="14" s="1"/>
  <c r="R1425" i="14"/>
  <c r="L1425" i="14" s="1"/>
  <c r="Q1426" i="14"/>
  <c r="K1426" i="14" s="1"/>
  <c r="R1426" i="14"/>
  <c r="Q1427" i="14"/>
  <c r="R1427" i="14"/>
  <c r="L1427" i="14" s="1"/>
  <c r="Q1428" i="14"/>
  <c r="K1428" i="14" s="1"/>
  <c r="R1428" i="14"/>
  <c r="L1428" i="14" s="1"/>
  <c r="Q1429" i="14"/>
  <c r="K1429" i="14" s="1"/>
  <c r="R1429" i="14"/>
  <c r="Q1430" i="14"/>
  <c r="R1430" i="14"/>
  <c r="Q1431" i="14"/>
  <c r="R1431" i="14"/>
  <c r="L1431" i="14" s="1"/>
  <c r="Q1432" i="14"/>
  <c r="K1432" i="14" s="1"/>
  <c r="R1432" i="14"/>
  <c r="L1432" i="14" s="1"/>
  <c r="Q1433" i="14"/>
  <c r="K1433" i="14" s="1"/>
  <c r="R1433" i="14"/>
  <c r="L1433" i="14" s="1"/>
  <c r="Q1434" i="14"/>
  <c r="K1434" i="14" s="1"/>
  <c r="R1434" i="14"/>
  <c r="Q1435" i="14"/>
  <c r="R1435" i="14"/>
  <c r="L1435" i="14" s="1"/>
  <c r="Q1436" i="14"/>
  <c r="K1436" i="14" s="1"/>
  <c r="R1436" i="14"/>
  <c r="L1436" i="14" s="1"/>
  <c r="Q1437" i="14"/>
  <c r="K1437" i="14" s="1"/>
  <c r="R1437" i="14"/>
  <c r="Q1438" i="14"/>
  <c r="R1438" i="14"/>
  <c r="Q1439" i="14"/>
  <c r="R1439" i="14"/>
  <c r="L1439" i="14" s="1"/>
  <c r="Q1440" i="14"/>
  <c r="K1440" i="14" s="1"/>
  <c r="R1440" i="14"/>
  <c r="L1440" i="14" s="1"/>
  <c r="Q1441" i="14"/>
  <c r="K1441" i="14" s="1"/>
  <c r="R1441" i="14"/>
  <c r="Q1442" i="14"/>
  <c r="K1442" i="14" s="1"/>
  <c r="R1442" i="14"/>
  <c r="Q1443" i="14"/>
  <c r="R1443" i="14"/>
  <c r="L1443" i="14" s="1"/>
  <c r="Q1444" i="14"/>
  <c r="K1444" i="14" s="1"/>
  <c r="R1444" i="14"/>
  <c r="L1444" i="14" s="1"/>
  <c r="Q1445" i="14"/>
  <c r="K1445" i="14" s="1"/>
  <c r="R1445" i="14"/>
  <c r="L1445" i="14" s="1"/>
  <c r="Q1446" i="14"/>
  <c r="R1446" i="14"/>
  <c r="Q1447" i="14"/>
  <c r="R1447" i="14"/>
  <c r="L1447" i="14" s="1"/>
  <c r="Q1448" i="14"/>
  <c r="K1448" i="14" s="1"/>
  <c r="R1448" i="14"/>
  <c r="L1448" i="14" s="1"/>
  <c r="Q1449" i="14"/>
  <c r="K1449" i="14" s="1"/>
  <c r="R1449" i="14"/>
  <c r="Q1450" i="14"/>
  <c r="K1450" i="14" s="1"/>
  <c r="R1450" i="14"/>
  <c r="Q1451" i="14"/>
  <c r="R1451" i="14"/>
  <c r="L1451" i="14" s="1"/>
  <c r="Q1452" i="14"/>
  <c r="K1452" i="14" s="1"/>
  <c r="R1452" i="14"/>
  <c r="L1452" i="14" s="1"/>
  <c r="Q1453" i="14"/>
  <c r="K1453" i="14" s="1"/>
  <c r="R1453" i="14"/>
  <c r="L1453" i="14" s="1"/>
  <c r="Q1454" i="14"/>
  <c r="R1454" i="14"/>
  <c r="Q1455" i="14"/>
  <c r="R1455" i="14"/>
  <c r="L1455" i="14" s="1"/>
  <c r="Q1456" i="14"/>
  <c r="K1456" i="14" s="1"/>
  <c r="R1456" i="14"/>
  <c r="L1456" i="14" s="1"/>
  <c r="Q1457" i="14"/>
  <c r="K1457" i="14" s="1"/>
  <c r="R1457" i="14"/>
  <c r="Q1458" i="14"/>
  <c r="K1458" i="14" s="1"/>
  <c r="R1458" i="14"/>
  <c r="Q1459" i="14"/>
  <c r="R1459" i="14"/>
  <c r="L1459" i="14" s="1"/>
  <c r="Q1460" i="14"/>
  <c r="K1460" i="14" s="1"/>
  <c r="R1460" i="14"/>
  <c r="L1460" i="14" s="1"/>
  <c r="Q1461" i="14"/>
  <c r="K1461" i="14" s="1"/>
  <c r="R1461" i="14"/>
  <c r="L1461" i="14" s="1"/>
  <c r="Q1462" i="14"/>
  <c r="R1462" i="14"/>
  <c r="Q1463" i="14"/>
  <c r="R1463" i="14"/>
  <c r="L1463" i="14" s="1"/>
  <c r="Q1464" i="14"/>
  <c r="K1464" i="14" s="1"/>
  <c r="R1464" i="14"/>
  <c r="L1464" i="14" s="1"/>
  <c r="Q1465" i="14"/>
  <c r="K1465" i="14" s="1"/>
  <c r="R1465" i="14"/>
  <c r="Q1466" i="14"/>
  <c r="K1466" i="14" s="1"/>
  <c r="R1466" i="14"/>
  <c r="Q1467" i="14"/>
  <c r="R1467" i="14"/>
  <c r="L1467" i="14" s="1"/>
  <c r="Q1468" i="14"/>
  <c r="K1468" i="14" s="1"/>
  <c r="R1468" i="14"/>
  <c r="L1468" i="14" s="1"/>
  <c r="Q1469" i="14"/>
  <c r="K1469" i="14" s="1"/>
  <c r="R1469" i="14"/>
  <c r="Q1470" i="14"/>
  <c r="R1470" i="14"/>
  <c r="Q1471" i="14"/>
  <c r="R1471" i="14"/>
  <c r="L1471" i="14" s="1"/>
  <c r="Q1472" i="14"/>
  <c r="K1472" i="14" s="1"/>
  <c r="R1472" i="14"/>
  <c r="L1472" i="14" s="1"/>
  <c r="Q1473" i="14"/>
  <c r="K1473" i="14" s="1"/>
  <c r="R1473" i="14"/>
  <c r="Q1474" i="14"/>
  <c r="K1474" i="14" s="1"/>
  <c r="R1474" i="14"/>
  <c r="Q1475" i="14"/>
  <c r="R1475" i="14"/>
  <c r="L1475" i="14" s="1"/>
  <c r="Q1476" i="14"/>
  <c r="K1476" i="14" s="1"/>
  <c r="R1476" i="14"/>
  <c r="L1476" i="14" s="1"/>
  <c r="Q1477" i="14"/>
  <c r="K1477" i="14" s="1"/>
  <c r="R1477" i="14"/>
  <c r="Q1478" i="14"/>
  <c r="R1478" i="14"/>
  <c r="Q1479" i="14"/>
  <c r="R1479" i="14"/>
  <c r="L1479" i="14" s="1"/>
  <c r="Q1480" i="14"/>
  <c r="K1480" i="14" s="1"/>
  <c r="R1480" i="14"/>
  <c r="L1480" i="14" s="1"/>
  <c r="Q1481" i="14"/>
  <c r="K1481" i="14" s="1"/>
  <c r="R1481" i="14"/>
  <c r="L1481" i="14" s="1"/>
  <c r="Q1482" i="14"/>
  <c r="K1482" i="14" s="1"/>
  <c r="R1482" i="14"/>
  <c r="Q1483" i="14"/>
  <c r="R1483" i="14"/>
  <c r="L1483" i="14" s="1"/>
  <c r="Q1484" i="14"/>
  <c r="K1484" i="14" s="1"/>
  <c r="R1484" i="14"/>
  <c r="L1484" i="14" s="1"/>
  <c r="Q1485" i="14"/>
  <c r="K1485" i="14" s="1"/>
  <c r="R1485" i="14"/>
  <c r="Q1486" i="14"/>
  <c r="R1486" i="14"/>
  <c r="Q1487" i="14"/>
  <c r="R1487" i="14"/>
  <c r="L1487" i="14" s="1"/>
  <c r="Q1488" i="14"/>
  <c r="K1488" i="14" s="1"/>
  <c r="R1488" i="14"/>
  <c r="L1488" i="14" s="1"/>
  <c r="Q1489" i="14"/>
  <c r="K1489" i="14" s="1"/>
  <c r="R1489" i="14"/>
  <c r="L1489" i="14" s="1"/>
  <c r="Q1490" i="14"/>
  <c r="K1490" i="14" s="1"/>
  <c r="R1490" i="14"/>
  <c r="Q1491" i="14"/>
  <c r="R1491" i="14"/>
  <c r="L1491" i="14" s="1"/>
  <c r="Q1492" i="14"/>
  <c r="K1492" i="14" s="1"/>
  <c r="R1492" i="14"/>
  <c r="L1492" i="14" s="1"/>
  <c r="Q1493" i="14"/>
  <c r="K1493" i="14" s="1"/>
  <c r="R1493" i="14"/>
  <c r="Q1494" i="14"/>
  <c r="R1494" i="14"/>
  <c r="Q1495" i="14"/>
  <c r="R1495" i="14"/>
  <c r="L1495" i="14" s="1"/>
  <c r="Q1496" i="14"/>
  <c r="K1496" i="14" s="1"/>
  <c r="R1496" i="14"/>
  <c r="L1496" i="14" s="1"/>
  <c r="Q1497" i="14"/>
  <c r="K1497" i="14" s="1"/>
  <c r="R1497" i="14"/>
  <c r="L1497" i="14" s="1"/>
  <c r="Q1498" i="14"/>
  <c r="K1498" i="14" s="1"/>
  <c r="R1498" i="14"/>
  <c r="Q1499" i="14"/>
  <c r="R1499" i="14"/>
  <c r="L1499" i="14" s="1"/>
  <c r="Q1500" i="14"/>
  <c r="K1500" i="14" s="1"/>
  <c r="R1500" i="14"/>
  <c r="L1500" i="14" s="1"/>
  <c r="Q1501" i="14"/>
  <c r="K1501" i="14" s="1"/>
  <c r="R1501" i="14"/>
  <c r="L1501" i="14" s="1"/>
  <c r="Q1502" i="14"/>
  <c r="R1502" i="14"/>
  <c r="Q1503" i="14"/>
  <c r="R1503" i="14"/>
  <c r="L1503" i="14" s="1"/>
  <c r="Q1504" i="14"/>
  <c r="K1504" i="14" s="1"/>
  <c r="R1504" i="14"/>
  <c r="L1504" i="14" s="1"/>
  <c r="Q1505" i="14"/>
  <c r="K1505" i="14" s="1"/>
  <c r="R1505" i="14"/>
  <c r="L1505" i="14" s="1"/>
  <c r="Q1506" i="14"/>
  <c r="K1506" i="14" s="1"/>
  <c r="R1506" i="14"/>
  <c r="Q1507" i="14"/>
  <c r="R1507" i="14"/>
  <c r="L1507" i="14" s="1"/>
  <c r="Q1508" i="14"/>
  <c r="K1508" i="14" s="1"/>
  <c r="R1508" i="14"/>
  <c r="L1508" i="14" s="1"/>
  <c r="Q1509" i="14"/>
  <c r="K1509" i="14" s="1"/>
  <c r="R1509" i="14"/>
  <c r="Q1510" i="14"/>
  <c r="R1510" i="14"/>
  <c r="Q1511" i="14"/>
  <c r="R1511" i="14"/>
  <c r="L1511" i="14" s="1"/>
  <c r="Q1512" i="14"/>
  <c r="K1512" i="14" s="1"/>
  <c r="R1512" i="14"/>
  <c r="L1512" i="14" s="1"/>
  <c r="Q1513" i="14"/>
  <c r="K1513" i="14" s="1"/>
  <c r="R1513" i="14"/>
  <c r="L1513" i="14" s="1"/>
  <c r="Q1514" i="14"/>
  <c r="K1514" i="14" s="1"/>
  <c r="R1514" i="14"/>
  <c r="Q1515" i="14"/>
  <c r="R1515" i="14"/>
  <c r="L1515" i="14" s="1"/>
  <c r="K313" i="14"/>
  <c r="B300" i="4" s="1"/>
  <c r="L313" i="14"/>
  <c r="C300" i="4" s="1"/>
  <c r="K314" i="14"/>
  <c r="B301" i="4" s="1"/>
  <c r="L316" i="14"/>
  <c r="C303" i="4" s="1"/>
  <c r="K317" i="14"/>
  <c r="B304" i="4" s="1"/>
  <c r="K318" i="14"/>
  <c r="B305" i="4" s="1"/>
  <c r="K321" i="14"/>
  <c r="B308" i="4" s="1"/>
  <c r="L321" i="14"/>
  <c r="C308" i="4" s="1"/>
  <c r="K322" i="14"/>
  <c r="B309" i="4" s="1"/>
  <c r="K325" i="14"/>
  <c r="B312" i="4" s="1"/>
  <c r="K326" i="14"/>
  <c r="B313" i="4" s="1"/>
  <c r="L328" i="14"/>
  <c r="C315" i="4" s="1"/>
  <c r="K329" i="14"/>
  <c r="B316" i="4" s="1"/>
  <c r="K330" i="14"/>
  <c r="B317" i="4" s="1"/>
  <c r="K333" i="14"/>
  <c r="B320" i="4" s="1"/>
  <c r="L333" i="14"/>
  <c r="C320" i="4" s="1"/>
  <c r="K334" i="14"/>
  <c r="B321" i="4" s="1"/>
  <c r="L336" i="14"/>
  <c r="C323" i="4" s="1"/>
  <c r="K337" i="14"/>
  <c r="B324" i="4" s="1"/>
  <c r="L337" i="14"/>
  <c r="C324" i="4" s="1"/>
  <c r="K338" i="14"/>
  <c r="B325" i="4" s="1"/>
  <c r="K341" i="14"/>
  <c r="B328" i="4" s="1"/>
  <c r="L341" i="14"/>
  <c r="C328" i="4" s="1"/>
  <c r="K342" i="14"/>
  <c r="B329" i="4" s="1"/>
  <c r="L344" i="14"/>
  <c r="C331" i="4" s="1"/>
  <c r="K345" i="14"/>
  <c r="B332" i="4" s="1"/>
  <c r="L345" i="14"/>
  <c r="C332" i="4" s="1"/>
  <c r="K346" i="14"/>
  <c r="B333" i="4" s="1"/>
  <c r="L348" i="14"/>
  <c r="C335" i="4" s="1"/>
  <c r="K349" i="14"/>
  <c r="B336" i="4" s="1"/>
  <c r="K350" i="14"/>
  <c r="B337" i="4" s="1"/>
  <c r="L352" i="14"/>
  <c r="C339" i="4" s="1"/>
  <c r="K353" i="14"/>
  <c r="B340" i="4" s="1"/>
  <c r="L353" i="14"/>
  <c r="C340" i="4" s="1"/>
  <c r="K354" i="14"/>
  <c r="B341" i="4" s="1"/>
  <c r="K357" i="14"/>
  <c r="B344" i="4" s="1"/>
  <c r="K358" i="14"/>
  <c r="B345" i="4" s="1"/>
  <c r="L360" i="14"/>
  <c r="C347" i="4" s="1"/>
  <c r="K361" i="14"/>
  <c r="B348" i="4" s="1"/>
  <c r="K362" i="14"/>
  <c r="B349" i="4" s="1"/>
  <c r="L364" i="14"/>
  <c r="C351" i="4" s="1"/>
  <c r="K365" i="14"/>
  <c r="B352" i="4" s="1"/>
  <c r="L365" i="14"/>
  <c r="C352" i="4" s="1"/>
  <c r="K366" i="14"/>
  <c r="B353" i="4" s="1"/>
  <c r="L368" i="14"/>
  <c r="C355" i="4" s="1"/>
  <c r="K369" i="14"/>
  <c r="B356" i="4" s="1"/>
  <c r="K370" i="14"/>
  <c r="B357" i="4" s="1"/>
  <c r="L372" i="14"/>
  <c r="C359" i="4" s="1"/>
  <c r="K373" i="14"/>
  <c r="B360" i="4" s="1"/>
  <c r="K374" i="14"/>
  <c r="B361" i="4" s="1"/>
  <c r="K377" i="14"/>
  <c r="B364" i="4" s="1"/>
  <c r="L377" i="14"/>
  <c r="C364" i="4" s="1"/>
  <c r="K378" i="14"/>
  <c r="B365" i="4" s="1"/>
  <c r="L380" i="14"/>
  <c r="C367" i="4" s="1"/>
  <c r="K381" i="14"/>
  <c r="B368" i="4" s="1"/>
  <c r="K382" i="14"/>
  <c r="B369" i="4" s="1"/>
  <c r="K385" i="14"/>
  <c r="B372" i="4" s="1"/>
  <c r="K386" i="14"/>
  <c r="B373" i="4" s="1"/>
  <c r="K389" i="14"/>
  <c r="B376" i="4" s="1"/>
  <c r="L389" i="14"/>
  <c r="C376" i="4" s="1"/>
  <c r="K390" i="14"/>
  <c r="B377" i="4" s="1"/>
  <c r="L392" i="14"/>
  <c r="C379" i="4" s="1"/>
  <c r="K393" i="14"/>
  <c r="B380" i="4" s="1"/>
  <c r="L393" i="14"/>
  <c r="C380" i="4" s="1"/>
  <c r="K394" i="14"/>
  <c r="B381" i="4" s="1"/>
  <c r="K395" i="14"/>
  <c r="B382" i="4" s="1"/>
  <c r="L396" i="14"/>
  <c r="C383" i="4" s="1"/>
  <c r="K397" i="14"/>
  <c r="B384" i="4" s="1"/>
  <c r="L397" i="14"/>
  <c r="C384" i="4" s="1"/>
  <c r="K398" i="14"/>
  <c r="B385" i="4" s="1"/>
  <c r="K401" i="14"/>
  <c r="B388" i="4" s="1"/>
  <c r="L401" i="14"/>
  <c r="C388" i="4" s="1"/>
  <c r="K402" i="14"/>
  <c r="B389" i="4" s="1"/>
  <c r="K403" i="14"/>
  <c r="B390" i="4" s="1"/>
  <c r="L404" i="14"/>
  <c r="C391" i="4" s="1"/>
  <c r="K405" i="14"/>
  <c r="B392" i="4" s="1"/>
  <c r="L405" i="14"/>
  <c r="C392" i="4" s="1"/>
  <c r="K406" i="14"/>
  <c r="B393" i="4" s="1"/>
  <c r="L408" i="14"/>
  <c r="C395" i="4" s="1"/>
  <c r="K409" i="14"/>
  <c r="B396" i="4" s="1"/>
  <c r="L409" i="14"/>
  <c r="C396" i="4" s="1"/>
  <c r="K410" i="14"/>
  <c r="B397" i="4" s="1"/>
  <c r="L412" i="14"/>
  <c r="C399" i="4" s="1"/>
  <c r="K413" i="14"/>
  <c r="B400" i="4" s="1"/>
  <c r="L413" i="14"/>
  <c r="C400" i="4" s="1"/>
  <c r="K414" i="14"/>
  <c r="B401" i="4" s="1"/>
  <c r="K417" i="14"/>
  <c r="B404" i="4" s="1"/>
  <c r="L417" i="14"/>
  <c r="C404" i="4" s="1"/>
  <c r="K418" i="14"/>
  <c r="B405" i="4" s="1"/>
  <c r="L420" i="14"/>
  <c r="C407" i="4" s="1"/>
  <c r="K421" i="14"/>
  <c r="B408" i="4" s="1"/>
  <c r="L421" i="14"/>
  <c r="C408" i="4" s="1"/>
  <c r="K422" i="14"/>
  <c r="B409" i="4" s="1"/>
  <c r="L424" i="14"/>
  <c r="C411" i="4" s="1"/>
  <c r="K425" i="14"/>
  <c r="B412" i="4" s="1"/>
  <c r="L425" i="14"/>
  <c r="C412" i="4" s="1"/>
  <c r="K426" i="14"/>
  <c r="B413" i="4" s="1"/>
  <c r="K427" i="14"/>
  <c r="B414" i="4" s="1"/>
  <c r="K429" i="14"/>
  <c r="B416" i="4" s="1"/>
  <c r="L429" i="14"/>
  <c r="C416" i="4" s="1"/>
  <c r="K430" i="14"/>
  <c r="B417" i="4" s="1"/>
  <c r="L432" i="14"/>
  <c r="K433" i="14"/>
  <c r="L433" i="14"/>
  <c r="K434" i="14"/>
  <c r="K435" i="14"/>
  <c r="L436" i="14"/>
  <c r="K437" i="14"/>
  <c r="L437" i="14"/>
  <c r="K438" i="14"/>
  <c r="L440" i="14"/>
  <c r="K441" i="14"/>
  <c r="L441" i="14"/>
  <c r="K442" i="14"/>
  <c r="L444" i="14"/>
  <c r="K445" i="14"/>
  <c r="L445" i="14"/>
  <c r="K446" i="14"/>
  <c r="K447" i="14"/>
  <c r="K449" i="14"/>
  <c r="L449" i="14"/>
  <c r="K450" i="14"/>
  <c r="K453" i="14"/>
  <c r="L453" i="14"/>
  <c r="K454" i="14"/>
  <c r="K455" i="14"/>
  <c r="K457" i="14"/>
  <c r="L457" i="14"/>
  <c r="K458" i="14"/>
  <c r="L460" i="14"/>
  <c r="K461" i="14"/>
  <c r="L461" i="14"/>
  <c r="K462" i="14"/>
  <c r="K465" i="14"/>
  <c r="L465" i="14"/>
  <c r="K466" i="14"/>
  <c r="L468" i="14"/>
  <c r="K469" i="14"/>
  <c r="L469" i="14"/>
  <c r="K470" i="14"/>
  <c r="L472" i="14"/>
  <c r="K473" i="14"/>
  <c r="L473" i="14"/>
  <c r="K474" i="14"/>
  <c r="L476" i="14"/>
  <c r="K477" i="14"/>
  <c r="L477" i="14"/>
  <c r="K478" i="14"/>
  <c r="K479" i="14"/>
  <c r="K481" i="14"/>
  <c r="L481" i="14"/>
  <c r="K482" i="14"/>
  <c r="L484" i="14"/>
  <c r="K485" i="14"/>
  <c r="L485" i="14"/>
  <c r="K486" i="14"/>
  <c r="K487" i="14"/>
  <c r="K489" i="14"/>
  <c r="L489" i="14"/>
  <c r="K490" i="14"/>
  <c r="K493" i="14"/>
  <c r="L493" i="14"/>
  <c r="K494" i="14"/>
  <c r="L496" i="14"/>
  <c r="K497" i="14"/>
  <c r="L497" i="14"/>
  <c r="K498" i="14"/>
  <c r="L500" i="14"/>
  <c r="K501" i="14"/>
  <c r="L501" i="14"/>
  <c r="K502" i="14"/>
  <c r="L504" i="14"/>
  <c r="K505" i="14"/>
  <c r="L505" i="14"/>
  <c r="K506" i="14"/>
  <c r="L508" i="14"/>
  <c r="K509" i="14"/>
  <c r="L509" i="14"/>
  <c r="K510" i="14"/>
  <c r="L512" i="14"/>
  <c r="K513" i="14"/>
  <c r="L513" i="14"/>
  <c r="K514" i="14"/>
  <c r="K517" i="14"/>
  <c r="L517" i="14"/>
  <c r="K518" i="14"/>
  <c r="L520" i="14"/>
  <c r="K521" i="14"/>
  <c r="L521" i="14"/>
  <c r="K522" i="14"/>
  <c r="K523" i="14"/>
  <c r="L524" i="14"/>
  <c r="K525" i="14"/>
  <c r="L525" i="14"/>
  <c r="K526" i="14"/>
  <c r="L528" i="14"/>
  <c r="K529" i="14"/>
  <c r="L529" i="14"/>
  <c r="K530" i="14"/>
  <c r="L532" i="14"/>
  <c r="K533" i="14"/>
  <c r="L533" i="14"/>
  <c r="K534" i="14"/>
  <c r="L536" i="14"/>
  <c r="K537" i="14"/>
  <c r="L537" i="14"/>
  <c r="K538" i="14"/>
  <c r="L540" i="14"/>
  <c r="K541" i="14"/>
  <c r="L541" i="14"/>
  <c r="K542" i="14"/>
  <c r="K543" i="14"/>
  <c r="K545" i="14"/>
  <c r="L545" i="14"/>
  <c r="K546" i="14"/>
  <c r="K549" i="14"/>
  <c r="L549" i="14"/>
  <c r="K550" i="14"/>
  <c r="L552" i="14"/>
  <c r="K553" i="14"/>
  <c r="L553" i="14"/>
  <c r="K554" i="14"/>
  <c r="L556" i="14"/>
  <c r="K557" i="14"/>
  <c r="L557" i="14"/>
  <c r="K558" i="14"/>
  <c r="L560" i="14"/>
  <c r="K561" i="14"/>
  <c r="L561" i="14"/>
  <c r="K562" i="14"/>
  <c r="K565" i="14"/>
  <c r="L565" i="14"/>
  <c r="K566" i="14"/>
  <c r="K567" i="14"/>
  <c r="L568" i="14"/>
  <c r="K569" i="14"/>
  <c r="L569" i="14"/>
  <c r="K570" i="14"/>
  <c r="L572" i="14"/>
  <c r="K573" i="14"/>
  <c r="L573" i="14"/>
  <c r="K574" i="14"/>
  <c r="K575" i="14"/>
  <c r="K577" i="14"/>
  <c r="L577" i="14"/>
  <c r="K578" i="14"/>
  <c r="L580" i="14"/>
  <c r="K581" i="14"/>
  <c r="L581" i="14"/>
  <c r="K582" i="14"/>
  <c r="L584" i="14"/>
  <c r="K585" i="14"/>
  <c r="L585" i="14"/>
  <c r="K586" i="14"/>
  <c r="L588" i="14"/>
  <c r="K589" i="14"/>
  <c r="L589" i="14"/>
  <c r="K590" i="14"/>
  <c r="L592" i="14"/>
  <c r="K593" i="14"/>
  <c r="L593" i="14"/>
  <c r="K594" i="14"/>
  <c r="L596" i="14"/>
  <c r="K597" i="14"/>
  <c r="L597" i="14"/>
  <c r="K598" i="14"/>
  <c r="L600" i="14"/>
  <c r="K601" i="14"/>
  <c r="L601" i="14"/>
  <c r="K602" i="14"/>
  <c r="L604" i="14"/>
  <c r="K605" i="14"/>
  <c r="L605" i="14"/>
  <c r="K606" i="14"/>
  <c r="L608" i="14"/>
  <c r="K609" i="14"/>
  <c r="L609" i="14"/>
  <c r="K610" i="14"/>
  <c r="L612" i="14"/>
  <c r="K613" i="14"/>
  <c r="L613" i="14"/>
  <c r="K614" i="14"/>
  <c r="L616" i="14"/>
  <c r="K617" i="14"/>
  <c r="L617" i="14"/>
  <c r="K618" i="14"/>
  <c r="L620" i="14"/>
  <c r="K621" i="14"/>
  <c r="L621" i="14"/>
  <c r="K622" i="14"/>
  <c r="L624" i="14"/>
  <c r="K625" i="14"/>
  <c r="L625" i="14"/>
  <c r="K626" i="14"/>
  <c r="L628" i="14"/>
  <c r="K629" i="14"/>
  <c r="L629" i="14"/>
  <c r="K630" i="14"/>
  <c r="K631" i="14"/>
  <c r="K633" i="14"/>
  <c r="L633" i="14"/>
  <c r="K634" i="14"/>
  <c r="L636" i="14"/>
  <c r="K637" i="14"/>
  <c r="L637" i="14"/>
  <c r="K638" i="14"/>
  <c r="K641" i="14"/>
  <c r="L641" i="14"/>
  <c r="K642" i="14"/>
  <c r="L644" i="14"/>
  <c r="K645" i="14"/>
  <c r="L645" i="14"/>
  <c r="K646" i="14"/>
  <c r="L648" i="14"/>
  <c r="K649" i="14"/>
  <c r="L649" i="14"/>
  <c r="K650" i="14"/>
  <c r="L652" i="14"/>
  <c r="K653" i="14"/>
  <c r="L653" i="14"/>
  <c r="K654" i="14"/>
  <c r="L656" i="14"/>
  <c r="K657" i="14"/>
  <c r="L657" i="14"/>
  <c r="K658" i="14"/>
  <c r="L660" i="14"/>
  <c r="K661" i="14"/>
  <c r="L661" i="14"/>
  <c r="K662" i="14"/>
  <c r="L664" i="14"/>
  <c r="K665" i="14"/>
  <c r="L665" i="14"/>
  <c r="K666" i="14"/>
  <c r="L668" i="14"/>
  <c r="K669" i="14"/>
  <c r="L669" i="14"/>
  <c r="K670" i="14"/>
  <c r="L672" i="14"/>
  <c r="K673" i="14"/>
  <c r="L673" i="14"/>
  <c r="K674" i="14"/>
  <c r="K675" i="14"/>
  <c r="L676" i="14"/>
  <c r="K677" i="14"/>
  <c r="L677" i="14"/>
  <c r="K678" i="14"/>
  <c r="K681" i="14"/>
  <c r="L681" i="14"/>
  <c r="K682" i="14"/>
  <c r="L684" i="14"/>
  <c r="K685" i="14"/>
  <c r="L685" i="14"/>
  <c r="K686" i="14"/>
  <c r="K689" i="14"/>
  <c r="L689" i="14"/>
  <c r="K690" i="14"/>
  <c r="L692" i="14"/>
  <c r="K693" i="14"/>
  <c r="L693" i="14"/>
  <c r="K694" i="14"/>
  <c r="K697" i="14"/>
  <c r="L697" i="14"/>
  <c r="K698" i="14"/>
  <c r="L700" i="14"/>
  <c r="K701" i="14"/>
  <c r="L701" i="14"/>
  <c r="K702" i="14"/>
  <c r="K705" i="14"/>
  <c r="L705" i="14"/>
  <c r="K706" i="14"/>
  <c r="L708" i="14"/>
  <c r="K709" i="14"/>
  <c r="L709" i="14"/>
  <c r="K710" i="14"/>
  <c r="K713" i="14"/>
  <c r="L713" i="14"/>
  <c r="K714" i="14"/>
  <c r="L716" i="14"/>
  <c r="K717" i="14"/>
  <c r="L717" i="14"/>
  <c r="K718" i="14"/>
  <c r="K721" i="14"/>
  <c r="L721" i="14"/>
  <c r="K722" i="14"/>
  <c r="K725" i="14"/>
  <c r="L725" i="14"/>
  <c r="K726" i="14"/>
  <c r="K729" i="14"/>
  <c r="L729" i="14"/>
  <c r="K730" i="14"/>
  <c r="L732" i="14"/>
  <c r="K733" i="14"/>
  <c r="L733" i="14"/>
  <c r="K734" i="14"/>
  <c r="K737" i="14"/>
  <c r="L737" i="14"/>
  <c r="K738" i="14"/>
  <c r="L740" i="14"/>
  <c r="K741" i="14"/>
  <c r="L741" i="14"/>
  <c r="K742" i="14"/>
  <c r="K745" i="14"/>
  <c r="L745" i="14"/>
  <c r="K746" i="14"/>
  <c r="L748" i="14"/>
  <c r="K749" i="14"/>
  <c r="L749" i="14"/>
  <c r="K750" i="14"/>
  <c r="L752" i="14"/>
  <c r="K753" i="14"/>
  <c r="L753" i="14"/>
  <c r="K754" i="14"/>
  <c r="K755" i="14"/>
  <c r="L756" i="14"/>
  <c r="K757" i="14"/>
  <c r="L757" i="14"/>
  <c r="K758" i="14"/>
  <c r="K761" i="14"/>
  <c r="L761" i="14"/>
  <c r="K762" i="14"/>
  <c r="L764" i="14"/>
  <c r="K765" i="14"/>
  <c r="L765" i="14"/>
  <c r="K766" i="14"/>
  <c r="K769" i="14"/>
  <c r="L769" i="14"/>
  <c r="K770" i="14"/>
  <c r="K773" i="14"/>
  <c r="L773" i="14"/>
  <c r="K774" i="14"/>
  <c r="L776" i="14"/>
  <c r="K777" i="14"/>
  <c r="L777" i="14"/>
  <c r="K778" i="14"/>
  <c r="K781" i="14"/>
  <c r="L781" i="14"/>
  <c r="K782" i="14"/>
  <c r="L784" i="14"/>
  <c r="K785" i="14"/>
  <c r="L785" i="14"/>
  <c r="K786" i="14"/>
  <c r="K789" i="14"/>
  <c r="L789" i="14"/>
  <c r="K790" i="14"/>
  <c r="L792" i="14"/>
  <c r="K793" i="14"/>
  <c r="L793" i="14"/>
  <c r="K794" i="14"/>
  <c r="K797" i="14"/>
  <c r="L797" i="14"/>
  <c r="K798" i="14"/>
  <c r="K799" i="14"/>
  <c r="K801" i="14"/>
  <c r="L801" i="14"/>
  <c r="K802" i="14"/>
  <c r="K805" i="14"/>
  <c r="L805" i="14"/>
  <c r="K806" i="14"/>
  <c r="K807" i="14"/>
  <c r="K809" i="14"/>
  <c r="L809" i="14"/>
  <c r="K810" i="14"/>
  <c r="K813" i="14"/>
  <c r="L813" i="14"/>
  <c r="K814" i="14"/>
  <c r="L817" i="14"/>
  <c r="K818" i="14"/>
  <c r="K821" i="14"/>
  <c r="L821" i="14"/>
  <c r="K822" i="14"/>
  <c r="L825" i="14"/>
  <c r="K826" i="14"/>
  <c r="L828" i="14"/>
  <c r="K829" i="14"/>
  <c r="L829" i="14"/>
  <c r="K830" i="14"/>
  <c r="L833" i="14"/>
  <c r="K834" i="14"/>
  <c r="K837" i="14"/>
  <c r="L837" i="14"/>
  <c r="K838" i="14"/>
  <c r="L840" i="14"/>
  <c r="L841" i="14"/>
  <c r="K842" i="14"/>
  <c r="K845" i="14"/>
  <c r="L845" i="14"/>
  <c r="K846" i="14"/>
  <c r="L848" i="14"/>
  <c r="L849" i="14"/>
  <c r="K850" i="14"/>
  <c r="K853" i="14"/>
  <c r="L853" i="14"/>
  <c r="K854" i="14"/>
  <c r="L856" i="14"/>
  <c r="L857" i="14"/>
  <c r="K858" i="14"/>
  <c r="K861" i="14"/>
  <c r="L861" i="14"/>
  <c r="K862" i="14"/>
  <c r="K863" i="14"/>
  <c r="L865" i="14"/>
  <c r="K866" i="14"/>
  <c r="L868" i="14"/>
  <c r="K869" i="14"/>
  <c r="L869" i="14"/>
  <c r="K870" i="14"/>
  <c r="L873" i="14"/>
  <c r="K874" i="14"/>
  <c r="L876" i="14"/>
  <c r="K877" i="14"/>
  <c r="L877" i="14"/>
  <c r="K878" i="14"/>
  <c r="L881" i="14"/>
  <c r="K882" i="14"/>
  <c r="L884" i="14"/>
  <c r="K885" i="14"/>
  <c r="L885" i="14"/>
  <c r="K886" i="14"/>
  <c r="K889" i="14"/>
  <c r="L889" i="14"/>
  <c r="K890" i="14"/>
  <c r="K893" i="14"/>
  <c r="L893" i="14"/>
  <c r="K894" i="14"/>
  <c r="L897" i="14"/>
  <c r="K898" i="14"/>
  <c r="L900" i="14"/>
  <c r="K901" i="14"/>
  <c r="L901" i="14"/>
  <c r="K902" i="14"/>
  <c r="L905" i="14"/>
  <c r="K906" i="14"/>
  <c r="L908" i="14"/>
  <c r="K909" i="14"/>
  <c r="L909" i="14"/>
  <c r="K910" i="14"/>
  <c r="K913" i="14"/>
  <c r="L913" i="14"/>
  <c r="K914" i="14"/>
  <c r="L916" i="14"/>
  <c r="K917" i="14"/>
  <c r="L917" i="14"/>
  <c r="K918" i="14"/>
  <c r="L921" i="14"/>
  <c r="K922" i="14"/>
  <c r="K925" i="14"/>
  <c r="L925" i="14"/>
  <c r="K926" i="14"/>
  <c r="L929" i="14"/>
  <c r="K930" i="14"/>
  <c r="K933" i="14"/>
  <c r="L933" i="14"/>
  <c r="K934" i="14"/>
  <c r="K937" i="14"/>
  <c r="L937" i="14"/>
  <c r="K938" i="14"/>
  <c r="L940" i="14"/>
  <c r="K941" i="14"/>
  <c r="L941" i="14"/>
  <c r="K942" i="14"/>
  <c r="K945" i="14"/>
  <c r="L945" i="14"/>
  <c r="K946" i="14"/>
  <c r="L948" i="14"/>
  <c r="K949" i="14"/>
  <c r="L949" i="14"/>
  <c r="K950" i="14"/>
  <c r="K953" i="14"/>
  <c r="L953" i="14"/>
  <c r="K954" i="14"/>
  <c r="L956" i="14"/>
  <c r="K957" i="14"/>
  <c r="L957" i="14"/>
  <c r="K958" i="14"/>
  <c r="K961" i="14"/>
  <c r="L961" i="14"/>
  <c r="K962" i="14"/>
  <c r="L964" i="14"/>
  <c r="K965" i="14"/>
  <c r="L965" i="14"/>
  <c r="K966" i="14"/>
  <c r="K969" i="14"/>
  <c r="L969" i="14"/>
  <c r="K970" i="14"/>
  <c r="L972" i="14"/>
  <c r="K973" i="14"/>
  <c r="L973" i="14"/>
  <c r="K974" i="14"/>
  <c r="K977" i="14"/>
  <c r="L977" i="14"/>
  <c r="K978" i="14"/>
  <c r="K981" i="14"/>
  <c r="L981" i="14"/>
  <c r="K982" i="14"/>
  <c r="L985" i="14"/>
  <c r="K986" i="14"/>
  <c r="K989" i="14"/>
  <c r="L989" i="14"/>
  <c r="K990" i="14"/>
  <c r="L993" i="14"/>
  <c r="K994" i="14"/>
  <c r="L996" i="14"/>
  <c r="K997" i="14"/>
  <c r="L997" i="14"/>
  <c r="K998" i="14"/>
  <c r="L1001" i="14"/>
  <c r="K1002" i="14"/>
  <c r="L1004" i="14"/>
  <c r="K1005" i="14"/>
  <c r="L1005" i="14"/>
  <c r="K1006" i="14"/>
  <c r="K1009" i="14"/>
  <c r="L1009" i="14"/>
  <c r="K1010" i="14"/>
  <c r="K1011" i="14"/>
  <c r="L1012" i="14"/>
  <c r="K1013" i="14"/>
  <c r="L1013" i="14"/>
  <c r="K1014" i="14"/>
  <c r="K1017" i="14"/>
  <c r="L1017" i="14"/>
  <c r="K1018" i="14"/>
  <c r="L1020" i="14"/>
  <c r="K1021" i="14"/>
  <c r="L1021" i="14"/>
  <c r="K1022" i="14"/>
  <c r="K1025" i="14"/>
  <c r="L1025" i="14"/>
  <c r="K1026" i="14"/>
  <c r="K1029" i="14"/>
  <c r="L1029" i="14"/>
  <c r="K1030" i="14"/>
  <c r="K1033" i="14"/>
  <c r="L1033" i="14"/>
  <c r="K1034" i="14"/>
  <c r="K1037" i="14"/>
  <c r="L1037" i="14"/>
  <c r="K1038" i="14"/>
  <c r="K1041" i="14"/>
  <c r="L1041" i="14"/>
  <c r="K1042" i="14"/>
  <c r="K1045" i="14"/>
  <c r="L1045" i="14"/>
  <c r="K1046" i="14"/>
  <c r="L1048" i="14"/>
  <c r="K1049" i="14"/>
  <c r="L1049" i="14"/>
  <c r="K1050" i="14"/>
  <c r="K1053" i="14"/>
  <c r="L1053" i="14"/>
  <c r="K1054" i="14"/>
  <c r="L1056" i="14"/>
  <c r="K1057" i="14"/>
  <c r="L1057" i="14"/>
  <c r="K1058" i="14"/>
  <c r="L1060" i="14"/>
  <c r="K1061" i="14"/>
  <c r="L1061" i="14"/>
  <c r="K1062" i="14"/>
  <c r="L1064" i="14"/>
  <c r="K1065" i="14"/>
  <c r="L1065" i="14"/>
  <c r="K1066" i="14"/>
  <c r="L1068" i="14"/>
  <c r="K1069" i="14"/>
  <c r="L1069" i="14"/>
  <c r="K1070" i="14"/>
  <c r="K1073" i="14"/>
  <c r="L1073" i="14"/>
  <c r="K1074" i="14"/>
  <c r="L1076" i="14"/>
  <c r="K1077" i="14"/>
  <c r="L1077" i="14"/>
  <c r="K1078" i="14"/>
  <c r="K1081" i="14"/>
  <c r="L1081" i="14"/>
  <c r="K1082" i="14"/>
  <c r="L1084" i="14"/>
  <c r="K1085" i="14"/>
  <c r="L1085" i="14"/>
  <c r="K1086" i="14"/>
  <c r="K1089" i="14"/>
  <c r="L1089" i="14"/>
  <c r="K1090" i="14"/>
  <c r="L1092" i="14"/>
  <c r="K1093" i="14"/>
  <c r="L1093" i="14"/>
  <c r="K1094" i="14"/>
  <c r="K1097" i="14"/>
  <c r="L1097" i="14"/>
  <c r="K1098" i="14"/>
  <c r="L1100" i="14"/>
  <c r="K1101" i="14"/>
  <c r="L1101" i="14"/>
  <c r="K1102" i="14"/>
  <c r="K1105" i="14"/>
  <c r="L1105" i="14"/>
  <c r="K1106" i="14"/>
  <c r="K1109" i="14"/>
  <c r="L1109" i="14"/>
  <c r="K1110" i="14"/>
  <c r="L1113" i="14"/>
  <c r="K1114" i="14"/>
  <c r="L1116" i="14"/>
  <c r="K1117" i="14"/>
  <c r="L1117" i="14"/>
  <c r="K1118" i="14"/>
  <c r="L1121" i="14"/>
  <c r="K1122" i="14"/>
  <c r="L1124" i="14"/>
  <c r="K1125" i="14"/>
  <c r="L1125" i="14"/>
  <c r="K1126" i="14"/>
  <c r="L1129" i="14"/>
  <c r="K1130" i="14"/>
  <c r="L1132" i="14"/>
  <c r="K1133" i="14"/>
  <c r="L1133" i="14"/>
  <c r="K1134" i="14"/>
  <c r="L1136" i="14"/>
  <c r="L1137" i="14"/>
  <c r="K1138" i="14"/>
  <c r="K1141" i="14"/>
  <c r="L1141" i="14"/>
  <c r="K1142" i="14"/>
  <c r="L1144" i="14"/>
  <c r="L1145" i="14"/>
  <c r="K1146" i="14"/>
  <c r="K1149" i="14"/>
  <c r="L1149" i="14"/>
  <c r="K1150" i="14"/>
  <c r="L1152" i="14"/>
  <c r="K1153" i="14"/>
  <c r="L1153" i="14"/>
  <c r="K1154" i="14"/>
  <c r="K1157" i="14"/>
  <c r="L1157" i="14"/>
  <c r="K1158" i="14"/>
  <c r="L1160" i="14"/>
  <c r="K1161" i="14"/>
  <c r="L1161" i="14"/>
  <c r="K1162" i="14"/>
  <c r="K1165" i="14"/>
  <c r="L1165" i="14"/>
  <c r="K1166" i="14"/>
  <c r="L1168" i="14"/>
  <c r="K1169" i="14"/>
  <c r="L1169" i="14"/>
  <c r="K1170" i="14"/>
  <c r="K1173" i="14"/>
  <c r="L1173" i="14"/>
  <c r="K1174" i="14"/>
  <c r="K1177" i="14"/>
  <c r="L1177" i="14"/>
  <c r="K1178" i="14"/>
  <c r="K1181" i="14"/>
  <c r="L1181" i="14"/>
  <c r="K1182" i="14"/>
  <c r="K1185" i="14"/>
  <c r="L1185" i="14"/>
  <c r="K1186" i="14"/>
  <c r="K1189" i="14"/>
  <c r="L1189" i="14"/>
  <c r="K1190" i="14"/>
  <c r="K1193" i="14"/>
  <c r="L1193" i="14"/>
  <c r="K1194" i="14"/>
  <c r="K1197" i="14"/>
  <c r="L1197" i="14"/>
  <c r="K1198" i="14"/>
  <c r="K1201" i="14"/>
  <c r="L1201" i="14"/>
  <c r="K1202" i="14"/>
  <c r="L1205" i="14"/>
  <c r="K1206" i="14"/>
  <c r="L1208" i="14"/>
  <c r="K1209" i="14"/>
  <c r="L1209" i="14"/>
  <c r="K1210" i="14"/>
  <c r="L1213" i="14"/>
  <c r="K1214" i="14"/>
  <c r="L1216" i="14"/>
  <c r="K1217" i="14"/>
  <c r="L1217" i="14"/>
  <c r="K1218" i="14"/>
  <c r="L1221" i="14"/>
  <c r="K1222" i="14"/>
  <c r="K1225" i="14"/>
  <c r="L1225" i="14"/>
  <c r="K1226" i="14"/>
  <c r="L1229" i="14"/>
  <c r="K1230" i="14"/>
  <c r="K1233" i="14"/>
  <c r="L1233" i="14"/>
  <c r="K1234" i="14"/>
  <c r="L1237" i="14"/>
  <c r="K1238" i="14"/>
  <c r="L1240" i="14"/>
  <c r="K1241" i="14"/>
  <c r="L1241" i="14"/>
  <c r="K1242" i="14"/>
  <c r="L1245" i="14"/>
  <c r="K1246" i="14"/>
  <c r="L1248" i="14"/>
  <c r="K1249" i="14"/>
  <c r="L1249" i="14"/>
  <c r="K1250" i="14"/>
  <c r="L1253" i="14"/>
  <c r="K1254" i="14"/>
  <c r="K1257" i="14"/>
  <c r="L1257" i="14"/>
  <c r="K1258" i="14"/>
  <c r="K1261" i="14"/>
  <c r="L1261" i="14"/>
  <c r="K1262" i="14"/>
  <c r="K1265" i="14"/>
  <c r="L1265" i="14"/>
  <c r="K1266" i="14"/>
  <c r="L1268" i="14"/>
  <c r="K1269" i="14"/>
  <c r="L1269" i="14"/>
  <c r="K1270" i="14"/>
  <c r="K1273" i="14"/>
  <c r="L1273" i="14"/>
  <c r="K1274" i="14"/>
  <c r="L1276" i="14"/>
  <c r="K1277" i="14"/>
  <c r="L1277" i="14"/>
  <c r="K1278" i="14"/>
  <c r="K1281" i="14"/>
  <c r="L1281" i="14"/>
  <c r="K1282" i="14"/>
  <c r="L1284" i="14"/>
  <c r="K1285" i="14"/>
  <c r="L1285" i="14"/>
  <c r="K1286" i="14"/>
  <c r="K1289" i="14"/>
  <c r="L1289" i="14"/>
  <c r="K1290" i="14"/>
  <c r="L1292" i="14"/>
  <c r="K1293" i="14"/>
  <c r="L1293" i="14"/>
  <c r="K1294" i="14"/>
  <c r="K1297" i="14"/>
  <c r="L1297" i="14"/>
  <c r="K1298" i="14"/>
  <c r="L1300" i="14"/>
  <c r="K1301" i="14"/>
  <c r="L1301" i="14"/>
  <c r="K1302" i="14"/>
  <c r="K1305" i="14"/>
  <c r="L1305" i="14"/>
  <c r="K1306" i="14"/>
  <c r="K1309" i="14"/>
  <c r="L1309" i="14"/>
  <c r="K1310" i="14"/>
  <c r="K1313" i="14"/>
  <c r="L1313" i="14"/>
  <c r="K1314" i="14"/>
  <c r="K1317" i="14"/>
  <c r="L1317" i="14"/>
  <c r="K1318" i="14"/>
  <c r="K1321" i="14"/>
  <c r="L1321" i="14"/>
  <c r="K1322" i="14"/>
  <c r="K1325" i="14"/>
  <c r="L1325" i="14"/>
  <c r="K1326" i="14"/>
  <c r="K1329" i="14"/>
  <c r="L1329" i="14"/>
  <c r="K1330" i="14"/>
  <c r="L1332" i="14"/>
  <c r="K1333" i="14"/>
  <c r="L1333" i="14"/>
  <c r="K1334" i="14"/>
  <c r="K1337" i="14"/>
  <c r="L1337" i="14"/>
  <c r="K1338" i="14"/>
  <c r="L1340" i="14"/>
  <c r="K1341" i="14"/>
  <c r="L1341" i="14"/>
  <c r="K1342" i="14"/>
  <c r="L1345" i="14"/>
  <c r="K1346" i="14"/>
  <c r="L1348" i="14"/>
  <c r="K1349" i="14"/>
  <c r="L1349" i="14"/>
  <c r="K1350" i="14"/>
  <c r="L1353" i="14"/>
  <c r="K1354" i="14"/>
  <c r="K1357" i="14"/>
  <c r="L1357" i="14"/>
  <c r="K1358" i="14"/>
  <c r="L1361" i="14"/>
  <c r="K1362" i="14"/>
  <c r="K1365" i="14"/>
  <c r="L1365" i="14"/>
  <c r="K1366" i="14"/>
  <c r="L1368" i="14"/>
  <c r="L1369" i="14"/>
  <c r="K1370" i="14"/>
  <c r="L1373" i="14"/>
  <c r="K1374" i="14"/>
  <c r="L1374" i="14"/>
  <c r="K1375" i="14"/>
  <c r="L1378" i="14"/>
  <c r="K1379" i="14"/>
  <c r="L1381" i="14"/>
  <c r="K1382" i="14"/>
  <c r="L1382" i="14"/>
  <c r="K1383" i="14"/>
  <c r="L1386" i="14"/>
  <c r="K1387" i="14"/>
  <c r="L1389" i="14"/>
  <c r="K1390" i="14"/>
  <c r="L1390" i="14"/>
  <c r="K1391" i="14"/>
  <c r="L1394" i="14"/>
  <c r="K1395" i="14"/>
  <c r="L1397" i="14"/>
  <c r="K1398" i="14"/>
  <c r="L1398" i="14"/>
  <c r="K1399" i="14"/>
  <c r="L1402" i="14"/>
  <c r="K1403" i="14"/>
  <c r="K1406" i="14"/>
  <c r="L1406" i="14"/>
  <c r="K1407" i="14"/>
  <c r="L1410" i="14"/>
  <c r="K1411" i="14"/>
  <c r="K1414" i="14"/>
  <c r="L1414" i="14"/>
  <c r="K1415" i="14"/>
  <c r="L1418" i="14"/>
  <c r="K1419" i="14"/>
  <c r="L1421" i="14"/>
  <c r="K1422" i="14"/>
  <c r="L1422" i="14"/>
  <c r="K1423" i="14"/>
  <c r="L1426" i="14"/>
  <c r="K1427" i="14"/>
  <c r="L1429" i="14"/>
  <c r="K1430" i="14"/>
  <c r="L1430" i="14"/>
  <c r="K1431" i="14"/>
  <c r="L1434" i="14"/>
  <c r="K1435" i="14"/>
  <c r="L1437" i="14"/>
  <c r="K1438" i="14"/>
  <c r="L1438" i="14"/>
  <c r="K1439" i="14"/>
  <c r="L1441" i="14"/>
  <c r="L1442" i="14"/>
  <c r="K1443" i="14"/>
  <c r="K1446" i="14"/>
  <c r="L1446" i="14"/>
  <c r="K1447" i="14"/>
  <c r="L1449" i="14"/>
  <c r="L1450" i="14"/>
  <c r="K1451" i="14"/>
  <c r="K1454" i="14"/>
  <c r="L1454" i="14"/>
  <c r="K1455" i="14"/>
  <c r="L1457" i="14"/>
  <c r="L1458" i="14"/>
  <c r="K1459" i="14"/>
  <c r="K1462" i="14"/>
  <c r="L1462" i="14"/>
  <c r="K1463" i="14"/>
  <c r="L1465" i="14"/>
  <c r="L1466" i="14"/>
  <c r="K1467" i="14"/>
  <c r="L1469" i="14"/>
  <c r="K1470" i="14"/>
  <c r="L1470" i="14"/>
  <c r="K1471" i="14"/>
  <c r="L1473" i="14"/>
  <c r="L1474" i="14"/>
  <c r="K1475" i="14"/>
  <c r="L1477" i="14"/>
  <c r="K1478" i="14"/>
  <c r="L1478" i="14"/>
  <c r="K1479" i="14"/>
  <c r="L1482" i="14"/>
  <c r="K1483" i="14"/>
  <c r="L1485" i="14"/>
  <c r="K1486" i="14"/>
  <c r="L1486" i="14"/>
  <c r="K1487" i="14"/>
  <c r="L1490" i="14"/>
  <c r="K1491" i="14"/>
  <c r="L1493" i="14"/>
  <c r="K1494" i="14"/>
  <c r="L1494" i="14"/>
  <c r="K1495" i="14"/>
  <c r="L1498" i="14"/>
  <c r="K1499" i="14"/>
  <c r="K1502" i="14"/>
  <c r="L1502" i="14"/>
  <c r="K1503" i="14"/>
  <c r="L1506" i="14"/>
  <c r="K1507" i="14"/>
  <c r="L1509" i="14"/>
  <c r="K1510" i="14"/>
  <c r="L1510" i="14"/>
  <c r="K1511" i="14"/>
  <c r="L1514" i="14"/>
  <c r="K1515" i="1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5" i="4"/>
  <c r="E209" i="14"/>
  <c r="M198" i="4" s="1"/>
  <c r="E211" i="14"/>
  <c r="M199" i="4" s="1"/>
  <c r="E213" i="14"/>
  <c r="M200" i="4" s="1"/>
  <c r="E214" i="14"/>
  <c r="M201" i="4" s="1"/>
  <c r="E215" i="14"/>
  <c r="M202" i="4" s="1"/>
  <c r="E216" i="14"/>
  <c r="M203" i="4" s="1"/>
  <c r="E217" i="14"/>
  <c r="M204" i="4" s="1"/>
  <c r="E218" i="14"/>
  <c r="M205" i="4" s="1"/>
  <c r="E219" i="14"/>
  <c r="M206" i="4" s="1"/>
  <c r="E220" i="14"/>
  <c r="M207" i="4" s="1"/>
  <c r="E221" i="14"/>
  <c r="M208" i="4" s="1"/>
  <c r="E222" i="14"/>
  <c r="M209" i="4" s="1"/>
  <c r="E223" i="14"/>
  <c r="M210" i="4" s="1"/>
  <c r="E224" i="14"/>
  <c r="M211" i="4" s="1"/>
  <c r="E225" i="14"/>
  <c r="M212" i="4" s="1"/>
  <c r="E226" i="14"/>
  <c r="M213" i="4" s="1"/>
  <c r="E227" i="14"/>
  <c r="M214" i="4" s="1"/>
  <c r="E228" i="14"/>
  <c r="M215" i="4" s="1"/>
  <c r="E229" i="14"/>
  <c r="M216" i="4" s="1"/>
  <c r="E230" i="14"/>
  <c r="M217" i="4" s="1"/>
  <c r="E231" i="14"/>
  <c r="M218" i="4" s="1"/>
  <c r="E232" i="14"/>
  <c r="M219" i="4" s="1"/>
  <c r="E233" i="14"/>
  <c r="M220" i="4" s="1"/>
  <c r="E234" i="14"/>
  <c r="M221" i="4" s="1"/>
  <c r="E235" i="14"/>
  <c r="M222" i="4" s="1"/>
  <c r="E236" i="14"/>
  <c r="M223" i="4" s="1"/>
  <c r="E237" i="14"/>
  <c r="M224" i="4" s="1"/>
  <c r="E238" i="14"/>
  <c r="M225" i="4" s="1"/>
  <c r="E239" i="14"/>
  <c r="M226" i="4" s="1"/>
  <c r="E240" i="14"/>
  <c r="M227" i="4" s="1"/>
  <c r="E241" i="14"/>
  <c r="M228" i="4" s="1"/>
  <c r="E242" i="14"/>
  <c r="M229" i="4" s="1"/>
  <c r="E243" i="14"/>
  <c r="M230" i="4" s="1"/>
  <c r="E244" i="14"/>
  <c r="M231" i="4" s="1"/>
  <c r="E245" i="14"/>
  <c r="M232" i="4" s="1"/>
  <c r="E246" i="14"/>
  <c r="M233" i="4" s="1"/>
  <c r="E247" i="14"/>
  <c r="M234" i="4" s="1"/>
  <c r="E248" i="14"/>
  <c r="M235" i="4" s="1"/>
  <c r="E249" i="14"/>
  <c r="M236" i="4" s="1"/>
  <c r="E250" i="14"/>
  <c r="M237" i="4" s="1"/>
  <c r="E251" i="14"/>
  <c r="M238" i="4" s="1"/>
  <c r="E252" i="14"/>
  <c r="M239" i="4" s="1"/>
  <c r="E253" i="14"/>
  <c r="M240" i="4" s="1"/>
  <c r="E254" i="14"/>
  <c r="M241" i="4" s="1"/>
  <c r="E255" i="14"/>
  <c r="M242" i="4" s="1"/>
  <c r="E256" i="14"/>
  <c r="M243" i="4" s="1"/>
  <c r="E257" i="14"/>
  <c r="M244" i="4" s="1"/>
  <c r="E258" i="14"/>
  <c r="M245" i="4" s="1"/>
  <c r="E259" i="14"/>
  <c r="M246" i="4" s="1"/>
  <c r="E260" i="14"/>
  <c r="M247" i="4" s="1"/>
  <c r="E261" i="14"/>
  <c r="M248" i="4" s="1"/>
  <c r="E262" i="14"/>
  <c r="M249" i="4" s="1"/>
  <c r="E263" i="14"/>
  <c r="M250" i="4" s="1"/>
  <c r="E264" i="14"/>
  <c r="M251" i="4" s="1"/>
  <c r="E265" i="14"/>
  <c r="M252" i="4" s="1"/>
  <c r="E266" i="14"/>
  <c r="M253" i="4" s="1"/>
  <c r="E267" i="14"/>
  <c r="M254" i="4" s="1"/>
  <c r="E268" i="14"/>
  <c r="M255" i="4" s="1"/>
  <c r="E269" i="14"/>
  <c r="M256" i="4" s="1"/>
  <c r="E270" i="14"/>
  <c r="M257" i="4" s="1"/>
  <c r="E271" i="14"/>
  <c r="M258" i="4" s="1"/>
  <c r="E272" i="14"/>
  <c r="M259" i="4" s="1"/>
  <c r="E273" i="14"/>
  <c r="M260" i="4" s="1"/>
  <c r="E274" i="14"/>
  <c r="M261" i="4" s="1"/>
  <c r="E275" i="14"/>
  <c r="M262" i="4" s="1"/>
  <c r="E276" i="14"/>
  <c r="M263" i="4" s="1"/>
  <c r="E277" i="14"/>
  <c r="M264" i="4" s="1"/>
  <c r="E278" i="14"/>
  <c r="M265" i="4" s="1"/>
  <c r="E279" i="14"/>
  <c r="M266" i="4" s="1"/>
  <c r="E280" i="14"/>
  <c r="M267" i="4" s="1"/>
  <c r="E281" i="14"/>
  <c r="M268" i="4" s="1"/>
  <c r="E282" i="14"/>
  <c r="M269" i="4" s="1"/>
  <c r="E283" i="14"/>
  <c r="M270" i="4" s="1"/>
  <c r="E284" i="14"/>
  <c r="M271" i="4" s="1"/>
  <c r="E285" i="14"/>
  <c r="M272" i="4" s="1"/>
  <c r="E286" i="14"/>
  <c r="M273" i="4" s="1"/>
  <c r="E287" i="14"/>
  <c r="M274" i="4" s="1"/>
  <c r="E288" i="14"/>
  <c r="M275" i="4" s="1"/>
  <c r="E289" i="14"/>
  <c r="M276" i="4" s="1"/>
  <c r="E290" i="14"/>
  <c r="M277" i="4" s="1"/>
  <c r="E291" i="14"/>
  <c r="M278" i="4" s="1"/>
  <c r="E292" i="14"/>
  <c r="M279" i="4" s="1"/>
  <c r="E293" i="14"/>
  <c r="M280" i="4" s="1"/>
  <c r="E294" i="14"/>
  <c r="M281" i="4" s="1"/>
  <c r="E295" i="14"/>
  <c r="M282" i="4" s="1"/>
  <c r="E296" i="14"/>
  <c r="M283" i="4" s="1"/>
  <c r="E297" i="14"/>
  <c r="M284" i="4" s="1"/>
  <c r="E298" i="14"/>
  <c r="M285" i="4" s="1"/>
  <c r="E299" i="14"/>
  <c r="M286" i="4" s="1"/>
  <c r="E300" i="14"/>
  <c r="M287" i="4" s="1"/>
  <c r="E301" i="14"/>
  <c r="M288" i="4" s="1"/>
  <c r="E302" i="14"/>
  <c r="M289" i="4" s="1"/>
  <c r="E303" i="14"/>
  <c r="M290" i="4" s="1"/>
  <c r="E304" i="14"/>
  <c r="M291" i="4" s="1"/>
  <c r="E305" i="14"/>
  <c r="M292" i="4" s="1"/>
  <c r="E306" i="14"/>
  <c r="M293" i="4" s="1"/>
  <c r="E307" i="14"/>
  <c r="M294" i="4" s="1"/>
  <c r="E308" i="14"/>
  <c r="M295" i="4" s="1"/>
  <c r="E309" i="14"/>
  <c r="M296" i="4" s="1"/>
  <c r="E310" i="14"/>
  <c r="M297" i="4" s="1"/>
  <c r="E311" i="14"/>
  <c r="M298" i="4" s="1"/>
  <c r="E312" i="14"/>
  <c r="M299" i="4" s="1"/>
  <c r="E313" i="14"/>
  <c r="M300" i="4" s="1"/>
  <c r="E314" i="14"/>
  <c r="M301" i="4" s="1"/>
  <c r="E315" i="14"/>
  <c r="M302" i="4" s="1"/>
  <c r="E316" i="14"/>
  <c r="M303" i="4" s="1"/>
  <c r="E317" i="14"/>
  <c r="M304" i="4" s="1"/>
  <c r="E318" i="14"/>
  <c r="M305" i="4" s="1"/>
  <c r="E319" i="14"/>
  <c r="M306" i="4" s="1"/>
  <c r="E320" i="14"/>
  <c r="M307" i="4" s="1"/>
  <c r="E321" i="14"/>
  <c r="M308" i="4" s="1"/>
  <c r="E322" i="14"/>
  <c r="M309" i="4" s="1"/>
  <c r="E323" i="14"/>
  <c r="M310" i="4" s="1"/>
  <c r="E324" i="14"/>
  <c r="M311" i="4" s="1"/>
  <c r="E325" i="14"/>
  <c r="M312" i="4" s="1"/>
  <c r="E326" i="14"/>
  <c r="M313" i="4" s="1"/>
  <c r="E327" i="14"/>
  <c r="M314" i="4" s="1"/>
  <c r="E328" i="14"/>
  <c r="M315" i="4" s="1"/>
  <c r="E329" i="14"/>
  <c r="M316" i="4" s="1"/>
  <c r="E330" i="14"/>
  <c r="M317" i="4" s="1"/>
  <c r="E331" i="14"/>
  <c r="M318" i="4" s="1"/>
  <c r="E332" i="14"/>
  <c r="M319" i="4" s="1"/>
  <c r="E333" i="14"/>
  <c r="M320" i="4" s="1"/>
  <c r="E334" i="14"/>
  <c r="M321" i="4" s="1"/>
  <c r="E335" i="14"/>
  <c r="M322" i="4" s="1"/>
  <c r="E336" i="14"/>
  <c r="M323" i="4" s="1"/>
  <c r="E337" i="14"/>
  <c r="M324" i="4" s="1"/>
  <c r="E338" i="14"/>
  <c r="M325" i="4" s="1"/>
  <c r="E339" i="14"/>
  <c r="M326" i="4" s="1"/>
  <c r="E340" i="14"/>
  <c r="M327" i="4" s="1"/>
  <c r="E341" i="14"/>
  <c r="M328" i="4" s="1"/>
  <c r="E342" i="14"/>
  <c r="M329" i="4" s="1"/>
  <c r="E343" i="14"/>
  <c r="M330" i="4" s="1"/>
  <c r="E344" i="14"/>
  <c r="M331" i="4" s="1"/>
  <c r="E345" i="14"/>
  <c r="M332" i="4" s="1"/>
  <c r="E346" i="14"/>
  <c r="M333" i="4" s="1"/>
  <c r="E347" i="14"/>
  <c r="M334" i="4" s="1"/>
  <c r="E348" i="14"/>
  <c r="M335" i="4" s="1"/>
  <c r="E349" i="14"/>
  <c r="M336" i="4" s="1"/>
  <c r="E350" i="14"/>
  <c r="M337" i="4" s="1"/>
  <c r="E351" i="14"/>
  <c r="M338" i="4" s="1"/>
  <c r="E352" i="14"/>
  <c r="M339" i="4" s="1"/>
  <c r="E353" i="14"/>
  <c r="M340" i="4" s="1"/>
  <c r="E354" i="14"/>
  <c r="M341" i="4" s="1"/>
  <c r="E355" i="14"/>
  <c r="M342" i="4" s="1"/>
  <c r="E356" i="14"/>
  <c r="M343" i="4" s="1"/>
  <c r="E357" i="14"/>
  <c r="M344" i="4" s="1"/>
  <c r="E358" i="14"/>
  <c r="M345" i="4" s="1"/>
  <c r="E359" i="14"/>
  <c r="M346" i="4" s="1"/>
  <c r="E360" i="14"/>
  <c r="M347" i="4" s="1"/>
  <c r="E361" i="14"/>
  <c r="M348" i="4" s="1"/>
  <c r="E362" i="14"/>
  <c r="M349" i="4" s="1"/>
  <c r="E363" i="14"/>
  <c r="M350" i="4" s="1"/>
  <c r="E364" i="14"/>
  <c r="M351" i="4" s="1"/>
  <c r="E365" i="14"/>
  <c r="M352" i="4" s="1"/>
  <c r="E366" i="14"/>
  <c r="M353" i="4" s="1"/>
  <c r="E367" i="14"/>
  <c r="M354" i="4" s="1"/>
  <c r="E368" i="14"/>
  <c r="M355" i="4" s="1"/>
  <c r="E369" i="14"/>
  <c r="M356" i="4" s="1"/>
  <c r="E370" i="14"/>
  <c r="M357" i="4" s="1"/>
  <c r="E371" i="14"/>
  <c r="M358" i="4" s="1"/>
  <c r="E372" i="14"/>
  <c r="M359" i="4" s="1"/>
  <c r="E373" i="14"/>
  <c r="M360" i="4" s="1"/>
  <c r="E374" i="14"/>
  <c r="M361" i="4" s="1"/>
  <c r="E375" i="14"/>
  <c r="M362" i="4" s="1"/>
  <c r="E376" i="14"/>
  <c r="M363" i="4" s="1"/>
  <c r="E377" i="14"/>
  <c r="M364" i="4" s="1"/>
  <c r="E378" i="14"/>
  <c r="M365" i="4" s="1"/>
  <c r="E379" i="14"/>
  <c r="M366" i="4" s="1"/>
  <c r="E380" i="14"/>
  <c r="M367" i="4" s="1"/>
  <c r="E381" i="14"/>
  <c r="M368" i="4" s="1"/>
  <c r="E382" i="14"/>
  <c r="M369" i="4" s="1"/>
  <c r="E383" i="14"/>
  <c r="M370" i="4" s="1"/>
  <c r="E384" i="14"/>
  <c r="M371" i="4" s="1"/>
  <c r="E385" i="14"/>
  <c r="M372" i="4" s="1"/>
  <c r="E386" i="14"/>
  <c r="M373" i="4" s="1"/>
  <c r="E387" i="14"/>
  <c r="M374" i="4" s="1"/>
  <c r="E388" i="14"/>
  <c r="M375" i="4" s="1"/>
  <c r="E389" i="14"/>
  <c r="M376" i="4" s="1"/>
  <c r="E390" i="14"/>
  <c r="M377" i="4" s="1"/>
  <c r="E391" i="14"/>
  <c r="M378" i="4" s="1"/>
  <c r="E392" i="14"/>
  <c r="M379" i="4" s="1"/>
  <c r="E393" i="14"/>
  <c r="M380" i="4" s="1"/>
  <c r="E394" i="14"/>
  <c r="M381" i="4" s="1"/>
  <c r="E395" i="14"/>
  <c r="M382" i="4" s="1"/>
  <c r="E396" i="14"/>
  <c r="M383" i="4" s="1"/>
  <c r="E397" i="14"/>
  <c r="M384" i="4" s="1"/>
  <c r="E398" i="14"/>
  <c r="M385" i="4" s="1"/>
  <c r="E399" i="14"/>
  <c r="M386" i="4" s="1"/>
  <c r="E400" i="14"/>
  <c r="M387" i="4" s="1"/>
  <c r="E401" i="14"/>
  <c r="M388" i="4" s="1"/>
  <c r="E402" i="14"/>
  <c r="M389" i="4" s="1"/>
  <c r="E403" i="14"/>
  <c r="M390" i="4" s="1"/>
  <c r="E404" i="14"/>
  <c r="M391" i="4" s="1"/>
  <c r="E405" i="14"/>
  <c r="M392" i="4" s="1"/>
  <c r="E406" i="14"/>
  <c r="M393" i="4" s="1"/>
  <c r="E407" i="14"/>
  <c r="M394" i="4" s="1"/>
  <c r="E408" i="14"/>
  <c r="M395" i="4" s="1"/>
  <c r="E409" i="14"/>
  <c r="M396" i="4" s="1"/>
  <c r="E410" i="14"/>
  <c r="M397" i="4" s="1"/>
  <c r="E411" i="14"/>
  <c r="M398" i="4" s="1"/>
  <c r="E412" i="14"/>
  <c r="M399" i="4" s="1"/>
  <c r="E413" i="14"/>
  <c r="M400" i="4" s="1"/>
  <c r="E414" i="14"/>
  <c r="M401" i="4" s="1"/>
  <c r="E415" i="14"/>
  <c r="M402" i="4" s="1"/>
  <c r="E416" i="14"/>
  <c r="M403" i="4" s="1"/>
  <c r="E417" i="14"/>
  <c r="M404" i="4" s="1"/>
  <c r="E418" i="14"/>
  <c r="M405" i="4" s="1"/>
  <c r="E419" i="14"/>
  <c r="M406" i="4" s="1"/>
  <c r="E420" i="14"/>
  <c r="M407" i="4" s="1"/>
  <c r="E421" i="14"/>
  <c r="M408" i="4" s="1"/>
  <c r="E422" i="14"/>
  <c r="M409" i="4" s="1"/>
  <c r="E423" i="14"/>
  <c r="M410" i="4" s="1"/>
  <c r="E424" i="14"/>
  <c r="M411" i="4" s="1"/>
  <c r="E425" i="14"/>
  <c r="M412" i="4" s="1"/>
  <c r="E426" i="14"/>
  <c r="M413" i="4" s="1"/>
  <c r="E427" i="14"/>
  <c r="M414" i="4" s="1"/>
  <c r="E428" i="14"/>
  <c r="M415" i="4" s="1"/>
  <c r="E429" i="14"/>
  <c r="M416" i="4" s="1"/>
  <c r="E430" i="14"/>
  <c r="M417" i="4" s="1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E1501" i="14"/>
  <c r="E1502" i="14"/>
  <c r="E1503" i="14"/>
  <c r="E1504" i="14"/>
  <c r="E1505" i="14"/>
  <c r="E1506" i="14"/>
  <c r="E1507" i="14"/>
  <c r="E1508" i="14"/>
  <c r="E1509" i="14"/>
  <c r="E1510" i="14"/>
  <c r="E1511" i="14"/>
  <c r="E1512" i="14"/>
  <c r="E1513" i="14"/>
  <c r="E1514" i="14"/>
  <c r="E1515" i="14"/>
  <c r="T246" i="4" l="1"/>
  <c r="Q246" i="4"/>
  <c r="R246" i="4"/>
  <c r="S246" i="4"/>
  <c r="P246" i="4"/>
  <c r="N246" i="4"/>
  <c r="S353" i="4"/>
  <c r="R353" i="4"/>
  <c r="T353" i="4"/>
  <c r="Q353" i="4"/>
  <c r="N353" i="4"/>
  <c r="P353" i="4"/>
  <c r="N385" i="4"/>
  <c r="P385" i="4"/>
  <c r="Q385" i="4"/>
  <c r="R385" i="4"/>
  <c r="S385" i="4"/>
  <c r="T385" i="4"/>
  <c r="S337" i="4"/>
  <c r="T337" i="4"/>
  <c r="Q337" i="4"/>
  <c r="R337" i="4"/>
  <c r="P337" i="4"/>
  <c r="N337" i="4"/>
  <c r="Q325" i="4"/>
  <c r="S325" i="4"/>
  <c r="P325" i="4"/>
  <c r="T325" i="4"/>
  <c r="N325" i="4"/>
  <c r="R325" i="4"/>
  <c r="R301" i="4"/>
  <c r="P301" i="4"/>
  <c r="Q301" i="4"/>
  <c r="S301" i="4"/>
  <c r="N301" i="4"/>
  <c r="T301" i="4"/>
  <c r="T229" i="4"/>
  <c r="N229" i="4"/>
  <c r="P229" i="4"/>
  <c r="Q229" i="4"/>
  <c r="R229" i="4"/>
  <c r="S229" i="4"/>
  <c r="N217" i="4"/>
  <c r="T217" i="4"/>
  <c r="S217" i="4"/>
  <c r="P217" i="4"/>
  <c r="R217" i="4"/>
  <c r="Q217" i="4"/>
  <c r="P205" i="4"/>
  <c r="Q205" i="4"/>
  <c r="R205" i="4"/>
  <c r="S205" i="4"/>
  <c r="T205" i="4"/>
  <c r="N205" i="4"/>
  <c r="P407" i="4"/>
  <c r="N407" i="4"/>
  <c r="S407" i="4"/>
  <c r="R407" i="4"/>
  <c r="T407" i="4"/>
  <c r="Q407" i="4"/>
  <c r="N395" i="4"/>
  <c r="S395" i="4"/>
  <c r="T395" i="4"/>
  <c r="Q395" i="4"/>
  <c r="P395" i="4"/>
  <c r="R395" i="4"/>
  <c r="Q383" i="4"/>
  <c r="N383" i="4"/>
  <c r="P383" i="4"/>
  <c r="R383" i="4"/>
  <c r="S383" i="4"/>
  <c r="T383" i="4"/>
  <c r="P371" i="4"/>
  <c r="N371" i="4"/>
  <c r="S371" i="4"/>
  <c r="T371" i="4"/>
  <c r="R371" i="4"/>
  <c r="Q371" i="4"/>
  <c r="Q359" i="4"/>
  <c r="N359" i="4"/>
  <c r="P359" i="4"/>
  <c r="R359" i="4"/>
  <c r="S359" i="4"/>
  <c r="T359" i="4"/>
  <c r="P347" i="4"/>
  <c r="T347" i="4"/>
  <c r="S347" i="4"/>
  <c r="N347" i="4"/>
  <c r="Q347" i="4"/>
  <c r="R347" i="4"/>
  <c r="Q335" i="4"/>
  <c r="S335" i="4"/>
  <c r="N335" i="4"/>
  <c r="P335" i="4"/>
  <c r="R335" i="4"/>
  <c r="T335" i="4"/>
  <c r="N323" i="4"/>
  <c r="P323" i="4"/>
  <c r="R323" i="4"/>
  <c r="Q323" i="4"/>
  <c r="S323" i="4"/>
  <c r="T323" i="4"/>
  <c r="Q311" i="4"/>
  <c r="N311" i="4"/>
  <c r="P311" i="4"/>
  <c r="R311" i="4"/>
  <c r="S311" i="4"/>
  <c r="T311" i="4"/>
  <c r="N299" i="4"/>
  <c r="P299" i="4"/>
  <c r="Q299" i="4"/>
  <c r="R299" i="4"/>
  <c r="S299" i="4"/>
  <c r="T299" i="4"/>
  <c r="Q287" i="4"/>
  <c r="T287" i="4"/>
  <c r="R287" i="4"/>
  <c r="S287" i="4"/>
  <c r="N287" i="4"/>
  <c r="P287" i="4"/>
  <c r="T275" i="4"/>
  <c r="R275" i="4"/>
  <c r="Q275" i="4"/>
  <c r="N275" i="4"/>
  <c r="P275" i="4"/>
  <c r="S275" i="4"/>
  <c r="R263" i="4"/>
  <c r="P263" i="4"/>
  <c r="Q263" i="4"/>
  <c r="S263" i="4"/>
  <c r="T263" i="4"/>
  <c r="N263" i="4"/>
  <c r="T251" i="4"/>
  <c r="R251" i="4"/>
  <c r="N251" i="4"/>
  <c r="P251" i="4"/>
  <c r="Q251" i="4"/>
  <c r="S251" i="4"/>
  <c r="P239" i="4"/>
  <c r="R239" i="4"/>
  <c r="Q239" i="4"/>
  <c r="S239" i="4"/>
  <c r="T239" i="4"/>
  <c r="N239" i="4"/>
  <c r="N227" i="4"/>
  <c r="R227" i="4"/>
  <c r="T227" i="4"/>
  <c r="Q227" i="4"/>
  <c r="P227" i="4"/>
  <c r="S227" i="4"/>
  <c r="R215" i="4"/>
  <c r="T215" i="4"/>
  <c r="N215" i="4"/>
  <c r="P215" i="4"/>
  <c r="Q215" i="4"/>
  <c r="S215" i="4"/>
  <c r="P203" i="4"/>
  <c r="R203" i="4"/>
  <c r="S203" i="4"/>
  <c r="T203" i="4"/>
  <c r="N203" i="4"/>
  <c r="Q203" i="4"/>
  <c r="S406" i="4"/>
  <c r="T406" i="4"/>
  <c r="Q406" i="4"/>
  <c r="R406" i="4"/>
  <c r="P406" i="4"/>
  <c r="N406" i="4"/>
  <c r="N394" i="4"/>
  <c r="Q394" i="4"/>
  <c r="R394" i="4"/>
  <c r="S394" i="4"/>
  <c r="T394" i="4"/>
  <c r="P394" i="4"/>
  <c r="T382" i="4"/>
  <c r="R382" i="4"/>
  <c r="S382" i="4"/>
  <c r="P382" i="4"/>
  <c r="N382" i="4"/>
  <c r="Q382" i="4"/>
  <c r="N370" i="4"/>
  <c r="P370" i="4"/>
  <c r="Q370" i="4"/>
  <c r="R370" i="4"/>
  <c r="S370" i="4"/>
  <c r="T370" i="4"/>
  <c r="T358" i="4"/>
  <c r="R358" i="4"/>
  <c r="S358" i="4"/>
  <c r="P358" i="4"/>
  <c r="Q358" i="4"/>
  <c r="N358" i="4"/>
  <c r="N346" i="4"/>
  <c r="R346" i="4"/>
  <c r="S346" i="4"/>
  <c r="T346" i="4"/>
  <c r="P346" i="4"/>
  <c r="Q346" i="4"/>
  <c r="T334" i="4"/>
  <c r="R334" i="4"/>
  <c r="S334" i="4"/>
  <c r="N334" i="4"/>
  <c r="Q334" i="4"/>
  <c r="P334" i="4"/>
  <c r="S322" i="4"/>
  <c r="P322" i="4"/>
  <c r="N322" i="4"/>
  <c r="Q322" i="4"/>
  <c r="R322" i="4"/>
  <c r="T322" i="4"/>
  <c r="N310" i="4"/>
  <c r="P310" i="4"/>
  <c r="Q310" i="4"/>
  <c r="R310" i="4"/>
  <c r="S310" i="4"/>
  <c r="T310" i="4"/>
  <c r="S298" i="4"/>
  <c r="Q298" i="4"/>
  <c r="R298" i="4"/>
  <c r="N298" i="4"/>
  <c r="P298" i="4"/>
  <c r="T298" i="4"/>
  <c r="S286" i="4"/>
  <c r="T286" i="4"/>
  <c r="N286" i="4"/>
  <c r="P286" i="4"/>
  <c r="Q286" i="4"/>
  <c r="R286" i="4"/>
  <c r="P274" i="4"/>
  <c r="N274" i="4"/>
  <c r="Q274" i="4"/>
  <c r="S274" i="4"/>
  <c r="R274" i="4"/>
  <c r="T274" i="4"/>
  <c r="N262" i="4"/>
  <c r="Q262" i="4"/>
  <c r="R262" i="4"/>
  <c r="S262" i="4"/>
  <c r="T262" i="4"/>
  <c r="P262" i="4"/>
  <c r="P250" i="4"/>
  <c r="N250" i="4"/>
  <c r="Q250" i="4"/>
  <c r="T250" i="4"/>
  <c r="S250" i="4"/>
  <c r="R250" i="4"/>
  <c r="T238" i="4"/>
  <c r="Q238" i="4"/>
  <c r="R238" i="4"/>
  <c r="S238" i="4"/>
  <c r="P238" i="4"/>
  <c r="N238" i="4"/>
  <c r="N226" i="4"/>
  <c r="P226" i="4"/>
  <c r="Q226" i="4"/>
  <c r="S226" i="4"/>
  <c r="T226" i="4"/>
  <c r="R226" i="4"/>
  <c r="S214" i="4"/>
  <c r="N214" i="4"/>
  <c r="P214" i="4"/>
  <c r="Q214" i="4"/>
  <c r="R214" i="4"/>
  <c r="T214" i="4"/>
  <c r="Q202" i="4"/>
  <c r="N202" i="4"/>
  <c r="S202" i="4"/>
  <c r="T202" i="4"/>
  <c r="P202" i="4"/>
  <c r="R202" i="4"/>
  <c r="S321" i="4"/>
  <c r="T321" i="4"/>
  <c r="P321" i="4"/>
  <c r="N321" i="4"/>
  <c r="Q321" i="4"/>
  <c r="R321" i="4"/>
  <c r="R309" i="4"/>
  <c r="S309" i="4"/>
  <c r="Q309" i="4"/>
  <c r="P309" i="4"/>
  <c r="T309" i="4"/>
  <c r="N309" i="4"/>
  <c r="P297" i="4"/>
  <c r="T297" i="4"/>
  <c r="R297" i="4"/>
  <c r="N297" i="4"/>
  <c r="Q297" i="4"/>
  <c r="S297" i="4"/>
  <c r="Q285" i="4"/>
  <c r="S285" i="4"/>
  <c r="P285" i="4"/>
  <c r="R285" i="4"/>
  <c r="T285" i="4"/>
  <c r="N285" i="4"/>
  <c r="S273" i="4"/>
  <c r="T273" i="4"/>
  <c r="N273" i="4"/>
  <c r="P273" i="4"/>
  <c r="Q273" i="4"/>
  <c r="R273" i="4"/>
  <c r="T261" i="4"/>
  <c r="P261" i="4"/>
  <c r="Q261" i="4"/>
  <c r="R261" i="4"/>
  <c r="S261" i="4"/>
  <c r="N261" i="4"/>
  <c r="N249" i="4"/>
  <c r="P249" i="4"/>
  <c r="S249" i="4"/>
  <c r="Q249" i="4"/>
  <c r="R249" i="4"/>
  <c r="T249" i="4"/>
  <c r="P237" i="4"/>
  <c r="T237" i="4"/>
  <c r="N237" i="4"/>
  <c r="Q237" i="4"/>
  <c r="R237" i="4"/>
  <c r="S237" i="4"/>
  <c r="R225" i="4"/>
  <c r="N225" i="4"/>
  <c r="S225" i="4"/>
  <c r="Q225" i="4"/>
  <c r="T225" i="4"/>
  <c r="P225" i="4"/>
  <c r="P213" i="4"/>
  <c r="Q213" i="4"/>
  <c r="R213" i="4"/>
  <c r="S213" i="4"/>
  <c r="T213" i="4"/>
  <c r="N213" i="4"/>
  <c r="N201" i="4"/>
  <c r="T201" i="4"/>
  <c r="Q201" i="4"/>
  <c r="P201" i="4"/>
  <c r="R201" i="4"/>
  <c r="S201" i="4"/>
  <c r="R417" i="4"/>
  <c r="P417" i="4"/>
  <c r="Q417" i="4"/>
  <c r="N417" i="4"/>
  <c r="S417" i="4"/>
  <c r="T417" i="4"/>
  <c r="S405" i="4"/>
  <c r="T405" i="4"/>
  <c r="R405" i="4"/>
  <c r="Q405" i="4"/>
  <c r="N405" i="4"/>
  <c r="P405" i="4"/>
  <c r="T393" i="4"/>
  <c r="N393" i="4"/>
  <c r="Q393" i="4"/>
  <c r="P393" i="4"/>
  <c r="R393" i="4"/>
  <c r="S393" i="4"/>
  <c r="S381" i="4"/>
  <c r="T381" i="4"/>
  <c r="N381" i="4"/>
  <c r="P381" i="4"/>
  <c r="Q381" i="4"/>
  <c r="R381" i="4"/>
  <c r="S369" i="4"/>
  <c r="T369" i="4"/>
  <c r="R369" i="4"/>
  <c r="Q369" i="4"/>
  <c r="P369" i="4"/>
  <c r="N369" i="4"/>
  <c r="N357" i="4"/>
  <c r="P357" i="4"/>
  <c r="Q357" i="4"/>
  <c r="R357" i="4"/>
  <c r="S357" i="4"/>
  <c r="T357" i="4"/>
  <c r="P345" i="4"/>
  <c r="N345" i="4"/>
  <c r="Q345" i="4"/>
  <c r="S345" i="4"/>
  <c r="R345" i="4"/>
  <c r="T345" i="4"/>
  <c r="R333" i="4"/>
  <c r="S333" i="4"/>
  <c r="T333" i="4"/>
  <c r="N333" i="4"/>
  <c r="P333" i="4"/>
  <c r="Q333" i="4"/>
  <c r="N416" i="4"/>
  <c r="Q416" i="4"/>
  <c r="R416" i="4"/>
  <c r="S416" i="4"/>
  <c r="T416" i="4"/>
  <c r="P416" i="4"/>
  <c r="Q404" i="4"/>
  <c r="P404" i="4"/>
  <c r="N404" i="4"/>
  <c r="R404" i="4"/>
  <c r="T404" i="4"/>
  <c r="S404" i="4"/>
  <c r="Q392" i="4"/>
  <c r="T392" i="4"/>
  <c r="N392" i="4"/>
  <c r="R392" i="4"/>
  <c r="P392" i="4"/>
  <c r="S392" i="4"/>
  <c r="R380" i="4"/>
  <c r="S380" i="4"/>
  <c r="T380" i="4"/>
  <c r="Q380" i="4"/>
  <c r="N380" i="4"/>
  <c r="P380" i="4"/>
  <c r="Q368" i="4"/>
  <c r="T368" i="4"/>
  <c r="P368" i="4"/>
  <c r="N368" i="4"/>
  <c r="S368" i="4"/>
  <c r="R368" i="4"/>
  <c r="R356" i="4"/>
  <c r="P356" i="4"/>
  <c r="Q356" i="4"/>
  <c r="T356" i="4"/>
  <c r="S356" i="4"/>
  <c r="N356" i="4"/>
  <c r="Q344" i="4"/>
  <c r="N344" i="4"/>
  <c r="T344" i="4"/>
  <c r="P344" i="4"/>
  <c r="R344" i="4"/>
  <c r="S344" i="4"/>
  <c r="N332" i="4"/>
  <c r="P332" i="4"/>
  <c r="Q332" i="4"/>
  <c r="R332" i="4"/>
  <c r="S332" i="4"/>
  <c r="T332" i="4"/>
  <c r="Q320" i="4"/>
  <c r="T320" i="4"/>
  <c r="R320" i="4"/>
  <c r="S320" i="4"/>
  <c r="N320" i="4"/>
  <c r="P320" i="4"/>
  <c r="N308" i="4"/>
  <c r="S308" i="4"/>
  <c r="T308" i="4"/>
  <c r="Q308" i="4"/>
  <c r="R308" i="4"/>
  <c r="P308" i="4"/>
  <c r="T296" i="4"/>
  <c r="R296" i="4"/>
  <c r="S296" i="4"/>
  <c r="Q296" i="4"/>
  <c r="N296" i="4"/>
  <c r="P296" i="4"/>
  <c r="S284" i="4"/>
  <c r="N284" i="4"/>
  <c r="P284" i="4"/>
  <c r="Q284" i="4"/>
  <c r="R284" i="4"/>
  <c r="T284" i="4"/>
  <c r="P272" i="4"/>
  <c r="S272" i="4"/>
  <c r="T272" i="4"/>
  <c r="N272" i="4"/>
  <c r="R272" i="4"/>
  <c r="Q272" i="4"/>
  <c r="N260" i="4"/>
  <c r="P260" i="4"/>
  <c r="Q260" i="4"/>
  <c r="R260" i="4"/>
  <c r="S260" i="4"/>
  <c r="T260" i="4"/>
  <c r="Q248" i="4"/>
  <c r="N248" i="4"/>
  <c r="P248" i="4"/>
  <c r="R248" i="4"/>
  <c r="S248" i="4"/>
  <c r="T248" i="4"/>
  <c r="R236" i="4"/>
  <c r="N236" i="4"/>
  <c r="P236" i="4"/>
  <c r="Q236" i="4"/>
  <c r="S236" i="4"/>
  <c r="T236" i="4"/>
  <c r="R224" i="4"/>
  <c r="N224" i="4"/>
  <c r="P224" i="4"/>
  <c r="Q224" i="4"/>
  <c r="S224" i="4"/>
  <c r="T224" i="4"/>
  <c r="Q212" i="4"/>
  <c r="R212" i="4"/>
  <c r="T212" i="4"/>
  <c r="P212" i="4"/>
  <c r="N212" i="4"/>
  <c r="S212" i="4"/>
  <c r="N200" i="4"/>
  <c r="P200" i="4"/>
  <c r="Q200" i="4"/>
  <c r="R200" i="4"/>
  <c r="S200" i="4"/>
  <c r="T200" i="4"/>
  <c r="P415" i="4"/>
  <c r="N415" i="4"/>
  <c r="S415" i="4"/>
  <c r="T415" i="4"/>
  <c r="Q415" i="4"/>
  <c r="R415" i="4"/>
  <c r="T403" i="4"/>
  <c r="R403" i="4"/>
  <c r="S403" i="4"/>
  <c r="P403" i="4"/>
  <c r="Q403" i="4"/>
  <c r="N403" i="4"/>
  <c r="Q391" i="4"/>
  <c r="R391" i="4"/>
  <c r="S391" i="4"/>
  <c r="N391" i="4"/>
  <c r="P391" i="4"/>
  <c r="T391" i="4"/>
  <c r="P379" i="4"/>
  <c r="S379" i="4"/>
  <c r="T379" i="4"/>
  <c r="N379" i="4"/>
  <c r="R379" i="4"/>
  <c r="Q379" i="4"/>
  <c r="Q367" i="4"/>
  <c r="P367" i="4"/>
  <c r="R367" i="4"/>
  <c r="S367" i="4"/>
  <c r="N367" i="4"/>
  <c r="T367" i="4"/>
  <c r="P355" i="4"/>
  <c r="S355" i="4"/>
  <c r="N355" i="4"/>
  <c r="T355" i="4"/>
  <c r="Q355" i="4"/>
  <c r="R355" i="4"/>
  <c r="Q343" i="4"/>
  <c r="N343" i="4"/>
  <c r="P343" i="4"/>
  <c r="R343" i="4"/>
  <c r="S343" i="4"/>
  <c r="T343" i="4"/>
  <c r="P331" i="4"/>
  <c r="N331" i="4"/>
  <c r="S331" i="4"/>
  <c r="T331" i="4"/>
  <c r="R331" i="4"/>
  <c r="Q331" i="4"/>
  <c r="T319" i="4"/>
  <c r="N319" i="4"/>
  <c r="P319" i="4"/>
  <c r="R319" i="4"/>
  <c r="S319" i="4"/>
  <c r="Q319" i="4"/>
  <c r="N307" i="4"/>
  <c r="P307" i="4"/>
  <c r="Q307" i="4"/>
  <c r="R307" i="4"/>
  <c r="S307" i="4"/>
  <c r="T307" i="4"/>
  <c r="Q295" i="4"/>
  <c r="T295" i="4"/>
  <c r="P295" i="4"/>
  <c r="R295" i="4"/>
  <c r="S295" i="4"/>
  <c r="N295" i="4"/>
  <c r="T283" i="4"/>
  <c r="R283" i="4"/>
  <c r="Q283" i="4"/>
  <c r="S283" i="4"/>
  <c r="N283" i="4"/>
  <c r="P283" i="4"/>
  <c r="R271" i="4"/>
  <c r="P271" i="4"/>
  <c r="Q271" i="4"/>
  <c r="S271" i="4"/>
  <c r="T271" i="4"/>
  <c r="N271" i="4"/>
  <c r="R259" i="4"/>
  <c r="T259" i="4"/>
  <c r="N259" i="4"/>
  <c r="P259" i="4"/>
  <c r="Q259" i="4"/>
  <c r="S259" i="4"/>
  <c r="P247" i="4"/>
  <c r="R247" i="4"/>
  <c r="Q247" i="4"/>
  <c r="S247" i="4"/>
  <c r="T247" i="4"/>
  <c r="N247" i="4"/>
  <c r="N235" i="4"/>
  <c r="R235" i="4"/>
  <c r="T235" i="4"/>
  <c r="S235" i="4"/>
  <c r="Q235" i="4"/>
  <c r="P235" i="4"/>
  <c r="R223" i="4"/>
  <c r="S223" i="4"/>
  <c r="N223" i="4"/>
  <c r="P223" i="4"/>
  <c r="T223" i="4"/>
  <c r="Q223" i="4"/>
  <c r="P211" i="4"/>
  <c r="R211" i="4"/>
  <c r="S211" i="4"/>
  <c r="Q211" i="4"/>
  <c r="T211" i="4"/>
  <c r="N211" i="4"/>
  <c r="P199" i="4"/>
  <c r="N199" i="4"/>
  <c r="T199" i="4"/>
  <c r="R199" i="4"/>
  <c r="S199" i="4"/>
  <c r="Q199" i="4"/>
  <c r="P258" i="4"/>
  <c r="N258" i="4"/>
  <c r="Q258" i="4"/>
  <c r="R258" i="4"/>
  <c r="S258" i="4"/>
  <c r="T258" i="4"/>
  <c r="S306" i="4"/>
  <c r="Q306" i="4"/>
  <c r="R306" i="4"/>
  <c r="T306" i="4"/>
  <c r="N306" i="4"/>
  <c r="P306" i="4"/>
  <c r="N270" i="4"/>
  <c r="Q270" i="4"/>
  <c r="R270" i="4"/>
  <c r="S270" i="4"/>
  <c r="T270" i="4"/>
  <c r="P270" i="4"/>
  <c r="S414" i="4"/>
  <c r="R414" i="4"/>
  <c r="N414" i="4"/>
  <c r="Q414" i="4"/>
  <c r="P414" i="4"/>
  <c r="T414" i="4"/>
  <c r="T390" i="4"/>
  <c r="S390" i="4"/>
  <c r="R390" i="4"/>
  <c r="P390" i="4"/>
  <c r="N390" i="4"/>
  <c r="Q390" i="4"/>
  <c r="T342" i="4"/>
  <c r="R342" i="4"/>
  <c r="S342" i="4"/>
  <c r="Q342" i="4"/>
  <c r="N342" i="4"/>
  <c r="P342" i="4"/>
  <c r="N294" i="4"/>
  <c r="P294" i="4"/>
  <c r="Q294" i="4"/>
  <c r="R294" i="4"/>
  <c r="S294" i="4"/>
  <c r="T294" i="4"/>
  <c r="S210" i="4"/>
  <c r="N210" i="4"/>
  <c r="P210" i="4"/>
  <c r="R210" i="4"/>
  <c r="T210" i="4"/>
  <c r="Q210" i="4"/>
  <c r="N413" i="4"/>
  <c r="T413" i="4"/>
  <c r="P413" i="4"/>
  <c r="R413" i="4"/>
  <c r="Q413" i="4"/>
  <c r="S413" i="4"/>
  <c r="P389" i="4"/>
  <c r="Q389" i="4"/>
  <c r="R389" i="4"/>
  <c r="S389" i="4"/>
  <c r="T389" i="4"/>
  <c r="N389" i="4"/>
  <c r="P365" i="4"/>
  <c r="Q365" i="4"/>
  <c r="R365" i="4"/>
  <c r="S365" i="4"/>
  <c r="T365" i="4"/>
  <c r="N365" i="4"/>
  <c r="N329" i="4"/>
  <c r="Q329" i="4"/>
  <c r="T329" i="4"/>
  <c r="R329" i="4"/>
  <c r="S329" i="4"/>
  <c r="P329" i="4"/>
  <c r="P305" i="4"/>
  <c r="N305" i="4"/>
  <c r="T305" i="4"/>
  <c r="Q305" i="4"/>
  <c r="R305" i="4"/>
  <c r="S305" i="4"/>
  <c r="N281" i="4"/>
  <c r="S281" i="4"/>
  <c r="T281" i="4"/>
  <c r="P281" i="4"/>
  <c r="Q281" i="4"/>
  <c r="R281" i="4"/>
  <c r="S257" i="4"/>
  <c r="T257" i="4"/>
  <c r="N257" i="4"/>
  <c r="P257" i="4"/>
  <c r="Q257" i="4"/>
  <c r="R257" i="4"/>
  <c r="P209" i="4"/>
  <c r="R209" i="4"/>
  <c r="Q209" i="4"/>
  <c r="S209" i="4"/>
  <c r="T209" i="4"/>
  <c r="N209" i="4"/>
  <c r="Q412" i="4"/>
  <c r="N412" i="4"/>
  <c r="P412" i="4"/>
  <c r="S412" i="4"/>
  <c r="R412" i="4"/>
  <c r="T412" i="4"/>
  <c r="N400" i="4"/>
  <c r="T400" i="4"/>
  <c r="S400" i="4"/>
  <c r="P400" i="4"/>
  <c r="Q400" i="4"/>
  <c r="R400" i="4"/>
  <c r="R388" i="4"/>
  <c r="P388" i="4"/>
  <c r="Q388" i="4"/>
  <c r="S388" i="4"/>
  <c r="T388" i="4"/>
  <c r="N388" i="4"/>
  <c r="Q376" i="4"/>
  <c r="N376" i="4"/>
  <c r="P376" i="4"/>
  <c r="T376" i="4"/>
  <c r="S376" i="4"/>
  <c r="R376" i="4"/>
  <c r="R364" i="4"/>
  <c r="T364" i="4"/>
  <c r="P364" i="4"/>
  <c r="Q364" i="4"/>
  <c r="S364" i="4"/>
  <c r="N364" i="4"/>
  <c r="Q352" i="4"/>
  <c r="T352" i="4"/>
  <c r="N352" i="4"/>
  <c r="P352" i="4"/>
  <c r="R352" i="4"/>
  <c r="S352" i="4"/>
  <c r="R340" i="4"/>
  <c r="P340" i="4"/>
  <c r="S340" i="4"/>
  <c r="Q340" i="4"/>
  <c r="T340" i="4"/>
  <c r="N340" i="4"/>
  <c r="Q328" i="4"/>
  <c r="N328" i="4"/>
  <c r="P328" i="4"/>
  <c r="T328" i="4"/>
  <c r="S328" i="4"/>
  <c r="R328" i="4"/>
  <c r="N316" i="4"/>
  <c r="T316" i="4"/>
  <c r="S316" i="4"/>
  <c r="Q316" i="4"/>
  <c r="R316" i="4"/>
  <c r="P316" i="4"/>
  <c r="N304" i="4"/>
  <c r="R304" i="4"/>
  <c r="P304" i="4"/>
  <c r="Q304" i="4"/>
  <c r="S304" i="4"/>
  <c r="T304" i="4"/>
  <c r="N292" i="4"/>
  <c r="T292" i="4"/>
  <c r="P292" i="4"/>
  <c r="S292" i="4"/>
  <c r="R292" i="4"/>
  <c r="Q292" i="4"/>
  <c r="P280" i="4"/>
  <c r="N280" i="4"/>
  <c r="S280" i="4"/>
  <c r="T280" i="4"/>
  <c r="R280" i="4"/>
  <c r="Q280" i="4"/>
  <c r="T268" i="4"/>
  <c r="R268" i="4"/>
  <c r="S268" i="4"/>
  <c r="N268" i="4"/>
  <c r="P268" i="4"/>
  <c r="Q268" i="4"/>
  <c r="P256" i="4"/>
  <c r="S256" i="4"/>
  <c r="T256" i="4"/>
  <c r="N256" i="4"/>
  <c r="R256" i="4"/>
  <c r="Q256" i="4"/>
  <c r="R244" i="4"/>
  <c r="N244" i="4"/>
  <c r="P244" i="4"/>
  <c r="Q244" i="4"/>
  <c r="S244" i="4"/>
  <c r="T244" i="4"/>
  <c r="Q232" i="4"/>
  <c r="S232" i="4"/>
  <c r="T232" i="4"/>
  <c r="N232" i="4"/>
  <c r="P232" i="4"/>
  <c r="R232" i="4"/>
  <c r="N220" i="4"/>
  <c r="P220" i="4"/>
  <c r="S220" i="4"/>
  <c r="Q220" i="4"/>
  <c r="T220" i="4"/>
  <c r="R220" i="4"/>
  <c r="S208" i="4"/>
  <c r="T208" i="4"/>
  <c r="N208" i="4"/>
  <c r="P208" i="4"/>
  <c r="Q208" i="4"/>
  <c r="R208" i="4"/>
  <c r="N402" i="4"/>
  <c r="S402" i="4"/>
  <c r="P402" i="4"/>
  <c r="R402" i="4"/>
  <c r="T402" i="4"/>
  <c r="Q402" i="4"/>
  <c r="N378" i="4"/>
  <c r="P378" i="4"/>
  <c r="Q378" i="4"/>
  <c r="R378" i="4"/>
  <c r="S378" i="4"/>
  <c r="T378" i="4"/>
  <c r="N354" i="4"/>
  <c r="P354" i="4"/>
  <c r="Q354" i="4"/>
  <c r="R354" i="4"/>
  <c r="S354" i="4"/>
  <c r="T354" i="4"/>
  <c r="P330" i="4"/>
  <c r="Q330" i="4"/>
  <c r="R330" i="4"/>
  <c r="N330" i="4"/>
  <c r="S330" i="4"/>
  <c r="T330" i="4"/>
  <c r="P234" i="4"/>
  <c r="N234" i="4"/>
  <c r="Q234" i="4"/>
  <c r="S234" i="4"/>
  <c r="R234" i="4"/>
  <c r="T234" i="4"/>
  <c r="T245" i="4"/>
  <c r="P245" i="4"/>
  <c r="R245" i="4"/>
  <c r="S245" i="4"/>
  <c r="N245" i="4"/>
  <c r="Q245" i="4"/>
  <c r="P399" i="4"/>
  <c r="N399" i="4"/>
  <c r="T399" i="4"/>
  <c r="Q399" i="4"/>
  <c r="S399" i="4"/>
  <c r="R399" i="4"/>
  <c r="P387" i="4"/>
  <c r="T387" i="4"/>
  <c r="N387" i="4"/>
  <c r="S387" i="4"/>
  <c r="Q387" i="4"/>
  <c r="R387" i="4"/>
  <c r="R315" i="4"/>
  <c r="S315" i="4"/>
  <c r="T315" i="4"/>
  <c r="N315" i="4"/>
  <c r="P315" i="4"/>
  <c r="Q315" i="4"/>
  <c r="N291" i="4"/>
  <c r="Q291" i="4"/>
  <c r="R291" i="4"/>
  <c r="S291" i="4"/>
  <c r="T291" i="4"/>
  <c r="P291" i="4"/>
  <c r="P207" i="4"/>
  <c r="Q207" i="4"/>
  <c r="S207" i="4"/>
  <c r="N207" i="4"/>
  <c r="R207" i="4"/>
  <c r="T207" i="4"/>
  <c r="T366" i="4"/>
  <c r="R366" i="4"/>
  <c r="S366" i="4"/>
  <c r="N366" i="4"/>
  <c r="Q366" i="4"/>
  <c r="P366" i="4"/>
  <c r="P282" i="4"/>
  <c r="N282" i="4"/>
  <c r="Q282" i="4"/>
  <c r="R282" i="4"/>
  <c r="T282" i="4"/>
  <c r="S282" i="4"/>
  <c r="S198" i="4"/>
  <c r="R198" i="4"/>
  <c r="P198" i="4"/>
  <c r="Q198" i="4"/>
  <c r="N198" i="4"/>
  <c r="T198" i="4"/>
  <c r="R401" i="4"/>
  <c r="P401" i="4"/>
  <c r="Q401" i="4"/>
  <c r="S401" i="4"/>
  <c r="N401" i="4"/>
  <c r="T401" i="4"/>
  <c r="N377" i="4"/>
  <c r="T377" i="4"/>
  <c r="Q377" i="4"/>
  <c r="R377" i="4"/>
  <c r="S377" i="4"/>
  <c r="P377" i="4"/>
  <c r="N341" i="4"/>
  <c r="P341" i="4"/>
  <c r="Q341" i="4"/>
  <c r="R341" i="4"/>
  <c r="S341" i="4"/>
  <c r="T341" i="4"/>
  <c r="R317" i="4"/>
  <c r="P317" i="4"/>
  <c r="Q317" i="4"/>
  <c r="S317" i="4"/>
  <c r="N317" i="4"/>
  <c r="T317" i="4"/>
  <c r="R293" i="4"/>
  <c r="P293" i="4"/>
  <c r="Q293" i="4"/>
  <c r="S293" i="4"/>
  <c r="T293" i="4"/>
  <c r="N293" i="4"/>
  <c r="T269" i="4"/>
  <c r="P269" i="4"/>
  <c r="Q269" i="4"/>
  <c r="R269" i="4"/>
  <c r="S269" i="4"/>
  <c r="N269" i="4"/>
  <c r="R221" i="4"/>
  <c r="S221" i="4"/>
  <c r="T221" i="4"/>
  <c r="N221" i="4"/>
  <c r="P221" i="4"/>
  <c r="Q221" i="4"/>
  <c r="T411" i="4"/>
  <c r="R411" i="4"/>
  <c r="S411" i="4"/>
  <c r="P411" i="4"/>
  <c r="N411" i="4"/>
  <c r="Q411" i="4"/>
  <c r="T375" i="4"/>
  <c r="S375" i="4"/>
  <c r="N375" i="4"/>
  <c r="P375" i="4"/>
  <c r="Q375" i="4"/>
  <c r="R375" i="4"/>
  <c r="P363" i="4"/>
  <c r="T363" i="4"/>
  <c r="S363" i="4"/>
  <c r="N363" i="4"/>
  <c r="R363" i="4"/>
  <c r="Q363" i="4"/>
  <c r="Q351" i="4"/>
  <c r="N351" i="4"/>
  <c r="P351" i="4"/>
  <c r="R351" i="4"/>
  <c r="S351" i="4"/>
  <c r="T351" i="4"/>
  <c r="P339" i="4"/>
  <c r="T339" i="4"/>
  <c r="N339" i="4"/>
  <c r="S339" i="4"/>
  <c r="R339" i="4"/>
  <c r="Q339" i="4"/>
  <c r="Q327" i="4"/>
  <c r="N327" i="4"/>
  <c r="P327" i="4"/>
  <c r="R327" i="4"/>
  <c r="S327" i="4"/>
  <c r="T327" i="4"/>
  <c r="Q303" i="4"/>
  <c r="P303" i="4"/>
  <c r="N303" i="4"/>
  <c r="R303" i="4"/>
  <c r="S303" i="4"/>
  <c r="T303" i="4"/>
  <c r="P279" i="4"/>
  <c r="R279" i="4"/>
  <c r="T279" i="4"/>
  <c r="N279" i="4"/>
  <c r="Q279" i="4"/>
  <c r="S279" i="4"/>
  <c r="T267" i="4"/>
  <c r="R267" i="4"/>
  <c r="N267" i="4"/>
  <c r="P267" i="4"/>
  <c r="Q267" i="4"/>
  <c r="S267" i="4"/>
  <c r="P255" i="4"/>
  <c r="N255" i="4"/>
  <c r="R255" i="4"/>
  <c r="Q255" i="4"/>
  <c r="S255" i="4"/>
  <c r="T255" i="4"/>
  <c r="R243" i="4"/>
  <c r="T243" i="4"/>
  <c r="N243" i="4"/>
  <c r="P243" i="4"/>
  <c r="Q243" i="4"/>
  <c r="S243" i="4"/>
  <c r="P231" i="4"/>
  <c r="T231" i="4"/>
  <c r="N231" i="4"/>
  <c r="Q231" i="4"/>
  <c r="R231" i="4"/>
  <c r="S231" i="4"/>
  <c r="P219" i="4"/>
  <c r="R219" i="4"/>
  <c r="S219" i="4"/>
  <c r="Q219" i="4"/>
  <c r="T219" i="4"/>
  <c r="N219" i="4"/>
  <c r="N410" i="4"/>
  <c r="Q410" i="4"/>
  <c r="S410" i="4"/>
  <c r="R410" i="4"/>
  <c r="P410" i="4"/>
  <c r="T410" i="4"/>
  <c r="N398" i="4"/>
  <c r="P398" i="4"/>
  <c r="Q398" i="4"/>
  <c r="S398" i="4"/>
  <c r="T398" i="4"/>
  <c r="R398" i="4"/>
  <c r="N386" i="4"/>
  <c r="P386" i="4"/>
  <c r="Q386" i="4"/>
  <c r="R386" i="4"/>
  <c r="S386" i="4"/>
  <c r="T386" i="4"/>
  <c r="T374" i="4"/>
  <c r="R374" i="4"/>
  <c r="S374" i="4"/>
  <c r="Q374" i="4"/>
  <c r="N374" i="4"/>
  <c r="P374" i="4"/>
  <c r="N362" i="4"/>
  <c r="T362" i="4"/>
  <c r="P362" i="4"/>
  <c r="Q362" i="4"/>
  <c r="R362" i="4"/>
  <c r="S362" i="4"/>
  <c r="T350" i="4"/>
  <c r="S350" i="4"/>
  <c r="R350" i="4"/>
  <c r="P350" i="4"/>
  <c r="Q350" i="4"/>
  <c r="N350" i="4"/>
  <c r="N338" i="4"/>
  <c r="Q338" i="4"/>
  <c r="P338" i="4"/>
  <c r="R338" i="4"/>
  <c r="S338" i="4"/>
  <c r="T338" i="4"/>
  <c r="N326" i="4"/>
  <c r="P326" i="4"/>
  <c r="R326" i="4"/>
  <c r="T326" i="4"/>
  <c r="S326" i="4"/>
  <c r="Q326" i="4"/>
  <c r="S314" i="4"/>
  <c r="Q314" i="4"/>
  <c r="R314" i="4"/>
  <c r="T314" i="4"/>
  <c r="N314" i="4"/>
  <c r="P314" i="4"/>
  <c r="Q302" i="4"/>
  <c r="R302" i="4"/>
  <c r="S302" i="4"/>
  <c r="T302" i="4"/>
  <c r="N302" i="4"/>
  <c r="P302" i="4"/>
  <c r="S290" i="4"/>
  <c r="Q290" i="4"/>
  <c r="R290" i="4"/>
  <c r="T290" i="4"/>
  <c r="P290" i="4"/>
  <c r="N290" i="4"/>
  <c r="N278" i="4"/>
  <c r="R278" i="4"/>
  <c r="S278" i="4"/>
  <c r="Q278" i="4"/>
  <c r="T278" i="4"/>
  <c r="P278" i="4"/>
  <c r="P266" i="4"/>
  <c r="N266" i="4"/>
  <c r="Q266" i="4"/>
  <c r="R266" i="4"/>
  <c r="T266" i="4"/>
  <c r="S266" i="4"/>
  <c r="T254" i="4"/>
  <c r="Q254" i="4"/>
  <c r="R254" i="4"/>
  <c r="S254" i="4"/>
  <c r="P254" i="4"/>
  <c r="N254" i="4"/>
  <c r="P242" i="4"/>
  <c r="N242" i="4"/>
  <c r="Q242" i="4"/>
  <c r="T242" i="4"/>
  <c r="S242" i="4"/>
  <c r="R242" i="4"/>
  <c r="T230" i="4"/>
  <c r="R230" i="4"/>
  <c r="S230" i="4"/>
  <c r="Q230" i="4"/>
  <c r="P230" i="4"/>
  <c r="N230" i="4"/>
  <c r="Q218" i="4"/>
  <c r="N218" i="4"/>
  <c r="P218" i="4"/>
  <c r="R218" i="4"/>
  <c r="S218" i="4"/>
  <c r="T218" i="4"/>
  <c r="S206" i="4"/>
  <c r="P206" i="4"/>
  <c r="Q206" i="4"/>
  <c r="R206" i="4"/>
  <c r="N206" i="4"/>
  <c r="T206" i="4"/>
  <c r="N222" i="4"/>
  <c r="P222" i="4"/>
  <c r="Q222" i="4"/>
  <c r="S222" i="4"/>
  <c r="T222" i="4"/>
  <c r="R222" i="4"/>
  <c r="S233" i="4"/>
  <c r="T233" i="4"/>
  <c r="Q233" i="4"/>
  <c r="R233" i="4"/>
  <c r="N233" i="4"/>
  <c r="P233" i="4"/>
  <c r="N373" i="4"/>
  <c r="P373" i="4"/>
  <c r="Q373" i="4"/>
  <c r="R373" i="4"/>
  <c r="S373" i="4"/>
  <c r="T373" i="4"/>
  <c r="P349" i="4"/>
  <c r="Q349" i="4"/>
  <c r="R349" i="4"/>
  <c r="S349" i="4"/>
  <c r="T349" i="4"/>
  <c r="N349" i="4"/>
  <c r="P313" i="4"/>
  <c r="N313" i="4"/>
  <c r="Q313" i="4"/>
  <c r="R313" i="4"/>
  <c r="T313" i="4"/>
  <c r="S313" i="4"/>
  <c r="S318" i="4"/>
  <c r="T318" i="4"/>
  <c r="P318" i="4"/>
  <c r="R318" i="4"/>
  <c r="N318" i="4"/>
  <c r="Q318" i="4"/>
  <c r="R409" i="4"/>
  <c r="P409" i="4"/>
  <c r="Q409" i="4"/>
  <c r="S409" i="4"/>
  <c r="N409" i="4"/>
  <c r="T409" i="4"/>
  <c r="Q397" i="4"/>
  <c r="N397" i="4"/>
  <c r="P397" i="4"/>
  <c r="R397" i="4"/>
  <c r="S397" i="4"/>
  <c r="T397" i="4"/>
  <c r="S361" i="4"/>
  <c r="N361" i="4"/>
  <c r="Q361" i="4"/>
  <c r="R361" i="4"/>
  <c r="T361" i="4"/>
  <c r="P361" i="4"/>
  <c r="N289" i="4"/>
  <c r="Q289" i="4"/>
  <c r="R289" i="4"/>
  <c r="T289" i="4"/>
  <c r="P289" i="4"/>
  <c r="S289" i="4"/>
  <c r="P277" i="4"/>
  <c r="T277" i="4"/>
  <c r="N277" i="4"/>
  <c r="Q277" i="4"/>
  <c r="R277" i="4"/>
  <c r="S277" i="4"/>
  <c r="N265" i="4"/>
  <c r="P265" i="4"/>
  <c r="Q265" i="4"/>
  <c r="R265" i="4"/>
  <c r="S265" i="4"/>
  <c r="T265" i="4"/>
  <c r="T253" i="4"/>
  <c r="P253" i="4"/>
  <c r="N253" i="4"/>
  <c r="Q253" i="4"/>
  <c r="R253" i="4"/>
  <c r="S253" i="4"/>
  <c r="N241" i="4"/>
  <c r="P241" i="4"/>
  <c r="Q241" i="4"/>
  <c r="R241" i="4"/>
  <c r="T241" i="4"/>
  <c r="S241" i="4"/>
  <c r="N408" i="4"/>
  <c r="S408" i="4"/>
  <c r="T408" i="4"/>
  <c r="R408" i="4"/>
  <c r="Q408" i="4"/>
  <c r="P408" i="4"/>
  <c r="N396" i="4"/>
  <c r="P396" i="4"/>
  <c r="Q396" i="4"/>
  <c r="R396" i="4"/>
  <c r="S396" i="4"/>
  <c r="T396" i="4"/>
  <c r="Q384" i="4"/>
  <c r="N384" i="4"/>
  <c r="P384" i="4"/>
  <c r="T384" i="4"/>
  <c r="R384" i="4"/>
  <c r="S384" i="4"/>
  <c r="N372" i="4"/>
  <c r="P372" i="4"/>
  <c r="Q372" i="4"/>
  <c r="R372" i="4"/>
  <c r="S372" i="4"/>
  <c r="T372" i="4"/>
  <c r="Q360" i="4"/>
  <c r="N360" i="4"/>
  <c r="P360" i="4"/>
  <c r="R360" i="4"/>
  <c r="S360" i="4"/>
  <c r="T360" i="4"/>
  <c r="R348" i="4"/>
  <c r="P348" i="4"/>
  <c r="Q348" i="4"/>
  <c r="S348" i="4"/>
  <c r="T348" i="4"/>
  <c r="N348" i="4"/>
  <c r="Q336" i="4"/>
  <c r="N336" i="4"/>
  <c r="P336" i="4"/>
  <c r="S336" i="4"/>
  <c r="T336" i="4"/>
  <c r="R336" i="4"/>
  <c r="Q324" i="4"/>
  <c r="T324" i="4"/>
  <c r="P324" i="4"/>
  <c r="N324" i="4"/>
  <c r="S324" i="4"/>
  <c r="R324" i="4"/>
  <c r="N312" i="4"/>
  <c r="P312" i="4"/>
  <c r="Q312" i="4"/>
  <c r="R312" i="4"/>
  <c r="S312" i="4"/>
  <c r="T312" i="4"/>
  <c r="N300" i="4"/>
  <c r="P300" i="4"/>
  <c r="S300" i="4"/>
  <c r="T300" i="4"/>
  <c r="R300" i="4"/>
  <c r="Q300" i="4"/>
  <c r="T288" i="4"/>
  <c r="N288" i="4"/>
  <c r="P288" i="4"/>
  <c r="Q288" i="4"/>
  <c r="R288" i="4"/>
  <c r="S288" i="4"/>
  <c r="N276" i="4"/>
  <c r="P276" i="4"/>
  <c r="Q276" i="4"/>
  <c r="R276" i="4"/>
  <c r="T276" i="4"/>
  <c r="S276" i="4"/>
  <c r="P264" i="4"/>
  <c r="N264" i="4"/>
  <c r="S264" i="4"/>
  <c r="T264" i="4"/>
  <c r="R264" i="4"/>
  <c r="Q264" i="4"/>
  <c r="R252" i="4"/>
  <c r="N252" i="4"/>
  <c r="P252" i="4"/>
  <c r="Q252" i="4"/>
  <c r="S252" i="4"/>
  <c r="T252" i="4"/>
  <c r="Q240" i="4"/>
  <c r="N240" i="4"/>
  <c r="P240" i="4"/>
  <c r="R240" i="4"/>
  <c r="T240" i="4"/>
  <c r="S240" i="4"/>
  <c r="R228" i="4"/>
  <c r="S228" i="4"/>
  <c r="T228" i="4"/>
  <c r="N228" i="4"/>
  <c r="P228" i="4"/>
  <c r="Q228" i="4"/>
  <c r="P216" i="4"/>
  <c r="Q216" i="4"/>
  <c r="R216" i="4"/>
  <c r="S216" i="4"/>
  <c r="T216" i="4"/>
  <c r="N216" i="4"/>
  <c r="N204" i="4"/>
  <c r="P204" i="4"/>
  <c r="S204" i="4"/>
  <c r="Q204" i="4"/>
  <c r="R204" i="4"/>
  <c r="T204" i="4"/>
  <c r="S195" i="4"/>
  <c r="Q195" i="4"/>
  <c r="T195" i="4"/>
  <c r="R195" i="4"/>
  <c r="N195" i="4"/>
  <c r="P195" i="4"/>
  <c r="N189" i="4"/>
  <c r="T189" i="4"/>
  <c r="P189" i="4"/>
  <c r="Q189" i="4"/>
  <c r="R189" i="4"/>
  <c r="S189" i="4"/>
  <c r="Q188" i="4"/>
  <c r="R188" i="4"/>
  <c r="S188" i="4"/>
  <c r="N188" i="4"/>
  <c r="P188" i="4"/>
  <c r="T188" i="4"/>
  <c r="T187" i="4"/>
  <c r="N187" i="4"/>
  <c r="P187" i="4"/>
  <c r="Q187" i="4"/>
  <c r="R187" i="4"/>
  <c r="S187" i="4"/>
  <c r="S186" i="4"/>
  <c r="N186" i="4"/>
  <c r="P186" i="4"/>
  <c r="R186" i="4"/>
  <c r="T186" i="4"/>
  <c r="Q186" i="4"/>
  <c r="P180" i="4"/>
  <c r="N180" i="4"/>
  <c r="Q180" i="4"/>
  <c r="R180" i="4"/>
  <c r="T180" i="4"/>
  <c r="S180" i="4"/>
  <c r="P175" i="4"/>
  <c r="N175" i="4"/>
  <c r="S175" i="4"/>
  <c r="T175" i="4"/>
  <c r="Q175" i="4"/>
  <c r="R175" i="4"/>
  <c r="P174" i="4"/>
  <c r="R174" i="4"/>
  <c r="Q174" i="4"/>
  <c r="T174" i="4"/>
  <c r="S174" i="4"/>
  <c r="N174" i="4"/>
  <c r="R185" i="4"/>
  <c r="N185" i="4"/>
  <c r="P185" i="4"/>
  <c r="Q185" i="4"/>
  <c r="S185" i="4"/>
  <c r="T185" i="4"/>
  <c r="P173" i="4"/>
  <c r="R173" i="4"/>
  <c r="S173" i="4"/>
  <c r="T173" i="4"/>
  <c r="N173" i="4"/>
  <c r="Q173" i="4"/>
  <c r="N184" i="4"/>
  <c r="S184" i="4"/>
  <c r="P184" i="4"/>
  <c r="R184" i="4"/>
  <c r="Q184" i="4"/>
  <c r="T184" i="4"/>
  <c r="P172" i="4"/>
  <c r="N172" i="4"/>
  <c r="Q172" i="4"/>
  <c r="R172" i="4"/>
  <c r="S172" i="4"/>
  <c r="T172" i="4"/>
  <c r="P183" i="4"/>
  <c r="N183" i="4"/>
  <c r="S183" i="4"/>
  <c r="T183" i="4"/>
  <c r="Q183" i="4"/>
  <c r="R183" i="4"/>
  <c r="P182" i="4"/>
  <c r="R182" i="4"/>
  <c r="Q182" i="4"/>
  <c r="S182" i="4"/>
  <c r="T182" i="4"/>
  <c r="N182" i="4"/>
  <c r="N181" i="4"/>
  <c r="P181" i="4"/>
  <c r="S181" i="4"/>
  <c r="Q181" i="4"/>
  <c r="R181" i="4"/>
  <c r="T181" i="4"/>
  <c r="T179" i="4"/>
  <c r="Q179" i="4"/>
  <c r="R179" i="4"/>
  <c r="S179" i="4"/>
  <c r="N179" i="4"/>
  <c r="P179" i="4"/>
  <c r="R177" i="4"/>
  <c r="N177" i="4"/>
  <c r="P177" i="4"/>
  <c r="Q177" i="4"/>
  <c r="S177" i="4"/>
  <c r="T177" i="4"/>
  <c r="R178" i="4"/>
  <c r="P178" i="4"/>
  <c r="T178" i="4"/>
  <c r="N178" i="4"/>
  <c r="Q178" i="4"/>
  <c r="S178" i="4"/>
  <c r="N176" i="4"/>
  <c r="S176" i="4"/>
  <c r="T176" i="4"/>
  <c r="P176" i="4"/>
  <c r="Q176" i="4"/>
  <c r="R17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6" i="4"/>
  <c r="N6" i="4" s="1"/>
  <c r="M999" i="15"/>
  <c r="N999" i="15" s="1"/>
  <c r="K999" i="15"/>
  <c r="L999" i="15" s="1"/>
  <c r="J999" i="15"/>
  <c r="I999" i="15"/>
  <c r="G999" i="15"/>
  <c r="H999" i="15" s="1"/>
  <c r="F999" i="15"/>
  <c r="A999" i="15"/>
  <c r="M998" i="15"/>
  <c r="N998" i="15" s="1"/>
  <c r="K998" i="15"/>
  <c r="L998" i="15" s="1"/>
  <c r="J998" i="15"/>
  <c r="I998" i="15"/>
  <c r="G998" i="15"/>
  <c r="H998" i="15" s="1"/>
  <c r="F998" i="15"/>
  <c r="A998" i="15"/>
  <c r="M997" i="15"/>
  <c r="N997" i="15" s="1"/>
  <c r="K997" i="15"/>
  <c r="L997" i="15" s="1"/>
  <c r="J997" i="15"/>
  <c r="I997" i="15"/>
  <c r="G997" i="15"/>
  <c r="H997" i="15" s="1"/>
  <c r="F997" i="15"/>
  <c r="A997" i="15"/>
  <c r="M996" i="15"/>
  <c r="N996" i="15" s="1"/>
  <c r="K996" i="15"/>
  <c r="L996" i="15" s="1"/>
  <c r="J996" i="15"/>
  <c r="I996" i="15"/>
  <c r="G996" i="15"/>
  <c r="H996" i="15" s="1"/>
  <c r="F996" i="15"/>
  <c r="A996" i="15"/>
  <c r="M995" i="15"/>
  <c r="N995" i="15" s="1"/>
  <c r="K995" i="15"/>
  <c r="L995" i="15" s="1"/>
  <c r="J995" i="15"/>
  <c r="I995" i="15"/>
  <c r="G995" i="15"/>
  <c r="H995" i="15" s="1"/>
  <c r="F995" i="15"/>
  <c r="A995" i="15"/>
  <c r="M994" i="15"/>
  <c r="N994" i="15" s="1"/>
  <c r="K994" i="15"/>
  <c r="L994" i="15" s="1"/>
  <c r="J994" i="15"/>
  <c r="I994" i="15"/>
  <c r="G994" i="15"/>
  <c r="H994" i="15" s="1"/>
  <c r="F994" i="15"/>
  <c r="A994" i="15"/>
  <c r="M993" i="15"/>
  <c r="N993" i="15" s="1"/>
  <c r="K993" i="15"/>
  <c r="L993" i="15" s="1"/>
  <c r="J993" i="15"/>
  <c r="I993" i="15"/>
  <c r="G993" i="15"/>
  <c r="H993" i="15" s="1"/>
  <c r="F993" i="15"/>
  <c r="A993" i="15"/>
  <c r="M992" i="15"/>
  <c r="N992" i="15" s="1"/>
  <c r="K992" i="15"/>
  <c r="L992" i="15" s="1"/>
  <c r="J992" i="15"/>
  <c r="I992" i="15"/>
  <c r="G992" i="15"/>
  <c r="H992" i="15" s="1"/>
  <c r="F992" i="15"/>
  <c r="A992" i="15"/>
  <c r="M991" i="15"/>
  <c r="N991" i="15" s="1"/>
  <c r="K991" i="15"/>
  <c r="L991" i="15" s="1"/>
  <c r="J991" i="15"/>
  <c r="I991" i="15"/>
  <c r="G991" i="15"/>
  <c r="H991" i="15" s="1"/>
  <c r="F991" i="15"/>
  <c r="A991" i="15"/>
  <c r="M990" i="15"/>
  <c r="N990" i="15" s="1"/>
  <c r="K990" i="15"/>
  <c r="L990" i="15" s="1"/>
  <c r="J990" i="15"/>
  <c r="I990" i="15"/>
  <c r="G990" i="15"/>
  <c r="H990" i="15" s="1"/>
  <c r="F990" i="15"/>
  <c r="A990" i="15"/>
  <c r="M989" i="15"/>
  <c r="N989" i="15" s="1"/>
  <c r="K989" i="15"/>
  <c r="L989" i="15" s="1"/>
  <c r="J989" i="15"/>
  <c r="I989" i="15"/>
  <c r="G989" i="15"/>
  <c r="H989" i="15" s="1"/>
  <c r="F989" i="15"/>
  <c r="A989" i="15"/>
  <c r="M988" i="15"/>
  <c r="N988" i="15" s="1"/>
  <c r="K988" i="15"/>
  <c r="L988" i="15" s="1"/>
  <c r="J988" i="15"/>
  <c r="I988" i="15"/>
  <c r="G988" i="15"/>
  <c r="H988" i="15" s="1"/>
  <c r="F988" i="15"/>
  <c r="A988" i="15"/>
  <c r="M987" i="15"/>
  <c r="N987" i="15" s="1"/>
  <c r="K987" i="15"/>
  <c r="L987" i="15" s="1"/>
  <c r="J987" i="15"/>
  <c r="I987" i="15"/>
  <c r="G987" i="15"/>
  <c r="H987" i="15" s="1"/>
  <c r="F987" i="15"/>
  <c r="A987" i="15"/>
  <c r="M986" i="15"/>
  <c r="N986" i="15" s="1"/>
  <c r="K986" i="15"/>
  <c r="L986" i="15" s="1"/>
  <c r="J986" i="15"/>
  <c r="I986" i="15"/>
  <c r="G986" i="15"/>
  <c r="H986" i="15" s="1"/>
  <c r="F986" i="15"/>
  <c r="A986" i="15"/>
  <c r="M985" i="15"/>
  <c r="N985" i="15" s="1"/>
  <c r="K985" i="15"/>
  <c r="L985" i="15" s="1"/>
  <c r="J985" i="15"/>
  <c r="I985" i="15"/>
  <c r="G985" i="15"/>
  <c r="H985" i="15" s="1"/>
  <c r="F985" i="15"/>
  <c r="A985" i="15"/>
  <c r="M984" i="15"/>
  <c r="N984" i="15" s="1"/>
  <c r="K984" i="15"/>
  <c r="L984" i="15" s="1"/>
  <c r="J984" i="15"/>
  <c r="I984" i="15"/>
  <c r="G984" i="15"/>
  <c r="H984" i="15" s="1"/>
  <c r="F984" i="15"/>
  <c r="A984" i="15"/>
  <c r="M983" i="15"/>
  <c r="N983" i="15" s="1"/>
  <c r="K983" i="15"/>
  <c r="L983" i="15" s="1"/>
  <c r="J983" i="15"/>
  <c r="I983" i="15"/>
  <c r="G983" i="15"/>
  <c r="H983" i="15" s="1"/>
  <c r="F983" i="15"/>
  <c r="A983" i="15"/>
  <c r="M982" i="15"/>
  <c r="N982" i="15" s="1"/>
  <c r="K982" i="15"/>
  <c r="L982" i="15" s="1"/>
  <c r="J982" i="15"/>
  <c r="I982" i="15"/>
  <c r="G982" i="15"/>
  <c r="H982" i="15" s="1"/>
  <c r="F982" i="15"/>
  <c r="A982" i="15"/>
  <c r="M981" i="15"/>
  <c r="N981" i="15" s="1"/>
  <c r="K981" i="15"/>
  <c r="L981" i="15" s="1"/>
  <c r="J981" i="15"/>
  <c r="I981" i="15"/>
  <c r="G981" i="15"/>
  <c r="H981" i="15" s="1"/>
  <c r="F981" i="15"/>
  <c r="A981" i="15"/>
  <c r="M980" i="15"/>
  <c r="N980" i="15" s="1"/>
  <c r="K980" i="15"/>
  <c r="L980" i="15" s="1"/>
  <c r="J980" i="15"/>
  <c r="I980" i="15"/>
  <c r="G980" i="15"/>
  <c r="H980" i="15" s="1"/>
  <c r="F980" i="15"/>
  <c r="A980" i="15"/>
  <c r="M979" i="15"/>
  <c r="N979" i="15" s="1"/>
  <c r="K979" i="15"/>
  <c r="L979" i="15" s="1"/>
  <c r="J979" i="15"/>
  <c r="I979" i="15"/>
  <c r="G979" i="15"/>
  <c r="H979" i="15" s="1"/>
  <c r="F979" i="15"/>
  <c r="A979" i="15"/>
  <c r="M978" i="15"/>
  <c r="N978" i="15" s="1"/>
  <c r="K978" i="15"/>
  <c r="L978" i="15" s="1"/>
  <c r="J978" i="15"/>
  <c r="I978" i="15"/>
  <c r="G978" i="15"/>
  <c r="H978" i="15" s="1"/>
  <c r="F978" i="15"/>
  <c r="A978" i="15"/>
  <c r="M977" i="15"/>
  <c r="N977" i="15" s="1"/>
  <c r="K977" i="15"/>
  <c r="L977" i="15" s="1"/>
  <c r="J977" i="15"/>
  <c r="I977" i="15"/>
  <c r="G977" i="15"/>
  <c r="H977" i="15" s="1"/>
  <c r="F977" i="15"/>
  <c r="A977" i="15"/>
  <c r="M976" i="15"/>
  <c r="N976" i="15" s="1"/>
  <c r="K976" i="15"/>
  <c r="L976" i="15" s="1"/>
  <c r="J976" i="15"/>
  <c r="I976" i="15"/>
  <c r="G976" i="15"/>
  <c r="H976" i="15" s="1"/>
  <c r="F976" i="15"/>
  <c r="A976" i="15"/>
  <c r="M975" i="15"/>
  <c r="N975" i="15" s="1"/>
  <c r="K975" i="15"/>
  <c r="L975" i="15" s="1"/>
  <c r="J975" i="15"/>
  <c r="I975" i="15"/>
  <c r="G975" i="15"/>
  <c r="H975" i="15" s="1"/>
  <c r="F975" i="15"/>
  <c r="A975" i="15"/>
  <c r="M974" i="15"/>
  <c r="N974" i="15" s="1"/>
  <c r="K974" i="15"/>
  <c r="L974" i="15" s="1"/>
  <c r="J974" i="15"/>
  <c r="I974" i="15"/>
  <c r="G974" i="15"/>
  <c r="H974" i="15" s="1"/>
  <c r="F974" i="15"/>
  <c r="A974" i="15"/>
  <c r="M973" i="15"/>
  <c r="N973" i="15" s="1"/>
  <c r="K973" i="15"/>
  <c r="L973" i="15" s="1"/>
  <c r="J973" i="15"/>
  <c r="I973" i="15"/>
  <c r="G973" i="15"/>
  <c r="H973" i="15" s="1"/>
  <c r="F973" i="15"/>
  <c r="A973" i="15"/>
  <c r="M972" i="15"/>
  <c r="N972" i="15" s="1"/>
  <c r="K972" i="15"/>
  <c r="L972" i="15" s="1"/>
  <c r="J972" i="15"/>
  <c r="I972" i="15"/>
  <c r="G972" i="15"/>
  <c r="H972" i="15" s="1"/>
  <c r="F972" i="15"/>
  <c r="A972" i="15"/>
  <c r="M971" i="15"/>
  <c r="N971" i="15" s="1"/>
  <c r="K971" i="15"/>
  <c r="L971" i="15" s="1"/>
  <c r="J971" i="15"/>
  <c r="I971" i="15"/>
  <c r="G971" i="15"/>
  <c r="H971" i="15" s="1"/>
  <c r="F971" i="15"/>
  <c r="A971" i="15"/>
  <c r="M970" i="15"/>
  <c r="N970" i="15" s="1"/>
  <c r="K970" i="15"/>
  <c r="L970" i="15" s="1"/>
  <c r="J970" i="15"/>
  <c r="I970" i="15"/>
  <c r="G970" i="15"/>
  <c r="H970" i="15" s="1"/>
  <c r="F970" i="15"/>
  <c r="A970" i="15"/>
  <c r="M969" i="15"/>
  <c r="N969" i="15" s="1"/>
  <c r="K969" i="15"/>
  <c r="L969" i="15" s="1"/>
  <c r="J969" i="15"/>
  <c r="I969" i="15"/>
  <c r="G969" i="15"/>
  <c r="H969" i="15" s="1"/>
  <c r="F969" i="15"/>
  <c r="A969" i="15"/>
  <c r="M968" i="15"/>
  <c r="N968" i="15" s="1"/>
  <c r="K968" i="15"/>
  <c r="L968" i="15" s="1"/>
  <c r="J968" i="15"/>
  <c r="I968" i="15"/>
  <c r="G968" i="15"/>
  <c r="H968" i="15" s="1"/>
  <c r="F968" i="15"/>
  <c r="A968" i="15"/>
  <c r="M967" i="15"/>
  <c r="N967" i="15" s="1"/>
  <c r="K967" i="15"/>
  <c r="L967" i="15" s="1"/>
  <c r="J967" i="15"/>
  <c r="I967" i="15"/>
  <c r="G967" i="15"/>
  <c r="H967" i="15" s="1"/>
  <c r="F967" i="15"/>
  <c r="A967" i="15"/>
  <c r="M966" i="15"/>
  <c r="N966" i="15" s="1"/>
  <c r="K966" i="15"/>
  <c r="L966" i="15" s="1"/>
  <c r="J966" i="15"/>
  <c r="I966" i="15"/>
  <c r="G966" i="15"/>
  <c r="H966" i="15" s="1"/>
  <c r="F966" i="15"/>
  <c r="A966" i="15"/>
  <c r="M965" i="15"/>
  <c r="N965" i="15" s="1"/>
  <c r="K965" i="15"/>
  <c r="L965" i="15" s="1"/>
  <c r="J965" i="15"/>
  <c r="I965" i="15"/>
  <c r="G965" i="15"/>
  <c r="H965" i="15" s="1"/>
  <c r="F965" i="15"/>
  <c r="A965" i="15"/>
  <c r="M964" i="15"/>
  <c r="N964" i="15" s="1"/>
  <c r="K964" i="15"/>
  <c r="L964" i="15" s="1"/>
  <c r="J964" i="15"/>
  <c r="I964" i="15"/>
  <c r="G964" i="15"/>
  <c r="H964" i="15" s="1"/>
  <c r="F964" i="15"/>
  <c r="A964" i="15"/>
  <c r="M963" i="15"/>
  <c r="N963" i="15" s="1"/>
  <c r="K963" i="15"/>
  <c r="L963" i="15" s="1"/>
  <c r="J963" i="15"/>
  <c r="I963" i="15"/>
  <c r="G963" i="15"/>
  <c r="H963" i="15" s="1"/>
  <c r="F963" i="15"/>
  <c r="A963" i="15"/>
  <c r="M962" i="15"/>
  <c r="N962" i="15" s="1"/>
  <c r="K962" i="15"/>
  <c r="L962" i="15" s="1"/>
  <c r="J962" i="15"/>
  <c r="I962" i="15"/>
  <c r="G962" i="15"/>
  <c r="H962" i="15" s="1"/>
  <c r="F962" i="15"/>
  <c r="A962" i="15"/>
  <c r="M961" i="15"/>
  <c r="N961" i="15" s="1"/>
  <c r="K961" i="15"/>
  <c r="L961" i="15" s="1"/>
  <c r="J961" i="15"/>
  <c r="I961" i="15"/>
  <c r="G961" i="15"/>
  <c r="H961" i="15" s="1"/>
  <c r="F961" i="15"/>
  <c r="A961" i="15"/>
  <c r="M960" i="15"/>
  <c r="N960" i="15" s="1"/>
  <c r="K960" i="15"/>
  <c r="L960" i="15" s="1"/>
  <c r="J960" i="15"/>
  <c r="I960" i="15"/>
  <c r="G960" i="15"/>
  <c r="H960" i="15" s="1"/>
  <c r="F960" i="15"/>
  <c r="A960" i="15"/>
  <c r="M959" i="15"/>
  <c r="N959" i="15" s="1"/>
  <c r="K959" i="15"/>
  <c r="L959" i="15" s="1"/>
  <c r="J959" i="15"/>
  <c r="I959" i="15"/>
  <c r="G959" i="15"/>
  <c r="H959" i="15" s="1"/>
  <c r="F959" i="15"/>
  <c r="A959" i="15"/>
  <c r="M958" i="15"/>
  <c r="N958" i="15" s="1"/>
  <c r="K958" i="15"/>
  <c r="L958" i="15" s="1"/>
  <c r="J958" i="15"/>
  <c r="I958" i="15"/>
  <c r="G958" i="15"/>
  <c r="H958" i="15" s="1"/>
  <c r="F958" i="15"/>
  <c r="A958" i="15"/>
  <c r="M957" i="15"/>
  <c r="N957" i="15" s="1"/>
  <c r="K957" i="15"/>
  <c r="L957" i="15" s="1"/>
  <c r="J957" i="15"/>
  <c r="I957" i="15"/>
  <c r="G957" i="15"/>
  <c r="H957" i="15" s="1"/>
  <c r="F957" i="15"/>
  <c r="A957" i="15"/>
  <c r="M956" i="15"/>
  <c r="N956" i="15" s="1"/>
  <c r="K956" i="15"/>
  <c r="L956" i="15" s="1"/>
  <c r="J956" i="15"/>
  <c r="I956" i="15"/>
  <c r="G956" i="15"/>
  <c r="H956" i="15" s="1"/>
  <c r="F956" i="15"/>
  <c r="A956" i="15"/>
  <c r="M955" i="15"/>
  <c r="N955" i="15" s="1"/>
  <c r="K955" i="15"/>
  <c r="L955" i="15" s="1"/>
  <c r="J955" i="15"/>
  <c r="I955" i="15"/>
  <c r="G955" i="15"/>
  <c r="H955" i="15" s="1"/>
  <c r="F955" i="15"/>
  <c r="A955" i="15"/>
  <c r="M954" i="15"/>
  <c r="N954" i="15" s="1"/>
  <c r="K954" i="15"/>
  <c r="L954" i="15" s="1"/>
  <c r="J954" i="15"/>
  <c r="I954" i="15"/>
  <c r="G954" i="15"/>
  <c r="H954" i="15" s="1"/>
  <c r="F954" i="15"/>
  <c r="A954" i="15"/>
  <c r="M953" i="15"/>
  <c r="N953" i="15" s="1"/>
  <c r="K953" i="15"/>
  <c r="L953" i="15" s="1"/>
  <c r="J953" i="15"/>
  <c r="I953" i="15"/>
  <c r="G953" i="15"/>
  <c r="H953" i="15" s="1"/>
  <c r="F953" i="15"/>
  <c r="A953" i="15"/>
  <c r="M952" i="15"/>
  <c r="N952" i="15" s="1"/>
  <c r="K952" i="15"/>
  <c r="L952" i="15" s="1"/>
  <c r="J952" i="15"/>
  <c r="I952" i="15"/>
  <c r="G952" i="15"/>
  <c r="H952" i="15" s="1"/>
  <c r="F952" i="15"/>
  <c r="A952" i="15"/>
  <c r="M951" i="15"/>
  <c r="N951" i="15" s="1"/>
  <c r="K951" i="15"/>
  <c r="L951" i="15" s="1"/>
  <c r="J951" i="15"/>
  <c r="I951" i="15"/>
  <c r="G951" i="15"/>
  <c r="H951" i="15" s="1"/>
  <c r="F951" i="15"/>
  <c r="A951" i="15"/>
  <c r="M950" i="15"/>
  <c r="N950" i="15" s="1"/>
  <c r="K950" i="15"/>
  <c r="L950" i="15" s="1"/>
  <c r="J950" i="15"/>
  <c r="I950" i="15"/>
  <c r="G950" i="15"/>
  <c r="H950" i="15" s="1"/>
  <c r="F950" i="15"/>
  <c r="A950" i="15"/>
  <c r="M949" i="15"/>
  <c r="N949" i="15" s="1"/>
  <c r="K949" i="15"/>
  <c r="L949" i="15" s="1"/>
  <c r="J949" i="15"/>
  <c r="I949" i="15"/>
  <c r="G949" i="15"/>
  <c r="H949" i="15" s="1"/>
  <c r="F949" i="15"/>
  <c r="A949" i="15"/>
  <c r="M948" i="15"/>
  <c r="N948" i="15" s="1"/>
  <c r="K948" i="15"/>
  <c r="L948" i="15" s="1"/>
  <c r="J948" i="15"/>
  <c r="I948" i="15"/>
  <c r="G948" i="15"/>
  <c r="H948" i="15" s="1"/>
  <c r="F948" i="15"/>
  <c r="A948" i="15"/>
  <c r="M947" i="15"/>
  <c r="N947" i="15" s="1"/>
  <c r="K947" i="15"/>
  <c r="L947" i="15" s="1"/>
  <c r="J947" i="15"/>
  <c r="I947" i="15"/>
  <c r="G947" i="15"/>
  <c r="H947" i="15" s="1"/>
  <c r="F947" i="15"/>
  <c r="A947" i="15"/>
  <c r="M946" i="15"/>
  <c r="N946" i="15" s="1"/>
  <c r="K946" i="15"/>
  <c r="L946" i="15" s="1"/>
  <c r="J946" i="15"/>
  <c r="I946" i="15"/>
  <c r="G946" i="15"/>
  <c r="H946" i="15" s="1"/>
  <c r="F946" i="15"/>
  <c r="A946" i="15"/>
  <c r="M945" i="15"/>
  <c r="N945" i="15" s="1"/>
  <c r="K945" i="15"/>
  <c r="L945" i="15" s="1"/>
  <c r="J945" i="15"/>
  <c r="I945" i="15"/>
  <c r="G945" i="15"/>
  <c r="H945" i="15" s="1"/>
  <c r="F945" i="15"/>
  <c r="A945" i="15"/>
  <c r="M944" i="15"/>
  <c r="N944" i="15" s="1"/>
  <c r="K944" i="15"/>
  <c r="L944" i="15" s="1"/>
  <c r="J944" i="15"/>
  <c r="I944" i="15"/>
  <c r="G944" i="15"/>
  <c r="H944" i="15" s="1"/>
  <c r="F944" i="15"/>
  <c r="A944" i="15"/>
  <c r="M943" i="15"/>
  <c r="N943" i="15" s="1"/>
  <c r="K943" i="15"/>
  <c r="L943" i="15" s="1"/>
  <c r="J943" i="15"/>
  <c r="I943" i="15"/>
  <c r="G943" i="15"/>
  <c r="H943" i="15" s="1"/>
  <c r="F943" i="15"/>
  <c r="A943" i="15"/>
  <c r="M942" i="15"/>
  <c r="N942" i="15" s="1"/>
  <c r="K942" i="15"/>
  <c r="L942" i="15" s="1"/>
  <c r="J942" i="15"/>
  <c r="I942" i="15"/>
  <c r="G942" i="15"/>
  <c r="H942" i="15" s="1"/>
  <c r="F942" i="15"/>
  <c r="A942" i="15"/>
  <c r="M941" i="15"/>
  <c r="N941" i="15" s="1"/>
  <c r="K941" i="15"/>
  <c r="L941" i="15" s="1"/>
  <c r="J941" i="15"/>
  <c r="I941" i="15"/>
  <c r="G941" i="15"/>
  <c r="H941" i="15" s="1"/>
  <c r="F941" i="15"/>
  <c r="A941" i="15"/>
  <c r="M940" i="15"/>
  <c r="N940" i="15" s="1"/>
  <c r="K940" i="15"/>
  <c r="L940" i="15" s="1"/>
  <c r="J940" i="15"/>
  <c r="I940" i="15"/>
  <c r="G940" i="15"/>
  <c r="H940" i="15" s="1"/>
  <c r="F940" i="15"/>
  <c r="A940" i="15"/>
  <c r="M939" i="15"/>
  <c r="N939" i="15" s="1"/>
  <c r="K939" i="15"/>
  <c r="L939" i="15" s="1"/>
  <c r="J939" i="15"/>
  <c r="I939" i="15"/>
  <c r="G939" i="15"/>
  <c r="H939" i="15" s="1"/>
  <c r="F939" i="15"/>
  <c r="A939" i="15"/>
  <c r="M938" i="15"/>
  <c r="N938" i="15" s="1"/>
  <c r="K938" i="15"/>
  <c r="L938" i="15" s="1"/>
  <c r="J938" i="15"/>
  <c r="I938" i="15"/>
  <c r="G938" i="15"/>
  <c r="H938" i="15" s="1"/>
  <c r="F938" i="15"/>
  <c r="A938" i="15"/>
  <c r="M937" i="15"/>
  <c r="N937" i="15" s="1"/>
  <c r="K937" i="15"/>
  <c r="L937" i="15" s="1"/>
  <c r="J937" i="15"/>
  <c r="I937" i="15"/>
  <c r="G937" i="15"/>
  <c r="H937" i="15" s="1"/>
  <c r="F937" i="15"/>
  <c r="A937" i="15"/>
  <c r="M936" i="15"/>
  <c r="N936" i="15" s="1"/>
  <c r="K936" i="15"/>
  <c r="L936" i="15" s="1"/>
  <c r="J936" i="15"/>
  <c r="I936" i="15"/>
  <c r="G936" i="15"/>
  <c r="H936" i="15" s="1"/>
  <c r="F936" i="15"/>
  <c r="A936" i="15"/>
  <c r="M935" i="15"/>
  <c r="N935" i="15" s="1"/>
  <c r="K935" i="15"/>
  <c r="L935" i="15" s="1"/>
  <c r="J935" i="15"/>
  <c r="I935" i="15"/>
  <c r="G935" i="15"/>
  <c r="H935" i="15" s="1"/>
  <c r="F935" i="15"/>
  <c r="A935" i="15"/>
  <c r="M934" i="15"/>
  <c r="N934" i="15" s="1"/>
  <c r="K934" i="15"/>
  <c r="L934" i="15" s="1"/>
  <c r="J934" i="15"/>
  <c r="I934" i="15"/>
  <c r="G934" i="15"/>
  <c r="H934" i="15" s="1"/>
  <c r="F934" i="15"/>
  <c r="A934" i="15"/>
  <c r="M933" i="15"/>
  <c r="N933" i="15" s="1"/>
  <c r="K933" i="15"/>
  <c r="L933" i="15" s="1"/>
  <c r="J933" i="15"/>
  <c r="I933" i="15"/>
  <c r="G933" i="15"/>
  <c r="H933" i="15" s="1"/>
  <c r="F933" i="15"/>
  <c r="A933" i="15"/>
  <c r="M932" i="15"/>
  <c r="N932" i="15" s="1"/>
  <c r="K932" i="15"/>
  <c r="L932" i="15" s="1"/>
  <c r="J932" i="15"/>
  <c r="I932" i="15"/>
  <c r="G932" i="15"/>
  <c r="H932" i="15" s="1"/>
  <c r="F932" i="15"/>
  <c r="A932" i="15"/>
  <c r="M931" i="15"/>
  <c r="N931" i="15" s="1"/>
  <c r="K931" i="15"/>
  <c r="L931" i="15" s="1"/>
  <c r="J931" i="15"/>
  <c r="I931" i="15"/>
  <c r="G931" i="15"/>
  <c r="H931" i="15" s="1"/>
  <c r="F931" i="15"/>
  <c r="A931" i="15"/>
  <c r="M930" i="15"/>
  <c r="N930" i="15" s="1"/>
  <c r="K930" i="15"/>
  <c r="L930" i="15" s="1"/>
  <c r="J930" i="15"/>
  <c r="I930" i="15"/>
  <c r="G930" i="15"/>
  <c r="H930" i="15" s="1"/>
  <c r="F930" i="15"/>
  <c r="A930" i="15"/>
  <c r="M929" i="15"/>
  <c r="N929" i="15" s="1"/>
  <c r="K929" i="15"/>
  <c r="L929" i="15" s="1"/>
  <c r="J929" i="15"/>
  <c r="I929" i="15"/>
  <c r="G929" i="15"/>
  <c r="H929" i="15" s="1"/>
  <c r="F929" i="15"/>
  <c r="A929" i="15"/>
  <c r="M928" i="15"/>
  <c r="N928" i="15" s="1"/>
  <c r="K928" i="15"/>
  <c r="L928" i="15" s="1"/>
  <c r="J928" i="15"/>
  <c r="I928" i="15"/>
  <c r="G928" i="15"/>
  <c r="H928" i="15" s="1"/>
  <c r="F928" i="15"/>
  <c r="A928" i="15"/>
  <c r="M927" i="15"/>
  <c r="N927" i="15" s="1"/>
  <c r="K927" i="15"/>
  <c r="L927" i="15" s="1"/>
  <c r="J927" i="15"/>
  <c r="I927" i="15"/>
  <c r="G927" i="15"/>
  <c r="H927" i="15" s="1"/>
  <c r="F927" i="15"/>
  <c r="A927" i="15"/>
  <c r="M926" i="15"/>
  <c r="N926" i="15" s="1"/>
  <c r="K926" i="15"/>
  <c r="L926" i="15" s="1"/>
  <c r="J926" i="15"/>
  <c r="I926" i="15"/>
  <c r="G926" i="15"/>
  <c r="H926" i="15" s="1"/>
  <c r="F926" i="15"/>
  <c r="A926" i="15"/>
  <c r="M925" i="15"/>
  <c r="N925" i="15" s="1"/>
  <c r="K925" i="15"/>
  <c r="L925" i="15" s="1"/>
  <c r="J925" i="15"/>
  <c r="I925" i="15"/>
  <c r="G925" i="15"/>
  <c r="H925" i="15" s="1"/>
  <c r="F925" i="15"/>
  <c r="A925" i="15"/>
  <c r="M924" i="15"/>
  <c r="N924" i="15" s="1"/>
  <c r="K924" i="15"/>
  <c r="L924" i="15" s="1"/>
  <c r="J924" i="15"/>
  <c r="I924" i="15"/>
  <c r="G924" i="15"/>
  <c r="H924" i="15" s="1"/>
  <c r="F924" i="15"/>
  <c r="A924" i="15"/>
  <c r="M923" i="15"/>
  <c r="N923" i="15" s="1"/>
  <c r="K923" i="15"/>
  <c r="L923" i="15" s="1"/>
  <c r="J923" i="15"/>
  <c r="I923" i="15"/>
  <c r="G923" i="15"/>
  <c r="H923" i="15" s="1"/>
  <c r="F923" i="15"/>
  <c r="A923" i="15"/>
  <c r="M922" i="15"/>
  <c r="N922" i="15" s="1"/>
  <c r="K922" i="15"/>
  <c r="L922" i="15" s="1"/>
  <c r="J922" i="15"/>
  <c r="I922" i="15"/>
  <c r="G922" i="15"/>
  <c r="H922" i="15" s="1"/>
  <c r="F922" i="15"/>
  <c r="A922" i="15"/>
  <c r="M921" i="15"/>
  <c r="N921" i="15" s="1"/>
  <c r="K921" i="15"/>
  <c r="L921" i="15" s="1"/>
  <c r="J921" i="15"/>
  <c r="I921" i="15"/>
  <c r="G921" i="15"/>
  <c r="H921" i="15" s="1"/>
  <c r="F921" i="15"/>
  <c r="A921" i="15"/>
  <c r="M920" i="15"/>
  <c r="N920" i="15" s="1"/>
  <c r="K920" i="15"/>
  <c r="L920" i="15" s="1"/>
  <c r="J920" i="15"/>
  <c r="I920" i="15"/>
  <c r="G920" i="15"/>
  <c r="H920" i="15" s="1"/>
  <c r="F920" i="15"/>
  <c r="A920" i="15"/>
  <c r="M919" i="15"/>
  <c r="N919" i="15" s="1"/>
  <c r="K919" i="15"/>
  <c r="L919" i="15" s="1"/>
  <c r="J919" i="15"/>
  <c r="I919" i="15"/>
  <c r="G919" i="15"/>
  <c r="H919" i="15" s="1"/>
  <c r="F919" i="15"/>
  <c r="A919" i="15"/>
  <c r="M918" i="15"/>
  <c r="N918" i="15" s="1"/>
  <c r="K918" i="15"/>
  <c r="L918" i="15" s="1"/>
  <c r="J918" i="15"/>
  <c r="I918" i="15"/>
  <c r="G918" i="15"/>
  <c r="H918" i="15" s="1"/>
  <c r="F918" i="15"/>
  <c r="A918" i="15"/>
  <c r="M917" i="15"/>
  <c r="N917" i="15" s="1"/>
  <c r="K917" i="15"/>
  <c r="L917" i="15" s="1"/>
  <c r="J917" i="15"/>
  <c r="I917" i="15"/>
  <c r="G917" i="15"/>
  <c r="H917" i="15" s="1"/>
  <c r="F917" i="15"/>
  <c r="A917" i="15"/>
  <c r="M916" i="15"/>
  <c r="N916" i="15" s="1"/>
  <c r="K916" i="15"/>
  <c r="L916" i="15" s="1"/>
  <c r="J916" i="15"/>
  <c r="I916" i="15"/>
  <c r="G916" i="15"/>
  <c r="H916" i="15" s="1"/>
  <c r="F916" i="15"/>
  <c r="A916" i="15"/>
  <c r="M915" i="15"/>
  <c r="N915" i="15" s="1"/>
  <c r="K915" i="15"/>
  <c r="L915" i="15" s="1"/>
  <c r="J915" i="15"/>
  <c r="I915" i="15"/>
  <c r="G915" i="15"/>
  <c r="H915" i="15" s="1"/>
  <c r="F915" i="15"/>
  <c r="A915" i="15"/>
  <c r="M914" i="15"/>
  <c r="N914" i="15" s="1"/>
  <c r="K914" i="15"/>
  <c r="L914" i="15" s="1"/>
  <c r="J914" i="15"/>
  <c r="I914" i="15"/>
  <c r="G914" i="15"/>
  <c r="H914" i="15" s="1"/>
  <c r="F914" i="15"/>
  <c r="A914" i="15"/>
  <c r="M913" i="15"/>
  <c r="N913" i="15" s="1"/>
  <c r="K913" i="15"/>
  <c r="L913" i="15" s="1"/>
  <c r="J913" i="15"/>
  <c r="I913" i="15"/>
  <c r="G913" i="15"/>
  <c r="H913" i="15" s="1"/>
  <c r="F913" i="15"/>
  <c r="A913" i="15"/>
  <c r="M912" i="15"/>
  <c r="N912" i="15" s="1"/>
  <c r="K912" i="15"/>
  <c r="L912" i="15" s="1"/>
  <c r="J912" i="15"/>
  <c r="I912" i="15"/>
  <c r="G912" i="15"/>
  <c r="H912" i="15" s="1"/>
  <c r="F912" i="15"/>
  <c r="A912" i="15"/>
  <c r="M911" i="15"/>
  <c r="N911" i="15" s="1"/>
  <c r="K911" i="15"/>
  <c r="L911" i="15" s="1"/>
  <c r="J911" i="15"/>
  <c r="I911" i="15"/>
  <c r="G911" i="15"/>
  <c r="H911" i="15" s="1"/>
  <c r="F911" i="15"/>
  <c r="A911" i="15"/>
  <c r="M910" i="15"/>
  <c r="N910" i="15" s="1"/>
  <c r="K910" i="15"/>
  <c r="L910" i="15" s="1"/>
  <c r="J910" i="15"/>
  <c r="I910" i="15"/>
  <c r="G910" i="15"/>
  <c r="H910" i="15" s="1"/>
  <c r="F910" i="15"/>
  <c r="A910" i="15"/>
  <c r="M909" i="15"/>
  <c r="N909" i="15" s="1"/>
  <c r="K909" i="15"/>
  <c r="L909" i="15" s="1"/>
  <c r="J909" i="15"/>
  <c r="I909" i="15"/>
  <c r="G909" i="15"/>
  <c r="H909" i="15" s="1"/>
  <c r="F909" i="15"/>
  <c r="A909" i="15"/>
  <c r="M908" i="15"/>
  <c r="N908" i="15" s="1"/>
  <c r="K908" i="15"/>
  <c r="L908" i="15" s="1"/>
  <c r="J908" i="15"/>
  <c r="I908" i="15"/>
  <c r="G908" i="15"/>
  <c r="H908" i="15" s="1"/>
  <c r="F908" i="15"/>
  <c r="A908" i="15"/>
  <c r="M907" i="15"/>
  <c r="N907" i="15" s="1"/>
  <c r="K907" i="15"/>
  <c r="L907" i="15" s="1"/>
  <c r="J907" i="15"/>
  <c r="I907" i="15"/>
  <c r="G907" i="15"/>
  <c r="H907" i="15" s="1"/>
  <c r="F907" i="15"/>
  <c r="A907" i="15"/>
  <c r="M906" i="15"/>
  <c r="N906" i="15" s="1"/>
  <c r="K906" i="15"/>
  <c r="L906" i="15" s="1"/>
  <c r="J906" i="15"/>
  <c r="I906" i="15"/>
  <c r="G906" i="15"/>
  <c r="H906" i="15" s="1"/>
  <c r="F906" i="15"/>
  <c r="A906" i="15"/>
  <c r="M905" i="15"/>
  <c r="N905" i="15" s="1"/>
  <c r="K905" i="15"/>
  <c r="L905" i="15" s="1"/>
  <c r="J905" i="15"/>
  <c r="I905" i="15"/>
  <c r="G905" i="15"/>
  <c r="H905" i="15" s="1"/>
  <c r="F905" i="15"/>
  <c r="A905" i="15"/>
  <c r="M904" i="15"/>
  <c r="N904" i="15" s="1"/>
  <c r="K904" i="15"/>
  <c r="L904" i="15" s="1"/>
  <c r="J904" i="15"/>
  <c r="I904" i="15"/>
  <c r="G904" i="15"/>
  <c r="H904" i="15" s="1"/>
  <c r="F904" i="15"/>
  <c r="A904" i="15"/>
  <c r="M903" i="15"/>
  <c r="N903" i="15" s="1"/>
  <c r="K903" i="15"/>
  <c r="L903" i="15" s="1"/>
  <c r="J903" i="15"/>
  <c r="I903" i="15"/>
  <c r="G903" i="15"/>
  <c r="H903" i="15" s="1"/>
  <c r="F903" i="15"/>
  <c r="A903" i="15"/>
  <c r="M902" i="15"/>
  <c r="N902" i="15" s="1"/>
  <c r="K902" i="15"/>
  <c r="L902" i="15" s="1"/>
  <c r="J902" i="15"/>
  <c r="I902" i="15"/>
  <c r="G902" i="15"/>
  <c r="H902" i="15" s="1"/>
  <c r="F902" i="15"/>
  <c r="A902" i="15"/>
  <c r="M901" i="15"/>
  <c r="N901" i="15" s="1"/>
  <c r="K901" i="15"/>
  <c r="L901" i="15" s="1"/>
  <c r="J901" i="15"/>
  <c r="I901" i="15"/>
  <c r="G901" i="15"/>
  <c r="H901" i="15" s="1"/>
  <c r="F901" i="15"/>
  <c r="A901" i="15"/>
  <c r="M900" i="15"/>
  <c r="N900" i="15" s="1"/>
  <c r="K900" i="15"/>
  <c r="L900" i="15" s="1"/>
  <c r="J900" i="15"/>
  <c r="I900" i="15"/>
  <c r="G900" i="15"/>
  <c r="H900" i="15" s="1"/>
  <c r="F900" i="15"/>
  <c r="A900" i="15"/>
  <c r="M899" i="15"/>
  <c r="N899" i="15" s="1"/>
  <c r="K899" i="15"/>
  <c r="L899" i="15" s="1"/>
  <c r="J899" i="15"/>
  <c r="I899" i="15"/>
  <c r="G899" i="15"/>
  <c r="H899" i="15" s="1"/>
  <c r="F899" i="15"/>
  <c r="A899" i="15"/>
  <c r="M898" i="15"/>
  <c r="N898" i="15" s="1"/>
  <c r="K898" i="15"/>
  <c r="L898" i="15" s="1"/>
  <c r="J898" i="15"/>
  <c r="I898" i="15"/>
  <c r="G898" i="15"/>
  <c r="H898" i="15" s="1"/>
  <c r="F898" i="15"/>
  <c r="A898" i="15"/>
  <c r="M897" i="15"/>
  <c r="N897" i="15" s="1"/>
  <c r="K897" i="15"/>
  <c r="L897" i="15" s="1"/>
  <c r="J897" i="15"/>
  <c r="I897" i="15"/>
  <c r="G897" i="15"/>
  <c r="H897" i="15" s="1"/>
  <c r="F897" i="15"/>
  <c r="A897" i="15"/>
  <c r="M896" i="15"/>
  <c r="N896" i="15" s="1"/>
  <c r="K896" i="15"/>
  <c r="L896" i="15" s="1"/>
  <c r="J896" i="15"/>
  <c r="I896" i="15"/>
  <c r="G896" i="15"/>
  <c r="H896" i="15" s="1"/>
  <c r="F896" i="15"/>
  <c r="A896" i="15"/>
  <c r="M895" i="15"/>
  <c r="N895" i="15" s="1"/>
  <c r="K895" i="15"/>
  <c r="L895" i="15" s="1"/>
  <c r="J895" i="15"/>
  <c r="I895" i="15"/>
  <c r="G895" i="15"/>
  <c r="H895" i="15" s="1"/>
  <c r="F895" i="15"/>
  <c r="A895" i="15"/>
  <c r="M894" i="15"/>
  <c r="N894" i="15" s="1"/>
  <c r="K894" i="15"/>
  <c r="L894" i="15" s="1"/>
  <c r="J894" i="15"/>
  <c r="I894" i="15"/>
  <c r="G894" i="15"/>
  <c r="H894" i="15" s="1"/>
  <c r="F894" i="15"/>
  <c r="A894" i="15"/>
  <c r="M893" i="15"/>
  <c r="N893" i="15" s="1"/>
  <c r="K893" i="15"/>
  <c r="L893" i="15" s="1"/>
  <c r="J893" i="15"/>
  <c r="I893" i="15"/>
  <c r="G893" i="15"/>
  <c r="H893" i="15" s="1"/>
  <c r="F893" i="15"/>
  <c r="A893" i="15"/>
  <c r="M892" i="15"/>
  <c r="N892" i="15" s="1"/>
  <c r="K892" i="15"/>
  <c r="L892" i="15" s="1"/>
  <c r="J892" i="15"/>
  <c r="I892" i="15"/>
  <c r="G892" i="15"/>
  <c r="H892" i="15" s="1"/>
  <c r="F892" i="15"/>
  <c r="A892" i="15"/>
  <c r="M891" i="15"/>
  <c r="N891" i="15" s="1"/>
  <c r="K891" i="15"/>
  <c r="L891" i="15" s="1"/>
  <c r="J891" i="15"/>
  <c r="I891" i="15"/>
  <c r="G891" i="15"/>
  <c r="H891" i="15" s="1"/>
  <c r="F891" i="15"/>
  <c r="A891" i="15"/>
  <c r="M890" i="15"/>
  <c r="N890" i="15" s="1"/>
  <c r="K890" i="15"/>
  <c r="L890" i="15" s="1"/>
  <c r="J890" i="15"/>
  <c r="I890" i="15"/>
  <c r="G890" i="15"/>
  <c r="H890" i="15" s="1"/>
  <c r="F890" i="15"/>
  <c r="A890" i="15"/>
  <c r="M889" i="15"/>
  <c r="N889" i="15" s="1"/>
  <c r="K889" i="15"/>
  <c r="L889" i="15" s="1"/>
  <c r="J889" i="15"/>
  <c r="I889" i="15"/>
  <c r="G889" i="15"/>
  <c r="H889" i="15" s="1"/>
  <c r="F889" i="15"/>
  <c r="A889" i="15"/>
  <c r="M888" i="15"/>
  <c r="N888" i="15" s="1"/>
  <c r="K888" i="15"/>
  <c r="L888" i="15" s="1"/>
  <c r="J888" i="15"/>
  <c r="I888" i="15"/>
  <c r="G888" i="15"/>
  <c r="H888" i="15" s="1"/>
  <c r="F888" i="15"/>
  <c r="A888" i="15"/>
  <c r="M887" i="15"/>
  <c r="N887" i="15" s="1"/>
  <c r="K887" i="15"/>
  <c r="L887" i="15" s="1"/>
  <c r="J887" i="15"/>
  <c r="I887" i="15"/>
  <c r="G887" i="15"/>
  <c r="H887" i="15" s="1"/>
  <c r="F887" i="15"/>
  <c r="A887" i="15"/>
  <c r="M886" i="15"/>
  <c r="N886" i="15" s="1"/>
  <c r="K886" i="15"/>
  <c r="L886" i="15" s="1"/>
  <c r="J886" i="15"/>
  <c r="I886" i="15"/>
  <c r="G886" i="15"/>
  <c r="H886" i="15" s="1"/>
  <c r="F886" i="15"/>
  <c r="A886" i="15"/>
  <c r="M885" i="15"/>
  <c r="N885" i="15" s="1"/>
  <c r="K885" i="15"/>
  <c r="L885" i="15" s="1"/>
  <c r="J885" i="15"/>
  <c r="I885" i="15"/>
  <c r="G885" i="15"/>
  <c r="H885" i="15" s="1"/>
  <c r="F885" i="15"/>
  <c r="A885" i="15"/>
  <c r="M884" i="15"/>
  <c r="N884" i="15" s="1"/>
  <c r="K884" i="15"/>
  <c r="L884" i="15" s="1"/>
  <c r="J884" i="15"/>
  <c r="I884" i="15"/>
  <c r="G884" i="15"/>
  <c r="H884" i="15" s="1"/>
  <c r="F884" i="15"/>
  <c r="A884" i="15"/>
  <c r="M883" i="15"/>
  <c r="N883" i="15" s="1"/>
  <c r="K883" i="15"/>
  <c r="L883" i="15" s="1"/>
  <c r="J883" i="15"/>
  <c r="I883" i="15"/>
  <c r="G883" i="15"/>
  <c r="H883" i="15" s="1"/>
  <c r="F883" i="15"/>
  <c r="A883" i="15"/>
  <c r="M882" i="15"/>
  <c r="N882" i="15" s="1"/>
  <c r="K882" i="15"/>
  <c r="L882" i="15" s="1"/>
  <c r="J882" i="15"/>
  <c r="I882" i="15"/>
  <c r="G882" i="15"/>
  <c r="H882" i="15" s="1"/>
  <c r="F882" i="15"/>
  <c r="A882" i="15"/>
  <c r="M881" i="15"/>
  <c r="N881" i="15" s="1"/>
  <c r="K881" i="15"/>
  <c r="L881" i="15" s="1"/>
  <c r="J881" i="15"/>
  <c r="I881" i="15"/>
  <c r="G881" i="15"/>
  <c r="H881" i="15" s="1"/>
  <c r="F881" i="15"/>
  <c r="A881" i="15"/>
  <c r="M880" i="15"/>
  <c r="N880" i="15" s="1"/>
  <c r="K880" i="15"/>
  <c r="L880" i="15" s="1"/>
  <c r="J880" i="15"/>
  <c r="I880" i="15"/>
  <c r="G880" i="15"/>
  <c r="H880" i="15" s="1"/>
  <c r="F880" i="15"/>
  <c r="A880" i="15"/>
  <c r="M879" i="15"/>
  <c r="N879" i="15" s="1"/>
  <c r="K879" i="15"/>
  <c r="L879" i="15" s="1"/>
  <c r="J879" i="15"/>
  <c r="I879" i="15"/>
  <c r="G879" i="15"/>
  <c r="H879" i="15" s="1"/>
  <c r="F879" i="15"/>
  <c r="A879" i="15"/>
  <c r="M878" i="15"/>
  <c r="N878" i="15" s="1"/>
  <c r="K878" i="15"/>
  <c r="L878" i="15" s="1"/>
  <c r="J878" i="15"/>
  <c r="I878" i="15"/>
  <c r="G878" i="15"/>
  <c r="H878" i="15" s="1"/>
  <c r="F878" i="15"/>
  <c r="A878" i="15"/>
  <c r="M877" i="15"/>
  <c r="N877" i="15" s="1"/>
  <c r="K877" i="15"/>
  <c r="L877" i="15" s="1"/>
  <c r="J877" i="15"/>
  <c r="I877" i="15"/>
  <c r="G877" i="15"/>
  <c r="H877" i="15" s="1"/>
  <c r="F877" i="15"/>
  <c r="A877" i="15"/>
  <c r="M876" i="15"/>
  <c r="N876" i="15" s="1"/>
  <c r="K876" i="15"/>
  <c r="L876" i="15" s="1"/>
  <c r="J876" i="15"/>
  <c r="I876" i="15"/>
  <c r="G876" i="15"/>
  <c r="H876" i="15" s="1"/>
  <c r="F876" i="15"/>
  <c r="A876" i="15"/>
  <c r="M875" i="15"/>
  <c r="N875" i="15" s="1"/>
  <c r="K875" i="15"/>
  <c r="L875" i="15" s="1"/>
  <c r="J875" i="15"/>
  <c r="I875" i="15"/>
  <c r="G875" i="15"/>
  <c r="H875" i="15" s="1"/>
  <c r="F875" i="15"/>
  <c r="A875" i="15"/>
  <c r="M874" i="15"/>
  <c r="N874" i="15" s="1"/>
  <c r="K874" i="15"/>
  <c r="L874" i="15" s="1"/>
  <c r="J874" i="15"/>
  <c r="I874" i="15"/>
  <c r="G874" i="15"/>
  <c r="H874" i="15" s="1"/>
  <c r="F874" i="15"/>
  <c r="A874" i="15"/>
  <c r="M873" i="15"/>
  <c r="N873" i="15" s="1"/>
  <c r="K873" i="15"/>
  <c r="L873" i="15" s="1"/>
  <c r="J873" i="15"/>
  <c r="I873" i="15"/>
  <c r="G873" i="15"/>
  <c r="H873" i="15" s="1"/>
  <c r="F873" i="15"/>
  <c r="A873" i="15"/>
  <c r="M872" i="15"/>
  <c r="N872" i="15" s="1"/>
  <c r="K872" i="15"/>
  <c r="L872" i="15" s="1"/>
  <c r="J872" i="15"/>
  <c r="I872" i="15"/>
  <c r="G872" i="15"/>
  <c r="H872" i="15" s="1"/>
  <c r="F872" i="15"/>
  <c r="A872" i="15"/>
  <c r="M871" i="15"/>
  <c r="N871" i="15" s="1"/>
  <c r="K871" i="15"/>
  <c r="L871" i="15" s="1"/>
  <c r="J871" i="15"/>
  <c r="I871" i="15"/>
  <c r="G871" i="15"/>
  <c r="H871" i="15" s="1"/>
  <c r="F871" i="15"/>
  <c r="A871" i="15"/>
  <c r="M870" i="15"/>
  <c r="N870" i="15" s="1"/>
  <c r="K870" i="15"/>
  <c r="L870" i="15" s="1"/>
  <c r="J870" i="15"/>
  <c r="I870" i="15"/>
  <c r="G870" i="15"/>
  <c r="H870" i="15" s="1"/>
  <c r="F870" i="15"/>
  <c r="A870" i="15"/>
  <c r="M869" i="15"/>
  <c r="N869" i="15" s="1"/>
  <c r="K869" i="15"/>
  <c r="L869" i="15" s="1"/>
  <c r="J869" i="15"/>
  <c r="I869" i="15"/>
  <c r="G869" i="15"/>
  <c r="H869" i="15" s="1"/>
  <c r="F869" i="15"/>
  <c r="A869" i="15"/>
  <c r="M868" i="15"/>
  <c r="N868" i="15" s="1"/>
  <c r="K868" i="15"/>
  <c r="L868" i="15" s="1"/>
  <c r="J868" i="15"/>
  <c r="I868" i="15"/>
  <c r="G868" i="15"/>
  <c r="H868" i="15" s="1"/>
  <c r="F868" i="15"/>
  <c r="A868" i="15"/>
  <c r="M867" i="15"/>
  <c r="N867" i="15" s="1"/>
  <c r="K867" i="15"/>
  <c r="L867" i="15" s="1"/>
  <c r="J867" i="15"/>
  <c r="I867" i="15"/>
  <c r="G867" i="15"/>
  <c r="H867" i="15" s="1"/>
  <c r="F867" i="15"/>
  <c r="A867" i="15"/>
  <c r="M866" i="15"/>
  <c r="N866" i="15" s="1"/>
  <c r="K866" i="15"/>
  <c r="L866" i="15" s="1"/>
  <c r="J866" i="15"/>
  <c r="I866" i="15"/>
  <c r="G866" i="15"/>
  <c r="H866" i="15" s="1"/>
  <c r="F866" i="15"/>
  <c r="A866" i="15"/>
  <c r="M865" i="15"/>
  <c r="N865" i="15" s="1"/>
  <c r="K865" i="15"/>
  <c r="L865" i="15" s="1"/>
  <c r="J865" i="15"/>
  <c r="I865" i="15"/>
  <c r="G865" i="15"/>
  <c r="H865" i="15" s="1"/>
  <c r="F865" i="15"/>
  <c r="A865" i="15"/>
  <c r="M864" i="15"/>
  <c r="N864" i="15" s="1"/>
  <c r="K864" i="15"/>
  <c r="L864" i="15" s="1"/>
  <c r="J864" i="15"/>
  <c r="I864" i="15"/>
  <c r="G864" i="15"/>
  <c r="H864" i="15" s="1"/>
  <c r="F864" i="15"/>
  <c r="A864" i="15"/>
  <c r="M863" i="15"/>
  <c r="N863" i="15" s="1"/>
  <c r="K863" i="15"/>
  <c r="L863" i="15" s="1"/>
  <c r="J863" i="15"/>
  <c r="I863" i="15"/>
  <c r="G863" i="15"/>
  <c r="H863" i="15" s="1"/>
  <c r="F863" i="15"/>
  <c r="A863" i="15"/>
  <c r="M862" i="15"/>
  <c r="N862" i="15" s="1"/>
  <c r="K862" i="15"/>
  <c r="L862" i="15" s="1"/>
  <c r="J862" i="15"/>
  <c r="I862" i="15"/>
  <c r="G862" i="15"/>
  <c r="H862" i="15" s="1"/>
  <c r="F862" i="15"/>
  <c r="A862" i="15"/>
  <c r="M861" i="15"/>
  <c r="N861" i="15" s="1"/>
  <c r="K861" i="15"/>
  <c r="L861" i="15" s="1"/>
  <c r="J861" i="15"/>
  <c r="I861" i="15"/>
  <c r="G861" i="15"/>
  <c r="H861" i="15" s="1"/>
  <c r="F861" i="15"/>
  <c r="A861" i="15"/>
  <c r="M860" i="15"/>
  <c r="N860" i="15" s="1"/>
  <c r="K860" i="15"/>
  <c r="L860" i="15" s="1"/>
  <c r="J860" i="15"/>
  <c r="I860" i="15"/>
  <c r="G860" i="15"/>
  <c r="H860" i="15" s="1"/>
  <c r="F860" i="15"/>
  <c r="A860" i="15"/>
  <c r="M859" i="15"/>
  <c r="N859" i="15" s="1"/>
  <c r="K859" i="15"/>
  <c r="L859" i="15" s="1"/>
  <c r="J859" i="15"/>
  <c r="I859" i="15"/>
  <c r="G859" i="15"/>
  <c r="H859" i="15" s="1"/>
  <c r="F859" i="15"/>
  <c r="A859" i="15"/>
  <c r="M858" i="15"/>
  <c r="N858" i="15" s="1"/>
  <c r="K858" i="15"/>
  <c r="L858" i="15" s="1"/>
  <c r="J858" i="15"/>
  <c r="I858" i="15"/>
  <c r="G858" i="15"/>
  <c r="H858" i="15" s="1"/>
  <c r="F858" i="15"/>
  <c r="A858" i="15"/>
  <c r="M857" i="15"/>
  <c r="N857" i="15" s="1"/>
  <c r="K857" i="15"/>
  <c r="L857" i="15" s="1"/>
  <c r="J857" i="15"/>
  <c r="I857" i="15"/>
  <c r="G857" i="15"/>
  <c r="H857" i="15" s="1"/>
  <c r="F857" i="15"/>
  <c r="A857" i="15"/>
  <c r="M856" i="15"/>
  <c r="N856" i="15" s="1"/>
  <c r="K856" i="15"/>
  <c r="L856" i="15" s="1"/>
  <c r="J856" i="15"/>
  <c r="I856" i="15"/>
  <c r="G856" i="15"/>
  <c r="H856" i="15" s="1"/>
  <c r="F856" i="15"/>
  <c r="A856" i="15"/>
  <c r="M855" i="15"/>
  <c r="N855" i="15" s="1"/>
  <c r="K855" i="15"/>
  <c r="L855" i="15" s="1"/>
  <c r="J855" i="15"/>
  <c r="I855" i="15"/>
  <c r="G855" i="15"/>
  <c r="H855" i="15" s="1"/>
  <c r="F855" i="15"/>
  <c r="A855" i="15"/>
  <c r="M854" i="15"/>
  <c r="N854" i="15" s="1"/>
  <c r="K854" i="15"/>
  <c r="L854" i="15" s="1"/>
  <c r="J854" i="15"/>
  <c r="I854" i="15"/>
  <c r="G854" i="15"/>
  <c r="H854" i="15" s="1"/>
  <c r="F854" i="15"/>
  <c r="A854" i="15"/>
  <c r="M853" i="15"/>
  <c r="N853" i="15" s="1"/>
  <c r="K853" i="15"/>
  <c r="L853" i="15" s="1"/>
  <c r="J853" i="15"/>
  <c r="I853" i="15"/>
  <c r="G853" i="15"/>
  <c r="H853" i="15" s="1"/>
  <c r="F853" i="15"/>
  <c r="A853" i="15"/>
  <c r="M852" i="15"/>
  <c r="N852" i="15" s="1"/>
  <c r="K852" i="15"/>
  <c r="L852" i="15" s="1"/>
  <c r="J852" i="15"/>
  <c r="I852" i="15"/>
  <c r="G852" i="15"/>
  <c r="H852" i="15" s="1"/>
  <c r="F852" i="15"/>
  <c r="A852" i="15"/>
  <c r="M851" i="15"/>
  <c r="N851" i="15" s="1"/>
  <c r="K851" i="15"/>
  <c r="L851" i="15" s="1"/>
  <c r="J851" i="15"/>
  <c r="I851" i="15"/>
  <c r="G851" i="15"/>
  <c r="H851" i="15" s="1"/>
  <c r="F851" i="15"/>
  <c r="A851" i="15"/>
  <c r="M850" i="15"/>
  <c r="N850" i="15" s="1"/>
  <c r="K850" i="15"/>
  <c r="L850" i="15" s="1"/>
  <c r="J850" i="15"/>
  <c r="I850" i="15"/>
  <c r="G850" i="15"/>
  <c r="H850" i="15" s="1"/>
  <c r="F850" i="15"/>
  <c r="A850" i="15"/>
  <c r="M849" i="15"/>
  <c r="N849" i="15" s="1"/>
  <c r="K849" i="15"/>
  <c r="L849" i="15" s="1"/>
  <c r="J849" i="15"/>
  <c r="I849" i="15"/>
  <c r="G849" i="15"/>
  <c r="H849" i="15" s="1"/>
  <c r="F849" i="15"/>
  <c r="A849" i="15"/>
  <c r="M848" i="15"/>
  <c r="N848" i="15" s="1"/>
  <c r="K848" i="15"/>
  <c r="L848" i="15" s="1"/>
  <c r="J848" i="15"/>
  <c r="I848" i="15"/>
  <c r="G848" i="15"/>
  <c r="H848" i="15" s="1"/>
  <c r="F848" i="15"/>
  <c r="A848" i="15"/>
  <c r="M847" i="15"/>
  <c r="N847" i="15" s="1"/>
  <c r="K847" i="15"/>
  <c r="L847" i="15" s="1"/>
  <c r="J847" i="15"/>
  <c r="I847" i="15"/>
  <c r="G847" i="15"/>
  <c r="H847" i="15" s="1"/>
  <c r="F847" i="15"/>
  <c r="A847" i="15"/>
  <c r="M846" i="15"/>
  <c r="N846" i="15" s="1"/>
  <c r="K846" i="15"/>
  <c r="L846" i="15" s="1"/>
  <c r="J846" i="15"/>
  <c r="I846" i="15"/>
  <c r="G846" i="15"/>
  <c r="H846" i="15" s="1"/>
  <c r="F846" i="15"/>
  <c r="A846" i="15"/>
  <c r="M845" i="15"/>
  <c r="N845" i="15" s="1"/>
  <c r="K845" i="15"/>
  <c r="L845" i="15" s="1"/>
  <c r="J845" i="15"/>
  <c r="I845" i="15"/>
  <c r="G845" i="15"/>
  <c r="H845" i="15" s="1"/>
  <c r="F845" i="15"/>
  <c r="A845" i="15"/>
  <c r="M844" i="15"/>
  <c r="N844" i="15" s="1"/>
  <c r="K844" i="15"/>
  <c r="L844" i="15" s="1"/>
  <c r="J844" i="15"/>
  <c r="I844" i="15"/>
  <c r="G844" i="15"/>
  <c r="H844" i="15" s="1"/>
  <c r="F844" i="15"/>
  <c r="A844" i="15"/>
  <c r="M843" i="15"/>
  <c r="N843" i="15" s="1"/>
  <c r="K843" i="15"/>
  <c r="L843" i="15" s="1"/>
  <c r="J843" i="15"/>
  <c r="I843" i="15"/>
  <c r="G843" i="15"/>
  <c r="H843" i="15" s="1"/>
  <c r="F843" i="15"/>
  <c r="A843" i="15"/>
  <c r="M842" i="15"/>
  <c r="N842" i="15" s="1"/>
  <c r="K842" i="15"/>
  <c r="L842" i="15" s="1"/>
  <c r="J842" i="15"/>
  <c r="I842" i="15"/>
  <c r="G842" i="15"/>
  <c r="H842" i="15" s="1"/>
  <c r="F842" i="15"/>
  <c r="A842" i="15"/>
  <c r="M841" i="15"/>
  <c r="N841" i="15" s="1"/>
  <c r="K841" i="15"/>
  <c r="L841" i="15" s="1"/>
  <c r="J841" i="15"/>
  <c r="I841" i="15"/>
  <c r="G841" i="15"/>
  <c r="H841" i="15" s="1"/>
  <c r="F841" i="15"/>
  <c r="A841" i="15"/>
  <c r="M840" i="15"/>
  <c r="N840" i="15" s="1"/>
  <c r="K840" i="15"/>
  <c r="L840" i="15" s="1"/>
  <c r="J840" i="15"/>
  <c r="I840" i="15"/>
  <c r="G840" i="15"/>
  <c r="H840" i="15" s="1"/>
  <c r="F840" i="15"/>
  <c r="A840" i="15"/>
  <c r="M839" i="15"/>
  <c r="N839" i="15" s="1"/>
  <c r="K839" i="15"/>
  <c r="L839" i="15" s="1"/>
  <c r="J839" i="15"/>
  <c r="I839" i="15"/>
  <c r="G839" i="15"/>
  <c r="H839" i="15" s="1"/>
  <c r="F839" i="15"/>
  <c r="A839" i="15"/>
  <c r="M838" i="15"/>
  <c r="N838" i="15" s="1"/>
  <c r="K838" i="15"/>
  <c r="L838" i="15" s="1"/>
  <c r="J838" i="15"/>
  <c r="I838" i="15"/>
  <c r="G838" i="15"/>
  <c r="H838" i="15" s="1"/>
  <c r="F838" i="15"/>
  <c r="A838" i="15"/>
  <c r="M837" i="15"/>
  <c r="N837" i="15" s="1"/>
  <c r="K837" i="15"/>
  <c r="L837" i="15" s="1"/>
  <c r="J837" i="15"/>
  <c r="I837" i="15"/>
  <c r="G837" i="15"/>
  <c r="H837" i="15" s="1"/>
  <c r="F837" i="15"/>
  <c r="A837" i="15"/>
  <c r="M836" i="15"/>
  <c r="N836" i="15" s="1"/>
  <c r="K836" i="15"/>
  <c r="L836" i="15" s="1"/>
  <c r="J836" i="15"/>
  <c r="I836" i="15"/>
  <c r="G836" i="15"/>
  <c r="H836" i="15" s="1"/>
  <c r="F836" i="15"/>
  <c r="A836" i="15"/>
  <c r="M835" i="15"/>
  <c r="N835" i="15" s="1"/>
  <c r="K835" i="15"/>
  <c r="L835" i="15" s="1"/>
  <c r="J835" i="15"/>
  <c r="I835" i="15"/>
  <c r="G835" i="15"/>
  <c r="H835" i="15" s="1"/>
  <c r="F835" i="15"/>
  <c r="A835" i="15"/>
  <c r="M834" i="15"/>
  <c r="N834" i="15" s="1"/>
  <c r="K834" i="15"/>
  <c r="L834" i="15" s="1"/>
  <c r="J834" i="15"/>
  <c r="I834" i="15"/>
  <c r="G834" i="15"/>
  <c r="H834" i="15" s="1"/>
  <c r="F834" i="15"/>
  <c r="A834" i="15"/>
  <c r="M833" i="15"/>
  <c r="N833" i="15" s="1"/>
  <c r="K833" i="15"/>
  <c r="L833" i="15" s="1"/>
  <c r="J833" i="15"/>
  <c r="I833" i="15"/>
  <c r="G833" i="15"/>
  <c r="H833" i="15" s="1"/>
  <c r="F833" i="15"/>
  <c r="A833" i="15"/>
  <c r="M832" i="15"/>
  <c r="N832" i="15" s="1"/>
  <c r="K832" i="15"/>
  <c r="L832" i="15" s="1"/>
  <c r="J832" i="15"/>
  <c r="I832" i="15"/>
  <c r="G832" i="15"/>
  <c r="H832" i="15" s="1"/>
  <c r="F832" i="15"/>
  <c r="A832" i="15"/>
  <c r="M831" i="15"/>
  <c r="N831" i="15" s="1"/>
  <c r="K831" i="15"/>
  <c r="L831" i="15" s="1"/>
  <c r="J831" i="15"/>
  <c r="I831" i="15"/>
  <c r="G831" i="15"/>
  <c r="H831" i="15" s="1"/>
  <c r="F831" i="15"/>
  <c r="A831" i="15"/>
  <c r="M830" i="15"/>
  <c r="N830" i="15" s="1"/>
  <c r="K830" i="15"/>
  <c r="L830" i="15" s="1"/>
  <c r="J830" i="15"/>
  <c r="I830" i="15"/>
  <c r="G830" i="15"/>
  <c r="H830" i="15" s="1"/>
  <c r="F830" i="15"/>
  <c r="A830" i="15"/>
  <c r="M829" i="15"/>
  <c r="N829" i="15" s="1"/>
  <c r="K829" i="15"/>
  <c r="L829" i="15" s="1"/>
  <c r="J829" i="15"/>
  <c r="I829" i="15"/>
  <c r="G829" i="15"/>
  <c r="H829" i="15" s="1"/>
  <c r="F829" i="15"/>
  <c r="A829" i="15"/>
  <c r="M828" i="15"/>
  <c r="N828" i="15" s="1"/>
  <c r="K828" i="15"/>
  <c r="L828" i="15" s="1"/>
  <c r="J828" i="15"/>
  <c r="I828" i="15"/>
  <c r="G828" i="15"/>
  <c r="H828" i="15" s="1"/>
  <c r="F828" i="15"/>
  <c r="A828" i="15"/>
  <c r="M827" i="15"/>
  <c r="N827" i="15" s="1"/>
  <c r="K827" i="15"/>
  <c r="L827" i="15" s="1"/>
  <c r="J827" i="15"/>
  <c r="I827" i="15"/>
  <c r="G827" i="15"/>
  <c r="H827" i="15" s="1"/>
  <c r="F827" i="15"/>
  <c r="A827" i="15"/>
  <c r="M826" i="15"/>
  <c r="N826" i="15" s="1"/>
  <c r="K826" i="15"/>
  <c r="L826" i="15" s="1"/>
  <c r="J826" i="15"/>
  <c r="I826" i="15"/>
  <c r="G826" i="15"/>
  <c r="H826" i="15" s="1"/>
  <c r="F826" i="15"/>
  <c r="A826" i="15"/>
  <c r="M825" i="15"/>
  <c r="N825" i="15" s="1"/>
  <c r="K825" i="15"/>
  <c r="L825" i="15" s="1"/>
  <c r="J825" i="15"/>
  <c r="I825" i="15"/>
  <c r="G825" i="15"/>
  <c r="H825" i="15" s="1"/>
  <c r="F825" i="15"/>
  <c r="A825" i="15"/>
  <c r="M824" i="15"/>
  <c r="N824" i="15" s="1"/>
  <c r="K824" i="15"/>
  <c r="L824" i="15" s="1"/>
  <c r="J824" i="15"/>
  <c r="I824" i="15"/>
  <c r="G824" i="15"/>
  <c r="H824" i="15" s="1"/>
  <c r="F824" i="15"/>
  <c r="A824" i="15"/>
  <c r="M823" i="15"/>
  <c r="N823" i="15" s="1"/>
  <c r="K823" i="15"/>
  <c r="L823" i="15" s="1"/>
  <c r="J823" i="15"/>
  <c r="I823" i="15"/>
  <c r="G823" i="15"/>
  <c r="H823" i="15" s="1"/>
  <c r="F823" i="15"/>
  <c r="A823" i="15"/>
  <c r="M822" i="15"/>
  <c r="N822" i="15" s="1"/>
  <c r="K822" i="15"/>
  <c r="L822" i="15" s="1"/>
  <c r="J822" i="15"/>
  <c r="I822" i="15"/>
  <c r="G822" i="15"/>
  <c r="H822" i="15" s="1"/>
  <c r="F822" i="15"/>
  <c r="A822" i="15"/>
  <c r="M821" i="15"/>
  <c r="N821" i="15" s="1"/>
  <c r="K821" i="15"/>
  <c r="L821" i="15" s="1"/>
  <c r="J821" i="15"/>
  <c r="I821" i="15"/>
  <c r="G821" i="15"/>
  <c r="H821" i="15" s="1"/>
  <c r="F821" i="15"/>
  <c r="A821" i="15"/>
  <c r="M820" i="15"/>
  <c r="N820" i="15" s="1"/>
  <c r="K820" i="15"/>
  <c r="L820" i="15" s="1"/>
  <c r="J820" i="15"/>
  <c r="I820" i="15"/>
  <c r="G820" i="15"/>
  <c r="H820" i="15" s="1"/>
  <c r="F820" i="15"/>
  <c r="A820" i="15"/>
  <c r="M819" i="15"/>
  <c r="N819" i="15" s="1"/>
  <c r="K819" i="15"/>
  <c r="L819" i="15" s="1"/>
  <c r="J819" i="15"/>
  <c r="I819" i="15"/>
  <c r="G819" i="15"/>
  <c r="H819" i="15" s="1"/>
  <c r="F819" i="15"/>
  <c r="A819" i="15"/>
  <c r="M818" i="15"/>
  <c r="N818" i="15" s="1"/>
  <c r="K818" i="15"/>
  <c r="L818" i="15" s="1"/>
  <c r="J818" i="15"/>
  <c r="I818" i="15"/>
  <c r="G818" i="15"/>
  <c r="H818" i="15" s="1"/>
  <c r="F818" i="15"/>
  <c r="A818" i="15"/>
  <c r="M817" i="15"/>
  <c r="N817" i="15" s="1"/>
  <c r="K817" i="15"/>
  <c r="L817" i="15" s="1"/>
  <c r="J817" i="15"/>
  <c r="I817" i="15"/>
  <c r="G817" i="15"/>
  <c r="H817" i="15" s="1"/>
  <c r="F817" i="15"/>
  <c r="A817" i="15"/>
  <c r="M816" i="15"/>
  <c r="N816" i="15" s="1"/>
  <c r="K816" i="15"/>
  <c r="L816" i="15" s="1"/>
  <c r="J816" i="15"/>
  <c r="I816" i="15"/>
  <c r="G816" i="15"/>
  <c r="H816" i="15" s="1"/>
  <c r="F816" i="15"/>
  <c r="A816" i="15"/>
  <c r="M815" i="15"/>
  <c r="N815" i="15" s="1"/>
  <c r="K815" i="15"/>
  <c r="L815" i="15" s="1"/>
  <c r="J815" i="15"/>
  <c r="I815" i="15"/>
  <c r="G815" i="15"/>
  <c r="H815" i="15" s="1"/>
  <c r="F815" i="15"/>
  <c r="A815" i="15"/>
  <c r="M814" i="15"/>
  <c r="N814" i="15" s="1"/>
  <c r="K814" i="15"/>
  <c r="L814" i="15" s="1"/>
  <c r="J814" i="15"/>
  <c r="I814" i="15"/>
  <c r="G814" i="15"/>
  <c r="H814" i="15" s="1"/>
  <c r="F814" i="15"/>
  <c r="A814" i="15"/>
  <c r="M813" i="15"/>
  <c r="N813" i="15" s="1"/>
  <c r="K813" i="15"/>
  <c r="L813" i="15" s="1"/>
  <c r="J813" i="15"/>
  <c r="I813" i="15"/>
  <c r="G813" i="15"/>
  <c r="H813" i="15" s="1"/>
  <c r="F813" i="15"/>
  <c r="A813" i="15"/>
  <c r="M812" i="15"/>
  <c r="N812" i="15" s="1"/>
  <c r="K812" i="15"/>
  <c r="L812" i="15" s="1"/>
  <c r="J812" i="15"/>
  <c r="I812" i="15"/>
  <c r="G812" i="15"/>
  <c r="H812" i="15" s="1"/>
  <c r="F812" i="15"/>
  <c r="A812" i="15"/>
  <c r="M811" i="15"/>
  <c r="N811" i="15" s="1"/>
  <c r="K811" i="15"/>
  <c r="L811" i="15" s="1"/>
  <c r="J811" i="15"/>
  <c r="I811" i="15"/>
  <c r="G811" i="15"/>
  <c r="H811" i="15" s="1"/>
  <c r="F811" i="15"/>
  <c r="A811" i="15"/>
  <c r="M810" i="15"/>
  <c r="N810" i="15" s="1"/>
  <c r="K810" i="15"/>
  <c r="L810" i="15" s="1"/>
  <c r="J810" i="15"/>
  <c r="I810" i="15"/>
  <c r="G810" i="15"/>
  <c r="H810" i="15" s="1"/>
  <c r="F810" i="15"/>
  <c r="A810" i="15"/>
  <c r="M809" i="15"/>
  <c r="N809" i="15" s="1"/>
  <c r="K809" i="15"/>
  <c r="L809" i="15" s="1"/>
  <c r="J809" i="15"/>
  <c r="I809" i="15"/>
  <c r="G809" i="15"/>
  <c r="H809" i="15" s="1"/>
  <c r="F809" i="15"/>
  <c r="A809" i="15"/>
  <c r="M808" i="15"/>
  <c r="N808" i="15" s="1"/>
  <c r="K808" i="15"/>
  <c r="L808" i="15" s="1"/>
  <c r="J808" i="15"/>
  <c r="I808" i="15"/>
  <c r="G808" i="15"/>
  <c r="H808" i="15" s="1"/>
  <c r="F808" i="15"/>
  <c r="A808" i="15"/>
  <c r="M807" i="15"/>
  <c r="N807" i="15" s="1"/>
  <c r="K807" i="15"/>
  <c r="L807" i="15" s="1"/>
  <c r="J807" i="15"/>
  <c r="I807" i="15"/>
  <c r="G807" i="15"/>
  <c r="H807" i="15" s="1"/>
  <c r="F807" i="15"/>
  <c r="A807" i="15"/>
  <c r="M806" i="15"/>
  <c r="N806" i="15" s="1"/>
  <c r="K806" i="15"/>
  <c r="L806" i="15" s="1"/>
  <c r="J806" i="15"/>
  <c r="I806" i="15"/>
  <c r="G806" i="15"/>
  <c r="H806" i="15" s="1"/>
  <c r="F806" i="15"/>
  <c r="A806" i="15"/>
  <c r="M805" i="15"/>
  <c r="N805" i="15" s="1"/>
  <c r="K805" i="15"/>
  <c r="L805" i="15" s="1"/>
  <c r="J805" i="15"/>
  <c r="I805" i="15"/>
  <c r="G805" i="15"/>
  <c r="H805" i="15" s="1"/>
  <c r="F805" i="15"/>
  <c r="A805" i="15"/>
  <c r="M804" i="15"/>
  <c r="N804" i="15" s="1"/>
  <c r="K804" i="15"/>
  <c r="L804" i="15" s="1"/>
  <c r="J804" i="15"/>
  <c r="I804" i="15"/>
  <c r="G804" i="15"/>
  <c r="H804" i="15" s="1"/>
  <c r="F804" i="15"/>
  <c r="A804" i="15"/>
  <c r="M803" i="15"/>
  <c r="N803" i="15" s="1"/>
  <c r="K803" i="15"/>
  <c r="L803" i="15" s="1"/>
  <c r="J803" i="15"/>
  <c r="I803" i="15"/>
  <c r="G803" i="15"/>
  <c r="H803" i="15" s="1"/>
  <c r="F803" i="15"/>
  <c r="A803" i="15"/>
  <c r="M802" i="15"/>
  <c r="N802" i="15" s="1"/>
  <c r="K802" i="15"/>
  <c r="L802" i="15" s="1"/>
  <c r="J802" i="15"/>
  <c r="I802" i="15"/>
  <c r="G802" i="15"/>
  <c r="H802" i="15" s="1"/>
  <c r="F802" i="15"/>
  <c r="A802" i="15"/>
  <c r="M801" i="15"/>
  <c r="N801" i="15" s="1"/>
  <c r="K801" i="15"/>
  <c r="L801" i="15" s="1"/>
  <c r="J801" i="15"/>
  <c r="I801" i="15"/>
  <c r="G801" i="15"/>
  <c r="H801" i="15" s="1"/>
  <c r="F801" i="15"/>
  <c r="A801" i="15"/>
  <c r="M800" i="15"/>
  <c r="N800" i="15" s="1"/>
  <c r="K800" i="15"/>
  <c r="L800" i="15" s="1"/>
  <c r="J800" i="15"/>
  <c r="I800" i="15"/>
  <c r="G800" i="15"/>
  <c r="H800" i="15" s="1"/>
  <c r="F800" i="15"/>
  <c r="A800" i="15"/>
  <c r="M799" i="15"/>
  <c r="N799" i="15" s="1"/>
  <c r="K799" i="15"/>
  <c r="L799" i="15" s="1"/>
  <c r="J799" i="15"/>
  <c r="I799" i="15"/>
  <c r="G799" i="15"/>
  <c r="H799" i="15" s="1"/>
  <c r="F799" i="15"/>
  <c r="A799" i="15"/>
  <c r="M798" i="15"/>
  <c r="N798" i="15" s="1"/>
  <c r="K798" i="15"/>
  <c r="L798" i="15" s="1"/>
  <c r="J798" i="15"/>
  <c r="I798" i="15"/>
  <c r="G798" i="15"/>
  <c r="H798" i="15" s="1"/>
  <c r="F798" i="15"/>
  <c r="A798" i="15"/>
  <c r="M797" i="15"/>
  <c r="N797" i="15" s="1"/>
  <c r="K797" i="15"/>
  <c r="L797" i="15" s="1"/>
  <c r="J797" i="15"/>
  <c r="I797" i="15"/>
  <c r="G797" i="15"/>
  <c r="H797" i="15" s="1"/>
  <c r="F797" i="15"/>
  <c r="A797" i="15"/>
  <c r="M796" i="15"/>
  <c r="N796" i="15" s="1"/>
  <c r="K796" i="15"/>
  <c r="L796" i="15" s="1"/>
  <c r="J796" i="15"/>
  <c r="I796" i="15"/>
  <c r="G796" i="15"/>
  <c r="H796" i="15" s="1"/>
  <c r="F796" i="15"/>
  <c r="A796" i="15"/>
  <c r="M795" i="15"/>
  <c r="N795" i="15" s="1"/>
  <c r="K795" i="15"/>
  <c r="L795" i="15" s="1"/>
  <c r="J795" i="15"/>
  <c r="I795" i="15"/>
  <c r="G795" i="15"/>
  <c r="H795" i="15" s="1"/>
  <c r="F795" i="15"/>
  <c r="A795" i="15"/>
  <c r="M794" i="15"/>
  <c r="N794" i="15" s="1"/>
  <c r="K794" i="15"/>
  <c r="L794" i="15" s="1"/>
  <c r="J794" i="15"/>
  <c r="I794" i="15"/>
  <c r="G794" i="15"/>
  <c r="H794" i="15" s="1"/>
  <c r="F794" i="15"/>
  <c r="A794" i="15"/>
  <c r="M793" i="15"/>
  <c r="N793" i="15" s="1"/>
  <c r="K793" i="15"/>
  <c r="L793" i="15" s="1"/>
  <c r="J793" i="15"/>
  <c r="I793" i="15"/>
  <c r="G793" i="15"/>
  <c r="H793" i="15" s="1"/>
  <c r="F793" i="15"/>
  <c r="A793" i="15"/>
  <c r="M792" i="15"/>
  <c r="N792" i="15" s="1"/>
  <c r="K792" i="15"/>
  <c r="L792" i="15" s="1"/>
  <c r="J792" i="15"/>
  <c r="I792" i="15"/>
  <c r="G792" i="15"/>
  <c r="H792" i="15" s="1"/>
  <c r="F792" i="15"/>
  <c r="A792" i="15"/>
  <c r="M791" i="15"/>
  <c r="N791" i="15" s="1"/>
  <c r="K791" i="15"/>
  <c r="L791" i="15" s="1"/>
  <c r="J791" i="15"/>
  <c r="I791" i="15"/>
  <c r="G791" i="15"/>
  <c r="H791" i="15" s="1"/>
  <c r="F791" i="15"/>
  <c r="A791" i="15"/>
  <c r="M790" i="15"/>
  <c r="N790" i="15" s="1"/>
  <c r="K790" i="15"/>
  <c r="L790" i="15" s="1"/>
  <c r="J790" i="15"/>
  <c r="I790" i="15"/>
  <c r="G790" i="15"/>
  <c r="H790" i="15" s="1"/>
  <c r="F790" i="15"/>
  <c r="A790" i="15"/>
  <c r="M789" i="15"/>
  <c r="N789" i="15" s="1"/>
  <c r="K789" i="15"/>
  <c r="L789" i="15" s="1"/>
  <c r="J789" i="15"/>
  <c r="I789" i="15"/>
  <c r="G789" i="15"/>
  <c r="H789" i="15" s="1"/>
  <c r="F789" i="15"/>
  <c r="A789" i="15"/>
  <c r="M788" i="15"/>
  <c r="N788" i="15" s="1"/>
  <c r="K788" i="15"/>
  <c r="L788" i="15" s="1"/>
  <c r="J788" i="15"/>
  <c r="I788" i="15"/>
  <c r="G788" i="15"/>
  <c r="H788" i="15" s="1"/>
  <c r="F788" i="15"/>
  <c r="A788" i="15"/>
  <c r="M787" i="15"/>
  <c r="N787" i="15" s="1"/>
  <c r="K787" i="15"/>
  <c r="L787" i="15" s="1"/>
  <c r="J787" i="15"/>
  <c r="I787" i="15"/>
  <c r="G787" i="15"/>
  <c r="H787" i="15" s="1"/>
  <c r="F787" i="15"/>
  <c r="A787" i="15"/>
  <c r="M786" i="15"/>
  <c r="N786" i="15" s="1"/>
  <c r="K786" i="15"/>
  <c r="L786" i="15" s="1"/>
  <c r="J786" i="15"/>
  <c r="I786" i="15"/>
  <c r="G786" i="15"/>
  <c r="H786" i="15" s="1"/>
  <c r="F786" i="15"/>
  <c r="A786" i="15"/>
  <c r="M785" i="15"/>
  <c r="N785" i="15" s="1"/>
  <c r="K785" i="15"/>
  <c r="L785" i="15" s="1"/>
  <c r="J785" i="15"/>
  <c r="I785" i="15"/>
  <c r="G785" i="15"/>
  <c r="H785" i="15" s="1"/>
  <c r="F785" i="15"/>
  <c r="A785" i="15"/>
  <c r="M784" i="15"/>
  <c r="N784" i="15" s="1"/>
  <c r="K784" i="15"/>
  <c r="L784" i="15" s="1"/>
  <c r="J784" i="15"/>
  <c r="I784" i="15"/>
  <c r="G784" i="15"/>
  <c r="H784" i="15" s="1"/>
  <c r="F784" i="15"/>
  <c r="A784" i="15"/>
  <c r="M783" i="15"/>
  <c r="N783" i="15" s="1"/>
  <c r="K783" i="15"/>
  <c r="L783" i="15" s="1"/>
  <c r="J783" i="15"/>
  <c r="I783" i="15"/>
  <c r="G783" i="15"/>
  <c r="H783" i="15" s="1"/>
  <c r="F783" i="15"/>
  <c r="A783" i="15"/>
  <c r="M782" i="15"/>
  <c r="N782" i="15" s="1"/>
  <c r="K782" i="15"/>
  <c r="L782" i="15" s="1"/>
  <c r="J782" i="15"/>
  <c r="I782" i="15"/>
  <c r="G782" i="15"/>
  <c r="H782" i="15" s="1"/>
  <c r="F782" i="15"/>
  <c r="A782" i="15"/>
  <c r="M781" i="15"/>
  <c r="N781" i="15" s="1"/>
  <c r="K781" i="15"/>
  <c r="L781" i="15" s="1"/>
  <c r="J781" i="15"/>
  <c r="I781" i="15"/>
  <c r="G781" i="15"/>
  <c r="H781" i="15" s="1"/>
  <c r="F781" i="15"/>
  <c r="A781" i="15"/>
  <c r="M780" i="15"/>
  <c r="N780" i="15" s="1"/>
  <c r="K780" i="15"/>
  <c r="L780" i="15" s="1"/>
  <c r="J780" i="15"/>
  <c r="I780" i="15"/>
  <c r="G780" i="15"/>
  <c r="H780" i="15" s="1"/>
  <c r="F780" i="15"/>
  <c r="A780" i="15"/>
  <c r="M779" i="15"/>
  <c r="N779" i="15" s="1"/>
  <c r="K779" i="15"/>
  <c r="L779" i="15" s="1"/>
  <c r="J779" i="15"/>
  <c r="I779" i="15"/>
  <c r="G779" i="15"/>
  <c r="H779" i="15" s="1"/>
  <c r="F779" i="15"/>
  <c r="A779" i="15"/>
  <c r="M778" i="15"/>
  <c r="N778" i="15" s="1"/>
  <c r="K778" i="15"/>
  <c r="L778" i="15" s="1"/>
  <c r="J778" i="15"/>
  <c r="I778" i="15"/>
  <c r="G778" i="15"/>
  <c r="H778" i="15" s="1"/>
  <c r="F778" i="15"/>
  <c r="A778" i="15"/>
  <c r="M777" i="15"/>
  <c r="N777" i="15" s="1"/>
  <c r="K777" i="15"/>
  <c r="L777" i="15" s="1"/>
  <c r="J777" i="15"/>
  <c r="I777" i="15"/>
  <c r="G777" i="15"/>
  <c r="H777" i="15" s="1"/>
  <c r="F777" i="15"/>
  <c r="A777" i="15"/>
  <c r="M776" i="15"/>
  <c r="N776" i="15" s="1"/>
  <c r="K776" i="15"/>
  <c r="L776" i="15" s="1"/>
  <c r="J776" i="15"/>
  <c r="I776" i="15"/>
  <c r="G776" i="15"/>
  <c r="H776" i="15" s="1"/>
  <c r="F776" i="15"/>
  <c r="A776" i="15"/>
  <c r="M775" i="15"/>
  <c r="N775" i="15" s="1"/>
  <c r="K775" i="15"/>
  <c r="L775" i="15" s="1"/>
  <c r="J775" i="15"/>
  <c r="I775" i="15"/>
  <c r="G775" i="15"/>
  <c r="H775" i="15" s="1"/>
  <c r="F775" i="15"/>
  <c r="A775" i="15"/>
  <c r="M774" i="15"/>
  <c r="N774" i="15" s="1"/>
  <c r="K774" i="15"/>
  <c r="L774" i="15" s="1"/>
  <c r="J774" i="15"/>
  <c r="I774" i="15"/>
  <c r="G774" i="15"/>
  <c r="H774" i="15" s="1"/>
  <c r="F774" i="15"/>
  <c r="A774" i="15"/>
  <c r="M773" i="15"/>
  <c r="N773" i="15" s="1"/>
  <c r="K773" i="15"/>
  <c r="L773" i="15" s="1"/>
  <c r="J773" i="15"/>
  <c r="I773" i="15"/>
  <c r="G773" i="15"/>
  <c r="H773" i="15" s="1"/>
  <c r="F773" i="15"/>
  <c r="A773" i="15"/>
  <c r="M772" i="15"/>
  <c r="N772" i="15" s="1"/>
  <c r="K772" i="15"/>
  <c r="L772" i="15" s="1"/>
  <c r="J772" i="15"/>
  <c r="I772" i="15"/>
  <c r="G772" i="15"/>
  <c r="H772" i="15" s="1"/>
  <c r="F772" i="15"/>
  <c r="A772" i="15"/>
  <c r="M771" i="15"/>
  <c r="N771" i="15" s="1"/>
  <c r="K771" i="15"/>
  <c r="L771" i="15" s="1"/>
  <c r="J771" i="15"/>
  <c r="I771" i="15"/>
  <c r="G771" i="15"/>
  <c r="H771" i="15" s="1"/>
  <c r="F771" i="15"/>
  <c r="A771" i="15"/>
  <c r="M770" i="15"/>
  <c r="N770" i="15" s="1"/>
  <c r="K770" i="15"/>
  <c r="L770" i="15" s="1"/>
  <c r="J770" i="15"/>
  <c r="I770" i="15"/>
  <c r="G770" i="15"/>
  <c r="H770" i="15" s="1"/>
  <c r="F770" i="15"/>
  <c r="A770" i="15"/>
  <c r="M769" i="15"/>
  <c r="N769" i="15" s="1"/>
  <c r="K769" i="15"/>
  <c r="L769" i="15" s="1"/>
  <c r="J769" i="15"/>
  <c r="I769" i="15"/>
  <c r="G769" i="15"/>
  <c r="H769" i="15" s="1"/>
  <c r="F769" i="15"/>
  <c r="A769" i="15"/>
  <c r="M768" i="15"/>
  <c r="N768" i="15" s="1"/>
  <c r="K768" i="15"/>
  <c r="L768" i="15" s="1"/>
  <c r="J768" i="15"/>
  <c r="I768" i="15"/>
  <c r="G768" i="15"/>
  <c r="H768" i="15" s="1"/>
  <c r="F768" i="15"/>
  <c r="A768" i="15"/>
  <c r="M767" i="15"/>
  <c r="N767" i="15" s="1"/>
  <c r="K767" i="15"/>
  <c r="L767" i="15" s="1"/>
  <c r="J767" i="15"/>
  <c r="I767" i="15"/>
  <c r="G767" i="15"/>
  <c r="H767" i="15" s="1"/>
  <c r="F767" i="15"/>
  <c r="A767" i="15"/>
  <c r="M766" i="15"/>
  <c r="N766" i="15" s="1"/>
  <c r="K766" i="15"/>
  <c r="L766" i="15" s="1"/>
  <c r="J766" i="15"/>
  <c r="I766" i="15"/>
  <c r="G766" i="15"/>
  <c r="H766" i="15" s="1"/>
  <c r="F766" i="15"/>
  <c r="A766" i="15"/>
  <c r="M765" i="15"/>
  <c r="N765" i="15" s="1"/>
  <c r="K765" i="15"/>
  <c r="L765" i="15" s="1"/>
  <c r="J765" i="15"/>
  <c r="I765" i="15"/>
  <c r="G765" i="15"/>
  <c r="H765" i="15" s="1"/>
  <c r="F765" i="15"/>
  <c r="A765" i="15"/>
  <c r="M764" i="15"/>
  <c r="N764" i="15" s="1"/>
  <c r="K764" i="15"/>
  <c r="L764" i="15" s="1"/>
  <c r="J764" i="15"/>
  <c r="I764" i="15"/>
  <c r="G764" i="15"/>
  <c r="H764" i="15" s="1"/>
  <c r="F764" i="15"/>
  <c r="A764" i="15"/>
  <c r="M763" i="15"/>
  <c r="N763" i="15" s="1"/>
  <c r="K763" i="15"/>
  <c r="L763" i="15" s="1"/>
  <c r="J763" i="15"/>
  <c r="I763" i="15"/>
  <c r="G763" i="15"/>
  <c r="H763" i="15" s="1"/>
  <c r="F763" i="15"/>
  <c r="A763" i="15"/>
  <c r="M762" i="15"/>
  <c r="N762" i="15" s="1"/>
  <c r="K762" i="15"/>
  <c r="L762" i="15" s="1"/>
  <c r="J762" i="15"/>
  <c r="I762" i="15"/>
  <c r="G762" i="15"/>
  <c r="H762" i="15" s="1"/>
  <c r="F762" i="15"/>
  <c r="A762" i="15"/>
  <c r="M761" i="15"/>
  <c r="N761" i="15" s="1"/>
  <c r="K761" i="15"/>
  <c r="L761" i="15" s="1"/>
  <c r="J761" i="15"/>
  <c r="I761" i="15"/>
  <c r="G761" i="15"/>
  <c r="H761" i="15" s="1"/>
  <c r="F761" i="15"/>
  <c r="A761" i="15"/>
  <c r="M760" i="15"/>
  <c r="N760" i="15" s="1"/>
  <c r="K760" i="15"/>
  <c r="L760" i="15" s="1"/>
  <c r="J760" i="15"/>
  <c r="I760" i="15"/>
  <c r="G760" i="15"/>
  <c r="H760" i="15" s="1"/>
  <c r="F760" i="15"/>
  <c r="A760" i="15"/>
  <c r="M759" i="15"/>
  <c r="N759" i="15" s="1"/>
  <c r="K759" i="15"/>
  <c r="L759" i="15" s="1"/>
  <c r="J759" i="15"/>
  <c r="I759" i="15"/>
  <c r="G759" i="15"/>
  <c r="H759" i="15" s="1"/>
  <c r="F759" i="15"/>
  <c r="A759" i="15"/>
  <c r="M758" i="15"/>
  <c r="N758" i="15" s="1"/>
  <c r="K758" i="15"/>
  <c r="L758" i="15" s="1"/>
  <c r="J758" i="15"/>
  <c r="I758" i="15"/>
  <c r="G758" i="15"/>
  <c r="H758" i="15" s="1"/>
  <c r="F758" i="15"/>
  <c r="A758" i="15"/>
  <c r="M757" i="15"/>
  <c r="N757" i="15" s="1"/>
  <c r="K757" i="15"/>
  <c r="L757" i="15" s="1"/>
  <c r="J757" i="15"/>
  <c r="I757" i="15"/>
  <c r="G757" i="15"/>
  <c r="H757" i="15" s="1"/>
  <c r="F757" i="15"/>
  <c r="A757" i="15"/>
  <c r="M756" i="15"/>
  <c r="N756" i="15" s="1"/>
  <c r="K756" i="15"/>
  <c r="L756" i="15" s="1"/>
  <c r="J756" i="15"/>
  <c r="I756" i="15"/>
  <c r="G756" i="15"/>
  <c r="H756" i="15" s="1"/>
  <c r="F756" i="15"/>
  <c r="A756" i="15"/>
  <c r="M755" i="15"/>
  <c r="N755" i="15" s="1"/>
  <c r="K755" i="15"/>
  <c r="L755" i="15" s="1"/>
  <c r="J755" i="15"/>
  <c r="I755" i="15"/>
  <c r="G755" i="15"/>
  <c r="H755" i="15" s="1"/>
  <c r="F755" i="15"/>
  <c r="A755" i="15"/>
  <c r="M754" i="15"/>
  <c r="N754" i="15" s="1"/>
  <c r="K754" i="15"/>
  <c r="L754" i="15" s="1"/>
  <c r="J754" i="15"/>
  <c r="I754" i="15"/>
  <c r="G754" i="15"/>
  <c r="H754" i="15" s="1"/>
  <c r="F754" i="15"/>
  <c r="A754" i="15"/>
  <c r="M753" i="15"/>
  <c r="N753" i="15" s="1"/>
  <c r="K753" i="15"/>
  <c r="L753" i="15" s="1"/>
  <c r="J753" i="15"/>
  <c r="I753" i="15"/>
  <c r="G753" i="15"/>
  <c r="H753" i="15" s="1"/>
  <c r="F753" i="15"/>
  <c r="A753" i="15"/>
  <c r="M752" i="15"/>
  <c r="N752" i="15" s="1"/>
  <c r="K752" i="15"/>
  <c r="L752" i="15" s="1"/>
  <c r="J752" i="15"/>
  <c r="I752" i="15"/>
  <c r="G752" i="15"/>
  <c r="H752" i="15" s="1"/>
  <c r="F752" i="15"/>
  <c r="A752" i="15"/>
  <c r="M751" i="15"/>
  <c r="N751" i="15" s="1"/>
  <c r="K751" i="15"/>
  <c r="L751" i="15" s="1"/>
  <c r="J751" i="15"/>
  <c r="I751" i="15"/>
  <c r="G751" i="15"/>
  <c r="H751" i="15" s="1"/>
  <c r="F751" i="15"/>
  <c r="A751" i="15"/>
  <c r="M750" i="15"/>
  <c r="N750" i="15" s="1"/>
  <c r="K750" i="15"/>
  <c r="L750" i="15" s="1"/>
  <c r="J750" i="15"/>
  <c r="I750" i="15"/>
  <c r="G750" i="15"/>
  <c r="H750" i="15" s="1"/>
  <c r="F750" i="15"/>
  <c r="A750" i="15"/>
  <c r="M749" i="15"/>
  <c r="N749" i="15" s="1"/>
  <c r="K749" i="15"/>
  <c r="L749" i="15" s="1"/>
  <c r="J749" i="15"/>
  <c r="I749" i="15"/>
  <c r="G749" i="15"/>
  <c r="H749" i="15" s="1"/>
  <c r="F749" i="15"/>
  <c r="A749" i="15"/>
  <c r="M748" i="15"/>
  <c r="N748" i="15" s="1"/>
  <c r="K748" i="15"/>
  <c r="L748" i="15" s="1"/>
  <c r="J748" i="15"/>
  <c r="I748" i="15"/>
  <c r="G748" i="15"/>
  <c r="H748" i="15" s="1"/>
  <c r="F748" i="15"/>
  <c r="A748" i="15"/>
  <c r="M747" i="15"/>
  <c r="N747" i="15" s="1"/>
  <c r="K747" i="15"/>
  <c r="L747" i="15" s="1"/>
  <c r="J747" i="15"/>
  <c r="I747" i="15"/>
  <c r="G747" i="15"/>
  <c r="H747" i="15" s="1"/>
  <c r="F747" i="15"/>
  <c r="A747" i="15"/>
  <c r="M746" i="15"/>
  <c r="N746" i="15" s="1"/>
  <c r="K746" i="15"/>
  <c r="L746" i="15" s="1"/>
  <c r="J746" i="15"/>
  <c r="I746" i="15"/>
  <c r="G746" i="15"/>
  <c r="H746" i="15" s="1"/>
  <c r="F746" i="15"/>
  <c r="A746" i="15"/>
  <c r="M745" i="15"/>
  <c r="N745" i="15" s="1"/>
  <c r="K745" i="15"/>
  <c r="L745" i="15" s="1"/>
  <c r="J745" i="15"/>
  <c r="I745" i="15"/>
  <c r="G745" i="15"/>
  <c r="H745" i="15" s="1"/>
  <c r="F745" i="15"/>
  <c r="A745" i="15"/>
  <c r="M744" i="15"/>
  <c r="N744" i="15" s="1"/>
  <c r="K744" i="15"/>
  <c r="L744" i="15" s="1"/>
  <c r="J744" i="15"/>
  <c r="I744" i="15"/>
  <c r="G744" i="15"/>
  <c r="H744" i="15" s="1"/>
  <c r="F744" i="15"/>
  <c r="A744" i="15"/>
  <c r="M743" i="15"/>
  <c r="N743" i="15" s="1"/>
  <c r="K743" i="15"/>
  <c r="L743" i="15" s="1"/>
  <c r="J743" i="15"/>
  <c r="I743" i="15"/>
  <c r="G743" i="15"/>
  <c r="H743" i="15" s="1"/>
  <c r="F743" i="15"/>
  <c r="A743" i="15"/>
  <c r="M742" i="15"/>
  <c r="N742" i="15" s="1"/>
  <c r="K742" i="15"/>
  <c r="L742" i="15" s="1"/>
  <c r="J742" i="15"/>
  <c r="I742" i="15"/>
  <c r="G742" i="15"/>
  <c r="H742" i="15" s="1"/>
  <c r="F742" i="15"/>
  <c r="A742" i="15"/>
  <c r="M741" i="15"/>
  <c r="N741" i="15" s="1"/>
  <c r="K741" i="15"/>
  <c r="L741" i="15" s="1"/>
  <c r="J741" i="15"/>
  <c r="I741" i="15"/>
  <c r="G741" i="15"/>
  <c r="H741" i="15" s="1"/>
  <c r="F741" i="15"/>
  <c r="A741" i="15"/>
  <c r="M740" i="15"/>
  <c r="N740" i="15" s="1"/>
  <c r="K740" i="15"/>
  <c r="L740" i="15" s="1"/>
  <c r="J740" i="15"/>
  <c r="I740" i="15"/>
  <c r="G740" i="15"/>
  <c r="H740" i="15" s="1"/>
  <c r="F740" i="15"/>
  <c r="A740" i="15"/>
  <c r="M739" i="15"/>
  <c r="N739" i="15" s="1"/>
  <c r="K739" i="15"/>
  <c r="L739" i="15" s="1"/>
  <c r="J739" i="15"/>
  <c r="I739" i="15"/>
  <c r="G739" i="15"/>
  <c r="H739" i="15" s="1"/>
  <c r="F739" i="15"/>
  <c r="A739" i="15"/>
  <c r="M738" i="15"/>
  <c r="N738" i="15" s="1"/>
  <c r="K738" i="15"/>
  <c r="L738" i="15" s="1"/>
  <c r="J738" i="15"/>
  <c r="I738" i="15"/>
  <c r="G738" i="15"/>
  <c r="H738" i="15" s="1"/>
  <c r="F738" i="15"/>
  <c r="A738" i="15"/>
  <c r="M737" i="15"/>
  <c r="N737" i="15" s="1"/>
  <c r="K737" i="15"/>
  <c r="L737" i="15" s="1"/>
  <c r="J737" i="15"/>
  <c r="I737" i="15"/>
  <c r="G737" i="15"/>
  <c r="H737" i="15" s="1"/>
  <c r="F737" i="15"/>
  <c r="A737" i="15"/>
  <c r="M736" i="15"/>
  <c r="N736" i="15" s="1"/>
  <c r="K736" i="15"/>
  <c r="L736" i="15" s="1"/>
  <c r="J736" i="15"/>
  <c r="I736" i="15"/>
  <c r="G736" i="15"/>
  <c r="H736" i="15" s="1"/>
  <c r="F736" i="15"/>
  <c r="A736" i="15"/>
  <c r="M735" i="15"/>
  <c r="N735" i="15" s="1"/>
  <c r="K735" i="15"/>
  <c r="L735" i="15" s="1"/>
  <c r="J735" i="15"/>
  <c r="I735" i="15"/>
  <c r="G735" i="15"/>
  <c r="H735" i="15" s="1"/>
  <c r="F735" i="15"/>
  <c r="A735" i="15"/>
  <c r="M734" i="15"/>
  <c r="N734" i="15" s="1"/>
  <c r="K734" i="15"/>
  <c r="L734" i="15" s="1"/>
  <c r="J734" i="15"/>
  <c r="I734" i="15"/>
  <c r="G734" i="15"/>
  <c r="H734" i="15" s="1"/>
  <c r="F734" i="15"/>
  <c r="A734" i="15"/>
  <c r="M733" i="15"/>
  <c r="N733" i="15" s="1"/>
  <c r="K733" i="15"/>
  <c r="L733" i="15" s="1"/>
  <c r="J733" i="15"/>
  <c r="I733" i="15"/>
  <c r="G733" i="15"/>
  <c r="H733" i="15" s="1"/>
  <c r="F733" i="15"/>
  <c r="A733" i="15"/>
  <c r="M732" i="15"/>
  <c r="N732" i="15" s="1"/>
  <c r="K732" i="15"/>
  <c r="L732" i="15" s="1"/>
  <c r="J732" i="15"/>
  <c r="I732" i="15"/>
  <c r="G732" i="15"/>
  <c r="H732" i="15" s="1"/>
  <c r="F732" i="15"/>
  <c r="A732" i="15"/>
  <c r="M731" i="15"/>
  <c r="N731" i="15" s="1"/>
  <c r="K731" i="15"/>
  <c r="L731" i="15" s="1"/>
  <c r="J731" i="15"/>
  <c r="I731" i="15"/>
  <c r="G731" i="15"/>
  <c r="H731" i="15" s="1"/>
  <c r="F731" i="15"/>
  <c r="A731" i="15"/>
  <c r="M730" i="15"/>
  <c r="N730" i="15" s="1"/>
  <c r="K730" i="15"/>
  <c r="L730" i="15" s="1"/>
  <c r="J730" i="15"/>
  <c r="I730" i="15"/>
  <c r="G730" i="15"/>
  <c r="H730" i="15" s="1"/>
  <c r="F730" i="15"/>
  <c r="A730" i="15"/>
  <c r="M729" i="15"/>
  <c r="N729" i="15" s="1"/>
  <c r="K729" i="15"/>
  <c r="L729" i="15" s="1"/>
  <c r="J729" i="15"/>
  <c r="I729" i="15"/>
  <c r="G729" i="15"/>
  <c r="H729" i="15" s="1"/>
  <c r="F729" i="15"/>
  <c r="A729" i="15"/>
  <c r="M728" i="15"/>
  <c r="N728" i="15" s="1"/>
  <c r="K728" i="15"/>
  <c r="L728" i="15" s="1"/>
  <c r="J728" i="15"/>
  <c r="I728" i="15"/>
  <c r="G728" i="15"/>
  <c r="H728" i="15" s="1"/>
  <c r="F728" i="15"/>
  <c r="A728" i="15"/>
  <c r="M727" i="15"/>
  <c r="N727" i="15" s="1"/>
  <c r="K727" i="15"/>
  <c r="L727" i="15" s="1"/>
  <c r="J727" i="15"/>
  <c r="I727" i="15"/>
  <c r="G727" i="15"/>
  <c r="H727" i="15" s="1"/>
  <c r="F727" i="15"/>
  <c r="A727" i="15"/>
  <c r="M726" i="15"/>
  <c r="N726" i="15" s="1"/>
  <c r="K726" i="15"/>
  <c r="L726" i="15" s="1"/>
  <c r="J726" i="15"/>
  <c r="I726" i="15"/>
  <c r="G726" i="15"/>
  <c r="H726" i="15" s="1"/>
  <c r="F726" i="15"/>
  <c r="A726" i="15"/>
  <c r="M725" i="15"/>
  <c r="N725" i="15" s="1"/>
  <c r="K725" i="15"/>
  <c r="L725" i="15" s="1"/>
  <c r="J725" i="15"/>
  <c r="I725" i="15"/>
  <c r="G725" i="15"/>
  <c r="H725" i="15" s="1"/>
  <c r="F725" i="15"/>
  <c r="A725" i="15"/>
  <c r="M724" i="15"/>
  <c r="N724" i="15" s="1"/>
  <c r="K724" i="15"/>
  <c r="L724" i="15" s="1"/>
  <c r="J724" i="15"/>
  <c r="I724" i="15"/>
  <c r="G724" i="15"/>
  <c r="H724" i="15" s="1"/>
  <c r="F724" i="15"/>
  <c r="A724" i="15"/>
  <c r="M723" i="15"/>
  <c r="N723" i="15" s="1"/>
  <c r="K723" i="15"/>
  <c r="L723" i="15" s="1"/>
  <c r="J723" i="15"/>
  <c r="I723" i="15"/>
  <c r="G723" i="15"/>
  <c r="H723" i="15" s="1"/>
  <c r="F723" i="15"/>
  <c r="A723" i="15"/>
  <c r="M722" i="15"/>
  <c r="N722" i="15" s="1"/>
  <c r="K722" i="15"/>
  <c r="L722" i="15" s="1"/>
  <c r="J722" i="15"/>
  <c r="I722" i="15"/>
  <c r="G722" i="15"/>
  <c r="H722" i="15" s="1"/>
  <c r="F722" i="15"/>
  <c r="A722" i="15"/>
  <c r="M721" i="15"/>
  <c r="N721" i="15" s="1"/>
  <c r="K721" i="15"/>
  <c r="L721" i="15" s="1"/>
  <c r="J721" i="15"/>
  <c r="I721" i="15"/>
  <c r="G721" i="15"/>
  <c r="H721" i="15" s="1"/>
  <c r="F721" i="15"/>
  <c r="A721" i="15"/>
  <c r="M720" i="15"/>
  <c r="N720" i="15" s="1"/>
  <c r="K720" i="15"/>
  <c r="L720" i="15" s="1"/>
  <c r="J720" i="15"/>
  <c r="I720" i="15"/>
  <c r="G720" i="15"/>
  <c r="H720" i="15" s="1"/>
  <c r="F720" i="15"/>
  <c r="A720" i="15"/>
  <c r="M719" i="15"/>
  <c r="N719" i="15" s="1"/>
  <c r="K719" i="15"/>
  <c r="L719" i="15" s="1"/>
  <c r="J719" i="15"/>
  <c r="I719" i="15"/>
  <c r="G719" i="15"/>
  <c r="H719" i="15" s="1"/>
  <c r="F719" i="15"/>
  <c r="A719" i="15"/>
  <c r="M718" i="15"/>
  <c r="N718" i="15" s="1"/>
  <c r="K718" i="15"/>
  <c r="L718" i="15" s="1"/>
  <c r="J718" i="15"/>
  <c r="I718" i="15"/>
  <c r="G718" i="15"/>
  <c r="H718" i="15" s="1"/>
  <c r="F718" i="15"/>
  <c r="A718" i="15"/>
  <c r="M717" i="15"/>
  <c r="N717" i="15" s="1"/>
  <c r="K717" i="15"/>
  <c r="L717" i="15" s="1"/>
  <c r="J717" i="15"/>
  <c r="I717" i="15"/>
  <c r="G717" i="15"/>
  <c r="H717" i="15" s="1"/>
  <c r="F717" i="15"/>
  <c r="A717" i="15"/>
  <c r="M716" i="15"/>
  <c r="N716" i="15" s="1"/>
  <c r="K716" i="15"/>
  <c r="L716" i="15" s="1"/>
  <c r="J716" i="15"/>
  <c r="I716" i="15"/>
  <c r="G716" i="15"/>
  <c r="H716" i="15" s="1"/>
  <c r="F716" i="15"/>
  <c r="A716" i="15"/>
  <c r="M715" i="15"/>
  <c r="N715" i="15" s="1"/>
  <c r="K715" i="15"/>
  <c r="L715" i="15" s="1"/>
  <c r="J715" i="15"/>
  <c r="I715" i="15"/>
  <c r="G715" i="15"/>
  <c r="H715" i="15" s="1"/>
  <c r="F715" i="15"/>
  <c r="A715" i="15"/>
  <c r="M714" i="15"/>
  <c r="N714" i="15" s="1"/>
  <c r="K714" i="15"/>
  <c r="L714" i="15" s="1"/>
  <c r="J714" i="15"/>
  <c r="I714" i="15"/>
  <c r="G714" i="15"/>
  <c r="H714" i="15" s="1"/>
  <c r="F714" i="15"/>
  <c r="A714" i="15"/>
  <c r="M713" i="15"/>
  <c r="N713" i="15" s="1"/>
  <c r="K713" i="15"/>
  <c r="L713" i="15" s="1"/>
  <c r="J713" i="15"/>
  <c r="I713" i="15"/>
  <c r="G713" i="15"/>
  <c r="H713" i="15" s="1"/>
  <c r="F713" i="15"/>
  <c r="A713" i="15"/>
  <c r="M712" i="15"/>
  <c r="N712" i="15" s="1"/>
  <c r="K712" i="15"/>
  <c r="L712" i="15" s="1"/>
  <c r="J712" i="15"/>
  <c r="I712" i="15"/>
  <c r="G712" i="15"/>
  <c r="H712" i="15" s="1"/>
  <c r="F712" i="15"/>
  <c r="A712" i="15"/>
  <c r="M711" i="15"/>
  <c r="N711" i="15" s="1"/>
  <c r="K711" i="15"/>
  <c r="L711" i="15" s="1"/>
  <c r="J711" i="15"/>
  <c r="I711" i="15"/>
  <c r="G711" i="15"/>
  <c r="H711" i="15" s="1"/>
  <c r="F711" i="15"/>
  <c r="A711" i="15"/>
  <c r="M710" i="15"/>
  <c r="N710" i="15" s="1"/>
  <c r="K710" i="15"/>
  <c r="L710" i="15" s="1"/>
  <c r="J710" i="15"/>
  <c r="I710" i="15"/>
  <c r="G710" i="15"/>
  <c r="H710" i="15" s="1"/>
  <c r="F710" i="15"/>
  <c r="A710" i="15"/>
  <c r="M709" i="15"/>
  <c r="N709" i="15" s="1"/>
  <c r="K709" i="15"/>
  <c r="L709" i="15" s="1"/>
  <c r="J709" i="15"/>
  <c r="I709" i="15"/>
  <c r="G709" i="15"/>
  <c r="H709" i="15" s="1"/>
  <c r="F709" i="15"/>
  <c r="A709" i="15"/>
  <c r="M708" i="15"/>
  <c r="N708" i="15" s="1"/>
  <c r="K708" i="15"/>
  <c r="L708" i="15" s="1"/>
  <c r="J708" i="15"/>
  <c r="I708" i="15"/>
  <c r="G708" i="15"/>
  <c r="H708" i="15" s="1"/>
  <c r="F708" i="15"/>
  <c r="A708" i="15"/>
  <c r="M707" i="15"/>
  <c r="N707" i="15" s="1"/>
  <c r="K707" i="15"/>
  <c r="L707" i="15" s="1"/>
  <c r="J707" i="15"/>
  <c r="I707" i="15"/>
  <c r="G707" i="15"/>
  <c r="H707" i="15" s="1"/>
  <c r="F707" i="15"/>
  <c r="A707" i="15"/>
  <c r="M706" i="15"/>
  <c r="N706" i="15" s="1"/>
  <c r="K706" i="15"/>
  <c r="L706" i="15" s="1"/>
  <c r="J706" i="15"/>
  <c r="I706" i="15"/>
  <c r="G706" i="15"/>
  <c r="H706" i="15" s="1"/>
  <c r="F706" i="15"/>
  <c r="A706" i="15"/>
  <c r="M705" i="15"/>
  <c r="N705" i="15" s="1"/>
  <c r="K705" i="15"/>
  <c r="L705" i="15" s="1"/>
  <c r="J705" i="15"/>
  <c r="I705" i="15"/>
  <c r="G705" i="15"/>
  <c r="H705" i="15" s="1"/>
  <c r="F705" i="15"/>
  <c r="A705" i="15"/>
  <c r="M704" i="15"/>
  <c r="N704" i="15" s="1"/>
  <c r="K704" i="15"/>
  <c r="L704" i="15" s="1"/>
  <c r="J704" i="15"/>
  <c r="I704" i="15"/>
  <c r="G704" i="15"/>
  <c r="H704" i="15" s="1"/>
  <c r="F704" i="15"/>
  <c r="A704" i="15"/>
  <c r="M703" i="15"/>
  <c r="N703" i="15" s="1"/>
  <c r="K703" i="15"/>
  <c r="L703" i="15" s="1"/>
  <c r="J703" i="15"/>
  <c r="I703" i="15"/>
  <c r="G703" i="15"/>
  <c r="H703" i="15" s="1"/>
  <c r="F703" i="15"/>
  <c r="A703" i="15"/>
  <c r="M702" i="15"/>
  <c r="N702" i="15" s="1"/>
  <c r="K702" i="15"/>
  <c r="L702" i="15" s="1"/>
  <c r="J702" i="15"/>
  <c r="I702" i="15"/>
  <c r="G702" i="15"/>
  <c r="H702" i="15" s="1"/>
  <c r="F702" i="15"/>
  <c r="A702" i="15"/>
  <c r="M701" i="15"/>
  <c r="N701" i="15" s="1"/>
  <c r="K701" i="15"/>
  <c r="L701" i="15" s="1"/>
  <c r="J701" i="15"/>
  <c r="I701" i="15"/>
  <c r="G701" i="15"/>
  <c r="H701" i="15" s="1"/>
  <c r="F701" i="15"/>
  <c r="A701" i="15"/>
  <c r="M700" i="15"/>
  <c r="N700" i="15" s="1"/>
  <c r="K700" i="15"/>
  <c r="L700" i="15" s="1"/>
  <c r="J700" i="15"/>
  <c r="I700" i="15"/>
  <c r="G700" i="15"/>
  <c r="H700" i="15" s="1"/>
  <c r="F700" i="15"/>
  <c r="A700" i="15"/>
  <c r="M699" i="15"/>
  <c r="N699" i="15" s="1"/>
  <c r="K699" i="15"/>
  <c r="L699" i="15" s="1"/>
  <c r="J699" i="15"/>
  <c r="I699" i="15"/>
  <c r="G699" i="15"/>
  <c r="H699" i="15" s="1"/>
  <c r="F699" i="15"/>
  <c r="A699" i="15"/>
  <c r="M698" i="15"/>
  <c r="N698" i="15" s="1"/>
  <c r="K698" i="15"/>
  <c r="L698" i="15" s="1"/>
  <c r="J698" i="15"/>
  <c r="I698" i="15"/>
  <c r="G698" i="15"/>
  <c r="H698" i="15" s="1"/>
  <c r="F698" i="15"/>
  <c r="A698" i="15"/>
  <c r="M697" i="15"/>
  <c r="N697" i="15" s="1"/>
  <c r="K697" i="15"/>
  <c r="L697" i="15" s="1"/>
  <c r="J697" i="15"/>
  <c r="I697" i="15"/>
  <c r="G697" i="15"/>
  <c r="H697" i="15" s="1"/>
  <c r="F697" i="15"/>
  <c r="A697" i="15"/>
  <c r="M696" i="15"/>
  <c r="N696" i="15" s="1"/>
  <c r="K696" i="15"/>
  <c r="L696" i="15" s="1"/>
  <c r="J696" i="15"/>
  <c r="I696" i="15"/>
  <c r="G696" i="15"/>
  <c r="H696" i="15" s="1"/>
  <c r="F696" i="15"/>
  <c r="A696" i="15"/>
  <c r="M695" i="15"/>
  <c r="N695" i="15" s="1"/>
  <c r="K695" i="15"/>
  <c r="L695" i="15" s="1"/>
  <c r="J695" i="15"/>
  <c r="I695" i="15"/>
  <c r="G695" i="15"/>
  <c r="H695" i="15" s="1"/>
  <c r="F695" i="15"/>
  <c r="A695" i="15"/>
  <c r="M694" i="15"/>
  <c r="N694" i="15" s="1"/>
  <c r="K694" i="15"/>
  <c r="L694" i="15" s="1"/>
  <c r="J694" i="15"/>
  <c r="I694" i="15"/>
  <c r="G694" i="15"/>
  <c r="H694" i="15" s="1"/>
  <c r="F694" i="15"/>
  <c r="A694" i="15"/>
  <c r="M693" i="15"/>
  <c r="N693" i="15" s="1"/>
  <c r="K693" i="15"/>
  <c r="L693" i="15" s="1"/>
  <c r="J693" i="15"/>
  <c r="I693" i="15"/>
  <c r="G693" i="15"/>
  <c r="H693" i="15" s="1"/>
  <c r="F693" i="15"/>
  <c r="A693" i="15"/>
  <c r="M692" i="15"/>
  <c r="N692" i="15" s="1"/>
  <c r="K692" i="15"/>
  <c r="L692" i="15" s="1"/>
  <c r="J692" i="15"/>
  <c r="I692" i="15"/>
  <c r="G692" i="15"/>
  <c r="H692" i="15" s="1"/>
  <c r="F692" i="15"/>
  <c r="A692" i="15"/>
  <c r="M691" i="15"/>
  <c r="N691" i="15" s="1"/>
  <c r="K691" i="15"/>
  <c r="L691" i="15" s="1"/>
  <c r="J691" i="15"/>
  <c r="I691" i="15"/>
  <c r="G691" i="15"/>
  <c r="H691" i="15" s="1"/>
  <c r="F691" i="15"/>
  <c r="A691" i="15"/>
  <c r="M690" i="15"/>
  <c r="N690" i="15" s="1"/>
  <c r="K690" i="15"/>
  <c r="L690" i="15" s="1"/>
  <c r="J690" i="15"/>
  <c r="I690" i="15"/>
  <c r="G690" i="15"/>
  <c r="H690" i="15" s="1"/>
  <c r="F690" i="15"/>
  <c r="A690" i="15"/>
  <c r="M689" i="15"/>
  <c r="N689" i="15" s="1"/>
  <c r="K689" i="15"/>
  <c r="L689" i="15" s="1"/>
  <c r="J689" i="15"/>
  <c r="I689" i="15"/>
  <c r="G689" i="15"/>
  <c r="H689" i="15" s="1"/>
  <c r="F689" i="15"/>
  <c r="A689" i="15"/>
  <c r="M688" i="15"/>
  <c r="N688" i="15" s="1"/>
  <c r="K688" i="15"/>
  <c r="L688" i="15" s="1"/>
  <c r="J688" i="15"/>
  <c r="I688" i="15"/>
  <c r="G688" i="15"/>
  <c r="H688" i="15" s="1"/>
  <c r="F688" i="15"/>
  <c r="A688" i="15"/>
  <c r="M687" i="15"/>
  <c r="N687" i="15" s="1"/>
  <c r="K687" i="15"/>
  <c r="L687" i="15" s="1"/>
  <c r="J687" i="15"/>
  <c r="I687" i="15"/>
  <c r="G687" i="15"/>
  <c r="H687" i="15" s="1"/>
  <c r="F687" i="15"/>
  <c r="A687" i="15"/>
  <c r="M686" i="15"/>
  <c r="N686" i="15" s="1"/>
  <c r="K686" i="15"/>
  <c r="L686" i="15" s="1"/>
  <c r="J686" i="15"/>
  <c r="I686" i="15"/>
  <c r="G686" i="15"/>
  <c r="H686" i="15" s="1"/>
  <c r="F686" i="15"/>
  <c r="A686" i="15"/>
  <c r="M685" i="15"/>
  <c r="N685" i="15" s="1"/>
  <c r="K685" i="15"/>
  <c r="L685" i="15" s="1"/>
  <c r="J685" i="15"/>
  <c r="I685" i="15"/>
  <c r="G685" i="15"/>
  <c r="H685" i="15" s="1"/>
  <c r="F685" i="15"/>
  <c r="A685" i="15"/>
  <c r="M684" i="15"/>
  <c r="N684" i="15" s="1"/>
  <c r="K684" i="15"/>
  <c r="L684" i="15" s="1"/>
  <c r="J684" i="15"/>
  <c r="I684" i="15"/>
  <c r="G684" i="15"/>
  <c r="H684" i="15" s="1"/>
  <c r="F684" i="15"/>
  <c r="A684" i="15"/>
  <c r="M683" i="15"/>
  <c r="N683" i="15" s="1"/>
  <c r="K683" i="15"/>
  <c r="L683" i="15" s="1"/>
  <c r="J683" i="15"/>
  <c r="I683" i="15"/>
  <c r="G683" i="15"/>
  <c r="H683" i="15" s="1"/>
  <c r="F683" i="15"/>
  <c r="A683" i="15"/>
  <c r="M682" i="15"/>
  <c r="N682" i="15" s="1"/>
  <c r="K682" i="15"/>
  <c r="L682" i="15" s="1"/>
  <c r="J682" i="15"/>
  <c r="I682" i="15"/>
  <c r="G682" i="15"/>
  <c r="H682" i="15" s="1"/>
  <c r="F682" i="15"/>
  <c r="A682" i="15"/>
  <c r="M681" i="15"/>
  <c r="N681" i="15" s="1"/>
  <c r="K681" i="15"/>
  <c r="L681" i="15" s="1"/>
  <c r="J681" i="15"/>
  <c r="I681" i="15"/>
  <c r="G681" i="15"/>
  <c r="H681" i="15" s="1"/>
  <c r="F681" i="15"/>
  <c r="A681" i="15"/>
  <c r="M680" i="15"/>
  <c r="N680" i="15" s="1"/>
  <c r="K680" i="15"/>
  <c r="L680" i="15" s="1"/>
  <c r="J680" i="15"/>
  <c r="I680" i="15"/>
  <c r="G680" i="15"/>
  <c r="H680" i="15" s="1"/>
  <c r="F680" i="15"/>
  <c r="A680" i="15"/>
  <c r="M679" i="15"/>
  <c r="N679" i="15" s="1"/>
  <c r="K679" i="15"/>
  <c r="L679" i="15" s="1"/>
  <c r="J679" i="15"/>
  <c r="I679" i="15"/>
  <c r="G679" i="15"/>
  <c r="H679" i="15" s="1"/>
  <c r="F679" i="15"/>
  <c r="A679" i="15"/>
  <c r="M678" i="15"/>
  <c r="N678" i="15" s="1"/>
  <c r="K678" i="15"/>
  <c r="L678" i="15" s="1"/>
  <c r="J678" i="15"/>
  <c r="I678" i="15"/>
  <c r="G678" i="15"/>
  <c r="H678" i="15" s="1"/>
  <c r="F678" i="15"/>
  <c r="A678" i="15"/>
  <c r="M677" i="15"/>
  <c r="N677" i="15" s="1"/>
  <c r="K677" i="15"/>
  <c r="L677" i="15" s="1"/>
  <c r="J677" i="15"/>
  <c r="I677" i="15"/>
  <c r="G677" i="15"/>
  <c r="H677" i="15" s="1"/>
  <c r="F677" i="15"/>
  <c r="A677" i="15"/>
  <c r="M676" i="15"/>
  <c r="N676" i="15" s="1"/>
  <c r="K676" i="15"/>
  <c r="L676" i="15" s="1"/>
  <c r="J676" i="15"/>
  <c r="I676" i="15"/>
  <c r="G676" i="15"/>
  <c r="H676" i="15" s="1"/>
  <c r="F676" i="15"/>
  <c r="A676" i="15"/>
  <c r="M675" i="15"/>
  <c r="N675" i="15" s="1"/>
  <c r="K675" i="15"/>
  <c r="L675" i="15" s="1"/>
  <c r="J675" i="15"/>
  <c r="I675" i="15"/>
  <c r="G675" i="15"/>
  <c r="H675" i="15" s="1"/>
  <c r="F675" i="15"/>
  <c r="A675" i="15"/>
  <c r="M674" i="15"/>
  <c r="N674" i="15" s="1"/>
  <c r="K674" i="15"/>
  <c r="L674" i="15" s="1"/>
  <c r="J674" i="15"/>
  <c r="I674" i="15"/>
  <c r="G674" i="15"/>
  <c r="H674" i="15" s="1"/>
  <c r="F674" i="15"/>
  <c r="A674" i="15"/>
  <c r="M673" i="15"/>
  <c r="N673" i="15" s="1"/>
  <c r="K673" i="15"/>
  <c r="L673" i="15" s="1"/>
  <c r="J673" i="15"/>
  <c r="I673" i="15"/>
  <c r="G673" i="15"/>
  <c r="H673" i="15" s="1"/>
  <c r="F673" i="15"/>
  <c r="A673" i="15"/>
  <c r="M672" i="15"/>
  <c r="N672" i="15" s="1"/>
  <c r="K672" i="15"/>
  <c r="L672" i="15" s="1"/>
  <c r="J672" i="15"/>
  <c r="I672" i="15"/>
  <c r="G672" i="15"/>
  <c r="H672" i="15" s="1"/>
  <c r="F672" i="15"/>
  <c r="A672" i="15"/>
  <c r="M671" i="15"/>
  <c r="N671" i="15" s="1"/>
  <c r="K671" i="15"/>
  <c r="L671" i="15" s="1"/>
  <c r="J671" i="15"/>
  <c r="I671" i="15"/>
  <c r="G671" i="15"/>
  <c r="H671" i="15" s="1"/>
  <c r="F671" i="15"/>
  <c r="A671" i="15"/>
  <c r="M670" i="15"/>
  <c r="N670" i="15" s="1"/>
  <c r="K670" i="15"/>
  <c r="L670" i="15" s="1"/>
  <c r="J670" i="15"/>
  <c r="I670" i="15"/>
  <c r="G670" i="15"/>
  <c r="H670" i="15" s="1"/>
  <c r="F670" i="15"/>
  <c r="A670" i="15"/>
  <c r="M669" i="15"/>
  <c r="N669" i="15" s="1"/>
  <c r="K669" i="15"/>
  <c r="L669" i="15" s="1"/>
  <c r="J669" i="15"/>
  <c r="I669" i="15"/>
  <c r="G669" i="15"/>
  <c r="H669" i="15" s="1"/>
  <c r="F669" i="15"/>
  <c r="A669" i="15"/>
  <c r="M668" i="15"/>
  <c r="N668" i="15" s="1"/>
  <c r="K668" i="15"/>
  <c r="L668" i="15" s="1"/>
  <c r="J668" i="15"/>
  <c r="I668" i="15"/>
  <c r="G668" i="15"/>
  <c r="H668" i="15" s="1"/>
  <c r="F668" i="15"/>
  <c r="A668" i="15"/>
  <c r="M667" i="15"/>
  <c r="N667" i="15" s="1"/>
  <c r="K667" i="15"/>
  <c r="L667" i="15" s="1"/>
  <c r="J667" i="15"/>
  <c r="I667" i="15"/>
  <c r="G667" i="15"/>
  <c r="H667" i="15" s="1"/>
  <c r="F667" i="15"/>
  <c r="A667" i="15"/>
  <c r="M666" i="15"/>
  <c r="N666" i="15" s="1"/>
  <c r="K666" i="15"/>
  <c r="L666" i="15" s="1"/>
  <c r="J666" i="15"/>
  <c r="I666" i="15"/>
  <c r="G666" i="15"/>
  <c r="H666" i="15" s="1"/>
  <c r="F666" i="15"/>
  <c r="A666" i="15"/>
  <c r="M665" i="15"/>
  <c r="N665" i="15" s="1"/>
  <c r="K665" i="15"/>
  <c r="L665" i="15" s="1"/>
  <c r="J665" i="15"/>
  <c r="I665" i="15"/>
  <c r="G665" i="15"/>
  <c r="H665" i="15" s="1"/>
  <c r="F665" i="15"/>
  <c r="A665" i="15"/>
  <c r="M664" i="15"/>
  <c r="N664" i="15" s="1"/>
  <c r="K664" i="15"/>
  <c r="L664" i="15" s="1"/>
  <c r="J664" i="15"/>
  <c r="I664" i="15"/>
  <c r="G664" i="15"/>
  <c r="H664" i="15" s="1"/>
  <c r="F664" i="15"/>
  <c r="A664" i="15"/>
  <c r="M663" i="15"/>
  <c r="N663" i="15" s="1"/>
  <c r="K663" i="15"/>
  <c r="L663" i="15" s="1"/>
  <c r="J663" i="15"/>
  <c r="I663" i="15"/>
  <c r="G663" i="15"/>
  <c r="H663" i="15" s="1"/>
  <c r="F663" i="15"/>
  <c r="A663" i="15"/>
  <c r="M662" i="15"/>
  <c r="N662" i="15" s="1"/>
  <c r="K662" i="15"/>
  <c r="L662" i="15" s="1"/>
  <c r="J662" i="15"/>
  <c r="I662" i="15"/>
  <c r="G662" i="15"/>
  <c r="H662" i="15" s="1"/>
  <c r="F662" i="15"/>
  <c r="A662" i="15"/>
  <c r="M661" i="15"/>
  <c r="N661" i="15" s="1"/>
  <c r="K661" i="15"/>
  <c r="L661" i="15" s="1"/>
  <c r="J661" i="15"/>
  <c r="I661" i="15"/>
  <c r="G661" i="15"/>
  <c r="H661" i="15" s="1"/>
  <c r="F661" i="15"/>
  <c r="A661" i="15"/>
  <c r="M660" i="15"/>
  <c r="N660" i="15" s="1"/>
  <c r="K660" i="15"/>
  <c r="L660" i="15" s="1"/>
  <c r="J660" i="15"/>
  <c r="I660" i="15"/>
  <c r="G660" i="15"/>
  <c r="H660" i="15" s="1"/>
  <c r="F660" i="15"/>
  <c r="A660" i="15"/>
  <c r="M659" i="15"/>
  <c r="N659" i="15" s="1"/>
  <c r="K659" i="15"/>
  <c r="L659" i="15" s="1"/>
  <c r="J659" i="15"/>
  <c r="I659" i="15"/>
  <c r="G659" i="15"/>
  <c r="H659" i="15" s="1"/>
  <c r="F659" i="15"/>
  <c r="A659" i="15"/>
  <c r="M658" i="15"/>
  <c r="N658" i="15" s="1"/>
  <c r="K658" i="15"/>
  <c r="L658" i="15" s="1"/>
  <c r="J658" i="15"/>
  <c r="I658" i="15"/>
  <c r="G658" i="15"/>
  <c r="H658" i="15" s="1"/>
  <c r="F658" i="15"/>
  <c r="A658" i="15"/>
  <c r="M657" i="15"/>
  <c r="N657" i="15" s="1"/>
  <c r="K657" i="15"/>
  <c r="L657" i="15" s="1"/>
  <c r="J657" i="15"/>
  <c r="I657" i="15"/>
  <c r="G657" i="15"/>
  <c r="H657" i="15" s="1"/>
  <c r="F657" i="15"/>
  <c r="A657" i="15"/>
  <c r="M656" i="15"/>
  <c r="N656" i="15" s="1"/>
  <c r="K656" i="15"/>
  <c r="L656" i="15" s="1"/>
  <c r="J656" i="15"/>
  <c r="I656" i="15"/>
  <c r="G656" i="15"/>
  <c r="H656" i="15" s="1"/>
  <c r="F656" i="15"/>
  <c r="A656" i="15"/>
  <c r="M655" i="15"/>
  <c r="N655" i="15" s="1"/>
  <c r="K655" i="15"/>
  <c r="L655" i="15" s="1"/>
  <c r="J655" i="15"/>
  <c r="I655" i="15"/>
  <c r="G655" i="15"/>
  <c r="H655" i="15" s="1"/>
  <c r="F655" i="15"/>
  <c r="A655" i="15"/>
  <c r="M654" i="15"/>
  <c r="N654" i="15" s="1"/>
  <c r="K654" i="15"/>
  <c r="L654" i="15" s="1"/>
  <c r="J654" i="15"/>
  <c r="I654" i="15"/>
  <c r="G654" i="15"/>
  <c r="H654" i="15" s="1"/>
  <c r="F654" i="15"/>
  <c r="A654" i="15"/>
  <c r="M653" i="15"/>
  <c r="N653" i="15" s="1"/>
  <c r="K653" i="15"/>
  <c r="L653" i="15" s="1"/>
  <c r="J653" i="15"/>
  <c r="I653" i="15"/>
  <c r="G653" i="15"/>
  <c r="H653" i="15" s="1"/>
  <c r="F653" i="15"/>
  <c r="A653" i="15"/>
  <c r="M652" i="15"/>
  <c r="N652" i="15" s="1"/>
  <c r="K652" i="15"/>
  <c r="L652" i="15" s="1"/>
  <c r="J652" i="15"/>
  <c r="I652" i="15"/>
  <c r="G652" i="15"/>
  <c r="H652" i="15" s="1"/>
  <c r="F652" i="15"/>
  <c r="A652" i="15"/>
  <c r="M651" i="15"/>
  <c r="N651" i="15" s="1"/>
  <c r="K651" i="15"/>
  <c r="L651" i="15" s="1"/>
  <c r="J651" i="15"/>
  <c r="I651" i="15"/>
  <c r="G651" i="15"/>
  <c r="H651" i="15" s="1"/>
  <c r="F651" i="15"/>
  <c r="A651" i="15"/>
  <c r="M650" i="15"/>
  <c r="N650" i="15" s="1"/>
  <c r="K650" i="15"/>
  <c r="L650" i="15" s="1"/>
  <c r="J650" i="15"/>
  <c r="I650" i="15"/>
  <c r="G650" i="15"/>
  <c r="H650" i="15" s="1"/>
  <c r="F650" i="15"/>
  <c r="A650" i="15"/>
  <c r="M649" i="15"/>
  <c r="N649" i="15" s="1"/>
  <c r="K649" i="15"/>
  <c r="L649" i="15" s="1"/>
  <c r="J649" i="15"/>
  <c r="I649" i="15"/>
  <c r="G649" i="15"/>
  <c r="H649" i="15" s="1"/>
  <c r="F649" i="15"/>
  <c r="A649" i="15"/>
  <c r="M648" i="15"/>
  <c r="N648" i="15" s="1"/>
  <c r="K648" i="15"/>
  <c r="L648" i="15" s="1"/>
  <c r="J648" i="15"/>
  <c r="I648" i="15"/>
  <c r="G648" i="15"/>
  <c r="H648" i="15" s="1"/>
  <c r="F648" i="15"/>
  <c r="A648" i="15"/>
  <c r="M647" i="15"/>
  <c r="N647" i="15" s="1"/>
  <c r="K647" i="15"/>
  <c r="L647" i="15" s="1"/>
  <c r="J647" i="15"/>
  <c r="I647" i="15"/>
  <c r="G647" i="15"/>
  <c r="H647" i="15" s="1"/>
  <c r="F647" i="15"/>
  <c r="A647" i="15"/>
  <c r="M646" i="15"/>
  <c r="N646" i="15" s="1"/>
  <c r="K646" i="15"/>
  <c r="L646" i="15" s="1"/>
  <c r="J646" i="15"/>
  <c r="I646" i="15"/>
  <c r="G646" i="15"/>
  <c r="H646" i="15" s="1"/>
  <c r="F646" i="15"/>
  <c r="A646" i="15"/>
  <c r="M645" i="15"/>
  <c r="N645" i="15" s="1"/>
  <c r="K645" i="15"/>
  <c r="L645" i="15" s="1"/>
  <c r="J645" i="15"/>
  <c r="I645" i="15"/>
  <c r="G645" i="15"/>
  <c r="H645" i="15" s="1"/>
  <c r="F645" i="15"/>
  <c r="A645" i="15"/>
  <c r="M644" i="15"/>
  <c r="N644" i="15" s="1"/>
  <c r="K644" i="15"/>
  <c r="L644" i="15" s="1"/>
  <c r="J644" i="15"/>
  <c r="I644" i="15"/>
  <c r="G644" i="15"/>
  <c r="H644" i="15" s="1"/>
  <c r="F644" i="15"/>
  <c r="A644" i="15"/>
  <c r="M643" i="15"/>
  <c r="N643" i="15" s="1"/>
  <c r="K643" i="15"/>
  <c r="L643" i="15" s="1"/>
  <c r="J643" i="15"/>
  <c r="I643" i="15"/>
  <c r="G643" i="15"/>
  <c r="H643" i="15" s="1"/>
  <c r="F643" i="15"/>
  <c r="A643" i="15"/>
  <c r="M642" i="15"/>
  <c r="N642" i="15" s="1"/>
  <c r="K642" i="15"/>
  <c r="L642" i="15" s="1"/>
  <c r="J642" i="15"/>
  <c r="I642" i="15"/>
  <c r="G642" i="15"/>
  <c r="H642" i="15" s="1"/>
  <c r="F642" i="15"/>
  <c r="A642" i="15"/>
  <c r="M641" i="15"/>
  <c r="N641" i="15" s="1"/>
  <c r="K641" i="15"/>
  <c r="L641" i="15" s="1"/>
  <c r="J641" i="15"/>
  <c r="I641" i="15"/>
  <c r="G641" i="15"/>
  <c r="H641" i="15" s="1"/>
  <c r="F641" i="15"/>
  <c r="A641" i="15"/>
  <c r="M640" i="15"/>
  <c r="N640" i="15" s="1"/>
  <c r="K640" i="15"/>
  <c r="L640" i="15" s="1"/>
  <c r="J640" i="15"/>
  <c r="I640" i="15"/>
  <c r="G640" i="15"/>
  <c r="H640" i="15" s="1"/>
  <c r="F640" i="15"/>
  <c r="A640" i="15"/>
  <c r="M639" i="15"/>
  <c r="N639" i="15" s="1"/>
  <c r="K639" i="15"/>
  <c r="L639" i="15" s="1"/>
  <c r="J639" i="15"/>
  <c r="I639" i="15"/>
  <c r="G639" i="15"/>
  <c r="H639" i="15" s="1"/>
  <c r="F639" i="15"/>
  <c r="A639" i="15"/>
  <c r="M638" i="15"/>
  <c r="N638" i="15" s="1"/>
  <c r="K638" i="15"/>
  <c r="L638" i="15" s="1"/>
  <c r="J638" i="15"/>
  <c r="I638" i="15"/>
  <c r="G638" i="15"/>
  <c r="H638" i="15" s="1"/>
  <c r="F638" i="15"/>
  <c r="A638" i="15"/>
  <c r="M637" i="15"/>
  <c r="N637" i="15" s="1"/>
  <c r="K637" i="15"/>
  <c r="L637" i="15" s="1"/>
  <c r="J637" i="15"/>
  <c r="I637" i="15"/>
  <c r="G637" i="15"/>
  <c r="H637" i="15" s="1"/>
  <c r="F637" i="15"/>
  <c r="A637" i="15"/>
  <c r="M636" i="15"/>
  <c r="N636" i="15" s="1"/>
  <c r="K636" i="15"/>
  <c r="L636" i="15" s="1"/>
  <c r="J636" i="15"/>
  <c r="I636" i="15"/>
  <c r="G636" i="15"/>
  <c r="H636" i="15" s="1"/>
  <c r="F636" i="15"/>
  <c r="A636" i="15"/>
  <c r="M635" i="15"/>
  <c r="N635" i="15" s="1"/>
  <c r="K635" i="15"/>
  <c r="L635" i="15" s="1"/>
  <c r="J635" i="15"/>
  <c r="I635" i="15"/>
  <c r="G635" i="15"/>
  <c r="H635" i="15" s="1"/>
  <c r="F635" i="15"/>
  <c r="A635" i="15"/>
  <c r="M634" i="15"/>
  <c r="N634" i="15" s="1"/>
  <c r="K634" i="15"/>
  <c r="L634" i="15" s="1"/>
  <c r="J634" i="15"/>
  <c r="I634" i="15"/>
  <c r="G634" i="15"/>
  <c r="H634" i="15" s="1"/>
  <c r="F634" i="15"/>
  <c r="A634" i="15"/>
  <c r="M633" i="15"/>
  <c r="N633" i="15" s="1"/>
  <c r="K633" i="15"/>
  <c r="L633" i="15" s="1"/>
  <c r="J633" i="15"/>
  <c r="I633" i="15"/>
  <c r="G633" i="15"/>
  <c r="H633" i="15" s="1"/>
  <c r="F633" i="15"/>
  <c r="A633" i="15"/>
  <c r="M632" i="15"/>
  <c r="N632" i="15" s="1"/>
  <c r="K632" i="15"/>
  <c r="L632" i="15" s="1"/>
  <c r="J632" i="15"/>
  <c r="I632" i="15"/>
  <c r="G632" i="15"/>
  <c r="H632" i="15" s="1"/>
  <c r="F632" i="15"/>
  <c r="A632" i="15"/>
  <c r="M631" i="15"/>
  <c r="N631" i="15" s="1"/>
  <c r="K631" i="15"/>
  <c r="L631" i="15" s="1"/>
  <c r="J631" i="15"/>
  <c r="I631" i="15"/>
  <c r="G631" i="15"/>
  <c r="H631" i="15" s="1"/>
  <c r="F631" i="15"/>
  <c r="A631" i="15"/>
  <c r="M630" i="15"/>
  <c r="N630" i="15" s="1"/>
  <c r="K630" i="15"/>
  <c r="L630" i="15" s="1"/>
  <c r="J630" i="15"/>
  <c r="I630" i="15"/>
  <c r="G630" i="15"/>
  <c r="H630" i="15" s="1"/>
  <c r="F630" i="15"/>
  <c r="A630" i="15"/>
  <c r="M629" i="15"/>
  <c r="N629" i="15" s="1"/>
  <c r="K629" i="15"/>
  <c r="L629" i="15" s="1"/>
  <c r="J629" i="15"/>
  <c r="I629" i="15"/>
  <c r="G629" i="15"/>
  <c r="H629" i="15" s="1"/>
  <c r="F629" i="15"/>
  <c r="A629" i="15"/>
  <c r="M628" i="15"/>
  <c r="N628" i="15" s="1"/>
  <c r="K628" i="15"/>
  <c r="L628" i="15" s="1"/>
  <c r="J628" i="15"/>
  <c r="I628" i="15"/>
  <c r="G628" i="15"/>
  <c r="H628" i="15" s="1"/>
  <c r="F628" i="15"/>
  <c r="A628" i="15"/>
  <c r="M627" i="15"/>
  <c r="N627" i="15" s="1"/>
  <c r="K627" i="15"/>
  <c r="L627" i="15" s="1"/>
  <c r="J627" i="15"/>
  <c r="I627" i="15"/>
  <c r="G627" i="15"/>
  <c r="H627" i="15" s="1"/>
  <c r="F627" i="15"/>
  <c r="A627" i="15"/>
  <c r="M626" i="15"/>
  <c r="N626" i="15" s="1"/>
  <c r="K626" i="15"/>
  <c r="L626" i="15" s="1"/>
  <c r="J626" i="15"/>
  <c r="I626" i="15"/>
  <c r="G626" i="15"/>
  <c r="H626" i="15" s="1"/>
  <c r="F626" i="15"/>
  <c r="A626" i="15"/>
  <c r="M625" i="15"/>
  <c r="N625" i="15" s="1"/>
  <c r="K625" i="15"/>
  <c r="L625" i="15" s="1"/>
  <c r="J625" i="15"/>
  <c r="I625" i="15"/>
  <c r="G625" i="15"/>
  <c r="H625" i="15" s="1"/>
  <c r="F625" i="15"/>
  <c r="A625" i="15"/>
  <c r="M624" i="15"/>
  <c r="N624" i="15" s="1"/>
  <c r="K624" i="15"/>
  <c r="L624" i="15" s="1"/>
  <c r="J624" i="15"/>
  <c r="I624" i="15"/>
  <c r="G624" i="15"/>
  <c r="H624" i="15" s="1"/>
  <c r="F624" i="15"/>
  <c r="A624" i="15"/>
  <c r="M623" i="15"/>
  <c r="N623" i="15" s="1"/>
  <c r="K623" i="15"/>
  <c r="L623" i="15" s="1"/>
  <c r="J623" i="15"/>
  <c r="I623" i="15"/>
  <c r="G623" i="15"/>
  <c r="H623" i="15" s="1"/>
  <c r="F623" i="15"/>
  <c r="A623" i="15"/>
  <c r="M622" i="15"/>
  <c r="N622" i="15" s="1"/>
  <c r="K622" i="15"/>
  <c r="L622" i="15" s="1"/>
  <c r="J622" i="15"/>
  <c r="I622" i="15"/>
  <c r="G622" i="15"/>
  <c r="H622" i="15" s="1"/>
  <c r="F622" i="15"/>
  <c r="A622" i="15"/>
  <c r="M621" i="15"/>
  <c r="N621" i="15" s="1"/>
  <c r="K621" i="15"/>
  <c r="L621" i="15" s="1"/>
  <c r="J621" i="15"/>
  <c r="I621" i="15"/>
  <c r="G621" i="15"/>
  <c r="H621" i="15" s="1"/>
  <c r="F621" i="15"/>
  <c r="A621" i="15"/>
  <c r="M620" i="15"/>
  <c r="N620" i="15" s="1"/>
  <c r="K620" i="15"/>
  <c r="L620" i="15" s="1"/>
  <c r="J620" i="15"/>
  <c r="I620" i="15"/>
  <c r="G620" i="15"/>
  <c r="H620" i="15" s="1"/>
  <c r="F620" i="15"/>
  <c r="A620" i="15"/>
  <c r="M619" i="15"/>
  <c r="N619" i="15" s="1"/>
  <c r="K619" i="15"/>
  <c r="L619" i="15" s="1"/>
  <c r="J619" i="15"/>
  <c r="I619" i="15"/>
  <c r="G619" i="15"/>
  <c r="H619" i="15" s="1"/>
  <c r="F619" i="15"/>
  <c r="A619" i="15"/>
  <c r="M618" i="15"/>
  <c r="N618" i="15" s="1"/>
  <c r="K618" i="15"/>
  <c r="L618" i="15" s="1"/>
  <c r="J618" i="15"/>
  <c r="I618" i="15"/>
  <c r="G618" i="15"/>
  <c r="H618" i="15" s="1"/>
  <c r="F618" i="15"/>
  <c r="A618" i="15"/>
  <c r="M617" i="15"/>
  <c r="N617" i="15" s="1"/>
  <c r="K617" i="15"/>
  <c r="L617" i="15" s="1"/>
  <c r="J617" i="15"/>
  <c r="I617" i="15"/>
  <c r="G617" i="15"/>
  <c r="H617" i="15" s="1"/>
  <c r="F617" i="15"/>
  <c r="A617" i="15"/>
  <c r="M616" i="15"/>
  <c r="N616" i="15" s="1"/>
  <c r="K616" i="15"/>
  <c r="L616" i="15" s="1"/>
  <c r="J616" i="15"/>
  <c r="I616" i="15"/>
  <c r="G616" i="15"/>
  <c r="H616" i="15" s="1"/>
  <c r="F616" i="15"/>
  <c r="A616" i="15"/>
  <c r="M615" i="15"/>
  <c r="N615" i="15" s="1"/>
  <c r="K615" i="15"/>
  <c r="L615" i="15" s="1"/>
  <c r="J615" i="15"/>
  <c r="I615" i="15"/>
  <c r="G615" i="15"/>
  <c r="H615" i="15" s="1"/>
  <c r="F615" i="15"/>
  <c r="A615" i="15"/>
  <c r="M614" i="15"/>
  <c r="N614" i="15" s="1"/>
  <c r="K614" i="15"/>
  <c r="L614" i="15" s="1"/>
  <c r="J614" i="15"/>
  <c r="I614" i="15"/>
  <c r="G614" i="15"/>
  <c r="H614" i="15" s="1"/>
  <c r="F614" i="15"/>
  <c r="A614" i="15"/>
  <c r="M613" i="15"/>
  <c r="N613" i="15" s="1"/>
  <c r="K613" i="15"/>
  <c r="L613" i="15" s="1"/>
  <c r="J613" i="15"/>
  <c r="I613" i="15"/>
  <c r="G613" i="15"/>
  <c r="H613" i="15" s="1"/>
  <c r="F613" i="15"/>
  <c r="A613" i="15"/>
  <c r="M612" i="15"/>
  <c r="N612" i="15" s="1"/>
  <c r="K612" i="15"/>
  <c r="L612" i="15" s="1"/>
  <c r="J612" i="15"/>
  <c r="I612" i="15"/>
  <c r="G612" i="15"/>
  <c r="H612" i="15" s="1"/>
  <c r="F612" i="15"/>
  <c r="A612" i="15"/>
  <c r="M611" i="15"/>
  <c r="N611" i="15" s="1"/>
  <c r="K611" i="15"/>
  <c r="L611" i="15" s="1"/>
  <c r="J611" i="15"/>
  <c r="I611" i="15"/>
  <c r="G611" i="15"/>
  <c r="H611" i="15" s="1"/>
  <c r="F611" i="15"/>
  <c r="A611" i="15"/>
  <c r="M610" i="15"/>
  <c r="N610" i="15" s="1"/>
  <c r="K610" i="15"/>
  <c r="L610" i="15" s="1"/>
  <c r="J610" i="15"/>
  <c r="I610" i="15"/>
  <c r="G610" i="15"/>
  <c r="H610" i="15" s="1"/>
  <c r="F610" i="15"/>
  <c r="A610" i="15"/>
  <c r="M609" i="15"/>
  <c r="N609" i="15" s="1"/>
  <c r="K609" i="15"/>
  <c r="L609" i="15" s="1"/>
  <c r="J609" i="15"/>
  <c r="I609" i="15"/>
  <c r="G609" i="15"/>
  <c r="H609" i="15" s="1"/>
  <c r="F609" i="15"/>
  <c r="A609" i="15"/>
  <c r="M608" i="15"/>
  <c r="N608" i="15" s="1"/>
  <c r="K608" i="15"/>
  <c r="L608" i="15" s="1"/>
  <c r="J608" i="15"/>
  <c r="I608" i="15"/>
  <c r="G608" i="15"/>
  <c r="H608" i="15" s="1"/>
  <c r="F608" i="15"/>
  <c r="A608" i="15"/>
  <c r="M607" i="15"/>
  <c r="N607" i="15" s="1"/>
  <c r="K607" i="15"/>
  <c r="L607" i="15" s="1"/>
  <c r="J607" i="15"/>
  <c r="I607" i="15"/>
  <c r="G607" i="15"/>
  <c r="H607" i="15" s="1"/>
  <c r="F607" i="15"/>
  <c r="A607" i="15"/>
  <c r="M606" i="15"/>
  <c r="N606" i="15" s="1"/>
  <c r="K606" i="15"/>
  <c r="L606" i="15" s="1"/>
  <c r="J606" i="15"/>
  <c r="I606" i="15"/>
  <c r="G606" i="15"/>
  <c r="H606" i="15" s="1"/>
  <c r="F606" i="15"/>
  <c r="A606" i="15"/>
  <c r="M605" i="15"/>
  <c r="N605" i="15" s="1"/>
  <c r="K605" i="15"/>
  <c r="L605" i="15" s="1"/>
  <c r="J605" i="15"/>
  <c r="I605" i="15"/>
  <c r="G605" i="15"/>
  <c r="H605" i="15" s="1"/>
  <c r="F605" i="15"/>
  <c r="A605" i="15"/>
  <c r="M604" i="15"/>
  <c r="N604" i="15" s="1"/>
  <c r="K604" i="15"/>
  <c r="L604" i="15" s="1"/>
  <c r="J604" i="15"/>
  <c r="I604" i="15"/>
  <c r="G604" i="15"/>
  <c r="H604" i="15" s="1"/>
  <c r="F604" i="15"/>
  <c r="A604" i="15"/>
  <c r="M603" i="15"/>
  <c r="N603" i="15" s="1"/>
  <c r="K603" i="15"/>
  <c r="L603" i="15" s="1"/>
  <c r="J603" i="15"/>
  <c r="I603" i="15"/>
  <c r="G603" i="15"/>
  <c r="H603" i="15" s="1"/>
  <c r="F603" i="15"/>
  <c r="A603" i="15"/>
  <c r="M602" i="15"/>
  <c r="N602" i="15" s="1"/>
  <c r="K602" i="15"/>
  <c r="L602" i="15" s="1"/>
  <c r="J602" i="15"/>
  <c r="I602" i="15"/>
  <c r="G602" i="15"/>
  <c r="H602" i="15" s="1"/>
  <c r="F602" i="15"/>
  <c r="A602" i="15"/>
  <c r="M601" i="15"/>
  <c r="N601" i="15" s="1"/>
  <c r="K601" i="15"/>
  <c r="L601" i="15" s="1"/>
  <c r="J601" i="15"/>
  <c r="I601" i="15"/>
  <c r="G601" i="15"/>
  <c r="H601" i="15" s="1"/>
  <c r="F601" i="15"/>
  <c r="A601" i="15"/>
  <c r="M600" i="15"/>
  <c r="N600" i="15" s="1"/>
  <c r="K600" i="15"/>
  <c r="L600" i="15" s="1"/>
  <c r="J600" i="15"/>
  <c r="I600" i="15"/>
  <c r="G600" i="15"/>
  <c r="H600" i="15" s="1"/>
  <c r="F600" i="15"/>
  <c r="A600" i="15"/>
  <c r="M599" i="15"/>
  <c r="N599" i="15" s="1"/>
  <c r="K599" i="15"/>
  <c r="L599" i="15" s="1"/>
  <c r="J599" i="15"/>
  <c r="I599" i="15"/>
  <c r="G599" i="15"/>
  <c r="H599" i="15" s="1"/>
  <c r="F599" i="15"/>
  <c r="A599" i="15"/>
  <c r="M598" i="15"/>
  <c r="N598" i="15" s="1"/>
  <c r="K598" i="15"/>
  <c r="L598" i="15" s="1"/>
  <c r="J598" i="15"/>
  <c r="I598" i="15"/>
  <c r="G598" i="15"/>
  <c r="H598" i="15" s="1"/>
  <c r="F598" i="15"/>
  <c r="A598" i="15"/>
  <c r="M597" i="15"/>
  <c r="N597" i="15" s="1"/>
  <c r="K597" i="15"/>
  <c r="L597" i="15" s="1"/>
  <c r="J597" i="15"/>
  <c r="I597" i="15"/>
  <c r="G597" i="15"/>
  <c r="H597" i="15" s="1"/>
  <c r="F597" i="15"/>
  <c r="A597" i="15"/>
  <c r="M596" i="15"/>
  <c r="N596" i="15" s="1"/>
  <c r="K596" i="15"/>
  <c r="L596" i="15" s="1"/>
  <c r="J596" i="15"/>
  <c r="I596" i="15"/>
  <c r="G596" i="15"/>
  <c r="H596" i="15" s="1"/>
  <c r="F596" i="15"/>
  <c r="A596" i="15"/>
  <c r="M595" i="15"/>
  <c r="N595" i="15" s="1"/>
  <c r="K595" i="15"/>
  <c r="L595" i="15" s="1"/>
  <c r="J595" i="15"/>
  <c r="I595" i="15"/>
  <c r="G595" i="15"/>
  <c r="H595" i="15" s="1"/>
  <c r="F595" i="15"/>
  <c r="A595" i="15"/>
  <c r="M594" i="15"/>
  <c r="N594" i="15" s="1"/>
  <c r="K594" i="15"/>
  <c r="L594" i="15" s="1"/>
  <c r="J594" i="15"/>
  <c r="I594" i="15"/>
  <c r="G594" i="15"/>
  <c r="H594" i="15" s="1"/>
  <c r="F594" i="15"/>
  <c r="A594" i="15"/>
  <c r="M593" i="15"/>
  <c r="N593" i="15" s="1"/>
  <c r="K593" i="15"/>
  <c r="L593" i="15" s="1"/>
  <c r="J593" i="15"/>
  <c r="I593" i="15"/>
  <c r="G593" i="15"/>
  <c r="H593" i="15" s="1"/>
  <c r="F593" i="15"/>
  <c r="A593" i="15"/>
  <c r="M592" i="15"/>
  <c r="N592" i="15" s="1"/>
  <c r="K592" i="15"/>
  <c r="L592" i="15" s="1"/>
  <c r="J592" i="15"/>
  <c r="I592" i="15"/>
  <c r="G592" i="15"/>
  <c r="H592" i="15" s="1"/>
  <c r="F592" i="15"/>
  <c r="A592" i="15"/>
  <c r="M591" i="15"/>
  <c r="N591" i="15" s="1"/>
  <c r="K591" i="15"/>
  <c r="L591" i="15" s="1"/>
  <c r="J591" i="15"/>
  <c r="I591" i="15"/>
  <c r="G591" i="15"/>
  <c r="H591" i="15" s="1"/>
  <c r="F591" i="15"/>
  <c r="A591" i="15"/>
  <c r="M590" i="15"/>
  <c r="N590" i="15" s="1"/>
  <c r="K590" i="15"/>
  <c r="L590" i="15" s="1"/>
  <c r="J590" i="15"/>
  <c r="I590" i="15"/>
  <c r="G590" i="15"/>
  <c r="H590" i="15" s="1"/>
  <c r="F590" i="15"/>
  <c r="A590" i="15"/>
  <c r="M589" i="15"/>
  <c r="N589" i="15" s="1"/>
  <c r="K589" i="15"/>
  <c r="L589" i="15" s="1"/>
  <c r="J589" i="15"/>
  <c r="I589" i="15"/>
  <c r="G589" i="15"/>
  <c r="H589" i="15" s="1"/>
  <c r="F589" i="15"/>
  <c r="A589" i="15"/>
  <c r="M588" i="15"/>
  <c r="N588" i="15" s="1"/>
  <c r="K588" i="15"/>
  <c r="L588" i="15" s="1"/>
  <c r="J588" i="15"/>
  <c r="I588" i="15"/>
  <c r="G588" i="15"/>
  <c r="H588" i="15" s="1"/>
  <c r="F588" i="15"/>
  <c r="A588" i="15"/>
  <c r="M587" i="15"/>
  <c r="N587" i="15" s="1"/>
  <c r="K587" i="15"/>
  <c r="L587" i="15" s="1"/>
  <c r="J587" i="15"/>
  <c r="I587" i="15"/>
  <c r="G587" i="15"/>
  <c r="H587" i="15" s="1"/>
  <c r="F587" i="15"/>
  <c r="A587" i="15"/>
  <c r="M586" i="15"/>
  <c r="N586" i="15" s="1"/>
  <c r="K586" i="15"/>
  <c r="L586" i="15" s="1"/>
  <c r="J586" i="15"/>
  <c r="I586" i="15"/>
  <c r="G586" i="15"/>
  <c r="H586" i="15" s="1"/>
  <c r="F586" i="15"/>
  <c r="A586" i="15"/>
  <c r="M585" i="15"/>
  <c r="N585" i="15" s="1"/>
  <c r="K585" i="15"/>
  <c r="L585" i="15" s="1"/>
  <c r="J585" i="15"/>
  <c r="I585" i="15"/>
  <c r="G585" i="15"/>
  <c r="H585" i="15" s="1"/>
  <c r="F585" i="15"/>
  <c r="A585" i="15"/>
  <c r="M584" i="15"/>
  <c r="N584" i="15" s="1"/>
  <c r="K584" i="15"/>
  <c r="L584" i="15" s="1"/>
  <c r="J584" i="15"/>
  <c r="I584" i="15"/>
  <c r="G584" i="15"/>
  <c r="H584" i="15" s="1"/>
  <c r="F584" i="15"/>
  <c r="A584" i="15"/>
  <c r="M583" i="15"/>
  <c r="N583" i="15" s="1"/>
  <c r="K583" i="15"/>
  <c r="L583" i="15" s="1"/>
  <c r="J583" i="15"/>
  <c r="I583" i="15"/>
  <c r="G583" i="15"/>
  <c r="H583" i="15" s="1"/>
  <c r="F583" i="15"/>
  <c r="A583" i="15"/>
  <c r="M582" i="15"/>
  <c r="N582" i="15" s="1"/>
  <c r="K582" i="15"/>
  <c r="L582" i="15" s="1"/>
  <c r="J582" i="15"/>
  <c r="I582" i="15"/>
  <c r="G582" i="15"/>
  <c r="H582" i="15" s="1"/>
  <c r="F582" i="15"/>
  <c r="A582" i="15"/>
  <c r="M581" i="15"/>
  <c r="N581" i="15" s="1"/>
  <c r="K581" i="15"/>
  <c r="L581" i="15" s="1"/>
  <c r="J581" i="15"/>
  <c r="I581" i="15"/>
  <c r="G581" i="15"/>
  <c r="H581" i="15" s="1"/>
  <c r="F581" i="15"/>
  <c r="A581" i="15"/>
  <c r="M580" i="15"/>
  <c r="N580" i="15" s="1"/>
  <c r="K580" i="15"/>
  <c r="L580" i="15" s="1"/>
  <c r="J580" i="15"/>
  <c r="I580" i="15"/>
  <c r="G580" i="15"/>
  <c r="H580" i="15" s="1"/>
  <c r="F580" i="15"/>
  <c r="A580" i="15"/>
  <c r="M579" i="15"/>
  <c r="N579" i="15" s="1"/>
  <c r="K579" i="15"/>
  <c r="L579" i="15" s="1"/>
  <c r="J579" i="15"/>
  <c r="I579" i="15"/>
  <c r="G579" i="15"/>
  <c r="H579" i="15" s="1"/>
  <c r="F579" i="15"/>
  <c r="A579" i="15"/>
  <c r="M578" i="15"/>
  <c r="N578" i="15" s="1"/>
  <c r="K578" i="15"/>
  <c r="L578" i="15" s="1"/>
  <c r="J578" i="15"/>
  <c r="I578" i="15"/>
  <c r="G578" i="15"/>
  <c r="H578" i="15" s="1"/>
  <c r="F578" i="15"/>
  <c r="A578" i="15"/>
  <c r="M577" i="15"/>
  <c r="N577" i="15" s="1"/>
  <c r="K577" i="15"/>
  <c r="L577" i="15" s="1"/>
  <c r="J577" i="15"/>
  <c r="I577" i="15"/>
  <c r="G577" i="15"/>
  <c r="H577" i="15" s="1"/>
  <c r="F577" i="15"/>
  <c r="A577" i="15"/>
  <c r="M576" i="15"/>
  <c r="N576" i="15" s="1"/>
  <c r="K576" i="15"/>
  <c r="L576" i="15" s="1"/>
  <c r="J576" i="15"/>
  <c r="I576" i="15"/>
  <c r="G576" i="15"/>
  <c r="H576" i="15" s="1"/>
  <c r="F576" i="15"/>
  <c r="A576" i="15"/>
  <c r="M575" i="15"/>
  <c r="N575" i="15" s="1"/>
  <c r="K575" i="15"/>
  <c r="L575" i="15" s="1"/>
  <c r="J575" i="15"/>
  <c r="I575" i="15"/>
  <c r="G575" i="15"/>
  <c r="H575" i="15" s="1"/>
  <c r="F575" i="15"/>
  <c r="A575" i="15"/>
  <c r="M574" i="15"/>
  <c r="N574" i="15" s="1"/>
  <c r="K574" i="15"/>
  <c r="L574" i="15" s="1"/>
  <c r="J574" i="15"/>
  <c r="I574" i="15"/>
  <c r="G574" i="15"/>
  <c r="H574" i="15" s="1"/>
  <c r="F574" i="15"/>
  <c r="A574" i="15"/>
  <c r="M573" i="15"/>
  <c r="N573" i="15" s="1"/>
  <c r="K573" i="15"/>
  <c r="L573" i="15" s="1"/>
  <c r="J573" i="15"/>
  <c r="I573" i="15"/>
  <c r="G573" i="15"/>
  <c r="H573" i="15" s="1"/>
  <c r="F573" i="15"/>
  <c r="A573" i="15"/>
  <c r="M572" i="15"/>
  <c r="N572" i="15" s="1"/>
  <c r="K572" i="15"/>
  <c r="L572" i="15" s="1"/>
  <c r="J572" i="15"/>
  <c r="I572" i="15"/>
  <c r="G572" i="15"/>
  <c r="H572" i="15" s="1"/>
  <c r="F572" i="15"/>
  <c r="A572" i="15"/>
  <c r="M571" i="15"/>
  <c r="N571" i="15" s="1"/>
  <c r="K571" i="15"/>
  <c r="L571" i="15" s="1"/>
  <c r="J571" i="15"/>
  <c r="I571" i="15"/>
  <c r="G571" i="15"/>
  <c r="H571" i="15" s="1"/>
  <c r="F571" i="15"/>
  <c r="A571" i="15"/>
  <c r="M570" i="15"/>
  <c r="N570" i="15" s="1"/>
  <c r="K570" i="15"/>
  <c r="L570" i="15" s="1"/>
  <c r="J570" i="15"/>
  <c r="I570" i="15"/>
  <c r="G570" i="15"/>
  <c r="H570" i="15" s="1"/>
  <c r="F570" i="15"/>
  <c r="A570" i="15"/>
  <c r="M569" i="15"/>
  <c r="N569" i="15" s="1"/>
  <c r="K569" i="15"/>
  <c r="L569" i="15" s="1"/>
  <c r="J569" i="15"/>
  <c r="I569" i="15"/>
  <c r="G569" i="15"/>
  <c r="H569" i="15" s="1"/>
  <c r="F569" i="15"/>
  <c r="A569" i="15"/>
  <c r="M568" i="15"/>
  <c r="N568" i="15" s="1"/>
  <c r="K568" i="15"/>
  <c r="L568" i="15" s="1"/>
  <c r="J568" i="15"/>
  <c r="I568" i="15"/>
  <c r="G568" i="15"/>
  <c r="H568" i="15" s="1"/>
  <c r="F568" i="15"/>
  <c r="A568" i="15"/>
  <c r="M567" i="15"/>
  <c r="N567" i="15" s="1"/>
  <c r="K567" i="15"/>
  <c r="L567" i="15" s="1"/>
  <c r="J567" i="15"/>
  <c r="I567" i="15"/>
  <c r="G567" i="15"/>
  <c r="H567" i="15" s="1"/>
  <c r="F567" i="15"/>
  <c r="A567" i="15"/>
  <c r="M566" i="15"/>
  <c r="N566" i="15" s="1"/>
  <c r="K566" i="15"/>
  <c r="L566" i="15" s="1"/>
  <c r="J566" i="15"/>
  <c r="I566" i="15"/>
  <c r="G566" i="15"/>
  <c r="H566" i="15" s="1"/>
  <c r="F566" i="15"/>
  <c r="A566" i="15"/>
  <c r="M565" i="15"/>
  <c r="N565" i="15" s="1"/>
  <c r="K565" i="15"/>
  <c r="L565" i="15" s="1"/>
  <c r="J565" i="15"/>
  <c r="I565" i="15"/>
  <c r="G565" i="15"/>
  <c r="H565" i="15" s="1"/>
  <c r="F565" i="15"/>
  <c r="A565" i="15"/>
  <c r="M564" i="15"/>
  <c r="N564" i="15" s="1"/>
  <c r="K564" i="15"/>
  <c r="L564" i="15" s="1"/>
  <c r="J564" i="15"/>
  <c r="I564" i="15"/>
  <c r="G564" i="15"/>
  <c r="H564" i="15" s="1"/>
  <c r="F564" i="15"/>
  <c r="A564" i="15"/>
  <c r="M563" i="15"/>
  <c r="N563" i="15" s="1"/>
  <c r="K563" i="15"/>
  <c r="L563" i="15" s="1"/>
  <c r="J563" i="15"/>
  <c r="I563" i="15"/>
  <c r="G563" i="15"/>
  <c r="H563" i="15" s="1"/>
  <c r="F563" i="15"/>
  <c r="A563" i="15"/>
  <c r="M562" i="15"/>
  <c r="N562" i="15" s="1"/>
  <c r="K562" i="15"/>
  <c r="L562" i="15" s="1"/>
  <c r="J562" i="15"/>
  <c r="I562" i="15"/>
  <c r="G562" i="15"/>
  <c r="H562" i="15" s="1"/>
  <c r="F562" i="15"/>
  <c r="A562" i="15"/>
  <c r="M561" i="15"/>
  <c r="N561" i="15" s="1"/>
  <c r="K561" i="15"/>
  <c r="L561" i="15" s="1"/>
  <c r="J561" i="15"/>
  <c r="I561" i="15"/>
  <c r="G561" i="15"/>
  <c r="H561" i="15" s="1"/>
  <c r="F561" i="15"/>
  <c r="A561" i="15"/>
  <c r="M560" i="15"/>
  <c r="N560" i="15" s="1"/>
  <c r="K560" i="15"/>
  <c r="L560" i="15" s="1"/>
  <c r="J560" i="15"/>
  <c r="I560" i="15"/>
  <c r="G560" i="15"/>
  <c r="H560" i="15" s="1"/>
  <c r="F560" i="15"/>
  <c r="A560" i="15"/>
  <c r="M559" i="15"/>
  <c r="N559" i="15" s="1"/>
  <c r="K559" i="15"/>
  <c r="L559" i="15" s="1"/>
  <c r="J559" i="15"/>
  <c r="I559" i="15"/>
  <c r="G559" i="15"/>
  <c r="H559" i="15" s="1"/>
  <c r="F559" i="15"/>
  <c r="A559" i="15"/>
  <c r="M558" i="15"/>
  <c r="N558" i="15" s="1"/>
  <c r="K558" i="15"/>
  <c r="L558" i="15" s="1"/>
  <c r="J558" i="15"/>
  <c r="I558" i="15"/>
  <c r="G558" i="15"/>
  <c r="H558" i="15" s="1"/>
  <c r="F558" i="15"/>
  <c r="A558" i="15"/>
  <c r="M557" i="15"/>
  <c r="N557" i="15" s="1"/>
  <c r="K557" i="15"/>
  <c r="L557" i="15" s="1"/>
  <c r="J557" i="15"/>
  <c r="I557" i="15"/>
  <c r="G557" i="15"/>
  <c r="H557" i="15" s="1"/>
  <c r="F557" i="15"/>
  <c r="A557" i="15"/>
  <c r="M556" i="15"/>
  <c r="N556" i="15" s="1"/>
  <c r="K556" i="15"/>
  <c r="L556" i="15" s="1"/>
  <c r="J556" i="15"/>
  <c r="I556" i="15"/>
  <c r="G556" i="15"/>
  <c r="H556" i="15" s="1"/>
  <c r="F556" i="15"/>
  <c r="A556" i="15"/>
  <c r="M555" i="15"/>
  <c r="N555" i="15" s="1"/>
  <c r="K555" i="15"/>
  <c r="L555" i="15" s="1"/>
  <c r="J555" i="15"/>
  <c r="I555" i="15"/>
  <c r="G555" i="15"/>
  <c r="H555" i="15" s="1"/>
  <c r="F555" i="15"/>
  <c r="A555" i="15"/>
  <c r="M554" i="15"/>
  <c r="N554" i="15" s="1"/>
  <c r="K554" i="15"/>
  <c r="L554" i="15" s="1"/>
  <c r="J554" i="15"/>
  <c r="I554" i="15"/>
  <c r="G554" i="15"/>
  <c r="H554" i="15" s="1"/>
  <c r="F554" i="15"/>
  <c r="A554" i="15"/>
  <c r="M553" i="15"/>
  <c r="N553" i="15" s="1"/>
  <c r="K553" i="15"/>
  <c r="L553" i="15" s="1"/>
  <c r="J553" i="15"/>
  <c r="I553" i="15"/>
  <c r="G553" i="15"/>
  <c r="H553" i="15" s="1"/>
  <c r="F553" i="15"/>
  <c r="A553" i="15"/>
  <c r="M552" i="15"/>
  <c r="N552" i="15" s="1"/>
  <c r="K552" i="15"/>
  <c r="L552" i="15" s="1"/>
  <c r="J552" i="15"/>
  <c r="I552" i="15"/>
  <c r="G552" i="15"/>
  <c r="H552" i="15" s="1"/>
  <c r="F552" i="15"/>
  <c r="A552" i="15"/>
  <c r="M551" i="15"/>
  <c r="N551" i="15" s="1"/>
  <c r="K551" i="15"/>
  <c r="L551" i="15" s="1"/>
  <c r="J551" i="15"/>
  <c r="I551" i="15"/>
  <c r="G551" i="15"/>
  <c r="H551" i="15" s="1"/>
  <c r="F551" i="15"/>
  <c r="A551" i="15"/>
  <c r="M550" i="15"/>
  <c r="N550" i="15" s="1"/>
  <c r="K550" i="15"/>
  <c r="L550" i="15" s="1"/>
  <c r="J550" i="15"/>
  <c r="I550" i="15"/>
  <c r="G550" i="15"/>
  <c r="H550" i="15" s="1"/>
  <c r="F550" i="15"/>
  <c r="A550" i="15"/>
  <c r="M549" i="15"/>
  <c r="N549" i="15" s="1"/>
  <c r="K549" i="15"/>
  <c r="L549" i="15" s="1"/>
  <c r="J549" i="15"/>
  <c r="I549" i="15"/>
  <c r="G549" i="15"/>
  <c r="H549" i="15" s="1"/>
  <c r="F549" i="15"/>
  <c r="A549" i="15"/>
  <c r="M548" i="15"/>
  <c r="N548" i="15" s="1"/>
  <c r="K548" i="15"/>
  <c r="L548" i="15" s="1"/>
  <c r="J548" i="15"/>
  <c r="I548" i="15"/>
  <c r="G548" i="15"/>
  <c r="H548" i="15" s="1"/>
  <c r="F548" i="15"/>
  <c r="A548" i="15"/>
  <c r="M547" i="15"/>
  <c r="N547" i="15" s="1"/>
  <c r="K547" i="15"/>
  <c r="L547" i="15" s="1"/>
  <c r="J547" i="15"/>
  <c r="I547" i="15"/>
  <c r="G547" i="15"/>
  <c r="H547" i="15" s="1"/>
  <c r="F547" i="15"/>
  <c r="A547" i="15"/>
  <c r="M546" i="15"/>
  <c r="N546" i="15" s="1"/>
  <c r="K546" i="15"/>
  <c r="L546" i="15" s="1"/>
  <c r="J546" i="15"/>
  <c r="I546" i="15"/>
  <c r="G546" i="15"/>
  <c r="H546" i="15" s="1"/>
  <c r="F546" i="15"/>
  <c r="A546" i="15"/>
  <c r="M545" i="15"/>
  <c r="N545" i="15" s="1"/>
  <c r="K545" i="15"/>
  <c r="L545" i="15" s="1"/>
  <c r="J545" i="15"/>
  <c r="I545" i="15"/>
  <c r="G545" i="15"/>
  <c r="H545" i="15" s="1"/>
  <c r="F545" i="15"/>
  <c r="A545" i="15"/>
  <c r="M544" i="15"/>
  <c r="N544" i="15" s="1"/>
  <c r="K544" i="15"/>
  <c r="L544" i="15" s="1"/>
  <c r="J544" i="15"/>
  <c r="I544" i="15"/>
  <c r="G544" i="15"/>
  <c r="H544" i="15" s="1"/>
  <c r="F544" i="15"/>
  <c r="A544" i="15"/>
  <c r="M543" i="15"/>
  <c r="N543" i="15" s="1"/>
  <c r="K543" i="15"/>
  <c r="L543" i="15" s="1"/>
  <c r="J543" i="15"/>
  <c r="I543" i="15"/>
  <c r="G543" i="15"/>
  <c r="H543" i="15" s="1"/>
  <c r="F543" i="15"/>
  <c r="A543" i="15"/>
  <c r="M542" i="15"/>
  <c r="N542" i="15" s="1"/>
  <c r="K542" i="15"/>
  <c r="L542" i="15" s="1"/>
  <c r="J542" i="15"/>
  <c r="I542" i="15"/>
  <c r="G542" i="15"/>
  <c r="H542" i="15" s="1"/>
  <c r="F542" i="15"/>
  <c r="A542" i="15"/>
  <c r="M541" i="15"/>
  <c r="N541" i="15" s="1"/>
  <c r="K541" i="15"/>
  <c r="L541" i="15" s="1"/>
  <c r="J541" i="15"/>
  <c r="I541" i="15"/>
  <c r="G541" i="15"/>
  <c r="H541" i="15" s="1"/>
  <c r="F541" i="15"/>
  <c r="A541" i="15"/>
  <c r="M540" i="15"/>
  <c r="N540" i="15" s="1"/>
  <c r="K540" i="15"/>
  <c r="L540" i="15" s="1"/>
  <c r="J540" i="15"/>
  <c r="I540" i="15"/>
  <c r="G540" i="15"/>
  <c r="H540" i="15" s="1"/>
  <c r="F540" i="15"/>
  <c r="A540" i="15"/>
  <c r="M539" i="15"/>
  <c r="N539" i="15" s="1"/>
  <c r="K539" i="15"/>
  <c r="L539" i="15" s="1"/>
  <c r="J539" i="15"/>
  <c r="I539" i="15"/>
  <c r="G539" i="15"/>
  <c r="H539" i="15" s="1"/>
  <c r="F539" i="15"/>
  <c r="A539" i="15"/>
  <c r="M538" i="15"/>
  <c r="N538" i="15" s="1"/>
  <c r="K538" i="15"/>
  <c r="L538" i="15" s="1"/>
  <c r="J538" i="15"/>
  <c r="I538" i="15"/>
  <c r="G538" i="15"/>
  <c r="H538" i="15" s="1"/>
  <c r="F538" i="15"/>
  <c r="A538" i="15"/>
  <c r="M537" i="15"/>
  <c r="N537" i="15" s="1"/>
  <c r="K537" i="15"/>
  <c r="L537" i="15" s="1"/>
  <c r="J537" i="15"/>
  <c r="I537" i="15"/>
  <c r="G537" i="15"/>
  <c r="H537" i="15" s="1"/>
  <c r="F537" i="15"/>
  <c r="A537" i="15"/>
  <c r="M536" i="15"/>
  <c r="N536" i="15" s="1"/>
  <c r="K536" i="15"/>
  <c r="L536" i="15" s="1"/>
  <c r="J536" i="15"/>
  <c r="I536" i="15"/>
  <c r="G536" i="15"/>
  <c r="H536" i="15" s="1"/>
  <c r="F536" i="15"/>
  <c r="A536" i="15"/>
  <c r="M535" i="15"/>
  <c r="N535" i="15" s="1"/>
  <c r="K535" i="15"/>
  <c r="L535" i="15" s="1"/>
  <c r="J535" i="15"/>
  <c r="I535" i="15"/>
  <c r="G535" i="15"/>
  <c r="H535" i="15" s="1"/>
  <c r="F535" i="15"/>
  <c r="A535" i="15"/>
  <c r="M534" i="15"/>
  <c r="N534" i="15" s="1"/>
  <c r="K534" i="15"/>
  <c r="L534" i="15" s="1"/>
  <c r="J534" i="15"/>
  <c r="I534" i="15"/>
  <c r="G534" i="15"/>
  <c r="H534" i="15" s="1"/>
  <c r="F534" i="15"/>
  <c r="A534" i="15"/>
  <c r="M533" i="15"/>
  <c r="N533" i="15" s="1"/>
  <c r="K533" i="15"/>
  <c r="L533" i="15" s="1"/>
  <c r="J533" i="15"/>
  <c r="I533" i="15"/>
  <c r="G533" i="15"/>
  <c r="H533" i="15" s="1"/>
  <c r="F533" i="15"/>
  <c r="A533" i="15"/>
  <c r="M532" i="15"/>
  <c r="N532" i="15" s="1"/>
  <c r="K532" i="15"/>
  <c r="L532" i="15" s="1"/>
  <c r="J532" i="15"/>
  <c r="I532" i="15"/>
  <c r="G532" i="15"/>
  <c r="H532" i="15" s="1"/>
  <c r="F532" i="15"/>
  <c r="A532" i="15"/>
  <c r="M531" i="15"/>
  <c r="N531" i="15" s="1"/>
  <c r="K531" i="15"/>
  <c r="L531" i="15" s="1"/>
  <c r="J531" i="15"/>
  <c r="I531" i="15"/>
  <c r="G531" i="15"/>
  <c r="H531" i="15" s="1"/>
  <c r="F531" i="15"/>
  <c r="A531" i="15"/>
  <c r="M530" i="15"/>
  <c r="N530" i="15" s="1"/>
  <c r="K530" i="15"/>
  <c r="L530" i="15" s="1"/>
  <c r="J530" i="15"/>
  <c r="I530" i="15"/>
  <c r="G530" i="15"/>
  <c r="H530" i="15" s="1"/>
  <c r="F530" i="15"/>
  <c r="A530" i="15"/>
  <c r="M529" i="15"/>
  <c r="N529" i="15" s="1"/>
  <c r="K529" i="15"/>
  <c r="L529" i="15" s="1"/>
  <c r="J529" i="15"/>
  <c r="I529" i="15"/>
  <c r="G529" i="15"/>
  <c r="H529" i="15" s="1"/>
  <c r="F529" i="15"/>
  <c r="A529" i="15"/>
  <c r="M528" i="15"/>
  <c r="N528" i="15" s="1"/>
  <c r="K528" i="15"/>
  <c r="L528" i="15" s="1"/>
  <c r="J528" i="15"/>
  <c r="I528" i="15"/>
  <c r="G528" i="15"/>
  <c r="H528" i="15" s="1"/>
  <c r="F528" i="15"/>
  <c r="A528" i="15"/>
  <c r="M527" i="15"/>
  <c r="N527" i="15" s="1"/>
  <c r="K527" i="15"/>
  <c r="L527" i="15" s="1"/>
  <c r="J527" i="15"/>
  <c r="I527" i="15"/>
  <c r="G527" i="15"/>
  <c r="H527" i="15" s="1"/>
  <c r="F527" i="15"/>
  <c r="A527" i="15"/>
  <c r="M526" i="15"/>
  <c r="N526" i="15" s="1"/>
  <c r="K526" i="15"/>
  <c r="L526" i="15" s="1"/>
  <c r="J526" i="15"/>
  <c r="I526" i="15"/>
  <c r="G526" i="15"/>
  <c r="H526" i="15" s="1"/>
  <c r="F526" i="15"/>
  <c r="A526" i="15"/>
  <c r="M525" i="15"/>
  <c r="N525" i="15" s="1"/>
  <c r="K525" i="15"/>
  <c r="L525" i="15" s="1"/>
  <c r="J525" i="15"/>
  <c r="I525" i="15"/>
  <c r="G525" i="15"/>
  <c r="H525" i="15" s="1"/>
  <c r="F525" i="15"/>
  <c r="A525" i="15"/>
  <c r="M524" i="15"/>
  <c r="N524" i="15" s="1"/>
  <c r="K524" i="15"/>
  <c r="L524" i="15" s="1"/>
  <c r="J524" i="15"/>
  <c r="I524" i="15"/>
  <c r="G524" i="15"/>
  <c r="H524" i="15" s="1"/>
  <c r="F524" i="15"/>
  <c r="A524" i="15"/>
  <c r="M523" i="15"/>
  <c r="N523" i="15" s="1"/>
  <c r="K523" i="15"/>
  <c r="L523" i="15" s="1"/>
  <c r="J523" i="15"/>
  <c r="I523" i="15"/>
  <c r="G523" i="15"/>
  <c r="H523" i="15" s="1"/>
  <c r="F523" i="15"/>
  <c r="A523" i="15"/>
  <c r="M522" i="15"/>
  <c r="N522" i="15" s="1"/>
  <c r="K522" i="15"/>
  <c r="L522" i="15" s="1"/>
  <c r="J522" i="15"/>
  <c r="I522" i="15"/>
  <c r="G522" i="15"/>
  <c r="H522" i="15" s="1"/>
  <c r="F522" i="15"/>
  <c r="A522" i="15"/>
  <c r="M521" i="15"/>
  <c r="N521" i="15" s="1"/>
  <c r="K521" i="15"/>
  <c r="L521" i="15" s="1"/>
  <c r="J521" i="15"/>
  <c r="I521" i="15"/>
  <c r="G521" i="15"/>
  <c r="H521" i="15" s="1"/>
  <c r="F521" i="15"/>
  <c r="A521" i="15"/>
  <c r="M520" i="15"/>
  <c r="N520" i="15" s="1"/>
  <c r="K520" i="15"/>
  <c r="L520" i="15" s="1"/>
  <c r="J520" i="15"/>
  <c r="I520" i="15"/>
  <c r="G520" i="15"/>
  <c r="H520" i="15" s="1"/>
  <c r="F520" i="15"/>
  <c r="A520" i="15"/>
  <c r="M519" i="15"/>
  <c r="N519" i="15" s="1"/>
  <c r="K519" i="15"/>
  <c r="L519" i="15" s="1"/>
  <c r="J519" i="15"/>
  <c r="I519" i="15"/>
  <c r="G519" i="15"/>
  <c r="H519" i="15" s="1"/>
  <c r="F519" i="15"/>
  <c r="A519" i="15"/>
  <c r="M518" i="15"/>
  <c r="N518" i="15" s="1"/>
  <c r="K518" i="15"/>
  <c r="L518" i="15" s="1"/>
  <c r="J518" i="15"/>
  <c r="I518" i="15"/>
  <c r="G518" i="15"/>
  <c r="H518" i="15" s="1"/>
  <c r="F518" i="15"/>
  <c r="A518" i="15"/>
  <c r="M517" i="15"/>
  <c r="N517" i="15" s="1"/>
  <c r="K517" i="15"/>
  <c r="L517" i="15" s="1"/>
  <c r="J517" i="15"/>
  <c r="I517" i="15"/>
  <c r="G517" i="15"/>
  <c r="H517" i="15" s="1"/>
  <c r="F517" i="15"/>
  <c r="A517" i="15"/>
  <c r="M516" i="15"/>
  <c r="N516" i="15" s="1"/>
  <c r="K516" i="15"/>
  <c r="L516" i="15" s="1"/>
  <c r="J516" i="15"/>
  <c r="I516" i="15"/>
  <c r="G516" i="15"/>
  <c r="H516" i="15" s="1"/>
  <c r="F516" i="15"/>
  <c r="A516" i="15"/>
  <c r="M515" i="15"/>
  <c r="N515" i="15" s="1"/>
  <c r="K515" i="15"/>
  <c r="L515" i="15" s="1"/>
  <c r="J515" i="15"/>
  <c r="I515" i="15"/>
  <c r="G515" i="15"/>
  <c r="H515" i="15" s="1"/>
  <c r="F515" i="15"/>
  <c r="A515" i="15"/>
  <c r="M514" i="15"/>
  <c r="N514" i="15" s="1"/>
  <c r="K514" i="15"/>
  <c r="L514" i="15" s="1"/>
  <c r="J514" i="15"/>
  <c r="I514" i="15"/>
  <c r="G514" i="15"/>
  <c r="H514" i="15" s="1"/>
  <c r="F514" i="15"/>
  <c r="A514" i="15"/>
  <c r="M513" i="15"/>
  <c r="N513" i="15" s="1"/>
  <c r="K513" i="15"/>
  <c r="L513" i="15" s="1"/>
  <c r="J513" i="15"/>
  <c r="I513" i="15"/>
  <c r="G513" i="15"/>
  <c r="H513" i="15" s="1"/>
  <c r="F513" i="15"/>
  <c r="A513" i="15"/>
  <c r="M512" i="15"/>
  <c r="N512" i="15" s="1"/>
  <c r="K512" i="15"/>
  <c r="L512" i="15" s="1"/>
  <c r="J512" i="15"/>
  <c r="I512" i="15"/>
  <c r="G512" i="15"/>
  <c r="H512" i="15" s="1"/>
  <c r="F512" i="15"/>
  <c r="A512" i="15"/>
  <c r="M511" i="15"/>
  <c r="N511" i="15" s="1"/>
  <c r="K511" i="15"/>
  <c r="L511" i="15" s="1"/>
  <c r="J511" i="15"/>
  <c r="I511" i="15"/>
  <c r="G511" i="15"/>
  <c r="H511" i="15" s="1"/>
  <c r="F511" i="15"/>
  <c r="A511" i="15"/>
  <c r="M510" i="15"/>
  <c r="N510" i="15" s="1"/>
  <c r="K510" i="15"/>
  <c r="L510" i="15" s="1"/>
  <c r="J510" i="15"/>
  <c r="I510" i="15"/>
  <c r="G510" i="15"/>
  <c r="H510" i="15" s="1"/>
  <c r="F510" i="15"/>
  <c r="A510" i="15"/>
  <c r="M509" i="15"/>
  <c r="N509" i="15" s="1"/>
  <c r="K509" i="15"/>
  <c r="L509" i="15" s="1"/>
  <c r="J509" i="15"/>
  <c r="I509" i="15"/>
  <c r="G509" i="15"/>
  <c r="H509" i="15" s="1"/>
  <c r="F509" i="15"/>
  <c r="A509" i="15"/>
  <c r="M508" i="15"/>
  <c r="N508" i="15" s="1"/>
  <c r="K508" i="15"/>
  <c r="L508" i="15" s="1"/>
  <c r="J508" i="15"/>
  <c r="I508" i="15"/>
  <c r="G508" i="15"/>
  <c r="H508" i="15" s="1"/>
  <c r="F508" i="15"/>
  <c r="A508" i="15"/>
  <c r="M507" i="15"/>
  <c r="N507" i="15" s="1"/>
  <c r="K507" i="15"/>
  <c r="L507" i="15" s="1"/>
  <c r="J507" i="15"/>
  <c r="I507" i="15"/>
  <c r="G507" i="15"/>
  <c r="H507" i="15" s="1"/>
  <c r="F507" i="15"/>
  <c r="A507" i="15"/>
  <c r="M506" i="15"/>
  <c r="N506" i="15" s="1"/>
  <c r="K506" i="15"/>
  <c r="L506" i="15" s="1"/>
  <c r="J506" i="15"/>
  <c r="I506" i="15"/>
  <c r="G506" i="15"/>
  <c r="H506" i="15" s="1"/>
  <c r="F506" i="15"/>
  <c r="A506" i="15"/>
  <c r="M505" i="15"/>
  <c r="N505" i="15" s="1"/>
  <c r="K505" i="15"/>
  <c r="L505" i="15" s="1"/>
  <c r="J505" i="15"/>
  <c r="I505" i="15"/>
  <c r="G505" i="15"/>
  <c r="H505" i="15" s="1"/>
  <c r="F505" i="15"/>
  <c r="A505" i="15"/>
  <c r="M504" i="15"/>
  <c r="N504" i="15" s="1"/>
  <c r="K504" i="15"/>
  <c r="L504" i="15" s="1"/>
  <c r="J504" i="15"/>
  <c r="I504" i="15"/>
  <c r="G504" i="15"/>
  <c r="H504" i="15" s="1"/>
  <c r="F504" i="15"/>
  <c r="A504" i="15"/>
  <c r="M503" i="15"/>
  <c r="N503" i="15" s="1"/>
  <c r="K503" i="15"/>
  <c r="L503" i="15" s="1"/>
  <c r="J503" i="15"/>
  <c r="I503" i="15"/>
  <c r="G503" i="15"/>
  <c r="H503" i="15" s="1"/>
  <c r="F503" i="15"/>
  <c r="A503" i="15"/>
  <c r="M502" i="15"/>
  <c r="N502" i="15" s="1"/>
  <c r="K502" i="15"/>
  <c r="L502" i="15" s="1"/>
  <c r="J502" i="15"/>
  <c r="I502" i="15"/>
  <c r="G502" i="15"/>
  <c r="H502" i="15" s="1"/>
  <c r="F502" i="15"/>
  <c r="A502" i="15"/>
  <c r="M501" i="15"/>
  <c r="N501" i="15" s="1"/>
  <c r="K501" i="15"/>
  <c r="L501" i="15" s="1"/>
  <c r="J501" i="15"/>
  <c r="I501" i="15"/>
  <c r="G501" i="15"/>
  <c r="H501" i="15" s="1"/>
  <c r="F501" i="15"/>
  <c r="A501" i="15"/>
  <c r="M500" i="15"/>
  <c r="N500" i="15" s="1"/>
  <c r="K500" i="15"/>
  <c r="L500" i="15" s="1"/>
  <c r="J500" i="15"/>
  <c r="I500" i="15"/>
  <c r="G500" i="15"/>
  <c r="H500" i="15" s="1"/>
  <c r="F500" i="15"/>
  <c r="A500" i="15"/>
  <c r="M499" i="15"/>
  <c r="N499" i="15" s="1"/>
  <c r="K499" i="15"/>
  <c r="L499" i="15" s="1"/>
  <c r="J499" i="15"/>
  <c r="I499" i="15"/>
  <c r="G499" i="15"/>
  <c r="H499" i="15" s="1"/>
  <c r="F499" i="15"/>
  <c r="A499" i="15"/>
  <c r="M498" i="15"/>
  <c r="N498" i="15" s="1"/>
  <c r="K498" i="15"/>
  <c r="L498" i="15" s="1"/>
  <c r="J498" i="15"/>
  <c r="I498" i="15"/>
  <c r="G498" i="15"/>
  <c r="H498" i="15" s="1"/>
  <c r="F498" i="15"/>
  <c r="A498" i="15"/>
  <c r="M497" i="15"/>
  <c r="N497" i="15" s="1"/>
  <c r="K497" i="15"/>
  <c r="L497" i="15" s="1"/>
  <c r="J497" i="15"/>
  <c r="I497" i="15"/>
  <c r="G497" i="15"/>
  <c r="H497" i="15" s="1"/>
  <c r="F497" i="15"/>
  <c r="A497" i="15"/>
  <c r="M496" i="15"/>
  <c r="N496" i="15" s="1"/>
  <c r="K496" i="15"/>
  <c r="L496" i="15" s="1"/>
  <c r="J496" i="15"/>
  <c r="I496" i="15"/>
  <c r="G496" i="15"/>
  <c r="H496" i="15" s="1"/>
  <c r="F496" i="15"/>
  <c r="A496" i="15"/>
  <c r="M495" i="15"/>
  <c r="N495" i="15" s="1"/>
  <c r="K495" i="15"/>
  <c r="L495" i="15" s="1"/>
  <c r="J495" i="15"/>
  <c r="I495" i="15"/>
  <c r="G495" i="15"/>
  <c r="H495" i="15" s="1"/>
  <c r="F495" i="15"/>
  <c r="A495" i="15"/>
  <c r="M494" i="15"/>
  <c r="N494" i="15" s="1"/>
  <c r="K494" i="15"/>
  <c r="L494" i="15" s="1"/>
  <c r="J494" i="15"/>
  <c r="I494" i="15"/>
  <c r="G494" i="15"/>
  <c r="H494" i="15" s="1"/>
  <c r="F494" i="15"/>
  <c r="A494" i="15"/>
  <c r="M493" i="15"/>
  <c r="N493" i="15" s="1"/>
  <c r="K493" i="15"/>
  <c r="L493" i="15" s="1"/>
  <c r="J493" i="15"/>
  <c r="I493" i="15"/>
  <c r="G493" i="15"/>
  <c r="H493" i="15" s="1"/>
  <c r="F493" i="15"/>
  <c r="A493" i="15"/>
  <c r="M492" i="15"/>
  <c r="N492" i="15" s="1"/>
  <c r="K492" i="15"/>
  <c r="L492" i="15" s="1"/>
  <c r="J492" i="15"/>
  <c r="I492" i="15"/>
  <c r="G492" i="15"/>
  <c r="H492" i="15" s="1"/>
  <c r="F492" i="15"/>
  <c r="A492" i="15"/>
  <c r="M491" i="15"/>
  <c r="N491" i="15" s="1"/>
  <c r="K491" i="15"/>
  <c r="L491" i="15" s="1"/>
  <c r="J491" i="15"/>
  <c r="I491" i="15"/>
  <c r="G491" i="15"/>
  <c r="H491" i="15" s="1"/>
  <c r="F491" i="15"/>
  <c r="A491" i="15"/>
  <c r="M490" i="15"/>
  <c r="N490" i="15" s="1"/>
  <c r="K490" i="15"/>
  <c r="L490" i="15" s="1"/>
  <c r="J490" i="15"/>
  <c r="I490" i="15"/>
  <c r="G490" i="15"/>
  <c r="H490" i="15" s="1"/>
  <c r="F490" i="15"/>
  <c r="A490" i="15"/>
  <c r="M489" i="15"/>
  <c r="N489" i="15" s="1"/>
  <c r="K489" i="15"/>
  <c r="L489" i="15" s="1"/>
  <c r="J489" i="15"/>
  <c r="I489" i="15"/>
  <c r="G489" i="15"/>
  <c r="H489" i="15" s="1"/>
  <c r="F489" i="15"/>
  <c r="A489" i="15"/>
  <c r="M488" i="15"/>
  <c r="N488" i="15" s="1"/>
  <c r="K488" i="15"/>
  <c r="L488" i="15" s="1"/>
  <c r="J488" i="15"/>
  <c r="I488" i="15"/>
  <c r="G488" i="15"/>
  <c r="H488" i="15" s="1"/>
  <c r="F488" i="15"/>
  <c r="A488" i="15"/>
  <c r="M487" i="15"/>
  <c r="N487" i="15" s="1"/>
  <c r="K487" i="15"/>
  <c r="L487" i="15" s="1"/>
  <c r="J487" i="15"/>
  <c r="I487" i="15"/>
  <c r="G487" i="15"/>
  <c r="H487" i="15" s="1"/>
  <c r="F487" i="15"/>
  <c r="A487" i="15"/>
  <c r="M486" i="15"/>
  <c r="N486" i="15" s="1"/>
  <c r="K486" i="15"/>
  <c r="L486" i="15" s="1"/>
  <c r="J486" i="15"/>
  <c r="I486" i="15"/>
  <c r="G486" i="15"/>
  <c r="H486" i="15" s="1"/>
  <c r="F486" i="15"/>
  <c r="A486" i="15"/>
  <c r="M485" i="15"/>
  <c r="N485" i="15" s="1"/>
  <c r="K485" i="15"/>
  <c r="L485" i="15" s="1"/>
  <c r="J485" i="15"/>
  <c r="I485" i="15"/>
  <c r="G485" i="15"/>
  <c r="H485" i="15" s="1"/>
  <c r="F485" i="15"/>
  <c r="A485" i="15"/>
  <c r="M484" i="15"/>
  <c r="N484" i="15" s="1"/>
  <c r="K484" i="15"/>
  <c r="L484" i="15" s="1"/>
  <c r="J484" i="15"/>
  <c r="I484" i="15"/>
  <c r="G484" i="15"/>
  <c r="H484" i="15" s="1"/>
  <c r="F484" i="15"/>
  <c r="A484" i="15"/>
  <c r="M483" i="15"/>
  <c r="N483" i="15" s="1"/>
  <c r="K483" i="15"/>
  <c r="L483" i="15" s="1"/>
  <c r="J483" i="15"/>
  <c r="I483" i="15"/>
  <c r="G483" i="15"/>
  <c r="H483" i="15" s="1"/>
  <c r="F483" i="15"/>
  <c r="A483" i="15"/>
  <c r="M482" i="15"/>
  <c r="N482" i="15" s="1"/>
  <c r="K482" i="15"/>
  <c r="L482" i="15" s="1"/>
  <c r="J482" i="15"/>
  <c r="I482" i="15"/>
  <c r="G482" i="15"/>
  <c r="H482" i="15" s="1"/>
  <c r="F482" i="15"/>
  <c r="A482" i="15"/>
  <c r="M481" i="15"/>
  <c r="N481" i="15" s="1"/>
  <c r="K481" i="15"/>
  <c r="L481" i="15" s="1"/>
  <c r="J481" i="15"/>
  <c r="I481" i="15"/>
  <c r="G481" i="15"/>
  <c r="H481" i="15" s="1"/>
  <c r="F481" i="15"/>
  <c r="A481" i="15"/>
  <c r="M480" i="15"/>
  <c r="N480" i="15" s="1"/>
  <c r="K480" i="15"/>
  <c r="L480" i="15" s="1"/>
  <c r="J480" i="15"/>
  <c r="I480" i="15"/>
  <c r="G480" i="15"/>
  <c r="H480" i="15" s="1"/>
  <c r="F480" i="15"/>
  <c r="A480" i="15"/>
  <c r="M479" i="15"/>
  <c r="N479" i="15" s="1"/>
  <c r="K479" i="15"/>
  <c r="L479" i="15" s="1"/>
  <c r="J479" i="15"/>
  <c r="I479" i="15"/>
  <c r="G479" i="15"/>
  <c r="H479" i="15" s="1"/>
  <c r="F479" i="15"/>
  <c r="A479" i="15"/>
  <c r="M478" i="15"/>
  <c r="N478" i="15" s="1"/>
  <c r="K478" i="15"/>
  <c r="L478" i="15" s="1"/>
  <c r="J478" i="15"/>
  <c r="I478" i="15"/>
  <c r="G478" i="15"/>
  <c r="H478" i="15" s="1"/>
  <c r="F478" i="15"/>
  <c r="A478" i="15"/>
  <c r="M477" i="15"/>
  <c r="N477" i="15" s="1"/>
  <c r="K477" i="15"/>
  <c r="L477" i="15" s="1"/>
  <c r="J477" i="15"/>
  <c r="I477" i="15"/>
  <c r="G477" i="15"/>
  <c r="H477" i="15" s="1"/>
  <c r="F477" i="15"/>
  <c r="A477" i="15"/>
  <c r="M476" i="15"/>
  <c r="N476" i="15" s="1"/>
  <c r="K476" i="15"/>
  <c r="L476" i="15" s="1"/>
  <c r="J476" i="15"/>
  <c r="I476" i="15"/>
  <c r="G476" i="15"/>
  <c r="H476" i="15" s="1"/>
  <c r="F476" i="15"/>
  <c r="A476" i="15"/>
  <c r="M475" i="15"/>
  <c r="N475" i="15" s="1"/>
  <c r="K475" i="15"/>
  <c r="L475" i="15" s="1"/>
  <c r="J475" i="15"/>
  <c r="I475" i="15"/>
  <c r="G475" i="15"/>
  <c r="H475" i="15" s="1"/>
  <c r="F475" i="15"/>
  <c r="A475" i="15"/>
  <c r="M474" i="15"/>
  <c r="N474" i="15" s="1"/>
  <c r="K474" i="15"/>
  <c r="L474" i="15" s="1"/>
  <c r="J474" i="15"/>
  <c r="I474" i="15"/>
  <c r="G474" i="15"/>
  <c r="H474" i="15" s="1"/>
  <c r="F474" i="15"/>
  <c r="A474" i="15"/>
  <c r="M473" i="15"/>
  <c r="N473" i="15" s="1"/>
  <c r="K473" i="15"/>
  <c r="L473" i="15" s="1"/>
  <c r="J473" i="15"/>
  <c r="I473" i="15"/>
  <c r="G473" i="15"/>
  <c r="H473" i="15" s="1"/>
  <c r="F473" i="15"/>
  <c r="A473" i="15"/>
  <c r="M472" i="15"/>
  <c r="N472" i="15" s="1"/>
  <c r="K472" i="15"/>
  <c r="L472" i="15" s="1"/>
  <c r="J472" i="15"/>
  <c r="I472" i="15"/>
  <c r="G472" i="15"/>
  <c r="H472" i="15" s="1"/>
  <c r="F472" i="15"/>
  <c r="A472" i="15"/>
  <c r="M471" i="15"/>
  <c r="N471" i="15" s="1"/>
  <c r="K471" i="15"/>
  <c r="L471" i="15" s="1"/>
  <c r="J471" i="15"/>
  <c r="I471" i="15"/>
  <c r="G471" i="15"/>
  <c r="H471" i="15" s="1"/>
  <c r="F471" i="15"/>
  <c r="A471" i="15"/>
  <c r="M470" i="15"/>
  <c r="N470" i="15" s="1"/>
  <c r="K470" i="15"/>
  <c r="L470" i="15" s="1"/>
  <c r="J470" i="15"/>
  <c r="I470" i="15"/>
  <c r="G470" i="15"/>
  <c r="H470" i="15" s="1"/>
  <c r="F470" i="15"/>
  <c r="A470" i="15"/>
  <c r="M469" i="15"/>
  <c r="N469" i="15" s="1"/>
  <c r="K469" i="15"/>
  <c r="L469" i="15" s="1"/>
  <c r="J469" i="15"/>
  <c r="I469" i="15"/>
  <c r="G469" i="15"/>
  <c r="H469" i="15" s="1"/>
  <c r="F469" i="15"/>
  <c r="A469" i="15"/>
  <c r="M468" i="15"/>
  <c r="N468" i="15" s="1"/>
  <c r="K468" i="15"/>
  <c r="L468" i="15" s="1"/>
  <c r="J468" i="15"/>
  <c r="I468" i="15"/>
  <c r="G468" i="15"/>
  <c r="H468" i="15" s="1"/>
  <c r="F468" i="15"/>
  <c r="A468" i="15"/>
  <c r="M467" i="15"/>
  <c r="N467" i="15" s="1"/>
  <c r="K467" i="15"/>
  <c r="L467" i="15" s="1"/>
  <c r="J467" i="15"/>
  <c r="I467" i="15"/>
  <c r="G467" i="15"/>
  <c r="H467" i="15" s="1"/>
  <c r="F467" i="15"/>
  <c r="A467" i="15"/>
  <c r="M466" i="15"/>
  <c r="N466" i="15" s="1"/>
  <c r="K466" i="15"/>
  <c r="L466" i="15" s="1"/>
  <c r="J466" i="15"/>
  <c r="I466" i="15"/>
  <c r="G466" i="15"/>
  <c r="H466" i="15" s="1"/>
  <c r="F466" i="15"/>
  <c r="A466" i="15"/>
  <c r="M465" i="15"/>
  <c r="N465" i="15" s="1"/>
  <c r="K465" i="15"/>
  <c r="L465" i="15" s="1"/>
  <c r="J465" i="15"/>
  <c r="I465" i="15"/>
  <c r="G465" i="15"/>
  <c r="H465" i="15" s="1"/>
  <c r="F465" i="15"/>
  <c r="A465" i="15"/>
  <c r="M464" i="15"/>
  <c r="N464" i="15" s="1"/>
  <c r="K464" i="15"/>
  <c r="L464" i="15" s="1"/>
  <c r="J464" i="15"/>
  <c r="I464" i="15"/>
  <c r="G464" i="15"/>
  <c r="H464" i="15" s="1"/>
  <c r="F464" i="15"/>
  <c r="A464" i="15"/>
  <c r="M463" i="15"/>
  <c r="N463" i="15" s="1"/>
  <c r="K463" i="15"/>
  <c r="L463" i="15" s="1"/>
  <c r="J463" i="15"/>
  <c r="I463" i="15"/>
  <c r="G463" i="15"/>
  <c r="H463" i="15" s="1"/>
  <c r="F463" i="15"/>
  <c r="A463" i="15"/>
  <c r="M462" i="15"/>
  <c r="N462" i="15" s="1"/>
  <c r="K462" i="15"/>
  <c r="L462" i="15" s="1"/>
  <c r="J462" i="15"/>
  <c r="I462" i="15"/>
  <c r="G462" i="15"/>
  <c r="H462" i="15" s="1"/>
  <c r="F462" i="15"/>
  <c r="A462" i="15"/>
  <c r="M461" i="15"/>
  <c r="N461" i="15" s="1"/>
  <c r="K461" i="15"/>
  <c r="L461" i="15" s="1"/>
  <c r="J461" i="15"/>
  <c r="I461" i="15"/>
  <c r="G461" i="15"/>
  <c r="H461" i="15" s="1"/>
  <c r="F461" i="15"/>
  <c r="A461" i="15"/>
  <c r="M460" i="15"/>
  <c r="N460" i="15" s="1"/>
  <c r="K460" i="15"/>
  <c r="L460" i="15" s="1"/>
  <c r="J460" i="15"/>
  <c r="I460" i="15"/>
  <c r="G460" i="15"/>
  <c r="H460" i="15" s="1"/>
  <c r="F460" i="15"/>
  <c r="A460" i="15"/>
  <c r="M459" i="15"/>
  <c r="N459" i="15" s="1"/>
  <c r="K459" i="15"/>
  <c r="L459" i="15" s="1"/>
  <c r="J459" i="15"/>
  <c r="I459" i="15"/>
  <c r="G459" i="15"/>
  <c r="H459" i="15" s="1"/>
  <c r="F459" i="15"/>
  <c r="A459" i="15"/>
  <c r="M458" i="15"/>
  <c r="N458" i="15" s="1"/>
  <c r="K458" i="15"/>
  <c r="L458" i="15" s="1"/>
  <c r="J458" i="15"/>
  <c r="I458" i="15"/>
  <c r="G458" i="15"/>
  <c r="H458" i="15" s="1"/>
  <c r="F458" i="15"/>
  <c r="A458" i="15"/>
  <c r="M457" i="15"/>
  <c r="N457" i="15" s="1"/>
  <c r="K457" i="15"/>
  <c r="L457" i="15" s="1"/>
  <c r="J457" i="15"/>
  <c r="I457" i="15"/>
  <c r="G457" i="15"/>
  <c r="H457" i="15" s="1"/>
  <c r="F457" i="15"/>
  <c r="A457" i="15"/>
  <c r="M456" i="15"/>
  <c r="N456" i="15" s="1"/>
  <c r="K456" i="15"/>
  <c r="L456" i="15" s="1"/>
  <c r="J456" i="15"/>
  <c r="I456" i="15"/>
  <c r="G456" i="15"/>
  <c r="H456" i="15" s="1"/>
  <c r="F456" i="15"/>
  <c r="A456" i="15"/>
  <c r="M455" i="15"/>
  <c r="N455" i="15" s="1"/>
  <c r="K455" i="15"/>
  <c r="L455" i="15" s="1"/>
  <c r="J455" i="15"/>
  <c r="I455" i="15"/>
  <c r="G455" i="15"/>
  <c r="H455" i="15" s="1"/>
  <c r="F455" i="15"/>
  <c r="A455" i="15"/>
  <c r="M454" i="15"/>
  <c r="N454" i="15" s="1"/>
  <c r="K454" i="15"/>
  <c r="L454" i="15" s="1"/>
  <c r="J454" i="15"/>
  <c r="I454" i="15"/>
  <c r="G454" i="15"/>
  <c r="H454" i="15" s="1"/>
  <c r="F454" i="15"/>
  <c r="A454" i="15"/>
  <c r="M453" i="15"/>
  <c r="N453" i="15" s="1"/>
  <c r="K453" i="15"/>
  <c r="L453" i="15" s="1"/>
  <c r="J453" i="15"/>
  <c r="I453" i="15"/>
  <c r="G453" i="15"/>
  <c r="H453" i="15" s="1"/>
  <c r="F453" i="15"/>
  <c r="A453" i="15"/>
  <c r="M452" i="15"/>
  <c r="N452" i="15" s="1"/>
  <c r="K452" i="15"/>
  <c r="L452" i="15" s="1"/>
  <c r="J452" i="15"/>
  <c r="I452" i="15"/>
  <c r="G452" i="15"/>
  <c r="H452" i="15" s="1"/>
  <c r="F452" i="15"/>
  <c r="A452" i="15"/>
  <c r="M451" i="15"/>
  <c r="N451" i="15" s="1"/>
  <c r="K451" i="15"/>
  <c r="L451" i="15" s="1"/>
  <c r="J451" i="15"/>
  <c r="I451" i="15"/>
  <c r="G451" i="15"/>
  <c r="H451" i="15" s="1"/>
  <c r="F451" i="15"/>
  <c r="A451" i="15"/>
  <c r="M450" i="15"/>
  <c r="N450" i="15" s="1"/>
  <c r="K450" i="15"/>
  <c r="L450" i="15" s="1"/>
  <c r="J450" i="15"/>
  <c r="I450" i="15"/>
  <c r="G450" i="15"/>
  <c r="H450" i="15" s="1"/>
  <c r="F450" i="15"/>
  <c r="A450" i="15"/>
  <c r="M449" i="15"/>
  <c r="N449" i="15" s="1"/>
  <c r="K449" i="15"/>
  <c r="L449" i="15" s="1"/>
  <c r="J449" i="15"/>
  <c r="I449" i="15"/>
  <c r="G449" i="15"/>
  <c r="H449" i="15" s="1"/>
  <c r="F449" i="15"/>
  <c r="A449" i="15"/>
  <c r="M448" i="15"/>
  <c r="N448" i="15" s="1"/>
  <c r="K448" i="15"/>
  <c r="L448" i="15" s="1"/>
  <c r="J448" i="15"/>
  <c r="I448" i="15"/>
  <c r="G448" i="15"/>
  <c r="H448" i="15" s="1"/>
  <c r="F448" i="15"/>
  <c r="A448" i="15"/>
  <c r="M447" i="15"/>
  <c r="N447" i="15" s="1"/>
  <c r="K447" i="15"/>
  <c r="L447" i="15" s="1"/>
  <c r="J447" i="15"/>
  <c r="I447" i="15"/>
  <c r="G447" i="15"/>
  <c r="H447" i="15" s="1"/>
  <c r="F447" i="15"/>
  <c r="A447" i="15"/>
  <c r="M446" i="15"/>
  <c r="N446" i="15" s="1"/>
  <c r="K446" i="15"/>
  <c r="L446" i="15" s="1"/>
  <c r="J446" i="15"/>
  <c r="I446" i="15"/>
  <c r="G446" i="15"/>
  <c r="H446" i="15" s="1"/>
  <c r="F446" i="15"/>
  <c r="A446" i="15"/>
  <c r="M445" i="15"/>
  <c r="N445" i="15" s="1"/>
  <c r="K445" i="15"/>
  <c r="L445" i="15" s="1"/>
  <c r="J445" i="15"/>
  <c r="I445" i="15"/>
  <c r="G445" i="15"/>
  <c r="H445" i="15" s="1"/>
  <c r="F445" i="15"/>
  <c r="A445" i="15"/>
  <c r="M444" i="15"/>
  <c r="N444" i="15" s="1"/>
  <c r="K444" i="15"/>
  <c r="L444" i="15" s="1"/>
  <c r="J444" i="15"/>
  <c r="I444" i="15"/>
  <c r="G444" i="15"/>
  <c r="H444" i="15" s="1"/>
  <c r="F444" i="15"/>
  <c r="A444" i="15"/>
  <c r="M443" i="15"/>
  <c r="N443" i="15" s="1"/>
  <c r="K443" i="15"/>
  <c r="L443" i="15" s="1"/>
  <c r="J443" i="15"/>
  <c r="I443" i="15"/>
  <c r="G443" i="15"/>
  <c r="H443" i="15" s="1"/>
  <c r="F443" i="15"/>
  <c r="A443" i="15"/>
  <c r="M442" i="15"/>
  <c r="N442" i="15" s="1"/>
  <c r="K442" i="15"/>
  <c r="L442" i="15" s="1"/>
  <c r="J442" i="15"/>
  <c r="I442" i="15"/>
  <c r="G442" i="15"/>
  <c r="H442" i="15" s="1"/>
  <c r="F442" i="15"/>
  <c r="A442" i="15"/>
  <c r="M441" i="15"/>
  <c r="N441" i="15" s="1"/>
  <c r="K441" i="15"/>
  <c r="L441" i="15" s="1"/>
  <c r="J441" i="15"/>
  <c r="I441" i="15"/>
  <c r="G441" i="15"/>
  <c r="H441" i="15" s="1"/>
  <c r="F441" i="15"/>
  <c r="A441" i="15"/>
  <c r="M440" i="15"/>
  <c r="N440" i="15" s="1"/>
  <c r="K440" i="15"/>
  <c r="L440" i="15" s="1"/>
  <c r="J440" i="15"/>
  <c r="I440" i="15"/>
  <c r="G440" i="15"/>
  <c r="H440" i="15" s="1"/>
  <c r="F440" i="15"/>
  <c r="A440" i="15"/>
  <c r="M439" i="15"/>
  <c r="N439" i="15" s="1"/>
  <c r="K439" i="15"/>
  <c r="L439" i="15" s="1"/>
  <c r="J439" i="15"/>
  <c r="I439" i="15"/>
  <c r="G439" i="15"/>
  <c r="H439" i="15" s="1"/>
  <c r="F439" i="15"/>
  <c r="A439" i="15"/>
  <c r="M438" i="15"/>
  <c r="N438" i="15" s="1"/>
  <c r="K438" i="15"/>
  <c r="L438" i="15" s="1"/>
  <c r="J438" i="15"/>
  <c r="I438" i="15"/>
  <c r="G438" i="15"/>
  <c r="H438" i="15" s="1"/>
  <c r="F438" i="15"/>
  <c r="A438" i="15"/>
  <c r="M437" i="15"/>
  <c r="N437" i="15" s="1"/>
  <c r="K437" i="15"/>
  <c r="L437" i="15" s="1"/>
  <c r="J437" i="15"/>
  <c r="I437" i="15"/>
  <c r="G437" i="15"/>
  <c r="H437" i="15" s="1"/>
  <c r="F437" i="15"/>
  <c r="A437" i="15"/>
  <c r="M436" i="15"/>
  <c r="N436" i="15" s="1"/>
  <c r="K436" i="15"/>
  <c r="L436" i="15" s="1"/>
  <c r="J436" i="15"/>
  <c r="I436" i="15"/>
  <c r="G436" i="15"/>
  <c r="H436" i="15" s="1"/>
  <c r="F436" i="15"/>
  <c r="A436" i="15"/>
  <c r="M435" i="15"/>
  <c r="N435" i="15" s="1"/>
  <c r="K435" i="15"/>
  <c r="L435" i="15" s="1"/>
  <c r="J435" i="15"/>
  <c r="I435" i="15"/>
  <c r="G435" i="15"/>
  <c r="H435" i="15" s="1"/>
  <c r="F435" i="15"/>
  <c r="A435" i="15"/>
  <c r="M434" i="15"/>
  <c r="N434" i="15" s="1"/>
  <c r="K434" i="15"/>
  <c r="L434" i="15" s="1"/>
  <c r="J434" i="15"/>
  <c r="I434" i="15"/>
  <c r="G434" i="15"/>
  <c r="H434" i="15" s="1"/>
  <c r="F434" i="15"/>
  <c r="A434" i="15"/>
  <c r="M433" i="15"/>
  <c r="N433" i="15" s="1"/>
  <c r="K433" i="15"/>
  <c r="L433" i="15" s="1"/>
  <c r="J433" i="15"/>
  <c r="I433" i="15"/>
  <c r="G433" i="15"/>
  <c r="H433" i="15" s="1"/>
  <c r="F433" i="15"/>
  <c r="A433" i="15"/>
  <c r="M432" i="15"/>
  <c r="N432" i="15" s="1"/>
  <c r="K432" i="15"/>
  <c r="L432" i="15" s="1"/>
  <c r="J432" i="15"/>
  <c r="I432" i="15"/>
  <c r="G432" i="15"/>
  <c r="H432" i="15" s="1"/>
  <c r="F432" i="15"/>
  <c r="A432" i="15"/>
  <c r="M431" i="15"/>
  <c r="N431" i="15" s="1"/>
  <c r="K431" i="15"/>
  <c r="L431" i="15" s="1"/>
  <c r="J431" i="15"/>
  <c r="I431" i="15"/>
  <c r="G431" i="15"/>
  <c r="H431" i="15" s="1"/>
  <c r="F431" i="15"/>
  <c r="A431" i="15"/>
  <c r="M430" i="15"/>
  <c r="N430" i="15" s="1"/>
  <c r="K430" i="15"/>
  <c r="L430" i="15" s="1"/>
  <c r="J430" i="15"/>
  <c r="I430" i="15"/>
  <c r="G430" i="15"/>
  <c r="H430" i="15" s="1"/>
  <c r="F430" i="15"/>
  <c r="A430" i="15"/>
  <c r="M429" i="15"/>
  <c r="N429" i="15" s="1"/>
  <c r="K429" i="15"/>
  <c r="L429" i="15" s="1"/>
  <c r="J429" i="15"/>
  <c r="I429" i="15"/>
  <c r="G429" i="15"/>
  <c r="H429" i="15" s="1"/>
  <c r="F429" i="15"/>
  <c r="A429" i="15"/>
  <c r="M428" i="15"/>
  <c r="N428" i="15" s="1"/>
  <c r="K428" i="15"/>
  <c r="L428" i="15" s="1"/>
  <c r="J428" i="15"/>
  <c r="I428" i="15"/>
  <c r="G428" i="15"/>
  <c r="H428" i="15" s="1"/>
  <c r="F428" i="15"/>
  <c r="A428" i="15"/>
  <c r="M427" i="15"/>
  <c r="N427" i="15" s="1"/>
  <c r="K427" i="15"/>
  <c r="L427" i="15" s="1"/>
  <c r="J427" i="15"/>
  <c r="I427" i="15"/>
  <c r="G427" i="15"/>
  <c r="H427" i="15" s="1"/>
  <c r="F427" i="15"/>
  <c r="A427" i="15"/>
  <c r="M426" i="15"/>
  <c r="N426" i="15" s="1"/>
  <c r="K426" i="15"/>
  <c r="L426" i="15" s="1"/>
  <c r="J426" i="15"/>
  <c r="I426" i="15"/>
  <c r="G426" i="15"/>
  <c r="H426" i="15" s="1"/>
  <c r="F426" i="15"/>
  <c r="A426" i="15"/>
  <c r="M425" i="15"/>
  <c r="N425" i="15" s="1"/>
  <c r="K425" i="15"/>
  <c r="L425" i="15" s="1"/>
  <c r="J425" i="15"/>
  <c r="I425" i="15"/>
  <c r="G425" i="15"/>
  <c r="H425" i="15" s="1"/>
  <c r="F425" i="15"/>
  <c r="A425" i="15"/>
  <c r="M424" i="15"/>
  <c r="N424" i="15" s="1"/>
  <c r="K424" i="15"/>
  <c r="L424" i="15" s="1"/>
  <c r="J424" i="15"/>
  <c r="I424" i="15"/>
  <c r="G424" i="15"/>
  <c r="H424" i="15" s="1"/>
  <c r="F424" i="15"/>
  <c r="A424" i="15"/>
  <c r="M423" i="15"/>
  <c r="N423" i="15" s="1"/>
  <c r="K423" i="15"/>
  <c r="L423" i="15" s="1"/>
  <c r="J423" i="15"/>
  <c r="I423" i="15"/>
  <c r="G423" i="15"/>
  <c r="H423" i="15" s="1"/>
  <c r="F423" i="15"/>
  <c r="A423" i="15"/>
  <c r="M422" i="15"/>
  <c r="N422" i="15" s="1"/>
  <c r="K422" i="15"/>
  <c r="L422" i="15" s="1"/>
  <c r="J422" i="15"/>
  <c r="I422" i="15"/>
  <c r="G422" i="15"/>
  <c r="H422" i="15" s="1"/>
  <c r="F422" i="15"/>
  <c r="A422" i="15"/>
  <c r="M421" i="15"/>
  <c r="N421" i="15" s="1"/>
  <c r="K421" i="15"/>
  <c r="L421" i="15" s="1"/>
  <c r="J421" i="15"/>
  <c r="I421" i="15"/>
  <c r="G421" i="15"/>
  <c r="H421" i="15" s="1"/>
  <c r="F421" i="15"/>
  <c r="A421" i="15"/>
  <c r="M420" i="15"/>
  <c r="N420" i="15" s="1"/>
  <c r="K420" i="15"/>
  <c r="L420" i="15" s="1"/>
  <c r="J420" i="15"/>
  <c r="I420" i="15"/>
  <c r="G420" i="15"/>
  <c r="H420" i="15" s="1"/>
  <c r="F420" i="15"/>
  <c r="A420" i="15"/>
  <c r="M419" i="15"/>
  <c r="N419" i="15" s="1"/>
  <c r="K419" i="15"/>
  <c r="L419" i="15" s="1"/>
  <c r="J419" i="15"/>
  <c r="I419" i="15"/>
  <c r="G419" i="15"/>
  <c r="H419" i="15" s="1"/>
  <c r="F419" i="15"/>
  <c r="A419" i="15"/>
  <c r="M418" i="15"/>
  <c r="N418" i="15" s="1"/>
  <c r="K418" i="15"/>
  <c r="L418" i="15" s="1"/>
  <c r="J418" i="15"/>
  <c r="I418" i="15"/>
  <c r="G418" i="15"/>
  <c r="H418" i="15" s="1"/>
  <c r="F418" i="15"/>
  <c r="A418" i="15"/>
  <c r="M417" i="15"/>
  <c r="N417" i="15" s="1"/>
  <c r="K417" i="15"/>
  <c r="L417" i="15" s="1"/>
  <c r="J417" i="15"/>
  <c r="I417" i="15"/>
  <c r="G417" i="15"/>
  <c r="H417" i="15" s="1"/>
  <c r="F417" i="15"/>
  <c r="A417" i="15"/>
  <c r="M416" i="15"/>
  <c r="N416" i="15" s="1"/>
  <c r="K416" i="15"/>
  <c r="L416" i="15" s="1"/>
  <c r="J416" i="15"/>
  <c r="I416" i="15"/>
  <c r="G416" i="15"/>
  <c r="H416" i="15" s="1"/>
  <c r="F416" i="15"/>
  <c r="A416" i="15"/>
  <c r="M415" i="15"/>
  <c r="N415" i="15" s="1"/>
  <c r="K415" i="15"/>
  <c r="L415" i="15" s="1"/>
  <c r="J415" i="15"/>
  <c r="I415" i="15"/>
  <c r="G415" i="15"/>
  <c r="H415" i="15" s="1"/>
  <c r="F415" i="15"/>
  <c r="A415" i="15"/>
  <c r="M414" i="15"/>
  <c r="N414" i="15" s="1"/>
  <c r="K414" i="15"/>
  <c r="L414" i="15" s="1"/>
  <c r="J414" i="15"/>
  <c r="I414" i="15"/>
  <c r="G414" i="15"/>
  <c r="H414" i="15" s="1"/>
  <c r="F414" i="15"/>
  <c r="A414" i="15"/>
  <c r="M413" i="15"/>
  <c r="N413" i="15" s="1"/>
  <c r="K413" i="15"/>
  <c r="L413" i="15" s="1"/>
  <c r="J413" i="15"/>
  <c r="I413" i="15"/>
  <c r="G413" i="15"/>
  <c r="H413" i="15" s="1"/>
  <c r="F413" i="15"/>
  <c r="A413" i="15"/>
  <c r="A417" i="4" s="1"/>
  <c r="M412" i="15"/>
  <c r="N412" i="15" s="1"/>
  <c r="K412" i="15"/>
  <c r="L412" i="15" s="1"/>
  <c r="J412" i="15"/>
  <c r="I412" i="15"/>
  <c r="G412" i="15"/>
  <c r="H412" i="15" s="1"/>
  <c r="F412" i="15"/>
  <c r="A412" i="15"/>
  <c r="A416" i="4" s="1"/>
  <c r="M411" i="15"/>
  <c r="N411" i="15" s="1"/>
  <c r="K411" i="15"/>
  <c r="L411" i="15" s="1"/>
  <c r="J411" i="15"/>
  <c r="I411" i="15"/>
  <c r="G411" i="15"/>
  <c r="H411" i="15" s="1"/>
  <c r="F411" i="15"/>
  <c r="A411" i="15"/>
  <c r="A415" i="4" s="1"/>
  <c r="M410" i="15"/>
  <c r="N410" i="15" s="1"/>
  <c r="K410" i="15"/>
  <c r="L410" i="15" s="1"/>
  <c r="J410" i="15"/>
  <c r="I410" i="15"/>
  <c r="G410" i="15"/>
  <c r="H410" i="15" s="1"/>
  <c r="F410" i="15"/>
  <c r="A410" i="15"/>
  <c r="A414" i="4" s="1"/>
  <c r="M409" i="15"/>
  <c r="N409" i="15" s="1"/>
  <c r="K409" i="15"/>
  <c r="L409" i="15" s="1"/>
  <c r="J409" i="15"/>
  <c r="I409" i="15"/>
  <c r="G409" i="15"/>
  <c r="H409" i="15" s="1"/>
  <c r="F409" i="15"/>
  <c r="A409" i="15"/>
  <c r="A413" i="4" s="1"/>
  <c r="M408" i="15"/>
  <c r="N408" i="15" s="1"/>
  <c r="K408" i="15"/>
  <c r="L408" i="15" s="1"/>
  <c r="J408" i="15"/>
  <c r="I408" i="15"/>
  <c r="G408" i="15"/>
  <c r="H408" i="15" s="1"/>
  <c r="F408" i="15"/>
  <c r="A408" i="15"/>
  <c r="A412" i="4" s="1"/>
  <c r="M407" i="15"/>
  <c r="N407" i="15" s="1"/>
  <c r="K407" i="15"/>
  <c r="L407" i="15" s="1"/>
  <c r="J407" i="15"/>
  <c r="I407" i="15"/>
  <c r="G407" i="15"/>
  <c r="H407" i="15" s="1"/>
  <c r="F407" i="15"/>
  <c r="A407" i="15"/>
  <c r="A411" i="4" s="1"/>
  <c r="M406" i="15"/>
  <c r="N406" i="15" s="1"/>
  <c r="K406" i="15"/>
  <c r="L406" i="15" s="1"/>
  <c r="J406" i="15"/>
  <c r="I406" i="15"/>
  <c r="G406" i="15"/>
  <c r="H406" i="15" s="1"/>
  <c r="F406" i="15"/>
  <c r="A406" i="15"/>
  <c r="A410" i="4" s="1"/>
  <c r="M405" i="15"/>
  <c r="N405" i="15" s="1"/>
  <c r="K405" i="15"/>
  <c r="L405" i="15" s="1"/>
  <c r="J405" i="15"/>
  <c r="I405" i="15"/>
  <c r="G405" i="15"/>
  <c r="H405" i="15" s="1"/>
  <c r="F405" i="15"/>
  <c r="A405" i="15"/>
  <c r="A409" i="4" s="1"/>
  <c r="M404" i="15"/>
  <c r="N404" i="15" s="1"/>
  <c r="K404" i="15"/>
  <c r="L404" i="15" s="1"/>
  <c r="J404" i="15"/>
  <c r="I404" i="15"/>
  <c r="G404" i="15"/>
  <c r="H404" i="15" s="1"/>
  <c r="F404" i="15"/>
  <c r="A404" i="15"/>
  <c r="A408" i="4" s="1"/>
  <c r="M403" i="15"/>
  <c r="N403" i="15" s="1"/>
  <c r="K403" i="15"/>
  <c r="L403" i="15" s="1"/>
  <c r="J403" i="15"/>
  <c r="I403" i="15"/>
  <c r="G403" i="15"/>
  <c r="H403" i="15" s="1"/>
  <c r="F403" i="15"/>
  <c r="A403" i="15"/>
  <c r="A407" i="4" s="1"/>
  <c r="M402" i="15"/>
  <c r="N402" i="15" s="1"/>
  <c r="K402" i="15"/>
  <c r="L402" i="15" s="1"/>
  <c r="J402" i="15"/>
  <c r="I402" i="15"/>
  <c r="G402" i="15"/>
  <c r="H402" i="15" s="1"/>
  <c r="F402" i="15"/>
  <c r="A402" i="15"/>
  <c r="A406" i="4" s="1"/>
  <c r="M401" i="15"/>
  <c r="N401" i="15" s="1"/>
  <c r="K401" i="15"/>
  <c r="L401" i="15" s="1"/>
  <c r="J401" i="15"/>
  <c r="I401" i="15"/>
  <c r="G401" i="15"/>
  <c r="H401" i="15" s="1"/>
  <c r="F401" i="15"/>
  <c r="A401" i="15"/>
  <c r="A405" i="4" s="1"/>
  <c r="M400" i="15"/>
  <c r="N400" i="15" s="1"/>
  <c r="K400" i="15"/>
  <c r="L400" i="15" s="1"/>
  <c r="J400" i="15"/>
  <c r="I400" i="15"/>
  <c r="G400" i="15"/>
  <c r="H400" i="15" s="1"/>
  <c r="F400" i="15"/>
  <c r="A400" i="15"/>
  <c r="A404" i="4" s="1"/>
  <c r="M399" i="15"/>
  <c r="N399" i="15" s="1"/>
  <c r="K399" i="15"/>
  <c r="L399" i="15" s="1"/>
  <c r="J399" i="15"/>
  <c r="I399" i="15"/>
  <c r="G399" i="15"/>
  <c r="H399" i="15" s="1"/>
  <c r="F399" i="15"/>
  <c r="A399" i="15"/>
  <c r="A403" i="4" s="1"/>
  <c r="M398" i="15"/>
  <c r="N398" i="15" s="1"/>
  <c r="K398" i="15"/>
  <c r="L398" i="15" s="1"/>
  <c r="J398" i="15"/>
  <c r="I398" i="15"/>
  <c r="G398" i="15"/>
  <c r="H398" i="15" s="1"/>
  <c r="F398" i="15"/>
  <c r="A398" i="15"/>
  <c r="A402" i="4" s="1"/>
  <c r="M397" i="15"/>
  <c r="N397" i="15" s="1"/>
  <c r="K397" i="15"/>
  <c r="L397" i="15" s="1"/>
  <c r="J397" i="15"/>
  <c r="I397" i="15"/>
  <c r="G397" i="15"/>
  <c r="H397" i="15" s="1"/>
  <c r="F397" i="15"/>
  <c r="A397" i="15"/>
  <c r="A401" i="4" s="1"/>
  <c r="M396" i="15"/>
  <c r="N396" i="15" s="1"/>
  <c r="K396" i="15"/>
  <c r="L396" i="15" s="1"/>
  <c r="J396" i="15"/>
  <c r="I396" i="15"/>
  <c r="G396" i="15"/>
  <c r="H396" i="15" s="1"/>
  <c r="F396" i="15"/>
  <c r="A396" i="15"/>
  <c r="A400" i="4" s="1"/>
  <c r="M395" i="15"/>
  <c r="N395" i="15" s="1"/>
  <c r="K395" i="15"/>
  <c r="L395" i="15" s="1"/>
  <c r="J395" i="15"/>
  <c r="I395" i="15"/>
  <c r="G395" i="15"/>
  <c r="H395" i="15" s="1"/>
  <c r="F395" i="15"/>
  <c r="A395" i="15"/>
  <c r="A399" i="4" s="1"/>
  <c r="M394" i="15"/>
  <c r="N394" i="15" s="1"/>
  <c r="K394" i="15"/>
  <c r="L394" i="15" s="1"/>
  <c r="J394" i="15"/>
  <c r="I394" i="15"/>
  <c r="G394" i="15"/>
  <c r="H394" i="15" s="1"/>
  <c r="F394" i="15"/>
  <c r="A394" i="15"/>
  <c r="A398" i="4" s="1"/>
  <c r="M393" i="15"/>
  <c r="N393" i="15" s="1"/>
  <c r="K393" i="15"/>
  <c r="L393" i="15" s="1"/>
  <c r="J393" i="15"/>
  <c r="I393" i="15"/>
  <c r="G393" i="15"/>
  <c r="H393" i="15" s="1"/>
  <c r="F393" i="15"/>
  <c r="A393" i="15"/>
  <c r="A397" i="4" s="1"/>
  <c r="M392" i="15"/>
  <c r="N392" i="15" s="1"/>
  <c r="K392" i="15"/>
  <c r="L392" i="15" s="1"/>
  <c r="J392" i="15"/>
  <c r="I392" i="15"/>
  <c r="G392" i="15"/>
  <c r="H392" i="15" s="1"/>
  <c r="F392" i="15"/>
  <c r="A392" i="15"/>
  <c r="A396" i="4" s="1"/>
  <c r="M391" i="15"/>
  <c r="N391" i="15" s="1"/>
  <c r="K391" i="15"/>
  <c r="L391" i="15" s="1"/>
  <c r="J391" i="15"/>
  <c r="I391" i="15"/>
  <c r="G391" i="15"/>
  <c r="H391" i="15" s="1"/>
  <c r="F391" i="15"/>
  <c r="A391" i="15"/>
  <c r="A395" i="4" s="1"/>
  <c r="M390" i="15"/>
  <c r="N390" i="15" s="1"/>
  <c r="K390" i="15"/>
  <c r="L390" i="15" s="1"/>
  <c r="J390" i="15"/>
  <c r="I390" i="15"/>
  <c r="G390" i="15"/>
  <c r="H390" i="15" s="1"/>
  <c r="F390" i="15"/>
  <c r="A390" i="15"/>
  <c r="A394" i="4" s="1"/>
  <c r="M389" i="15"/>
  <c r="N389" i="15" s="1"/>
  <c r="K389" i="15"/>
  <c r="L389" i="15" s="1"/>
  <c r="J389" i="15"/>
  <c r="I389" i="15"/>
  <c r="G389" i="15"/>
  <c r="H389" i="15" s="1"/>
  <c r="F389" i="15"/>
  <c r="A389" i="15"/>
  <c r="A393" i="4" s="1"/>
  <c r="M388" i="15"/>
  <c r="N388" i="15" s="1"/>
  <c r="K388" i="15"/>
  <c r="L388" i="15" s="1"/>
  <c r="J388" i="15"/>
  <c r="I388" i="15"/>
  <c r="G388" i="15"/>
  <c r="H388" i="15" s="1"/>
  <c r="F388" i="15"/>
  <c r="A388" i="15"/>
  <c r="A392" i="4" s="1"/>
  <c r="M387" i="15"/>
  <c r="N387" i="15" s="1"/>
  <c r="K387" i="15"/>
  <c r="L387" i="15" s="1"/>
  <c r="J387" i="15"/>
  <c r="I387" i="15"/>
  <c r="G387" i="15"/>
  <c r="H387" i="15" s="1"/>
  <c r="F387" i="15"/>
  <c r="A387" i="15"/>
  <c r="A391" i="4" s="1"/>
  <c r="M386" i="15"/>
  <c r="N386" i="15" s="1"/>
  <c r="K386" i="15"/>
  <c r="L386" i="15" s="1"/>
  <c r="J386" i="15"/>
  <c r="I386" i="15"/>
  <c r="G386" i="15"/>
  <c r="H386" i="15" s="1"/>
  <c r="F386" i="15"/>
  <c r="A386" i="15"/>
  <c r="A390" i="4" s="1"/>
  <c r="M385" i="15"/>
  <c r="N385" i="15" s="1"/>
  <c r="K385" i="15"/>
  <c r="L385" i="15" s="1"/>
  <c r="J385" i="15"/>
  <c r="I385" i="15"/>
  <c r="G385" i="15"/>
  <c r="H385" i="15" s="1"/>
  <c r="F385" i="15"/>
  <c r="A385" i="15"/>
  <c r="A389" i="4" s="1"/>
  <c r="M384" i="15"/>
  <c r="N384" i="15" s="1"/>
  <c r="K384" i="15"/>
  <c r="L384" i="15" s="1"/>
  <c r="J384" i="15"/>
  <c r="I384" i="15"/>
  <c r="G384" i="15"/>
  <c r="H384" i="15" s="1"/>
  <c r="F384" i="15"/>
  <c r="A384" i="15"/>
  <c r="A388" i="4" s="1"/>
  <c r="M383" i="15"/>
  <c r="N383" i="15" s="1"/>
  <c r="K383" i="15"/>
  <c r="L383" i="15" s="1"/>
  <c r="J383" i="15"/>
  <c r="I383" i="15"/>
  <c r="G383" i="15"/>
  <c r="H383" i="15" s="1"/>
  <c r="F383" i="15"/>
  <c r="A383" i="15"/>
  <c r="A387" i="4" s="1"/>
  <c r="M382" i="15"/>
  <c r="N382" i="15" s="1"/>
  <c r="K382" i="15"/>
  <c r="L382" i="15" s="1"/>
  <c r="J382" i="15"/>
  <c r="I382" i="15"/>
  <c r="G382" i="15"/>
  <c r="H382" i="15" s="1"/>
  <c r="F382" i="15"/>
  <c r="A382" i="15"/>
  <c r="A386" i="4" s="1"/>
  <c r="M381" i="15"/>
  <c r="N381" i="15" s="1"/>
  <c r="K381" i="15"/>
  <c r="L381" i="15" s="1"/>
  <c r="J381" i="15"/>
  <c r="I381" i="15"/>
  <c r="G381" i="15"/>
  <c r="H381" i="15" s="1"/>
  <c r="F381" i="15"/>
  <c r="A381" i="15"/>
  <c r="A385" i="4" s="1"/>
  <c r="M380" i="15"/>
  <c r="N380" i="15" s="1"/>
  <c r="K380" i="15"/>
  <c r="L380" i="15" s="1"/>
  <c r="J380" i="15"/>
  <c r="I380" i="15"/>
  <c r="G380" i="15"/>
  <c r="H380" i="15" s="1"/>
  <c r="F380" i="15"/>
  <c r="A380" i="15"/>
  <c r="A384" i="4" s="1"/>
  <c r="M379" i="15"/>
  <c r="N379" i="15" s="1"/>
  <c r="K379" i="15"/>
  <c r="L379" i="15" s="1"/>
  <c r="J379" i="15"/>
  <c r="I379" i="15"/>
  <c r="G379" i="15"/>
  <c r="H379" i="15" s="1"/>
  <c r="F379" i="15"/>
  <c r="A379" i="15"/>
  <c r="A383" i="4" s="1"/>
  <c r="M378" i="15"/>
  <c r="N378" i="15" s="1"/>
  <c r="K378" i="15"/>
  <c r="L378" i="15" s="1"/>
  <c r="J378" i="15"/>
  <c r="I378" i="15"/>
  <c r="G378" i="15"/>
  <c r="H378" i="15" s="1"/>
  <c r="F378" i="15"/>
  <c r="A378" i="15"/>
  <c r="A382" i="4" s="1"/>
  <c r="M377" i="15"/>
  <c r="N377" i="15" s="1"/>
  <c r="K377" i="15"/>
  <c r="L377" i="15" s="1"/>
  <c r="J377" i="15"/>
  <c r="I377" i="15"/>
  <c r="G377" i="15"/>
  <c r="H377" i="15" s="1"/>
  <c r="F377" i="15"/>
  <c r="A377" i="15"/>
  <c r="A381" i="4" s="1"/>
  <c r="M376" i="15"/>
  <c r="N376" i="15" s="1"/>
  <c r="K376" i="15"/>
  <c r="L376" i="15" s="1"/>
  <c r="J376" i="15"/>
  <c r="I376" i="15"/>
  <c r="G376" i="15"/>
  <c r="H376" i="15" s="1"/>
  <c r="F376" i="15"/>
  <c r="A376" i="15"/>
  <c r="A380" i="4" s="1"/>
  <c r="M375" i="15"/>
  <c r="N375" i="15" s="1"/>
  <c r="K375" i="15"/>
  <c r="L375" i="15" s="1"/>
  <c r="J375" i="15"/>
  <c r="I375" i="15"/>
  <c r="G375" i="15"/>
  <c r="H375" i="15" s="1"/>
  <c r="F375" i="15"/>
  <c r="A375" i="15"/>
  <c r="A379" i="4" s="1"/>
  <c r="M374" i="15"/>
  <c r="N374" i="15" s="1"/>
  <c r="K374" i="15"/>
  <c r="L374" i="15" s="1"/>
  <c r="J374" i="15"/>
  <c r="I374" i="15"/>
  <c r="G374" i="15"/>
  <c r="H374" i="15" s="1"/>
  <c r="F374" i="15"/>
  <c r="A374" i="15"/>
  <c r="A378" i="4" s="1"/>
  <c r="M373" i="15"/>
  <c r="N373" i="15" s="1"/>
  <c r="K373" i="15"/>
  <c r="L373" i="15" s="1"/>
  <c r="J373" i="15"/>
  <c r="I373" i="15"/>
  <c r="G373" i="15"/>
  <c r="H373" i="15" s="1"/>
  <c r="F373" i="15"/>
  <c r="A373" i="15"/>
  <c r="A377" i="4" s="1"/>
  <c r="M372" i="15"/>
  <c r="N372" i="15" s="1"/>
  <c r="K372" i="15"/>
  <c r="L372" i="15" s="1"/>
  <c r="J372" i="15"/>
  <c r="I372" i="15"/>
  <c r="G372" i="15"/>
  <c r="H372" i="15" s="1"/>
  <c r="F372" i="15"/>
  <c r="A372" i="15"/>
  <c r="A376" i="4" s="1"/>
  <c r="M371" i="15"/>
  <c r="N371" i="15" s="1"/>
  <c r="K371" i="15"/>
  <c r="L371" i="15" s="1"/>
  <c r="J371" i="15"/>
  <c r="I371" i="15"/>
  <c r="G371" i="15"/>
  <c r="H371" i="15" s="1"/>
  <c r="F371" i="15"/>
  <c r="A371" i="15"/>
  <c r="A375" i="4" s="1"/>
  <c r="M370" i="15"/>
  <c r="N370" i="15" s="1"/>
  <c r="K370" i="15"/>
  <c r="L370" i="15" s="1"/>
  <c r="J370" i="15"/>
  <c r="I370" i="15"/>
  <c r="G370" i="15"/>
  <c r="H370" i="15" s="1"/>
  <c r="F370" i="15"/>
  <c r="A370" i="15"/>
  <c r="A374" i="4" s="1"/>
  <c r="M369" i="15"/>
  <c r="N369" i="15" s="1"/>
  <c r="K369" i="15"/>
  <c r="L369" i="15" s="1"/>
  <c r="J369" i="15"/>
  <c r="I369" i="15"/>
  <c r="G369" i="15"/>
  <c r="H369" i="15" s="1"/>
  <c r="F369" i="15"/>
  <c r="A369" i="15"/>
  <c r="A373" i="4" s="1"/>
  <c r="M368" i="15"/>
  <c r="N368" i="15" s="1"/>
  <c r="K368" i="15"/>
  <c r="L368" i="15" s="1"/>
  <c r="J368" i="15"/>
  <c r="I368" i="15"/>
  <c r="G368" i="15"/>
  <c r="H368" i="15" s="1"/>
  <c r="F368" i="15"/>
  <c r="A368" i="15"/>
  <c r="A372" i="4" s="1"/>
  <c r="M367" i="15"/>
  <c r="N367" i="15" s="1"/>
  <c r="K367" i="15"/>
  <c r="L367" i="15" s="1"/>
  <c r="J367" i="15"/>
  <c r="I367" i="15"/>
  <c r="G367" i="15"/>
  <c r="H367" i="15" s="1"/>
  <c r="F367" i="15"/>
  <c r="A367" i="15"/>
  <c r="A371" i="4" s="1"/>
  <c r="M366" i="15"/>
  <c r="N366" i="15" s="1"/>
  <c r="K366" i="15"/>
  <c r="L366" i="15" s="1"/>
  <c r="J366" i="15"/>
  <c r="I366" i="15"/>
  <c r="G366" i="15"/>
  <c r="H366" i="15" s="1"/>
  <c r="F366" i="15"/>
  <c r="A366" i="15"/>
  <c r="A370" i="4" s="1"/>
  <c r="M365" i="15"/>
  <c r="N365" i="15" s="1"/>
  <c r="K365" i="15"/>
  <c r="L365" i="15" s="1"/>
  <c r="J365" i="15"/>
  <c r="I365" i="15"/>
  <c r="G365" i="15"/>
  <c r="H365" i="15" s="1"/>
  <c r="F365" i="15"/>
  <c r="A365" i="15"/>
  <c r="A369" i="4" s="1"/>
  <c r="M364" i="15"/>
  <c r="N364" i="15" s="1"/>
  <c r="K364" i="15"/>
  <c r="L364" i="15" s="1"/>
  <c r="J364" i="15"/>
  <c r="I364" i="15"/>
  <c r="G364" i="15"/>
  <c r="H364" i="15" s="1"/>
  <c r="F364" i="15"/>
  <c r="A364" i="15"/>
  <c r="A368" i="4" s="1"/>
  <c r="M363" i="15"/>
  <c r="N363" i="15" s="1"/>
  <c r="K363" i="15"/>
  <c r="L363" i="15" s="1"/>
  <c r="J363" i="15"/>
  <c r="I363" i="15"/>
  <c r="G363" i="15"/>
  <c r="H363" i="15" s="1"/>
  <c r="F363" i="15"/>
  <c r="A363" i="15"/>
  <c r="A367" i="4" s="1"/>
  <c r="M362" i="15"/>
  <c r="N362" i="15" s="1"/>
  <c r="K362" i="15"/>
  <c r="L362" i="15" s="1"/>
  <c r="J362" i="15"/>
  <c r="I362" i="15"/>
  <c r="G362" i="15"/>
  <c r="H362" i="15" s="1"/>
  <c r="F362" i="15"/>
  <c r="A362" i="15"/>
  <c r="A366" i="4" s="1"/>
  <c r="M361" i="15"/>
  <c r="N361" i="15" s="1"/>
  <c r="K361" i="15"/>
  <c r="L361" i="15" s="1"/>
  <c r="J361" i="15"/>
  <c r="I361" i="15"/>
  <c r="G361" i="15"/>
  <c r="H361" i="15" s="1"/>
  <c r="F361" i="15"/>
  <c r="A361" i="15"/>
  <c r="A365" i="4" s="1"/>
  <c r="M360" i="15"/>
  <c r="N360" i="15" s="1"/>
  <c r="K360" i="15"/>
  <c r="L360" i="15" s="1"/>
  <c r="J360" i="15"/>
  <c r="I360" i="15"/>
  <c r="G360" i="15"/>
  <c r="H360" i="15" s="1"/>
  <c r="F360" i="15"/>
  <c r="A360" i="15"/>
  <c r="A364" i="4" s="1"/>
  <c r="M359" i="15"/>
  <c r="N359" i="15" s="1"/>
  <c r="K359" i="15"/>
  <c r="L359" i="15" s="1"/>
  <c r="J359" i="15"/>
  <c r="I359" i="15"/>
  <c r="G359" i="15"/>
  <c r="H359" i="15" s="1"/>
  <c r="F359" i="15"/>
  <c r="A359" i="15"/>
  <c r="A363" i="4" s="1"/>
  <c r="M358" i="15"/>
  <c r="N358" i="15" s="1"/>
  <c r="K358" i="15"/>
  <c r="L358" i="15" s="1"/>
  <c r="J358" i="15"/>
  <c r="I358" i="15"/>
  <c r="G358" i="15"/>
  <c r="H358" i="15" s="1"/>
  <c r="F358" i="15"/>
  <c r="A358" i="15"/>
  <c r="A362" i="4" s="1"/>
  <c r="M357" i="15"/>
  <c r="N357" i="15" s="1"/>
  <c r="K357" i="15"/>
  <c r="L357" i="15" s="1"/>
  <c r="J357" i="15"/>
  <c r="I357" i="15"/>
  <c r="G357" i="15"/>
  <c r="H357" i="15" s="1"/>
  <c r="F357" i="15"/>
  <c r="A357" i="15"/>
  <c r="A361" i="4" s="1"/>
  <c r="M356" i="15"/>
  <c r="N356" i="15" s="1"/>
  <c r="K356" i="15"/>
  <c r="L356" i="15" s="1"/>
  <c r="J356" i="15"/>
  <c r="I356" i="15"/>
  <c r="G356" i="15"/>
  <c r="H356" i="15" s="1"/>
  <c r="F356" i="15"/>
  <c r="A356" i="15"/>
  <c r="A360" i="4" s="1"/>
  <c r="M355" i="15"/>
  <c r="N355" i="15" s="1"/>
  <c r="K355" i="15"/>
  <c r="L355" i="15" s="1"/>
  <c r="J355" i="15"/>
  <c r="I355" i="15"/>
  <c r="G355" i="15"/>
  <c r="H355" i="15" s="1"/>
  <c r="F355" i="15"/>
  <c r="A355" i="15"/>
  <c r="A359" i="4" s="1"/>
  <c r="M354" i="15"/>
  <c r="N354" i="15" s="1"/>
  <c r="K354" i="15"/>
  <c r="L354" i="15" s="1"/>
  <c r="J354" i="15"/>
  <c r="I354" i="15"/>
  <c r="G354" i="15"/>
  <c r="H354" i="15" s="1"/>
  <c r="F354" i="15"/>
  <c r="A354" i="15"/>
  <c r="A358" i="4" s="1"/>
  <c r="M353" i="15"/>
  <c r="N353" i="15" s="1"/>
  <c r="K353" i="15"/>
  <c r="L353" i="15" s="1"/>
  <c r="J353" i="15"/>
  <c r="I353" i="15"/>
  <c r="G353" i="15"/>
  <c r="H353" i="15" s="1"/>
  <c r="F353" i="15"/>
  <c r="A353" i="15"/>
  <c r="A357" i="4" s="1"/>
  <c r="M352" i="15"/>
  <c r="N352" i="15" s="1"/>
  <c r="K352" i="15"/>
  <c r="L352" i="15" s="1"/>
  <c r="J352" i="15"/>
  <c r="I352" i="15"/>
  <c r="G352" i="15"/>
  <c r="H352" i="15" s="1"/>
  <c r="F352" i="15"/>
  <c r="A352" i="15"/>
  <c r="A356" i="4" s="1"/>
  <c r="M351" i="15"/>
  <c r="N351" i="15" s="1"/>
  <c r="K351" i="15"/>
  <c r="L351" i="15" s="1"/>
  <c r="J351" i="15"/>
  <c r="I351" i="15"/>
  <c r="G351" i="15"/>
  <c r="H351" i="15" s="1"/>
  <c r="F351" i="15"/>
  <c r="A351" i="15"/>
  <c r="A355" i="4" s="1"/>
  <c r="M350" i="15"/>
  <c r="N350" i="15" s="1"/>
  <c r="K350" i="15"/>
  <c r="L350" i="15" s="1"/>
  <c r="J350" i="15"/>
  <c r="I350" i="15"/>
  <c r="G350" i="15"/>
  <c r="H350" i="15" s="1"/>
  <c r="F350" i="15"/>
  <c r="A350" i="15"/>
  <c r="A354" i="4" s="1"/>
  <c r="M349" i="15"/>
  <c r="N349" i="15" s="1"/>
  <c r="K349" i="15"/>
  <c r="L349" i="15" s="1"/>
  <c r="J349" i="15"/>
  <c r="I349" i="15"/>
  <c r="G349" i="15"/>
  <c r="H349" i="15" s="1"/>
  <c r="F349" i="15"/>
  <c r="A349" i="15"/>
  <c r="A353" i="4" s="1"/>
  <c r="M348" i="15"/>
  <c r="N348" i="15" s="1"/>
  <c r="K348" i="15"/>
  <c r="L348" i="15" s="1"/>
  <c r="J348" i="15"/>
  <c r="I348" i="15"/>
  <c r="G348" i="15"/>
  <c r="H348" i="15" s="1"/>
  <c r="F348" i="15"/>
  <c r="A348" i="15"/>
  <c r="A352" i="4" s="1"/>
  <c r="M347" i="15"/>
  <c r="N347" i="15" s="1"/>
  <c r="K347" i="15"/>
  <c r="L347" i="15" s="1"/>
  <c r="J347" i="15"/>
  <c r="I347" i="15"/>
  <c r="G347" i="15"/>
  <c r="H347" i="15" s="1"/>
  <c r="F347" i="15"/>
  <c r="A347" i="15"/>
  <c r="A351" i="4" s="1"/>
  <c r="M346" i="15"/>
  <c r="N346" i="15" s="1"/>
  <c r="K346" i="15"/>
  <c r="L346" i="15" s="1"/>
  <c r="J346" i="15"/>
  <c r="I346" i="15"/>
  <c r="G346" i="15"/>
  <c r="H346" i="15" s="1"/>
  <c r="F346" i="15"/>
  <c r="A346" i="15"/>
  <c r="A350" i="4" s="1"/>
  <c r="M345" i="15"/>
  <c r="N345" i="15" s="1"/>
  <c r="K345" i="15"/>
  <c r="L345" i="15" s="1"/>
  <c r="J345" i="15"/>
  <c r="I345" i="15"/>
  <c r="G345" i="15"/>
  <c r="H345" i="15" s="1"/>
  <c r="F345" i="15"/>
  <c r="A345" i="15"/>
  <c r="A349" i="4" s="1"/>
  <c r="M344" i="15"/>
  <c r="N344" i="15" s="1"/>
  <c r="K344" i="15"/>
  <c r="L344" i="15" s="1"/>
  <c r="J344" i="15"/>
  <c r="I344" i="15"/>
  <c r="G344" i="15"/>
  <c r="H344" i="15" s="1"/>
  <c r="F344" i="15"/>
  <c r="A344" i="15"/>
  <c r="A348" i="4" s="1"/>
  <c r="M343" i="15"/>
  <c r="N343" i="15" s="1"/>
  <c r="K343" i="15"/>
  <c r="L343" i="15" s="1"/>
  <c r="J343" i="15"/>
  <c r="I343" i="15"/>
  <c r="G343" i="15"/>
  <c r="H343" i="15" s="1"/>
  <c r="F343" i="15"/>
  <c r="A343" i="15"/>
  <c r="A347" i="4" s="1"/>
  <c r="M342" i="15"/>
  <c r="N342" i="15" s="1"/>
  <c r="K342" i="15"/>
  <c r="L342" i="15" s="1"/>
  <c r="J342" i="15"/>
  <c r="I342" i="15"/>
  <c r="G342" i="15"/>
  <c r="H342" i="15" s="1"/>
  <c r="F342" i="15"/>
  <c r="A342" i="15"/>
  <c r="A346" i="4" s="1"/>
  <c r="M341" i="15"/>
  <c r="N341" i="15" s="1"/>
  <c r="K341" i="15"/>
  <c r="L341" i="15" s="1"/>
  <c r="J341" i="15"/>
  <c r="I341" i="15"/>
  <c r="G341" i="15"/>
  <c r="H341" i="15" s="1"/>
  <c r="F341" i="15"/>
  <c r="A341" i="15"/>
  <c r="A345" i="4" s="1"/>
  <c r="M340" i="15"/>
  <c r="N340" i="15" s="1"/>
  <c r="K340" i="15"/>
  <c r="L340" i="15" s="1"/>
  <c r="J340" i="15"/>
  <c r="I340" i="15"/>
  <c r="G340" i="15"/>
  <c r="H340" i="15" s="1"/>
  <c r="F340" i="15"/>
  <c r="A340" i="15"/>
  <c r="A344" i="4" s="1"/>
  <c r="M339" i="15"/>
  <c r="N339" i="15" s="1"/>
  <c r="K339" i="15"/>
  <c r="L339" i="15" s="1"/>
  <c r="J339" i="15"/>
  <c r="I339" i="15"/>
  <c r="G339" i="15"/>
  <c r="H339" i="15" s="1"/>
  <c r="F339" i="15"/>
  <c r="A339" i="15"/>
  <c r="A343" i="4" s="1"/>
  <c r="M338" i="15"/>
  <c r="N338" i="15" s="1"/>
  <c r="K338" i="15"/>
  <c r="L338" i="15" s="1"/>
  <c r="J338" i="15"/>
  <c r="I338" i="15"/>
  <c r="G338" i="15"/>
  <c r="H338" i="15" s="1"/>
  <c r="F338" i="15"/>
  <c r="A338" i="15"/>
  <c r="A342" i="4" s="1"/>
  <c r="M337" i="15"/>
  <c r="N337" i="15" s="1"/>
  <c r="K337" i="15"/>
  <c r="L337" i="15" s="1"/>
  <c r="J337" i="15"/>
  <c r="I337" i="15"/>
  <c r="G337" i="15"/>
  <c r="H337" i="15" s="1"/>
  <c r="F337" i="15"/>
  <c r="A337" i="15"/>
  <c r="A341" i="4" s="1"/>
  <c r="M336" i="15"/>
  <c r="N336" i="15" s="1"/>
  <c r="K336" i="15"/>
  <c r="L336" i="15" s="1"/>
  <c r="J336" i="15"/>
  <c r="I336" i="15"/>
  <c r="G336" i="15"/>
  <c r="H336" i="15" s="1"/>
  <c r="F336" i="15"/>
  <c r="A336" i="15"/>
  <c r="A340" i="4" s="1"/>
  <c r="M335" i="15"/>
  <c r="N335" i="15" s="1"/>
  <c r="K335" i="15"/>
  <c r="L335" i="15" s="1"/>
  <c r="J335" i="15"/>
  <c r="I335" i="15"/>
  <c r="G335" i="15"/>
  <c r="H335" i="15" s="1"/>
  <c r="F335" i="15"/>
  <c r="A335" i="15"/>
  <c r="A339" i="4" s="1"/>
  <c r="M334" i="15"/>
  <c r="N334" i="15" s="1"/>
  <c r="K334" i="15"/>
  <c r="L334" i="15" s="1"/>
  <c r="J334" i="15"/>
  <c r="I334" i="15"/>
  <c r="G334" i="15"/>
  <c r="H334" i="15" s="1"/>
  <c r="F334" i="15"/>
  <c r="A334" i="15"/>
  <c r="A338" i="4" s="1"/>
  <c r="M333" i="15"/>
  <c r="N333" i="15" s="1"/>
  <c r="K333" i="15"/>
  <c r="L333" i="15" s="1"/>
  <c r="J333" i="15"/>
  <c r="I333" i="15"/>
  <c r="G333" i="15"/>
  <c r="H333" i="15" s="1"/>
  <c r="F333" i="15"/>
  <c r="A333" i="15"/>
  <c r="A337" i="4" s="1"/>
  <c r="M332" i="15"/>
  <c r="N332" i="15" s="1"/>
  <c r="K332" i="15"/>
  <c r="L332" i="15" s="1"/>
  <c r="J332" i="15"/>
  <c r="I332" i="15"/>
  <c r="G332" i="15"/>
  <c r="H332" i="15" s="1"/>
  <c r="F332" i="15"/>
  <c r="A332" i="15"/>
  <c r="A336" i="4" s="1"/>
  <c r="M331" i="15"/>
  <c r="N331" i="15" s="1"/>
  <c r="K331" i="15"/>
  <c r="L331" i="15" s="1"/>
  <c r="J331" i="15"/>
  <c r="I331" i="15"/>
  <c r="G331" i="15"/>
  <c r="H331" i="15" s="1"/>
  <c r="F331" i="15"/>
  <c r="A331" i="15"/>
  <c r="A335" i="4" s="1"/>
  <c r="M330" i="15"/>
  <c r="N330" i="15" s="1"/>
  <c r="K330" i="15"/>
  <c r="L330" i="15" s="1"/>
  <c r="J330" i="15"/>
  <c r="I330" i="15"/>
  <c r="G330" i="15"/>
  <c r="H330" i="15" s="1"/>
  <c r="F330" i="15"/>
  <c r="A330" i="15"/>
  <c r="A334" i="4" s="1"/>
  <c r="M329" i="15"/>
  <c r="N329" i="15" s="1"/>
  <c r="K329" i="15"/>
  <c r="L329" i="15" s="1"/>
  <c r="J329" i="15"/>
  <c r="I329" i="15"/>
  <c r="G329" i="15"/>
  <c r="H329" i="15" s="1"/>
  <c r="F329" i="15"/>
  <c r="A329" i="15"/>
  <c r="A333" i="4" s="1"/>
  <c r="M328" i="15"/>
  <c r="N328" i="15" s="1"/>
  <c r="K328" i="15"/>
  <c r="L328" i="15" s="1"/>
  <c r="J328" i="15"/>
  <c r="I328" i="15"/>
  <c r="G328" i="15"/>
  <c r="H328" i="15" s="1"/>
  <c r="F328" i="15"/>
  <c r="A328" i="15"/>
  <c r="A332" i="4" s="1"/>
  <c r="M327" i="15"/>
  <c r="N327" i="15" s="1"/>
  <c r="K327" i="15"/>
  <c r="L327" i="15" s="1"/>
  <c r="J327" i="15"/>
  <c r="I327" i="15"/>
  <c r="G327" i="15"/>
  <c r="H327" i="15" s="1"/>
  <c r="F327" i="15"/>
  <c r="A327" i="15"/>
  <c r="A331" i="4" s="1"/>
  <c r="M326" i="15"/>
  <c r="N326" i="15" s="1"/>
  <c r="K326" i="15"/>
  <c r="L326" i="15" s="1"/>
  <c r="J326" i="15"/>
  <c r="I326" i="15"/>
  <c r="G326" i="15"/>
  <c r="H326" i="15" s="1"/>
  <c r="F326" i="15"/>
  <c r="A326" i="15"/>
  <c r="A330" i="4" s="1"/>
  <c r="M325" i="15"/>
  <c r="N325" i="15" s="1"/>
  <c r="K325" i="15"/>
  <c r="L325" i="15" s="1"/>
  <c r="J325" i="15"/>
  <c r="I325" i="15"/>
  <c r="G325" i="15"/>
  <c r="H325" i="15" s="1"/>
  <c r="F325" i="15"/>
  <c r="A325" i="15"/>
  <c r="A329" i="4" s="1"/>
  <c r="M324" i="15"/>
  <c r="N324" i="15" s="1"/>
  <c r="K324" i="15"/>
  <c r="L324" i="15" s="1"/>
  <c r="J324" i="15"/>
  <c r="I324" i="15"/>
  <c r="G324" i="15"/>
  <c r="H324" i="15" s="1"/>
  <c r="F324" i="15"/>
  <c r="A324" i="15"/>
  <c r="A328" i="4" s="1"/>
  <c r="M323" i="15"/>
  <c r="N323" i="15" s="1"/>
  <c r="K323" i="15"/>
  <c r="L323" i="15" s="1"/>
  <c r="J323" i="15"/>
  <c r="I323" i="15"/>
  <c r="G323" i="15"/>
  <c r="H323" i="15" s="1"/>
  <c r="F323" i="15"/>
  <c r="A323" i="15"/>
  <c r="A327" i="4" s="1"/>
  <c r="M322" i="15"/>
  <c r="N322" i="15" s="1"/>
  <c r="K322" i="15"/>
  <c r="L322" i="15" s="1"/>
  <c r="J322" i="15"/>
  <c r="I322" i="15"/>
  <c r="G322" i="15"/>
  <c r="H322" i="15" s="1"/>
  <c r="F322" i="15"/>
  <c r="A322" i="15"/>
  <c r="A326" i="4" s="1"/>
  <c r="M321" i="15"/>
  <c r="N321" i="15" s="1"/>
  <c r="K321" i="15"/>
  <c r="L321" i="15" s="1"/>
  <c r="J321" i="15"/>
  <c r="I321" i="15"/>
  <c r="G321" i="15"/>
  <c r="H321" i="15" s="1"/>
  <c r="F321" i="15"/>
  <c r="A321" i="15"/>
  <c r="A325" i="4" s="1"/>
  <c r="M320" i="15"/>
  <c r="N320" i="15" s="1"/>
  <c r="K320" i="15"/>
  <c r="L320" i="15" s="1"/>
  <c r="J320" i="15"/>
  <c r="I320" i="15"/>
  <c r="G320" i="15"/>
  <c r="H320" i="15" s="1"/>
  <c r="F320" i="15"/>
  <c r="A320" i="15"/>
  <c r="A324" i="4" s="1"/>
  <c r="M319" i="15"/>
  <c r="N319" i="15" s="1"/>
  <c r="K319" i="15"/>
  <c r="L319" i="15" s="1"/>
  <c r="J319" i="15"/>
  <c r="I319" i="15"/>
  <c r="G319" i="15"/>
  <c r="H319" i="15" s="1"/>
  <c r="F319" i="15"/>
  <c r="A319" i="15"/>
  <c r="A323" i="4" s="1"/>
  <c r="M318" i="15"/>
  <c r="N318" i="15" s="1"/>
  <c r="K318" i="15"/>
  <c r="L318" i="15" s="1"/>
  <c r="J318" i="15"/>
  <c r="I318" i="15"/>
  <c r="G318" i="15"/>
  <c r="H318" i="15" s="1"/>
  <c r="F318" i="15"/>
  <c r="A318" i="15"/>
  <c r="A322" i="4" s="1"/>
  <c r="M317" i="15"/>
  <c r="N317" i="15" s="1"/>
  <c r="K317" i="15"/>
  <c r="L317" i="15" s="1"/>
  <c r="J317" i="15"/>
  <c r="I317" i="15"/>
  <c r="G317" i="15"/>
  <c r="H317" i="15" s="1"/>
  <c r="F317" i="15"/>
  <c r="A317" i="15"/>
  <c r="A321" i="4" s="1"/>
  <c r="M316" i="15"/>
  <c r="N316" i="15" s="1"/>
  <c r="K316" i="15"/>
  <c r="L316" i="15" s="1"/>
  <c r="J316" i="15"/>
  <c r="I316" i="15"/>
  <c r="G316" i="15"/>
  <c r="H316" i="15" s="1"/>
  <c r="F316" i="15"/>
  <c r="A316" i="15"/>
  <c r="A320" i="4" s="1"/>
  <c r="M315" i="15"/>
  <c r="N315" i="15" s="1"/>
  <c r="K315" i="15"/>
  <c r="L315" i="15" s="1"/>
  <c r="J315" i="15"/>
  <c r="I315" i="15"/>
  <c r="G315" i="15"/>
  <c r="H315" i="15" s="1"/>
  <c r="F315" i="15"/>
  <c r="A315" i="15"/>
  <c r="A319" i="4" s="1"/>
  <c r="M314" i="15"/>
  <c r="N314" i="15" s="1"/>
  <c r="K314" i="15"/>
  <c r="L314" i="15" s="1"/>
  <c r="J314" i="15"/>
  <c r="I314" i="15"/>
  <c r="G314" i="15"/>
  <c r="H314" i="15" s="1"/>
  <c r="F314" i="15"/>
  <c r="A314" i="15"/>
  <c r="A318" i="4" s="1"/>
  <c r="M313" i="15"/>
  <c r="N313" i="15" s="1"/>
  <c r="K313" i="15"/>
  <c r="L313" i="15" s="1"/>
  <c r="J313" i="15"/>
  <c r="I313" i="15"/>
  <c r="G313" i="15"/>
  <c r="H313" i="15" s="1"/>
  <c r="F313" i="15"/>
  <c r="A313" i="15"/>
  <c r="A317" i="4" s="1"/>
  <c r="M312" i="15"/>
  <c r="N312" i="15" s="1"/>
  <c r="K312" i="15"/>
  <c r="L312" i="15" s="1"/>
  <c r="J312" i="15"/>
  <c r="I312" i="15"/>
  <c r="G312" i="15"/>
  <c r="H312" i="15" s="1"/>
  <c r="F312" i="15"/>
  <c r="A312" i="15"/>
  <c r="A316" i="4" s="1"/>
  <c r="M311" i="15"/>
  <c r="N311" i="15" s="1"/>
  <c r="K311" i="15"/>
  <c r="L311" i="15" s="1"/>
  <c r="J311" i="15"/>
  <c r="I311" i="15"/>
  <c r="G311" i="15"/>
  <c r="H311" i="15" s="1"/>
  <c r="F311" i="15"/>
  <c r="A311" i="15"/>
  <c r="A315" i="4" s="1"/>
  <c r="M310" i="15"/>
  <c r="N310" i="15" s="1"/>
  <c r="K310" i="15"/>
  <c r="L310" i="15" s="1"/>
  <c r="J310" i="15"/>
  <c r="I310" i="15"/>
  <c r="G310" i="15"/>
  <c r="H310" i="15" s="1"/>
  <c r="F310" i="15"/>
  <c r="A310" i="15"/>
  <c r="A314" i="4" s="1"/>
  <c r="M309" i="15"/>
  <c r="N309" i="15" s="1"/>
  <c r="K309" i="15"/>
  <c r="L309" i="15" s="1"/>
  <c r="J309" i="15"/>
  <c r="I309" i="15"/>
  <c r="G309" i="15"/>
  <c r="H309" i="15" s="1"/>
  <c r="F309" i="15"/>
  <c r="A309" i="15"/>
  <c r="A313" i="4" s="1"/>
  <c r="M308" i="15"/>
  <c r="N308" i="15" s="1"/>
  <c r="K308" i="15"/>
  <c r="L308" i="15" s="1"/>
  <c r="J308" i="15"/>
  <c r="I308" i="15"/>
  <c r="G308" i="15"/>
  <c r="H308" i="15" s="1"/>
  <c r="F308" i="15"/>
  <c r="A308" i="15"/>
  <c r="A312" i="4" s="1"/>
  <c r="M307" i="15"/>
  <c r="N307" i="15" s="1"/>
  <c r="K307" i="15"/>
  <c r="L307" i="15" s="1"/>
  <c r="J307" i="15"/>
  <c r="I307" i="15"/>
  <c r="G307" i="15"/>
  <c r="H307" i="15" s="1"/>
  <c r="F307" i="15"/>
  <c r="A307" i="15"/>
  <c r="A311" i="4" s="1"/>
  <c r="M306" i="15"/>
  <c r="N306" i="15" s="1"/>
  <c r="K306" i="15"/>
  <c r="L306" i="15" s="1"/>
  <c r="J306" i="15"/>
  <c r="I306" i="15"/>
  <c r="G306" i="15"/>
  <c r="H306" i="15" s="1"/>
  <c r="F306" i="15"/>
  <c r="A306" i="15"/>
  <c r="A310" i="4" s="1"/>
  <c r="M305" i="15"/>
  <c r="N305" i="15" s="1"/>
  <c r="K305" i="15"/>
  <c r="L305" i="15" s="1"/>
  <c r="J305" i="15"/>
  <c r="I305" i="15"/>
  <c r="G305" i="15"/>
  <c r="H305" i="15" s="1"/>
  <c r="F305" i="15"/>
  <c r="A305" i="15"/>
  <c r="A309" i="4" s="1"/>
  <c r="M304" i="15"/>
  <c r="N304" i="15" s="1"/>
  <c r="K304" i="15"/>
  <c r="L304" i="15" s="1"/>
  <c r="J304" i="15"/>
  <c r="I304" i="15"/>
  <c r="G304" i="15"/>
  <c r="H304" i="15" s="1"/>
  <c r="F304" i="15"/>
  <c r="A304" i="15"/>
  <c r="A308" i="4" s="1"/>
  <c r="M303" i="15"/>
  <c r="N303" i="15" s="1"/>
  <c r="K303" i="15"/>
  <c r="L303" i="15" s="1"/>
  <c r="J303" i="15"/>
  <c r="I303" i="15"/>
  <c r="G303" i="15"/>
  <c r="H303" i="15" s="1"/>
  <c r="F303" i="15"/>
  <c r="A303" i="15"/>
  <c r="A307" i="4" s="1"/>
  <c r="M302" i="15"/>
  <c r="N302" i="15" s="1"/>
  <c r="K302" i="15"/>
  <c r="L302" i="15" s="1"/>
  <c r="J302" i="15"/>
  <c r="I302" i="15"/>
  <c r="G302" i="15"/>
  <c r="H302" i="15" s="1"/>
  <c r="F302" i="15"/>
  <c r="A302" i="15"/>
  <c r="A306" i="4" s="1"/>
  <c r="M301" i="15"/>
  <c r="N301" i="15" s="1"/>
  <c r="K301" i="15"/>
  <c r="L301" i="15" s="1"/>
  <c r="J301" i="15"/>
  <c r="I301" i="15"/>
  <c r="G301" i="15"/>
  <c r="H301" i="15" s="1"/>
  <c r="F301" i="15"/>
  <c r="A301" i="15"/>
  <c r="A305" i="4" s="1"/>
  <c r="M300" i="15"/>
  <c r="N300" i="15" s="1"/>
  <c r="K300" i="15"/>
  <c r="L300" i="15" s="1"/>
  <c r="J300" i="15"/>
  <c r="I300" i="15"/>
  <c r="G300" i="15"/>
  <c r="H300" i="15" s="1"/>
  <c r="F300" i="15"/>
  <c r="A300" i="15"/>
  <c r="A304" i="4" s="1"/>
  <c r="M299" i="15"/>
  <c r="N299" i="15" s="1"/>
  <c r="K299" i="15"/>
  <c r="L299" i="15" s="1"/>
  <c r="J299" i="15"/>
  <c r="I299" i="15"/>
  <c r="G299" i="15"/>
  <c r="H299" i="15" s="1"/>
  <c r="F299" i="15"/>
  <c r="A299" i="15"/>
  <c r="A303" i="4" s="1"/>
  <c r="M298" i="15"/>
  <c r="N298" i="15" s="1"/>
  <c r="K298" i="15"/>
  <c r="L298" i="15" s="1"/>
  <c r="J298" i="15"/>
  <c r="I298" i="15"/>
  <c r="G298" i="15"/>
  <c r="H298" i="15" s="1"/>
  <c r="F298" i="15"/>
  <c r="A298" i="15"/>
  <c r="A302" i="4" s="1"/>
  <c r="M297" i="15"/>
  <c r="N297" i="15" s="1"/>
  <c r="K297" i="15"/>
  <c r="L297" i="15" s="1"/>
  <c r="J297" i="15"/>
  <c r="I297" i="15"/>
  <c r="G297" i="15"/>
  <c r="H297" i="15" s="1"/>
  <c r="F297" i="15"/>
  <c r="A297" i="15"/>
  <c r="A301" i="4" s="1"/>
  <c r="M296" i="15"/>
  <c r="N296" i="15" s="1"/>
  <c r="K296" i="15"/>
  <c r="L296" i="15" s="1"/>
  <c r="J296" i="15"/>
  <c r="I296" i="15"/>
  <c r="G296" i="15"/>
  <c r="H296" i="15" s="1"/>
  <c r="F296" i="15"/>
  <c r="A296" i="15"/>
  <c r="A300" i="4" s="1"/>
  <c r="M295" i="15"/>
  <c r="N295" i="15" s="1"/>
  <c r="K295" i="15"/>
  <c r="L295" i="15" s="1"/>
  <c r="J295" i="15"/>
  <c r="I295" i="15"/>
  <c r="G295" i="15"/>
  <c r="H295" i="15" s="1"/>
  <c r="F295" i="15"/>
  <c r="M294" i="15"/>
  <c r="N294" i="15" s="1"/>
  <c r="K294" i="15"/>
  <c r="L294" i="15" s="1"/>
  <c r="J294" i="15"/>
  <c r="I294" i="15"/>
  <c r="G294" i="15"/>
  <c r="H294" i="15" s="1"/>
  <c r="F294" i="15"/>
  <c r="M293" i="15"/>
  <c r="N293" i="15" s="1"/>
  <c r="K293" i="15"/>
  <c r="L293" i="15" s="1"/>
  <c r="J293" i="15"/>
  <c r="I293" i="15"/>
  <c r="G293" i="15"/>
  <c r="H293" i="15" s="1"/>
  <c r="F293" i="15"/>
  <c r="M292" i="15"/>
  <c r="N292" i="15" s="1"/>
  <c r="K292" i="15"/>
  <c r="L292" i="15" s="1"/>
  <c r="J292" i="15"/>
  <c r="I292" i="15"/>
  <c r="G292" i="15"/>
  <c r="H292" i="15" s="1"/>
  <c r="F292" i="15"/>
  <c r="M291" i="15"/>
  <c r="N291" i="15" s="1"/>
  <c r="K291" i="15"/>
  <c r="L291" i="15" s="1"/>
  <c r="J291" i="15"/>
  <c r="I291" i="15"/>
  <c r="G291" i="15"/>
  <c r="H291" i="15" s="1"/>
  <c r="F291" i="15"/>
  <c r="M290" i="15"/>
  <c r="N290" i="15" s="1"/>
  <c r="K290" i="15"/>
  <c r="L290" i="15" s="1"/>
  <c r="J290" i="15"/>
  <c r="I290" i="15"/>
  <c r="G290" i="15"/>
  <c r="H290" i="15" s="1"/>
  <c r="F290" i="15"/>
  <c r="M289" i="15"/>
  <c r="N289" i="15" s="1"/>
  <c r="K289" i="15"/>
  <c r="L289" i="15" s="1"/>
  <c r="J289" i="15"/>
  <c r="I289" i="15"/>
  <c r="G289" i="15"/>
  <c r="H289" i="15" s="1"/>
  <c r="F289" i="15"/>
  <c r="M288" i="15"/>
  <c r="N288" i="15" s="1"/>
  <c r="K288" i="15"/>
  <c r="L288" i="15" s="1"/>
  <c r="J288" i="15"/>
  <c r="I288" i="15"/>
  <c r="G288" i="15"/>
  <c r="H288" i="15" s="1"/>
  <c r="F288" i="15"/>
  <c r="M287" i="15"/>
  <c r="N287" i="15" s="1"/>
  <c r="K287" i="15"/>
  <c r="L287" i="15" s="1"/>
  <c r="J287" i="15"/>
  <c r="I287" i="15"/>
  <c r="G287" i="15"/>
  <c r="H287" i="15" s="1"/>
  <c r="F287" i="15"/>
  <c r="M286" i="15"/>
  <c r="N286" i="15" s="1"/>
  <c r="K286" i="15"/>
  <c r="L286" i="15" s="1"/>
  <c r="J286" i="15"/>
  <c r="I286" i="15"/>
  <c r="G286" i="15"/>
  <c r="H286" i="15" s="1"/>
  <c r="F286" i="15"/>
  <c r="M285" i="15"/>
  <c r="N285" i="15" s="1"/>
  <c r="K285" i="15"/>
  <c r="L285" i="15" s="1"/>
  <c r="J285" i="15"/>
  <c r="I285" i="15"/>
  <c r="G285" i="15"/>
  <c r="H285" i="15" s="1"/>
  <c r="F285" i="15"/>
  <c r="M284" i="15"/>
  <c r="N284" i="15" s="1"/>
  <c r="K284" i="15"/>
  <c r="L284" i="15" s="1"/>
  <c r="J284" i="15"/>
  <c r="I284" i="15"/>
  <c r="G284" i="15"/>
  <c r="H284" i="15" s="1"/>
  <c r="F284" i="15"/>
  <c r="M283" i="15"/>
  <c r="N283" i="15" s="1"/>
  <c r="K283" i="15"/>
  <c r="L283" i="15" s="1"/>
  <c r="J283" i="15"/>
  <c r="I283" i="15"/>
  <c r="G283" i="15"/>
  <c r="H283" i="15" s="1"/>
  <c r="F283" i="15"/>
  <c r="M282" i="15"/>
  <c r="N282" i="15" s="1"/>
  <c r="K282" i="15"/>
  <c r="L282" i="15" s="1"/>
  <c r="J282" i="15"/>
  <c r="I282" i="15"/>
  <c r="G282" i="15"/>
  <c r="H282" i="15" s="1"/>
  <c r="F282" i="15"/>
  <c r="M281" i="15"/>
  <c r="N281" i="15" s="1"/>
  <c r="K281" i="15"/>
  <c r="L281" i="15" s="1"/>
  <c r="J281" i="15"/>
  <c r="I281" i="15"/>
  <c r="G281" i="15"/>
  <c r="H281" i="15" s="1"/>
  <c r="F281" i="15"/>
  <c r="M280" i="15"/>
  <c r="N280" i="15" s="1"/>
  <c r="K280" i="15"/>
  <c r="L280" i="15" s="1"/>
  <c r="J280" i="15"/>
  <c r="I280" i="15"/>
  <c r="G280" i="15"/>
  <c r="H280" i="15" s="1"/>
  <c r="F280" i="15"/>
  <c r="M279" i="15"/>
  <c r="N279" i="15" s="1"/>
  <c r="K279" i="15"/>
  <c r="L279" i="15" s="1"/>
  <c r="J279" i="15"/>
  <c r="I279" i="15"/>
  <c r="G279" i="15"/>
  <c r="H279" i="15" s="1"/>
  <c r="F279" i="15"/>
  <c r="M278" i="15"/>
  <c r="N278" i="15" s="1"/>
  <c r="K278" i="15"/>
  <c r="L278" i="15" s="1"/>
  <c r="J278" i="15"/>
  <c r="A278" i="15" s="1"/>
  <c r="A282" i="4" s="1"/>
  <c r="I278" i="15"/>
  <c r="G278" i="15"/>
  <c r="H278" i="15" s="1"/>
  <c r="F278" i="15"/>
  <c r="M277" i="15"/>
  <c r="N277" i="15" s="1"/>
  <c r="K277" i="15"/>
  <c r="L277" i="15" s="1"/>
  <c r="J277" i="15"/>
  <c r="I277" i="15"/>
  <c r="G277" i="15"/>
  <c r="H277" i="15" s="1"/>
  <c r="F277" i="15"/>
  <c r="M276" i="15"/>
  <c r="N276" i="15" s="1"/>
  <c r="K276" i="15"/>
  <c r="L276" i="15" s="1"/>
  <c r="J276" i="15"/>
  <c r="I276" i="15"/>
  <c r="G276" i="15"/>
  <c r="H276" i="15" s="1"/>
  <c r="F276" i="15"/>
  <c r="M275" i="15"/>
  <c r="N275" i="15" s="1"/>
  <c r="K275" i="15"/>
  <c r="L275" i="15" s="1"/>
  <c r="J275" i="15"/>
  <c r="I275" i="15"/>
  <c r="G275" i="15"/>
  <c r="H275" i="15" s="1"/>
  <c r="F275" i="15"/>
  <c r="M274" i="15"/>
  <c r="N274" i="15" s="1"/>
  <c r="K274" i="15"/>
  <c r="L274" i="15" s="1"/>
  <c r="J274" i="15"/>
  <c r="I274" i="15"/>
  <c r="G274" i="15"/>
  <c r="H274" i="15" s="1"/>
  <c r="F274" i="15"/>
  <c r="M273" i="15"/>
  <c r="N273" i="15" s="1"/>
  <c r="K273" i="15"/>
  <c r="L273" i="15" s="1"/>
  <c r="J273" i="15"/>
  <c r="I273" i="15"/>
  <c r="G273" i="15"/>
  <c r="H273" i="15" s="1"/>
  <c r="F273" i="15"/>
  <c r="M272" i="15"/>
  <c r="N272" i="15" s="1"/>
  <c r="K272" i="15"/>
  <c r="L272" i="15" s="1"/>
  <c r="J272" i="15"/>
  <c r="I272" i="15"/>
  <c r="G272" i="15"/>
  <c r="H272" i="15" s="1"/>
  <c r="F272" i="15"/>
  <c r="M271" i="15"/>
  <c r="N271" i="15" s="1"/>
  <c r="K271" i="15"/>
  <c r="L271" i="15" s="1"/>
  <c r="J271" i="15"/>
  <c r="I271" i="15"/>
  <c r="G271" i="15"/>
  <c r="H271" i="15" s="1"/>
  <c r="F271" i="15"/>
  <c r="M270" i="15"/>
  <c r="N270" i="15" s="1"/>
  <c r="K270" i="15"/>
  <c r="L270" i="15" s="1"/>
  <c r="J270" i="15"/>
  <c r="I270" i="15"/>
  <c r="G270" i="15"/>
  <c r="H270" i="15" s="1"/>
  <c r="F270" i="15"/>
  <c r="M269" i="15"/>
  <c r="N269" i="15" s="1"/>
  <c r="K269" i="15"/>
  <c r="L269" i="15" s="1"/>
  <c r="J269" i="15"/>
  <c r="I269" i="15"/>
  <c r="G269" i="15"/>
  <c r="H269" i="15" s="1"/>
  <c r="F269" i="15"/>
  <c r="M268" i="15"/>
  <c r="N268" i="15" s="1"/>
  <c r="K268" i="15"/>
  <c r="L268" i="15" s="1"/>
  <c r="J268" i="15"/>
  <c r="I268" i="15"/>
  <c r="G268" i="15"/>
  <c r="H268" i="15" s="1"/>
  <c r="F268" i="15"/>
  <c r="M267" i="15"/>
  <c r="N267" i="15" s="1"/>
  <c r="K267" i="15"/>
  <c r="L267" i="15" s="1"/>
  <c r="J267" i="15"/>
  <c r="I267" i="15"/>
  <c r="G267" i="15"/>
  <c r="H267" i="15" s="1"/>
  <c r="F267" i="15"/>
  <c r="M266" i="15"/>
  <c r="N266" i="15" s="1"/>
  <c r="K266" i="15"/>
  <c r="L266" i="15" s="1"/>
  <c r="J266" i="15"/>
  <c r="I266" i="15"/>
  <c r="G266" i="15"/>
  <c r="H266" i="15" s="1"/>
  <c r="F266" i="15"/>
  <c r="A266" i="15"/>
  <c r="A270" i="4" s="1"/>
  <c r="M265" i="15"/>
  <c r="N265" i="15" s="1"/>
  <c r="K265" i="15"/>
  <c r="L265" i="15" s="1"/>
  <c r="J265" i="15"/>
  <c r="I265" i="15"/>
  <c r="G265" i="15"/>
  <c r="H265" i="15" s="1"/>
  <c r="F265" i="15"/>
  <c r="M264" i="15"/>
  <c r="N264" i="15" s="1"/>
  <c r="K264" i="15"/>
  <c r="L264" i="15" s="1"/>
  <c r="J264" i="15"/>
  <c r="I264" i="15"/>
  <c r="G264" i="15"/>
  <c r="H264" i="15" s="1"/>
  <c r="F264" i="15"/>
  <c r="M263" i="15"/>
  <c r="N263" i="15" s="1"/>
  <c r="K263" i="15"/>
  <c r="L263" i="15" s="1"/>
  <c r="J263" i="15"/>
  <c r="I263" i="15"/>
  <c r="G263" i="15"/>
  <c r="H263" i="15" s="1"/>
  <c r="F263" i="15"/>
  <c r="M262" i="15"/>
  <c r="N262" i="15" s="1"/>
  <c r="K262" i="15"/>
  <c r="L262" i="15" s="1"/>
  <c r="J262" i="15"/>
  <c r="I262" i="15"/>
  <c r="G262" i="15"/>
  <c r="H262" i="15" s="1"/>
  <c r="F262" i="15"/>
  <c r="M261" i="15"/>
  <c r="N261" i="15" s="1"/>
  <c r="K261" i="15"/>
  <c r="L261" i="15" s="1"/>
  <c r="J261" i="15"/>
  <c r="I261" i="15"/>
  <c r="G261" i="15"/>
  <c r="H261" i="15" s="1"/>
  <c r="F261" i="15"/>
  <c r="M260" i="15"/>
  <c r="N260" i="15" s="1"/>
  <c r="K260" i="15"/>
  <c r="L260" i="15" s="1"/>
  <c r="J260" i="15"/>
  <c r="I260" i="15"/>
  <c r="G260" i="15"/>
  <c r="H260" i="15" s="1"/>
  <c r="F260" i="15"/>
  <c r="M259" i="15"/>
  <c r="N259" i="15" s="1"/>
  <c r="K259" i="15"/>
  <c r="L259" i="15" s="1"/>
  <c r="J259" i="15"/>
  <c r="I259" i="15"/>
  <c r="G259" i="15"/>
  <c r="H259" i="15" s="1"/>
  <c r="F259" i="15"/>
  <c r="M258" i="15"/>
  <c r="N258" i="15" s="1"/>
  <c r="K258" i="15"/>
  <c r="L258" i="15" s="1"/>
  <c r="J258" i="15"/>
  <c r="I258" i="15"/>
  <c r="G258" i="15"/>
  <c r="H258" i="15" s="1"/>
  <c r="F258" i="15"/>
  <c r="M257" i="15"/>
  <c r="N257" i="15" s="1"/>
  <c r="K257" i="15"/>
  <c r="L257" i="15" s="1"/>
  <c r="J257" i="15"/>
  <c r="I257" i="15"/>
  <c r="G257" i="15"/>
  <c r="H257" i="15" s="1"/>
  <c r="F257" i="15"/>
  <c r="M256" i="15"/>
  <c r="N256" i="15" s="1"/>
  <c r="K256" i="15"/>
  <c r="L256" i="15" s="1"/>
  <c r="J256" i="15"/>
  <c r="I256" i="15"/>
  <c r="G256" i="15"/>
  <c r="H256" i="15" s="1"/>
  <c r="F256" i="15"/>
  <c r="M255" i="15"/>
  <c r="N255" i="15" s="1"/>
  <c r="K255" i="15"/>
  <c r="L255" i="15" s="1"/>
  <c r="J255" i="15"/>
  <c r="I255" i="15"/>
  <c r="G255" i="15"/>
  <c r="H255" i="15" s="1"/>
  <c r="F255" i="15"/>
  <c r="M254" i="15"/>
  <c r="N254" i="15" s="1"/>
  <c r="K254" i="15"/>
  <c r="L254" i="15" s="1"/>
  <c r="J254" i="15"/>
  <c r="I254" i="15"/>
  <c r="G254" i="15"/>
  <c r="H254" i="15" s="1"/>
  <c r="F254" i="15"/>
  <c r="M253" i="15"/>
  <c r="N253" i="15" s="1"/>
  <c r="K253" i="15"/>
  <c r="L253" i="15" s="1"/>
  <c r="J253" i="15"/>
  <c r="I253" i="15"/>
  <c r="G253" i="15"/>
  <c r="H253" i="15" s="1"/>
  <c r="F253" i="15"/>
  <c r="M252" i="15"/>
  <c r="N252" i="15" s="1"/>
  <c r="K252" i="15"/>
  <c r="L252" i="15" s="1"/>
  <c r="J252" i="15"/>
  <c r="I252" i="15"/>
  <c r="G252" i="15"/>
  <c r="H252" i="15" s="1"/>
  <c r="F252" i="15"/>
  <c r="M251" i="15"/>
  <c r="N251" i="15" s="1"/>
  <c r="K251" i="15"/>
  <c r="L251" i="15" s="1"/>
  <c r="J251" i="15"/>
  <c r="I251" i="15"/>
  <c r="A251" i="15" s="1"/>
  <c r="A255" i="4" s="1"/>
  <c r="G251" i="15"/>
  <c r="H251" i="15" s="1"/>
  <c r="F251" i="15"/>
  <c r="M250" i="15"/>
  <c r="N250" i="15" s="1"/>
  <c r="K250" i="15"/>
  <c r="L250" i="15" s="1"/>
  <c r="J250" i="15"/>
  <c r="I250" i="15"/>
  <c r="G250" i="15"/>
  <c r="H250" i="15" s="1"/>
  <c r="F250" i="15"/>
  <c r="M249" i="15"/>
  <c r="N249" i="15" s="1"/>
  <c r="K249" i="15"/>
  <c r="L249" i="15" s="1"/>
  <c r="J249" i="15"/>
  <c r="I249" i="15"/>
  <c r="G249" i="15"/>
  <c r="H249" i="15" s="1"/>
  <c r="F249" i="15"/>
  <c r="M248" i="15"/>
  <c r="N248" i="15" s="1"/>
  <c r="K248" i="15"/>
  <c r="L248" i="15" s="1"/>
  <c r="J248" i="15"/>
  <c r="I248" i="15"/>
  <c r="G248" i="15"/>
  <c r="H248" i="15" s="1"/>
  <c r="F248" i="15"/>
  <c r="M247" i="15"/>
  <c r="N247" i="15" s="1"/>
  <c r="K247" i="15"/>
  <c r="L247" i="15" s="1"/>
  <c r="J247" i="15"/>
  <c r="I247" i="15"/>
  <c r="G247" i="15"/>
  <c r="H247" i="15" s="1"/>
  <c r="F247" i="15"/>
  <c r="M246" i="15"/>
  <c r="N246" i="15" s="1"/>
  <c r="K246" i="15"/>
  <c r="L246" i="15" s="1"/>
  <c r="J246" i="15"/>
  <c r="I246" i="15"/>
  <c r="G246" i="15"/>
  <c r="H246" i="15" s="1"/>
  <c r="F246" i="15"/>
  <c r="M245" i="15"/>
  <c r="N245" i="15" s="1"/>
  <c r="K245" i="15"/>
  <c r="L245" i="15" s="1"/>
  <c r="J245" i="15"/>
  <c r="I245" i="15"/>
  <c r="G245" i="15"/>
  <c r="H245" i="15" s="1"/>
  <c r="A245" i="15" s="1"/>
  <c r="A249" i="4" s="1"/>
  <c r="F245" i="15"/>
  <c r="M244" i="15"/>
  <c r="N244" i="15" s="1"/>
  <c r="K244" i="15"/>
  <c r="L244" i="15" s="1"/>
  <c r="J244" i="15"/>
  <c r="I244" i="15"/>
  <c r="G244" i="15"/>
  <c r="H244" i="15" s="1"/>
  <c r="F244" i="15"/>
  <c r="M243" i="15"/>
  <c r="N243" i="15" s="1"/>
  <c r="K243" i="15"/>
  <c r="L243" i="15" s="1"/>
  <c r="J243" i="15"/>
  <c r="I243" i="15"/>
  <c r="G243" i="15"/>
  <c r="H243" i="15" s="1"/>
  <c r="F243" i="15"/>
  <c r="M242" i="15"/>
  <c r="N242" i="15" s="1"/>
  <c r="K242" i="15"/>
  <c r="L242" i="15" s="1"/>
  <c r="J242" i="15"/>
  <c r="I242" i="15"/>
  <c r="G242" i="15"/>
  <c r="H242" i="15" s="1"/>
  <c r="F242" i="15"/>
  <c r="M241" i="15"/>
  <c r="N241" i="15" s="1"/>
  <c r="K241" i="15"/>
  <c r="L241" i="15" s="1"/>
  <c r="J241" i="15"/>
  <c r="I241" i="15"/>
  <c r="G241" i="15"/>
  <c r="H241" i="15" s="1"/>
  <c r="F241" i="15"/>
  <c r="M240" i="15"/>
  <c r="N240" i="15" s="1"/>
  <c r="K240" i="15"/>
  <c r="L240" i="15" s="1"/>
  <c r="J240" i="15"/>
  <c r="I240" i="15"/>
  <c r="G240" i="15"/>
  <c r="H240" i="15" s="1"/>
  <c r="F240" i="15"/>
  <c r="M239" i="15"/>
  <c r="N239" i="15" s="1"/>
  <c r="K239" i="15"/>
  <c r="L239" i="15" s="1"/>
  <c r="J239" i="15"/>
  <c r="I239" i="15"/>
  <c r="G239" i="15"/>
  <c r="H239" i="15" s="1"/>
  <c r="F239" i="15"/>
  <c r="M238" i="15"/>
  <c r="N238" i="15" s="1"/>
  <c r="K238" i="15"/>
  <c r="L238" i="15" s="1"/>
  <c r="J238" i="15"/>
  <c r="I238" i="15"/>
  <c r="G238" i="15"/>
  <c r="H238" i="15" s="1"/>
  <c r="F238" i="15"/>
  <c r="M237" i="15"/>
  <c r="N237" i="15" s="1"/>
  <c r="K237" i="15"/>
  <c r="L237" i="15" s="1"/>
  <c r="J237" i="15"/>
  <c r="I237" i="15"/>
  <c r="G237" i="15"/>
  <c r="H237" i="15" s="1"/>
  <c r="F237" i="15"/>
  <c r="M236" i="15"/>
  <c r="N236" i="15" s="1"/>
  <c r="K236" i="15"/>
  <c r="L236" i="15" s="1"/>
  <c r="J236" i="15"/>
  <c r="I236" i="15"/>
  <c r="G236" i="15"/>
  <c r="H236" i="15" s="1"/>
  <c r="F236" i="15"/>
  <c r="M235" i="15"/>
  <c r="N235" i="15" s="1"/>
  <c r="K235" i="15"/>
  <c r="L235" i="15" s="1"/>
  <c r="J235" i="15"/>
  <c r="I235" i="15"/>
  <c r="A235" i="15" s="1"/>
  <c r="A239" i="4" s="1"/>
  <c r="G235" i="15"/>
  <c r="H235" i="15" s="1"/>
  <c r="F235" i="15"/>
  <c r="M234" i="15"/>
  <c r="N234" i="15" s="1"/>
  <c r="K234" i="15"/>
  <c r="L234" i="15" s="1"/>
  <c r="J234" i="15"/>
  <c r="I234" i="15"/>
  <c r="G234" i="15"/>
  <c r="H234" i="15" s="1"/>
  <c r="F234" i="15"/>
  <c r="A234" i="15"/>
  <c r="A238" i="4" s="1"/>
  <c r="M233" i="15"/>
  <c r="N233" i="15" s="1"/>
  <c r="K233" i="15"/>
  <c r="L233" i="15" s="1"/>
  <c r="J233" i="15"/>
  <c r="I233" i="15"/>
  <c r="G233" i="15"/>
  <c r="H233" i="15" s="1"/>
  <c r="F233" i="15"/>
  <c r="M232" i="15"/>
  <c r="N232" i="15" s="1"/>
  <c r="K232" i="15"/>
  <c r="L232" i="15" s="1"/>
  <c r="J232" i="15"/>
  <c r="I232" i="15"/>
  <c r="G232" i="15"/>
  <c r="H232" i="15" s="1"/>
  <c r="F232" i="15"/>
  <c r="M231" i="15"/>
  <c r="N231" i="15" s="1"/>
  <c r="K231" i="15"/>
  <c r="L231" i="15" s="1"/>
  <c r="J231" i="15"/>
  <c r="I231" i="15"/>
  <c r="G231" i="15"/>
  <c r="H231" i="15" s="1"/>
  <c r="F231" i="15"/>
  <c r="M230" i="15"/>
  <c r="N230" i="15" s="1"/>
  <c r="K230" i="15"/>
  <c r="L230" i="15" s="1"/>
  <c r="J230" i="15"/>
  <c r="I230" i="15"/>
  <c r="G230" i="15"/>
  <c r="H230" i="15" s="1"/>
  <c r="F230" i="15"/>
  <c r="M229" i="15"/>
  <c r="N229" i="15" s="1"/>
  <c r="K229" i="15"/>
  <c r="L229" i="15" s="1"/>
  <c r="J229" i="15"/>
  <c r="I229" i="15"/>
  <c r="G229" i="15"/>
  <c r="H229" i="15" s="1"/>
  <c r="F229" i="15"/>
  <c r="M228" i="15"/>
  <c r="N228" i="15" s="1"/>
  <c r="K228" i="15"/>
  <c r="L228" i="15" s="1"/>
  <c r="J228" i="15"/>
  <c r="I228" i="15"/>
  <c r="G228" i="15"/>
  <c r="H228" i="15" s="1"/>
  <c r="F228" i="15"/>
  <c r="M227" i="15"/>
  <c r="N227" i="15" s="1"/>
  <c r="K227" i="15"/>
  <c r="L227" i="15" s="1"/>
  <c r="J227" i="15"/>
  <c r="I227" i="15"/>
  <c r="G227" i="15"/>
  <c r="H227" i="15" s="1"/>
  <c r="F227" i="15"/>
  <c r="M226" i="15"/>
  <c r="N226" i="15" s="1"/>
  <c r="K226" i="15"/>
  <c r="L226" i="15" s="1"/>
  <c r="J226" i="15"/>
  <c r="I226" i="15"/>
  <c r="A226" i="15" s="1"/>
  <c r="A230" i="4" s="1"/>
  <c r="G226" i="15"/>
  <c r="H226" i="15" s="1"/>
  <c r="F226" i="15"/>
  <c r="M225" i="15"/>
  <c r="N225" i="15" s="1"/>
  <c r="K225" i="15"/>
  <c r="L225" i="15" s="1"/>
  <c r="J225" i="15"/>
  <c r="I225" i="15"/>
  <c r="G225" i="15"/>
  <c r="H225" i="15" s="1"/>
  <c r="F225" i="15"/>
  <c r="M224" i="15"/>
  <c r="N224" i="15" s="1"/>
  <c r="K224" i="15"/>
  <c r="L224" i="15" s="1"/>
  <c r="J224" i="15"/>
  <c r="I224" i="15"/>
  <c r="G224" i="15"/>
  <c r="H224" i="15" s="1"/>
  <c r="F224" i="15"/>
  <c r="N223" i="15"/>
  <c r="K223" i="15"/>
  <c r="L223" i="15" s="1"/>
  <c r="J223" i="15"/>
  <c r="I223" i="15"/>
  <c r="G223" i="15"/>
  <c r="H223" i="15" s="1"/>
  <c r="F223" i="15"/>
  <c r="M222" i="15"/>
  <c r="N222" i="15" s="1"/>
  <c r="K222" i="15"/>
  <c r="L222" i="15" s="1"/>
  <c r="J222" i="15"/>
  <c r="I222" i="15"/>
  <c r="G222" i="15"/>
  <c r="H222" i="15" s="1"/>
  <c r="F222" i="15"/>
  <c r="M221" i="15"/>
  <c r="N221" i="15" s="1"/>
  <c r="K221" i="15"/>
  <c r="L221" i="15" s="1"/>
  <c r="J221" i="15"/>
  <c r="I221" i="15"/>
  <c r="G221" i="15"/>
  <c r="H221" i="15" s="1"/>
  <c r="F221" i="15"/>
  <c r="M220" i="15"/>
  <c r="N220" i="15" s="1"/>
  <c r="K220" i="15"/>
  <c r="L220" i="15" s="1"/>
  <c r="J220" i="15"/>
  <c r="I220" i="15"/>
  <c r="G220" i="15"/>
  <c r="H220" i="15" s="1"/>
  <c r="F220" i="15"/>
  <c r="M219" i="15"/>
  <c r="N219" i="15" s="1"/>
  <c r="K219" i="15"/>
  <c r="L219" i="15" s="1"/>
  <c r="J219" i="15"/>
  <c r="I219" i="15"/>
  <c r="G219" i="15"/>
  <c r="H219" i="15" s="1"/>
  <c r="F219" i="15"/>
  <c r="M218" i="15"/>
  <c r="N218" i="15" s="1"/>
  <c r="K218" i="15"/>
  <c r="L218" i="15" s="1"/>
  <c r="J218" i="15"/>
  <c r="I218" i="15"/>
  <c r="G218" i="15"/>
  <c r="H218" i="15" s="1"/>
  <c r="F218" i="15"/>
  <c r="M217" i="15"/>
  <c r="N217" i="15" s="1"/>
  <c r="K217" i="15"/>
  <c r="L217" i="15" s="1"/>
  <c r="J217" i="15"/>
  <c r="I217" i="15"/>
  <c r="G217" i="15"/>
  <c r="H217" i="15" s="1"/>
  <c r="F217" i="15"/>
  <c r="M216" i="15"/>
  <c r="N216" i="15" s="1"/>
  <c r="K216" i="15"/>
  <c r="L216" i="15" s="1"/>
  <c r="J216" i="15"/>
  <c r="I216" i="15"/>
  <c r="G216" i="15"/>
  <c r="H216" i="15" s="1"/>
  <c r="F216" i="15"/>
  <c r="M215" i="15"/>
  <c r="N215" i="15" s="1"/>
  <c r="K215" i="15"/>
  <c r="L215" i="15" s="1"/>
  <c r="J215" i="15"/>
  <c r="I215" i="15"/>
  <c r="G215" i="15"/>
  <c r="H215" i="15" s="1"/>
  <c r="F215" i="15"/>
  <c r="M214" i="15"/>
  <c r="N214" i="15" s="1"/>
  <c r="K214" i="15"/>
  <c r="L214" i="15" s="1"/>
  <c r="J214" i="15"/>
  <c r="I214" i="15"/>
  <c r="G214" i="15"/>
  <c r="H214" i="15" s="1"/>
  <c r="F214" i="15"/>
  <c r="M213" i="15"/>
  <c r="N213" i="15" s="1"/>
  <c r="K213" i="15"/>
  <c r="L213" i="15" s="1"/>
  <c r="J213" i="15"/>
  <c r="I213" i="15"/>
  <c r="G213" i="15"/>
  <c r="H213" i="15" s="1"/>
  <c r="F213" i="15"/>
  <c r="M212" i="15"/>
  <c r="N212" i="15" s="1"/>
  <c r="K212" i="15"/>
  <c r="L212" i="15" s="1"/>
  <c r="J212" i="15"/>
  <c r="I212" i="15"/>
  <c r="G212" i="15"/>
  <c r="H212" i="15" s="1"/>
  <c r="F212" i="15"/>
  <c r="M211" i="15"/>
  <c r="N211" i="15" s="1"/>
  <c r="K211" i="15"/>
  <c r="L211" i="15" s="1"/>
  <c r="J211" i="15"/>
  <c r="I211" i="15"/>
  <c r="G211" i="15"/>
  <c r="H211" i="15" s="1"/>
  <c r="F211" i="15"/>
  <c r="M210" i="15"/>
  <c r="N210" i="15" s="1"/>
  <c r="K210" i="15"/>
  <c r="L210" i="15" s="1"/>
  <c r="J210" i="15"/>
  <c r="I210" i="15"/>
  <c r="G210" i="15"/>
  <c r="H210" i="15" s="1"/>
  <c r="F210" i="15"/>
  <c r="A210" i="15"/>
  <c r="A214" i="4" s="1"/>
  <c r="M209" i="15"/>
  <c r="N209" i="15" s="1"/>
  <c r="K209" i="15"/>
  <c r="L209" i="15" s="1"/>
  <c r="J209" i="15"/>
  <c r="I209" i="15"/>
  <c r="G209" i="15"/>
  <c r="H209" i="15" s="1"/>
  <c r="F209" i="15"/>
  <c r="M208" i="15"/>
  <c r="N208" i="15" s="1"/>
  <c r="K208" i="15"/>
  <c r="L208" i="15" s="1"/>
  <c r="J208" i="15"/>
  <c r="I208" i="15"/>
  <c r="G208" i="15"/>
  <c r="H208" i="15" s="1"/>
  <c r="F208" i="15"/>
  <c r="M207" i="15"/>
  <c r="N207" i="15" s="1"/>
  <c r="K207" i="15"/>
  <c r="L207" i="15" s="1"/>
  <c r="J207" i="15"/>
  <c r="I207" i="15"/>
  <c r="G207" i="15"/>
  <c r="H207" i="15" s="1"/>
  <c r="F207" i="15"/>
  <c r="M206" i="15"/>
  <c r="N206" i="15" s="1"/>
  <c r="K206" i="15"/>
  <c r="L206" i="15" s="1"/>
  <c r="J206" i="15"/>
  <c r="I206" i="15"/>
  <c r="G206" i="15"/>
  <c r="H206" i="15" s="1"/>
  <c r="F206" i="15"/>
  <c r="M205" i="15"/>
  <c r="N205" i="15" s="1"/>
  <c r="K205" i="15"/>
  <c r="L205" i="15" s="1"/>
  <c r="J205" i="15"/>
  <c r="I205" i="15"/>
  <c r="G205" i="15"/>
  <c r="H205" i="15" s="1"/>
  <c r="F205" i="15"/>
  <c r="M204" i="15"/>
  <c r="N204" i="15" s="1"/>
  <c r="K204" i="15"/>
  <c r="L204" i="15" s="1"/>
  <c r="J204" i="15"/>
  <c r="I204" i="15"/>
  <c r="G204" i="15"/>
  <c r="H204" i="15" s="1"/>
  <c r="F204" i="15"/>
  <c r="M203" i="15"/>
  <c r="N203" i="15" s="1"/>
  <c r="K203" i="15"/>
  <c r="L203" i="15" s="1"/>
  <c r="J203" i="15"/>
  <c r="I203" i="15"/>
  <c r="G203" i="15"/>
  <c r="H203" i="15" s="1"/>
  <c r="F203" i="15"/>
  <c r="M202" i="15"/>
  <c r="N202" i="15" s="1"/>
  <c r="K202" i="15"/>
  <c r="L202" i="15" s="1"/>
  <c r="J202" i="15"/>
  <c r="I202" i="15"/>
  <c r="G202" i="15"/>
  <c r="H202" i="15" s="1"/>
  <c r="A202" i="15" s="1"/>
  <c r="A206" i="4" s="1"/>
  <c r="F202" i="15"/>
  <c r="M201" i="15"/>
  <c r="N201" i="15" s="1"/>
  <c r="K201" i="15"/>
  <c r="L201" i="15" s="1"/>
  <c r="J201" i="15"/>
  <c r="I201" i="15"/>
  <c r="G201" i="15"/>
  <c r="H201" i="15" s="1"/>
  <c r="F201" i="15"/>
  <c r="M200" i="15"/>
  <c r="N200" i="15" s="1"/>
  <c r="K200" i="15"/>
  <c r="L200" i="15" s="1"/>
  <c r="J200" i="15"/>
  <c r="I200" i="15"/>
  <c r="G200" i="15"/>
  <c r="H200" i="15" s="1"/>
  <c r="F200" i="15"/>
  <c r="M199" i="15"/>
  <c r="N199" i="15" s="1"/>
  <c r="K199" i="15"/>
  <c r="L199" i="15" s="1"/>
  <c r="J199" i="15"/>
  <c r="I199" i="15"/>
  <c r="G199" i="15"/>
  <c r="H199" i="15" s="1"/>
  <c r="F199" i="15"/>
  <c r="M198" i="15"/>
  <c r="N198" i="15" s="1"/>
  <c r="K198" i="15"/>
  <c r="L198" i="15" s="1"/>
  <c r="J198" i="15"/>
  <c r="I198" i="15"/>
  <c r="G198" i="15"/>
  <c r="H198" i="15" s="1"/>
  <c r="F198" i="15"/>
  <c r="M197" i="15"/>
  <c r="N197" i="15" s="1"/>
  <c r="K197" i="15"/>
  <c r="L197" i="15" s="1"/>
  <c r="J197" i="15"/>
  <c r="I197" i="15"/>
  <c r="G197" i="15"/>
  <c r="H197" i="15" s="1"/>
  <c r="F197" i="15"/>
  <c r="M196" i="15"/>
  <c r="N196" i="15" s="1"/>
  <c r="K196" i="15"/>
  <c r="L196" i="15" s="1"/>
  <c r="J196" i="15"/>
  <c r="I196" i="15"/>
  <c r="G196" i="15"/>
  <c r="H196" i="15" s="1"/>
  <c r="F196" i="15"/>
  <c r="M195" i="15"/>
  <c r="N195" i="15" s="1"/>
  <c r="K195" i="15"/>
  <c r="L195" i="15" s="1"/>
  <c r="J195" i="15"/>
  <c r="I195" i="15"/>
  <c r="G195" i="15"/>
  <c r="H195" i="15" s="1"/>
  <c r="F195" i="15"/>
  <c r="M194" i="15"/>
  <c r="N194" i="15" s="1"/>
  <c r="K194" i="15"/>
  <c r="L194" i="15" s="1"/>
  <c r="J194" i="15"/>
  <c r="I194" i="15"/>
  <c r="G194" i="15"/>
  <c r="H194" i="15" s="1"/>
  <c r="F194" i="15"/>
  <c r="M193" i="15"/>
  <c r="N193" i="15" s="1"/>
  <c r="K193" i="15"/>
  <c r="L193" i="15" s="1"/>
  <c r="J193" i="15"/>
  <c r="I193" i="15"/>
  <c r="G193" i="15"/>
  <c r="H193" i="15" s="1"/>
  <c r="F193" i="15"/>
  <c r="M192" i="15"/>
  <c r="N192" i="15" s="1"/>
  <c r="K192" i="15"/>
  <c r="L192" i="15" s="1"/>
  <c r="J192" i="15"/>
  <c r="I192" i="15"/>
  <c r="G192" i="15"/>
  <c r="H192" i="15" s="1"/>
  <c r="F192" i="15"/>
  <c r="M191" i="15"/>
  <c r="N191" i="15" s="1"/>
  <c r="K191" i="15"/>
  <c r="L191" i="15" s="1"/>
  <c r="J191" i="15"/>
  <c r="I191" i="15"/>
  <c r="G191" i="15"/>
  <c r="H191" i="15" s="1"/>
  <c r="F191" i="15"/>
  <c r="M190" i="15"/>
  <c r="N190" i="15" s="1"/>
  <c r="K190" i="15"/>
  <c r="L190" i="15" s="1"/>
  <c r="J190" i="15"/>
  <c r="I190" i="15"/>
  <c r="G190" i="15"/>
  <c r="H190" i="15" s="1"/>
  <c r="F190" i="15"/>
  <c r="M189" i="15"/>
  <c r="N189" i="15" s="1"/>
  <c r="K189" i="15"/>
  <c r="L189" i="15" s="1"/>
  <c r="J189" i="15"/>
  <c r="I189" i="15"/>
  <c r="G189" i="15"/>
  <c r="H189" i="15" s="1"/>
  <c r="F189" i="15"/>
  <c r="M188" i="15"/>
  <c r="N188" i="15" s="1"/>
  <c r="K188" i="15"/>
  <c r="L188" i="15" s="1"/>
  <c r="J188" i="15"/>
  <c r="I188" i="15"/>
  <c r="G188" i="15"/>
  <c r="H188" i="15" s="1"/>
  <c r="F188" i="15"/>
  <c r="M187" i="15"/>
  <c r="N187" i="15" s="1"/>
  <c r="K187" i="15"/>
  <c r="L187" i="15" s="1"/>
  <c r="J187" i="15"/>
  <c r="I187" i="15"/>
  <c r="G187" i="15"/>
  <c r="H187" i="15" s="1"/>
  <c r="F187" i="15"/>
  <c r="M186" i="15"/>
  <c r="N186" i="15" s="1"/>
  <c r="K186" i="15"/>
  <c r="L186" i="15" s="1"/>
  <c r="J186" i="15"/>
  <c r="I186" i="15"/>
  <c r="G186" i="15"/>
  <c r="H186" i="15" s="1"/>
  <c r="F186" i="15"/>
  <c r="M185" i="15"/>
  <c r="N185" i="15" s="1"/>
  <c r="K185" i="15"/>
  <c r="L185" i="15" s="1"/>
  <c r="J185" i="15"/>
  <c r="I185" i="15"/>
  <c r="G185" i="15"/>
  <c r="H185" i="15" s="1"/>
  <c r="F185" i="15"/>
  <c r="M184" i="15"/>
  <c r="N184" i="15" s="1"/>
  <c r="K184" i="15"/>
  <c r="L184" i="15" s="1"/>
  <c r="J184" i="15"/>
  <c r="I184" i="15"/>
  <c r="G184" i="15"/>
  <c r="H184" i="15" s="1"/>
  <c r="F184" i="15"/>
  <c r="M183" i="15"/>
  <c r="N183" i="15" s="1"/>
  <c r="K183" i="15"/>
  <c r="L183" i="15" s="1"/>
  <c r="J183" i="15"/>
  <c r="I183" i="15"/>
  <c r="G183" i="15"/>
  <c r="H183" i="15" s="1"/>
  <c r="F183" i="15"/>
  <c r="M182" i="15"/>
  <c r="N182" i="15" s="1"/>
  <c r="K182" i="15"/>
  <c r="L182" i="15" s="1"/>
  <c r="J182" i="15"/>
  <c r="I182" i="15"/>
  <c r="G182" i="15"/>
  <c r="H182" i="15" s="1"/>
  <c r="F182" i="15"/>
  <c r="M181" i="15"/>
  <c r="N181" i="15" s="1"/>
  <c r="K181" i="15"/>
  <c r="L181" i="15" s="1"/>
  <c r="J181" i="15"/>
  <c r="I181" i="15"/>
  <c r="G181" i="15"/>
  <c r="H181" i="15" s="1"/>
  <c r="F181" i="15"/>
  <c r="M180" i="15"/>
  <c r="N180" i="15" s="1"/>
  <c r="K180" i="15"/>
  <c r="L180" i="15" s="1"/>
  <c r="J180" i="15"/>
  <c r="I180" i="15"/>
  <c r="G180" i="15"/>
  <c r="H180" i="15" s="1"/>
  <c r="F180" i="15"/>
  <c r="M179" i="15"/>
  <c r="N179" i="15" s="1"/>
  <c r="K179" i="15"/>
  <c r="L179" i="15" s="1"/>
  <c r="J179" i="15"/>
  <c r="I179" i="15"/>
  <c r="G179" i="15"/>
  <c r="H179" i="15" s="1"/>
  <c r="F179" i="15"/>
  <c r="M178" i="15"/>
  <c r="N178" i="15" s="1"/>
  <c r="K178" i="15"/>
  <c r="L178" i="15" s="1"/>
  <c r="J178" i="15"/>
  <c r="I178" i="15"/>
  <c r="G178" i="15"/>
  <c r="H178" i="15" s="1"/>
  <c r="F178" i="15"/>
  <c r="M177" i="15"/>
  <c r="N177" i="15" s="1"/>
  <c r="K177" i="15"/>
  <c r="L177" i="15" s="1"/>
  <c r="J177" i="15"/>
  <c r="I177" i="15"/>
  <c r="G177" i="15"/>
  <c r="H177" i="15" s="1"/>
  <c r="F177" i="15"/>
  <c r="M176" i="15"/>
  <c r="N176" i="15" s="1"/>
  <c r="K176" i="15"/>
  <c r="L176" i="15" s="1"/>
  <c r="J176" i="15"/>
  <c r="I176" i="15"/>
  <c r="G176" i="15"/>
  <c r="H176" i="15" s="1"/>
  <c r="F176" i="15"/>
  <c r="M175" i="15"/>
  <c r="N175" i="15" s="1"/>
  <c r="K175" i="15"/>
  <c r="L175" i="15" s="1"/>
  <c r="J175" i="15"/>
  <c r="I175" i="15"/>
  <c r="G175" i="15"/>
  <c r="H175" i="15" s="1"/>
  <c r="F175" i="15"/>
  <c r="M174" i="15"/>
  <c r="N174" i="15" s="1"/>
  <c r="K174" i="15"/>
  <c r="L174" i="15" s="1"/>
  <c r="J174" i="15"/>
  <c r="I174" i="15"/>
  <c r="G174" i="15"/>
  <c r="H174" i="15" s="1"/>
  <c r="F174" i="15"/>
  <c r="M173" i="15"/>
  <c r="N173" i="15" s="1"/>
  <c r="K173" i="15"/>
  <c r="L173" i="15" s="1"/>
  <c r="J173" i="15"/>
  <c r="I173" i="15"/>
  <c r="G173" i="15"/>
  <c r="H173" i="15" s="1"/>
  <c r="F173" i="15"/>
  <c r="M172" i="15"/>
  <c r="N172" i="15" s="1"/>
  <c r="K172" i="15"/>
  <c r="L172" i="15" s="1"/>
  <c r="J172" i="15"/>
  <c r="I172" i="15"/>
  <c r="G172" i="15"/>
  <c r="H172" i="15" s="1"/>
  <c r="F172" i="15"/>
  <c r="M171" i="15"/>
  <c r="N171" i="15" s="1"/>
  <c r="K171" i="15"/>
  <c r="L171" i="15" s="1"/>
  <c r="J171" i="15"/>
  <c r="I171" i="15"/>
  <c r="G171" i="15"/>
  <c r="H171" i="15" s="1"/>
  <c r="F171" i="15"/>
  <c r="M170" i="15"/>
  <c r="N170" i="15" s="1"/>
  <c r="K170" i="15"/>
  <c r="L170" i="15" s="1"/>
  <c r="J170" i="15"/>
  <c r="I170" i="15"/>
  <c r="G170" i="15"/>
  <c r="H170" i="15" s="1"/>
  <c r="F170" i="15"/>
  <c r="M169" i="15"/>
  <c r="N169" i="15" s="1"/>
  <c r="K169" i="15"/>
  <c r="L169" i="15" s="1"/>
  <c r="J169" i="15"/>
  <c r="I169" i="15"/>
  <c r="G169" i="15"/>
  <c r="H169" i="15" s="1"/>
  <c r="F169" i="15"/>
  <c r="M168" i="15"/>
  <c r="N168" i="15" s="1"/>
  <c r="K168" i="15"/>
  <c r="L168" i="15" s="1"/>
  <c r="J168" i="15"/>
  <c r="I168" i="15"/>
  <c r="G168" i="15"/>
  <c r="H168" i="15" s="1"/>
  <c r="F168" i="15"/>
  <c r="M167" i="15"/>
  <c r="N167" i="15" s="1"/>
  <c r="K167" i="15"/>
  <c r="L167" i="15" s="1"/>
  <c r="J167" i="15"/>
  <c r="I167" i="15"/>
  <c r="G167" i="15"/>
  <c r="H167" i="15" s="1"/>
  <c r="F167" i="15"/>
  <c r="M166" i="15"/>
  <c r="N166" i="15" s="1"/>
  <c r="K166" i="15"/>
  <c r="L166" i="15" s="1"/>
  <c r="J166" i="15"/>
  <c r="I166" i="15"/>
  <c r="G166" i="15"/>
  <c r="H166" i="15" s="1"/>
  <c r="F166" i="15"/>
  <c r="M165" i="15"/>
  <c r="N165" i="15" s="1"/>
  <c r="K165" i="15"/>
  <c r="L165" i="15" s="1"/>
  <c r="J165" i="15"/>
  <c r="I165" i="15"/>
  <c r="G165" i="15"/>
  <c r="H165" i="15" s="1"/>
  <c r="F165" i="15"/>
  <c r="M164" i="15"/>
  <c r="N164" i="15" s="1"/>
  <c r="K164" i="15"/>
  <c r="L164" i="15" s="1"/>
  <c r="J164" i="15"/>
  <c r="I164" i="15"/>
  <c r="G164" i="15"/>
  <c r="H164" i="15" s="1"/>
  <c r="F164" i="15"/>
  <c r="M163" i="15"/>
  <c r="N163" i="15" s="1"/>
  <c r="K163" i="15"/>
  <c r="L163" i="15" s="1"/>
  <c r="J163" i="15"/>
  <c r="I163" i="15"/>
  <c r="G163" i="15"/>
  <c r="H163" i="15" s="1"/>
  <c r="F163" i="15"/>
  <c r="M162" i="15"/>
  <c r="N162" i="15" s="1"/>
  <c r="K162" i="15"/>
  <c r="L162" i="15" s="1"/>
  <c r="J162" i="15"/>
  <c r="I162" i="15"/>
  <c r="G162" i="15"/>
  <c r="H162" i="15" s="1"/>
  <c r="F162" i="15"/>
  <c r="M161" i="15"/>
  <c r="N161" i="15" s="1"/>
  <c r="K161" i="15"/>
  <c r="L161" i="15" s="1"/>
  <c r="J161" i="15"/>
  <c r="I161" i="15"/>
  <c r="G161" i="15"/>
  <c r="H161" i="15" s="1"/>
  <c r="F161" i="15"/>
  <c r="M160" i="15"/>
  <c r="N160" i="15" s="1"/>
  <c r="K160" i="15"/>
  <c r="L160" i="15" s="1"/>
  <c r="J160" i="15"/>
  <c r="I160" i="15"/>
  <c r="G160" i="15"/>
  <c r="H160" i="15" s="1"/>
  <c r="F160" i="15"/>
  <c r="M159" i="15"/>
  <c r="N159" i="15" s="1"/>
  <c r="K159" i="15"/>
  <c r="L159" i="15" s="1"/>
  <c r="J159" i="15"/>
  <c r="I159" i="15"/>
  <c r="G159" i="15"/>
  <c r="H159" i="15" s="1"/>
  <c r="F159" i="15"/>
  <c r="M158" i="15"/>
  <c r="N158" i="15" s="1"/>
  <c r="K158" i="15"/>
  <c r="L158" i="15" s="1"/>
  <c r="J158" i="15"/>
  <c r="I158" i="15"/>
  <c r="G158" i="15"/>
  <c r="H158" i="15" s="1"/>
  <c r="F158" i="15"/>
  <c r="M157" i="15"/>
  <c r="N157" i="15" s="1"/>
  <c r="K157" i="15"/>
  <c r="L157" i="15" s="1"/>
  <c r="J157" i="15"/>
  <c r="I157" i="15"/>
  <c r="G157" i="15"/>
  <c r="H157" i="15" s="1"/>
  <c r="F157" i="15"/>
  <c r="M156" i="15"/>
  <c r="N156" i="15" s="1"/>
  <c r="K156" i="15"/>
  <c r="L156" i="15" s="1"/>
  <c r="J156" i="15"/>
  <c r="I156" i="15"/>
  <c r="G156" i="15"/>
  <c r="H156" i="15" s="1"/>
  <c r="F156" i="15"/>
  <c r="M155" i="15"/>
  <c r="N155" i="15" s="1"/>
  <c r="K155" i="15"/>
  <c r="L155" i="15" s="1"/>
  <c r="J155" i="15"/>
  <c r="I155" i="15"/>
  <c r="G155" i="15"/>
  <c r="H155" i="15" s="1"/>
  <c r="F155" i="15"/>
  <c r="M154" i="15"/>
  <c r="N154" i="15" s="1"/>
  <c r="K154" i="15"/>
  <c r="L154" i="15" s="1"/>
  <c r="J154" i="15"/>
  <c r="I154" i="15"/>
  <c r="G154" i="15"/>
  <c r="H154" i="15" s="1"/>
  <c r="F154" i="15"/>
  <c r="M153" i="15"/>
  <c r="N153" i="15" s="1"/>
  <c r="K153" i="15"/>
  <c r="L153" i="15" s="1"/>
  <c r="J153" i="15"/>
  <c r="I153" i="15"/>
  <c r="G153" i="15"/>
  <c r="H153" i="15" s="1"/>
  <c r="F153" i="15"/>
  <c r="M152" i="15"/>
  <c r="N152" i="15" s="1"/>
  <c r="K152" i="15"/>
  <c r="L152" i="15" s="1"/>
  <c r="J152" i="15"/>
  <c r="I152" i="15"/>
  <c r="G152" i="15"/>
  <c r="H152" i="15" s="1"/>
  <c r="F152" i="15"/>
  <c r="M151" i="15"/>
  <c r="N151" i="15" s="1"/>
  <c r="K151" i="15"/>
  <c r="L151" i="15" s="1"/>
  <c r="J151" i="15"/>
  <c r="I151" i="15"/>
  <c r="G151" i="15"/>
  <c r="H151" i="15" s="1"/>
  <c r="F151" i="15"/>
  <c r="M150" i="15"/>
  <c r="N150" i="15" s="1"/>
  <c r="K150" i="15"/>
  <c r="L150" i="15" s="1"/>
  <c r="J150" i="15"/>
  <c r="I150" i="15"/>
  <c r="G150" i="15"/>
  <c r="H150" i="15" s="1"/>
  <c r="F150" i="15"/>
  <c r="M149" i="15"/>
  <c r="N149" i="15" s="1"/>
  <c r="K149" i="15"/>
  <c r="L149" i="15" s="1"/>
  <c r="J149" i="15"/>
  <c r="I149" i="15"/>
  <c r="G149" i="15"/>
  <c r="H149" i="15" s="1"/>
  <c r="F149" i="15"/>
  <c r="M148" i="15"/>
  <c r="N148" i="15" s="1"/>
  <c r="K148" i="15"/>
  <c r="L148" i="15" s="1"/>
  <c r="J148" i="15"/>
  <c r="I148" i="15"/>
  <c r="G148" i="15"/>
  <c r="H148" i="15" s="1"/>
  <c r="F148" i="15"/>
  <c r="M147" i="15"/>
  <c r="N147" i="15" s="1"/>
  <c r="K147" i="15"/>
  <c r="L147" i="15" s="1"/>
  <c r="J147" i="15"/>
  <c r="I147" i="15"/>
  <c r="G147" i="15"/>
  <c r="H147" i="15" s="1"/>
  <c r="F147" i="15"/>
  <c r="M146" i="15"/>
  <c r="N146" i="15" s="1"/>
  <c r="K146" i="15"/>
  <c r="L146" i="15" s="1"/>
  <c r="J146" i="15"/>
  <c r="I146" i="15"/>
  <c r="G146" i="15"/>
  <c r="H146" i="15" s="1"/>
  <c r="F146" i="15"/>
  <c r="M145" i="15"/>
  <c r="N145" i="15" s="1"/>
  <c r="K145" i="15"/>
  <c r="L145" i="15" s="1"/>
  <c r="J145" i="15"/>
  <c r="I145" i="15"/>
  <c r="G145" i="15"/>
  <c r="H145" i="15" s="1"/>
  <c r="F145" i="15"/>
  <c r="M144" i="15"/>
  <c r="N144" i="15" s="1"/>
  <c r="K144" i="15"/>
  <c r="L144" i="15" s="1"/>
  <c r="J144" i="15"/>
  <c r="I144" i="15"/>
  <c r="G144" i="15"/>
  <c r="H144" i="15" s="1"/>
  <c r="F144" i="15"/>
  <c r="M143" i="15"/>
  <c r="N143" i="15" s="1"/>
  <c r="K143" i="15"/>
  <c r="L143" i="15" s="1"/>
  <c r="J143" i="15"/>
  <c r="I143" i="15"/>
  <c r="G143" i="15"/>
  <c r="H143" i="15" s="1"/>
  <c r="F143" i="15"/>
  <c r="M142" i="15"/>
  <c r="N142" i="15" s="1"/>
  <c r="K142" i="15"/>
  <c r="L142" i="15" s="1"/>
  <c r="J142" i="15"/>
  <c r="I142" i="15"/>
  <c r="G142" i="15"/>
  <c r="H142" i="15" s="1"/>
  <c r="F142" i="15"/>
  <c r="M141" i="15"/>
  <c r="N141" i="15" s="1"/>
  <c r="K141" i="15"/>
  <c r="L141" i="15" s="1"/>
  <c r="J141" i="15"/>
  <c r="I141" i="15"/>
  <c r="G141" i="15"/>
  <c r="H141" i="15" s="1"/>
  <c r="F141" i="15"/>
  <c r="M140" i="15"/>
  <c r="N140" i="15" s="1"/>
  <c r="K140" i="15"/>
  <c r="L140" i="15" s="1"/>
  <c r="J140" i="15"/>
  <c r="I140" i="15"/>
  <c r="G140" i="15"/>
  <c r="H140" i="15" s="1"/>
  <c r="F140" i="15"/>
  <c r="M139" i="15"/>
  <c r="N139" i="15" s="1"/>
  <c r="K139" i="15"/>
  <c r="L139" i="15" s="1"/>
  <c r="J139" i="15"/>
  <c r="I139" i="15"/>
  <c r="G139" i="15"/>
  <c r="H139" i="15" s="1"/>
  <c r="F139" i="15"/>
  <c r="M138" i="15"/>
  <c r="N138" i="15" s="1"/>
  <c r="K138" i="15"/>
  <c r="L138" i="15" s="1"/>
  <c r="J138" i="15"/>
  <c r="I138" i="15"/>
  <c r="G138" i="15"/>
  <c r="H138" i="15" s="1"/>
  <c r="F138" i="15"/>
  <c r="M137" i="15"/>
  <c r="N137" i="15" s="1"/>
  <c r="K137" i="15"/>
  <c r="L137" i="15" s="1"/>
  <c r="J137" i="15"/>
  <c r="I137" i="15"/>
  <c r="G137" i="15"/>
  <c r="H137" i="15" s="1"/>
  <c r="F137" i="15"/>
  <c r="M136" i="15"/>
  <c r="N136" i="15" s="1"/>
  <c r="K136" i="15"/>
  <c r="L136" i="15" s="1"/>
  <c r="J136" i="15"/>
  <c r="I136" i="15"/>
  <c r="G136" i="15"/>
  <c r="H136" i="15" s="1"/>
  <c r="F136" i="15"/>
  <c r="M135" i="15"/>
  <c r="N135" i="15" s="1"/>
  <c r="K135" i="15"/>
  <c r="L135" i="15" s="1"/>
  <c r="J135" i="15"/>
  <c r="I135" i="15"/>
  <c r="G135" i="15"/>
  <c r="H135" i="15" s="1"/>
  <c r="F135" i="15"/>
  <c r="M134" i="15"/>
  <c r="N134" i="15" s="1"/>
  <c r="K134" i="15"/>
  <c r="L134" i="15" s="1"/>
  <c r="J134" i="15"/>
  <c r="I134" i="15"/>
  <c r="G134" i="15"/>
  <c r="H134" i="15" s="1"/>
  <c r="F134" i="15"/>
  <c r="M133" i="15"/>
  <c r="N133" i="15" s="1"/>
  <c r="K133" i="15"/>
  <c r="L133" i="15" s="1"/>
  <c r="J133" i="15"/>
  <c r="I133" i="15"/>
  <c r="G133" i="15"/>
  <c r="H133" i="15" s="1"/>
  <c r="F133" i="15"/>
  <c r="M132" i="15"/>
  <c r="N132" i="15" s="1"/>
  <c r="K132" i="15"/>
  <c r="L132" i="15" s="1"/>
  <c r="J132" i="15"/>
  <c r="I132" i="15"/>
  <c r="G132" i="15"/>
  <c r="H132" i="15" s="1"/>
  <c r="F132" i="15"/>
  <c r="M131" i="15"/>
  <c r="N131" i="15" s="1"/>
  <c r="K131" i="15"/>
  <c r="L131" i="15" s="1"/>
  <c r="J131" i="15"/>
  <c r="I131" i="15"/>
  <c r="G131" i="15"/>
  <c r="H131" i="15" s="1"/>
  <c r="F131" i="15"/>
  <c r="M130" i="15"/>
  <c r="N130" i="15" s="1"/>
  <c r="K130" i="15"/>
  <c r="L130" i="15" s="1"/>
  <c r="J130" i="15"/>
  <c r="I130" i="15"/>
  <c r="G130" i="15"/>
  <c r="H130" i="15" s="1"/>
  <c r="F130" i="15"/>
  <c r="M129" i="15"/>
  <c r="N129" i="15" s="1"/>
  <c r="K129" i="15"/>
  <c r="L129" i="15" s="1"/>
  <c r="J129" i="15"/>
  <c r="I129" i="15"/>
  <c r="G129" i="15"/>
  <c r="H129" i="15" s="1"/>
  <c r="F129" i="15"/>
  <c r="M128" i="15"/>
  <c r="N128" i="15" s="1"/>
  <c r="K128" i="15"/>
  <c r="L128" i="15" s="1"/>
  <c r="J128" i="15"/>
  <c r="I128" i="15"/>
  <c r="G128" i="15"/>
  <c r="H128" i="15" s="1"/>
  <c r="F128" i="15"/>
  <c r="M127" i="15"/>
  <c r="N127" i="15" s="1"/>
  <c r="K127" i="15"/>
  <c r="L127" i="15" s="1"/>
  <c r="J127" i="15"/>
  <c r="I127" i="15"/>
  <c r="G127" i="15"/>
  <c r="H127" i="15" s="1"/>
  <c r="F127" i="15"/>
  <c r="M126" i="15"/>
  <c r="N126" i="15" s="1"/>
  <c r="K126" i="15"/>
  <c r="L126" i="15" s="1"/>
  <c r="J126" i="15"/>
  <c r="I126" i="15"/>
  <c r="G126" i="15"/>
  <c r="H126" i="15" s="1"/>
  <c r="F126" i="15"/>
  <c r="M125" i="15"/>
  <c r="N125" i="15" s="1"/>
  <c r="K125" i="15"/>
  <c r="L125" i="15" s="1"/>
  <c r="J125" i="15"/>
  <c r="I125" i="15"/>
  <c r="G125" i="15"/>
  <c r="H125" i="15" s="1"/>
  <c r="F125" i="15"/>
  <c r="M124" i="15"/>
  <c r="N124" i="15" s="1"/>
  <c r="K124" i="15"/>
  <c r="L124" i="15" s="1"/>
  <c r="J124" i="15"/>
  <c r="I124" i="15"/>
  <c r="G124" i="15"/>
  <c r="H124" i="15" s="1"/>
  <c r="F124" i="15"/>
  <c r="M123" i="15"/>
  <c r="N123" i="15" s="1"/>
  <c r="K123" i="15"/>
  <c r="L123" i="15" s="1"/>
  <c r="J123" i="15"/>
  <c r="I123" i="15"/>
  <c r="G123" i="15"/>
  <c r="H123" i="15" s="1"/>
  <c r="F123" i="15"/>
  <c r="M122" i="15"/>
  <c r="N122" i="15" s="1"/>
  <c r="K122" i="15"/>
  <c r="L122" i="15" s="1"/>
  <c r="J122" i="15"/>
  <c r="I122" i="15"/>
  <c r="G122" i="15"/>
  <c r="H122" i="15" s="1"/>
  <c r="F122" i="15"/>
  <c r="M121" i="15"/>
  <c r="N121" i="15" s="1"/>
  <c r="K121" i="15"/>
  <c r="L121" i="15" s="1"/>
  <c r="J121" i="15"/>
  <c r="I121" i="15"/>
  <c r="G121" i="15"/>
  <c r="H121" i="15" s="1"/>
  <c r="F121" i="15"/>
  <c r="M120" i="15"/>
  <c r="N120" i="15" s="1"/>
  <c r="K120" i="15"/>
  <c r="L120" i="15" s="1"/>
  <c r="J120" i="15"/>
  <c r="I120" i="15"/>
  <c r="G120" i="15"/>
  <c r="H120" i="15" s="1"/>
  <c r="F120" i="15"/>
  <c r="M119" i="15"/>
  <c r="N119" i="15" s="1"/>
  <c r="K119" i="15"/>
  <c r="L119" i="15" s="1"/>
  <c r="J119" i="15"/>
  <c r="I119" i="15"/>
  <c r="G119" i="15"/>
  <c r="H119" i="15" s="1"/>
  <c r="F119" i="15"/>
  <c r="M118" i="15"/>
  <c r="N118" i="15" s="1"/>
  <c r="K118" i="15"/>
  <c r="L118" i="15" s="1"/>
  <c r="J118" i="15"/>
  <c r="I118" i="15"/>
  <c r="G118" i="15"/>
  <c r="H118" i="15" s="1"/>
  <c r="F118" i="15"/>
  <c r="M117" i="15"/>
  <c r="N117" i="15" s="1"/>
  <c r="K117" i="15"/>
  <c r="L117" i="15" s="1"/>
  <c r="J117" i="15"/>
  <c r="I117" i="15"/>
  <c r="G117" i="15"/>
  <c r="H117" i="15" s="1"/>
  <c r="F117" i="15"/>
  <c r="M116" i="15"/>
  <c r="N116" i="15" s="1"/>
  <c r="K116" i="15"/>
  <c r="L116" i="15" s="1"/>
  <c r="J116" i="15"/>
  <c r="I116" i="15"/>
  <c r="G116" i="15"/>
  <c r="H116" i="15" s="1"/>
  <c r="F116" i="15"/>
  <c r="M115" i="15"/>
  <c r="N115" i="15" s="1"/>
  <c r="K115" i="15"/>
  <c r="L115" i="15" s="1"/>
  <c r="J115" i="15"/>
  <c r="I115" i="15"/>
  <c r="G115" i="15"/>
  <c r="H115" i="15" s="1"/>
  <c r="F115" i="15"/>
  <c r="M114" i="15"/>
  <c r="N114" i="15" s="1"/>
  <c r="K114" i="15"/>
  <c r="L114" i="15" s="1"/>
  <c r="J114" i="15"/>
  <c r="I114" i="15"/>
  <c r="G114" i="15"/>
  <c r="H114" i="15" s="1"/>
  <c r="F114" i="15"/>
  <c r="M113" i="15"/>
  <c r="N113" i="15" s="1"/>
  <c r="K113" i="15"/>
  <c r="L113" i="15" s="1"/>
  <c r="J113" i="15"/>
  <c r="I113" i="15"/>
  <c r="G113" i="15"/>
  <c r="H113" i="15" s="1"/>
  <c r="F113" i="15"/>
  <c r="M112" i="15"/>
  <c r="N112" i="15" s="1"/>
  <c r="K112" i="15"/>
  <c r="L112" i="15" s="1"/>
  <c r="J112" i="15"/>
  <c r="I112" i="15"/>
  <c r="G112" i="15"/>
  <c r="H112" i="15" s="1"/>
  <c r="F112" i="15"/>
  <c r="M111" i="15"/>
  <c r="N111" i="15" s="1"/>
  <c r="K111" i="15"/>
  <c r="L111" i="15" s="1"/>
  <c r="J111" i="15"/>
  <c r="I111" i="15"/>
  <c r="G111" i="15"/>
  <c r="H111" i="15" s="1"/>
  <c r="F111" i="15"/>
  <c r="M110" i="15"/>
  <c r="N110" i="15" s="1"/>
  <c r="K110" i="15"/>
  <c r="L110" i="15" s="1"/>
  <c r="J110" i="15"/>
  <c r="I110" i="15"/>
  <c r="G110" i="15"/>
  <c r="H110" i="15" s="1"/>
  <c r="F110" i="15"/>
  <c r="M109" i="15"/>
  <c r="N109" i="15" s="1"/>
  <c r="K109" i="15"/>
  <c r="L109" i="15" s="1"/>
  <c r="J109" i="15"/>
  <c r="I109" i="15"/>
  <c r="G109" i="15"/>
  <c r="H109" i="15" s="1"/>
  <c r="F109" i="15"/>
  <c r="M108" i="15"/>
  <c r="N108" i="15" s="1"/>
  <c r="K108" i="15"/>
  <c r="L108" i="15" s="1"/>
  <c r="J108" i="15"/>
  <c r="I108" i="15"/>
  <c r="G108" i="15"/>
  <c r="H108" i="15" s="1"/>
  <c r="F108" i="15"/>
  <c r="M107" i="15"/>
  <c r="N107" i="15" s="1"/>
  <c r="K107" i="15"/>
  <c r="L107" i="15" s="1"/>
  <c r="J107" i="15"/>
  <c r="I107" i="15"/>
  <c r="G107" i="15"/>
  <c r="H107" i="15" s="1"/>
  <c r="F107" i="15"/>
  <c r="M106" i="15"/>
  <c r="N106" i="15" s="1"/>
  <c r="K106" i="15"/>
  <c r="L106" i="15" s="1"/>
  <c r="J106" i="15"/>
  <c r="I106" i="15"/>
  <c r="G106" i="15"/>
  <c r="H106" i="15" s="1"/>
  <c r="F106" i="15"/>
  <c r="M105" i="15"/>
  <c r="N105" i="15" s="1"/>
  <c r="K105" i="15"/>
  <c r="L105" i="15" s="1"/>
  <c r="J105" i="15"/>
  <c r="I105" i="15"/>
  <c r="G105" i="15"/>
  <c r="H105" i="15" s="1"/>
  <c r="F105" i="15"/>
  <c r="M104" i="15"/>
  <c r="N104" i="15" s="1"/>
  <c r="K104" i="15"/>
  <c r="L104" i="15" s="1"/>
  <c r="J104" i="15"/>
  <c r="I104" i="15"/>
  <c r="G104" i="15"/>
  <c r="H104" i="15" s="1"/>
  <c r="F104" i="15"/>
  <c r="M103" i="15"/>
  <c r="N103" i="15" s="1"/>
  <c r="K103" i="15"/>
  <c r="L103" i="15" s="1"/>
  <c r="J103" i="15"/>
  <c r="I103" i="15"/>
  <c r="G103" i="15"/>
  <c r="H103" i="15" s="1"/>
  <c r="F103" i="15"/>
  <c r="M102" i="15"/>
  <c r="N102" i="15" s="1"/>
  <c r="K102" i="15"/>
  <c r="L102" i="15" s="1"/>
  <c r="J102" i="15"/>
  <c r="I102" i="15"/>
  <c r="G102" i="15"/>
  <c r="H102" i="15" s="1"/>
  <c r="F102" i="15"/>
  <c r="M101" i="15"/>
  <c r="N101" i="15" s="1"/>
  <c r="K101" i="15"/>
  <c r="L101" i="15" s="1"/>
  <c r="J101" i="15"/>
  <c r="I101" i="15"/>
  <c r="G101" i="15"/>
  <c r="H101" i="15" s="1"/>
  <c r="F101" i="15"/>
  <c r="M100" i="15"/>
  <c r="N100" i="15" s="1"/>
  <c r="K100" i="15"/>
  <c r="L100" i="15" s="1"/>
  <c r="J100" i="15"/>
  <c r="I100" i="15"/>
  <c r="G100" i="15"/>
  <c r="H100" i="15" s="1"/>
  <c r="F100" i="15"/>
  <c r="M99" i="15"/>
  <c r="N99" i="15" s="1"/>
  <c r="K99" i="15"/>
  <c r="L99" i="15" s="1"/>
  <c r="J99" i="15"/>
  <c r="I99" i="15"/>
  <c r="G99" i="15"/>
  <c r="H99" i="15" s="1"/>
  <c r="F99" i="15"/>
  <c r="M98" i="15"/>
  <c r="N98" i="15" s="1"/>
  <c r="K98" i="15"/>
  <c r="L98" i="15" s="1"/>
  <c r="J98" i="15"/>
  <c r="I98" i="15"/>
  <c r="G98" i="15"/>
  <c r="H98" i="15" s="1"/>
  <c r="F98" i="15"/>
  <c r="M97" i="15"/>
  <c r="N97" i="15" s="1"/>
  <c r="K97" i="15"/>
  <c r="L97" i="15" s="1"/>
  <c r="J97" i="15"/>
  <c r="I97" i="15"/>
  <c r="G97" i="15"/>
  <c r="H97" i="15" s="1"/>
  <c r="F97" i="15"/>
  <c r="M96" i="15"/>
  <c r="N96" i="15" s="1"/>
  <c r="K96" i="15"/>
  <c r="L96" i="15" s="1"/>
  <c r="J96" i="15"/>
  <c r="I96" i="15"/>
  <c r="G96" i="15"/>
  <c r="H96" i="15" s="1"/>
  <c r="F96" i="15"/>
  <c r="M95" i="15"/>
  <c r="N95" i="15" s="1"/>
  <c r="K95" i="15"/>
  <c r="L95" i="15" s="1"/>
  <c r="J95" i="15"/>
  <c r="I95" i="15"/>
  <c r="G95" i="15"/>
  <c r="H95" i="15" s="1"/>
  <c r="F95" i="15"/>
  <c r="M94" i="15"/>
  <c r="N94" i="15" s="1"/>
  <c r="K94" i="15"/>
  <c r="L94" i="15" s="1"/>
  <c r="J94" i="15"/>
  <c r="I94" i="15"/>
  <c r="G94" i="15"/>
  <c r="H94" i="15" s="1"/>
  <c r="F94" i="15"/>
  <c r="M93" i="15"/>
  <c r="N93" i="15" s="1"/>
  <c r="K93" i="15"/>
  <c r="L93" i="15" s="1"/>
  <c r="J93" i="15"/>
  <c r="I93" i="15"/>
  <c r="G93" i="15"/>
  <c r="H93" i="15" s="1"/>
  <c r="F93" i="15"/>
  <c r="M92" i="15"/>
  <c r="N92" i="15" s="1"/>
  <c r="K92" i="15"/>
  <c r="L92" i="15" s="1"/>
  <c r="J92" i="15"/>
  <c r="I92" i="15"/>
  <c r="G92" i="15"/>
  <c r="H92" i="15" s="1"/>
  <c r="F92" i="15"/>
  <c r="M91" i="15"/>
  <c r="N91" i="15" s="1"/>
  <c r="K91" i="15"/>
  <c r="L91" i="15" s="1"/>
  <c r="J91" i="15"/>
  <c r="I91" i="15"/>
  <c r="G91" i="15"/>
  <c r="H91" i="15" s="1"/>
  <c r="F91" i="15"/>
  <c r="M90" i="15"/>
  <c r="N90" i="15" s="1"/>
  <c r="K90" i="15"/>
  <c r="L90" i="15" s="1"/>
  <c r="J90" i="15"/>
  <c r="I90" i="15"/>
  <c r="G90" i="15"/>
  <c r="H90" i="15" s="1"/>
  <c r="F90" i="15"/>
  <c r="M89" i="15"/>
  <c r="N89" i="15" s="1"/>
  <c r="K89" i="15"/>
  <c r="L89" i="15" s="1"/>
  <c r="J89" i="15"/>
  <c r="I89" i="15"/>
  <c r="G89" i="15"/>
  <c r="H89" i="15" s="1"/>
  <c r="F89" i="15"/>
  <c r="M88" i="15"/>
  <c r="N88" i="15" s="1"/>
  <c r="K88" i="15"/>
  <c r="L88" i="15" s="1"/>
  <c r="J88" i="15"/>
  <c r="I88" i="15"/>
  <c r="G88" i="15"/>
  <c r="H88" i="15" s="1"/>
  <c r="F88" i="15"/>
  <c r="M87" i="15"/>
  <c r="N87" i="15" s="1"/>
  <c r="K87" i="15"/>
  <c r="L87" i="15" s="1"/>
  <c r="J87" i="15"/>
  <c r="I87" i="15"/>
  <c r="G87" i="15"/>
  <c r="H87" i="15" s="1"/>
  <c r="F87" i="15"/>
  <c r="M86" i="15"/>
  <c r="N86" i="15" s="1"/>
  <c r="K86" i="15"/>
  <c r="L86" i="15" s="1"/>
  <c r="J86" i="15"/>
  <c r="I86" i="15"/>
  <c r="G86" i="15"/>
  <c r="H86" i="15" s="1"/>
  <c r="F86" i="15"/>
  <c r="M85" i="15"/>
  <c r="N85" i="15" s="1"/>
  <c r="K85" i="15"/>
  <c r="L85" i="15" s="1"/>
  <c r="J85" i="15"/>
  <c r="I85" i="15"/>
  <c r="G85" i="15"/>
  <c r="H85" i="15" s="1"/>
  <c r="F85" i="15"/>
  <c r="M84" i="15"/>
  <c r="N84" i="15" s="1"/>
  <c r="K84" i="15"/>
  <c r="L84" i="15" s="1"/>
  <c r="J84" i="15"/>
  <c r="I84" i="15"/>
  <c r="G84" i="15"/>
  <c r="H84" i="15" s="1"/>
  <c r="F84" i="15"/>
  <c r="M83" i="15"/>
  <c r="N83" i="15" s="1"/>
  <c r="K83" i="15"/>
  <c r="L83" i="15" s="1"/>
  <c r="J83" i="15"/>
  <c r="I83" i="15"/>
  <c r="G83" i="15"/>
  <c r="H83" i="15" s="1"/>
  <c r="F83" i="15"/>
  <c r="M82" i="15"/>
  <c r="N82" i="15" s="1"/>
  <c r="K82" i="15"/>
  <c r="L82" i="15" s="1"/>
  <c r="J82" i="15"/>
  <c r="I82" i="15"/>
  <c r="G82" i="15"/>
  <c r="H82" i="15" s="1"/>
  <c r="F82" i="15"/>
  <c r="M81" i="15"/>
  <c r="N81" i="15" s="1"/>
  <c r="K81" i="15"/>
  <c r="L81" i="15" s="1"/>
  <c r="J81" i="15"/>
  <c r="I81" i="15"/>
  <c r="G81" i="15"/>
  <c r="H81" i="15" s="1"/>
  <c r="F81" i="15"/>
  <c r="M80" i="15"/>
  <c r="N80" i="15" s="1"/>
  <c r="K80" i="15"/>
  <c r="L80" i="15" s="1"/>
  <c r="J80" i="15"/>
  <c r="I80" i="15"/>
  <c r="G80" i="15"/>
  <c r="H80" i="15" s="1"/>
  <c r="F80" i="15"/>
  <c r="M79" i="15"/>
  <c r="N79" i="15" s="1"/>
  <c r="K79" i="15"/>
  <c r="L79" i="15" s="1"/>
  <c r="J79" i="15"/>
  <c r="I79" i="15"/>
  <c r="G79" i="15"/>
  <c r="H79" i="15" s="1"/>
  <c r="F79" i="15"/>
  <c r="M78" i="15"/>
  <c r="N78" i="15" s="1"/>
  <c r="K78" i="15"/>
  <c r="L78" i="15" s="1"/>
  <c r="J78" i="15"/>
  <c r="I78" i="15"/>
  <c r="G78" i="15"/>
  <c r="H78" i="15" s="1"/>
  <c r="F78" i="15"/>
  <c r="M77" i="15"/>
  <c r="N77" i="15" s="1"/>
  <c r="K77" i="15"/>
  <c r="L77" i="15" s="1"/>
  <c r="J77" i="15"/>
  <c r="I77" i="15"/>
  <c r="G77" i="15"/>
  <c r="H77" i="15" s="1"/>
  <c r="F77" i="15"/>
  <c r="M76" i="15"/>
  <c r="N76" i="15" s="1"/>
  <c r="K76" i="15"/>
  <c r="L76" i="15" s="1"/>
  <c r="J76" i="15"/>
  <c r="I76" i="15"/>
  <c r="G76" i="15"/>
  <c r="H76" i="15" s="1"/>
  <c r="F76" i="15"/>
  <c r="M75" i="15"/>
  <c r="N75" i="15" s="1"/>
  <c r="K75" i="15"/>
  <c r="L75" i="15" s="1"/>
  <c r="J75" i="15"/>
  <c r="I75" i="15"/>
  <c r="G75" i="15"/>
  <c r="H75" i="15" s="1"/>
  <c r="F75" i="15"/>
  <c r="M74" i="15"/>
  <c r="N74" i="15" s="1"/>
  <c r="K74" i="15"/>
  <c r="L74" i="15" s="1"/>
  <c r="J74" i="15"/>
  <c r="I74" i="15"/>
  <c r="G74" i="15"/>
  <c r="H74" i="15" s="1"/>
  <c r="F74" i="15"/>
  <c r="M73" i="15"/>
  <c r="N73" i="15" s="1"/>
  <c r="K73" i="15"/>
  <c r="L73" i="15" s="1"/>
  <c r="J73" i="15"/>
  <c r="I73" i="15"/>
  <c r="G73" i="15"/>
  <c r="H73" i="15" s="1"/>
  <c r="F73" i="15"/>
  <c r="M72" i="15"/>
  <c r="N72" i="15" s="1"/>
  <c r="K72" i="15"/>
  <c r="L72" i="15" s="1"/>
  <c r="J72" i="15"/>
  <c r="I72" i="15"/>
  <c r="G72" i="15"/>
  <c r="H72" i="15" s="1"/>
  <c r="F72" i="15"/>
  <c r="M71" i="15"/>
  <c r="N71" i="15" s="1"/>
  <c r="K71" i="15"/>
  <c r="L71" i="15" s="1"/>
  <c r="J71" i="15"/>
  <c r="I71" i="15"/>
  <c r="G71" i="15"/>
  <c r="H71" i="15" s="1"/>
  <c r="F71" i="15"/>
  <c r="M70" i="15"/>
  <c r="N70" i="15" s="1"/>
  <c r="K70" i="15"/>
  <c r="L70" i="15" s="1"/>
  <c r="J70" i="15"/>
  <c r="I70" i="15"/>
  <c r="G70" i="15"/>
  <c r="H70" i="15" s="1"/>
  <c r="F70" i="15"/>
  <c r="M69" i="15"/>
  <c r="N69" i="15" s="1"/>
  <c r="K69" i="15"/>
  <c r="L69" i="15" s="1"/>
  <c r="J69" i="15"/>
  <c r="I69" i="15"/>
  <c r="G69" i="15"/>
  <c r="H69" i="15" s="1"/>
  <c r="F69" i="15"/>
  <c r="M68" i="15"/>
  <c r="N68" i="15" s="1"/>
  <c r="K68" i="15"/>
  <c r="L68" i="15" s="1"/>
  <c r="J68" i="15"/>
  <c r="I68" i="15"/>
  <c r="G68" i="15"/>
  <c r="H68" i="15" s="1"/>
  <c r="F68" i="15"/>
  <c r="M67" i="15"/>
  <c r="N67" i="15" s="1"/>
  <c r="K67" i="15"/>
  <c r="L67" i="15" s="1"/>
  <c r="J67" i="15"/>
  <c r="I67" i="15"/>
  <c r="G67" i="15"/>
  <c r="H67" i="15" s="1"/>
  <c r="F67" i="15"/>
  <c r="M66" i="15"/>
  <c r="N66" i="15" s="1"/>
  <c r="K66" i="15"/>
  <c r="L66" i="15" s="1"/>
  <c r="J66" i="15"/>
  <c r="I66" i="15"/>
  <c r="G66" i="15"/>
  <c r="H66" i="15" s="1"/>
  <c r="F66" i="15"/>
  <c r="M65" i="15"/>
  <c r="N65" i="15" s="1"/>
  <c r="K65" i="15"/>
  <c r="L65" i="15" s="1"/>
  <c r="J65" i="15"/>
  <c r="I65" i="15"/>
  <c r="G65" i="15"/>
  <c r="H65" i="15" s="1"/>
  <c r="F65" i="15"/>
  <c r="M64" i="15"/>
  <c r="N64" i="15" s="1"/>
  <c r="K64" i="15"/>
  <c r="L64" i="15" s="1"/>
  <c r="J64" i="15"/>
  <c r="I64" i="15"/>
  <c r="G64" i="15"/>
  <c r="H64" i="15" s="1"/>
  <c r="F64" i="15"/>
  <c r="M63" i="15"/>
  <c r="N63" i="15" s="1"/>
  <c r="K63" i="15"/>
  <c r="L63" i="15" s="1"/>
  <c r="J63" i="15"/>
  <c r="I63" i="15"/>
  <c r="G63" i="15"/>
  <c r="H63" i="15" s="1"/>
  <c r="F63" i="15"/>
  <c r="M62" i="15"/>
  <c r="N62" i="15" s="1"/>
  <c r="K62" i="15"/>
  <c r="L62" i="15" s="1"/>
  <c r="J62" i="15"/>
  <c r="I62" i="15"/>
  <c r="G62" i="15"/>
  <c r="H62" i="15" s="1"/>
  <c r="F62" i="15"/>
  <c r="M61" i="15"/>
  <c r="N61" i="15" s="1"/>
  <c r="K61" i="15"/>
  <c r="L61" i="15" s="1"/>
  <c r="J61" i="15"/>
  <c r="I61" i="15"/>
  <c r="G61" i="15"/>
  <c r="H61" i="15" s="1"/>
  <c r="F61" i="15"/>
  <c r="M60" i="15"/>
  <c r="N60" i="15" s="1"/>
  <c r="K60" i="15"/>
  <c r="L60" i="15" s="1"/>
  <c r="J60" i="15"/>
  <c r="I60" i="15"/>
  <c r="G60" i="15"/>
  <c r="H60" i="15" s="1"/>
  <c r="F60" i="15"/>
  <c r="M59" i="15"/>
  <c r="N59" i="15" s="1"/>
  <c r="K59" i="15"/>
  <c r="L59" i="15" s="1"/>
  <c r="J59" i="15"/>
  <c r="I59" i="15"/>
  <c r="G59" i="15"/>
  <c r="H59" i="15" s="1"/>
  <c r="F59" i="15"/>
  <c r="M58" i="15"/>
  <c r="N58" i="15" s="1"/>
  <c r="K58" i="15"/>
  <c r="L58" i="15" s="1"/>
  <c r="J58" i="15"/>
  <c r="I58" i="15"/>
  <c r="G58" i="15"/>
  <c r="H58" i="15" s="1"/>
  <c r="F58" i="15"/>
  <c r="M57" i="15"/>
  <c r="N57" i="15" s="1"/>
  <c r="K57" i="15"/>
  <c r="L57" i="15" s="1"/>
  <c r="J57" i="15"/>
  <c r="I57" i="15"/>
  <c r="G57" i="15"/>
  <c r="H57" i="15" s="1"/>
  <c r="F57" i="15"/>
  <c r="M56" i="15"/>
  <c r="N56" i="15" s="1"/>
  <c r="K56" i="15"/>
  <c r="L56" i="15" s="1"/>
  <c r="J56" i="15"/>
  <c r="I56" i="15"/>
  <c r="G56" i="15"/>
  <c r="H56" i="15" s="1"/>
  <c r="F56" i="15"/>
  <c r="M55" i="15"/>
  <c r="N55" i="15" s="1"/>
  <c r="K55" i="15"/>
  <c r="L55" i="15" s="1"/>
  <c r="J55" i="15"/>
  <c r="I55" i="15"/>
  <c r="G55" i="15"/>
  <c r="H55" i="15" s="1"/>
  <c r="F55" i="15"/>
  <c r="M54" i="15"/>
  <c r="N54" i="15" s="1"/>
  <c r="K54" i="15"/>
  <c r="L54" i="15" s="1"/>
  <c r="J54" i="15"/>
  <c r="I54" i="15"/>
  <c r="G54" i="15"/>
  <c r="H54" i="15" s="1"/>
  <c r="F54" i="15"/>
  <c r="M53" i="15"/>
  <c r="N53" i="15" s="1"/>
  <c r="K53" i="15"/>
  <c r="L53" i="15" s="1"/>
  <c r="J53" i="15"/>
  <c r="I53" i="15"/>
  <c r="G53" i="15"/>
  <c r="H53" i="15" s="1"/>
  <c r="F53" i="15"/>
  <c r="M52" i="15"/>
  <c r="N52" i="15" s="1"/>
  <c r="K52" i="15"/>
  <c r="L52" i="15" s="1"/>
  <c r="J52" i="15"/>
  <c r="I52" i="15"/>
  <c r="G52" i="15"/>
  <c r="H52" i="15" s="1"/>
  <c r="F52" i="15"/>
  <c r="M51" i="15"/>
  <c r="N51" i="15" s="1"/>
  <c r="K51" i="15"/>
  <c r="L51" i="15" s="1"/>
  <c r="J51" i="15"/>
  <c r="I51" i="15"/>
  <c r="G51" i="15"/>
  <c r="H51" i="15" s="1"/>
  <c r="F51" i="15"/>
  <c r="M50" i="15"/>
  <c r="N50" i="15" s="1"/>
  <c r="K50" i="15"/>
  <c r="L50" i="15" s="1"/>
  <c r="J50" i="15"/>
  <c r="I50" i="15"/>
  <c r="G50" i="15"/>
  <c r="H50" i="15" s="1"/>
  <c r="F50" i="15"/>
  <c r="M49" i="15"/>
  <c r="N49" i="15" s="1"/>
  <c r="K49" i="15"/>
  <c r="L49" i="15" s="1"/>
  <c r="J49" i="15"/>
  <c r="I49" i="15"/>
  <c r="G49" i="15"/>
  <c r="H49" i="15" s="1"/>
  <c r="F49" i="15"/>
  <c r="M48" i="15"/>
  <c r="N48" i="15" s="1"/>
  <c r="K48" i="15"/>
  <c r="L48" i="15" s="1"/>
  <c r="J48" i="15"/>
  <c r="I48" i="15"/>
  <c r="G48" i="15"/>
  <c r="H48" i="15" s="1"/>
  <c r="F48" i="15"/>
  <c r="M47" i="15"/>
  <c r="N47" i="15" s="1"/>
  <c r="K47" i="15"/>
  <c r="L47" i="15" s="1"/>
  <c r="J47" i="15"/>
  <c r="I47" i="15"/>
  <c r="G47" i="15"/>
  <c r="H47" i="15" s="1"/>
  <c r="F47" i="15"/>
  <c r="M46" i="15"/>
  <c r="N46" i="15" s="1"/>
  <c r="K46" i="15"/>
  <c r="L46" i="15" s="1"/>
  <c r="J46" i="15"/>
  <c r="I46" i="15"/>
  <c r="G46" i="15"/>
  <c r="H46" i="15" s="1"/>
  <c r="F46" i="15"/>
  <c r="M45" i="15"/>
  <c r="N45" i="15" s="1"/>
  <c r="K45" i="15"/>
  <c r="L45" i="15" s="1"/>
  <c r="J45" i="15"/>
  <c r="I45" i="15"/>
  <c r="G45" i="15"/>
  <c r="H45" i="15" s="1"/>
  <c r="F45" i="15"/>
  <c r="M44" i="15"/>
  <c r="N44" i="15" s="1"/>
  <c r="K44" i="15"/>
  <c r="L44" i="15" s="1"/>
  <c r="J44" i="15"/>
  <c r="I44" i="15"/>
  <c r="G44" i="15"/>
  <c r="H44" i="15" s="1"/>
  <c r="F44" i="15"/>
  <c r="M43" i="15"/>
  <c r="N43" i="15" s="1"/>
  <c r="K43" i="15"/>
  <c r="L43" i="15" s="1"/>
  <c r="J43" i="15"/>
  <c r="I43" i="15"/>
  <c r="G43" i="15"/>
  <c r="H43" i="15" s="1"/>
  <c r="F43" i="15"/>
  <c r="M42" i="15"/>
  <c r="N42" i="15" s="1"/>
  <c r="K42" i="15"/>
  <c r="L42" i="15" s="1"/>
  <c r="J42" i="15"/>
  <c r="I42" i="15"/>
  <c r="G42" i="15"/>
  <c r="H42" i="15" s="1"/>
  <c r="F42" i="15"/>
  <c r="M41" i="15"/>
  <c r="N41" i="15" s="1"/>
  <c r="K41" i="15"/>
  <c r="L41" i="15" s="1"/>
  <c r="J41" i="15"/>
  <c r="I41" i="15"/>
  <c r="G41" i="15"/>
  <c r="H41" i="15" s="1"/>
  <c r="F41" i="15"/>
  <c r="M40" i="15"/>
  <c r="N40" i="15" s="1"/>
  <c r="K40" i="15"/>
  <c r="L40" i="15" s="1"/>
  <c r="J40" i="15"/>
  <c r="I40" i="15"/>
  <c r="G40" i="15"/>
  <c r="H40" i="15" s="1"/>
  <c r="F40" i="15"/>
  <c r="M39" i="15"/>
  <c r="N39" i="15" s="1"/>
  <c r="K39" i="15"/>
  <c r="L39" i="15" s="1"/>
  <c r="J39" i="15"/>
  <c r="I39" i="15"/>
  <c r="G39" i="15"/>
  <c r="H39" i="15" s="1"/>
  <c r="F39" i="15"/>
  <c r="M38" i="15"/>
  <c r="N38" i="15" s="1"/>
  <c r="K38" i="15"/>
  <c r="L38" i="15" s="1"/>
  <c r="J38" i="15"/>
  <c r="I38" i="15"/>
  <c r="G38" i="15"/>
  <c r="H38" i="15" s="1"/>
  <c r="F38" i="15"/>
  <c r="M37" i="15"/>
  <c r="N37" i="15" s="1"/>
  <c r="K37" i="15"/>
  <c r="L37" i="15" s="1"/>
  <c r="J37" i="15"/>
  <c r="I37" i="15"/>
  <c r="G37" i="15"/>
  <c r="H37" i="15" s="1"/>
  <c r="F37" i="15"/>
  <c r="M36" i="15"/>
  <c r="N36" i="15" s="1"/>
  <c r="K36" i="15"/>
  <c r="L36" i="15" s="1"/>
  <c r="J36" i="15"/>
  <c r="I36" i="15"/>
  <c r="G36" i="15"/>
  <c r="H36" i="15" s="1"/>
  <c r="F36" i="15"/>
  <c r="M35" i="15"/>
  <c r="N35" i="15" s="1"/>
  <c r="K35" i="15"/>
  <c r="L35" i="15" s="1"/>
  <c r="J35" i="15"/>
  <c r="I35" i="15"/>
  <c r="G35" i="15"/>
  <c r="H35" i="15" s="1"/>
  <c r="F35" i="15"/>
  <c r="M34" i="15"/>
  <c r="N34" i="15" s="1"/>
  <c r="K34" i="15"/>
  <c r="L34" i="15" s="1"/>
  <c r="J34" i="15"/>
  <c r="I34" i="15"/>
  <c r="G34" i="15"/>
  <c r="H34" i="15" s="1"/>
  <c r="F34" i="15"/>
  <c r="M33" i="15"/>
  <c r="N33" i="15" s="1"/>
  <c r="K33" i="15"/>
  <c r="L33" i="15" s="1"/>
  <c r="J33" i="15"/>
  <c r="I33" i="15"/>
  <c r="G33" i="15"/>
  <c r="H33" i="15" s="1"/>
  <c r="F33" i="15"/>
  <c r="M32" i="15"/>
  <c r="N32" i="15" s="1"/>
  <c r="K32" i="15"/>
  <c r="L32" i="15" s="1"/>
  <c r="J32" i="15"/>
  <c r="I32" i="15"/>
  <c r="G32" i="15"/>
  <c r="H32" i="15" s="1"/>
  <c r="F32" i="15"/>
  <c r="M31" i="15"/>
  <c r="N31" i="15" s="1"/>
  <c r="K31" i="15"/>
  <c r="L31" i="15" s="1"/>
  <c r="J31" i="15"/>
  <c r="I31" i="15"/>
  <c r="G31" i="15"/>
  <c r="H31" i="15" s="1"/>
  <c r="F31" i="15"/>
  <c r="M30" i="15"/>
  <c r="N30" i="15" s="1"/>
  <c r="K30" i="15"/>
  <c r="L30" i="15" s="1"/>
  <c r="J30" i="15"/>
  <c r="I30" i="15"/>
  <c r="G30" i="15"/>
  <c r="H30" i="15" s="1"/>
  <c r="F30" i="15"/>
  <c r="M29" i="15"/>
  <c r="N29" i="15" s="1"/>
  <c r="K29" i="15"/>
  <c r="L29" i="15" s="1"/>
  <c r="J29" i="15"/>
  <c r="I29" i="15"/>
  <c r="G29" i="15"/>
  <c r="H29" i="15" s="1"/>
  <c r="F29" i="15"/>
  <c r="M28" i="15"/>
  <c r="N28" i="15" s="1"/>
  <c r="K28" i="15"/>
  <c r="L28" i="15" s="1"/>
  <c r="J28" i="15"/>
  <c r="I28" i="15"/>
  <c r="G28" i="15"/>
  <c r="H28" i="15" s="1"/>
  <c r="F28" i="15"/>
  <c r="M27" i="15"/>
  <c r="N27" i="15" s="1"/>
  <c r="K27" i="15"/>
  <c r="L27" i="15" s="1"/>
  <c r="J27" i="15"/>
  <c r="I27" i="15"/>
  <c r="G27" i="15"/>
  <c r="H27" i="15" s="1"/>
  <c r="F27" i="15"/>
  <c r="M26" i="15"/>
  <c r="N26" i="15" s="1"/>
  <c r="K26" i="15"/>
  <c r="L26" i="15" s="1"/>
  <c r="J26" i="15"/>
  <c r="I26" i="15"/>
  <c r="G26" i="15"/>
  <c r="H26" i="15" s="1"/>
  <c r="F26" i="15"/>
  <c r="M25" i="15"/>
  <c r="N25" i="15" s="1"/>
  <c r="K25" i="15"/>
  <c r="L25" i="15" s="1"/>
  <c r="J25" i="15"/>
  <c r="I25" i="15"/>
  <c r="G25" i="15"/>
  <c r="H25" i="15" s="1"/>
  <c r="F25" i="15"/>
  <c r="M24" i="15"/>
  <c r="N24" i="15" s="1"/>
  <c r="K24" i="15"/>
  <c r="L24" i="15" s="1"/>
  <c r="J24" i="15"/>
  <c r="I24" i="15"/>
  <c r="G24" i="15"/>
  <c r="H24" i="15" s="1"/>
  <c r="F24" i="15"/>
  <c r="M23" i="15"/>
  <c r="N23" i="15" s="1"/>
  <c r="K23" i="15"/>
  <c r="L23" i="15" s="1"/>
  <c r="J23" i="15"/>
  <c r="I23" i="15"/>
  <c r="G23" i="15"/>
  <c r="H23" i="15" s="1"/>
  <c r="F23" i="15"/>
  <c r="M22" i="15"/>
  <c r="N22" i="15" s="1"/>
  <c r="K22" i="15"/>
  <c r="L22" i="15" s="1"/>
  <c r="J22" i="15"/>
  <c r="I22" i="15"/>
  <c r="G22" i="15"/>
  <c r="H22" i="15" s="1"/>
  <c r="F22" i="15"/>
  <c r="M21" i="15"/>
  <c r="N21" i="15" s="1"/>
  <c r="K21" i="15"/>
  <c r="L21" i="15" s="1"/>
  <c r="J21" i="15"/>
  <c r="I21" i="15"/>
  <c r="G21" i="15"/>
  <c r="H21" i="15" s="1"/>
  <c r="F21" i="15"/>
  <c r="M20" i="15"/>
  <c r="N20" i="15" s="1"/>
  <c r="K20" i="15"/>
  <c r="L20" i="15" s="1"/>
  <c r="J20" i="15"/>
  <c r="I20" i="15"/>
  <c r="G20" i="15"/>
  <c r="H20" i="15" s="1"/>
  <c r="F20" i="15"/>
  <c r="M19" i="15"/>
  <c r="N19" i="15" s="1"/>
  <c r="K19" i="15"/>
  <c r="L19" i="15" s="1"/>
  <c r="J19" i="15"/>
  <c r="I19" i="15"/>
  <c r="G19" i="15"/>
  <c r="H19" i="15" s="1"/>
  <c r="F19" i="15"/>
  <c r="M18" i="15"/>
  <c r="N18" i="15" s="1"/>
  <c r="K18" i="15"/>
  <c r="L18" i="15" s="1"/>
  <c r="J18" i="15"/>
  <c r="I18" i="15"/>
  <c r="G18" i="15"/>
  <c r="H18" i="15" s="1"/>
  <c r="F18" i="15"/>
  <c r="M17" i="15"/>
  <c r="N17" i="15" s="1"/>
  <c r="K17" i="15"/>
  <c r="L17" i="15" s="1"/>
  <c r="J17" i="15"/>
  <c r="I17" i="15"/>
  <c r="G17" i="15"/>
  <c r="H17" i="15" s="1"/>
  <c r="F17" i="15"/>
  <c r="M16" i="15"/>
  <c r="N16" i="15" s="1"/>
  <c r="K16" i="15"/>
  <c r="L16" i="15" s="1"/>
  <c r="J16" i="15"/>
  <c r="I16" i="15"/>
  <c r="G16" i="15"/>
  <c r="H16" i="15" s="1"/>
  <c r="F16" i="15"/>
  <c r="M15" i="15"/>
  <c r="N15" i="15" s="1"/>
  <c r="K15" i="15"/>
  <c r="L15" i="15" s="1"/>
  <c r="J15" i="15"/>
  <c r="I15" i="15"/>
  <c r="G15" i="15"/>
  <c r="H15" i="15" s="1"/>
  <c r="F15" i="15"/>
  <c r="M14" i="15"/>
  <c r="N14" i="15" s="1"/>
  <c r="K14" i="15"/>
  <c r="L14" i="15" s="1"/>
  <c r="J14" i="15"/>
  <c r="I14" i="15"/>
  <c r="G14" i="15"/>
  <c r="H14" i="15" s="1"/>
  <c r="F14" i="15"/>
  <c r="M13" i="15"/>
  <c r="N13" i="15" s="1"/>
  <c r="K13" i="15"/>
  <c r="L13" i="15" s="1"/>
  <c r="J13" i="15"/>
  <c r="I13" i="15"/>
  <c r="G13" i="15"/>
  <c r="H13" i="15" s="1"/>
  <c r="F13" i="15"/>
  <c r="M12" i="15"/>
  <c r="N12" i="15" s="1"/>
  <c r="K12" i="15"/>
  <c r="L12" i="15" s="1"/>
  <c r="J12" i="15"/>
  <c r="I12" i="15"/>
  <c r="G12" i="15"/>
  <c r="H12" i="15" s="1"/>
  <c r="F12" i="15"/>
  <c r="M11" i="15"/>
  <c r="N11" i="15" s="1"/>
  <c r="K11" i="15"/>
  <c r="L11" i="15" s="1"/>
  <c r="J11" i="15"/>
  <c r="I11" i="15"/>
  <c r="G11" i="15"/>
  <c r="H11" i="15" s="1"/>
  <c r="F11" i="15"/>
  <c r="M10" i="15"/>
  <c r="N10" i="15" s="1"/>
  <c r="K10" i="15"/>
  <c r="L10" i="15" s="1"/>
  <c r="J10" i="15"/>
  <c r="I10" i="15"/>
  <c r="G10" i="15"/>
  <c r="H10" i="15" s="1"/>
  <c r="F10" i="15"/>
  <c r="M9" i="15"/>
  <c r="N9" i="15" s="1"/>
  <c r="K9" i="15"/>
  <c r="L9" i="15" s="1"/>
  <c r="J9" i="15"/>
  <c r="I9" i="15"/>
  <c r="G9" i="15"/>
  <c r="H9" i="15" s="1"/>
  <c r="F9" i="15"/>
  <c r="M8" i="15"/>
  <c r="N8" i="15" s="1"/>
  <c r="K8" i="15"/>
  <c r="L8" i="15" s="1"/>
  <c r="J8" i="15"/>
  <c r="I8" i="15"/>
  <c r="G8" i="15"/>
  <c r="H8" i="15" s="1"/>
  <c r="F8" i="15"/>
  <c r="M7" i="15"/>
  <c r="N7" i="15" s="1"/>
  <c r="K7" i="15"/>
  <c r="L7" i="15" s="1"/>
  <c r="J7" i="15"/>
  <c r="I7" i="15"/>
  <c r="G7" i="15"/>
  <c r="H7" i="15" s="1"/>
  <c r="F7" i="15"/>
  <c r="M6" i="15"/>
  <c r="N6" i="15" s="1"/>
  <c r="K6" i="15"/>
  <c r="L6" i="15" s="1"/>
  <c r="J6" i="15"/>
  <c r="I6" i="15"/>
  <c r="G6" i="15"/>
  <c r="H6" i="15" s="1"/>
  <c r="F6" i="15"/>
  <c r="M5" i="15"/>
  <c r="N5" i="15" s="1"/>
  <c r="K5" i="15"/>
  <c r="L5" i="15" s="1"/>
  <c r="J5" i="15"/>
  <c r="I5" i="15"/>
  <c r="G5" i="15"/>
  <c r="H5" i="15" s="1"/>
  <c r="F5" i="15"/>
  <c r="M4" i="15"/>
  <c r="N4" i="15" s="1"/>
  <c r="K4" i="15"/>
  <c r="L4" i="15" s="1"/>
  <c r="J4" i="15"/>
  <c r="I4" i="15"/>
  <c r="G4" i="15"/>
  <c r="H4" i="15" s="1"/>
  <c r="F4" i="15"/>
  <c r="M3" i="15"/>
  <c r="N3" i="15" s="1"/>
  <c r="K3" i="15"/>
  <c r="L3" i="15" s="1"/>
  <c r="J3" i="15"/>
  <c r="I3" i="15"/>
  <c r="G3" i="15"/>
  <c r="H3" i="15" s="1"/>
  <c r="F3" i="15"/>
  <c r="M2" i="15"/>
  <c r="N2" i="15" s="1"/>
  <c r="K2" i="15"/>
  <c r="L2" i="15" s="1"/>
  <c r="J2" i="15"/>
  <c r="I2" i="15"/>
  <c r="G2" i="15"/>
  <c r="H2" i="15" s="1"/>
  <c r="F2" i="15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6" i="4"/>
  <c r="A295" i="15" l="1"/>
  <c r="A299" i="4" s="1"/>
  <c r="A293" i="15"/>
  <c r="A297" i="4" s="1"/>
  <c r="A292" i="15"/>
  <c r="A296" i="4" s="1"/>
  <c r="A294" i="15"/>
  <c r="A298" i="4" s="1"/>
  <c r="A291" i="15"/>
  <c r="A295" i="4" s="1"/>
  <c r="A290" i="15"/>
  <c r="A294" i="4" s="1"/>
  <c r="A289" i="15"/>
  <c r="A293" i="4" s="1"/>
  <c r="A288" i="15"/>
  <c r="A292" i="4" s="1"/>
  <c r="A287" i="15"/>
  <c r="A291" i="4" s="1"/>
  <c r="A286" i="15"/>
  <c r="A290" i="4" s="1"/>
  <c r="A285" i="15"/>
  <c r="A289" i="4" s="1"/>
  <c r="A284" i="15"/>
  <c r="A288" i="4" s="1"/>
  <c r="A283" i="15"/>
  <c r="A287" i="4" s="1"/>
  <c r="A282" i="15"/>
  <c r="A286" i="4" s="1"/>
  <c r="A280" i="15"/>
  <c r="A284" i="4" s="1"/>
  <c r="A281" i="15"/>
  <c r="A285" i="4" s="1"/>
  <c r="A279" i="15"/>
  <c r="A283" i="4" s="1"/>
  <c r="A276" i="15"/>
  <c r="A280" i="4" s="1"/>
  <c r="A275" i="15"/>
  <c r="A279" i="4" s="1"/>
  <c r="A277" i="15"/>
  <c r="A281" i="4" s="1"/>
  <c r="A274" i="15"/>
  <c r="A278" i="4" s="1"/>
  <c r="A273" i="15"/>
  <c r="A277" i="4" s="1"/>
  <c r="A272" i="15"/>
  <c r="A276" i="4" s="1"/>
  <c r="A271" i="15"/>
  <c r="A275" i="4" s="1"/>
  <c r="A270" i="15"/>
  <c r="A274" i="4" s="1"/>
  <c r="A269" i="15"/>
  <c r="A273" i="4" s="1"/>
  <c r="A268" i="15"/>
  <c r="A272" i="4" s="1"/>
  <c r="A267" i="15"/>
  <c r="A271" i="4" s="1"/>
  <c r="A250" i="15"/>
  <c r="A254" i="4" s="1"/>
  <c r="A265" i="15"/>
  <c r="A269" i="4" s="1"/>
  <c r="A260" i="15"/>
  <c r="A264" i="4" s="1"/>
  <c r="A259" i="15"/>
  <c r="A263" i="4" s="1"/>
  <c r="A258" i="15"/>
  <c r="A262" i="4" s="1"/>
  <c r="A257" i="15"/>
  <c r="A261" i="4" s="1"/>
  <c r="A256" i="15"/>
  <c r="A260" i="4" s="1"/>
  <c r="A255" i="15"/>
  <c r="A259" i="4" s="1"/>
  <c r="A252" i="15"/>
  <c r="A256" i="4" s="1"/>
  <c r="A249" i="15"/>
  <c r="A253" i="4" s="1"/>
  <c r="A254" i="15"/>
  <c r="A258" i="4" s="1"/>
  <c r="A253" i="15"/>
  <c r="A257" i="4" s="1"/>
  <c r="A264" i="15"/>
  <c r="A268" i="4" s="1"/>
  <c r="A263" i="15"/>
  <c r="A267" i="4" s="1"/>
  <c r="A262" i="15"/>
  <c r="A266" i="4" s="1"/>
  <c r="A261" i="15"/>
  <c r="A265" i="4" s="1"/>
  <c r="A248" i="15"/>
  <c r="A252" i="4" s="1"/>
  <c r="A247" i="15"/>
  <c r="A251" i="4" s="1"/>
  <c r="A246" i="15"/>
  <c r="A250" i="4" s="1"/>
  <c r="A243" i="15"/>
  <c r="A247" i="4" s="1"/>
  <c r="A244" i="15"/>
  <c r="A248" i="4" s="1"/>
  <c r="A242" i="15"/>
  <c r="A246" i="4" s="1"/>
  <c r="A241" i="15"/>
  <c r="A245" i="4" s="1"/>
  <c r="A240" i="15"/>
  <c r="A244" i="4" s="1"/>
  <c r="A239" i="15"/>
  <c r="A243" i="4" s="1"/>
  <c r="A238" i="15"/>
  <c r="A242" i="4" s="1"/>
  <c r="A237" i="15"/>
  <c r="A241" i="4" s="1"/>
  <c r="A236" i="15"/>
  <c r="A240" i="4" s="1"/>
  <c r="A233" i="15"/>
  <c r="A237" i="4" s="1"/>
  <c r="A232" i="15"/>
  <c r="A236" i="4" s="1"/>
  <c r="A231" i="15"/>
  <c r="A235" i="4" s="1"/>
  <c r="A230" i="15"/>
  <c r="A234" i="4" s="1"/>
  <c r="A229" i="15"/>
  <c r="A233" i="4" s="1"/>
  <c r="A227" i="15"/>
  <c r="A231" i="4" s="1"/>
  <c r="A228" i="15"/>
  <c r="A232" i="4" s="1"/>
  <c r="A225" i="15"/>
  <c r="A229" i="4" s="1"/>
  <c r="A224" i="15"/>
  <c r="A228" i="4" s="1"/>
  <c r="A223" i="15"/>
  <c r="A227" i="4" s="1"/>
  <c r="A222" i="15"/>
  <c r="A226" i="4" s="1"/>
  <c r="A220" i="15"/>
  <c r="A224" i="4" s="1"/>
  <c r="A219" i="15"/>
  <c r="A223" i="4" s="1"/>
  <c r="A221" i="15"/>
  <c r="A225" i="4" s="1"/>
  <c r="A218" i="15"/>
  <c r="A222" i="4" s="1"/>
  <c r="A217" i="15"/>
  <c r="A221" i="4" s="1"/>
  <c r="A215" i="15"/>
  <c r="A219" i="4" s="1"/>
  <c r="A216" i="15"/>
  <c r="A220" i="4" s="1"/>
  <c r="A214" i="15"/>
  <c r="A218" i="4" s="1"/>
  <c r="A213" i="15"/>
  <c r="A217" i="4" s="1"/>
  <c r="A211" i="15"/>
  <c r="A215" i="4" s="1"/>
  <c r="A212" i="15"/>
  <c r="A216" i="4" s="1"/>
  <c r="A209" i="15"/>
  <c r="A213" i="4" s="1"/>
  <c r="A208" i="15"/>
  <c r="A212" i="4" s="1"/>
  <c r="A207" i="15"/>
  <c r="A211" i="4" s="1"/>
  <c r="A205" i="15"/>
  <c r="A209" i="4" s="1"/>
  <c r="A206" i="15"/>
  <c r="A210" i="4" s="1"/>
  <c r="A203" i="15"/>
  <c r="A207" i="4" s="1"/>
  <c r="A204" i="15"/>
  <c r="A208" i="4" s="1"/>
  <c r="A201" i="15"/>
  <c r="A205" i="4" s="1"/>
  <c r="A200" i="15"/>
  <c r="A204" i="4" s="1"/>
  <c r="A199" i="15"/>
  <c r="A203" i="4" s="1"/>
  <c r="A198" i="15"/>
  <c r="A202" i="4" s="1"/>
  <c r="A197" i="15"/>
  <c r="A201" i="4" s="1"/>
  <c r="A186" i="15"/>
  <c r="A190" i="4" s="1"/>
  <c r="A189" i="15"/>
  <c r="A193" i="4" s="1"/>
  <c r="A132" i="15"/>
  <c r="A136" i="4" s="1"/>
  <c r="A178" i="15"/>
  <c r="A182" i="4" s="1"/>
  <c r="A134" i="15"/>
  <c r="A138" i="4" s="1"/>
  <c r="A139" i="15"/>
  <c r="A143" i="4" s="1"/>
  <c r="A176" i="15"/>
  <c r="A180" i="4" s="1"/>
  <c r="A177" i="15"/>
  <c r="A181" i="4" s="1"/>
  <c r="A187" i="15"/>
  <c r="A191" i="4" s="1"/>
  <c r="A193" i="15"/>
  <c r="A197" i="4" s="1"/>
  <c r="A190" i="15"/>
  <c r="A194" i="4" s="1"/>
  <c r="A195" i="15"/>
  <c r="A199" i="4" s="1"/>
  <c r="A196" i="15"/>
  <c r="A200" i="4" s="1"/>
  <c r="A194" i="15"/>
  <c r="A198" i="4" s="1"/>
  <c r="A47" i="15"/>
  <c r="A51" i="4" s="1"/>
  <c r="A51" i="15"/>
  <c r="A55" i="4" s="1"/>
  <c r="A75" i="15"/>
  <c r="A79" i="4" s="1"/>
  <c r="A115" i="15"/>
  <c r="A119" i="4" s="1"/>
  <c r="A127" i="15"/>
  <c r="A131" i="4" s="1"/>
  <c r="A17" i="15"/>
  <c r="A21" i="4" s="1"/>
  <c r="A149" i="15"/>
  <c r="A153" i="4" s="1"/>
  <c r="A46" i="15"/>
  <c r="A50" i="4" s="1"/>
  <c r="A62" i="15"/>
  <c r="A66" i="4" s="1"/>
  <c r="A70" i="15"/>
  <c r="A74" i="4" s="1"/>
  <c r="A80" i="15"/>
  <c r="A84" i="4" s="1"/>
  <c r="A86" i="15"/>
  <c r="A90" i="4" s="1"/>
  <c r="A98" i="15"/>
  <c r="A102" i="4" s="1"/>
  <c r="A128" i="15"/>
  <c r="A132" i="4" s="1"/>
  <c r="A140" i="15"/>
  <c r="A144" i="4" s="1"/>
  <c r="A164" i="15"/>
  <c r="A168" i="4" s="1"/>
  <c r="A142" i="15"/>
  <c r="A146" i="4" s="1"/>
  <c r="A146" i="15"/>
  <c r="A150" i="4" s="1"/>
  <c r="A192" i="15"/>
  <c r="A196" i="4" s="1"/>
  <c r="A191" i="15"/>
  <c r="A195" i="4" s="1"/>
  <c r="A188" i="15"/>
  <c r="A192" i="4" s="1"/>
  <c r="A185" i="15"/>
  <c r="A189" i="4" s="1"/>
  <c r="A184" i="15"/>
  <c r="A188" i="4" s="1"/>
  <c r="A183" i="15"/>
  <c r="A187" i="4" s="1"/>
  <c r="A182" i="15"/>
  <c r="A186" i="4" s="1"/>
  <c r="A173" i="15"/>
  <c r="A177" i="4" s="1"/>
  <c r="A175" i="15"/>
  <c r="A179" i="4" s="1"/>
  <c r="A179" i="15"/>
  <c r="A183" i="4" s="1"/>
  <c r="A180" i="15"/>
  <c r="A184" i="4" s="1"/>
  <c r="A169" i="15"/>
  <c r="A173" i="4" s="1"/>
  <c r="A171" i="15"/>
  <c r="A175" i="4" s="1"/>
  <c r="A170" i="15"/>
  <c r="A174" i="4" s="1"/>
  <c r="A174" i="15"/>
  <c r="A178" i="4" s="1"/>
  <c r="A181" i="15"/>
  <c r="A185" i="4" s="1"/>
  <c r="A168" i="15"/>
  <c r="A172" i="4" s="1"/>
  <c r="A172" i="15"/>
  <c r="A176" i="4" s="1"/>
  <c r="A160" i="15"/>
  <c r="A164" i="4" s="1"/>
  <c r="A144" i="15"/>
  <c r="A148" i="4" s="1"/>
  <c r="A131" i="15"/>
  <c r="A135" i="4" s="1"/>
  <c r="A114" i="15"/>
  <c r="A118" i="4" s="1"/>
  <c r="A143" i="15"/>
  <c r="A147" i="4" s="1"/>
  <c r="A147" i="15"/>
  <c r="A151" i="4" s="1"/>
  <c r="A88" i="15"/>
  <c r="A92" i="4" s="1"/>
  <c r="A74" i="15"/>
  <c r="A78" i="4" s="1"/>
  <c r="A58" i="15"/>
  <c r="A62" i="4" s="1"/>
  <c r="A167" i="15"/>
  <c r="A171" i="4" s="1"/>
  <c r="A166" i="15"/>
  <c r="A170" i="4" s="1"/>
  <c r="A156" i="15"/>
  <c r="A160" i="4" s="1"/>
  <c r="A148" i="15"/>
  <c r="A152" i="4" s="1"/>
  <c r="A138" i="15"/>
  <c r="A142" i="4" s="1"/>
  <c r="A141" i="15"/>
  <c r="A145" i="4" s="1"/>
  <c r="A145" i="15"/>
  <c r="A149" i="4" s="1"/>
  <c r="A129" i="15"/>
  <c r="A133" i="4" s="1"/>
  <c r="A133" i="15"/>
  <c r="A137" i="4" s="1"/>
  <c r="A123" i="15"/>
  <c r="A127" i="4" s="1"/>
  <c r="A122" i="15"/>
  <c r="A126" i="4" s="1"/>
  <c r="A126" i="15"/>
  <c r="A130" i="4" s="1"/>
  <c r="A119" i="15"/>
  <c r="A123" i="4" s="1"/>
  <c r="A112" i="15"/>
  <c r="A116" i="4" s="1"/>
  <c r="A111" i="15"/>
  <c r="A115" i="4" s="1"/>
  <c r="A110" i="15"/>
  <c r="A114" i="4" s="1"/>
  <c r="A102" i="15"/>
  <c r="A106" i="4" s="1"/>
  <c r="A104" i="15"/>
  <c r="A108" i="4" s="1"/>
  <c r="A99" i="15"/>
  <c r="A103" i="4" s="1"/>
  <c r="A103" i="15"/>
  <c r="A107" i="4" s="1"/>
  <c r="A97" i="15"/>
  <c r="A101" i="4" s="1"/>
  <c r="A107" i="15"/>
  <c r="A111" i="4" s="1"/>
  <c r="A105" i="15"/>
  <c r="A109" i="4" s="1"/>
  <c r="A109" i="15"/>
  <c r="A113" i="4" s="1"/>
  <c r="A91" i="15"/>
  <c r="A95" i="4" s="1"/>
  <c r="A87" i="15"/>
  <c r="A91" i="4" s="1"/>
  <c r="A82" i="15"/>
  <c r="A86" i="4" s="1"/>
  <c r="A83" i="15"/>
  <c r="A87" i="4" s="1"/>
  <c r="A81" i="15"/>
  <c r="A85" i="4" s="1"/>
  <c r="A78" i="15"/>
  <c r="A82" i="4" s="1"/>
  <c r="A76" i="15"/>
  <c r="A80" i="4" s="1"/>
  <c r="A65" i="15"/>
  <c r="A69" i="4" s="1"/>
  <c r="A64" i="15"/>
  <c r="A68" i="4" s="1"/>
  <c r="A63" i="15"/>
  <c r="A67" i="4" s="1"/>
  <c r="A59" i="15"/>
  <c r="A63" i="4" s="1"/>
  <c r="A40" i="15"/>
  <c r="A44" i="4" s="1"/>
  <c r="A50" i="15"/>
  <c r="A54" i="4" s="1"/>
  <c r="A53" i="15"/>
  <c r="A57" i="4" s="1"/>
  <c r="A35" i="15"/>
  <c r="A39" i="4" s="1"/>
  <c r="A39" i="15"/>
  <c r="A43" i="4" s="1"/>
  <c r="A43" i="15"/>
  <c r="A47" i="4" s="1"/>
  <c r="A56" i="15"/>
  <c r="A60" i="4" s="1"/>
  <c r="A38" i="15"/>
  <c r="A42" i="4" s="1"/>
  <c r="A34" i="15"/>
  <c r="A38" i="4" s="1"/>
  <c r="A31" i="15"/>
  <c r="A35" i="4" s="1"/>
  <c r="A29" i="15"/>
  <c r="A33" i="4" s="1"/>
  <c r="A136" i="15"/>
  <c r="A140" i="4" s="1"/>
  <c r="A165" i="15"/>
  <c r="A169" i="4" s="1"/>
  <c r="A135" i="15"/>
  <c r="A139" i="4" s="1"/>
  <c r="A153" i="15"/>
  <c r="A157" i="4" s="1"/>
  <c r="A151" i="15"/>
  <c r="A155" i="4" s="1"/>
  <c r="A155" i="15"/>
  <c r="A159" i="4" s="1"/>
  <c r="A154" i="15"/>
  <c r="A158" i="4" s="1"/>
  <c r="A158" i="15"/>
  <c r="A162" i="4" s="1"/>
  <c r="A162" i="15"/>
  <c r="A166" i="4" s="1"/>
  <c r="A163" i="15"/>
  <c r="A167" i="4" s="1"/>
  <c r="A120" i="15"/>
  <c r="A124" i="4" s="1"/>
  <c r="A117" i="15"/>
  <c r="A121" i="4" s="1"/>
  <c r="A121" i="15"/>
  <c r="A125" i="4" s="1"/>
  <c r="A118" i="15"/>
  <c r="A122" i="4" s="1"/>
  <c r="A116" i="15"/>
  <c r="A120" i="4" s="1"/>
  <c r="A106" i="15"/>
  <c r="A110" i="4" s="1"/>
  <c r="A100" i="15"/>
  <c r="A104" i="4" s="1"/>
  <c r="A96" i="15"/>
  <c r="A100" i="4" s="1"/>
  <c r="A95" i="15"/>
  <c r="A99" i="4" s="1"/>
  <c r="A94" i="15"/>
  <c r="A98" i="4" s="1"/>
  <c r="A93" i="15"/>
  <c r="A97" i="4" s="1"/>
  <c r="A92" i="15"/>
  <c r="A96" i="4" s="1"/>
  <c r="A90" i="15"/>
  <c r="A94" i="4" s="1"/>
  <c r="A85" i="15"/>
  <c r="A89" i="4" s="1"/>
  <c r="A79" i="15"/>
  <c r="A83" i="4" s="1"/>
  <c r="A72" i="15"/>
  <c r="A76" i="4" s="1"/>
  <c r="A71" i="15"/>
  <c r="A75" i="4" s="1"/>
  <c r="A69" i="15"/>
  <c r="A73" i="4" s="1"/>
  <c r="A67" i="15"/>
  <c r="A71" i="4" s="1"/>
  <c r="A66" i="15"/>
  <c r="A70" i="4" s="1"/>
  <c r="A57" i="15"/>
  <c r="A61" i="4" s="1"/>
  <c r="A55" i="15"/>
  <c r="A59" i="4" s="1"/>
  <c r="A54" i="15"/>
  <c r="A58" i="4" s="1"/>
  <c r="A52" i="15"/>
  <c r="A56" i="4" s="1"/>
  <c r="A48" i="15"/>
  <c r="A52" i="4" s="1"/>
  <c r="A45" i="15"/>
  <c r="A49" i="4" s="1"/>
  <c r="A42" i="15"/>
  <c r="A46" i="4" s="1"/>
  <c r="A41" i="15"/>
  <c r="A45" i="4" s="1"/>
  <c r="A33" i="15"/>
  <c r="A37" i="4" s="1"/>
  <c r="A32" i="15"/>
  <c r="A36" i="4" s="1"/>
  <c r="A30" i="15"/>
  <c r="A34" i="4" s="1"/>
  <c r="A24" i="15"/>
  <c r="A28" i="4" s="1"/>
  <c r="A22" i="15"/>
  <c r="A26" i="4" s="1"/>
  <c r="A23" i="15"/>
  <c r="A27" i="4" s="1"/>
  <c r="A19" i="15"/>
  <c r="A23" i="4" s="1"/>
  <c r="A18" i="15"/>
  <c r="A22" i="4" s="1"/>
  <c r="A16" i="15"/>
  <c r="A20" i="4" s="1"/>
  <c r="A150" i="15"/>
  <c r="A154" i="4" s="1"/>
  <c r="A159" i="15"/>
  <c r="A163" i="4" s="1"/>
  <c r="A152" i="15"/>
  <c r="A156" i="4" s="1"/>
  <c r="A157" i="15"/>
  <c r="A161" i="4" s="1"/>
  <c r="A161" i="15"/>
  <c r="A165" i="4" s="1"/>
  <c r="A28" i="15"/>
  <c r="A32" i="4" s="1"/>
  <c r="A27" i="15"/>
  <c r="A31" i="4" s="1"/>
  <c r="A26" i="15"/>
  <c r="A30" i="4" s="1"/>
  <c r="A21" i="15"/>
  <c r="A25" i="4" s="1"/>
  <c r="A68" i="15"/>
  <c r="A72" i="4" s="1"/>
  <c r="A44" i="15"/>
  <c r="A48" i="4" s="1"/>
  <c r="A61" i="15"/>
  <c r="A65" i="4" s="1"/>
  <c r="A73" i="15"/>
  <c r="A77" i="4" s="1"/>
  <c r="A108" i="15"/>
  <c r="A112" i="4" s="1"/>
  <c r="A125" i="15"/>
  <c r="A129" i="4" s="1"/>
  <c r="A137" i="15"/>
  <c r="A141" i="4" s="1"/>
  <c r="A20" i="15"/>
  <c r="A24" i="4" s="1"/>
  <c r="A37" i="15"/>
  <c r="A41" i="4" s="1"/>
  <c r="A49" i="15"/>
  <c r="A53" i="4" s="1"/>
  <c r="A84" i="15"/>
  <c r="A88" i="4" s="1"/>
  <c r="A101" i="15"/>
  <c r="A105" i="4" s="1"/>
  <c r="A113" i="15"/>
  <c r="A117" i="4" s="1"/>
  <c r="A130" i="15"/>
  <c r="A134" i="4" s="1"/>
  <c r="A25" i="15"/>
  <c r="A29" i="4" s="1"/>
  <c r="A60" i="15"/>
  <c r="A64" i="4" s="1"/>
  <c r="A77" i="15"/>
  <c r="A81" i="4" s="1"/>
  <c r="A89" i="15"/>
  <c r="A93" i="4" s="1"/>
  <c r="A124" i="15"/>
  <c r="A128" i="4" s="1"/>
  <c r="A36" i="15"/>
  <c r="A40" i="4" s="1"/>
  <c r="A11" i="15"/>
  <c r="A15" i="4" s="1"/>
  <c r="A13" i="15"/>
  <c r="A17" i="4" s="1"/>
  <c r="A12" i="15"/>
  <c r="A16" i="4" s="1"/>
  <c r="A15" i="15"/>
  <c r="A19" i="4" s="1"/>
  <c r="A14" i="15"/>
  <c r="A18" i="4" s="1"/>
  <c r="A10" i="15"/>
  <c r="A14" i="4" s="1"/>
  <c r="A9" i="15"/>
  <c r="A13" i="4" s="1"/>
  <c r="A7" i="15"/>
  <c r="A11" i="4" s="1"/>
  <c r="A6" i="15"/>
  <c r="A10" i="4" s="1"/>
  <c r="A5" i="15"/>
  <c r="A9" i="4" s="1"/>
  <c r="A4" i="15"/>
  <c r="A8" i="4" s="1"/>
  <c r="A8" i="15"/>
  <c r="A12" i="4" s="1"/>
  <c r="A3" i="15"/>
  <c r="A7" i="4" s="1"/>
  <c r="A2" i="15"/>
  <c r="P9" i="4"/>
  <c r="P38" i="4" l="1"/>
  <c r="R38" i="4"/>
  <c r="S38" i="4"/>
  <c r="T38" i="4"/>
  <c r="P39" i="4"/>
  <c r="R39" i="4"/>
  <c r="S39" i="4"/>
  <c r="T39" i="4"/>
  <c r="N43" i="4"/>
  <c r="N44" i="4"/>
  <c r="N45" i="4"/>
  <c r="N46" i="4"/>
  <c r="N49" i="4"/>
  <c r="R50" i="4"/>
  <c r="N51" i="4"/>
  <c r="N52" i="4"/>
  <c r="N53" i="4"/>
  <c r="N54" i="4"/>
  <c r="N7" i="4"/>
  <c r="T8" i="4"/>
  <c r="T9" i="4"/>
  <c r="T10" i="4"/>
  <c r="T11" i="4"/>
  <c r="S12" i="4"/>
  <c r="S15" i="4"/>
  <c r="T16" i="4"/>
  <c r="T17" i="4"/>
  <c r="T18" i="4"/>
  <c r="N19" i="4"/>
  <c r="N20" i="4"/>
  <c r="N23" i="4"/>
  <c r="S24" i="4"/>
  <c r="N25" i="4"/>
  <c r="R26" i="4"/>
  <c r="N27" i="4"/>
  <c r="T32" i="4"/>
  <c r="N33" i="4"/>
  <c r="N35" i="4"/>
  <c r="T6" i="4"/>
  <c r="N56" i="4"/>
  <c r="N48" i="4"/>
  <c r="N40" i="4"/>
  <c r="N39" i="4"/>
  <c r="N38" i="4"/>
  <c r="N9" i="4"/>
  <c r="A6" i="4" l="1"/>
  <c r="H56" i="4"/>
  <c r="I56" i="4" s="1"/>
  <c r="H24" i="4"/>
  <c r="P24" i="4" s="1"/>
  <c r="H31" i="4"/>
  <c r="I31" i="4" s="1"/>
  <c r="N11" i="4"/>
  <c r="H29" i="4"/>
  <c r="I29" i="4" s="1"/>
  <c r="H13" i="4"/>
  <c r="K13" i="4" s="1"/>
  <c r="L13" i="4" s="1"/>
  <c r="N17" i="4"/>
  <c r="R17" i="4"/>
  <c r="N12" i="4"/>
  <c r="H20" i="4"/>
  <c r="I20" i="4" s="1"/>
  <c r="N16" i="4"/>
  <c r="N32" i="4"/>
  <c r="H52" i="4"/>
  <c r="I52" i="4" s="1"/>
  <c r="N8" i="4"/>
  <c r="H44" i="4"/>
  <c r="P44" i="4" s="1"/>
  <c r="R16" i="4"/>
  <c r="H28" i="4"/>
  <c r="I28" i="4" s="1"/>
  <c r="S16" i="4"/>
  <c r="H12" i="4"/>
  <c r="I12" i="4" s="1"/>
  <c r="H36" i="4"/>
  <c r="K36" i="4" s="1"/>
  <c r="L36" i="4" s="1"/>
  <c r="N24" i="4"/>
  <c r="H53" i="4"/>
  <c r="I53" i="4" s="1"/>
  <c r="H45" i="4"/>
  <c r="I45" i="4" s="1"/>
  <c r="H37" i="4"/>
  <c r="I37" i="4" s="1"/>
  <c r="H21" i="4"/>
  <c r="P21" i="4" s="1"/>
  <c r="N18" i="4"/>
  <c r="H57" i="4"/>
  <c r="P57" i="4" s="1"/>
  <c r="H49" i="4"/>
  <c r="I49" i="4" s="1"/>
  <c r="H41" i="4"/>
  <c r="K41" i="4" s="1"/>
  <c r="L41" i="4" s="1"/>
  <c r="H33" i="4"/>
  <c r="I33" i="4" s="1"/>
  <c r="H25" i="4"/>
  <c r="P25" i="4" s="1"/>
  <c r="H17" i="4"/>
  <c r="P17" i="4" s="1"/>
  <c r="H9" i="4"/>
  <c r="Q9" i="4" s="1"/>
  <c r="H48" i="4"/>
  <c r="I48" i="4" s="1"/>
  <c r="H40" i="4"/>
  <c r="I40" i="4" s="1"/>
  <c r="H32" i="4"/>
  <c r="K32" i="4" s="1"/>
  <c r="L32" i="4" s="1"/>
  <c r="H23" i="4"/>
  <c r="I23" i="4" s="1"/>
  <c r="H16" i="4"/>
  <c r="P16" i="4" s="1"/>
  <c r="H8" i="4"/>
  <c r="I8" i="4" s="1"/>
  <c r="N10" i="4"/>
  <c r="R8" i="4"/>
  <c r="R18" i="4"/>
  <c r="S54" i="4"/>
  <c r="N34" i="4"/>
  <c r="N26" i="4"/>
  <c r="H7" i="4"/>
  <c r="H50" i="4"/>
  <c r="I50" i="4" s="1"/>
  <c r="H42" i="4"/>
  <c r="I42" i="4" s="1"/>
  <c r="H34" i="4"/>
  <c r="H26" i="4"/>
  <c r="I26" i="4" s="1"/>
  <c r="H18" i="4"/>
  <c r="P18" i="4" s="1"/>
  <c r="H10" i="4"/>
  <c r="P10" i="4" s="1"/>
  <c r="S9" i="4"/>
  <c r="N15" i="4"/>
  <c r="K25" i="4"/>
  <c r="L25" i="4" s="1"/>
  <c r="S8" i="4"/>
  <c r="T12" i="4"/>
  <c r="R34" i="4"/>
  <c r="H30" i="4"/>
  <c r="I30" i="4" s="1"/>
  <c r="H22" i="4"/>
  <c r="P22" i="4" s="1"/>
  <c r="H14" i="4"/>
  <c r="P14" i="4" s="1"/>
  <c r="R10" i="4"/>
  <c r="R9" i="4"/>
  <c r="K6" i="4"/>
  <c r="I6" i="4"/>
  <c r="N30" i="4"/>
  <c r="Q30" i="4"/>
  <c r="R30" i="4"/>
  <c r="T30" i="4"/>
  <c r="S30" i="4"/>
  <c r="S14" i="4"/>
  <c r="T14" i="4"/>
  <c r="R41" i="4"/>
  <c r="S41" i="4"/>
  <c r="T41" i="4"/>
  <c r="T37" i="4"/>
  <c r="R37" i="4"/>
  <c r="S37" i="4"/>
  <c r="Q29" i="4"/>
  <c r="P29" i="4"/>
  <c r="R29" i="4"/>
  <c r="T29" i="4"/>
  <c r="S29" i="4"/>
  <c r="N21" i="4"/>
  <c r="T21" i="4"/>
  <c r="R21" i="4"/>
  <c r="S21" i="4"/>
  <c r="N13" i="4"/>
  <c r="R13" i="4"/>
  <c r="P6" i="4"/>
  <c r="H51" i="4"/>
  <c r="I51" i="4" s="1"/>
  <c r="N29" i="4"/>
  <c r="N37" i="4"/>
  <c r="N41" i="4"/>
  <c r="Q6" i="4"/>
  <c r="R6" i="4"/>
  <c r="S6" i="4"/>
  <c r="N22" i="4"/>
  <c r="R22" i="4"/>
  <c r="T22" i="4"/>
  <c r="S22" i="4"/>
  <c r="R57" i="4"/>
  <c r="S57" i="4"/>
  <c r="T57" i="4"/>
  <c r="N57" i="4"/>
  <c r="R49" i="4"/>
  <c r="S49" i="4"/>
  <c r="T49" i="4"/>
  <c r="H43" i="4"/>
  <c r="I43" i="4" s="1"/>
  <c r="H35" i="4"/>
  <c r="P35" i="4" s="1"/>
  <c r="H27" i="4"/>
  <c r="I27" i="4" s="1"/>
  <c r="H19" i="4"/>
  <c r="I19" i="4" s="1"/>
  <c r="H11" i="4"/>
  <c r="P11" i="4" s="1"/>
  <c r="S31" i="4"/>
  <c r="T31" i="4"/>
  <c r="R31" i="4"/>
  <c r="P31" i="4"/>
  <c r="Q31" i="4"/>
  <c r="N31" i="4"/>
  <c r="S23" i="4"/>
  <c r="T23" i="4"/>
  <c r="P23" i="4"/>
  <c r="R23" i="4"/>
  <c r="T15" i="4"/>
  <c r="R15" i="4"/>
  <c r="T7" i="4"/>
  <c r="S7" i="4"/>
  <c r="T50" i="4"/>
  <c r="S50" i="4"/>
  <c r="N50" i="4"/>
  <c r="T42" i="4"/>
  <c r="R42" i="4"/>
  <c r="S42" i="4"/>
  <c r="N42" i="4"/>
  <c r="P56" i="4"/>
  <c r="R56" i="4"/>
  <c r="S56" i="4"/>
  <c r="P48" i="4"/>
  <c r="R48" i="4"/>
  <c r="S48" i="4"/>
  <c r="T48" i="4"/>
  <c r="R40" i="4"/>
  <c r="S40" i="4"/>
  <c r="T40" i="4"/>
  <c r="N36" i="4"/>
  <c r="R36" i="4"/>
  <c r="S36" i="4"/>
  <c r="T36" i="4"/>
  <c r="N28" i="4"/>
  <c r="R28" i="4"/>
  <c r="S28" i="4"/>
  <c r="T28" i="4"/>
  <c r="P28" i="4"/>
  <c r="R20" i="4"/>
  <c r="S20" i="4"/>
  <c r="T20" i="4"/>
  <c r="P20" i="4"/>
  <c r="N55" i="4"/>
  <c r="S55" i="4"/>
  <c r="T55" i="4"/>
  <c r="R55" i="4"/>
  <c r="N47" i="4"/>
  <c r="S47" i="4"/>
  <c r="T47" i="4"/>
  <c r="P47" i="4"/>
  <c r="R47" i="4"/>
  <c r="S35" i="4"/>
  <c r="R35" i="4"/>
  <c r="T35" i="4"/>
  <c r="S27" i="4"/>
  <c r="R27" i="4"/>
  <c r="T27" i="4"/>
  <c r="R19" i="4"/>
  <c r="T19" i="4"/>
  <c r="R54" i="4"/>
  <c r="T54" i="4"/>
  <c r="R46" i="4"/>
  <c r="T46" i="4"/>
  <c r="S46" i="4"/>
  <c r="H55" i="4"/>
  <c r="I55" i="4" s="1"/>
  <c r="H47" i="4"/>
  <c r="K47" i="4" s="1"/>
  <c r="L47" i="4" s="1"/>
  <c r="H39" i="4"/>
  <c r="K39" i="4" s="1"/>
  <c r="L39" i="4" s="1"/>
  <c r="T34" i="4"/>
  <c r="S34" i="4"/>
  <c r="T26" i="4"/>
  <c r="S26" i="4"/>
  <c r="R53" i="4"/>
  <c r="S53" i="4"/>
  <c r="T53" i="4"/>
  <c r="R45" i="4"/>
  <c r="S45" i="4"/>
  <c r="T45" i="4"/>
  <c r="T24" i="4"/>
  <c r="R33" i="4"/>
  <c r="S33" i="4"/>
  <c r="T33" i="4"/>
  <c r="R25" i="4"/>
  <c r="S25" i="4"/>
  <c r="T25" i="4"/>
  <c r="R52" i="4"/>
  <c r="S52" i="4"/>
  <c r="T52" i="4"/>
  <c r="R44" i="4"/>
  <c r="S44" i="4"/>
  <c r="T44" i="4"/>
  <c r="S11" i="4"/>
  <c r="T56" i="4"/>
  <c r="R32" i="4"/>
  <c r="S32" i="4"/>
  <c r="R24" i="4"/>
  <c r="S51" i="4"/>
  <c r="T51" i="4"/>
  <c r="R51" i="4"/>
  <c r="P43" i="4"/>
  <c r="S43" i="4"/>
  <c r="T43" i="4"/>
  <c r="R43" i="4"/>
  <c r="R11" i="4"/>
  <c r="S10" i="4"/>
  <c r="S13" i="4"/>
  <c r="R12" i="4"/>
  <c r="T13" i="4"/>
  <c r="N14" i="4"/>
  <c r="R14" i="4"/>
  <c r="H15" i="4"/>
  <c r="Q15" i="4" s="1"/>
  <c r="H46" i="4"/>
  <c r="I46" i="4" s="1"/>
  <c r="H54" i="4"/>
  <c r="I54" i="4" s="1"/>
  <c r="H38" i="4"/>
  <c r="P12" i="4"/>
  <c r="P13" i="4"/>
  <c r="Q20" i="4" l="1"/>
  <c r="Q24" i="4"/>
  <c r="K20" i="4"/>
  <c r="L20" i="4" s="1"/>
  <c r="Q52" i="4"/>
  <c r="K31" i="4"/>
  <c r="L31" i="4" s="1"/>
  <c r="Q19" i="4"/>
  <c r="Q40" i="4"/>
  <c r="K52" i="4"/>
  <c r="L52" i="4" s="1"/>
  <c r="Q25" i="4"/>
  <c r="Q45" i="4"/>
  <c r="Q28" i="4"/>
  <c r="Q22" i="4"/>
  <c r="Q50" i="4"/>
  <c r="Q56" i="4"/>
  <c r="K45" i="4"/>
  <c r="L45" i="4" s="1"/>
  <c r="Q10" i="4"/>
  <c r="K28" i="4"/>
  <c r="L28" i="4" s="1"/>
  <c r="Q44" i="4"/>
  <c r="Q14" i="4"/>
  <c r="K9" i="4"/>
  <c r="L9" i="4" s="1"/>
  <c r="Q13" i="4"/>
  <c r="K37" i="4"/>
  <c r="L37" i="4" s="1"/>
  <c r="Q46" i="4"/>
  <c r="Q36" i="4"/>
  <c r="Q42" i="4"/>
  <c r="Q51" i="4"/>
  <c r="Q53" i="4"/>
  <c r="K29" i="4"/>
  <c r="L29" i="4" s="1"/>
  <c r="K56" i="4"/>
  <c r="L56" i="4" s="1"/>
  <c r="Q37" i="4"/>
  <c r="Q17" i="4"/>
  <c r="Q55" i="4"/>
  <c r="K34" i="4"/>
  <c r="L34" i="4" s="1"/>
  <c r="Q34" i="4"/>
  <c r="Q18" i="4"/>
  <c r="Q16" i="4"/>
  <c r="Q49" i="4"/>
  <c r="Q33" i="4"/>
  <c r="Q26" i="4"/>
  <c r="Q7" i="4"/>
  <c r="Q21" i="4"/>
  <c r="Q27" i="4"/>
  <c r="Q35" i="4"/>
  <c r="K43" i="4"/>
  <c r="L43" i="4" s="1"/>
  <c r="Q54" i="4"/>
  <c r="Q41" i="4"/>
  <c r="K46" i="4"/>
  <c r="L46" i="4" s="1"/>
  <c r="K26" i="4"/>
  <c r="L26" i="4" s="1"/>
  <c r="K38" i="4"/>
  <c r="L38" i="4" s="1"/>
  <c r="Q38" i="4"/>
  <c r="Q32" i="4"/>
  <c r="I39" i="4"/>
  <c r="Q39" i="4"/>
  <c r="Q23" i="4"/>
  <c r="Q57" i="4"/>
  <c r="K50" i="4"/>
  <c r="L50" i="4" s="1"/>
  <c r="K24" i="4"/>
  <c r="L24" i="4" s="1"/>
  <c r="Q8" i="4"/>
  <c r="K15" i="4"/>
  <c r="L15" i="4" s="1"/>
  <c r="K12" i="4"/>
  <c r="L12" i="4" s="1"/>
  <c r="K17" i="4"/>
  <c r="L17" i="4" s="1"/>
  <c r="Q12" i="4"/>
  <c r="R7" i="4"/>
  <c r="S18" i="4"/>
  <c r="K14" i="4"/>
  <c r="L14" i="4" s="1"/>
  <c r="Q11" i="4"/>
  <c r="S19" i="4"/>
  <c r="K16" i="4"/>
  <c r="L16" i="4" s="1"/>
  <c r="S17" i="4"/>
  <c r="I57" i="4"/>
  <c r="K7" i="4"/>
  <c r="L7" i="4" s="1"/>
  <c r="I13" i="4"/>
  <c r="K54" i="4"/>
  <c r="L54" i="4" s="1"/>
  <c r="K23" i="4"/>
  <c r="L23" i="4" s="1"/>
  <c r="K40" i="4"/>
  <c r="L40" i="4" s="1"/>
  <c r="K55" i="4"/>
  <c r="L55" i="4" s="1"/>
  <c r="K53" i="4"/>
  <c r="L53" i="4" s="1"/>
  <c r="K22" i="4"/>
  <c r="L22" i="4" s="1"/>
  <c r="K11" i="4"/>
  <c r="L11" i="4" s="1"/>
  <c r="L6" i="4"/>
  <c r="K21" i="4"/>
  <c r="L21" i="4" s="1"/>
  <c r="K19" i="4"/>
  <c r="L19" i="4" s="1"/>
  <c r="K51" i="4"/>
  <c r="L51" i="4" s="1"/>
  <c r="P41" i="4"/>
  <c r="K27" i="4"/>
  <c r="L27" i="4" s="1"/>
  <c r="K18" i="4"/>
  <c r="L18" i="4" s="1"/>
  <c r="K10" i="4"/>
  <c r="L10" i="4" s="1"/>
  <c r="K44" i="4"/>
  <c r="L44" i="4" s="1"/>
  <c r="P53" i="4"/>
  <c r="P42" i="4"/>
  <c r="I41" i="4"/>
  <c r="K42" i="4"/>
  <c r="L42" i="4" s="1"/>
  <c r="K8" i="4"/>
  <c r="L8" i="4" s="1"/>
  <c r="P7" i="4"/>
  <c r="P40" i="4"/>
  <c r="P37" i="4"/>
  <c r="I24" i="4"/>
  <c r="I18" i="4"/>
  <c r="P45" i="4"/>
  <c r="P33" i="4"/>
  <c r="P36" i="4"/>
  <c r="I36" i="4"/>
  <c r="Q48" i="4"/>
  <c r="I11" i="4"/>
  <c r="I9" i="4"/>
  <c r="I47" i="4"/>
  <c r="I44" i="4"/>
  <c r="K57" i="4"/>
  <c r="L57" i="4" s="1"/>
  <c r="P26" i="4"/>
  <c r="I21" i="4"/>
  <c r="K33" i="4"/>
  <c r="L33" i="4" s="1"/>
  <c r="P34" i="4"/>
  <c r="K48" i="4"/>
  <c r="L48" i="4" s="1"/>
  <c r="P52" i="4"/>
  <c r="I22" i="4"/>
  <c r="I32" i="4"/>
  <c r="K35" i="4"/>
  <c r="L35" i="4" s="1"/>
  <c r="K49" i="4"/>
  <c r="L49" i="4" s="1"/>
  <c r="I10" i="4"/>
  <c r="P32" i="4"/>
  <c r="P49" i="4"/>
  <c r="I16" i="4"/>
  <c r="P8" i="4"/>
  <c r="I17" i="4"/>
  <c r="I25" i="4"/>
  <c r="P50" i="4"/>
  <c r="K30" i="4"/>
  <c r="L30" i="4" s="1"/>
  <c r="P27" i="4"/>
  <c r="P30" i="4"/>
  <c r="I34" i="4"/>
  <c r="Q47" i="4"/>
  <c r="I14" i="4"/>
  <c r="P51" i="4"/>
  <c r="P46" i="4"/>
  <c r="P55" i="4"/>
  <c r="Q43" i="4"/>
  <c r="P54" i="4"/>
  <c r="I35" i="4"/>
  <c r="P19" i="4"/>
  <c r="I38" i="4"/>
  <c r="P15" i="4"/>
  <c r="I15" i="4"/>
  <c r="P3" i="4" l="1"/>
  <c r="AB2" i="4"/>
  <c r="AD2" i="4"/>
  <c r="R3" i="4"/>
  <c r="T3" i="4"/>
  <c r="Q3" i="4"/>
  <c r="S3" i="4"/>
  <c r="U3" i="4" l="1"/>
  <c r="P2" i="4" s="1"/>
  <c r="S2" i="4" l="1"/>
  <c r="Q2" i="4"/>
  <c r="T2" i="4"/>
  <c r="R2" i="4"/>
  <c r="Q1372" i="14" l="1"/>
  <c r="K1372" i="14" s="1"/>
  <c r="R1372" i="14"/>
  <c r="L1372" i="14" s="1"/>
  <c r="B6" i="4"/>
  <c r="C6" i="4"/>
  <c r="B7" i="4"/>
  <c r="C7" i="4"/>
  <c r="C8" i="4"/>
  <c r="B9" i="4"/>
  <c r="C9" i="4"/>
  <c r="C10" i="4"/>
  <c r="B11" i="4"/>
  <c r="C11" i="4"/>
  <c r="C12" i="4"/>
  <c r="B13" i="4"/>
  <c r="C13" i="4"/>
  <c r="C14" i="4"/>
  <c r="B15" i="4"/>
  <c r="C15" i="4"/>
  <c r="C16" i="4"/>
  <c r="B17" i="4"/>
  <c r="C17" i="4"/>
  <c r="C18" i="4"/>
  <c r="B19" i="4"/>
  <c r="C19" i="4"/>
  <c r="B8" i="4"/>
  <c r="B10" i="4"/>
  <c r="B12" i="4"/>
  <c r="B14" i="4"/>
  <c r="B16" i="4"/>
  <c r="B18" i="4"/>
  <c r="R126" i="14" l="1"/>
  <c r="L126" i="14"/>
  <c r="C128" i="4"/>
  <c r="B106" i="4"/>
  <c r="K104" i="14"/>
  <c r="Q104" i="14"/>
  <c r="Q177" i="14"/>
  <c r="K177" i="14"/>
  <c r="B179" i="4"/>
  <c r="R14" i="14"/>
  <c r="R216" i="14"/>
  <c r="L216" i="14"/>
  <c r="C203" i="4"/>
  <c r="R77" i="14"/>
  <c r="L77" i="14"/>
  <c r="C79" i="4"/>
  <c r="C246" i="4"/>
  <c r="L259" i="14"/>
  <c r="R259" i="14"/>
  <c r="C198" i="4"/>
  <c r="L209" i="14"/>
  <c r="R209" i="14"/>
  <c r="B248" i="4"/>
  <c r="K261" i="14"/>
  <c r="Q261" i="14"/>
  <c r="R228" i="14"/>
  <c r="L228" i="14"/>
  <c r="C215" i="4"/>
  <c r="Q12" i="14"/>
  <c r="B92" i="4"/>
  <c r="K90" i="14"/>
  <c r="Q90" i="14"/>
  <c r="Q147" i="14"/>
  <c r="K147" i="14"/>
  <c r="B149" i="4"/>
  <c r="R7" i="14"/>
  <c r="C224" i="4"/>
  <c r="L237" i="14"/>
  <c r="R237" i="14"/>
  <c r="R30" i="14"/>
  <c r="L30" i="14"/>
  <c r="C32" i="4"/>
  <c r="B299" i="4"/>
  <c r="K312" i="14"/>
  <c r="Q312" i="14"/>
  <c r="Q293" i="14"/>
  <c r="K293" i="14"/>
  <c r="B280" i="4"/>
  <c r="Q266" i="14"/>
  <c r="K266" i="14"/>
  <c r="B253" i="4"/>
  <c r="R41" i="14"/>
  <c r="L41" i="14"/>
  <c r="C43" i="4"/>
  <c r="Q128" i="14"/>
  <c r="K128" i="14"/>
  <c r="B130" i="4"/>
  <c r="Q124" i="14"/>
  <c r="K124" i="14"/>
  <c r="B126" i="4"/>
  <c r="B262" i="4"/>
  <c r="K275" i="14"/>
  <c r="Q275" i="14"/>
  <c r="B239" i="4"/>
  <c r="K252" i="14"/>
  <c r="Q252" i="14"/>
  <c r="Q41" i="14"/>
  <c r="K41" i="14"/>
  <c r="B43" i="4"/>
  <c r="R85" i="14"/>
  <c r="L85" i="14"/>
  <c r="C87" i="4"/>
  <c r="Q125" i="14"/>
  <c r="K125" i="14"/>
  <c r="B127" i="4"/>
  <c r="R288" i="14"/>
  <c r="L288" i="14"/>
  <c r="C275" i="4"/>
  <c r="Q134" i="14"/>
  <c r="K134" i="14"/>
  <c r="B136" i="4"/>
  <c r="C123" i="4"/>
  <c r="L121" i="14"/>
  <c r="R121" i="14"/>
  <c r="C39" i="4"/>
  <c r="L37" i="14"/>
  <c r="R37" i="14"/>
  <c r="Q231" i="14"/>
  <c r="K231" i="14"/>
  <c r="B218" i="4"/>
  <c r="R19" i="14"/>
  <c r="L19" i="14"/>
  <c r="C21" i="4"/>
  <c r="R39" i="14"/>
  <c r="L39" i="14"/>
  <c r="C41" i="4"/>
  <c r="R284" i="14"/>
  <c r="L284" i="14"/>
  <c r="C271" i="4"/>
  <c r="B102" i="4"/>
  <c r="K100" i="14"/>
  <c r="Q100" i="14"/>
  <c r="R171" i="14"/>
  <c r="L171" i="14"/>
  <c r="C173" i="4"/>
  <c r="R11" i="14"/>
  <c r="Q165" i="14"/>
  <c r="K165" i="14"/>
  <c r="B167" i="4"/>
  <c r="B117" i="4"/>
  <c r="K115" i="14"/>
  <c r="Q115" i="14"/>
  <c r="R48" i="14"/>
  <c r="L48" i="14"/>
  <c r="C50" i="4"/>
  <c r="Q94" i="14"/>
  <c r="K94" i="14"/>
  <c r="B96" i="4"/>
  <c r="R225" i="14"/>
  <c r="L225" i="14"/>
  <c r="C212" i="4"/>
  <c r="Q40" i="14"/>
  <c r="K40" i="14"/>
  <c r="B42" i="4"/>
  <c r="Q149" i="14"/>
  <c r="K149" i="14"/>
  <c r="B151" i="4"/>
  <c r="R26" i="14"/>
  <c r="L26" i="14"/>
  <c r="C28" i="4"/>
  <c r="Q156" i="14"/>
  <c r="K156" i="14"/>
  <c r="B158" i="4"/>
  <c r="C26" i="4"/>
  <c r="L24" i="14"/>
  <c r="R24" i="14"/>
  <c r="R108" i="14"/>
  <c r="L108" i="14"/>
  <c r="C110" i="4"/>
  <c r="R147" i="14"/>
  <c r="L147" i="14"/>
  <c r="C149" i="4"/>
  <c r="Q209" i="14"/>
  <c r="K209" i="14"/>
  <c r="B198" i="4"/>
  <c r="Q55" i="14"/>
  <c r="K55" i="14"/>
  <c r="B57" i="4"/>
  <c r="R17" i="14"/>
  <c r="Q201" i="14"/>
  <c r="K201" i="14"/>
  <c r="B194" i="4"/>
  <c r="R173" i="14"/>
  <c r="L173" i="14"/>
  <c r="C175" i="4"/>
  <c r="Q9" i="14"/>
  <c r="R110" i="14"/>
  <c r="L110" i="14"/>
  <c r="C112" i="4"/>
  <c r="R42" i="14"/>
  <c r="L42" i="14"/>
  <c r="C44" i="4"/>
  <c r="R16" i="14"/>
  <c r="R311" i="14"/>
  <c r="L311" i="14"/>
  <c r="C298" i="4"/>
  <c r="R54" i="14"/>
  <c r="L54" i="14"/>
  <c r="C56" i="4"/>
  <c r="R4" i="14"/>
  <c r="B80" i="4"/>
  <c r="K78" i="14"/>
  <c r="Q78" i="14"/>
  <c r="R38" i="14"/>
  <c r="L38" i="14"/>
  <c r="C40" i="4"/>
  <c r="R33" i="14"/>
  <c r="L33" i="14"/>
  <c r="C35" i="4"/>
  <c r="Q232" i="14"/>
  <c r="K232" i="14"/>
  <c r="B219" i="4"/>
  <c r="Q69" i="14"/>
  <c r="K69" i="14"/>
  <c r="B71" i="4"/>
  <c r="R18" i="14"/>
  <c r="L18" i="14"/>
  <c r="C20" i="4"/>
  <c r="R201" i="14"/>
  <c r="L201" i="14"/>
  <c r="C194" i="4"/>
  <c r="B98" i="4"/>
  <c r="K96" i="14"/>
  <c r="Q96" i="14"/>
  <c r="R20" i="14"/>
  <c r="L20" i="14"/>
  <c r="C22" i="4"/>
  <c r="Q256" i="14"/>
  <c r="K256" i="14"/>
  <c r="B243" i="4"/>
  <c r="R78" i="14"/>
  <c r="L78" i="14"/>
  <c r="C80" i="4"/>
  <c r="C189" i="4"/>
  <c r="L191" i="14"/>
  <c r="R191" i="14"/>
  <c r="Q303" i="14"/>
  <c r="K303" i="14"/>
  <c r="B290" i="4"/>
  <c r="Q113" i="14"/>
  <c r="K113" i="14"/>
  <c r="B115" i="4"/>
  <c r="R241" i="14"/>
  <c r="L241" i="14"/>
  <c r="C228" i="4"/>
  <c r="Q283" i="14"/>
  <c r="K283" i="14"/>
  <c r="B270" i="4"/>
  <c r="B154" i="4"/>
  <c r="K152" i="14"/>
  <c r="Q152" i="14"/>
  <c r="R113" i="14"/>
  <c r="L113" i="14"/>
  <c r="C115" i="4"/>
  <c r="B38" i="4"/>
  <c r="K36" i="14"/>
  <c r="Q36" i="14"/>
  <c r="R290" i="14"/>
  <c r="L290" i="14"/>
  <c r="C277" i="4"/>
  <c r="R115" i="14"/>
  <c r="L115" i="14"/>
  <c r="C117" i="4"/>
  <c r="B87" i="4"/>
  <c r="K85" i="14"/>
  <c r="Q85" i="14"/>
  <c r="Q67" i="14"/>
  <c r="K67" i="14"/>
  <c r="B69" i="4"/>
  <c r="R242" i="14"/>
  <c r="L242" i="14"/>
  <c r="C229" i="4"/>
  <c r="R243" i="14"/>
  <c r="L243" i="14"/>
  <c r="C230" i="4"/>
  <c r="Q126" i="14"/>
  <c r="K126" i="14"/>
  <c r="B128" i="4"/>
  <c r="Q258" i="14"/>
  <c r="K258" i="14"/>
  <c r="B245" i="4"/>
  <c r="R27" i="14"/>
  <c r="L27" i="14"/>
  <c r="C29" i="4"/>
  <c r="R40" i="14"/>
  <c r="L40" i="14"/>
  <c r="C42" i="4"/>
  <c r="R294" i="14"/>
  <c r="L294" i="14"/>
  <c r="C281" i="4"/>
  <c r="R123" i="14"/>
  <c r="L123" i="14"/>
  <c r="C125" i="4"/>
  <c r="R6" i="14"/>
  <c r="R80" i="14"/>
  <c r="L80" i="14"/>
  <c r="C82" i="4"/>
  <c r="C133" i="4"/>
  <c r="L131" i="14"/>
  <c r="R131" i="14"/>
  <c r="Q171" i="14"/>
  <c r="K171" i="14"/>
  <c r="B173" i="4"/>
  <c r="R148" i="14"/>
  <c r="L148" i="14"/>
  <c r="C150" i="4"/>
  <c r="R88" i="14"/>
  <c r="L88" i="14"/>
  <c r="C90" i="4"/>
  <c r="Q112" i="14"/>
  <c r="K112" i="14"/>
  <c r="B114" i="4"/>
  <c r="Q127" i="14"/>
  <c r="K127" i="14"/>
  <c r="B129" i="4"/>
  <c r="R250" i="14"/>
  <c r="L250" i="14"/>
  <c r="C237" i="4"/>
  <c r="Q88" i="14"/>
  <c r="K88" i="14"/>
  <c r="B90" i="4"/>
  <c r="R168" i="14"/>
  <c r="L168" i="14"/>
  <c r="C170" i="4"/>
  <c r="Q130" i="14"/>
  <c r="K130" i="14"/>
  <c r="B132" i="4"/>
  <c r="Q158" i="14"/>
  <c r="K158" i="14"/>
  <c r="B160" i="4"/>
  <c r="R58" i="14"/>
  <c r="L58" i="14"/>
  <c r="C60" i="4"/>
  <c r="Q271" i="14"/>
  <c r="K271" i="14"/>
  <c r="B258" i="4"/>
  <c r="R302" i="14"/>
  <c r="L302" i="14"/>
  <c r="C289" i="4"/>
  <c r="Q223" i="14"/>
  <c r="K223" i="14"/>
  <c r="B210" i="4"/>
  <c r="R127" i="14"/>
  <c r="L127" i="14"/>
  <c r="C129" i="4"/>
  <c r="Q264" i="14"/>
  <c r="K264" i="14"/>
  <c r="B251" i="4"/>
  <c r="Q154" i="14"/>
  <c r="K154" i="14"/>
  <c r="B156" i="4"/>
  <c r="R93" i="14"/>
  <c r="L93" i="14"/>
  <c r="C95" i="4"/>
  <c r="Q37" i="14"/>
  <c r="K37" i="14"/>
  <c r="B39" i="4"/>
  <c r="Q217" i="14"/>
  <c r="K217" i="14"/>
  <c r="B204" i="4"/>
  <c r="R66" i="14"/>
  <c r="L66" i="14"/>
  <c r="C68" i="4"/>
  <c r="Q205" i="14"/>
  <c r="K205" i="14"/>
  <c r="B196" i="4"/>
  <c r="R195" i="14"/>
  <c r="L195" i="14"/>
  <c r="C191" i="4"/>
  <c r="Q11" i="14"/>
  <c r="R136" i="14"/>
  <c r="L136" i="14"/>
  <c r="C138" i="4"/>
  <c r="C163" i="4"/>
  <c r="L161" i="14"/>
  <c r="R161" i="14"/>
  <c r="Q191" i="14"/>
  <c r="K191" i="14"/>
  <c r="B189" i="4"/>
  <c r="R149" i="14"/>
  <c r="L149" i="14"/>
  <c r="C151" i="4"/>
  <c r="R144" i="14"/>
  <c r="L144" i="14"/>
  <c r="C146" i="4"/>
  <c r="Q6" i="14"/>
  <c r="B186" i="4"/>
  <c r="K185" i="14"/>
  <c r="Q185" i="14"/>
  <c r="Q68" i="14"/>
  <c r="K68" i="14"/>
  <c r="B70" i="4"/>
  <c r="Q5" i="14"/>
  <c r="B246" i="4"/>
  <c r="K259" i="14"/>
  <c r="Q259" i="14"/>
  <c r="R256" i="14"/>
  <c r="L256" i="14"/>
  <c r="C243" i="4"/>
  <c r="Q295" i="14"/>
  <c r="K295" i="14"/>
  <c r="B282" i="4"/>
  <c r="R166" i="14"/>
  <c r="L166" i="14"/>
  <c r="C168" i="4"/>
  <c r="R112" i="14"/>
  <c r="L112" i="14"/>
  <c r="C114" i="4"/>
  <c r="Q273" i="14"/>
  <c r="K273" i="14"/>
  <c r="B260" i="4"/>
  <c r="Q26" i="14"/>
  <c r="K26" i="14"/>
  <c r="B28" i="4"/>
  <c r="Q57" i="14"/>
  <c r="K57" i="14"/>
  <c r="B59" i="4"/>
  <c r="R49" i="14"/>
  <c r="L49" i="14"/>
  <c r="C51" i="4"/>
  <c r="Q225" i="14"/>
  <c r="K225" i="14"/>
  <c r="B212" i="4"/>
  <c r="R197" i="14"/>
  <c r="L197" i="14"/>
  <c r="C192" i="4"/>
  <c r="R13" i="14"/>
  <c r="Q32" i="14"/>
  <c r="K32" i="14"/>
  <c r="B34" i="4"/>
  <c r="R271" i="14"/>
  <c r="L271" i="14"/>
  <c r="C258" i="4"/>
  <c r="Q33" i="14"/>
  <c r="K33" i="14"/>
  <c r="B35" i="4"/>
  <c r="Q203" i="14"/>
  <c r="K203" i="14"/>
  <c r="B195" i="4"/>
  <c r="R117" i="14"/>
  <c r="L117" i="14"/>
  <c r="C119" i="4"/>
  <c r="R106" i="14"/>
  <c r="L106" i="14"/>
  <c r="C108" i="4"/>
  <c r="Q91" i="14"/>
  <c r="K91" i="14"/>
  <c r="B93" i="4"/>
  <c r="R116" i="14"/>
  <c r="L116" i="14"/>
  <c r="C118" i="4"/>
  <c r="R15" i="14"/>
  <c r="Q298" i="14"/>
  <c r="K298" i="14"/>
  <c r="B285" i="4"/>
  <c r="B180" i="4"/>
  <c r="K178" i="14"/>
  <c r="Q178" i="14"/>
  <c r="R227" i="14"/>
  <c r="L227" i="14"/>
  <c r="C214" i="4"/>
  <c r="Q228" i="14"/>
  <c r="K228" i="14"/>
  <c r="B215" i="4"/>
  <c r="C124" i="4"/>
  <c r="L122" i="14"/>
  <c r="R122" i="14"/>
  <c r="B27" i="4"/>
  <c r="K25" i="14"/>
  <c r="Q25" i="14"/>
  <c r="B32" i="4"/>
  <c r="K30" i="14"/>
  <c r="Q30" i="14"/>
  <c r="Q207" i="14"/>
  <c r="K207" i="14"/>
  <c r="B197" i="4"/>
  <c r="R31" i="14"/>
  <c r="L31" i="14"/>
  <c r="C33" i="4"/>
  <c r="R46" i="14"/>
  <c r="L46" i="14"/>
  <c r="C48" i="4"/>
  <c r="Q290" i="14"/>
  <c r="K290" i="14"/>
  <c r="B277" i="4"/>
  <c r="R255" i="14"/>
  <c r="L255" i="14"/>
  <c r="C242" i="4"/>
  <c r="R226" i="14"/>
  <c r="L226" i="14"/>
  <c r="C213" i="4"/>
  <c r="R140" i="14"/>
  <c r="L140" i="14"/>
  <c r="C142" i="4"/>
  <c r="R53" i="14"/>
  <c r="L53" i="14"/>
  <c r="C55" i="4"/>
  <c r="R275" i="14"/>
  <c r="L275" i="14"/>
  <c r="C262" i="4"/>
  <c r="R64" i="14"/>
  <c r="L64" i="14"/>
  <c r="C66" i="4"/>
  <c r="Q76" i="14"/>
  <c r="K76" i="14"/>
  <c r="B78" i="4"/>
  <c r="R265" i="14"/>
  <c r="L265" i="14"/>
  <c r="C252" i="4"/>
  <c r="Q220" i="14"/>
  <c r="K220" i="14"/>
  <c r="B207" i="4"/>
  <c r="R292" i="14"/>
  <c r="L292" i="14"/>
  <c r="C279" i="4"/>
  <c r="R249" i="14"/>
  <c r="L249" i="14"/>
  <c r="C236" i="4"/>
  <c r="Q106" i="14"/>
  <c r="K106" i="14"/>
  <c r="B108" i="4"/>
  <c r="Q211" i="14"/>
  <c r="K211" i="14"/>
  <c r="B199" i="4"/>
  <c r="Q121" i="14"/>
  <c r="K121" i="14"/>
  <c r="B123" i="4"/>
  <c r="R234" i="14"/>
  <c r="L234" i="14"/>
  <c r="C221" i="4"/>
  <c r="R267" i="14"/>
  <c r="L267" i="14"/>
  <c r="C254" i="4"/>
  <c r="Q18" i="14"/>
  <c r="K18" i="14"/>
  <c r="B20" i="4"/>
  <c r="Q15" i="14"/>
  <c r="R246" i="14"/>
  <c r="L246" i="14"/>
  <c r="C233" i="4"/>
  <c r="R5" i="14"/>
  <c r="Q247" i="14"/>
  <c r="K247" i="14"/>
  <c r="B234" i="4"/>
  <c r="R91" i="14"/>
  <c r="L91" i="14"/>
  <c r="C93" i="4"/>
  <c r="R138" i="14"/>
  <c r="L138" i="14"/>
  <c r="C140" i="4"/>
  <c r="R183" i="14"/>
  <c r="L183" i="14"/>
  <c r="C185" i="4"/>
  <c r="Q148" i="14"/>
  <c r="K148" i="14"/>
  <c r="B150" i="4"/>
  <c r="R83" i="14"/>
  <c r="L83" i="14"/>
  <c r="C85" i="4"/>
  <c r="Q71" i="14"/>
  <c r="K71" i="14"/>
  <c r="B73" i="4"/>
  <c r="Q54" i="14"/>
  <c r="K54" i="14"/>
  <c r="B56" i="4"/>
  <c r="Q246" i="14"/>
  <c r="K246" i="14"/>
  <c r="B233" i="4"/>
  <c r="Q160" i="14"/>
  <c r="K160" i="14"/>
  <c r="B162" i="4"/>
  <c r="Q153" i="14"/>
  <c r="K153" i="14"/>
  <c r="B155" i="4"/>
  <c r="R266" i="14"/>
  <c r="L266" i="14"/>
  <c r="C253" i="4"/>
  <c r="B63" i="4"/>
  <c r="K61" i="14"/>
  <c r="Q61" i="14"/>
  <c r="Q288" i="14"/>
  <c r="K288" i="14"/>
  <c r="B275" i="4"/>
  <c r="Q250" i="14"/>
  <c r="K250" i="14"/>
  <c r="B237" i="4"/>
  <c r="R84" i="14"/>
  <c r="L84" i="14"/>
  <c r="C86" i="4"/>
  <c r="R297" i="14"/>
  <c r="L297" i="14"/>
  <c r="C284" i="4"/>
  <c r="Q245" i="14"/>
  <c r="K245" i="14"/>
  <c r="B232" i="4"/>
  <c r="Q143" i="14"/>
  <c r="K143" i="14"/>
  <c r="B145" i="4"/>
  <c r="Q257" i="14"/>
  <c r="K257" i="14"/>
  <c r="B244" i="4"/>
  <c r="R157" i="14"/>
  <c r="L157" i="14"/>
  <c r="C159" i="4"/>
  <c r="Q238" i="14"/>
  <c r="K238" i="14"/>
  <c r="B225" i="4"/>
  <c r="Q243" i="14"/>
  <c r="K243" i="14"/>
  <c r="B230" i="4"/>
  <c r="R152" i="14"/>
  <c r="L152" i="14"/>
  <c r="C154" i="4"/>
  <c r="R45" i="14"/>
  <c r="L45" i="14"/>
  <c r="C47" i="4"/>
  <c r="Q84" i="14"/>
  <c r="K84" i="14"/>
  <c r="B86" i="4"/>
  <c r="Q42" i="14"/>
  <c r="K42" i="14"/>
  <c r="B44" i="4"/>
  <c r="R63" i="14"/>
  <c r="L63" i="14"/>
  <c r="C65" i="4"/>
  <c r="C206" i="4"/>
  <c r="L219" i="14"/>
  <c r="R219" i="14"/>
  <c r="C46" i="4"/>
  <c r="L44" i="14"/>
  <c r="R44" i="14"/>
  <c r="B29" i="4"/>
  <c r="K27" i="14"/>
  <c r="Q27" i="14"/>
  <c r="C218" i="4"/>
  <c r="L231" i="14"/>
  <c r="R231" i="14"/>
  <c r="R268" i="14"/>
  <c r="L268" i="14"/>
  <c r="C255" i="4"/>
  <c r="R261" i="14"/>
  <c r="L261" i="14"/>
  <c r="C248" i="4"/>
  <c r="Q70" i="14"/>
  <c r="K70" i="14"/>
  <c r="B72" i="4"/>
  <c r="B278" i="4"/>
  <c r="K291" i="14"/>
  <c r="Q291" i="14"/>
  <c r="R303" i="14"/>
  <c r="L303" i="14"/>
  <c r="C290" i="4"/>
  <c r="Q241" i="14"/>
  <c r="K241" i="14"/>
  <c r="B228" i="4"/>
  <c r="Q309" i="14"/>
  <c r="K309" i="14"/>
  <c r="B296" i="4"/>
  <c r="R307" i="14"/>
  <c r="L307" i="14"/>
  <c r="C294" i="4"/>
  <c r="Q151" i="14"/>
  <c r="K151" i="14"/>
  <c r="B153" i="4"/>
  <c r="Q142" i="14"/>
  <c r="K142" i="14"/>
  <c r="B144" i="4"/>
  <c r="R239" i="14"/>
  <c r="L239" i="14"/>
  <c r="C226" i="4"/>
  <c r="R137" i="14"/>
  <c r="L137" i="14"/>
  <c r="C139" i="4"/>
  <c r="Q29" i="14"/>
  <c r="K29" i="14"/>
  <c r="B31" i="4"/>
  <c r="R232" i="14"/>
  <c r="L232" i="14"/>
  <c r="C219" i="4"/>
  <c r="R124" i="14"/>
  <c r="L124" i="14"/>
  <c r="C126" i="4"/>
  <c r="Q221" i="14"/>
  <c r="K221" i="14"/>
  <c r="B208" i="4"/>
  <c r="R81" i="14"/>
  <c r="L81" i="14"/>
  <c r="C83" i="4"/>
  <c r="Q169" i="14"/>
  <c r="K169" i="14"/>
  <c r="B171" i="4"/>
  <c r="R189" i="14"/>
  <c r="L189" i="14"/>
  <c r="C188" i="4"/>
  <c r="Q98" i="14"/>
  <c r="K98" i="14"/>
  <c r="B100" i="4"/>
  <c r="R260" i="14"/>
  <c r="L260" i="14"/>
  <c r="C247" i="4"/>
  <c r="Q285" i="14"/>
  <c r="K285" i="14"/>
  <c r="B272" i="4"/>
  <c r="Q97" i="14"/>
  <c r="K97" i="14"/>
  <c r="B99" i="4"/>
  <c r="R142" i="14"/>
  <c r="L142" i="14"/>
  <c r="C144" i="4"/>
  <c r="Q174" i="14"/>
  <c r="K174" i="14"/>
  <c r="B176" i="4"/>
  <c r="R240" i="14"/>
  <c r="L240" i="14"/>
  <c r="C227" i="4"/>
  <c r="C208" i="4"/>
  <c r="L221" i="14"/>
  <c r="R221" i="14"/>
  <c r="Q242" i="14"/>
  <c r="K242" i="14"/>
  <c r="B229" i="4"/>
  <c r="Q251" i="14"/>
  <c r="K251" i="14"/>
  <c r="B238" i="4"/>
  <c r="Q284" i="14"/>
  <c r="K284" i="14"/>
  <c r="B271" i="4"/>
  <c r="R135" i="14"/>
  <c r="L135" i="14"/>
  <c r="C137" i="4"/>
  <c r="C104" i="4"/>
  <c r="L102" i="14"/>
  <c r="R102" i="14"/>
  <c r="Q122" i="14"/>
  <c r="K122" i="14"/>
  <c r="B124" i="4"/>
  <c r="Q8" i="14"/>
  <c r="Q304" i="14"/>
  <c r="K304" i="14"/>
  <c r="B291" i="4"/>
  <c r="R29" i="14"/>
  <c r="L29" i="14"/>
  <c r="C31" i="4"/>
  <c r="R279" i="14"/>
  <c r="L279" i="14"/>
  <c r="C266" i="4"/>
  <c r="Q60" i="14"/>
  <c r="K60" i="14"/>
  <c r="B62" i="4"/>
  <c r="Q168" i="14"/>
  <c r="K168" i="14"/>
  <c r="B170" i="4"/>
  <c r="R293" i="14"/>
  <c r="L293" i="14"/>
  <c r="C280" i="4"/>
  <c r="R8" i="14"/>
  <c r="Q286" i="14"/>
  <c r="K286" i="14"/>
  <c r="B273" i="4"/>
  <c r="Q43" i="14"/>
  <c r="K43" i="14"/>
  <c r="B45" i="4"/>
  <c r="R105" i="14"/>
  <c r="L105" i="14"/>
  <c r="C107" i="4"/>
  <c r="R229" i="14"/>
  <c r="L229" i="14"/>
  <c r="C216" i="4"/>
  <c r="R277" i="14"/>
  <c r="L277" i="14"/>
  <c r="C264" i="4"/>
  <c r="R47" i="14"/>
  <c r="L47" i="14"/>
  <c r="C49" i="4"/>
  <c r="R43" i="14"/>
  <c r="L43" i="14"/>
  <c r="C45" i="4"/>
  <c r="R248" i="14"/>
  <c r="L248" i="14"/>
  <c r="C235" i="4"/>
  <c r="Q64" i="14"/>
  <c r="K64" i="14"/>
  <c r="B66" i="4"/>
  <c r="Q50" i="14"/>
  <c r="K50" i="14"/>
  <c r="B52" i="4"/>
  <c r="Q269" i="14"/>
  <c r="K269" i="14"/>
  <c r="B256" i="4"/>
  <c r="R199" i="14"/>
  <c r="L199" i="14"/>
  <c r="C193" i="4"/>
  <c r="R289" i="14"/>
  <c r="L289" i="14"/>
  <c r="C276" i="4"/>
  <c r="R125" i="14"/>
  <c r="L125" i="14"/>
  <c r="C127" i="4"/>
  <c r="C96" i="4"/>
  <c r="L94" i="14"/>
  <c r="R94" i="14"/>
  <c r="Q139" i="14"/>
  <c r="K139" i="14"/>
  <c r="B141" i="4"/>
  <c r="Q116" i="14"/>
  <c r="K116" i="14"/>
  <c r="B118" i="4"/>
  <c r="Q77" i="14"/>
  <c r="K77" i="14"/>
  <c r="B79" i="4"/>
  <c r="Q294" i="14"/>
  <c r="K294" i="14"/>
  <c r="B281" i="4"/>
  <c r="Q83" i="14"/>
  <c r="K83" i="14"/>
  <c r="B85" i="4"/>
  <c r="R23" i="14"/>
  <c r="L23" i="14"/>
  <c r="C25" i="4"/>
  <c r="B134" i="4"/>
  <c r="K132" i="14"/>
  <c r="Q132" i="14"/>
  <c r="R35" i="14"/>
  <c r="L35" i="14"/>
  <c r="C37" i="4"/>
  <c r="Q162" i="14"/>
  <c r="K162" i="14"/>
  <c r="B164" i="4"/>
  <c r="Q95" i="14"/>
  <c r="K95" i="14"/>
  <c r="B97" i="4"/>
  <c r="R97" i="14"/>
  <c r="L97" i="14"/>
  <c r="C99" i="4"/>
  <c r="C74" i="4"/>
  <c r="L72" i="14"/>
  <c r="R72" i="14"/>
  <c r="Q7" i="14"/>
  <c r="Q193" i="14"/>
  <c r="K193" i="14"/>
  <c r="B190" i="4"/>
  <c r="Q260" i="14"/>
  <c r="K260" i="14"/>
  <c r="B247" i="4"/>
  <c r="Q123" i="14"/>
  <c r="K123" i="14"/>
  <c r="B125" i="4"/>
  <c r="Q52" i="14"/>
  <c r="K52" i="14"/>
  <c r="B54" i="4"/>
  <c r="Q282" i="14"/>
  <c r="K282" i="14"/>
  <c r="B269" i="4"/>
  <c r="Q182" i="14"/>
  <c r="K182" i="14"/>
  <c r="B184" i="4"/>
  <c r="R218" i="14"/>
  <c r="L218" i="14"/>
  <c r="C205" i="4"/>
  <c r="Q287" i="14"/>
  <c r="K287" i="14"/>
  <c r="B274" i="4"/>
  <c r="R281" i="14"/>
  <c r="L281" i="14"/>
  <c r="C268" i="4"/>
  <c r="R74" i="14"/>
  <c r="L74" i="14"/>
  <c r="C76" i="4"/>
  <c r="Q73" i="14"/>
  <c r="K73" i="14"/>
  <c r="B75" i="4"/>
  <c r="R181" i="14"/>
  <c r="L181" i="14"/>
  <c r="C183" i="4"/>
  <c r="R287" i="14"/>
  <c r="L287" i="14"/>
  <c r="C274" i="4"/>
  <c r="Q216" i="14"/>
  <c r="K216" i="14"/>
  <c r="B203" i="4"/>
  <c r="Q189" i="14"/>
  <c r="K189" i="14"/>
  <c r="B188" i="4"/>
  <c r="R263" i="14"/>
  <c r="L263" i="14"/>
  <c r="C250" i="4"/>
  <c r="R50" i="14"/>
  <c r="L50" i="14"/>
  <c r="C52" i="4"/>
  <c r="R235" i="14"/>
  <c r="L235" i="14"/>
  <c r="C222" i="4"/>
  <c r="Q150" i="14"/>
  <c r="K150" i="14"/>
  <c r="B152" i="4"/>
  <c r="R25" i="14"/>
  <c r="L25" i="14"/>
  <c r="C27" i="4"/>
  <c r="Q199" i="14"/>
  <c r="K199" i="14"/>
  <c r="B193" i="4"/>
  <c r="R151" i="14"/>
  <c r="L151" i="14"/>
  <c r="C153" i="4"/>
  <c r="Q24" i="14"/>
  <c r="K24" i="14"/>
  <c r="B26" i="4"/>
  <c r="C121" i="4"/>
  <c r="L119" i="14"/>
  <c r="R119" i="14"/>
  <c r="Q81" i="14"/>
  <c r="K81" i="14"/>
  <c r="B83" i="4"/>
  <c r="C241" i="4"/>
  <c r="L254" i="14"/>
  <c r="R254" i="14"/>
  <c r="C143" i="4"/>
  <c r="L141" i="14"/>
  <c r="R141" i="14"/>
  <c r="Q244" i="14"/>
  <c r="K244" i="14"/>
  <c r="B231" i="4"/>
  <c r="R101" i="14"/>
  <c r="L101" i="14"/>
  <c r="C103" i="4"/>
  <c r="R296" i="14"/>
  <c r="L296" i="14"/>
  <c r="C283" i="4"/>
  <c r="Q167" i="14"/>
  <c r="K167" i="14"/>
  <c r="B169" i="4"/>
  <c r="R67" i="14"/>
  <c r="L67" i="14"/>
  <c r="C69" i="4"/>
  <c r="Q118" i="14"/>
  <c r="K118" i="14"/>
  <c r="B120" i="4"/>
  <c r="Q267" i="14"/>
  <c r="K267" i="14"/>
  <c r="B254" i="4"/>
  <c r="R167" i="14"/>
  <c r="L167" i="14"/>
  <c r="C169" i="4"/>
  <c r="C67" i="4"/>
  <c r="L65" i="14"/>
  <c r="R65" i="14"/>
  <c r="R87" i="14"/>
  <c r="L87" i="14"/>
  <c r="C89" i="4"/>
  <c r="B30" i="4"/>
  <c r="K28" i="14"/>
  <c r="Q28" i="14"/>
  <c r="Q311" i="14"/>
  <c r="K311" i="14"/>
  <c r="B298" i="4"/>
  <c r="Q157" i="14"/>
  <c r="K157" i="14"/>
  <c r="B159" i="4"/>
  <c r="Q262" i="14"/>
  <c r="K262" i="14"/>
  <c r="B249" i="4"/>
  <c r="R22" i="14"/>
  <c r="L22" i="14"/>
  <c r="C24" i="4"/>
  <c r="R34" i="14"/>
  <c r="L34" i="14"/>
  <c r="C36" i="4"/>
  <c r="Q302" i="14"/>
  <c r="K302" i="14"/>
  <c r="B289" i="4"/>
  <c r="R174" i="14"/>
  <c r="L174" i="14"/>
  <c r="C176" i="4"/>
  <c r="R170" i="14"/>
  <c r="L170" i="14"/>
  <c r="C172" i="4"/>
  <c r="R60" i="14"/>
  <c r="L60" i="14"/>
  <c r="C62" i="4"/>
  <c r="Q170" i="14"/>
  <c r="K170" i="14"/>
  <c r="B172" i="4"/>
  <c r="R98" i="14"/>
  <c r="L98" i="14"/>
  <c r="C100" i="4"/>
  <c r="R89" i="14"/>
  <c r="L89" i="14"/>
  <c r="C91" i="4"/>
  <c r="Q23" i="14"/>
  <c r="K23" i="14"/>
  <c r="B25" i="4"/>
  <c r="R86" i="14"/>
  <c r="L86" i="14"/>
  <c r="C88" i="4"/>
  <c r="Q179" i="14"/>
  <c r="K179" i="14"/>
  <c r="B181" i="4"/>
  <c r="R172" i="14"/>
  <c r="L172" i="14"/>
  <c r="C174" i="4"/>
  <c r="R92" i="14"/>
  <c r="L92" i="14"/>
  <c r="C94" i="4"/>
  <c r="R215" i="14"/>
  <c r="L215" i="14"/>
  <c r="C202" i="4"/>
  <c r="Q48" i="14"/>
  <c r="K48" i="14"/>
  <c r="B50" i="4"/>
  <c r="R182" i="14"/>
  <c r="L182" i="14"/>
  <c r="C184" i="4"/>
  <c r="R143" i="14"/>
  <c r="L143" i="14"/>
  <c r="C145" i="4"/>
  <c r="R59" i="14"/>
  <c r="L59" i="14"/>
  <c r="C61" i="4"/>
  <c r="R153" i="14"/>
  <c r="L153" i="14"/>
  <c r="C155" i="4"/>
  <c r="R10" i="14"/>
  <c r="R177" i="14"/>
  <c r="L177" i="14"/>
  <c r="C179" i="4"/>
  <c r="R9" i="14"/>
  <c r="Q35" i="14"/>
  <c r="K35" i="14"/>
  <c r="B37" i="4"/>
  <c r="Q163" i="14"/>
  <c r="K163" i="14"/>
  <c r="B165" i="4"/>
  <c r="Q183" i="14"/>
  <c r="K183" i="14"/>
  <c r="B185" i="4"/>
  <c r="Q38" i="14"/>
  <c r="K38" i="14"/>
  <c r="B40" i="4"/>
  <c r="Q108" i="14"/>
  <c r="K108" i="14"/>
  <c r="B110" i="4"/>
  <c r="Q21" i="14"/>
  <c r="K21" i="14"/>
  <c r="B23" i="4"/>
  <c r="R73" i="14"/>
  <c r="L73" i="14"/>
  <c r="C75" i="4"/>
  <c r="Q59" i="14"/>
  <c r="K59" i="14"/>
  <c r="B61" i="4"/>
  <c r="R107" i="14"/>
  <c r="L107" i="14"/>
  <c r="C109" i="4"/>
  <c r="Q146" i="14"/>
  <c r="K146" i="14"/>
  <c r="B148" i="4"/>
  <c r="Q103" i="14"/>
  <c r="K103" i="14"/>
  <c r="B105" i="4"/>
  <c r="R193" i="14"/>
  <c r="L193" i="14"/>
  <c r="C190" i="4"/>
  <c r="Q224" i="14"/>
  <c r="K224" i="14"/>
  <c r="B211" i="4"/>
  <c r="Q133" i="14"/>
  <c r="K133" i="14"/>
  <c r="B135" i="4"/>
  <c r="R100" i="14"/>
  <c r="L100" i="14"/>
  <c r="C102" i="4"/>
  <c r="Q236" i="14"/>
  <c r="K236" i="14"/>
  <c r="B223" i="4"/>
  <c r="R312" i="14"/>
  <c r="L312" i="14"/>
  <c r="C299" i="4"/>
  <c r="Q34" i="14"/>
  <c r="K34" i="14"/>
  <c r="B36" i="4"/>
  <c r="R69" i="14"/>
  <c r="L69" i="14"/>
  <c r="C71" i="4"/>
  <c r="Q249" i="14"/>
  <c r="K249" i="14"/>
  <c r="B236" i="4"/>
  <c r="Q46" i="14"/>
  <c r="K46" i="14"/>
  <c r="B48" i="4"/>
  <c r="Q159" i="14"/>
  <c r="K159" i="14"/>
  <c r="B161" i="4"/>
  <c r="R176" i="14"/>
  <c r="L176" i="14"/>
  <c r="C178" i="4"/>
  <c r="Q111" i="14"/>
  <c r="K111" i="14"/>
  <c r="B113" i="4"/>
  <c r="Q222" i="14"/>
  <c r="K222" i="14"/>
  <c r="B209" i="4"/>
  <c r="Q4" i="14"/>
  <c r="Q176" i="14"/>
  <c r="K176" i="14"/>
  <c r="B178" i="4"/>
  <c r="Q280" i="14"/>
  <c r="K280" i="14"/>
  <c r="B267" i="4"/>
  <c r="Q187" i="14"/>
  <c r="K187" i="14"/>
  <c r="B187" i="4"/>
  <c r="Q240" i="14"/>
  <c r="K240" i="14"/>
  <c r="B227" i="4"/>
  <c r="Q82" i="14"/>
  <c r="K82" i="14"/>
  <c r="B84" i="4"/>
  <c r="R79" i="14"/>
  <c r="L79" i="14"/>
  <c r="C81" i="4"/>
  <c r="R51" i="14"/>
  <c r="L51" i="14"/>
  <c r="C53" i="4"/>
  <c r="R55" i="14"/>
  <c r="L55" i="14"/>
  <c r="C57" i="4"/>
  <c r="Q65" i="14"/>
  <c r="K65" i="14"/>
  <c r="B67" i="4"/>
  <c r="Q305" i="14"/>
  <c r="K305" i="14"/>
  <c r="B292" i="4"/>
  <c r="Q263" i="14"/>
  <c r="K263" i="14"/>
  <c r="B250" i="4"/>
  <c r="Q253" i="14"/>
  <c r="K253" i="14"/>
  <c r="B240" i="4"/>
  <c r="R306" i="14"/>
  <c r="L306" i="14"/>
  <c r="C293" i="4"/>
  <c r="R274" i="14"/>
  <c r="L274" i="14"/>
  <c r="C261" i="4"/>
  <c r="Q87" i="14"/>
  <c r="K87" i="14"/>
  <c r="B89" i="4"/>
  <c r="R217" i="14"/>
  <c r="L217" i="14"/>
  <c r="C204" i="4"/>
  <c r="R133" i="14"/>
  <c r="L133" i="14"/>
  <c r="C135" i="4"/>
  <c r="Q135" i="14"/>
  <c r="K135" i="14"/>
  <c r="B137" i="4"/>
  <c r="B46" i="4"/>
  <c r="K44" i="14"/>
  <c r="Q44" i="14"/>
  <c r="Q141" i="14"/>
  <c r="K141" i="14"/>
  <c r="B143" i="4"/>
  <c r="R175" i="14"/>
  <c r="L175" i="14"/>
  <c r="C177" i="4"/>
  <c r="R270" i="14"/>
  <c r="L270" i="14"/>
  <c r="C257" i="4"/>
  <c r="B192" i="4"/>
  <c r="K197" i="14"/>
  <c r="Q197" i="14"/>
  <c r="Q254" i="14"/>
  <c r="K254" i="14"/>
  <c r="B241" i="4"/>
  <c r="R139" i="14"/>
  <c r="L139" i="14"/>
  <c r="C141" i="4"/>
  <c r="Q289" i="14"/>
  <c r="K289" i="14"/>
  <c r="B276" i="4"/>
  <c r="Q255" i="14"/>
  <c r="K255" i="14"/>
  <c r="B242" i="4"/>
  <c r="R285" i="14"/>
  <c r="L285" i="14"/>
  <c r="C272" i="4"/>
  <c r="R305" i="14"/>
  <c r="L305" i="14"/>
  <c r="C292" i="4"/>
  <c r="Q16" i="14"/>
  <c r="R245" i="14"/>
  <c r="L245" i="14"/>
  <c r="C232" i="4"/>
  <c r="Q140" i="14"/>
  <c r="K140" i="14"/>
  <c r="B142" i="4"/>
  <c r="Q10" i="14"/>
  <c r="R95" i="14"/>
  <c r="L95" i="14"/>
  <c r="C97" i="4"/>
  <c r="R70" i="14"/>
  <c r="L70" i="14"/>
  <c r="C72" i="4"/>
  <c r="Q120" i="14"/>
  <c r="K120" i="14"/>
  <c r="B122" i="4"/>
  <c r="Q308" i="14"/>
  <c r="K308" i="14"/>
  <c r="B295" i="4"/>
  <c r="Q145" i="14"/>
  <c r="K145" i="14"/>
  <c r="B147" i="4"/>
  <c r="Q296" i="14"/>
  <c r="K296" i="14"/>
  <c r="B283" i="4"/>
  <c r="R257" i="14"/>
  <c r="L257" i="14"/>
  <c r="C244" i="4"/>
  <c r="R62" i="14"/>
  <c r="L62" i="14"/>
  <c r="C64" i="4"/>
  <c r="Q155" i="14"/>
  <c r="K155" i="14"/>
  <c r="B157" i="4"/>
  <c r="R291" i="14"/>
  <c r="L291" i="14"/>
  <c r="C278" i="4"/>
  <c r="R280" i="14"/>
  <c r="L280" i="14"/>
  <c r="C267" i="4"/>
  <c r="R264" i="14"/>
  <c r="L264" i="14"/>
  <c r="C251" i="4"/>
  <c r="R179" i="14"/>
  <c r="L179" i="14"/>
  <c r="C181" i="4"/>
  <c r="R238" i="14"/>
  <c r="L238" i="14"/>
  <c r="C225" i="4"/>
  <c r="R187" i="14"/>
  <c r="L187" i="14"/>
  <c r="C187" i="4"/>
  <c r="R220" i="14"/>
  <c r="L220" i="14"/>
  <c r="C207" i="4"/>
  <c r="Q297" i="14"/>
  <c r="K297" i="14"/>
  <c r="B284" i="4"/>
  <c r="R129" i="14"/>
  <c r="L129" i="14"/>
  <c r="C131" i="4"/>
  <c r="Q213" i="14"/>
  <c r="K213" i="14"/>
  <c r="B200" i="4"/>
  <c r="Q180" i="14"/>
  <c r="K180" i="14"/>
  <c r="B182" i="4"/>
  <c r="Q137" i="14"/>
  <c r="K137" i="14"/>
  <c r="B139" i="4"/>
  <c r="R103" i="14"/>
  <c r="L103" i="14"/>
  <c r="C105" i="4"/>
  <c r="Q58" i="14"/>
  <c r="K58" i="14"/>
  <c r="B60" i="4"/>
  <c r="R146" i="14"/>
  <c r="L146" i="14"/>
  <c r="C148" i="4"/>
  <c r="Q278" i="14"/>
  <c r="K278" i="14"/>
  <c r="B265" i="4"/>
  <c r="Q274" i="14"/>
  <c r="K274" i="14"/>
  <c r="B261" i="4"/>
  <c r="R109" i="14"/>
  <c r="L109" i="14"/>
  <c r="C111" i="4"/>
  <c r="Q279" i="14"/>
  <c r="K279" i="14"/>
  <c r="B266" i="4"/>
  <c r="Q114" i="14"/>
  <c r="K114" i="14"/>
  <c r="B116" i="4"/>
  <c r="R128" i="14"/>
  <c r="L128" i="14"/>
  <c r="C130" i="4"/>
  <c r="R159" i="14"/>
  <c r="L159" i="14"/>
  <c r="C161" i="4"/>
  <c r="Q173" i="14"/>
  <c r="K173" i="14"/>
  <c r="B175" i="4"/>
  <c r="Q39" i="14"/>
  <c r="K39" i="14"/>
  <c r="B41" i="4"/>
  <c r="Q272" i="14"/>
  <c r="K272" i="14"/>
  <c r="B259" i="4"/>
  <c r="Q72" i="14"/>
  <c r="K72" i="14"/>
  <c r="B74" i="4"/>
  <c r="Q161" i="14"/>
  <c r="K161" i="14"/>
  <c r="B163" i="4"/>
  <c r="R82" i="14"/>
  <c r="L82" i="14"/>
  <c r="C84" i="4"/>
  <c r="R253" i="14"/>
  <c r="L253" i="14"/>
  <c r="C240" i="4"/>
  <c r="Q86" i="14"/>
  <c r="K86" i="14"/>
  <c r="B88" i="4"/>
  <c r="Q239" i="14"/>
  <c r="K239" i="14"/>
  <c r="B226" i="4"/>
  <c r="Q14" i="14"/>
  <c r="R247" i="14"/>
  <c r="L247" i="14"/>
  <c r="C234" i="4"/>
  <c r="Q80" i="14"/>
  <c r="K80" i="14"/>
  <c r="B82" i="4"/>
  <c r="Q229" i="14"/>
  <c r="K229" i="14"/>
  <c r="B216" i="4"/>
  <c r="R145" i="14"/>
  <c r="L145" i="14"/>
  <c r="C147" i="4"/>
  <c r="R150" i="14"/>
  <c r="L150" i="14"/>
  <c r="C152" i="4"/>
  <c r="Q56" i="14"/>
  <c r="K56" i="14"/>
  <c r="B58" i="4"/>
  <c r="R286" i="14"/>
  <c r="L286" i="14"/>
  <c r="C273" i="4"/>
  <c r="R309" i="14"/>
  <c r="L309" i="14"/>
  <c r="C296" i="4"/>
  <c r="R36" i="14"/>
  <c r="L36" i="14"/>
  <c r="C38" i="4"/>
  <c r="Q265" i="14"/>
  <c r="K265" i="14"/>
  <c r="B252" i="4"/>
  <c r="Q51" i="14"/>
  <c r="K51" i="14"/>
  <c r="B53" i="4"/>
  <c r="Q89" i="14"/>
  <c r="K89" i="14"/>
  <c r="B91" i="4"/>
  <c r="Q144" i="14"/>
  <c r="K144" i="14"/>
  <c r="B146" i="4"/>
  <c r="Q19" i="14"/>
  <c r="K19" i="14"/>
  <c r="B21" i="4"/>
  <c r="Q47" i="14"/>
  <c r="K47" i="14"/>
  <c r="B49" i="4"/>
  <c r="R155" i="14"/>
  <c r="L155" i="14"/>
  <c r="C157" i="4"/>
  <c r="R299" i="14"/>
  <c r="L299" i="14"/>
  <c r="C286" i="4"/>
  <c r="R205" i="14"/>
  <c r="L205" i="14"/>
  <c r="C196" i="4"/>
  <c r="Q233" i="14"/>
  <c r="K233" i="14"/>
  <c r="B220" i="4"/>
  <c r="Q164" i="14"/>
  <c r="K164" i="14"/>
  <c r="B166" i="4"/>
  <c r="R165" i="14"/>
  <c r="L165" i="14"/>
  <c r="C167" i="4"/>
  <c r="Q281" i="14"/>
  <c r="K281" i="14"/>
  <c r="B268" i="4"/>
  <c r="R222" i="14"/>
  <c r="L222" i="14"/>
  <c r="C209" i="4"/>
  <c r="Q276" i="14"/>
  <c r="K276" i="14"/>
  <c r="B263" i="4"/>
  <c r="Q237" i="14"/>
  <c r="K237" i="14"/>
  <c r="B224" i="4"/>
  <c r="R180" i="14"/>
  <c r="L180" i="14"/>
  <c r="C182" i="4"/>
  <c r="R164" i="14"/>
  <c r="L164" i="14"/>
  <c r="C166" i="4"/>
  <c r="Q166" i="14"/>
  <c r="K166" i="14"/>
  <c r="B168" i="4"/>
  <c r="R160" i="14"/>
  <c r="L160" i="14"/>
  <c r="C162" i="4"/>
  <c r="Q101" i="14"/>
  <c r="K101" i="14"/>
  <c r="B103" i="4"/>
  <c r="R213" i="14"/>
  <c r="L213" i="14"/>
  <c r="C200" i="4"/>
  <c r="R75" i="14"/>
  <c r="L75" i="14"/>
  <c r="C77" i="4"/>
  <c r="R214" i="14"/>
  <c r="L214" i="14"/>
  <c r="C201" i="4"/>
  <c r="Q75" i="14"/>
  <c r="K75" i="14"/>
  <c r="B77" i="4"/>
  <c r="Q138" i="14"/>
  <c r="K138" i="14"/>
  <c r="B140" i="4"/>
  <c r="R163" i="14"/>
  <c r="L163" i="14"/>
  <c r="C165" i="4"/>
  <c r="Q270" i="14"/>
  <c r="K270" i="14"/>
  <c r="B257" i="4"/>
  <c r="R278" i="14"/>
  <c r="L278" i="14"/>
  <c r="C265" i="4"/>
  <c r="R298" i="14"/>
  <c r="L298" i="14"/>
  <c r="C285" i="4"/>
  <c r="Q110" i="14"/>
  <c r="K110" i="14"/>
  <c r="B112" i="4"/>
  <c r="R301" i="14"/>
  <c r="L301" i="14"/>
  <c r="C288" i="4"/>
  <c r="Q45" i="14"/>
  <c r="K45" i="14"/>
  <c r="B47" i="4"/>
  <c r="Q17" i="14"/>
  <c r="R203" i="14"/>
  <c r="L203" i="14"/>
  <c r="C195" i="4"/>
  <c r="Q300" i="14"/>
  <c r="K300" i="14"/>
  <c r="B287" i="4"/>
  <c r="Q310" i="14"/>
  <c r="K310" i="14"/>
  <c r="B297" i="4"/>
  <c r="R236" i="14"/>
  <c r="L236" i="14"/>
  <c r="C223" i="4"/>
  <c r="R56" i="14"/>
  <c r="L56" i="14"/>
  <c r="C58" i="4"/>
  <c r="Q307" i="14"/>
  <c r="K307" i="14"/>
  <c r="B294" i="4"/>
  <c r="Q129" i="14"/>
  <c r="K129" i="14"/>
  <c r="B131" i="4"/>
  <c r="R224" i="14"/>
  <c r="L224" i="14"/>
  <c r="C211" i="4"/>
  <c r="Q53" i="14"/>
  <c r="K53" i="14"/>
  <c r="B55" i="4"/>
  <c r="Q66" i="14"/>
  <c r="K66" i="14"/>
  <c r="B68" i="4"/>
  <c r="R295" i="14"/>
  <c r="L295" i="14"/>
  <c r="C282" i="4"/>
  <c r="R57" i="14"/>
  <c r="L57" i="14"/>
  <c r="C59" i="4"/>
  <c r="R99" i="14"/>
  <c r="L99" i="14"/>
  <c r="C101" i="4"/>
  <c r="R104" i="14"/>
  <c r="L104" i="14"/>
  <c r="C106" i="4"/>
  <c r="Q79" i="14"/>
  <c r="K79" i="14"/>
  <c r="B81" i="4"/>
  <c r="R120" i="14"/>
  <c r="L120" i="14"/>
  <c r="C122" i="4"/>
  <c r="R134" i="14"/>
  <c r="L134" i="14"/>
  <c r="C136" i="4"/>
  <c r="R276" i="14"/>
  <c r="L276" i="14"/>
  <c r="C263" i="4"/>
  <c r="Q93" i="14"/>
  <c r="K93" i="14"/>
  <c r="B95" i="4"/>
  <c r="R71" i="14"/>
  <c r="L71" i="14"/>
  <c r="C73" i="4"/>
  <c r="Q13" i="14"/>
  <c r="Q226" i="14"/>
  <c r="K226" i="14"/>
  <c r="B213" i="4"/>
  <c r="R272" i="14"/>
  <c r="L272" i="14"/>
  <c r="C259" i="4"/>
  <c r="Q136" i="14"/>
  <c r="K136" i="14"/>
  <c r="B138" i="4"/>
  <c r="Q218" i="14"/>
  <c r="K218" i="14"/>
  <c r="B205" i="4"/>
  <c r="R132" i="14"/>
  <c r="L132" i="14"/>
  <c r="C134" i="4"/>
  <c r="Q306" i="14"/>
  <c r="K306" i="14"/>
  <c r="B293" i="4"/>
  <c r="B264" i="4"/>
  <c r="K277" i="14"/>
  <c r="Q277" i="14"/>
  <c r="R273" i="14"/>
  <c r="L273" i="14"/>
  <c r="C260" i="4"/>
  <c r="R96" i="14"/>
  <c r="L96" i="14"/>
  <c r="C98" i="4"/>
  <c r="R156" i="14"/>
  <c r="L156" i="14"/>
  <c r="C158" i="4"/>
  <c r="R130" i="14"/>
  <c r="L130" i="14"/>
  <c r="C132" i="4"/>
  <c r="Q49" i="14"/>
  <c r="K49" i="14"/>
  <c r="B51" i="4"/>
  <c r="R310" i="14"/>
  <c r="L310" i="14"/>
  <c r="C297" i="4"/>
  <c r="Q195" i="14"/>
  <c r="K195" i="14"/>
  <c r="B191" i="4"/>
  <c r="R169" i="14"/>
  <c r="L169" i="14"/>
  <c r="C171" i="4"/>
  <c r="Q268" i="14"/>
  <c r="K268" i="14"/>
  <c r="B255" i="4"/>
  <c r="R269" i="14"/>
  <c r="L269" i="14"/>
  <c r="C256" i="4"/>
  <c r="Q219" i="14"/>
  <c r="K219" i="14"/>
  <c r="B206" i="4"/>
  <c r="R223" i="14"/>
  <c r="L223" i="14"/>
  <c r="C210" i="4"/>
  <c r="R158" i="14"/>
  <c r="L158" i="14"/>
  <c r="C160" i="4"/>
  <c r="B214" i="4"/>
  <c r="K227" i="14"/>
  <c r="Q227" i="14"/>
  <c r="R21" i="14"/>
  <c r="L21" i="14"/>
  <c r="C23" i="4"/>
  <c r="R252" i="14"/>
  <c r="L252" i="14"/>
  <c r="C239" i="4"/>
  <c r="Q299" i="14"/>
  <c r="K299" i="14"/>
  <c r="B286" i="4"/>
  <c r="R68" i="14"/>
  <c r="L68" i="14"/>
  <c r="C70" i="4"/>
  <c r="R308" i="14"/>
  <c r="L308" i="14"/>
  <c r="C295" i="4"/>
  <c r="B177" i="4"/>
  <c r="K175" i="14"/>
  <c r="Q175" i="14"/>
  <c r="R90" i="14"/>
  <c r="L90" i="14"/>
  <c r="C92" i="4"/>
  <c r="R300" i="14"/>
  <c r="L300" i="14"/>
  <c r="C287" i="4"/>
  <c r="R32" i="14"/>
  <c r="L32" i="14"/>
  <c r="C34" i="4"/>
  <c r="R178" i="14"/>
  <c r="L178" i="14"/>
  <c r="C180" i="4"/>
  <c r="Q181" i="14"/>
  <c r="K181" i="14"/>
  <c r="B183" i="4"/>
  <c r="R258" i="14"/>
  <c r="L258" i="14"/>
  <c r="C245" i="4"/>
  <c r="Q230" i="14"/>
  <c r="K230" i="14"/>
  <c r="B217" i="4"/>
  <c r="B279" i="4"/>
  <c r="K292" i="14"/>
  <c r="Q292" i="14"/>
  <c r="R61" i="14"/>
  <c r="L61" i="14"/>
  <c r="C63" i="4"/>
  <c r="Q62" i="14"/>
  <c r="K62" i="14"/>
  <c r="B64" i="4"/>
  <c r="Q105" i="14"/>
  <c r="K105" i="14"/>
  <c r="B107" i="4"/>
  <c r="R154" i="14"/>
  <c r="L154" i="14"/>
  <c r="C156" i="4"/>
  <c r="R111" i="14"/>
  <c r="L111" i="14"/>
  <c r="C113" i="4"/>
  <c r="R185" i="14"/>
  <c r="L185" i="14"/>
  <c r="C186" i="4"/>
  <c r="Q131" i="14"/>
  <c r="K131" i="14"/>
  <c r="B133" i="4"/>
  <c r="R211" i="14"/>
  <c r="L211" i="14"/>
  <c r="C199" i="4"/>
  <c r="R76" i="14"/>
  <c r="L76" i="14"/>
  <c r="C78" i="4"/>
  <c r="R282" i="14"/>
  <c r="L282" i="14"/>
  <c r="C269" i="4"/>
  <c r="R244" i="14"/>
  <c r="L244" i="14"/>
  <c r="C231" i="4"/>
  <c r="Q92" i="14"/>
  <c r="K92" i="14"/>
  <c r="B94" i="4"/>
  <c r="Q248" i="14"/>
  <c r="K248" i="14"/>
  <c r="B235" i="4"/>
  <c r="Q20" i="14"/>
  <c r="K20" i="14"/>
  <c r="B22" i="4"/>
  <c r="Q172" i="14"/>
  <c r="K172" i="14"/>
  <c r="B174" i="4"/>
  <c r="R207" i="14"/>
  <c r="L207" i="14"/>
  <c r="C197" i="4"/>
  <c r="Q215" i="14"/>
  <c r="K215" i="14"/>
  <c r="B202" i="4"/>
  <c r="Q214" i="14"/>
  <c r="K214" i="14"/>
  <c r="B201" i="4"/>
  <c r="R230" i="14"/>
  <c r="L230" i="14"/>
  <c r="C217" i="4"/>
  <c r="Q119" i="14"/>
  <c r="K119" i="14"/>
  <c r="B121" i="4"/>
  <c r="R12" i="14"/>
  <c r="Q234" i="14"/>
  <c r="K234" i="14"/>
  <c r="B221" i="4"/>
  <c r="R52" i="14"/>
  <c r="L52" i="14"/>
  <c r="C54" i="4"/>
  <c r="Q31" i="14"/>
  <c r="K31" i="14"/>
  <c r="B33" i="4"/>
  <c r="R262" i="14"/>
  <c r="L262" i="14"/>
  <c r="C249" i="4"/>
  <c r="Q107" i="14"/>
  <c r="K107" i="14"/>
  <c r="B109" i="4"/>
  <c r="R251" i="14"/>
  <c r="L251" i="14"/>
  <c r="C238" i="4"/>
  <c r="R283" i="14"/>
  <c r="L283" i="14"/>
  <c r="C270" i="4"/>
  <c r="R162" i="14"/>
  <c r="L162" i="14"/>
  <c r="C164" i="4"/>
  <c r="Q22" i="14"/>
  <c r="K22" i="14"/>
  <c r="B24" i="4"/>
  <c r="Q102" i="14"/>
  <c r="K102" i="14"/>
  <c r="B104" i="4"/>
  <c r="Q63" i="14"/>
  <c r="K63" i="14"/>
  <c r="B65" i="4"/>
  <c r="Q109" i="14"/>
  <c r="K109" i="14"/>
  <c r="B111" i="4"/>
  <c r="Q74" i="14"/>
  <c r="K74" i="14"/>
  <c r="B76" i="4"/>
  <c r="Q99" i="14"/>
  <c r="K99" i="14"/>
  <c r="B101" i="4"/>
  <c r="R28" i="14"/>
  <c r="L28" i="14"/>
  <c r="C30" i="4"/>
  <c r="Q117" i="14"/>
  <c r="K117" i="14"/>
  <c r="B119" i="4"/>
  <c r="Q301" i="14"/>
  <c r="K301" i="14"/>
  <c r="B288" i="4"/>
  <c r="R304" i="14"/>
  <c r="L304" i="14"/>
  <c r="C291" i="4"/>
  <c r="R233" i="14"/>
  <c r="L233" i="14"/>
  <c r="C220" i="4"/>
  <c r="R114" i="14"/>
  <c r="L114" i="14"/>
  <c r="C116" i="4"/>
  <c r="R118" i="14"/>
  <c r="L118" i="14"/>
  <c r="C120" i="4"/>
  <c r="Q235" i="14"/>
  <c r="K235" i="14"/>
  <c r="B222" i="4"/>
</calcChain>
</file>

<file path=xl/sharedStrings.xml><?xml version="1.0" encoding="utf-8"?>
<sst xmlns="http://schemas.openxmlformats.org/spreadsheetml/2006/main" count="895" uniqueCount="97">
  <si>
    <t>Sample Descriptions</t>
  </si>
  <si>
    <t>Well Name</t>
  </si>
  <si>
    <t>Depth (mMD)</t>
  </si>
  <si>
    <t>% Sandstone</t>
  </si>
  <si>
    <t>Grain Size</t>
  </si>
  <si>
    <t>Max Grain Size</t>
  </si>
  <si>
    <t>% Fluor</t>
  </si>
  <si>
    <t>Brightness</t>
  </si>
  <si>
    <t>Gas (U)</t>
  </si>
  <si>
    <t>FeCO3 in SLTST</t>
  </si>
  <si>
    <t>FeCO3 in SST</t>
  </si>
  <si>
    <t>Date</t>
  </si>
  <si>
    <t>Time</t>
  </si>
  <si>
    <t>Short Hand</t>
  </si>
  <si>
    <t>Teringie_6_ops</t>
  </si>
  <si>
    <t>vf-f</t>
  </si>
  <si>
    <t>F</t>
  </si>
  <si>
    <t>mnr</t>
  </si>
  <si>
    <t>f</t>
  </si>
  <si>
    <t>fine</t>
  </si>
  <si>
    <t>vf-f, tr med</t>
  </si>
  <si>
    <t>M</t>
  </si>
  <si>
    <t>med</t>
  </si>
  <si>
    <t>medium</t>
  </si>
  <si>
    <t>crs</t>
  </si>
  <si>
    <t>coarse</t>
  </si>
  <si>
    <t>vf, occ f</t>
  </si>
  <si>
    <t>tr</t>
  </si>
  <si>
    <t>v</t>
  </si>
  <si>
    <t>very</t>
  </si>
  <si>
    <t>-</t>
  </si>
  <si>
    <t xml:space="preserve"> to </t>
  </si>
  <si>
    <t>Tr</t>
  </si>
  <si>
    <t>occ</t>
  </si>
  <si>
    <t>occasional</t>
  </si>
  <si>
    <t>pl-mod bri</t>
  </si>
  <si>
    <t>minor</t>
  </si>
  <si>
    <t>rr</t>
  </si>
  <si>
    <t>rare</t>
  </si>
  <si>
    <t>trace</t>
  </si>
  <si>
    <t>vff-f</t>
  </si>
  <si>
    <t>mod</t>
  </si>
  <si>
    <t>moderately</t>
  </si>
  <si>
    <t>vf-med, tr crs-v crs</t>
  </si>
  <si>
    <t>C</t>
  </si>
  <si>
    <t>mod bri</t>
  </si>
  <si>
    <t>bri</t>
  </si>
  <si>
    <t>bright</t>
  </si>
  <si>
    <t>f-med, tr crs-v crs</t>
  </si>
  <si>
    <t>mod bri-bri</t>
  </si>
  <si>
    <t>dll</t>
  </si>
  <si>
    <t>dull</t>
  </si>
  <si>
    <t>com</t>
  </si>
  <si>
    <t>common</t>
  </si>
  <si>
    <t>f-med,tr crs</t>
  </si>
  <si>
    <t>i/p</t>
  </si>
  <si>
    <t>in part</t>
  </si>
  <si>
    <t>dom</t>
  </si>
  <si>
    <t>dominantly</t>
  </si>
  <si>
    <t>pl</t>
  </si>
  <si>
    <t>pale</t>
  </si>
  <si>
    <t>dim</t>
  </si>
  <si>
    <t>mod bri - bri</t>
  </si>
  <si>
    <t>f-crs</t>
  </si>
  <si>
    <t>f-med</t>
  </si>
  <si>
    <t>vf-med</t>
  </si>
  <si>
    <t>med-v crs</t>
  </si>
  <si>
    <t>vf-crs</t>
  </si>
  <si>
    <t>vf-med, rr crs</t>
  </si>
  <si>
    <t>f-med, rr crs</t>
  </si>
  <si>
    <t>Description</t>
  </si>
  <si>
    <t>cutoff</t>
  </si>
  <si>
    <t>Upper</t>
  </si>
  <si>
    <t>Lower</t>
  </si>
  <si>
    <t>VF</t>
  </si>
  <si>
    <t>VC</t>
  </si>
  <si>
    <t xml:space="preserve">SAMPLES </t>
  </si>
  <si>
    <t>Top DC20-20</t>
  </si>
  <si>
    <t>DC20-20 intersected</t>
  </si>
  <si>
    <t>Upper pay/in reservoir</t>
  </si>
  <si>
    <t>Lower pay/in reservoir</t>
  </si>
  <si>
    <t>Upper Class Cut Off</t>
  </si>
  <si>
    <t>sum</t>
  </si>
  <si>
    <t>pay</t>
  </si>
  <si>
    <t>Lower Class Cut Off</t>
  </si>
  <si>
    <t>Sample Description</t>
  </si>
  <si>
    <t>Depth</t>
  </si>
  <si>
    <t>TG</t>
  </si>
  <si>
    <t>%SS</t>
  </si>
  <si>
    <t>%fluoro</t>
  </si>
  <si>
    <t>interval</t>
  </si>
  <si>
    <t>pay?</t>
  </si>
  <si>
    <t>max gr sz</t>
  </si>
  <si>
    <t>Jena 31 total</t>
  </si>
  <si>
    <t>Pay</t>
  </si>
  <si>
    <t>Total Length</t>
  </si>
  <si>
    <t>In 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</si>
</sst>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m/yy;@"/>
    <numFmt numFmtId="165" formatCode="[$-409]h:mm:ss\ AM/PM;@"/>
    <numFmt numFmtId="166" formatCode="0.0%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sz val="12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7" fillId="0" borderId="0"/>
  </cellStyleXfs>
  <cellXfs count="66">
    <xf numFmtId="0" fontId="0" fillId="0" borderId="0" xfId="0"/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3" xfId="0" applyNumberFormat="1" applyBorder="1"/>
    <xf numFmtId="166" fontId="0" fillId="0" borderId="0" xfId="1" applyNumberFormat="1" applyFont="1"/>
    <xf numFmtId="165" fontId="0" fillId="0" borderId="2" xfId="0" applyNumberFormat="1" applyBorder="1"/>
    <xf numFmtId="1" fontId="0" fillId="0" borderId="2" xfId="0" applyNumberFormat="1" applyBorder="1"/>
    <xf numFmtId="2" fontId="0" fillId="0" borderId="3" xfId="0" applyNumberFormat="1" applyBorder="1"/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3" borderId="2" xfId="0" applyFill="1" applyBorder="1" applyAlignment="1">
      <alignment horizontal="right"/>
    </xf>
    <xf numFmtId="0" fontId="0" fillId="3" borderId="2" xfId="0" applyFill="1" applyBorder="1"/>
    <xf numFmtId="0" fontId="0" fillId="3" borderId="0" xfId="0" applyFill="1"/>
    <xf numFmtId="0" fontId="0" fillId="3" borderId="4" xfId="0" applyFill="1" applyBorder="1" applyAlignment="1">
      <alignment wrapText="1"/>
    </xf>
    <xf numFmtId="0" fontId="6" fillId="0" borderId="2" xfId="0" applyFont="1" applyBorder="1"/>
    <xf numFmtId="164" fontId="3" fillId="0" borderId="2" xfId="0" applyNumberFormat="1" applyFont="1" applyBorder="1"/>
    <xf numFmtId="165" fontId="3" fillId="0" borderId="2" xfId="0" applyNumberFormat="1" applyFont="1" applyBorder="1"/>
    <xf numFmtId="0" fontId="3" fillId="0" borderId="2" xfId="0" applyFont="1" applyBorder="1"/>
    <xf numFmtId="1" fontId="3" fillId="0" borderId="2" xfId="0" applyNumberFormat="1" applyFont="1" applyBorder="1"/>
    <xf numFmtId="0" fontId="3" fillId="0" borderId="2" xfId="0" applyFont="1" applyBorder="1" applyAlignment="1">
      <alignment wrapText="1"/>
    </xf>
    <xf numFmtId="0" fontId="3" fillId="0" borderId="0" xfId="0" applyFont="1"/>
    <xf numFmtId="0" fontId="0" fillId="3" borderId="0" xfId="0" applyFill="1" applyAlignment="1">
      <alignment wrapText="1"/>
    </xf>
    <xf numFmtId="0" fontId="3" fillId="0" borderId="0" xfId="0" applyFont="1" applyAlignment="1">
      <alignment wrapText="1"/>
    </xf>
    <xf numFmtId="0" fontId="2" fillId="2" borderId="1" xfId="2"/>
    <xf numFmtId="22" fontId="0" fillId="0" borderId="0" xfId="0" applyNumberFormat="1"/>
    <xf numFmtId="10" fontId="0" fillId="0" borderId="2" xfId="1" applyNumberFormat="1" applyFont="1" applyBorder="1"/>
    <xf numFmtId="10" fontId="2" fillId="2" borderId="1" xfId="2" applyNumberFormat="1"/>
    <xf numFmtId="10" fontId="0" fillId="3" borderId="2" xfId="1" applyNumberFormat="1" applyFont="1" applyFill="1" applyBorder="1"/>
    <xf numFmtId="10" fontId="3" fillId="0" borderId="2" xfId="1" applyNumberFormat="1" applyFont="1" applyBorder="1"/>
    <xf numFmtId="10" fontId="0" fillId="0" borderId="0" xfId="0" applyNumberFormat="1"/>
    <xf numFmtId="0" fontId="8" fillId="0" borderId="0" xfId="3" applyFont="1"/>
    <xf numFmtId="0" fontId="9" fillId="0" borderId="0" xfId="3" applyFont="1"/>
    <xf numFmtId="0" fontId="10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1" fillId="0" borderId="0" xfId="3" applyFont="1"/>
    <xf numFmtId="0" fontId="9" fillId="0" borderId="8" xfId="3" applyFont="1" applyBorder="1"/>
    <xf numFmtId="0" fontId="9" fillId="0" borderId="9" xfId="3" applyFont="1" applyBorder="1"/>
    <xf numFmtId="0" fontId="9" fillId="0" borderId="4" xfId="3" applyFont="1" applyBorder="1"/>
    <xf numFmtId="0" fontId="9" fillId="0" borderId="10" xfId="3" applyFont="1" applyBorder="1"/>
    <xf numFmtId="0" fontId="9" fillId="0" borderId="11" xfId="3" applyFont="1" applyBorder="1"/>
    <xf numFmtId="0" fontId="9" fillId="0" borderId="12" xfId="3" applyFont="1" applyBorder="1"/>
    <xf numFmtId="0" fontId="9" fillId="0" borderId="0" xfId="3" applyFont="1" applyAlignment="1">
      <alignment horizontal="center" vertical="center"/>
    </xf>
    <xf numFmtId="14" fontId="9" fillId="0" borderId="0" xfId="3" applyNumberFormat="1" applyFont="1"/>
    <xf numFmtId="14" fontId="10" fillId="0" borderId="0" xfId="3" applyNumberFormat="1" applyFont="1" applyAlignment="1">
      <alignment horizontal="center"/>
    </xf>
    <xf numFmtId="14" fontId="9" fillId="0" borderId="0" xfId="3" applyNumberFormat="1" applyFont="1" applyAlignment="1">
      <alignment horizontal="center"/>
    </xf>
    <xf numFmtId="2" fontId="0" fillId="0" borderId="2" xfId="1" applyNumberFormat="1" applyFont="1" applyBorder="1"/>
    <xf numFmtId="2" fontId="0" fillId="3" borderId="2" xfId="1" applyNumberFormat="1" applyFont="1" applyFill="1" applyBorder="1"/>
    <xf numFmtId="2" fontId="3" fillId="0" borderId="2" xfId="1" applyNumberFormat="1" applyFont="1" applyBorder="1"/>
    <xf numFmtId="2" fontId="0" fillId="0" borderId="0" xfId="0" applyNumberFormat="1"/>
    <xf numFmtId="0" fontId="12" fillId="0" borderId="0" xfId="3" applyFont="1"/>
    <xf numFmtId="0" fontId="13" fillId="0" borderId="0" xfId="3" applyFont="1" applyAlignment="1">
      <alignment horizontal="left"/>
    </xf>
    <xf numFmtId="0" fontId="0" fillId="0" borderId="9" xfId="0" applyBorder="1"/>
    <xf numFmtId="0" fontId="3" fillId="0" borderId="8" xfId="0" applyFont="1" applyBorder="1"/>
    <xf numFmtId="0" fontId="9" fillId="0" borderId="0" xfId="0" applyFont="1" applyAlignment="1">
      <alignment horizontal="center"/>
    </xf>
    <xf numFmtId="20" fontId="9" fillId="0" borderId="0" xfId="3" applyNumberFormat="1" applyFont="1" applyAlignment="1">
      <alignment horizontal="center"/>
    </xf>
    <xf numFmtId="0" fontId="14" fillId="0" borderId="0" xfId="0" applyFont="1"/>
    <xf numFmtId="0" fontId="10" fillId="0" borderId="0" xfId="3" applyFont="1"/>
    <xf numFmtId="167" fontId="9" fillId="0" borderId="0" xfId="0" applyNumberFormat="1" applyFont="1" applyAlignment="1">
      <alignment horizontal="center"/>
    </xf>
    <xf numFmtId="2" fontId="0" fillId="0" borderId="2" xfId="0" applyNumberFormat="1" applyBorder="1"/>
    <xf numFmtId="9" fontId="0" fillId="0" borderId="2" xfId="1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4">
    <cellStyle name="Input" xfId="2" builtinId="20"/>
    <cellStyle name="Normal" xfId="0" builtinId="0"/>
    <cellStyle name="Normal 2" xfId="3" xr:uid="{00000000-0005-0000-0000-000002000000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Drill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Lateral Length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'Calculations Sheet'!$Z$2</c:f>
              <c:numCache>
                <c:formatCode>0.00</c:formatCode>
                <c:ptCount val="1"/>
                <c:pt idx="0">
                  <c:v>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05-4B64-8EE7-F23A1A76DE0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'Calculations Sheet'!$L$3</c:f>
              <c:numCache>
                <c:formatCode>General</c:formatCode>
                <c:ptCount val="1"/>
                <c:pt idx="0">
                  <c:v>1030.0999999999999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05-4B64-8EE7-F23A1A76DE0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'Calculations Sheet'!$K$3</c:f>
              <c:numCache>
                <c:formatCode>General</c:formatCode>
                <c:ptCount val="1"/>
                <c:pt idx="0">
                  <c:v>1154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05-4B64-8EE7-F23A1A76D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76713944"/>
        <c:axId val="576711592"/>
      </c:barChart>
      <c:catAx>
        <c:axId val="5767139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11592"/>
        <c:crosses val="autoZero"/>
        <c:auto val="1"/>
        <c:lblAlgn val="ctr"/>
        <c:lblOffset val="100"/>
        <c:noMultiLvlLbl val="0"/>
      </c:catAx>
      <c:valAx>
        <c:axId val="57671159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713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17317</xdr:colOff>
      <xdr:row>20</xdr:row>
      <xdr:rowOff>121227</xdr:rowOff>
    </xdr:from>
    <xdr:to>
      <xdr:col>11</xdr:col>
      <xdr:colOff>380999</xdr:colOff>
      <xdr:row>25</xdr:row>
      <xdr:rowOff>112568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E6E058-533A-38D0-7276-013A2323D0F2}"/>
            </a:ext>
          </a:extLst>
        </xdr:cNvPr>
        <xdr:cNvSpPr/>
      </xdr:nvSpPr>
      <xdr:spPr>
        <a:xfrm>
          <a:off x="2112817" y="3931227"/>
          <a:ext cx="6771409" cy="943841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>
              <a:solidFill>
                <a:sysClr val="windowText" lastClr="000000"/>
              </a:solidFill>
            </a:rPr>
            <a:t>This is an example sheet only to show how the data should be laid out. </a:t>
          </a:r>
        </a:p>
        <a:p>
          <a:pPr algn="l"/>
          <a:r>
            <a:rPr lang="en-AU" sz="1800">
              <a:solidFill>
                <a:sysClr val="windowText" lastClr="000000"/>
              </a:solidFill>
            </a:rPr>
            <a:t>Please enter all data into the 'Input Sheet' worksheet.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271462</xdr:colOff>
      <xdr:row>6</xdr:row>
      <xdr:rowOff>4762</xdr:rowOff>
    </xdr:from>
    <xdr:to>
      <xdr:col>28</xdr:col>
      <xdr:colOff>538162</xdr:colOff>
      <xdr:row>19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5FD75-A5C4-98CA-B9CB-3CD9E7FEC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1001"/>
  <sheetViews>
    <sheetView zoomScale="110" zoomScaleNormal="110" workbookViewId="0">
      <pane ySplit="3" topLeftCell="A4" activePane="bottomLeft" state="frozen"/>
      <selection activeCell="I36" sqref="I36"/>
      <selection pane="bottomLeft" activeCell="I36" sqref="I36"/>
    </sheetView>
  </sheetViews>
  <sheetFormatPr defaultColWidth="12.28515625" defaultRowHeight="15" x14ac:dyDescent="0.25"/>
  <cols>
    <col min="1" max="1" width="6.28515625" style="33" customWidth="1"/>
    <col min="2" max="2" width="9.42578125" style="33" customWidth="1"/>
    <col min="3" max="4" width="13.42578125" style="33" customWidth="1"/>
    <col min="5" max="5" width="15.7109375" style="33" bestFit="1" customWidth="1"/>
    <col min="6" max="11" width="13.42578125" style="33" customWidth="1"/>
    <col min="12" max="13" width="13.42578125" style="44" customWidth="1"/>
    <col min="19" max="19" width="15.28515625" bestFit="1" customWidth="1"/>
    <col min="31" max="16384" width="12.28515625" style="33"/>
  </cols>
  <sheetData>
    <row r="1" spans="2:17" x14ac:dyDescent="0.25">
      <c r="B1" s="32" t="s">
        <v>0</v>
      </c>
    </row>
    <row r="3" spans="2:17" x14ac:dyDescent="0.25">
      <c r="B3" s="58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34" t="s">
        <v>6</v>
      </c>
      <c r="H3" s="34" t="s">
        <v>7</v>
      </c>
      <c r="I3" s="34" t="s">
        <v>8</v>
      </c>
      <c r="J3" s="34" t="s">
        <v>9</v>
      </c>
      <c r="K3" s="34" t="s">
        <v>10</v>
      </c>
      <c r="L3" s="45" t="s">
        <v>11</v>
      </c>
      <c r="M3" s="45" t="s">
        <v>12</v>
      </c>
      <c r="P3" s="54" t="s">
        <v>13</v>
      </c>
      <c r="Q3" s="53"/>
    </row>
    <row r="4" spans="2:17" x14ac:dyDescent="0.25">
      <c r="B4" s="33" t="s">
        <v>14</v>
      </c>
      <c r="C4" s="55">
        <v>1596</v>
      </c>
      <c r="D4" s="55">
        <v>50</v>
      </c>
      <c r="E4" s="55" t="s">
        <v>15</v>
      </c>
      <c r="F4" s="35" t="s">
        <v>16</v>
      </c>
      <c r="G4" s="55"/>
      <c r="H4" s="55"/>
      <c r="I4" s="55">
        <v>5</v>
      </c>
      <c r="J4" s="55" t="s">
        <v>17</v>
      </c>
      <c r="K4" s="55"/>
      <c r="L4" s="46">
        <v>45161</v>
      </c>
      <c r="M4" s="56">
        <v>0.54166666666666663</v>
      </c>
      <c r="P4" s="39" t="s">
        <v>18</v>
      </c>
      <c r="Q4" s="40" t="s">
        <v>19</v>
      </c>
    </row>
    <row r="5" spans="2:17" x14ac:dyDescent="0.25">
      <c r="B5" s="33" t="s">
        <v>14</v>
      </c>
      <c r="C5" s="55">
        <v>1599</v>
      </c>
      <c r="D5" s="55">
        <v>60</v>
      </c>
      <c r="E5" s="55" t="s">
        <v>20</v>
      </c>
      <c r="F5" s="35" t="s">
        <v>21</v>
      </c>
      <c r="G5" s="55"/>
      <c r="H5" s="55"/>
      <c r="I5" s="55">
        <v>5</v>
      </c>
      <c r="J5" s="55" t="s">
        <v>17</v>
      </c>
      <c r="K5" s="55"/>
      <c r="L5" s="46">
        <v>45161</v>
      </c>
      <c r="M5" s="56">
        <v>0.54861111111111105</v>
      </c>
      <c r="P5" s="39" t="s">
        <v>22</v>
      </c>
      <c r="Q5" s="40" t="s">
        <v>23</v>
      </c>
    </row>
    <row r="6" spans="2:17" x14ac:dyDescent="0.25">
      <c r="B6" s="33" t="s">
        <v>14</v>
      </c>
      <c r="C6" s="55">
        <v>1602</v>
      </c>
      <c r="D6" s="55">
        <v>65</v>
      </c>
      <c r="E6" s="55" t="s">
        <v>15</v>
      </c>
      <c r="F6" s="35" t="s">
        <v>16</v>
      </c>
      <c r="G6" s="55"/>
      <c r="H6" s="55"/>
      <c r="I6" s="55">
        <v>5</v>
      </c>
      <c r="J6" s="55" t="s">
        <v>17</v>
      </c>
      <c r="K6" s="55"/>
      <c r="L6" s="46">
        <v>45161</v>
      </c>
      <c r="M6" s="56">
        <v>0.55208333333333337</v>
      </c>
      <c r="P6" s="39" t="s">
        <v>24</v>
      </c>
      <c r="Q6" s="40" t="s">
        <v>25</v>
      </c>
    </row>
    <row r="7" spans="2:17" x14ac:dyDescent="0.25">
      <c r="B7" s="33" t="s">
        <v>14</v>
      </c>
      <c r="C7" s="55">
        <v>1605</v>
      </c>
      <c r="D7" s="55">
        <v>50</v>
      </c>
      <c r="E7" s="55" t="s">
        <v>26</v>
      </c>
      <c r="F7" s="35" t="s">
        <v>16</v>
      </c>
      <c r="G7" s="55"/>
      <c r="H7" s="55"/>
      <c r="I7" s="55">
        <v>6</v>
      </c>
      <c r="J7" s="55" t="s">
        <v>27</v>
      </c>
      <c r="K7" s="55"/>
      <c r="L7" s="46">
        <v>45161</v>
      </c>
      <c r="M7" s="56">
        <v>0.5625</v>
      </c>
      <c r="P7" s="39" t="s">
        <v>28</v>
      </c>
      <c r="Q7" s="40" t="s">
        <v>29</v>
      </c>
    </row>
    <row r="8" spans="2:17" x14ac:dyDescent="0.25">
      <c r="B8" s="33" t="s">
        <v>14</v>
      </c>
      <c r="C8" s="55">
        <v>1608</v>
      </c>
      <c r="D8" s="55">
        <v>30</v>
      </c>
      <c r="E8" s="55" t="s">
        <v>15</v>
      </c>
      <c r="F8" s="35" t="s">
        <v>16</v>
      </c>
      <c r="G8" s="55"/>
      <c r="H8" s="55"/>
      <c r="I8" s="55">
        <v>7</v>
      </c>
      <c r="J8" s="55" t="s">
        <v>27</v>
      </c>
      <c r="K8" s="55" t="s">
        <v>27</v>
      </c>
      <c r="L8" s="46">
        <v>45161</v>
      </c>
      <c r="M8" s="56">
        <v>0.58333333333333337</v>
      </c>
      <c r="P8" s="39" t="s">
        <v>30</v>
      </c>
      <c r="Q8" s="40" t="s">
        <v>31</v>
      </c>
    </row>
    <row r="9" spans="2:17" x14ac:dyDescent="0.25">
      <c r="B9" s="33" t="s">
        <v>14</v>
      </c>
      <c r="C9" s="55">
        <v>1611</v>
      </c>
      <c r="D9" s="55">
        <v>40</v>
      </c>
      <c r="E9" s="55" t="s">
        <v>15</v>
      </c>
      <c r="F9" s="35" t="s">
        <v>16</v>
      </c>
      <c r="G9" s="55" t="s">
        <v>32</v>
      </c>
      <c r="H9" s="55"/>
      <c r="I9" s="55">
        <v>7</v>
      </c>
      <c r="J9" s="55" t="s">
        <v>27</v>
      </c>
      <c r="K9" s="55" t="s">
        <v>27</v>
      </c>
      <c r="L9" s="46">
        <v>45161</v>
      </c>
      <c r="M9" s="56">
        <v>0.60416666666666663</v>
      </c>
      <c r="P9" s="39" t="s">
        <v>33</v>
      </c>
      <c r="Q9" s="40" t="s">
        <v>34</v>
      </c>
    </row>
    <row r="10" spans="2:17" x14ac:dyDescent="0.25">
      <c r="B10" s="33" t="s">
        <v>14</v>
      </c>
      <c r="C10" s="55">
        <v>1614</v>
      </c>
      <c r="D10" s="55">
        <v>60</v>
      </c>
      <c r="E10" s="55" t="s">
        <v>15</v>
      </c>
      <c r="F10" s="35" t="s">
        <v>16</v>
      </c>
      <c r="G10" s="55">
        <v>10</v>
      </c>
      <c r="H10" s="55" t="s">
        <v>35</v>
      </c>
      <c r="I10" s="55">
        <v>8</v>
      </c>
      <c r="J10" s="55" t="s">
        <v>27</v>
      </c>
      <c r="K10" s="55"/>
      <c r="L10" s="46">
        <v>45161</v>
      </c>
      <c r="M10" s="56">
        <v>0.625</v>
      </c>
      <c r="P10" s="39" t="s">
        <v>17</v>
      </c>
      <c r="Q10" s="40" t="s">
        <v>36</v>
      </c>
    </row>
    <row r="11" spans="2:17" x14ac:dyDescent="0.25">
      <c r="B11" s="33" t="s">
        <v>14</v>
      </c>
      <c r="C11" s="55">
        <v>1617</v>
      </c>
      <c r="D11" s="55">
        <v>40</v>
      </c>
      <c r="E11" s="55" t="s">
        <v>15</v>
      </c>
      <c r="F11" s="35" t="s">
        <v>16</v>
      </c>
      <c r="G11" s="55" t="s">
        <v>32</v>
      </c>
      <c r="H11" s="55" t="s">
        <v>35</v>
      </c>
      <c r="I11" s="55">
        <v>7</v>
      </c>
      <c r="J11" s="55" t="s">
        <v>27</v>
      </c>
      <c r="K11" s="55" t="s">
        <v>17</v>
      </c>
      <c r="L11" s="46">
        <v>45161</v>
      </c>
      <c r="M11" s="56">
        <v>0.64583333333333337</v>
      </c>
      <c r="P11" s="39" t="s">
        <v>37</v>
      </c>
      <c r="Q11" s="40" t="s">
        <v>38</v>
      </c>
    </row>
    <row r="12" spans="2:17" x14ac:dyDescent="0.25">
      <c r="B12" s="33" t="s">
        <v>14</v>
      </c>
      <c r="C12" s="55">
        <v>1620</v>
      </c>
      <c r="D12" s="55">
        <v>30</v>
      </c>
      <c r="E12" s="55" t="s">
        <v>15</v>
      </c>
      <c r="F12" s="35" t="s">
        <v>16</v>
      </c>
      <c r="G12" s="55">
        <v>10</v>
      </c>
      <c r="H12" s="55" t="s">
        <v>35</v>
      </c>
      <c r="I12" s="55">
        <v>7</v>
      </c>
      <c r="J12" s="55" t="s">
        <v>17</v>
      </c>
      <c r="K12" s="55" t="s">
        <v>17</v>
      </c>
      <c r="L12" s="46">
        <v>45161</v>
      </c>
      <c r="M12" s="56">
        <v>0.66666666666666663</v>
      </c>
      <c r="P12" s="39" t="s">
        <v>27</v>
      </c>
      <c r="Q12" s="40" t="s">
        <v>39</v>
      </c>
    </row>
    <row r="13" spans="2:17" x14ac:dyDescent="0.25">
      <c r="B13" s="33" t="s">
        <v>14</v>
      </c>
      <c r="C13" s="55">
        <v>1623</v>
      </c>
      <c r="D13" s="55">
        <v>30</v>
      </c>
      <c r="E13" s="55" t="s">
        <v>40</v>
      </c>
      <c r="F13" s="35" t="s">
        <v>16</v>
      </c>
      <c r="G13" s="55">
        <v>10</v>
      </c>
      <c r="H13" s="55" t="s">
        <v>35</v>
      </c>
      <c r="I13" s="55">
        <v>5</v>
      </c>
      <c r="J13" s="55" t="s">
        <v>17</v>
      </c>
      <c r="K13" s="55" t="s">
        <v>27</v>
      </c>
      <c r="L13" s="46">
        <v>45161</v>
      </c>
      <c r="M13" s="56">
        <v>0.6875</v>
      </c>
      <c r="P13" s="39" t="s">
        <v>41</v>
      </c>
      <c r="Q13" s="40" t="s">
        <v>42</v>
      </c>
    </row>
    <row r="14" spans="2:17" x14ac:dyDescent="0.25">
      <c r="B14" s="33" t="s">
        <v>14</v>
      </c>
      <c r="C14" s="55">
        <v>1626</v>
      </c>
      <c r="D14" s="55">
        <v>80</v>
      </c>
      <c r="E14" s="55" t="s">
        <v>43</v>
      </c>
      <c r="F14" s="35" t="s">
        <v>44</v>
      </c>
      <c r="G14" s="55">
        <v>80</v>
      </c>
      <c r="H14" s="55" t="s">
        <v>45</v>
      </c>
      <c r="I14" s="55">
        <v>77</v>
      </c>
      <c r="J14" s="55" t="s">
        <v>27</v>
      </c>
      <c r="K14" s="55"/>
      <c r="L14" s="46">
        <v>45161</v>
      </c>
      <c r="M14" s="56">
        <v>0.70833333333333337</v>
      </c>
      <c r="P14" s="39" t="s">
        <v>46</v>
      </c>
      <c r="Q14" s="40" t="s">
        <v>47</v>
      </c>
    </row>
    <row r="15" spans="2:17" x14ac:dyDescent="0.25">
      <c r="B15" s="33" t="s">
        <v>14</v>
      </c>
      <c r="C15" s="55">
        <v>1629</v>
      </c>
      <c r="D15" s="55">
        <v>90</v>
      </c>
      <c r="E15" s="55" t="s">
        <v>48</v>
      </c>
      <c r="F15" s="35" t="s">
        <v>44</v>
      </c>
      <c r="G15" s="55">
        <v>100</v>
      </c>
      <c r="H15" s="55" t="s">
        <v>49</v>
      </c>
      <c r="I15" s="55">
        <v>100</v>
      </c>
      <c r="J15" s="55"/>
      <c r="K15" s="55"/>
      <c r="L15" s="46">
        <v>45161</v>
      </c>
      <c r="M15" s="56">
        <v>0.72916666666666663</v>
      </c>
      <c r="P15" s="39" t="s">
        <v>50</v>
      </c>
      <c r="Q15" s="40" t="s">
        <v>51</v>
      </c>
    </row>
    <row r="16" spans="2:17" x14ac:dyDescent="0.25">
      <c r="B16" s="33" t="s">
        <v>14</v>
      </c>
      <c r="C16" s="55">
        <v>1632</v>
      </c>
      <c r="D16" s="55">
        <v>95</v>
      </c>
      <c r="E16" s="55" t="s">
        <v>48</v>
      </c>
      <c r="F16" s="35" t="s">
        <v>44</v>
      </c>
      <c r="G16" s="55">
        <v>100</v>
      </c>
      <c r="H16" s="55" t="s">
        <v>49</v>
      </c>
      <c r="I16" s="55">
        <v>94</v>
      </c>
      <c r="J16" s="55"/>
      <c r="K16" s="55"/>
      <c r="L16" s="46">
        <v>45161</v>
      </c>
      <c r="M16" s="56">
        <v>0.75</v>
      </c>
      <c r="P16" s="39" t="s">
        <v>52</v>
      </c>
      <c r="Q16" s="40" t="s">
        <v>53</v>
      </c>
    </row>
    <row r="17" spans="2:19" x14ac:dyDescent="0.25">
      <c r="B17" s="33" t="s">
        <v>14</v>
      </c>
      <c r="C17" s="55">
        <v>1635</v>
      </c>
      <c r="D17" s="55">
        <v>100</v>
      </c>
      <c r="E17" s="55" t="s">
        <v>54</v>
      </c>
      <c r="F17" s="35" t="s">
        <v>44</v>
      </c>
      <c r="G17" s="55">
        <v>100</v>
      </c>
      <c r="H17" s="55" t="s">
        <v>49</v>
      </c>
      <c r="I17" s="55">
        <v>102</v>
      </c>
      <c r="J17" s="55"/>
      <c r="K17" s="55"/>
      <c r="L17" s="46">
        <v>45161</v>
      </c>
      <c r="M17" s="56">
        <v>0.77083333333333337</v>
      </c>
      <c r="P17" s="39" t="s">
        <v>55</v>
      </c>
      <c r="Q17" s="40" t="s">
        <v>56</v>
      </c>
    </row>
    <row r="18" spans="2:19" x14ac:dyDescent="0.25">
      <c r="C18" s="35"/>
      <c r="D18" s="35"/>
      <c r="E18" s="35"/>
      <c r="F18" s="35"/>
      <c r="G18" s="35"/>
      <c r="H18" s="35"/>
      <c r="I18" s="35"/>
      <c r="J18" s="35"/>
      <c r="K18" s="35"/>
      <c r="L18" s="46"/>
      <c r="M18" s="46"/>
      <c r="P18" s="39" t="s">
        <v>57</v>
      </c>
      <c r="Q18" s="40" t="s">
        <v>58</v>
      </c>
    </row>
    <row r="19" spans="2:19" x14ac:dyDescent="0.25">
      <c r="C19" s="35"/>
      <c r="D19" s="35"/>
      <c r="E19" s="35"/>
      <c r="F19" s="35"/>
      <c r="G19" s="35"/>
      <c r="H19" s="35"/>
      <c r="I19" s="35"/>
      <c r="J19" s="35"/>
      <c r="K19" s="35"/>
      <c r="L19" s="46"/>
      <c r="M19" s="46"/>
      <c r="P19" s="41" t="s">
        <v>59</v>
      </c>
      <c r="Q19" s="42" t="s">
        <v>60</v>
      </c>
      <c r="S19" s="26"/>
    </row>
    <row r="20" spans="2:19" x14ac:dyDescent="0.25">
      <c r="C20" s="35"/>
      <c r="D20" s="35"/>
      <c r="E20" s="35"/>
      <c r="F20" s="35"/>
      <c r="G20" s="35"/>
      <c r="H20" s="35"/>
      <c r="I20" s="35"/>
      <c r="J20" s="35"/>
      <c r="K20" s="35"/>
      <c r="L20" s="46"/>
      <c r="M20" s="46"/>
    </row>
    <row r="21" spans="2:19" x14ac:dyDescent="0.25">
      <c r="C21" s="35"/>
      <c r="D21" s="35"/>
      <c r="E21" s="35"/>
      <c r="F21" s="35"/>
      <c r="G21" s="35"/>
      <c r="H21" s="35"/>
      <c r="I21" s="35"/>
      <c r="J21" s="35"/>
      <c r="K21" s="35"/>
      <c r="L21" s="46"/>
      <c r="M21" s="46"/>
    </row>
    <row r="22" spans="2:19" x14ac:dyDescent="0.25">
      <c r="C22" s="35"/>
      <c r="D22" s="35"/>
      <c r="E22" s="35"/>
      <c r="F22" s="35"/>
      <c r="G22" s="35"/>
      <c r="H22" s="35"/>
      <c r="I22" s="35"/>
      <c r="J22" s="35"/>
      <c r="K22" s="35"/>
      <c r="L22" s="46"/>
      <c r="M22" s="46"/>
    </row>
    <row r="23" spans="2:19" x14ac:dyDescent="0.25">
      <c r="C23" s="35"/>
      <c r="D23" s="35"/>
      <c r="E23" s="35"/>
      <c r="F23" s="35"/>
      <c r="G23" s="35"/>
      <c r="H23" s="35"/>
      <c r="I23" s="35"/>
      <c r="J23" s="35"/>
      <c r="K23" s="35"/>
      <c r="L23" s="46"/>
      <c r="M23" s="46"/>
    </row>
    <row r="24" spans="2:19" x14ac:dyDescent="0.25">
      <c r="C24" s="35"/>
      <c r="D24" s="35"/>
      <c r="E24" s="35"/>
      <c r="F24" s="35"/>
      <c r="G24" s="35"/>
      <c r="H24" s="35"/>
      <c r="I24" s="35"/>
      <c r="J24" s="35"/>
      <c r="K24" s="35"/>
      <c r="L24" s="46"/>
      <c r="M24" s="46"/>
    </row>
    <row r="25" spans="2:19" x14ac:dyDescent="0.25">
      <c r="C25" s="35"/>
      <c r="D25" s="35"/>
      <c r="E25" s="35"/>
      <c r="F25" s="35"/>
      <c r="G25" s="35"/>
      <c r="H25" s="35"/>
      <c r="I25" s="35"/>
      <c r="J25" s="35"/>
      <c r="K25" s="35"/>
      <c r="L25" s="46"/>
      <c r="M25" s="46"/>
    </row>
    <row r="26" spans="2:19" x14ac:dyDescent="0.25">
      <c r="C26" s="35"/>
      <c r="D26" s="35"/>
      <c r="E26" s="35"/>
      <c r="F26" s="35"/>
      <c r="G26" s="35"/>
      <c r="H26" s="35"/>
      <c r="I26" s="35"/>
      <c r="J26" s="35"/>
      <c r="K26" s="35"/>
      <c r="L26" s="46"/>
      <c r="M26" s="46"/>
    </row>
    <row r="27" spans="2:19" x14ac:dyDescent="0.25">
      <c r="C27" s="35"/>
      <c r="D27" s="35"/>
      <c r="E27" s="35"/>
      <c r="F27" s="35"/>
      <c r="G27" s="35"/>
      <c r="H27" s="35"/>
      <c r="I27" s="35"/>
      <c r="J27" s="35"/>
      <c r="K27" s="35"/>
      <c r="L27" s="46"/>
      <c r="M27" s="46"/>
    </row>
    <row r="28" spans="2:19" x14ac:dyDescent="0.25">
      <c r="C28" s="35"/>
      <c r="D28" s="35"/>
      <c r="E28" s="35"/>
      <c r="F28" s="35"/>
      <c r="G28" s="35"/>
      <c r="H28" s="35"/>
      <c r="I28" s="35"/>
      <c r="J28" s="35"/>
      <c r="K28" s="35"/>
      <c r="L28" s="46"/>
      <c r="M28" s="46"/>
    </row>
    <row r="29" spans="2:19" x14ac:dyDescent="0.25">
      <c r="C29" s="35"/>
      <c r="D29" s="35"/>
      <c r="E29" s="35"/>
      <c r="F29" s="35"/>
      <c r="G29" s="35"/>
      <c r="H29" s="35"/>
      <c r="I29" s="35"/>
      <c r="J29" s="35"/>
      <c r="K29" s="35"/>
      <c r="L29" s="46"/>
      <c r="M29" s="46"/>
    </row>
    <row r="30" spans="2:19" x14ac:dyDescent="0.25">
      <c r="C30" s="35"/>
      <c r="D30" s="35"/>
      <c r="E30" s="35"/>
      <c r="F30" s="35"/>
      <c r="G30" s="35"/>
      <c r="H30" s="35"/>
      <c r="I30" s="35"/>
      <c r="J30" s="35"/>
      <c r="K30" s="35"/>
      <c r="L30" s="46"/>
      <c r="M30" s="46"/>
    </row>
    <row r="31" spans="2:19" x14ac:dyDescent="0.25">
      <c r="C31" s="35"/>
      <c r="D31" s="35"/>
      <c r="E31" s="35"/>
      <c r="F31" s="35"/>
      <c r="G31" s="35"/>
      <c r="H31" s="35"/>
      <c r="I31" s="35"/>
      <c r="J31" s="35"/>
      <c r="K31" s="35"/>
      <c r="L31" s="46"/>
      <c r="M31" s="46"/>
    </row>
    <row r="32" spans="2:19" x14ac:dyDescent="0.25">
      <c r="C32" s="35"/>
      <c r="D32" s="35"/>
      <c r="E32" s="35"/>
      <c r="F32" s="35"/>
      <c r="G32" s="35"/>
      <c r="H32" s="35"/>
      <c r="I32" s="35"/>
      <c r="J32" s="35"/>
      <c r="K32" s="35"/>
      <c r="L32" s="46"/>
      <c r="M32" s="46"/>
    </row>
    <row r="33" spans="3:13" x14ac:dyDescent="0.25">
      <c r="C33" s="35"/>
      <c r="D33" s="35"/>
      <c r="E33" s="35"/>
      <c r="F33" s="35"/>
      <c r="G33" s="35"/>
      <c r="H33" s="35"/>
      <c r="I33" s="35"/>
      <c r="J33" s="35"/>
      <c r="K33" s="35"/>
      <c r="L33" s="46"/>
      <c r="M33" s="46"/>
    </row>
    <row r="34" spans="3:13" x14ac:dyDescent="0.25">
      <c r="C34" s="35"/>
      <c r="D34" s="35"/>
      <c r="E34" s="35"/>
      <c r="F34" s="35"/>
      <c r="G34" s="35"/>
      <c r="H34" s="35"/>
      <c r="I34" s="35"/>
      <c r="J34" s="35"/>
      <c r="K34" s="35"/>
      <c r="L34" s="46"/>
      <c r="M34" s="46"/>
    </row>
    <row r="35" spans="3:13" x14ac:dyDescent="0.25">
      <c r="C35" s="35"/>
      <c r="D35" s="35"/>
      <c r="E35" s="35"/>
      <c r="F35" s="35"/>
      <c r="G35" s="35"/>
      <c r="H35" s="35"/>
      <c r="I35" s="35"/>
      <c r="J35" s="35"/>
      <c r="K35" s="35"/>
      <c r="L35" s="46"/>
      <c r="M35" s="46"/>
    </row>
    <row r="36" spans="3:13" x14ac:dyDescent="0.25">
      <c r="C36" s="35"/>
      <c r="D36" s="43"/>
      <c r="E36" s="43"/>
      <c r="F36" s="43"/>
      <c r="G36" s="43"/>
      <c r="H36" s="43"/>
      <c r="I36" s="43"/>
      <c r="J36" s="43"/>
      <c r="K36" s="43"/>
      <c r="L36" s="46"/>
      <c r="M36" s="46"/>
    </row>
    <row r="37" spans="3:13" x14ac:dyDescent="0.25">
      <c r="C37" s="35"/>
      <c r="D37" s="43"/>
      <c r="E37" s="43"/>
      <c r="F37" s="43"/>
      <c r="G37" s="43"/>
      <c r="H37" s="43"/>
      <c r="I37" s="43"/>
      <c r="J37" s="43"/>
      <c r="K37" s="43"/>
      <c r="L37" s="46"/>
      <c r="M37" s="46"/>
    </row>
    <row r="38" spans="3:13" x14ac:dyDescent="0.25">
      <c r="C38" s="35"/>
      <c r="D38" s="43"/>
      <c r="E38" s="43"/>
      <c r="F38" s="43"/>
      <c r="G38" s="43"/>
      <c r="H38" s="43"/>
      <c r="I38" s="43"/>
      <c r="J38" s="43"/>
      <c r="K38" s="43"/>
      <c r="L38" s="46"/>
      <c r="M38" s="46"/>
    </row>
    <row r="39" spans="3:13" x14ac:dyDescent="0.25">
      <c r="C39" s="35"/>
      <c r="D39" s="43"/>
      <c r="E39" s="43"/>
      <c r="F39" s="43"/>
      <c r="G39" s="43"/>
      <c r="H39" s="43"/>
      <c r="I39" s="43"/>
      <c r="J39" s="43"/>
      <c r="K39" s="43"/>
      <c r="L39" s="46"/>
      <c r="M39" s="46"/>
    </row>
    <row r="40" spans="3:13" x14ac:dyDescent="0.25">
      <c r="C40" s="35"/>
      <c r="D40" s="43"/>
      <c r="E40" s="43"/>
      <c r="F40" s="43"/>
      <c r="G40" s="43"/>
      <c r="H40" s="43"/>
      <c r="I40" s="43"/>
      <c r="J40" s="43"/>
      <c r="K40" s="43"/>
      <c r="L40" s="46"/>
      <c r="M40" s="46"/>
    </row>
    <row r="41" spans="3:13" x14ac:dyDescent="0.25">
      <c r="C41" s="35"/>
      <c r="D41" s="43"/>
      <c r="E41" s="43"/>
      <c r="F41" s="43"/>
      <c r="G41" s="43"/>
      <c r="H41" s="43"/>
      <c r="I41" s="43"/>
      <c r="J41" s="43"/>
      <c r="K41" s="43"/>
      <c r="L41" s="46"/>
      <c r="M41" s="46"/>
    </row>
    <row r="42" spans="3:13" x14ac:dyDescent="0.25">
      <c r="C42" s="35"/>
      <c r="D42" s="43"/>
      <c r="E42" s="43"/>
      <c r="F42" s="43"/>
      <c r="G42" s="43"/>
      <c r="H42" s="43"/>
      <c r="I42" s="43"/>
      <c r="J42" s="43"/>
      <c r="K42" s="43"/>
      <c r="L42" s="46"/>
      <c r="M42" s="46"/>
    </row>
    <row r="43" spans="3:13" x14ac:dyDescent="0.25">
      <c r="C43" s="35"/>
      <c r="D43" s="43"/>
      <c r="E43" s="43"/>
      <c r="F43" s="43"/>
      <c r="G43" s="43"/>
      <c r="H43" s="43"/>
      <c r="I43" s="43"/>
      <c r="J43" s="43"/>
      <c r="K43" s="43"/>
      <c r="L43" s="46"/>
      <c r="M43" s="46"/>
    </row>
    <row r="44" spans="3:13" x14ac:dyDescent="0.25">
      <c r="C44" s="35"/>
      <c r="D44" s="43"/>
      <c r="E44" s="43"/>
      <c r="F44" s="43"/>
      <c r="G44" s="43"/>
      <c r="H44" s="43"/>
      <c r="I44" s="43"/>
      <c r="J44" s="43"/>
      <c r="K44" s="43"/>
      <c r="L44" s="46"/>
      <c r="M44" s="46"/>
    </row>
    <row r="45" spans="3:13" x14ac:dyDescent="0.25">
      <c r="C45" s="35"/>
      <c r="D45" s="43"/>
      <c r="E45" s="43"/>
      <c r="F45" s="43"/>
      <c r="G45" s="43"/>
      <c r="H45" s="43"/>
      <c r="I45" s="43"/>
      <c r="J45" s="43"/>
      <c r="K45" s="43"/>
      <c r="L45" s="46"/>
      <c r="M45" s="46"/>
    </row>
    <row r="46" spans="3:13" x14ac:dyDescent="0.25">
      <c r="C46" s="35"/>
      <c r="D46" s="43"/>
      <c r="E46" s="43"/>
      <c r="F46" s="43"/>
      <c r="G46" s="43"/>
      <c r="H46" s="43"/>
      <c r="I46" s="43"/>
      <c r="J46" s="43"/>
      <c r="K46" s="43"/>
      <c r="L46" s="46"/>
      <c r="M46" s="46"/>
    </row>
    <row r="47" spans="3:13" x14ac:dyDescent="0.25">
      <c r="C47" s="35"/>
      <c r="D47" s="43"/>
      <c r="E47" s="43"/>
      <c r="F47" s="43"/>
      <c r="G47" s="43"/>
      <c r="H47" s="43"/>
      <c r="I47" s="43"/>
      <c r="J47" s="43"/>
      <c r="K47" s="43"/>
      <c r="L47" s="46"/>
      <c r="M47" s="46"/>
    </row>
    <row r="48" spans="3:13" x14ac:dyDescent="0.25">
      <c r="C48" s="35"/>
      <c r="D48" s="43"/>
      <c r="E48" s="43"/>
      <c r="F48" s="43"/>
      <c r="G48" s="43"/>
      <c r="H48" s="43"/>
      <c r="I48" s="43"/>
      <c r="J48" s="43"/>
      <c r="K48" s="43"/>
      <c r="L48" s="46"/>
      <c r="M48" s="46"/>
    </row>
    <row r="49" spans="3:13" x14ac:dyDescent="0.25">
      <c r="C49" s="35"/>
      <c r="D49" s="43"/>
      <c r="E49" s="43"/>
      <c r="F49" s="43"/>
      <c r="G49" s="43"/>
      <c r="H49" s="43"/>
      <c r="I49" s="43"/>
      <c r="J49" s="43"/>
      <c r="K49" s="43"/>
      <c r="L49" s="46"/>
      <c r="M49" s="46"/>
    </row>
    <row r="50" spans="3:13" x14ac:dyDescent="0.25">
      <c r="C50" s="35"/>
      <c r="D50" s="43"/>
      <c r="E50" s="43"/>
      <c r="F50" s="43"/>
      <c r="G50" s="43"/>
      <c r="H50" s="43"/>
      <c r="I50" s="43"/>
      <c r="J50" s="43"/>
      <c r="K50" s="43"/>
      <c r="L50" s="46"/>
      <c r="M50" s="46"/>
    </row>
    <row r="51" spans="3:13" x14ac:dyDescent="0.25">
      <c r="C51" s="35"/>
      <c r="D51" s="43"/>
      <c r="E51" s="43"/>
      <c r="F51" s="43"/>
      <c r="G51" s="43"/>
      <c r="H51" s="43"/>
      <c r="I51" s="43"/>
      <c r="J51" s="43"/>
      <c r="K51" s="43"/>
      <c r="L51" s="46"/>
      <c r="M51" s="46"/>
    </row>
    <row r="52" spans="3:13" x14ac:dyDescent="0.25">
      <c r="C52" s="35"/>
      <c r="D52" s="43"/>
      <c r="E52" s="43"/>
      <c r="F52" s="43"/>
      <c r="G52" s="43"/>
      <c r="H52" s="43"/>
      <c r="I52" s="43"/>
      <c r="J52" s="43"/>
      <c r="K52" s="43"/>
      <c r="L52" s="46"/>
      <c r="M52" s="46"/>
    </row>
    <row r="53" spans="3:13" x14ac:dyDescent="0.25">
      <c r="C53" s="35"/>
      <c r="D53" s="43"/>
      <c r="E53" s="43"/>
      <c r="F53" s="43"/>
      <c r="G53" s="43"/>
      <c r="H53" s="43"/>
      <c r="I53" s="43"/>
      <c r="J53" s="43"/>
      <c r="K53" s="43"/>
      <c r="L53" s="46"/>
      <c r="M53" s="46"/>
    </row>
    <row r="54" spans="3:13" x14ac:dyDescent="0.25">
      <c r="C54" s="35"/>
      <c r="D54" s="43"/>
      <c r="E54" s="43"/>
      <c r="F54" s="43"/>
      <c r="G54" s="43"/>
      <c r="H54" s="43"/>
      <c r="I54" s="43"/>
      <c r="J54" s="43"/>
      <c r="K54" s="43"/>
      <c r="L54" s="46"/>
      <c r="M54" s="46"/>
    </row>
    <row r="55" spans="3:13" x14ac:dyDescent="0.25">
      <c r="C55" s="35"/>
      <c r="D55" s="43"/>
      <c r="E55" s="43"/>
      <c r="F55" s="43"/>
      <c r="G55" s="43"/>
      <c r="H55" s="43"/>
      <c r="I55" s="43"/>
      <c r="J55" s="43"/>
      <c r="K55" s="43"/>
      <c r="L55" s="46"/>
      <c r="M55" s="46"/>
    </row>
    <row r="56" spans="3:13" x14ac:dyDescent="0.25">
      <c r="C56" s="35"/>
      <c r="D56" s="43"/>
      <c r="E56" s="43"/>
      <c r="F56" s="43"/>
      <c r="G56" s="43"/>
      <c r="H56" s="43"/>
      <c r="I56" s="43"/>
      <c r="J56" s="43"/>
      <c r="K56" s="43"/>
      <c r="L56" s="46"/>
      <c r="M56" s="46"/>
    </row>
    <row r="57" spans="3:13" x14ac:dyDescent="0.25">
      <c r="C57" s="35"/>
      <c r="D57" s="43"/>
      <c r="E57" s="43"/>
      <c r="F57" s="43"/>
      <c r="G57" s="43"/>
      <c r="H57" s="43"/>
      <c r="I57" s="43"/>
      <c r="J57" s="43"/>
      <c r="K57" s="43"/>
      <c r="L57" s="46"/>
      <c r="M57" s="46"/>
    </row>
    <row r="58" spans="3:13" x14ac:dyDescent="0.25">
      <c r="C58" s="35"/>
      <c r="D58" s="43"/>
      <c r="E58" s="43"/>
      <c r="F58" s="43"/>
      <c r="G58" s="43"/>
      <c r="H58" s="43"/>
      <c r="I58" s="43"/>
      <c r="J58" s="43"/>
      <c r="K58" s="43"/>
      <c r="L58" s="46"/>
      <c r="M58" s="46"/>
    </row>
    <row r="59" spans="3:13" x14ac:dyDescent="0.25">
      <c r="C59" s="35"/>
      <c r="D59" s="43"/>
      <c r="E59" s="43"/>
      <c r="F59" s="43"/>
      <c r="G59" s="43"/>
      <c r="H59" s="43"/>
      <c r="I59" s="43"/>
      <c r="J59" s="43"/>
      <c r="K59" s="43"/>
      <c r="L59" s="46"/>
      <c r="M59" s="46"/>
    </row>
    <row r="60" spans="3:13" x14ac:dyDescent="0.25">
      <c r="C60" s="35"/>
      <c r="D60" s="43"/>
      <c r="E60" s="43"/>
      <c r="F60" s="43"/>
      <c r="G60" s="43"/>
      <c r="H60" s="43"/>
      <c r="I60" s="43"/>
      <c r="J60" s="43"/>
      <c r="K60" s="43"/>
      <c r="L60" s="46"/>
      <c r="M60" s="46"/>
    </row>
    <row r="61" spans="3:13" x14ac:dyDescent="0.25">
      <c r="C61" s="35"/>
      <c r="D61" s="43"/>
      <c r="E61" s="43"/>
      <c r="F61" s="43"/>
      <c r="G61" s="43"/>
      <c r="H61" s="43"/>
      <c r="I61" s="43"/>
      <c r="J61" s="43"/>
      <c r="K61" s="43"/>
      <c r="L61" s="46"/>
      <c r="M61" s="46"/>
    </row>
    <row r="62" spans="3:13" x14ac:dyDescent="0.25">
      <c r="C62" s="35"/>
      <c r="D62" s="43"/>
      <c r="E62" s="43"/>
      <c r="F62" s="43"/>
      <c r="G62" s="43"/>
      <c r="H62" s="43"/>
      <c r="I62" s="43"/>
      <c r="J62" s="43"/>
      <c r="K62" s="43"/>
      <c r="L62" s="46"/>
      <c r="M62" s="46"/>
    </row>
    <row r="63" spans="3:13" x14ac:dyDescent="0.25">
      <c r="C63" s="35"/>
      <c r="D63" s="43"/>
      <c r="E63" s="43"/>
      <c r="F63" s="43"/>
      <c r="G63" s="43"/>
      <c r="H63" s="43"/>
      <c r="I63" s="43"/>
      <c r="J63" s="43"/>
      <c r="K63" s="43"/>
      <c r="L63" s="46"/>
      <c r="M63" s="46"/>
    </row>
    <row r="64" spans="3:13" x14ac:dyDescent="0.25">
      <c r="C64" s="43"/>
      <c r="D64" s="43"/>
      <c r="E64" s="43"/>
      <c r="F64" s="43"/>
      <c r="G64" s="43"/>
      <c r="H64" s="43"/>
      <c r="I64" s="43"/>
      <c r="J64" s="43"/>
      <c r="K64" s="43"/>
      <c r="L64" s="46"/>
      <c r="M64" s="46"/>
    </row>
    <row r="65" spans="3:13" x14ac:dyDescent="0.25">
      <c r="C65" s="43"/>
      <c r="D65" s="43"/>
      <c r="E65" s="43"/>
      <c r="F65" s="43"/>
      <c r="G65" s="43"/>
      <c r="H65" s="43"/>
      <c r="I65" s="43"/>
      <c r="J65" s="43"/>
      <c r="K65" s="43"/>
      <c r="L65" s="46"/>
      <c r="M65" s="46"/>
    </row>
    <row r="66" spans="3:13" x14ac:dyDescent="0.25">
      <c r="C66" s="43"/>
      <c r="D66" s="43"/>
      <c r="E66" s="43"/>
      <c r="F66" s="43"/>
      <c r="G66" s="43"/>
      <c r="H66" s="43"/>
      <c r="I66" s="43"/>
      <c r="J66" s="43"/>
      <c r="K66" s="43"/>
      <c r="L66" s="46"/>
      <c r="M66" s="46"/>
    </row>
    <row r="67" spans="3:13" x14ac:dyDescent="0.25">
      <c r="C67" s="43"/>
      <c r="D67" s="43"/>
      <c r="E67" s="43"/>
      <c r="F67" s="43"/>
      <c r="G67" s="43"/>
      <c r="H67" s="43"/>
      <c r="I67" s="43"/>
      <c r="J67" s="43"/>
      <c r="K67" s="43"/>
      <c r="L67" s="46"/>
      <c r="M67" s="46"/>
    </row>
    <row r="68" spans="3:13" x14ac:dyDescent="0.25">
      <c r="C68" s="43"/>
      <c r="D68" s="43"/>
      <c r="E68" s="43"/>
      <c r="F68" s="43"/>
      <c r="G68" s="43"/>
      <c r="H68" s="43"/>
      <c r="I68" s="43"/>
      <c r="J68" s="43"/>
      <c r="K68" s="35"/>
      <c r="L68" s="46"/>
      <c r="M68" s="46"/>
    </row>
    <row r="69" spans="3:13" x14ac:dyDescent="0.25">
      <c r="C69" s="43"/>
      <c r="D69" s="43"/>
      <c r="E69" s="43"/>
      <c r="F69" s="43"/>
      <c r="G69" s="43"/>
      <c r="H69" s="43"/>
      <c r="I69" s="43"/>
      <c r="J69" s="43"/>
      <c r="K69" s="35"/>
      <c r="L69" s="46"/>
      <c r="M69" s="46"/>
    </row>
    <row r="70" spans="3:13" x14ac:dyDescent="0.25">
      <c r="C70" s="43"/>
      <c r="D70" s="43"/>
      <c r="E70" s="43"/>
      <c r="F70" s="43"/>
      <c r="G70" s="43"/>
      <c r="H70" s="43"/>
      <c r="I70" s="43"/>
      <c r="J70" s="43"/>
      <c r="K70" s="35"/>
      <c r="L70" s="46"/>
      <c r="M70" s="46"/>
    </row>
    <row r="71" spans="3:13" x14ac:dyDescent="0.25">
      <c r="C71" s="43"/>
      <c r="D71" s="43"/>
      <c r="E71" s="43"/>
      <c r="F71" s="43"/>
      <c r="G71" s="43"/>
      <c r="H71" s="43"/>
      <c r="I71" s="43"/>
      <c r="J71" s="43"/>
      <c r="K71" s="35"/>
      <c r="L71" s="46"/>
      <c r="M71" s="46"/>
    </row>
    <row r="72" spans="3:13" x14ac:dyDescent="0.25">
      <c r="C72" s="43"/>
      <c r="D72" s="43"/>
      <c r="E72" s="43"/>
      <c r="F72" s="43"/>
      <c r="G72" s="43"/>
      <c r="H72" s="43"/>
      <c r="I72" s="43"/>
      <c r="J72" s="43"/>
      <c r="K72" s="35"/>
      <c r="L72" s="46"/>
      <c r="M72" s="46"/>
    </row>
    <row r="73" spans="3:13" x14ac:dyDescent="0.25">
      <c r="C73" s="43"/>
      <c r="D73" s="43"/>
      <c r="E73" s="43"/>
      <c r="F73" s="43"/>
      <c r="G73" s="43"/>
      <c r="H73" s="43"/>
      <c r="I73" s="43"/>
      <c r="J73" s="43"/>
      <c r="K73" s="35"/>
      <c r="L73" s="46"/>
      <c r="M73" s="46"/>
    </row>
    <row r="74" spans="3:13" x14ac:dyDescent="0.25">
      <c r="C74" s="43"/>
      <c r="D74" s="43"/>
      <c r="E74" s="43"/>
      <c r="F74" s="43"/>
      <c r="G74" s="43"/>
      <c r="H74" s="43"/>
      <c r="I74" s="43"/>
      <c r="J74" s="43"/>
      <c r="K74" s="35"/>
      <c r="L74" s="46"/>
      <c r="M74" s="46"/>
    </row>
    <row r="75" spans="3:13" x14ac:dyDescent="0.25">
      <c r="C75" s="43"/>
      <c r="D75" s="43"/>
      <c r="E75" s="43"/>
      <c r="F75" s="43"/>
      <c r="G75" s="43"/>
      <c r="H75" s="43"/>
      <c r="I75" s="43"/>
      <c r="J75" s="43"/>
      <c r="K75" s="35"/>
      <c r="L75" s="46"/>
      <c r="M75" s="46"/>
    </row>
    <row r="76" spans="3:13" x14ac:dyDescent="0.25">
      <c r="C76" s="43"/>
      <c r="D76" s="43"/>
      <c r="E76" s="43"/>
      <c r="F76" s="43"/>
      <c r="G76" s="43"/>
      <c r="H76" s="43"/>
      <c r="I76" s="43"/>
      <c r="J76" s="43"/>
      <c r="K76" s="35"/>
      <c r="L76" s="46"/>
      <c r="M76" s="46"/>
    </row>
    <row r="77" spans="3:13" x14ac:dyDescent="0.25">
      <c r="C77" s="43"/>
      <c r="D77" s="43"/>
      <c r="E77" s="43"/>
      <c r="F77" s="43"/>
      <c r="G77" s="43"/>
      <c r="H77" s="43"/>
      <c r="I77" s="43"/>
      <c r="J77" s="43"/>
      <c r="K77" s="35"/>
      <c r="L77" s="46"/>
      <c r="M77" s="46"/>
    </row>
    <row r="78" spans="3:13" x14ac:dyDescent="0.25">
      <c r="C78" s="43"/>
      <c r="D78" s="43"/>
      <c r="E78" s="43"/>
      <c r="F78" s="43"/>
      <c r="G78" s="43"/>
      <c r="H78" s="43"/>
      <c r="I78" s="43"/>
      <c r="J78" s="43"/>
      <c r="K78" s="35"/>
      <c r="L78" s="46"/>
      <c r="M78" s="46"/>
    </row>
    <row r="79" spans="3:13" x14ac:dyDescent="0.25">
      <c r="C79" s="43"/>
      <c r="D79" s="43"/>
      <c r="E79" s="43"/>
      <c r="F79" s="43"/>
      <c r="G79" s="43"/>
      <c r="H79" s="43"/>
      <c r="I79" s="43"/>
      <c r="J79" s="43"/>
      <c r="K79" s="35"/>
      <c r="L79" s="46"/>
      <c r="M79" s="46"/>
    </row>
    <row r="80" spans="3:13" x14ac:dyDescent="0.25">
      <c r="C80" s="43"/>
      <c r="D80" s="43"/>
      <c r="E80" s="43"/>
      <c r="F80" s="43"/>
      <c r="G80" s="43"/>
      <c r="H80" s="43"/>
      <c r="I80" s="43"/>
      <c r="J80" s="43"/>
      <c r="K80" s="35"/>
      <c r="L80" s="46"/>
      <c r="M80" s="46"/>
    </row>
    <row r="81" spans="3:13" x14ac:dyDescent="0.25">
      <c r="C81" s="43"/>
      <c r="D81" s="43"/>
      <c r="E81" s="43"/>
      <c r="F81" s="43"/>
      <c r="G81" s="43"/>
      <c r="H81" s="43"/>
      <c r="I81" s="43"/>
      <c r="J81" s="43"/>
      <c r="K81" s="35"/>
      <c r="L81" s="46"/>
      <c r="M81" s="46"/>
    </row>
    <row r="82" spans="3:13" x14ac:dyDescent="0.25">
      <c r="C82" s="43"/>
      <c r="D82" s="43"/>
      <c r="E82" s="43"/>
      <c r="F82" s="43"/>
      <c r="G82" s="43"/>
      <c r="H82" s="43"/>
      <c r="I82" s="43"/>
      <c r="J82" s="43"/>
      <c r="K82" s="35"/>
      <c r="L82" s="46"/>
      <c r="M82" s="46"/>
    </row>
    <row r="83" spans="3:13" x14ac:dyDescent="0.25">
      <c r="C83" s="43"/>
      <c r="D83" s="43"/>
      <c r="E83" s="43"/>
      <c r="F83" s="43"/>
      <c r="G83" s="43"/>
      <c r="H83" s="43"/>
      <c r="I83" s="43"/>
      <c r="J83" s="43"/>
      <c r="K83" s="35"/>
      <c r="L83" s="46"/>
      <c r="M83" s="46"/>
    </row>
    <row r="84" spans="3:13" x14ac:dyDescent="0.25">
      <c r="C84" s="43"/>
      <c r="D84" s="43"/>
      <c r="E84" s="43"/>
      <c r="F84" s="43"/>
      <c r="G84" s="43"/>
      <c r="H84" s="43"/>
      <c r="I84" s="43"/>
      <c r="J84" s="43"/>
      <c r="K84" s="35"/>
      <c r="L84" s="46"/>
      <c r="M84" s="46"/>
    </row>
    <row r="85" spans="3:13" x14ac:dyDescent="0.25">
      <c r="C85" s="43"/>
      <c r="D85" s="43"/>
      <c r="E85" s="43"/>
      <c r="F85" s="43"/>
      <c r="G85" s="43"/>
      <c r="H85" s="43"/>
      <c r="I85" s="43"/>
      <c r="J85" s="43"/>
      <c r="K85" s="35"/>
      <c r="L85" s="46"/>
      <c r="M85" s="46"/>
    </row>
    <row r="86" spans="3:13" x14ac:dyDescent="0.25">
      <c r="C86" s="43"/>
      <c r="D86" s="43"/>
      <c r="E86" s="43"/>
      <c r="F86" s="43"/>
      <c r="G86" s="43"/>
      <c r="H86" s="43"/>
      <c r="I86" s="43"/>
      <c r="J86" s="43"/>
      <c r="K86" s="35"/>
      <c r="L86" s="46"/>
      <c r="M86" s="46"/>
    </row>
    <row r="87" spans="3:13" x14ac:dyDescent="0.25">
      <c r="C87" s="43"/>
      <c r="D87" s="43"/>
      <c r="E87" s="43"/>
      <c r="F87" s="43"/>
      <c r="G87" s="43"/>
      <c r="H87" s="43"/>
      <c r="I87" s="43"/>
      <c r="J87" s="43"/>
      <c r="K87" s="35"/>
      <c r="L87" s="46"/>
      <c r="M87" s="46"/>
    </row>
    <row r="88" spans="3:13" x14ac:dyDescent="0.25">
      <c r="C88" s="43"/>
      <c r="D88" s="43"/>
      <c r="E88" s="43"/>
      <c r="F88" s="43"/>
      <c r="G88" s="43"/>
      <c r="H88" s="43"/>
      <c r="I88" s="43"/>
      <c r="J88" s="43"/>
      <c r="K88" s="35"/>
      <c r="L88" s="46"/>
      <c r="M88" s="46"/>
    </row>
    <row r="89" spans="3:13" x14ac:dyDescent="0.25">
      <c r="C89" s="43"/>
      <c r="D89" s="43"/>
      <c r="E89" s="43"/>
      <c r="F89" s="43"/>
      <c r="G89" s="43"/>
      <c r="H89" s="43"/>
      <c r="I89" s="43"/>
      <c r="J89" s="43"/>
      <c r="K89" s="35"/>
      <c r="L89" s="46"/>
      <c r="M89" s="46"/>
    </row>
    <row r="90" spans="3:13" x14ac:dyDescent="0.25">
      <c r="C90" s="43"/>
      <c r="D90" s="43"/>
      <c r="E90" s="43"/>
      <c r="F90" s="43"/>
      <c r="G90" s="43"/>
      <c r="H90" s="43"/>
      <c r="I90" s="43"/>
      <c r="J90" s="43"/>
      <c r="K90" s="35"/>
      <c r="L90" s="46"/>
      <c r="M90" s="46"/>
    </row>
    <row r="91" spans="3:13" x14ac:dyDescent="0.25">
      <c r="C91" s="43"/>
      <c r="D91" s="43"/>
      <c r="E91" s="43"/>
      <c r="F91" s="43"/>
      <c r="G91" s="43"/>
      <c r="H91" s="43"/>
      <c r="I91" s="43"/>
      <c r="J91" s="43"/>
      <c r="K91" s="35"/>
      <c r="L91" s="46"/>
      <c r="M91" s="46"/>
    </row>
    <row r="92" spans="3:13" x14ac:dyDescent="0.25">
      <c r="C92" s="43"/>
      <c r="D92" s="43"/>
      <c r="E92" s="43"/>
      <c r="F92" s="43"/>
      <c r="G92" s="43"/>
      <c r="H92" s="43"/>
      <c r="I92" s="43"/>
      <c r="J92" s="43"/>
      <c r="K92" s="35"/>
      <c r="L92" s="46"/>
      <c r="M92" s="46"/>
    </row>
    <row r="93" spans="3:13" x14ac:dyDescent="0.25">
      <c r="C93" s="43"/>
      <c r="D93" s="43"/>
      <c r="E93" s="43"/>
      <c r="F93" s="43"/>
      <c r="G93" s="43"/>
      <c r="H93" s="43"/>
      <c r="I93" s="43"/>
      <c r="J93" s="43"/>
      <c r="K93" s="35"/>
      <c r="L93" s="46"/>
      <c r="M93" s="46"/>
    </row>
    <row r="94" spans="3:13" x14ac:dyDescent="0.25">
      <c r="C94" s="43"/>
      <c r="D94" s="43"/>
      <c r="E94" s="43"/>
      <c r="F94" s="43"/>
      <c r="G94" s="43"/>
      <c r="H94" s="43"/>
      <c r="I94" s="43"/>
      <c r="J94" s="43"/>
      <c r="K94" s="35"/>
      <c r="L94" s="46"/>
      <c r="M94" s="46"/>
    </row>
    <row r="95" spans="3:13" x14ac:dyDescent="0.25">
      <c r="C95" s="43"/>
      <c r="D95" s="43"/>
      <c r="E95" s="43"/>
      <c r="F95" s="43"/>
      <c r="G95" s="43"/>
      <c r="H95" s="43"/>
      <c r="I95" s="43"/>
      <c r="J95" s="43"/>
      <c r="K95" s="35"/>
      <c r="L95" s="46"/>
      <c r="M95" s="46"/>
    </row>
    <row r="96" spans="3:13" x14ac:dyDescent="0.25">
      <c r="C96" s="43"/>
      <c r="D96" s="43"/>
      <c r="E96" s="43"/>
      <c r="F96" s="43"/>
      <c r="G96" s="43"/>
      <c r="H96" s="43"/>
      <c r="I96" s="43"/>
      <c r="J96" s="43"/>
      <c r="K96" s="35"/>
      <c r="L96" s="46"/>
      <c r="M96" s="46"/>
    </row>
    <row r="97" spans="3:13" x14ac:dyDescent="0.25">
      <c r="C97" s="43"/>
      <c r="D97" s="43"/>
      <c r="E97" s="43"/>
      <c r="F97" s="43"/>
      <c r="G97" s="43"/>
      <c r="H97" s="43"/>
      <c r="I97" s="43"/>
      <c r="J97" s="43"/>
      <c r="K97" s="35"/>
      <c r="L97" s="46"/>
      <c r="M97" s="46"/>
    </row>
    <row r="98" spans="3:13" x14ac:dyDescent="0.25">
      <c r="C98" s="43"/>
      <c r="D98" s="43"/>
      <c r="E98" s="43"/>
      <c r="F98" s="43"/>
      <c r="G98" s="43"/>
      <c r="H98" s="43"/>
      <c r="I98" s="43"/>
      <c r="J98" s="43"/>
      <c r="K98" s="35"/>
      <c r="L98" s="46"/>
      <c r="M98" s="46"/>
    </row>
    <row r="99" spans="3:13" x14ac:dyDescent="0.25">
      <c r="C99" s="43"/>
      <c r="D99" s="43"/>
      <c r="E99" s="43"/>
      <c r="F99" s="43"/>
      <c r="G99" s="43"/>
      <c r="H99" s="43"/>
      <c r="I99" s="43"/>
      <c r="J99" s="43"/>
      <c r="K99" s="35"/>
      <c r="L99" s="46"/>
      <c r="M99" s="46"/>
    </row>
    <row r="100" spans="3:13" x14ac:dyDescent="0.25">
      <c r="C100" s="43"/>
      <c r="D100" s="43"/>
      <c r="E100" s="43"/>
      <c r="F100" s="43"/>
      <c r="G100" s="43"/>
      <c r="H100" s="43"/>
      <c r="I100" s="43"/>
      <c r="J100" s="43"/>
      <c r="K100" s="35"/>
      <c r="L100" s="46"/>
      <c r="M100" s="46"/>
    </row>
    <row r="101" spans="3:13" x14ac:dyDescent="0.25">
      <c r="C101" s="43"/>
      <c r="D101" s="43"/>
      <c r="E101" s="43"/>
      <c r="F101" s="43"/>
      <c r="G101" s="43"/>
      <c r="H101" s="43"/>
      <c r="I101" s="43"/>
      <c r="J101" s="43"/>
      <c r="K101" s="35"/>
      <c r="L101" s="46"/>
      <c r="M101" s="46"/>
    </row>
    <row r="102" spans="3:13" x14ac:dyDescent="0.25">
      <c r="C102" s="43"/>
      <c r="D102" s="43"/>
      <c r="E102" s="43"/>
      <c r="F102" s="43"/>
      <c r="G102" s="43"/>
      <c r="H102" s="43"/>
      <c r="I102" s="43"/>
      <c r="J102" s="43"/>
      <c r="K102" s="35"/>
      <c r="L102" s="46"/>
      <c r="M102" s="46"/>
    </row>
    <row r="103" spans="3:13" x14ac:dyDescent="0.25">
      <c r="C103" s="43"/>
      <c r="D103" s="43"/>
      <c r="E103" s="43"/>
      <c r="F103" s="43"/>
      <c r="G103" s="43"/>
      <c r="H103" s="43"/>
      <c r="I103" s="43"/>
      <c r="J103" s="43"/>
      <c r="K103" s="35"/>
      <c r="L103" s="46"/>
      <c r="M103" s="46"/>
    </row>
    <row r="104" spans="3:13" x14ac:dyDescent="0.25">
      <c r="C104" s="43"/>
      <c r="D104" s="43"/>
      <c r="E104" s="43"/>
      <c r="F104" s="43"/>
      <c r="G104" s="43"/>
      <c r="H104" s="43"/>
      <c r="I104" s="43"/>
      <c r="J104" s="43"/>
      <c r="K104" s="35"/>
      <c r="L104" s="46"/>
      <c r="M104" s="46"/>
    </row>
    <row r="105" spans="3:13" x14ac:dyDescent="0.25">
      <c r="C105" s="43"/>
      <c r="D105" s="43"/>
      <c r="E105" s="43"/>
      <c r="F105" s="43"/>
      <c r="G105" s="43"/>
      <c r="H105" s="43"/>
      <c r="I105" s="43"/>
      <c r="J105" s="43"/>
      <c r="K105" s="35"/>
      <c r="L105" s="46"/>
      <c r="M105" s="46"/>
    </row>
    <row r="106" spans="3:13" x14ac:dyDescent="0.25">
      <c r="C106" s="43"/>
      <c r="D106" s="43"/>
      <c r="E106" s="43"/>
      <c r="F106" s="43"/>
      <c r="G106" s="43"/>
      <c r="H106" s="43"/>
      <c r="I106" s="43"/>
      <c r="J106" s="43"/>
      <c r="K106" s="35"/>
      <c r="L106" s="46"/>
      <c r="M106" s="46"/>
    </row>
    <row r="107" spans="3:13" x14ac:dyDescent="0.25">
      <c r="C107" s="43"/>
      <c r="D107" s="43"/>
      <c r="E107" s="43"/>
      <c r="F107" s="43"/>
      <c r="G107" s="43"/>
      <c r="H107" s="43"/>
      <c r="I107" s="43"/>
      <c r="J107" s="43"/>
      <c r="K107" s="35"/>
      <c r="L107" s="46"/>
      <c r="M107" s="46"/>
    </row>
    <row r="108" spans="3:13" x14ac:dyDescent="0.25">
      <c r="C108" s="43"/>
      <c r="D108" s="43"/>
      <c r="E108" s="43"/>
      <c r="F108" s="43"/>
      <c r="G108" s="43"/>
      <c r="H108" s="43"/>
      <c r="I108" s="43"/>
      <c r="J108" s="43"/>
      <c r="K108" s="35"/>
      <c r="L108" s="46"/>
      <c r="M108" s="46"/>
    </row>
    <row r="109" spans="3:13" x14ac:dyDescent="0.25">
      <c r="C109" s="43"/>
      <c r="D109" s="43"/>
      <c r="E109" s="43"/>
      <c r="F109" s="43"/>
      <c r="G109" s="43"/>
      <c r="H109" s="43"/>
      <c r="I109" s="43"/>
      <c r="J109" s="43"/>
      <c r="K109" s="35"/>
      <c r="L109" s="46"/>
      <c r="M109" s="46"/>
    </row>
    <row r="110" spans="3:13" x14ac:dyDescent="0.25">
      <c r="C110" s="43"/>
      <c r="D110" s="43"/>
      <c r="E110" s="43"/>
      <c r="F110" s="43"/>
      <c r="G110" s="43"/>
      <c r="H110" s="43"/>
      <c r="I110" s="43"/>
      <c r="J110" s="43"/>
      <c r="K110" s="35"/>
      <c r="L110" s="46"/>
      <c r="M110" s="46"/>
    </row>
    <row r="111" spans="3:13" x14ac:dyDescent="0.25">
      <c r="C111" s="43"/>
      <c r="D111" s="43"/>
      <c r="E111" s="43"/>
      <c r="F111" s="43"/>
      <c r="G111" s="43"/>
      <c r="H111" s="43"/>
      <c r="I111" s="43"/>
      <c r="J111" s="43"/>
      <c r="K111" s="35"/>
      <c r="L111" s="46"/>
      <c r="M111" s="46"/>
    </row>
    <row r="112" spans="3:13" x14ac:dyDescent="0.25">
      <c r="C112" s="43"/>
      <c r="D112" s="43"/>
      <c r="E112" s="43"/>
      <c r="F112" s="43"/>
      <c r="G112" s="43"/>
      <c r="H112" s="43"/>
      <c r="I112" s="43"/>
      <c r="J112" s="43"/>
      <c r="K112" s="35"/>
      <c r="L112" s="46"/>
      <c r="M112" s="46"/>
    </row>
    <row r="113" spans="3:13" x14ac:dyDescent="0.25">
      <c r="C113" s="43"/>
      <c r="D113" s="43"/>
      <c r="E113" s="43"/>
      <c r="F113" s="43"/>
      <c r="G113" s="43"/>
      <c r="H113" s="43"/>
      <c r="I113" s="43"/>
      <c r="J113" s="43"/>
      <c r="K113" s="35"/>
      <c r="L113" s="46"/>
      <c r="M113" s="46"/>
    </row>
    <row r="114" spans="3:13" x14ac:dyDescent="0.25">
      <c r="C114" s="43"/>
      <c r="D114" s="43"/>
      <c r="E114" s="43"/>
      <c r="F114" s="43"/>
      <c r="G114" s="43"/>
      <c r="H114" s="43"/>
      <c r="I114" s="43"/>
      <c r="J114" s="43"/>
      <c r="K114" s="35"/>
      <c r="L114" s="46"/>
      <c r="M114" s="46"/>
    </row>
    <row r="115" spans="3:13" x14ac:dyDescent="0.25">
      <c r="C115" s="43"/>
      <c r="D115" s="43"/>
      <c r="E115" s="43"/>
      <c r="F115" s="43"/>
      <c r="G115" s="43"/>
      <c r="H115" s="43"/>
      <c r="I115" s="43"/>
      <c r="J115" s="43"/>
      <c r="K115" s="35"/>
      <c r="L115" s="46"/>
      <c r="M115" s="46"/>
    </row>
    <row r="116" spans="3:13" x14ac:dyDescent="0.25">
      <c r="C116" s="43"/>
      <c r="D116" s="43"/>
      <c r="E116" s="43"/>
      <c r="F116" s="43"/>
      <c r="G116" s="43"/>
      <c r="H116" s="43"/>
      <c r="I116" s="43"/>
      <c r="J116" s="43"/>
      <c r="K116" s="35"/>
      <c r="L116" s="46"/>
      <c r="M116" s="46"/>
    </row>
    <row r="117" spans="3:13" x14ac:dyDescent="0.25">
      <c r="C117" s="43"/>
      <c r="D117" s="43"/>
      <c r="E117" s="43"/>
      <c r="F117" s="43"/>
      <c r="G117" s="43"/>
      <c r="H117" s="43"/>
      <c r="I117" s="43"/>
      <c r="J117" s="43"/>
      <c r="K117" s="35"/>
      <c r="L117" s="46"/>
      <c r="M117" s="46"/>
    </row>
    <row r="118" spans="3:13" x14ac:dyDescent="0.25">
      <c r="C118" s="43"/>
      <c r="D118" s="43"/>
      <c r="E118" s="43"/>
      <c r="F118" s="43"/>
      <c r="G118" s="43"/>
      <c r="H118" s="43"/>
      <c r="I118" s="43"/>
      <c r="J118" s="43"/>
      <c r="K118" s="35"/>
      <c r="L118" s="46"/>
      <c r="M118" s="46"/>
    </row>
    <row r="119" spans="3:13" x14ac:dyDescent="0.25">
      <c r="C119" s="43"/>
      <c r="D119" s="43"/>
      <c r="E119" s="43"/>
      <c r="F119" s="43"/>
      <c r="G119" s="43"/>
      <c r="H119" s="43"/>
      <c r="I119" s="43"/>
      <c r="J119" s="43"/>
      <c r="K119" s="35"/>
      <c r="L119" s="46"/>
      <c r="M119" s="46"/>
    </row>
    <row r="120" spans="3:13" x14ac:dyDescent="0.25">
      <c r="C120" s="43"/>
      <c r="D120" s="43"/>
      <c r="E120" s="43"/>
      <c r="F120" s="43"/>
      <c r="G120" s="43"/>
      <c r="H120" s="43"/>
      <c r="I120" s="43"/>
      <c r="J120" s="43"/>
      <c r="K120" s="35"/>
      <c r="L120" s="46"/>
      <c r="M120" s="46"/>
    </row>
    <row r="121" spans="3:13" x14ac:dyDescent="0.25">
      <c r="C121" s="43"/>
      <c r="D121" s="43"/>
      <c r="E121" s="43"/>
      <c r="F121" s="43"/>
      <c r="G121" s="43"/>
      <c r="H121" s="43"/>
      <c r="I121" s="43"/>
      <c r="J121" s="43"/>
      <c r="K121" s="43"/>
      <c r="L121" s="46"/>
      <c r="M121" s="46"/>
    </row>
    <row r="122" spans="3:13" x14ac:dyDescent="0.25">
      <c r="C122" s="43"/>
      <c r="D122" s="43"/>
      <c r="E122" s="43"/>
      <c r="F122" s="43"/>
      <c r="G122" s="43"/>
      <c r="H122" s="43"/>
      <c r="I122" s="43"/>
      <c r="J122" s="43"/>
      <c r="K122" s="43"/>
      <c r="L122" s="46"/>
      <c r="M122" s="46"/>
    </row>
    <row r="123" spans="3:13" x14ac:dyDescent="0.25">
      <c r="C123" s="43"/>
      <c r="D123" s="43"/>
      <c r="E123" s="43"/>
      <c r="F123" s="43"/>
      <c r="G123" s="43"/>
      <c r="H123" s="43"/>
      <c r="I123" s="43"/>
      <c r="J123" s="43"/>
      <c r="K123" s="43"/>
      <c r="L123" s="46"/>
      <c r="M123" s="46"/>
    </row>
    <row r="124" spans="3:13" x14ac:dyDescent="0.25">
      <c r="C124" s="43"/>
      <c r="D124" s="43"/>
      <c r="E124" s="43"/>
      <c r="F124" s="43"/>
      <c r="G124" s="43"/>
      <c r="H124" s="43"/>
      <c r="I124" s="43"/>
      <c r="J124" s="43"/>
      <c r="K124" s="43"/>
      <c r="L124" s="46"/>
      <c r="M124" s="46"/>
    </row>
    <row r="125" spans="3:13" x14ac:dyDescent="0.25">
      <c r="C125" s="43"/>
      <c r="D125" s="43"/>
      <c r="E125" s="43"/>
      <c r="F125" s="43"/>
      <c r="G125" s="43"/>
      <c r="H125" s="43"/>
      <c r="I125" s="43"/>
      <c r="J125" s="43"/>
      <c r="K125" s="43"/>
      <c r="L125" s="46"/>
      <c r="M125" s="46"/>
    </row>
    <row r="126" spans="3:13" x14ac:dyDescent="0.25">
      <c r="C126" s="43"/>
      <c r="D126" s="43"/>
      <c r="E126" s="43"/>
      <c r="F126" s="43"/>
      <c r="G126" s="43"/>
      <c r="H126" s="43"/>
      <c r="I126" s="43"/>
      <c r="J126" s="43"/>
      <c r="K126" s="43"/>
      <c r="L126" s="46"/>
      <c r="M126" s="46"/>
    </row>
    <row r="127" spans="3:13" x14ac:dyDescent="0.25">
      <c r="C127" s="43"/>
      <c r="D127" s="43"/>
      <c r="E127" s="43"/>
      <c r="F127" s="43"/>
      <c r="G127" s="43"/>
      <c r="H127" s="43"/>
      <c r="I127" s="43"/>
      <c r="J127" s="43"/>
      <c r="K127" s="43"/>
      <c r="L127" s="46"/>
      <c r="M127" s="46"/>
    </row>
    <row r="128" spans="3:13" x14ac:dyDescent="0.25">
      <c r="C128" s="43"/>
      <c r="D128" s="43"/>
      <c r="E128" s="43"/>
      <c r="F128" s="43"/>
      <c r="G128" s="43"/>
      <c r="H128" s="43"/>
      <c r="I128" s="43"/>
      <c r="J128" s="43"/>
      <c r="K128" s="43"/>
      <c r="L128" s="46"/>
      <c r="M128" s="46"/>
    </row>
    <row r="129" spans="3:13" x14ac:dyDescent="0.25">
      <c r="C129" s="43"/>
      <c r="D129" s="43"/>
      <c r="E129" s="43"/>
      <c r="F129" s="43"/>
      <c r="G129" s="43"/>
      <c r="H129" s="43"/>
      <c r="I129" s="43"/>
      <c r="J129" s="43"/>
      <c r="K129" s="43"/>
      <c r="L129" s="46"/>
      <c r="M129" s="46"/>
    </row>
    <row r="130" spans="3:13" x14ac:dyDescent="0.25">
      <c r="C130" s="43"/>
      <c r="D130" s="43"/>
      <c r="E130" s="43"/>
      <c r="F130" s="43"/>
      <c r="G130" s="43"/>
      <c r="H130" s="43"/>
      <c r="I130" s="43"/>
      <c r="J130" s="43"/>
      <c r="K130" s="43"/>
      <c r="L130" s="46"/>
      <c r="M130" s="46"/>
    </row>
    <row r="131" spans="3:13" x14ac:dyDescent="0.25">
      <c r="C131" s="43"/>
      <c r="D131" s="43"/>
      <c r="E131" s="43"/>
      <c r="F131" s="43"/>
      <c r="G131" s="43"/>
      <c r="H131" s="43"/>
      <c r="I131" s="43"/>
      <c r="J131" s="43"/>
      <c r="K131" s="43"/>
      <c r="L131" s="46"/>
      <c r="M131" s="46"/>
    </row>
    <row r="132" spans="3:13" x14ac:dyDescent="0.25">
      <c r="C132" s="43"/>
      <c r="D132" s="43"/>
      <c r="E132" s="43"/>
      <c r="F132" s="43"/>
      <c r="G132" s="43"/>
      <c r="H132" s="43"/>
      <c r="I132" s="43"/>
      <c r="J132" s="43"/>
      <c r="K132" s="43"/>
      <c r="L132" s="46"/>
      <c r="M132" s="46"/>
    </row>
    <row r="133" spans="3:13" x14ac:dyDescent="0.25">
      <c r="C133" s="43"/>
      <c r="D133" s="43"/>
      <c r="E133" s="43"/>
      <c r="F133" s="43"/>
      <c r="G133" s="43"/>
      <c r="H133" s="43"/>
      <c r="I133" s="43"/>
      <c r="J133" s="43"/>
      <c r="K133" s="43"/>
      <c r="L133" s="46"/>
      <c r="M133" s="46"/>
    </row>
    <row r="134" spans="3:13" x14ac:dyDescent="0.25">
      <c r="C134" s="43"/>
      <c r="D134" s="43"/>
      <c r="E134" s="43"/>
      <c r="F134" s="43"/>
      <c r="G134" s="43"/>
      <c r="H134" s="43"/>
      <c r="I134" s="43"/>
      <c r="J134" s="43"/>
      <c r="K134" s="43"/>
      <c r="L134" s="46"/>
      <c r="M134" s="46"/>
    </row>
    <row r="135" spans="3:13" x14ac:dyDescent="0.25">
      <c r="C135" s="43"/>
      <c r="D135" s="43"/>
      <c r="E135" s="43"/>
      <c r="F135" s="43"/>
      <c r="G135" s="43"/>
      <c r="H135" s="43"/>
      <c r="I135" s="43"/>
      <c r="J135" s="43"/>
      <c r="K135" s="43"/>
      <c r="L135" s="46"/>
      <c r="M135" s="46"/>
    </row>
    <row r="136" spans="3:13" x14ac:dyDescent="0.25">
      <c r="C136" s="43"/>
      <c r="D136" s="43"/>
      <c r="E136" s="43"/>
      <c r="F136" s="43"/>
      <c r="G136" s="43"/>
      <c r="H136" s="43"/>
      <c r="I136" s="43"/>
      <c r="J136" s="43"/>
      <c r="K136" s="43"/>
      <c r="L136" s="46"/>
      <c r="M136" s="46"/>
    </row>
    <row r="137" spans="3:13" x14ac:dyDescent="0.25">
      <c r="C137" s="43"/>
      <c r="D137" s="43"/>
      <c r="E137" s="43"/>
      <c r="F137" s="43"/>
      <c r="G137" s="43"/>
      <c r="H137" s="43"/>
      <c r="I137" s="43"/>
      <c r="J137" s="43"/>
      <c r="K137" s="43"/>
      <c r="L137" s="46"/>
      <c r="M137" s="46"/>
    </row>
    <row r="138" spans="3:13" x14ac:dyDescent="0.25">
      <c r="C138" s="43"/>
      <c r="D138" s="43"/>
      <c r="E138" s="43"/>
      <c r="F138" s="43"/>
      <c r="G138" s="43"/>
      <c r="H138" s="43"/>
      <c r="I138" s="43"/>
      <c r="J138" s="43"/>
      <c r="K138" s="43"/>
      <c r="L138" s="46"/>
      <c r="M138" s="46"/>
    </row>
    <row r="139" spans="3:13" x14ac:dyDescent="0.25">
      <c r="C139" s="43"/>
      <c r="D139" s="43"/>
      <c r="E139" s="43"/>
      <c r="F139" s="43"/>
      <c r="G139" s="43"/>
      <c r="H139" s="43"/>
      <c r="I139" s="43"/>
      <c r="J139" s="43"/>
      <c r="K139" s="43"/>
      <c r="L139" s="46"/>
      <c r="M139" s="46"/>
    </row>
    <row r="140" spans="3:13" x14ac:dyDescent="0.25">
      <c r="C140" s="43"/>
      <c r="D140" s="43"/>
      <c r="E140" s="43"/>
      <c r="F140" s="43"/>
      <c r="G140" s="43"/>
      <c r="H140" s="43"/>
      <c r="I140" s="43"/>
      <c r="J140" s="43"/>
      <c r="K140" s="43"/>
      <c r="L140" s="46"/>
      <c r="M140" s="46"/>
    </row>
    <row r="141" spans="3:13" x14ac:dyDescent="0.25">
      <c r="C141" s="43"/>
      <c r="D141" s="43"/>
      <c r="E141" s="43"/>
      <c r="F141" s="43"/>
      <c r="G141" s="43"/>
      <c r="H141" s="43"/>
      <c r="I141" s="43"/>
      <c r="J141" s="43"/>
      <c r="K141" s="43"/>
      <c r="L141" s="46"/>
      <c r="M141" s="46"/>
    </row>
    <row r="142" spans="3:13" x14ac:dyDescent="0.25">
      <c r="C142" s="43"/>
      <c r="D142" s="43"/>
      <c r="E142" s="43"/>
      <c r="F142" s="43"/>
      <c r="G142" s="43"/>
      <c r="H142" s="43"/>
      <c r="I142" s="43"/>
      <c r="J142" s="43"/>
      <c r="K142" s="43"/>
      <c r="L142" s="46"/>
      <c r="M142" s="46"/>
    </row>
    <row r="143" spans="3:13" x14ac:dyDescent="0.25">
      <c r="C143" s="43"/>
      <c r="D143" s="43"/>
      <c r="E143" s="43"/>
      <c r="F143" s="43"/>
      <c r="G143" s="43"/>
      <c r="H143" s="43"/>
      <c r="I143" s="43"/>
      <c r="J143" s="43"/>
      <c r="K143" s="43"/>
      <c r="L143" s="46"/>
      <c r="M143" s="46"/>
    </row>
    <row r="144" spans="3:13" x14ac:dyDescent="0.25">
      <c r="C144" s="43"/>
      <c r="D144" s="43"/>
      <c r="E144" s="43"/>
      <c r="F144" s="43"/>
      <c r="G144" s="43"/>
      <c r="H144" s="43"/>
      <c r="I144" s="43"/>
      <c r="J144" s="43"/>
      <c r="K144" s="43"/>
      <c r="L144" s="46"/>
      <c r="M144" s="46"/>
    </row>
    <row r="145" spans="3:13" x14ac:dyDescent="0.25">
      <c r="C145" s="43"/>
      <c r="D145" s="43"/>
      <c r="E145" s="43"/>
      <c r="F145" s="43"/>
      <c r="G145" s="43"/>
      <c r="H145" s="43"/>
      <c r="I145" s="43"/>
      <c r="J145" s="43"/>
      <c r="K145" s="43"/>
      <c r="L145" s="46"/>
      <c r="M145" s="46"/>
    </row>
    <row r="146" spans="3:13" x14ac:dyDescent="0.25">
      <c r="C146" s="43"/>
      <c r="D146" s="43"/>
      <c r="E146" s="43"/>
      <c r="F146" s="43"/>
      <c r="G146" s="43"/>
      <c r="H146" s="43"/>
      <c r="I146" s="43"/>
      <c r="J146" s="43"/>
      <c r="K146" s="43"/>
      <c r="L146" s="46"/>
      <c r="M146" s="46"/>
    </row>
    <row r="147" spans="3:13" x14ac:dyDescent="0.25">
      <c r="C147" s="43"/>
      <c r="D147" s="43"/>
      <c r="E147" s="43"/>
      <c r="F147" s="43"/>
      <c r="G147" s="43"/>
      <c r="H147" s="43"/>
      <c r="I147" s="43"/>
      <c r="J147" s="43"/>
      <c r="K147" s="43"/>
      <c r="L147" s="46"/>
      <c r="M147" s="46"/>
    </row>
    <row r="148" spans="3:13" x14ac:dyDescent="0.25">
      <c r="C148" s="43"/>
      <c r="D148" s="43"/>
      <c r="E148" s="43"/>
      <c r="F148" s="43"/>
      <c r="G148" s="43"/>
      <c r="H148" s="43"/>
      <c r="I148" s="43"/>
      <c r="J148" s="43"/>
      <c r="K148" s="43"/>
      <c r="L148" s="46"/>
      <c r="M148" s="46"/>
    </row>
    <row r="149" spans="3:13" x14ac:dyDescent="0.25">
      <c r="C149" s="43"/>
      <c r="D149" s="43"/>
      <c r="E149" s="43"/>
      <c r="F149" s="43"/>
      <c r="G149" s="43"/>
      <c r="H149" s="43"/>
      <c r="I149" s="43"/>
      <c r="J149" s="43"/>
      <c r="K149" s="43"/>
      <c r="L149" s="46"/>
      <c r="M149" s="46"/>
    </row>
    <row r="150" spans="3:13" x14ac:dyDescent="0.25">
      <c r="C150" s="43"/>
      <c r="D150" s="43"/>
      <c r="E150" s="43"/>
      <c r="F150" s="43"/>
      <c r="G150" s="43"/>
      <c r="H150" s="43"/>
      <c r="I150" s="43"/>
      <c r="J150" s="43"/>
      <c r="K150" s="43"/>
      <c r="L150" s="46"/>
      <c r="M150" s="46"/>
    </row>
    <row r="151" spans="3:13" x14ac:dyDescent="0.25">
      <c r="C151" s="43"/>
      <c r="D151" s="43"/>
      <c r="E151" s="43"/>
      <c r="F151" s="43"/>
      <c r="G151" s="43"/>
      <c r="H151" s="43"/>
      <c r="I151" s="43"/>
      <c r="J151" s="43"/>
      <c r="K151" s="43"/>
      <c r="L151" s="46"/>
      <c r="M151" s="46"/>
    </row>
    <row r="152" spans="3:13" x14ac:dyDescent="0.25">
      <c r="C152" s="43"/>
      <c r="D152" s="43"/>
      <c r="E152" s="43"/>
      <c r="F152" s="43"/>
      <c r="G152" s="43"/>
      <c r="H152" s="43"/>
      <c r="I152" s="43"/>
      <c r="J152" s="43"/>
      <c r="K152" s="43"/>
      <c r="L152" s="46"/>
      <c r="M152" s="46"/>
    </row>
    <row r="153" spans="3:13" x14ac:dyDescent="0.25">
      <c r="C153" s="43"/>
      <c r="D153" s="43"/>
      <c r="E153" s="43"/>
      <c r="F153" s="43"/>
      <c r="G153" s="43"/>
      <c r="H153" s="43"/>
      <c r="I153" s="43"/>
      <c r="J153" s="43"/>
      <c r="K153" s="43"/>
      <c r="L153" s="46"/>
      <c r="M153" s="46"/>
    </row>
    <row r="154" spans="3:13" x14ac:dyDescent="0.25">
      <c r="C154" s="43"/>
      <c r="D154" s="43"/>
      <c r="E154" s="43"/>
      <c r="F154" s="43"/>
      <c r="G154" s="43"/>
      <c r="H154" s="43"/>
      <c r="I154" s="43"/>
      <c r="J154" s="43"/>
      <c r="K154" s="43"/>
      <c r="L154" s="46"/>
      <c r="M154" s="46"/>
    </row>
    <row r="155" spans="3:13" x14ac:dyDescent="0.25">
      <c r="C155" s="43"/>
      <c r="D155" s="43"/>
      <c r="E155" s="43"/>
      <c r="F155" s="43"/>
      <c r="G155" s="43"/>
      <c r="H155" s="43"/>
      <c r="I155" s="43"/>
      <c r="J155" s="43"/>
      <c r="K155" s="43"/>
      <c r="L155" s="46"/>
      <c r="M155" s="46"/>
    </row>
    <row r="156" spans="3:13" x14ac:dyDescent="0.25">
      <c r="C156" s="43"/>
      <c r="D156" s="43"/>
      <c r="E156" s="43"/>
      <c r="F156" s="43"/>
      <c r="G156" s="43"/>
      <c r="H156" s="43"/>
      <c r="I156" s="43"/>
      <c r="J156" s="43"/>
      <c r="K156" s="43"/>
      <c r="L156" s="46"/>
      <c r="M156" s="46"/>
    </row>
    <row r="157" spans="3:13" x14ac:dyDescent="0.25">
      <c r="C157" s="43"/>
      <c r="D157" s="43"/>
      <c r="E157" s="43"/>
      <c r="F157" s="43"/>
      <c r="G157" s="43"/>
      <c r="H157" s="43"/>
      <c r="I157" s="43"/>
      <c r="J157" s="43"/>
      <c r="K157" s="43"/>
      <c r="L157" s="46"/>
      <c r="M157" s="46"/>
    </row>
    <row r="158" spans="3:13" x14ac:dyDescent="0.25">
      <c r="C158" s="43"/>
      <c r="D158" s="43"/>
      <c r="E158" s="43"/>
      <c r="F158" s="43"/>
      <c r="G158" s="43"/>
      <c r="H158" s="43"/>
      <c r="I158" s="43"/>
      <c r="J158" s="43"/>
      <c r="K158" s="43"/>
      <c r="L158" s="46"/>
      <c r="M158" s="46"/>
    </row>
    <row r="159" spans="3:13" x14ac:dyDescent="0.25">
      <c r="C159" s="43"/>
      <c r="D159" s="43"/>
      <c r="E159" s="43"/>
      <c r="F159" s="43"/>
      <c r="G159" s="43"/>
      <c r="H159" s="43"/>
      <c r="I159" s="43"/>
      <c r="J159" s="43"/>
      <c r="K159" s="43"/>
      <c r="L159" s="46"/>
      <c r="M159" s="46"/>
    </row>
    <row r="160" spans="3:13" x14ac:dyDescent="0.25">
      <c r="C160" s="43"/>
      <c r="D160" s="43"/>
      <c r="E160" s="43"/>
      <c r="F160" s="43"/>
      <c r="G160" s="43"/>
      <c r="H160" s="43"/>
      <c r="I160" s="43"/>
      <c r="J160" s="43"/>
      <c r="K160" s="43"/>
      <c r="L160" s="46"/>
      <c r="M160" s="46"/>
    </row>
    <row r="161" spans="3:13" x14ac:dyDescent="0.25">
      <c r="C161" s="43"/>
      <c r="D161" s="43"/>
      <c r="E161" s="43"/>
      <c r="F161" s="43"/>
      <c r="G161" s="43"/>
      <c r="H161" s="43"/>
      <c r="I161" s="43"/>
      <c r="J161" s="43"/>
      <c r="K161" s="43"/>
      <c r="L161" s="46"/>
      <c r="M161" s="46"/>
    </row>
    <row r="162" spans="3:13" x14ac:dyDescent="0.25">
      <c r="C162" s="43"/>
      <c r="D162" s="43"/>
      <c r="E162" s="43"/>
      <c r="F162" s="43"/>
      <c r="G162" s="43"/>
      <c r="H162" s="43"/>
      <c r="I162" s="43"/>
      <c r="J162" s="43"/>
      <c r="K162" s="43"/>
      <c r="L162" s="46"/>
      <c r="M162" s="46"/>
    </row>
    <row r="163" spans="3:13" x14ac:dyDescent="0.25">
      <c r="C163" s="43"/>
      <c r="D163" s="43"/>
      <c r="E163" s="43"/>
      <c r="F163" s="43"/>
      <c r="G163" s="43"/>
      <c r="H163" s="43"/>
      <c r="I163" s="43"/>
      <c r="J163" s="43"/>
      <c r="K163" s="43"/>
      <c r="L163" s="46"/>
      <c r="M163" s="46"/>
    </row>
    <row r="164" spans="3:13" x14ac:dyDescent="0.25">
      <c r="C164" s="43"/>
      <c r="D164" s="43"/>
      <c r="E164" s="43"/>
      <c r="F164" s="43"/>
      <c r="G164" s="43"/>
      <c r="H164" s="43"/>
      <c r="I164" s="43"/>
      <c r="J164" s="43"/>
      <c r="K164" s="43"/>
      <c r="L164" s="46"/>
      <c r="M164" s="46"/>
    </row>
    <row r="165" spans="3:13" x14ac:dyDescent="0.25">
      <c r="C165" s="43"/>
      <c r="D165" s="43"/>
      <c r="E165" s="43"/>
      <c r="F165" s="43"/>
      <c r="G165" s="43"/>
      <c r="H165" s="43"/>
      <c r="I165" s="43"/>
      <c r="J165" s="43"/>
      <c r="K165" s="43"/>
      <c r="L165" s="46"/>
      <c r="M165" s="46"/>
    </row>
    <row r="166" spans="3:13" x14ac:dyDescent="0.25">
      <c r="C166" s="43"/>
      <c r="D166" s="43"/>
      <c r="E166" s="43"/>
      <c r="F166" s="43"/>
      <c r="G166" s="43"/>
      <c r="H166" s="43"/>
      <c r="I166" s="43"/>
      <c r="J166" s="43"/>
      <c r="K166" s="43"/>
      <c r="L166" s="46"/>
      <c r="M166" s="46"/>
    </row>
    <row r="167" spans="3:13" x14ac:dyDescent="0.25">
      <c r="C167" s="43"/>
      <c r="D167" s="43"/>
      <c r="E167" s="43"/>
      <c r="F167" s="43"/>
      <c r="G167" s="43"/>
      <c r="H167" s="43"/>
      <c r="I167" s="43"/>
      <c r="J167" s="43"/>
      <c r="K167" s="43"/>
      <c r="L167" s="46"/>
      <c r="M167" s="46"/>
    </row>
    <row r="168" spans="3:13" x14ac:dyDescent="0.25">
      <c r="C168" s="43"/>
      <c r="D168" s="43"/>
      <c r="E168" s="43"/>
      <c r="F168" s="43"/>
      <c r="G168" s="43"/>
      <c r="H168" s="43"/>
      <c r="I168" s="43"/>
      <c r="J168" s="43"/>
      <c r="K168" s="43"/>
      <c r="L168" s="46"/>
      <c r="M168" s="46"/>
    </row>
    <row r="169" spans="3:13" x14ac:dyDescent="0.25">
      <c r="C169" s="43"/>
      <c r="D169" s="43"/>
      <c r="E169" s="43"/>
      <c r="F169" s="43"/>
      <c r="G169" s="43"/>
      <c r="H169" s="43"/>
      <c r="I169" s="43"/>
      <c r="J169" s="43"/>
      <c r="K169" s="43"/>
      <c r="L169" s="46"/>
      <c r="M169" s="46"/>
    </row>
    <row r="170" spans="3:13" x14ac:dyDescent="0.25">
      <c r="C170" s="43"/>
      <c r="D170" s="43"/>
      <c r="E170" s="43"/>
      <c r="F170" s="43"/>
      <c r="G170" s="43"/>
      <c r="H170" s="43"/>
      <c r="I170" s="43"/>
      <c r="J170" s="43"/>
      <c r="K170" s="43"/>
      <c r="L170" s="46"/>
      <c r="M170" s="46"/>
    </row>
    <row r="171" spans="3:13" x14ac:dyDescent="0.25">
      <c r="C171" s="43"/>
      <c r="D171" s="43"/>
      <c r="E171" s="43"/>
      <c r="F171" s="43"/>
      <c r="G171" s="43"/>
      <c r="H171" s="43"/>
      <c r="I171" s="43"/>
      <c r="J171" s="43"/>
      <c r="K171" s="43"/>
      <c r="L171" s="46"/>
      <c r="M171" s="46"/>
    </row>
    <row r="172" spans="3:13" x14ac:dyDescent="0.25">
      <c r="C172" s="43"/>
      <c r="D172" s="43"/>
      <c r="E172" s="43"/>
      <c r="F172" s="43"/>
      <c r="G172" s="43"/>
      <c r="H172" s="43"/>
      <c r="I172" s="43"/>
      <c r="J172" s="43"/>
      <c r="K172" s="43"/>
      <c r="L172" s="46"/>
      <c r="M172" s="46"/>
    </row>
    <row r="173" spans="3:13" x14ac:dyDescent="0.25">
      <c r="C173" s="43"/>
      <c r="D173" s="43"/>
      <c r="E173" s="43"/>
      <c r="F173" s="43"/>
      <c r="G173" s="43"/>
      <c r="H173" s="43"/>
      <c r="I173" s="43"/>
      <c r="J173" s="43"/>
      <c r="K173" s="43"/>
      <c r="L173" s="46"/>
      <c r="M173" s="46"/>
    </row>
    <row r="174" spans="3:13" x14ac:dyDescent="0.25">
      <c r="C174" s="43"/>
      <c r="D174" s="43"/>
      <c r="E174" s="43"/>
      <c r="F174" s="43"/>
      <c r="G174" s="43"/>
      <c r="H174" s="43"/>
      <c r="I174" s="43"/>
      <c r="J174" s="43"/>
      <c r="K174" s="43"/>
      <c r="L174" s="46"/>
      <c r="M174" s="46"/>
    </row>
    <row r="175" spans="3:13" x14ac:dyDescent="0.25">
      <c r="C175" s="43"/>
      <c r="D175" s="43"/>
      <c r="E175" s="43"/>
      <c r="F175" s="43"/>
      <c r="G175" s="43"/>
      <c r="H175" s="43"/>
      <c r="I175" s="43"/>
      <c r="J175" s="43"/>
      <c r="K175" s="43"/>
      <c r="L175" s="46"/>
      <c r="M175" s="46"/>
    </row>
    <row r="176" spans="3:13" x14ac:dyDescent="0.25">
      <c r="C176" s="43"/>
      <c r="D176" s="43"/>
      <c r="E176" s="43"/>
      <c r="F176" s="43"/>
      <c r="G176" s="43"/>
      <c r="H176" s="43"/>
      <c r="I176" s="43"/>
      <c r="J176" s="43"/>
      <c r="K176" s="43"/>
      <c r="L176" s="46"/>
      <c r="M176" s="46"/>
    </row>
    <row r="177" spans="3:13" x14ac:dyDescent="0.25">
      <c r="C177" s="43"/>
      <c r="D177" s="43"/>
      <c r="E177" s="43"/>
      <c r="F177" s="43"/>
      <c r="G177" s="43"/>
      <c r="H177" s="43"/>
      <c r="I177" s="43"/>
      <c r="J177" s="43"/>
      <c r="K177" s="43"/>
      <c r="L177" s="46"/>
      <c r="M177" s="46"/>
    </row>
    <row r="178" spans="3:13" x14ac:dyDescent="0.25">
      <c r="C178" s="43"/>
      <c r="D178" s="43"/>
      <c r="E178" s="43"/>
      <c r="F178" s="43"/>
      <c r="G178" s="43"/>
      <c r="H178" s="43"/>
      <c r="I178" s="43"/>
      <c r="J178" s="43"/>
      <c r="K178" s="43"/>
      <c r="L178" s="46"/>
      <c r="M178" s="46"/>
    </row>
    <row r="179" spans="3:13" x14ac:dyDescent="0.25">
      <c r="C179" s="43"/>
      <c r="D179" s="43"/>
      <c r="E179" s="43"/>
      <c r="F179" s="43"/>
      <c r="G179" s="43"/>
      <c r="H179" s="43"/>
      <c r="I179" s="43"/>
      <c r="J179" s="43"/>
      <c r="K179" s="43"/>
      <c r="L179" s="46"/>
      <c r="M179" s="46"/>
    </row>
    <row r="180" spans="3:13" x14ac:dyDescent="0.25">
      <c r="C180" s="43"/>
      <c r="D180" s="43"/>
      <c r="E180" s="43"/>
      <c r="F180" s="43"/>
      <c r="G180" s="43"/>
      <c r="H180" s="43"/>
      <c r="I180" s="43"/>
      <c r="J180" s="43"/>
      <c r="K180" s="43"/>
      <c r="L180" s="46"/>
      <c r="M180" s="46"/>
    </row>
    <row r="181" spans="3:13" x14ac:dyDescent="0.25">
      <c r="C181" s="43"/>
      <c r="D181" s="43"/>
      <c r="E181" s="43"/>
      <c r="F181" s="43"/>
      <c r="G181" s="43"/>
      <c r="H181" s="43"/>
      <c r="I181" s="43"/>
      <c r="J181" s="43"/>
      <c r="K181" s="43"/>
      <c r="L181" s="46"/>
      <c r="M181" s="46"/>
    </row>
    <row r="182" spans="3:13" x14ac:dyDescent="0.25">
      <c r="C182" s="43"/>
      <c r="D182" s="43"/>
      <c r="E182" s="43"/>
      <c r="F182" s="43"/>
      <c r="G182" s="43"/>
      <c r="H182" s="43"/>
      <c r="I182" s="43"/>
      <c r="J182" s="43"/>
      <c r="K182" s="43"/>
      <c r="L182" s="46"/>
      <c r="M182" s="46"/>
    </row>
    <row r="183" spans="3:13" x14ac:dyDescent="0.25">
      <c r="C183" s="43"/>
      <c r="D183" s="43"/>
      <c r="E183" s="43"/>
      <c r="F183" s="43"/>
      <c r="G183" s="43"/>
      <c r="H183" s="43"/>
      <c r="I183" s="43"/>
      <c r="J183" s="43"/>
      <c r="K183" s="43"/>
      <c r="L183" s="46"/>
      <c r="M183" s="46"/>
    </row>
    <row r="184" spans="3:13" x14ac:dyDescent="0.25">
      <c r="C184" s="43"/>
      <c r="D184" s="43"/>
      <c r="E184" s="43"/>
      <c r="F184" s="43"/>
      <c r="G184" s="43"/>
      <c r="H184" s="43"/>
      <c r="I184" s="43"/>
      <c r="J184" s="43"/>
      <c r="K184" s="43"/>
      <c r="L184" s="46"/>
      <c r="M184" s="46"/>
    </row>
    <row r="185" spans="3:13" x14ac:dyDescent="0.25">
      <c r="C185" s="43"/>
      <c r="D185" s="43"/>
      <c r="E185" s="43"/>
      <c r="F185" s="43"/>
      <c r="G185" s="43"/>
      <c r="H185" s="43"/>
      <c r="I185" s="43"/>
      <c r="J185" s="43"/>
      <c r="K185" s="43"/>
      <c r="L185" s="46"/>
      <c r="M185" s="46"/>
    </row>
    <row r="186" spans="3:13" x14ac:dyDescent="0.25">
      <c r="C186" s="43"/>
      <c r="D186" s="43"/>
      <c r="E186" s="43"/>
      <c r="F186" s="43"/>
      <c r="G186" s="43"/>
      <c r="H186" s="43"/>
      <c r="I186" s="43"/>
      <c r="J186" s="43"/>
      <c r="K186" s="43"/>
      <c r="L186" s="46"/>
      <c r="M186" s="46"/>
    </row>
    <row r="187" spans="3:13" x14ac:dyDescent="0.25">
      <c r="C187" s="43"/>
      <c r="D187" s="43"/>
      <c r="E187" s="43"/>
      <c r="F187" s="43"/>
      <c r="G187" s="43"/>
      <c r="H187" s="43"/>
      <c r="I187" s="43"/>
      <c r="J187" s="43"/>
      <c r="K187" s="43"/>
      <c r="L187" s="46"/>
      <c r="M187" s="46"/>
    </row>
    <row r="188" spans="3:13" x14ac:dyDescent="0.25">
      <c r="C188" s="43"/>
      <c r="D188" s="43"/>
      <c r="E188" s="43"/>
      <c r="F188" s="43"/>
      <c r="G188" s="43"/>
      <c r="H188" s="43"/>
      <c r="I188" s="43"/>
      <c r="J188" s="43"/>
      <c r="K188" s="43"/>
      <c r="L188" s="46"/>
      <c r="M188" s="46"/>
    </row>
    <row r="189" spans="3:13" x14ac:dyDescent="0.25">
      <c r="C189" s="43"/>
      <c r="D189" s="43"/>
      <c r="E189" s="43"/>
      <c r="F189" s="43"/>
      <c r="G189" s="43"/>
      <c r="H189" s="43"/>
      <c r="I189" s="43"/>
      <c r="J189" s="43"/>
      <c r="K189" s="43"/>
      <c r="L189" s="46"/>
      <c r="M189" s="46"/>
    </row>
    <row r="190" spans="3:13" x14ac:dyDescent="0.25">
      <c r="C190" s="43"/>
      <c r="D190" s="43"/>
      <c r="E190" s="43"/>
      <c r="F190" s="43"/>
      <c r="G190" s="43"/>
      <c r="H190" s="43"/>
      <c r="I190" s="43"/>
      <c r="J190" s="43"/>
      <c r="K190" s="43"/>
      <c r="L190" s="46"/>
      <c r="M190" s="46"/>
    </row>
    <row r="191" spans="3:13" x14ac:dyDescent="0.25">
      <c r="C191" s="43"/>
      <c r="D191" s="43"/>
      <c r="E191" s="43"/>
      <c r="F191" s="43"/>
      <c r="G191" s="43"/>
      <c r="H191" s="43"/>
      <c r="I191" s="43"/>
      <c r="J191" s="43"/>
      <c r="K191" s="43"/>
      <c r="L191" s="46"/>
      <c r="M191" s="46"/>
    </row>
    <row r="192" spans="3:13" x14ac:dyDescent="0.25">
      <c r="C192" s="43"/>
      <c r="D192" s="43"/>
      <c r="E192" s="43"/>
      <c r="F192" s="43"/>
      <c r="G192" s="43"/>
      <c r="H192" s="43"/>
      <c r="I192" s="43"/>
      <c r="J192" s="43"/>
      <c r="K192" s="43"/>
      <c r="L192" s="46"/>
      <c r="M192" s="46"/>
    </row>
    <row r="193" spans="3:13" x14ac:dyDescent="0.25">
      <c r="C193" s="43"/>
      <c r="D193" s="43"/>
      <c r="E193" s="43"/>
      <c r="F193" s="43"/>
      <c r="G193" s="43"/>
      <c r="H193" s="43"/>
      <c r="I193" s="43"/>
      <c r="J193" s="43"/>
      <c r="K193" s="43"/>
      <c r="L193" s="46"/>
      <c r="M193" s="46"/>
    </row>
    <row r="194" spans="3:13" x14ac:dyDescent="0.25">
      <c r="C194" s="43"/>
      <c r="D194" s="43"/>
      <c r="E194" s="43"/>
      <c r="F194" s="43"/>
      <c r="G194" s="43"/>
      <c r="H194" s="43"/>
      <c r="I194" s="43"/>
      <c r="J194" s="43"/>
      <c r="K194" s="43"/>
      <c r="L194" s="46"/>
      <c r="M194" s="46"/>
    </row>
    <row r="195" spans="3:13" x14ac:dyDescent="0.25">
      <c r="C195" s="43"/>
      <c r="D195" s="43"/>
      <c r="E195" s="43"/>
      <c r="F195" s="43"/>
      <c r="G195" s="43"/>
      <c r="H195" s="43"/>
      <c r="I195" s="43"/>
      <c r="J195" s="43"/>
      <c r="K195" s="43"/>
      <c r="L195" s="46"/>
      <c r="M195" s="46"/>
    </row>
    <row r="196" spans="3:13" x14ac:dyDescent="0.25">
      <c r="C196" s="43"/>
      <c r="D196" s="43"/>
      <c r="E196" s="43"/>
      <c r="F196" s="43"/>
      <c r="G196" s="43"/>
      <c r="H196" s="43"/>
      <c r="I196" s="43"/>
      <c r="J196" s="43"/>
      <c r="K196" s="43"/>
      <c r="L196" s="46"/>
      <c r="M196" s="46"/>
    </row>
    <row r="197" spans="3:13" x14ac:dyDescent="0.25">
      <c r="C197" s="43"/>
      <c r="D197" s="43"/>
      <c r="E197" s="43"/>
      <c r="F197" s="43"/>
      <c r="G197" s="43"/>
      <c r="H197" s="43"/>
      <c r="I197" s="43"/>
      <c r="J197" s="43"/>
      <c r="K197" s="43"/>
      <c r="L197" s="46"/>
      <c r="M197" s="46"/>
    </row>
    <row r="198" spans="3:13" x14ac:dyDescent="0.25">
      <c r="C198" s="43"/>
      <c r="D198" s="43"/>
      <c r="E198" s="43"/>
      <c r="F198" s="43"/>
      <c r="G198" s="43"/>
      <c r="H198" s="43"/>
      <c r="I198" s="43"/>
      <c r="J198" s="43"/>
      <c r="K198" s="43"/>
      <c r="L198" s="46"/>
      <c r="M198" s="46"/>
    </row>
    <row r="199" spans="3:13" x14ac:dyDescent="0.25">
      <c r="C199" s="43"/>
      <c r="D199" s="43"/>
      <c r="E199" s="43"/>
      <c r="F199" s="43"/>
      <c r="G199" s="43"/>
      <c r="H199" s="43"/>
      <c r="I199" s="43"/>
      <c r="J199" s="43"/>
      <c r="K199" s="43"/>
      <c r="L199" s="46"/>
      <c r="M199" s="46"/>
    </row>
    <row r="200" spans="3:13" x14ac:dyDescent="0.25">
      <c r="C200" s="43"/>
      <c r="D200" s="43"/>
      <c r="E200" s="43"/>
      <c r="F200" s="43"/>
      <c r="G200" s="43"/>
      <c r="H200" s="43"/>
      <c r="I200" s="43"/>
      <c r="J200" s="43"/>
      <c r="K200" s="43"/>
      <c r="L200" s="46"/>
      <c r="M200" s="46"/>
    </row>
    <row r="201" spans="3:13" x14ac:dyDescent="0.25">
      <c r="C201" s="43"/>
      <c r="D201" s="43"/>
      <c r="E201" s="43"/>
      <c r="F201" s="43"/>
      <c r="G201" s="43"/>
      <c r="H201" s="43"/>
      <c r="I201" s="43"/>
      <c r="J201" s="43"/>
      <c r="K201" s="43"/>
      <c r="L201" s="46"/>
      <c r="M201" s="46"/>
    </row>
    <row r="202" spans="3:13" x14ac:dyDescent="0.25">
      <c r="C202" s="43"/>
      <c r="D202" s="43"/>
      <c r="E202" s="43"/>
      <c r="F202" s="43"/>
      <c r="G202" s="43"/>
      <c r="H202" s="43"/>
      <c r="I202" s="43"/>
      <c r="J202" s="43"/>
      <c r="K202" s="43"/>
      <c r="L202" s="46"/>
      <c r="M202" s="46"/>
    </row>
    <row r="203" spans="3:13" x14ac:dyDescent="0.25">
      <c r="C203" s="43"/>
      <c r="D203" s="43"/>
      <c r="E203" s="43"/>
      <c r="F203" s="43"/>
      <c r="G203" s="43"/>
      <c r="H203" s="43"/>
      <c r="I203" s="43"/>
      <c r="J203" s="43"/>
      <c r="K203" s="43"/>
      <c r="L203" s="46"/>
      <c r="M203" s="46"/>
    </row>
    <row r="204" spans="3:13" x14ac:dyDescent="0.25">
      <c r="C204" s="43"/>
      <c r="D204" s="43"/>
      <c r="E204" s="43"/>
      <c r="F204" s="43"/>
      <c r="G204" s="43"/>
      <c r="H204" s="43"/>
      <c r="I204" s="43"/>
      <c r="J204" s="43"/>
      <c r="K204" s="43"/>
      <c r="L204" s="46"/>
      <c r="M204" s="46"/>
    </row>
    <row r="205" spans="3:13" x14ac:dyDescent="0.25">
      <c r="C205" s="43"/>
      <c r="D205" s="43"/>
      <c r="E205" s="43"/>
      <c r="F205" s="43"/>
      <c r="G205" s="43"/>
      <c r="H205" s="43"/>
      <c r="I205" s="43"/>
      <c r="J205" s="43"/>
      <c r="K205" s="43"/>
      <c r="L205" s="46"/>
      <c r="M205" s="46"/>
    </row>
    <row r="206" spans="3:13" x14ac:dyDescent="0.25">
      <c r="C206" s="43"/>
      <c r="D206" s="43"/>
      <c r="E206" s="43"/>
      <c r="F206" s="43"/>
      <c r="G206" s="43"/>
      <c r="H206" s="43"/>
      <c r="I206" s="43"/>
      <c r="J206" s="43"/>
      <c r="K206" s="43"/>
      <c r="L206" s="46"/>
      <c r="M206" s="46"/>
    </row>
    <row r="207" spans="3:13" x14ac:dyDescent="0.25">
      <c r="C207" s="43"/>
      <c r="D207" s="43"/>
      <c r="E207" s="43"/>
      <c r="F207" s="43"/>
      <c r="G207" s="43"/>
      <c r="H207" s="43"/>
      <c r="I207" s="43"/>
      <c r="J207" s="43"/>
      <c r="K207" s="43"/>
      <c r="L207" s="46"/>
      <c r="M207" s="46"/>
    </row>
    <row r="208" spans="3:13" x14ac:dyDescent="0.25">
      <c r="C208" s="43"/>
      <c r="D208" s="43"/>
      <c r="E208" s="43"/>
      <c r="F208" s="43"/>
      <c r="G208" s="43"/>
      <c r="H208" s="43"/>
      <c r="I208" s="43"/>
      <c r="J208" s="43"/>
      <c r="K208" s="43"/>
      <c r="L208" s="46"/>
      <c r="M208" s="46"/>
    </row>
    <row r="209" spans="3:13" x14ac:dyDescent="0.25">
      <c r="C209" s="43"/>
      <c r="D209" s="43"/>
      <c r="E209" s="43"/>
      <c r="F209" s="43"/>
      <c r="G209" s="43"/>
      <c r="H209" s="43"/>
      <c r="I209" s="43"/>
      <c r="J209" s="43"/>
      <c r="K209" s="43"/>
      <c r="L209" s="46"/>
      <c r="M209" s="46"/>
    </row>
    <row r="210" spans="3:13" x14ac:dyDescent="0.25">
      <c r="C210" s="43"/>
      <c r="D210" s="43"/>
      <c r="E210" s="43"/>
      <c r="F210" s="43"/>
      <c r="G210" s="43"/>
      <c r="H210" s="43"/>
      <c r="I210" s="43"/>
      <c r="J210" s="43"/>
      <c r="K210" s="43"/>
      <c r="L210" s="46"/>
      <c r="M210" s="46"/>
    </row>
    <row r="211" spans="3:13" x14ac:dyDescent="0.25">
      <c r="C211" s="43"/>
      <c r="D211" s="43"/>
      <c r="E211" s="43"/>
      <c r="F211" s="43"/>
      <c r="G211" s="43"/>
      <c r="H211" s="43"/>
      <c r="I211" s="43"/>
      <c r="J211" s="43"/>
      <c r="K211" s="43"/>
      <c r="L211" s="46"/>
      <c r="M211" s="46"/>
    </row>
    <row r="212" spans="3:13" x14ac:dyDescent="0.25">
      <c r="C212" s="43"/>
      <c r="D212" s="43"/>
      <c r="E212" s="43"/>
      <c r="F212" s="43"/>
      <c r="G212" s="43"/>
      <c r="H212" s="43"/>
      <c r="I212" s="43"/>
      <c r="J212" s="43"/>
      <c r="K212" s="43"/>
      <c r="L212" s="46"/>
      <c r="M212" s="46"/>
    </row>
    <row r="213" spans="3:13" x14ac:dyDescent="0.25">
      <c r="C213" s="43"/>
      <c r="D213" s="43"/>
      <c r="E213" s="43"/>
      <c r="F213" s="43"/>
      <c r="G213" s="43"/>
      <c r="H213" s="43"/>
      <c r="I213" s="43"/>
      <c r="J213" s="43"/>
      <c r="K213" s="43"/>
      <c r="L213" s="46"/>
      <c r="M213" s="46"/>
    </row>
    <row r="214" spans="3:13" x14ac:dyDescent="0.25">
      <c r="C214" s="43"/>
      <c r="D214" s="43"/>
      <c r="E214" s="43"/>
      <c r="F214" s="43"/>
      <c r="G214" s="43"/>
      <c r="H214" s="43"/>
      <c r="I214" s="43"/>
      <c r="J214" s="43"/>
      <c r="K214" s="43"/>
      <c r="L214" s="46"/>
      <c r="M214" s="46"/>
    </row>
    <row r="215" spans="3:13" x14ac:dyDescent="0.25">
      <c r="C215" s="43"/>
      <c r="D215" s="43"/>
      <c r="E215" s="43"/>
      <c r="F215" s="43"/>
      <c r="G215" s="43"/>
      <c r="H215" s="43"/>
      <c r="I215" s="43"/>
      <c r="J215" s="43"/>
      <c r="K215" s="43"/>
      <c r="L215" s="46"/>
      <c r="M215" s="46"/>
    </row>
    <row r="216" spans="3:13" x14ac:dyDescent="0.25">
      <c r="C216" s="43"/>
      <c r="D216" s="43"/>
      <c r="E216" s="43"/>
      <c r="F216" s="43"/>
      <c r="G216" s="43"/>
      <c r="H216" s="43"/>
      <c r="I216" s="43"/>
      <c r="J216" s="43"/>
      <c r="K216" s="43"/>
      <c r="L216" s="46"/>
      <c r="M216" s="46"/>
    </row>
    <row r="217" spans="3:13" x14ac:dyDescent="0.25">
      <c r="C217" s="43"/>
      <c r="D217" s="43"/>
      <c r="E217" s="43"/>
      <c r="F217" s="43"/>
      <c r="G217" s="43"/>
      <c r="H217" s="43"/>
      <c r="I217" s="43"/>
      <c r="J217" s="43"/>
      <c r="K217" s="43"/>
      <c r="L217" s="46"/>
      <c r="M217" s="46"/>
    </row>
    <row r="218" spans="3:13" x14ac:dyDescent="0.25">
      <c r="C218" s="43"/>
      <c r="D218" s="43"/>
      <c r="E218" s="43"/>
      <c r="F218" s="43"/>
      <c r="G218" s="43"/>
      <c r="H218" s="43"/>
      <c r="I218" s="43"/>
      <c r="J218" s="43"/>
      <c r="K218" s="43"/>
      <c r="L218" s="46"/>
      <c r="M218" s="46"/>
    </row>
    <row r="219" spans="3:13" x14ac:dyDescent="0.25">
      <c r="C219" s="43"/>
      <c r="D219" s="43"/>
      <c r="E219" s="43"/>
      <c r="F219" s="43"/>
      <c r="G219" s="43"/>
      <c r="H219" s="43"/>
      <c r="I219" s="43"/>
      <c r="J219" s="43"/>
      <c r="K219" s="43"/>
      <c r="L219" s="46"/>
      <c r="M219" s="46"/>
    </row>
    <row r="220" spans="3:13" x14ac:dyDescent="0.25">
      <c r="C220" s="43"/>
      <c r="D220" s="43"/>
      <c r="E220" s="43"/>
      <c r="F220" s="43"/>
      <c r="G220" s="43"/>
      <c r="H220" s="43"/>
      <c r="I220" s="43"/>
      <c r="J220" s="43"/>
      <c r="K220" s="43"/>
      <c r="L220" s="46"/>
      <c r="M220" s="46"/>
    </row>
    <row r="221" spans="3:13" x14ac:dyDescent="0.25">
      <c r="C221" s="43"/>
      <c r="D221" s="43"/>
      <c r="E221" s="43"/>
      <c r="F221" s="43"/>
      <c r="G221" s="43"/>
      <c r="H221" s="43"/>
      <c r="I221" s="43"/>
      <c r="J221" s="43"/>
      <c r="K221" s="43"/>
      <c r="L221" s="46"/>
      <c r="M221" s="46"/>
    </row>
    <row r="222" spans="3:13" x14ac:dyDescent="0.25">
      <c r="C222" s="43"/>
      <c r="D222" s="43"/>
      <c r="E222" s="43"/>
      <c r="F222" s="43"/>
      <c r="G222" s="43"/>
      <c r="H222" s="43"/>
      <c r="I222" s="43"/>
      <c r="J222" s="43"/>
      <c r="K222" s="43"/>
      <c r="L222" s="46"/>
      <c r="M222" s="46"/>
    </row>
    <row r="223" spans="3:13" x14ac:dyDescent="0.25">
      <c r="C223" s="43"/>
      <c r="D223" s="43"/>
      <c r="E223" s="43"/>
      <c r="F223" s="43"/>
      <c r="G223" s="43"/>
      <c r="H223" s="43"/>
      <c r="I223" s="43"/>
      <c r="J223" s="43"/>
      <c r="K223" s="43"/>
      <c r="L223" s="46"/>
      <c r="M223" s="46"/>
    </row>
    <row r="224" spans="3:13" x14ac:dyDescent="0.25">
      <c r="C224" s="43"/>
      <c r="D224" s="43"/>
      <c r="E224" s="43"/>
      <c r="F224" s="43"/>
      <c r="G224" s="43"/>
      <c r="H224" s="43"/>
      <c r="I224" s="43"/>
      <c r="J224" s="43"/>
      <c r="K224" s="43"/>
      <c r="L224" s="46"/>
      <c r="M224" s="46"/>
    </row>
    <row r="225" spans="3:13" x14ac:dyDescent="0.25">
      <c r="C225" s="43"/>
      <c r="D225" s="43"/>
      <c r="E225" s="43"/>
      <c r="F225" s="43"/>
      <c r="G225" s="43"/>
      <c r="H225" s="43"/>
      <c r="I225" s="43"/>
      <c r="J225" s="43"/>
      <c r="L225" s="46"/>
      <c r="M225" s="46"/>
    </row>
    <row r="226" spans="3:13" x14ac:dyDescent="0.25">
      <c r="C226" s="35"/>
      <c r="D226" s="43"/>
      <c r="E226" s="43"/>
      <c r="F226" s="43"/>
      <c r="G226" s="43"/>
      <c r="H226" s="43"/>
      <c r="I226" s="43"/>
      <c r="J226" s="43"/>
      <c r="K226" s="43"/>
      <c r="L226" s="46"/>
      <c r="M226" s="46"/>
    </row>
    <row r="227" spans="3:13" x14ac:dyDescent="0.25">
      <c r="C227" s="35"/>
      <c r="D227" s="43"/>
      <c r="E227" s="43"/>
      <c r="F227" s="43"/>
      <c r="G227" s="43"/>
      <c r="H227" s="43"/>
      <c r="I227" s="43"/>
      <c r="J227" s="43"/>
      <c r="K227" s="43"/>
      <c r="L227" s="46"/>
      <c r="M227" s="46"/>
    </row>
    <row r="228" spans="3:13" x14ac:dyDescent="0.25">
      <c r="C228" s="35"/>
      <c r="D228" s="43"/>
      <c r="E228" s="43"/>
      <c r="F228" s="43"/>
      <c r="G228" s="43"/>
      <c r="H228" s="43"/>
      <c r="I228" s="43"/>
      <c r="J228" s="43"/>
      <c r="K228" s="43"/>
      <c r="L228" s="46"/>
      <c r="M228" s="46"/>
    </row>
    <row r="229" spans="3:13" x14ac:dyDescent="0.25">
      <c r="C229" s="35"/>
      <c r="D229" s="43"/>
      <c r="E229" s="43"/>
      <c r="F229" s="43"/>
      <c r="G229" s="43"/>
      <c r="H229" s="43"/>
      <c r="I229" s="43"/>
      <c r="J229" s="43"/>
      <c r="K229" s="43"/>
      <c r="L229" s="46"/>
      <c r="M229" s="46"/>
    </row>
    <row r="230" spans="3:13" x14ac:dyDescent="0.25">
      <c r="C230" s="35"/>
      <c r="D230" s="43"/>
      <c r="E230" s="43"/>
      <c r="F230" s="43"/>
      <c r="G230" s="43"/>
      <c r="H230" s="43"/>
      <c r="I230" s="43"/>
      <c r="J230" s="43"/>
      <c r="K230" s="43"/>
      <c r="L230" s="46"/>
      <c r="M230" s="46"/>
    </row>
    <row r="231" spans="3:13" x14ac:dyDescent="0.25">
      <c r="C231" s="35"/>
      <c r="D231" s="43"/>
      <c r="E231" s="43"/>
      <c r="F231" s="43"/>
      <c r="G231" s="43"/>
      <c r="H231" s="43"/>
      <c r="I231" s="43"/>
      <c r="J231" s="43"/>
      <c r="K231" s="43"/>
      <c r="L231" s="46"/>
      <c r="M231" s="46"/>
    </row>
    <row r="232" spans="3:13" x14ac:dyDescent="0.25">
      <c r="C232" s="35"/>
      <c r="D232" s="43"/>
      <c r="E232" s="43"/>
      <c r="F232" s="43"/>
      <c r="G232" s="43"/>
      <c r="H232" s="43"/>
      <c r="I232" s="43"/>
      <c r="J232" s="43"/>
      <c r="K232" s="43"/>
      <c r="L232" s="46"/>
      <c r="M232" s="46"/>
    </row>
    <row r="233" spans="3:13" x14ac:dyDescent="0.25">
      <c r="C233" s="35"/>
      <c r="D233" s="43"/>
      <c r="E233" s="43"/>
      <c r="F233" s="43"/>
      <c r="G233" s="43"/>
      <c r="H233" s="43"/>
      <c r="I233" s="43"/>
      <c r="J233" s="43"/>
      <c r="K233" s="43"/>
      <c r="L233" s="46"/>
      <c r="M233" s="46"/>
    </row>
    <row r="234" spans="3:13" x14ac:dyDescent="0.25">
      <c r="C234" s="35"/>
      <c r="D234" s="43"/>
      <c r="E234" s="43"/>
      <c r="F234" s="43"/>
      <c r="G234" s="43"/>
      <c r="H234" s="43"/>
      <c r="I234" s="43"/>
      <c r="J234" s="43"/>
      <c r="K234" s="43"/>
      <c r="L234" s="46"/>
      <c r="M234" s="46"/>
    </row>
    <row r="235" spans="3:13" x14ac:dyDescent="0.25">
      <c r="C235" s="35"/>
      <c r="D235" s="43"/>
      <c r="E235" s="43"/>
      <c r="F235" s="43"/>
      <c r="G235" s="43"/>
      <c r="H235" s="43"/>
      <c r="I235" s="43"/>
      <c r="J235" s="43"/>
      <c r="K235" s="43"/>
      <c r="L235" s="46"/>
      <c r="M235" s="46"/>
    </row>
    <row r="236" spans="3:13" x14ac:dyDescent="0.25">
      <c r="C236" s="35"/>
      <c r="D236" s="43"/>
      <c r="E236" s="43"/>
      <c r="F236" s="43"/>
      <c r="G236" s="43"/>
      <c r="H236" s="43"/>
      <c r="I236" s="43"/>
      <c r="J236" s="43"/>
      <c r="K236" s="43"/>
      <c r="L236" s="46"/>
      <c r="M236" s="46"/>
    </row>
    <row r="237" spans="3:13" x14ac:dyDescent="0.25">
      <c r="C237" s="35"/>
      <c r="D237" s="43"/>
      <c r="E237" s="43"/>
      <c r="F237" s="43"/>
      <c r="G237" s="43"/>
      <c r="H237" s="43"/>
      <c r="I237" s="43"/>
      <c r="J237" s="43"/>
      <c r="K237" s="43"/>
      <c r="L237" s="46"/>
      <c r="M237" s="46"/>
    </row>
    <row r="238" spans="3:13" x14ac:dyDescent="0.25">
      <c r="C238" s="35"/>
      <c r="D238" s="43"/>
      <c r="E238" s="43"/>
      <c r="F238" s="43"/>
      <c r="G238" s="43"/>
      <c r="H238" s="43"/>
      <c r="I238" s="43"/>
      <c r="J238" s="43"/>
      <c r="K238" s="43"/>
      <c r="L238" s="46"/>
      <c r="M238" s="46"/>
    </row>
    <row r="239" spans="3:13" x14ac:dyDescent="0.25">
      <c r="C239" s="35"/>
      <c r="D239" s="43"/>
      <c r="E239" s="43"/>
      <c r="F239" s="43"/>
      <c r="G239" s="43"/>
      <c r="H239" s="43"/>
      <c r="I239" s="43"/>
      <c r="J239" s="43"/>
      <c r="K239" s="43"/>
      <c r="L239" s="46"/>
      <c r="M239" s="46"/>
    </row>
    <row r="240" spans="3:13" x14ac:dyDescent="0.25">
      <c r="C240" s="35"/>
      <c r="D240" s="43"/>
      <c r="E240" s="43"/>
      <c r="F240" s="43"/>
      <c r="G240" s="43"/>
      <c r="H240" s="43"/>
      <c r="I240" s="43"/>
      <c r="J240" s="43"/>
      <c r="K240" s="43"/>
      <c r="L240" s="46"/>
      <c r="M240" s="46"/>
    </row>
    <row r="241" spans="3:13" x14ac:dyDescent="0.25">
      <c r="C241" s="35"/>
      <c r="D241" s="43"/>
      <c r="E241" s="43"/>
      <c r="F241" s="43"/>
      <c r="G241" s="43"/>
      <c r="H241" s="43"/>
      <c r="I241" s="43"/>
      <c r="J241" s="43"/>
      <c r="K241" s="43"/>
      <c r="L241" s="46"/>
      <c r="M241" s="46"/>
    </row>
    <row r="242" spans="3:13" x14ac:dyDescent="0.25">
      <c r="C242" s="35"/>
      <c r="D242" s="43"/>
      <c r="E242" s="43"/>
      <c r="F242" s="43"/>
      <c r="G242" s="43"/>
      <c r="H242" s="43"/>
      <c r="I242" s="43"/>
      <c r="J242" s="43"/>
      <c r="K242" s="43"/>
      <c r="L242" s="46"/>
      <c r="M242" s="46"/>
    </row>
    <row r="243" spans="3:13" x14ac:dyDescent="0.25">
      <c r="C243" s="35"/>
      <c r="D243" s="43"/>
      <c r="E243" s="43"/>
      <c r="F243" s="43"/>
      <c r="G243" s="43"/>
      <c r="H243" s="43"/>
      <c r="I243" s="43"/>
      <c r="J243" s="43"/>
      <c r="K243" s="43"/>
      <c r="L243" s="46"/>
      <c r="M243" s="46"/>
    </row>
    <row r="244" spans="3:13" x14ac:dyDescent="0.25">
      <c r="C244" s="35"/>
      <c r="D244" s="43"/>
      <c r="E244" s="43"/>
      <c r="F244" s="43"/>
      <c r="G244" s="43"/>
      <c r="H244" s="43"/>
      <c r="I244" s="43"/>
      <c r="J244" s="43"/>
      <c r="K244" s="43"/>
      <c r="L244" s="46"/>
      <c r="M244" s="46"/>
    </row>
    <row r="245" spans="3:13" x14ac:dyDescent="0.25">
      <c r="C245" s="35"/>
      <c r="D245" s="43"/>
      <c r="E245" s="43"/>
      <c r="F245" s="43"/>
      <c r="G245" s="43"/>
      <c r="H245" s="43"/>
      <c r="I245" s="43"/>
      <c r="J245" s="43"/>
      <c r="K245" s="43"/>
      <c r="L245" s="46"/>
      <c r="M245" s="46"/>
    </row>
    <row r="246" spans="3:13" x14ac:dyDescent="0.25">
      <c r="C246" s="35"/>
      <c r="D246" s="43"/>
      <c r="E246" s="43"/>
      <c r="F246" s="43"/>
      <c r="G246" s="43"/>
      <c r="H246" s="43"/>
      <c r="I246" s="43"/>
      <c r="J246" s="43"/>
      <c r="K246" s="43"/>
      <c r="L246" s="46"/>
      <c r="M246" s="46"/>
    </row>
    <row r="247" spans="3:13" x14ac:dyDescent="0.25">
      <c r="C247" s="35"/>
      <c r="D247" s="43"/>
      <c r="E247" s="43"/>
      <c r="F247" s="43"/>
      <c r="G247" s="43"/>
      <c r="H247" s="43"/>
      <c r="I247" s="43"/>
      <c r="J247" s="43"/>
      <c r="K247" s="43"/>
      <c r="L247" s="46"/>
      <c r="M247" s="46"/>
    </row>
    <row r="248" spans="3:13" x14ac:dyDescent="0.25">
      <c r="C248" s="35"/>
      <c r="D248" s="43"/>
      <c r="E248" s="43"/>
      <c r="F248" s="43"/>
      <c r="G248" s="43"/>
      <c r="H248" s="43"/>
      <c r="I248" s="43"/>
      <c r="J248" s="43"/>
      <c r="K248" s="43"/>
      <c r="L248" s="46"/>
      <c r="M248" s="46"/>
    </row>
    <row r="249" spans="3:13" x14ac:dyDescent="0.25">
      <c r="C249" s="35"/>
      <c r="D249" s="43"/>
      <c r="E249" s="43"/>
      <c r="F249" s="43"/>
      <c r="G249" s="43"/>
      <c r="H249" s="43"/>
      <c r="I249" s="43"/>
      <c r="J249" s="43"/>
      <c r="K249" s="43"/>
      <c r="L249" s="46"/>
      <c r="M249" s="46"/>
    </row>
    <row r="250" spans="3:13" x14ac:dyDescent="0.25">
      <c r="C250" s="35"/>
      <c r="D250" s="43"/>
      <c r="E250" s="43"/>
      <c r="F250" s="43"/>
      <c r="G250" s="43"/>
      <c r="H250" s="43"/>
      <c r="I250" s="43"/>
      <c r="J250" s="43"/>
      <c r="K250" s="43"/>
      <c r="L250" s="46"/>
      <c r="M250" s="46"/>
    </row>
    <row r="251" spans="3:13" x14ac:dyDescent="0.25">
      <c r="C251" s="35"/>
      <c r="D251" s="43"/>
      <c r="E251" s="43"/>
      <c r="F251" s="43"/>
      <c r="G251" s="43"/>
      <c r="H251" s="43"/>
      <c r="I251" s="43"/>
      <c r="J251" s="43"/>
      <c r="K251" s="43"/>
      <c r="L251" s="46"/>
      <c r="M251" s="46"/>
    </row>
    <row r="252" spans="3:13" x14ac:dyDescent="0.25">
      <c r="C252" s="35"/>
      <c r="D252" s="43"/>
      <c r="E252" s="43"/>
      <c r="F252" s="43"/>
      <c r="G252" s="43"/>
      <c r="H252" s="43"/>
      <c r="I252" s="43"/>
      <c r="J252" s="43"/>
      <c r="K252" s="43"/>
      <c r="L252" s="46"/>
      <c r="M252" s="46"/>
    </row>
    <row r="253" spans="3:13" x14ac:dyDescent="0.25">
      <c r="C253" s="35"/>
      <c r="D253" s="43"/>
      <c r="E253" s="43"/>
      <c r="F253" s="43"/>
      <c r="G253" s="43"/>
      <c r="H253" s="43"/>
      <c r="I253" s="43"/>
      <c r="J253" s="43"/>
      <c r="K253" s="43"/>
      <c r="L253" s="46"/>
      <c r="M253" s="46"/>
    </row>
    <row r="254" spans="3:13" x14ac:dyDescent="0.25">
      <c r="C254" s="35"/>
      <c r="D254" s="43"/>
      <c r="E254" s="43"/>
      <c r="F254" s="43"/>
      <c r="G254" s="43"/>
      <c r="H254" s="43"/>
      <c r="I254" s="43"/>
      <c r="J254" s="43"/>
      <c r="K254" s="43"/>
      <c r="L254" s="46"/>
      <c r="M254" s="46"/>
    </row>
    <row r="255" spans="3:13" x14ac:dyDescent="0.25">
      <c r="C255" s="35"/>
      <c r="D255" s="43"/>
      <c r="E255" s="43"/>
      <c r="F255" s="43"/>
      <c r="G255" s="43"/>
      <c r="H255" s="43"/>
      <c r="I255" s="43"/>
      <c r="J255" s="43"/>
      <c r="K255" s="43"/>
      <c r="L255" s="46"/>
      <c r="M255" s="46"/>
    </row>
    <row r="256" spans="3:13" x14ac:dyDescent="0.25">
      <c r="C256" s="35"/>
      <c r="D256" s="43"/>
      <c r="E256" s="43"/>
      <c r="F256" s="43"/>
      <c r="G256" s="43"/>
      <c r="H256" s="43"/>
      <c r="I256" s="43"/>
      <c r="J256" s="43"/>
      <c r="K256" s="43"/>
      <c r="L256" s="46"/>
      <c r="M256" s="46"/>
    </row>
    <row r="257" spans="3:13" x14ac:dyDescent="0.25">
      <c r="C257" s="35"/>
      <c r="D257" s="43"/>
      <c r="E257" s="43"/>
      <c r="F257" s="43"/>
      <c r="G257" s="43"/>
      <c r="H257" s="43"/>
      <c r="I257" s="43"/>
      <c r="J257" s="43"/>
      <c r="K257" s="43"/>
      <c r="L257" s="46"/>
      <c r="M257" s="46"/>
    </row>
    <row r="258" spans="3:13" x14ac:dyDescent="0.25">
      <c r="C258" s="35"/>
      <c r="D258" s="43"/>
      <c r="E258" s="43"/>
      <c r="F258" s="43"/>
      <c r="G258" s="43"/>
      <c r="H258" s="43"/>
      <c r="I258" s="43"/>
      <c r="J258" s="43"/>
      <c r="K258" s="43"/>
      <c r="L258" s="46"/>
      <c r="M258" s="46"/>
    </row>
    <row r="259" spans="3:13" x14ac:dyDescent="0.25">
      <c r="C259" s="35"/>
      <c r="D259" s="35"/>
      <c r="E259" s="35"/>
      <c r="F259" s="35"/>
      <c r="G259" s="35"/>
      <c r="H259" s="35"/>
      <c r="I259" s="35"/>
      <c r="J259" s="35"/>
      <c r="K259" s="35"/>
      <c r="L259" s="46"/>
      <c r="M259" s="46"/>
    </row>
    <row r="260" spans="3:13" x14ac:dyDescent="0.25">
      <c r="C260" s="35"/>
      <c r="D260" s="35"/>
      <c r="E260" s="35"/>
      <c r="F260" s="35"/>
      <c r="G260" s="35"/>
      <c r="H260" s="35"/>
      <c r="I260" s="35"/>
      <c r="J260" s="35"/>
      <c r="K260" s="35"/>
      <c r="L260" s="46"/>
      <c r="M260" s="46"/>
    </row>
    <row r="261" spans="3:13" x14ac:dyDescent="0.25">
      <c r="C261" s="35"/>
      <c r="D261" s="35"/>
      <c r="E261" s="35"/>
      <c r="F261" s="35"/>
      <c r="G261" s="35"/>
      <c r="H261" s="35"/>
      <c r="I261" s="35"/>
      <c r="J261" s="35"/>
      <c r="K261" s="35"/>
      <c r="L261" s="46"/>
      <c r="M261" s="46"/>
    </row>
    <row r="262" spans="3:13" x14ac:dyDescent="0.25">
      <c r="C262" s="35"/>
      <c r="D262" s="35"/>
      <c r="E262" s="35"/>
      <c r="F262" s="35"/>
      <c r="G262" s="35"/>
      <c r="H262" s="35"/>
      <c r="I262" s="35"/>
      <c r="J262" s="35"/>
      <c r="K262" s="35"/>
      <c r="L262" s="46"/>
      <c r="M262" s="46"/>
    </row>
    <row r="263" spans="3:13" x14ac:dyDescent="0.25">
      <c r="C263" s="35"/>
      <c r="D263" s="35"/>
      <c r="E263" s="35"/>
      <c r="F263" s="35"/>
      <c r="G263" s="35"/>
      <c r="H263" s="35"/>
      <c r="I263" s="35"/>
      <c r="J263" s="35"/>
      <c r="K263" s="35"/>
      <c r="L263" s="46"/>
      <c r="M263" s="46"/>
    </row>
    <row r="264" spans="3:13" x14ac:dyDescent="0.25">
      <c r="C264" s="35"/>
      <c r="D264" s="35"/>
      <c r="E264" s="35"/>
      <c r="F264" s="35"/>
      <c r="G264" s="35"/>
      <c r="H264" s="35"/>
      <c r="I264" s="35"/>
      <c r="J264" s="35"/>
      <c r="K264" s="35"/>
      <c r="L264" s="46"/>
      <c r="M264" s="46"/>
    </row>
    <row r="265" spans="3:13" x14ac:dyDescent="0.25">
      <c r="C265" s="35"/>
      <c r="D265" s="35"/>
      <c r="E265" s="35"/>
      <c r="F265" s="35"/>
      <c r="G265" s="35"/>
      <c r="H265" s="35"/>
      <c r="I265" s="35"/>
      <c r="J265" s="35"/>
      <c r="K265" s="35"/>
      <c r="L265" s="46"/>
      <c r="M265" s="46"/>
    </row>
    <row r="266" spans="3:13" x14ac:dyDescent="0.25">
      <c r="C266" s="35"/>
      <c r="D266" s="35"/>
      <c r="E266" s="35"/>
      <c r="F266" s="35"/>
      <c r="G266" s="35"/>
      <c r="H266" s="35"/>
      <c r="I266" s="35"/>
      <c r="J266" s="35"/>
      <c r="K266" s="35"/>
      <c r="L266" s="46"/>
      <c r="M266" s="46"/>
    </row>
    <row r="267" spans="3:13" x14ac:dyDescent="0.25">
      <c r="C267" s="35"/>
      <c r="D267" s="35"/>
      <c r="E267" s="35"/>
      <c r="F267" s="35"/>
      <c r="G267" s="35"/>
      <c r="H267" s="35"/>
      <c r="I267" s="35"/>
      <c r="J267" s="35"/>
      <c r="K267" s="35"/>
      <c r="L267" s="46"/>
      <c r="M267" s="46"/>
    </row>
    <row r="268" spans="3:13" x14ac:dyDescent="0.25">
      <c r="C268" s="35"/>
      <c r="D268" s="35"/>
      <c r="E268" s="35"/>
      <c r="F268" s="35"/>
      <c r="G268" s="35"/>
      <c r="H268" s="35"/>
      <c r="I268" s="35"/>
      <c r="J268" s="35"/>
      <c r="K268" s="35"/>
      <c r="L268" s="46"/>
      <c r="M268" s="46"/>
    </row>
    <row r="269" spans="3:13" x14ac:dyDescent="0.25">
      <c r="C269" s="35"/>
      <c r="D269" s="35"/>
      <c r="E269" s="35"/>
      <c r="F269" s="35"/>
      <c r="G269" s="35"/>
      <c r="H269" s="35"/>
      <c r="I269" s="35"/>
      <c r="J269" s="35"/>
      <c r="K269" s="35"/>
      <c r="L269" s="46"/>
      <c r="M269" s="46"/>
    </row>
    <row r="270" spans="3:13" x14ac:dyDescent="0.25">
      <c r="C270" s="35"/>
      <c r="D270" s="35"/>
      <c r="E270" s="35"/>
      <c r="F270" s="35"/>
      <c r="G270" s="35"/>
      <c r="H270" s="35"/>
      <c r="I270" s="35"/>
      <c r="J270" s="35"/>
      <c r="K270" s="35"/>
      <c r="L270" s="46"/>
      <c r="M270" s="46"/>
    </row>
    <row r="271" spans="3:13" x14ac:dyDescent="0.25">
      <c r="C271" s="35"/>
      <c r="D271" s="35"/>
      <c r="E271" s="35"/>
      <c r="F271" s="35"/>
      <c r="G271" s="35"/>
      <c r="H271" s="35"/>
      <c r="I271" s="35"/>
      <c r="J271" s="35"/>
      <c r="K271" s="35"/>
      <c r="L271" s="46"/>
      <c r="M271" s="46"/>
    </row>
    <row r="272" spans="3:13" x14ac:dyDescent="0.25">
      <c r="C272" s="35"/>
      <c r="D272" s="35"/>
      <c r="E272" s="35"/>
      <c r="F272" s="35"/>
      <c r="G272" s="35"/>
      <c r="H272" s="35"/>
      <c r="I272" s="35"/>
      <c r="J272" s="35"/>
      <c r="K272" s="35"/>
      <c r="L272" s="46"/>
      <c r="M272" s="46"/>
    </row>
    <row r="273" spans="3:13" x14ac:dyDescent="0.25">
      <c r="C273" s="35"/>
      <c r="D273" s="35"/>
      <c r="E273" s="35"/>
      <c r="F273" s="35"/>
      <c r="G273" s="35"/>
      <c r="H273" s="35"/>
      <c r="I273" s="35"/>
      <c r="J273" s="35"/>
      <c r="K273" s="35"/>
      <c r="L273" s="46"/>
      <c r="M273" s="46"/>
    </row>
    <row r="274" spans="3:13" x14ac:dyDescent="0.25">
      <c r="C274" s="35"/>
      <c r="D274" s="35"/>
      <c r="E274" s="35"/>
      <c r="F274" s="35"/>
      <c r="G274" s="35"/>
      <c r="H274" s="35"/>
      <c r="I274" s="35"/>
      <c r="J274" s="35"/>
      <c r="K274" s="35"/>
      <c r="L274" s="46"/>
      <c r="M274" s="46"/>
    </row>
    <row r="275" spans="3:13" x14ac:dyDescent="0.25">
      <c r="C275" s="35"/>
      <c r="D275" s="35"/>
      <c r="E275" s="35"/>
      <c r="F275" s="35"/>
      <c r="G275" s="35"/>
      <c r="H275" s="35"/>
      <c r="I275" s="35"/>
      <c r="J275" s="35"/>
      <c r="K275" s="35"/>
      <c r="L275" s="46"/>
      <c r="M275" s="46"/>
    </row>
    <row r="276" spans="3:13" x14ac:dyDescent="0.25">
      <c r="C276" s="35"/>
      <c r="D276" s="35"/>
      <c r="E276" s="35"/>
      <c r="F276" s="35"/>
      <c r="G276" s="35"/>
      <c r="H276" s="35"/>
      <c r="I276" s="35"/>
      <c r="J276" s="35"/>
      <c r="K276" s="35"/>
      <c r="L276" s="46"/>
      <c r="M276" s="46"/>
    </row>
    <row r="277" spans="3:13" x14ac:dyDescent="0.25">
      <c r="C277" s="35"/>
      <c r="D277" s="35"/>
      <c r="E277" s="35"/>
      <c r="F277" s="35"/>
      <c r="G277" s="35"/>
      <c r="H277" s="35"/>
      <c r="I277" s="35"/>
      <c r="J277" s="35"/>
      <c r="K277" s="35"/>
      <c r="L277" s="46"/>
      <c r="M277" s="46"/>
    </row>
    <row r="278" spans="3:13" x14ac:dyDescent="0.25">
      <c r="C278" s="35"/>
      <c r="D278" s="35"/>
      <c r="E278" s="35"/>
      <c r="F278" s="35"/>
      <c r="G278" s="35"/>
      <c r="H278" s="35"/>
      <c r="I278" s="35"/>
      <c r="J278" s="35"/>
      <c r="K278" s="35"/>
      <c r="L278" s="46"/>
      <c r="M278" s="46"/>
    </row>
    <row r="279" spans="3:13" x14ac:dyDescent="0.25">
      <c r="C279" s="35"/>
      <c r="D279" s="35"/>
      <c r="E279" s="35"/>
      <c r="F279" s="35"/>
      <c r="G279" s="35"/>
      <c r="H279" s="35"/>
      <c r="I279" s="35"/>
      <c r="J279" s="35"/>
      <c r="K279" s="35"/>
      <c r="L279" s="46"/>
      <c r="M279" s="46"/>
    </row>
    <row r="280" spans="3:13" x14ac:dyDescent="0.25">
      <c r="C280" s="35"/>
      <c r="D280" s="35"/>
      <c r="E280" s="35"/>
      <c r="F280" s="35"/>
      <c r="G280" s="35"/>
      <c r="H280" s="35"/>
      <c r="I280" s="35"/>
      <c r="J280" s="35"/>
      <c r="K280" s="35"/>
      <c r="L280" s="46"/>
      <c r="M280" s="46"/>
    </row>
    <row r="281" spans="3:13" x14ac:dyDescent="0.25">
      <c r="C281" s="35"/>
      <c r="D281" s="35"/>
      <c r="E281" s="35"/>
      <c r="F281" s="35"/>
      <c r="G281" s="35"/>
      <c r="H281" s="35"/>
      <c r="I281" s="35"/>
      <c r="J281" s="35"/>
      <c r="K281" s="35"/>
      <c r="L281" s="46"/>
      <c r="M281" s="46"/>
    </row>
    <row r="282" spans="3:13" x14ac:dyDescent="0.25">
      <c r="C282" s="35"/>
      <c r="D282" s="35"/>
      <c r="E282" s="35"/>
      <c r="F282" s="35"/>
      <c r="G282" s="35"/>
      <c r="H282" s="35"/>
      <c r="I282" s="35"/>
      <c r="J282" s="35"/>
      <c r="K282" s="35"/>
      <c r="L282" s="46"/>
      <c r="M282" s="46"/>
    </row>
    <row r="283" spans="3:13" x14ac:dyDescent="0.25">
      <c r="C283" s="35"/>
      <c r="D283" s="35"/>
      <c r="E283" s="35"/>
      <c r="F283" s="35"/>
      <c r="G283" s="35"/>
      <c r="H283" s="35"/>
      <c r="I283" s="35"/>
      <c r="J283" s="35"/>
      <c r="K283" s="35"/>
      <c r="L283" s="46"/>
      <c r="M283" s="46"/>
    </row>
    <row r="284" spans="3:13" x14ac:dyDescent="0.25">
      <c r="C284" s="35"/>
      <c r="D284" s="35"/>
      <c r="E284" s="35"/>
      <c r="F284" s="35"/>
      <c r="G284" s="35"/>
      <c r="H284" s="35"/>
      <c r="I284" s="35"/>
      <c r="J284" s="35"/>
      <c r="K284" s="35"/>
      <c r="L284" s="46"/>
      <c r="M284" s="46"/>
    </row>
    <row r="285" spans="3:13" x14ac:dyDescent="0.25">
      <c r="C285" s="35"/>
      <c r="D285" s="35"/>
      <c r="E285" s="35"/>
      <c r="F285" s="35"/>
      <c r="G285" s="35"/>
      <c r="H285" s="35"/>
      <c r="I285" s="35"/>
      <c r="J285" s="35"/>
      <c r="K285" s="35"/>
      <c r="L285" s="46"/>
      <c r="M285" s="46"/>
    </row>
    <row r="286" spans="3:13" x14ac:dyDescent="0.25">
      <c r="C286" s="35"/>
      <c r="D286" s="35"/>
      <c r="E286" s="35"/>
      <c r="F286" s="35"/>
      <c r="G286" s="35"/>
      <c r="H286" s="35"/>
      <c r="I286" s="35"/>
      <c r="J286" s="35"/>
      <c r="K286" s="35"/>
      <c r="L286" s="46"/>
      <c r="M286" s="46"/>
    </row>
    <row r="287" spans="3:13" x14ac:dyDescent="0.25">
      <c r="C287" s="35"/>
      <c r="D287" s="35"/>
      <c r="E287" s="35"/>
      <c r="F287" s="35"/>
      <c r="G287" s="35"/>
      <c r="H287" s="35"/>
      <c r="I287" s="35"/>
      <c r="J287" s="35"/>
      <c r="K287" s="35"/>
      <c r="L287" s="46"/>
      <c r="M287" s="46"/>
    </row>
    <row r="288" spans="3:13" x14ac:dyDescent="0.25">
      <c r="C288" s="35"/>
      <c r="D288" s="35"/>
      <c r="E288" s="35"/>
      <c r="F288" s="35"/>
      <c r="G288" s="35"/>
      <c r="H288" s="35"/>
      <c r="I288" s="35"/>
      <c r="J288" s="35"/>
      <c r="K288" s="35"/>
      <c r="L288" s="46"/>
      <c r="M288" s="46"/>
    </row>
    <row r="289" spans="3:13" x14ac:dyDescent="0.25">
      <c r="C289" s="35"/>
      <c r="D289" s="35"/>
      <c r="E289" s="35"/>
      <c r="F289" s="35"/>
      <c r="G289" s="35"/>
      <c r="H289" s="35"/>
      <c r="I289" s="35"/>
      <c r="J289" s="35"/>
      <c r="K289" s="35"/>
      <c r="L289" s="46"/>
      <c r="M289" s="46"/>
    </row>
    <row r="290" spans="3:13" x14ac:dyDescent="0.25">
      <c r="C290" s="35"/>
      <c r="D290" s="35"/>
      <c r="E290" s="35"/>
      <c r="F290" s="35"/>
      <c r="G290" s="35"/>
      <c r="H290" s="35"/>
      <c r="I290" s="35"/>
      <c r="J290" s="35"/>
      <c r="K290" s="35"/>
      <c r="L290" s="46"/>
      <c r="M290" s="46"/>
    </row>
    <row r="291" spans="3:13" x14ac:dyDescent="0.25">
      <c r="C291" s="35"/>
      <c r="D291" s="35"/>
      <c r="E291" s="35"/>
      <c r="F291" s="35"/>
      <c r="G291" s="35"/>
      <c r="H291" s="35"/>
      <c r="I291" s="35"/>
      <c r="J291" s="35"/>
      <c r="K291" s="35"/>
      <c r="L291" s="46"/>
      <c r="M291" s="46"/>
    </row>
    <row r="292" spans="3:13" x14ac:dyDescent="0.25">
      <c r="C292" s="35"/>
      <c r="D292" s="35"/>
      <c r="E292" s="35"/>
      <c r="F292" s="35"/>
      <c r="G292" s="35"/>
      <c r="H292" s="35"/>
      <c r="I292" s="35"/>
      <c r="J292" s="35"/>
      <c r="K292" s="35"/>
      <c r="L292" s="46"/>
      <c r="M292" s="46"/>
    </row>
    <row r="293" spans="3:13" x14ac:dyDescent="0.25">
      <c r="C293" s="35"/>
      <c r="D293" s="35"/>
      <c r="E293" s="35"/>
      <c r="F293" s="35"/>
      <c r="G293" s="35"/>
      <c r="H293" s="35"/>
      <c r="I293" s="35"/>
      <c r="J293" s="35"/>
      <c r="K293" s="35"/>
      <c r="L293" s="46"/>
      <c r="M293" s="46"/>
    </row>
    <row r="294" spans="3:13" x14ac:dyDescent="0.25">
      <c r="L294" s="46"/>
      <c r="M294" s="46"/>
    </row>
    <row r="295" spans="3:13" x14ac:dyDescent="0.25">
      <c r="L295" s="46"/>
      <c r="M295" s="46"/>
    </row>
    <row r="296" spans="3:13" x14ac:dyDescent="0.25">
      <c r="L296" s="46"/>
      <c r="M296" s="46"/>
    </row>
    <row r="297" spans="3:13" x14ac:dyDescent="0.25">
      <c r="L297" s="46"/>
      <c r="M297" s="46"/>
    </row>
    <row r="298" spans="3:13" x14ac:dyDescent="0.25">
      <c r="L298" s="46"/>
      <c r="M298" s="46"/>
    </row>
    <row r="299" spans="3:13" x14ac:dyDescent="0.25">
      <c r="L299" s="46"/>
      <c r="M299" s="46"/>
    </row>
    <row r="300" spans="3:13" x14ac:dyDescent="0.25">
      <c r="L300" s="46"/>
      <c r="M300" s="46"/>
    </row>
    <row r="301" spans="3:13" x14ac:dyDescent="0.25">
      <c r="L301" s="46"/>
      <c r="M301" s="46"/>
    </row>
    <row r="302" spans="3:13" x14ac:dyDescent="0.25">
      <c r="L302" s="46"/>
      <c r="M302" s="46"/>
    </row>
    <row r="303" spans="3:13" x14ac:dyDescent="0.25">
      <c r="L303" s="46"/>
      <c r="M303" s="46"/>
    </row>
    <row r="304" spans="3:13" x14ac:dyDescent="0.25">
      <c r="L304" s="46"/>
      <c r="M304" s="46"/>
    </row>
    <row r="305" spans="12:13" x14ac:dyDescent="0.25">
      <c r="L305" s="46"/>
      <c r="M305" s="46"/>
    </row>
    <row r="306" spans="12:13" x14ac:dyDescent="0.25">
      <c r="L306" s="46"/>
      <c r="M306" s="46"/>
    </row>
    <row r="307" spans="12:13" x14ac:dyDescent="0.25">
      <c r="L307" s="46"/>
      <c r="M307" s="46"/>
    </row>
    <row r="308" spans="12:13" x14ac:dyDescent="0.25">
      <c r="L308" s="46"/>
      <c r="M308" s="46"/>
    </row>
    <row r="309" spans="12:13" x14ac:dyDescent="0.25">
      <c r="L309" s="46"/>
      <c r="M309" s="46"/>
    </row>
    <row r="310" spans="12:13" x14ac:dyDescent="0.25">
      <c r="L310" s="46"/>
      <c r="M310" s="46"/>
    </row>
    <row r="311" spans="12:13" x14ac:dyDescent="0.25">
      <c r="L311" s="46"/>
      <c r="M311" s="46"/>
    </row>
    <row r="312" spans="12:13" x14ac:dyDescent="0.25">
      <c r="L312" s="46"/>
      <c r="M312" s="46"/>
    </row>
    <row r="313" spans="12:13" x14ac:dyDescent="0.25">
      <c r="L313" s="46"/>
      <c r="M313" s="46"/>
    </row>
    <row r="314" spans="12:13" x14ac:dyDescent="0.25">
      <c r="L314" s="46"/>
      <c r="M314" s="46"/>
    </row>
    <row r="315" spans="12:13" x14ac:dyDescent="0.25">
      <c r="L315" s="46"/>
      <c r="M315" s="46"/>
    </row>
    <row r="316" spans="12:13" x14ac:dyDescent="0.25">
      <c r="L316" s="46"/>
      <c r="M316" s="46"/>
    </row>
    <row r="317" spans="12:13" x14ac:dyDescent="0.25">
      <c r="L317" s="46"/>
      <c r="M317" s="46"/>
    </row>
    <row r="318" spans="12:13" x14ac:dyDescent="0.25">
      <c r="L318" s="46"/>
      <c r="M318" s="46"/>
    </row>
    <row r="319" spans="12:13" x14ac:dyDescent="0.25">
      <c r="L319" s="46"/>
      <c r="M319" s="46"/>
    </row>
    <row r="320" spans="12:13" x14ac:dyDescent="0.25">
      <c r="L320" s="46"/>
      <c r="M320" s="46"/>
    </row>
    <row r="321" spans="12:13" x14ac:dyDescent="0.25">
      <c r="L321" s="46"/>
      <c r="M321" s="46"/>
    </row>
    <row r="322" spans="12:13" x14ac:dyDescent="0.25">
      <c r="L322" s="46"/>
      <c r="M322" s="46"/>
    </row>
    <row r="323" spans="12:13" x14ac:dyDescent="0.25">
      <c r="L323" s="46"/>
      <c r="M323" s="46"/>
    </row>
    <row r="324" spans="12:13" x14ac:dyDescent="0.25">
      <c r="L324" s="46"/>
      <c r="M324" s="46"/>
    </row>
    <row r="325" spans="12:13" x14ac:dyDescent="0.25">
      <c r="L325" s="46"/>
      <c r="M325" s="46"/>
    </row>
    <row r="326" spans="12:13" x14ac:dyDescent="0.25">
      <c r="L326" s="46"/>
      <c r="M326" s="46"/>
    </row>
    <row r="327" spans="12:13" x14ac:dyDescent="0.25">
      <c r="L327" s="46"/>
      <c r="M327" s="46"/>
    </row>
    <row r="328" spans="12:13" x14ac:dyDescent="0.25">
      <c r="L328" s="46"/>
      <c r="M328" s="46"/>
    </row>
    <row r="329" spans="12:13" x14ac:dyDescent="0.25">
      <c r="L329" s="46"/>
      <c r="M329" s="46"/>
    </row>
    <row r="330" spans="12:13" x14ac:dyDescent="0.25">
      <c r="L330" s="46"/>
      <c r="M330" s="46"/>
    </row>
    <row r="331" spans="12:13" x14ac:dyDescent="0.25">
      <c r="L331" s="46"/>
      <c r="M331" s="46"/>
    </row>
    <row r="332" spans="12:13" x14ac:dyDescent="0.25">
      <c r="L332" s="46"/>
      <c r="M332" s="46"/>
    </row>
    <row r="333" spans="12:13" x14ac:dyDescent="0.25">
      <c r="L333" s="46"/>
      <c r="M333" s="46"/>
    </row>
    <row r="334" spans="12:13" x14ac:dyDescent="0.25">
      <c r="L334" s="46"/>
      <c r="M334" s="46"/>
    </row>
    <row r="335" spans="12:13" x14ac:dyDescent="0.25">
      <c r="L335" s="46"/>
      <c r="M335" s="46"/>
    </row>
    <row r="336" spans="12:13" x14ac:dyDescent="0.25">
      <c r="L336" s="46"/>
      <c r="M336" s="46"/>
    </row>
    <row r="337" spans="12:13" x14ac:dyDescent="0.25">
      <c r="L337" s="46"/>
      <c r="M337" s="46"/>
    </row>
    <row r="338" spans="12:13" x14ac:dyDescent="0.25">
      <c r="L338" s="46"/>
      <c r="M338" s="46"/>
    </row>
    <row r="339" spans="12:13" x14ac:dyDescent="0.25">
      <c r="L339" s="46"/>
      <c r="M339" s="46"/>
    </row>
    <row r="340" spans="12:13" x14ac:dyDescent="0.25">
      <c r="L340" s="46"/>
      <c r="M340" s="46"/>
    </row>
    <row r="341" spans="12:13" x14ac:dyDescent="0.25">
      <c r="L341" s="46"/>
      <c r="M341" s="46"/>
    </row>
    <row r="342" spans="12:13" x14ac:dyDescent="0.25">
      <c r="L342" s="46"/>
      <c r="M342" s="46"/>
    </row>
    <row r="343" spans="12:13" x14ac:dyDescent="0.25">
      <c r="L343" s="46"/>
      <c r="M343" s="46"/>
    </row>
    <row r="344" spans="12:13" x14ac:dyDescent="0.25">
      <c r="L344" s="46"/>
      <c r="M344" s="46"/>
    </row>
    <row r="345" spans="12:13" x14ac:dyDescent="0.25">
      <c r="L345" s="46"/>
      <c r="M345" s="46"/>
    </row>
    <row r="346" spans="12:13" x14ac:dyDescent="0.25">
      <c r="L346" s="46"/>
      <c r="M346" s="46"/>
    </row>
    <row r="347" spans="12:13" x14ac:dyDescent="0.25">
      <c r="L347" s="46"/>
      <c r="M347" s="46"/>
    </row>
    <row r="348" spans="12:13" x14ac:dyDescent="0.25">
      <c r="L348" s="46"/>
      <c r="M348" s="46"/>
    </row>
    <row r="349" spans="12:13" x14ac:dyDescent="0.25">
      <c r="L349" s="46"/>
      <c r="M349" s="46"/>
    </row>
    <row r="350" spans="12:13" x14ac:dyDescent="0.25">
      <c r="L350" s="46"/>
      <c r="M350" s="46"/>
    </row>
    <row r="351" spans="12:13" x14ac:dyDescent="0.25">
      <c r="L351" s="46"/>
      <c r="M351" s="46"/>
    </row>
    <row r="352" spans="12:13" x14ac:dyDescent="0.25">
      <c r="L352" s="46"/>
      <c r="M352" s="46"/>
    </row>
    <row r="353" spans="12:13" x14ac:dyDescent="0.25">
      <c r="L353" s="46"/>
      <c r="M353" s="46"/>
    </row>
    <row r="354" spans="12:13" x14ac:dyDescent="0.25">
      <c r="L354" s="46"/>
      <c r="M354" s="46"/>
    </row>
    <row r="355" spans="12:13" x14ac:dyDescent="0.25">
      <c r="L355" s="46"/>
      <c r="M355" s="46"/>
    </row>
    <row r="356" spans="12:13" x14ac:dyDescent="0.25">
      <c r="L356" s="46"/>
      <c r="M356" s="46"/>
    </row>
    <row r="357" spans="12:13" x14ac:dyDescent="0.25">
      <c r="L357" s="46"/>
      <c r="M357" s="46"/>
    </row>
    <row r="358" spans="12:13" x14ac:dyDescent="0.25">
      <c r="L358" s="46"/>
      <c r="M358" s="46"/>
    </row>
    <row r="359" spans="12:13" x14ac:dyDescent="0.25">
      <c r="L359" s="46"/>
      <c r="M359" s="46"/>
    </row>
    <row r="360" spans="12:13" x14ac:dyDescent="0.25">
      <c r="L360" s="46"/>
      <c r="M360" s="46"/>
    </row>
    <row r="361" spans="12:13" x14ac:dyDescent="0.25">
      <c r="L361" s="46"/>
      <c r="M361" s="46"/>
    </row>
    <row r="362" spans="12:13" x14ac:dyDescent="0.25">
      <c r="L362" s="46"/>
      <c r="M362" s="46"/>
    </row>
    <row r="363" spans="12:13" x14ac:dyDescent="0.25">
      <c r="L363" s="46"/>
      <c r="M363" s="46"/>
    </row>
    <row r="364" spans="12:13" x14ac:dyDescent="0.25">
      <c r="L364" s="46"/>
      <c r="M364" s="46"/>
    </row>
    <row r="365" spans="12:13" x14ac:dyDescent="0.25">
      <c r="L365" s="46"/>
      <c r="M365" s="46"/>
    </row>
    <row r="366" spans="12:13" x14ac:dyDescent="0.25">
      <c r="L366" s="46"/>
      <c r="M366" s="46"/>
    </row>
    <row r="367" spans="12:13" x14ac:dyDescent="0.25">
      <c r="L367" s="46"/>
      <c r="M367" s="46"/>
    </row>
    <row r="368" spans="12:13" x14ac:dyDescent="0.25">
      <c r="L368" s="46"/>
      <c r="M368" s="46"/>
    </row>
    <row r="369" spans="12:13" x14ac:dyDescent="0.25">
      <c r="L369" s="46"/>
      <c r="M369" s="46"/>
    </row>
    <row r="370" spans="12:13" x14ac:dyDescent="0.25">
      <c r="L370" s="46"/>
      <c r="M370" s="46"/>
    </row>
    <row r="371" spans="12:13" x14ac:dyDescent="0.25">
      <c r="L371" s="46"/>
      <c r="M371" s="46"/>
    </row>
    <row r="372" spans="12:13" x14ac:dyDescent="0.25">
      <c r="L372" s="46"/>
      <c r="M372" s="46"/>
    </row>
    <row r="373" spans="12:13" x14ac:dyDescent="0.25">
      <c r="L373" s="46"/>
      <c r="M373" s="46"/>
    </row>
    <row r="374" spans="12:13" x14ac:dyDescent="0.25">
      <c r="L374" s="46"/>
      <c r="M374" s="46"/>
    </row>
    <row r="375" spans="12:13" x14ac:dyDescent="0.25">
      <c r="L375" s="46"/>
      <c r="M375" s="46"/>
    </row>
    <row r="376" spans="12:13" x14ac:dyDescent="0.25">
      <c r="L376" s="46"/>
      <c r="M376" s="46"/>
    </row>
    <row r="377" spans="12:13" x14ac:dyDescent="0.25">
      <c r="L377" s="46"/>
      <c r="M377" s="46"/>
    </row>
    <row r="378" spans="12:13" x14ac:dyDescent="0.25">
      <c r="L378" s="46"/>
      <c r="M378" s="46"/>
    </row>
    <row r="379" spans="12:13" x14ac:dyDescent="0.25">
      <c r="L379" s="46"/>
      <c r="M379" s="46"/>
    </row>
    <row r="380" spans="12:13" x14ac:dyDescent="0.25">
      <c r="L380" s="46"/>
      <c r="M380" s="46"/>
    </row>
    <row r="381" spans="12:13" x14ac:dyDescent="0.25">
      <c r="L381" s="46"/>
      <c r="M381" s="46"/>
    </row>
    <row r="382" spans="12:13" x14ac:dyDescent="0.25">
      <c r="L382" s="46"/>
      <c r="M382" s="46"/>
    </row>
    <row r="383" spans="12:13" x14ac:dyDescent="0.25">
      <c r="L383" s="46"/>
      <c r="M383" s="46"/>
    </row>
    <row r="384" spans="12:13" x14ac:dyDescent="0.25">
      <c r="L384" s="46"/>
      <c r="M384" s="46"/>
    </row>
    <row r="385" spans="12:13" x14ac:dyDescent="0.25">
      <c r="L385" s="46"/>
      <c r="M385" s="46"/>
    </row>
    <row r="386" spans="12:13" x14ac:dyDescent="0.25">
      <c r="L386" s="46"/>
      <c r="M386" s="46"/>
    </row>
    <row r="387" spans="12:13" x14ac:dyDescent="0.25">
      <c r="L387" s="46"/>
      <c r="M387" s="46"/>
    </row>
    <row r="388" spans="12:13" x14ac:dyDescent="0.25">
      <c r="L388" s="46"/>
      <c r="M388" s="46"/>
    </row>
    <row r="389" spans="12:13" x14ac:dyDescent="0.25">
      <c r="L389" s="46"/>
      <c r="M389" s="46"/>
    </row>
    <row r="390" spans="12:13" x14ac:dyDescent="0.25">
      <c r="L390" s="46"/>
      <c r="M390" s="46"/>
    </row>
    <row r="391" spans="12:13" x14ac:dyDescent="0.25">
      <c r="L391" s="46"/>
      <c r="M391" s="46"/>
    </row>
    <row r="392" spans="12:13" x14ac:dyDescent="0.25">
      <c r="L392" s="46"/>
      <c r="M392" s="46"/>
    </row>
    <row r="393" spans="12:13" x14ac:dyDescent="0.25">
      <c r="L393" s="46"/>
      <c r="M393" s="46"/>
    </row>
    <row r="394" spans="12:13" x14ac:dyDescent="0.25">
      <c r="L394" s="46"/>
      <c r="M394" s="46"/>
    </row>
    <row r="395" spans="12:13" x14ac:dyDescent="0.25">
      <c r="L395" s="46"/>
      <c r="M395" s="46"/>
    </row>
    <row r="396" spans="12:13" x14ac:dyDescent="0.25">
      <c r="L396" s="46"/>
      <c r="M396" s="46"/>
    </row>
    <row r="397" spans="12:13" x14ac:dyDescent="0.25">
      <c r="L397" s="46"/>
      <c r="M397" s="46"/>
    </row>
    <row r="398" spans="12:13" x14ac:dyDescent="0.25">
      <c r="L398" s="46"/>
      <c r="M398" s="46"/>
    </row>
    <row r="399" spans="12:13" x14ac:dyDescent="0.25">
      <c r="L399" s="46"/>
      <c r="M399" s="46"/>
    </row>
    <row r="400" spans="12:13" x14ac:dyDescent="0.25">
      <c r="L400" s="46"/>
      <c r="M400" s="46"/>
    </row>
    <row r="401" spans="12:13" x14ac:dyDescent="0.25">
      <c r="L401" s="46"/>
      <c r="M401" s="46"/>
    </row>
    <row r="402" spans="12:13" x14ac:dyDescent="0.25">
      <c r="L402" s="46"/>
      <c r="M402" s="46"/>
    </row>
    <row r="403" spans="12:13" x14ac:dyDescent="0.25">
      <c r="L403" s="46"/>
      <c r="M403" s="46"/>
    </row>
    <row r="404" spans="12:13" x14ac:dyDescent="0.25">
      <c r="L404" s="46"/>
      <c r="M404" s="46"/>
    </row>
    <row r="405" spans="12:13" x14ac:dyDescent="0.25">
      <c r="L405" s="46"/>
      <c r="M405" s="46"/>
    </row>
    <row r="406" spans="12:13" x14ac:dyDescent="0.25">
      <c r="L406" s="46"/>
      <c r="M406" s="46"/>
    </row>
    <row r="407" spans="12:13" x14ac:dyDescent="0.25">
      <c r="L407" s="46"/>
      <c r="M407" s="46"/>
    </row>
    <row r="408" spans="12:13" x14ac:dyDescent="0.25">
      <c r="L408" s="46"/>
      <c r="M408" s="46"/>
    </row>
    <row r="409" spans="12:13" x14ac:dyDescent="0.25">
      <c r="L409" s="46"/>
      <c r="M409" s="46"/>
    </row>
    <row r="410" spans="12:13" x14ac:dyDescent="0.25">
      <c r="L410" s="46"/>
      <c r="M410" s="46"/>
    </row>
    <row r="411" spans="12:13" x14ac:dyDescent="0.25">
      <c r="L411" s="46"/>
      <c r="M411" s="46"/>
    </row>
    <row r="412" spans="12:13" x14ac:dyDescent="0.25">
      <c r="L412" s="46"/>
      <c r="M412" s="46"/>
    </row>
    <row r="413" spans="12:13" x14ac:dyDescent="0.25">
      <c r="L413" s="46"/>
      <c r="M413" s="46"/>
    </row>
    <row r="414" spans="12:13" x14ac:dyDescent="0.25">
      <c r="L414" s="46"/>
      <c r="M414" s="46"/>
    </row>
    <row r="415" spans="12:13" x14ac:dyDescent="0.25">
      <c r="L415" s="46"/>
      <c r="M415" s="46"/>
    </row>
    <row r="416" spans="12:13" x14ac:dyDescent="0.25">
      <c r="L416" s="46"/>
      <c r="M416" s="46"/>
    </row>
    <row r="417" spans="12:13" x14ac:dyDescent="0.25">
      <c r="L417" s="46"/>
      <c r="M417" s="46"/>
    </row>
    <row r="418" spans="12:13" x14ac:dyDescent="0.25">
      <c r="L418" s="46"/>
      <c r="M418" s="46"/>
    </row>
    <row r="419" spans="12:13" x14ac:dyDescent="0.25">
      <c r="L419" s="46"/>
      <c r="M419" s="46"/>
    </row>
    <row r="420" spans="12:13" x14ac:dyDescent="0.25">
      <c r="L420" s="46"/>
      <c r="M420" s="46"/>
    </row>
    <row r="421" spans="12:13" x14ac:dyDescent="0.25">
      <c r="L421" s="46"/>
      <c r="M421" s="46"/>
    </row>
    <row r="422" spans="12:13" x14ac:dyDescent="0.25">
      <c r="L422" s="46"/>
      <c r="M422" s="46"/>
    </row>
    <row r="423" spans="12:13" x14ac:dyDescent="0.25">
      <c r="L423" s="46"/>
      <c r="M423" s="46"/>
    </row>
    <row r="424" spans="12:13" x14ac:dyDescent="0.25">
      <c r="L424" s="46"/>
      <c r="M424" s="46"/>
    </row>
    <row r="425" spans="12:13" x14ac:dyDescent="0.25">
      <c r="L425" s="46"/>
      <c r="M425" s="46"/>
    </row>
    <row r="426" spans="12:13" x14ac:dyDescent="0.25">
      <c r="L426" s="46"/>
      <c r="M426" s="46"/>
    </row>
    <row r="427" spans="12:13" x14ac:dyDescent="0.25">
      <c r="L427" s="46"/>
      <c r="M427" s="46"/>
    </row>
    <row r="428" spans="12:13" x14ac:dyDescent="0.25">
      <c r="L428" s="46"/>
      <c r="M428" s="46"/>
    </row>
    <row r="429" spans="12:13" x14ac:dyDescent="0.25">
      <c r="L429" s="46"/>
      <c r="M429" s="46"/>
    </row>
    <row r="430" spans="12:13" x14ac:dyDescent="0.25">
      <c r="L430" s="46"/>
      <c r="M430" s="46"/>
    </row>
    <row r="431" spans="12:13" x14ac:dyDescent="0.25">
      <c r="L431" s="46"/>
      <c r="M431" s="46"/>
    </row>
    <row r="432" spans="12:13" x14ac:dyDescent="0.25">
      <c r="L432" s="46"/>
      <c r="M432" s="46"/>
    </row>
    <row r="433" spans="12:13" x14ac:dyDescent="0.25">
      <c r="L433" s="46"/>
      <c r="M433" s="46"/>
    </row>
    <row r="434" spans="12:13" x14ac:dyDescent="0.25">
      <c r="L434" s="46"/>
      <c r="M434" s="46"/>
    </row>
    <row r="435" spans="12:13" x14ac:dyDescent="0.25">
      <c r="L435" s="46"/>
      <c r="M435" s="46"/>
    </row>
    <row r="436" spans="12:13" x14ac:dyDescent="0.25">
      <c r="L436" s="46"/>
      <c r="M436" s="46"/>
    </row>
    <row r="437" spans="12:13" x14ac:dyDescent="0.25">
      <c r="L437" s="46"/>
      <c r="M437" s="46"/>
    </row>
    <row r="438" spans="12:13" x14ac:dyDescent="0.25">
      <c r="L438" s="46"/>
      <c r="M438" s="46"/>
    </row>
    <row r="439" spans="12:13" x14ac:dyDescent="0.25">
      <c r="L439" s="46"/>
      <c r="M439" s="46"/>
    </row>
    <row r="440" spans="12:13" x14ac:dyDescent="0.25">
      <c r="L440" s="46"/>
      <c r="M440" s="46"/>
    </row>
    <row r="441" spans="12:13" x14ac:dyDescent="0.25">
      <c r="L441" s="46"/>
      <c r="M441" s="46"/>
    </row>
    <row r="442" spans="12:13" x14ac:dyDescent="0.25">
      <c r="L442" s="46"/>
      <c r="M442" s="46"/>
    </row>
    <row r="443" spans="12:13" x14ac:dyDescent="0.25">
      <c r="L443" s="46"/>
      <c r="M443" s="46"/>
    </row>
    <row r="444" spans="12:13" x14ac:dyDescent="0.25">
      <c r="L444" s="46"/>
      <c r="M444" s="46"/>
    </row>
    <row r="445" spans="12:13" x14ac:dyDescent="0.25">
      <c r="L445" s="46"/>
      <c r="M445" s="46"/>
    </row>
    <row r="446" spans="12:13" x14ac:dyDescent="0.25">
      <c r="L446" s="46"/>
      <c r="M446" s="46"/>
    </row>
    <row r="447" spans="12:13" x14ac:dyDescent="0.25">
      <c r="L447" s="46"/>
      <c r="M447" s="46"/>
    </row>
    <row r="448" spans="12:13" x14ac:dyDescent="0.25">
      <c r="L448" s="46"/>
      <c r="M448" s="46"/>
    </row>
    <row r="449" spans="12:13" x14ac:dyDescent="0.25">
      <c r="L449" s="46"/>
      <c r="M449" s="46"/>
    </row>
    <row r="450" spans="12:13" x14ac:dyDescent="0.25">
      <c r="L450" s="46"/>
      <c r="M450" s="46"/>
    </row>
    <row r="451" spans="12:13" x14ac:dyDescent="0.25">
      <c r="L451" s="46"/>
      <c r="M451" s="46"/>
    </row>
    <row r="452" spans="12:13" x14ac:dyDescent="0.25">
      <c r="L452" s="46"/>
      <c r="M452" s="46"/>
    </row>
    <row r="453" spans="12:13" x14ac:dyDescent="0.25">
      <c r="L453" s="46"/>
      <c r="M453" s="46"/>
    </row>
    <row r="454" spans="12:13" x14ac:dyDescent="0.25">
      <c r="L454" s="46"/>
      <c r="M454" s="46"/>
    </row>
    <row r="455" spans="12:13" x14ac:dyDescent="0.25">
      <c r="L455" s="46"/>
      <c r="M455" s="46"/>
    </row>
    <row r="456" spans="12:13" x14ac:dyDescent="0.25">
      <c r="L456" s="46"/>
      <c r="M456" s="46"/>
    </row>
    <row r="457" spans="12:13" x14ac:dyDescent="0.25">
      <c r="L457" s="46"/>
      <c r="M457" s="46"/>
    </row>
    <row r="458" spans="12:13" x14ac:dyDescent="0.25">
      <c r="L458" s="46"/>
      <c r="M458" s="46"/>
    </row>
    <row r="459" spans="12:13" x14ac:dyDescent="0.25">
      <c r="L459" s="46"/>
      <c r="M459" s="46"/>
    </row>
    <row r="460" spans="12:13" x14ac:dyDescent="0.25">
      <c r="L460" s="46"/>
      <c r="M460" s="46"/>
    </row>
    <row r="461" spans="12:13" x14ac:dyDescent="0.25">
      <c r="L461" s="46"/>
      <c r="M461" s="46"/>
    </row>
    <row r="462" spans="12:13" x14ac:dyDescent="0.25">
      <c r="L462" s="46"/>
      <c r="M462" s="46"/>
    </row>
    <row r="463" spans="12:13" x14ac:dyDescent="0.25">
      <c r="L463" s="46"/>
      <c r="M463" s="46"/>
    </row>
    <row r="464" spans="12:13" x14ac:dyDescent="0.25">
      <c r="L464" s="46"/>
      <c r="M464" s="46"/>
    </row>
    <row r="465" spans="12:13" x14ac:dyDescent="0.25">
      <c r="L465" s="46"/>
      <c r="M465" s="46"/>
    </row>
    <row r="466" spans="12:13" x14ac:dyDescent="0.25">
      <c r="L466" s="46"/>
      <c r="M466" s="46"/>
    </row>
    <row r="467" spans="12:13" x14ac:dyDescent="0.25">
      <c r="L467" s="46"/>
      <c r="M467" s="46"/>
    </row>
    <row r="468" spans="12:13" x14ac:dyDescent="0.25">
      <c r="L468" s="46"/>
      <c r="M468" s="46"/>
    </row>
    <row r="469" spans="12:13" x14ac:dyDescent="0.25">
      <c r="L469" s="46"/>
      <c r="M469" s="46"/>
    </row>
    <row r="470" spans="12:13" x14ac:dyDescent="0.25">
      <c r="L470" s="46"/>
      <c r="M470" s="46"/>
    </row>
    <row r="471" spans="12:13" x14ac:dyDescent="0.25">
      <c r="L471" s="46"/>
      <c r="M471" s="46"/>
    </row>
    <row r="472" spans="12:13" x14ac:dyDescent="0.25">
      <c r="L472" s="46"/>
      <c r="M472" s="46"/>
    </row>
    <row r="473" spans="12:13" x14ac:dyDescent="0.25">
      <c r="L473" s="46"/>
      <c r="M473" s="46"/>
    </row>
    <row r="474" spans="12:13" x14ac:dyDescent="0.25">
      <c r="L474" s="46"/>
      <c r="M474" s="46"/>
    </row>
    <row r="475" spans="12:13" x14ac:dyDescent="0.25">
      <c r="L475" s="46"/>
      <c r="M475" s="46"/>
    </row>
    <row r="476" spans="12:13" x14ac:dyDescent="0.25">
      <c r="L476" s="46"/>
      <c r="M476" s="46"/>
    </row>
    <row r="477" spans="12:13" x14ac:dyDescent="0.25">
      <c r="L477" s="46"/>
      <c r="M477" s="46"/>
    </row>
    <row r="478" spans="12:13" x14ac:dyDescent="0.25">
      <c r="L478" s="46"/>
      <c r="M478" s="46"/>
    </row>
    <row r="479" spans="12:13" x14ac:dyDescent="0.25">
      <c r="L479" s="46"/>
      <c r="M479" s="46"/>
    </row>
    <row r="480" spans="12:13" x14ac:dyDescent="0.25">
      <c r="L480" s="46"/>
      <c r="M480" s="46"/>
    </row>
    <row r="481" spans="12:13" x14ac:dyDescent="0.25">
      <c r="L481" s="46"/>
      <c r="M481" s="46"/>
    </row>
    <row r="482" spans="12:13" x14ac:dyDescent="0.25">
      <c r="L482" s="46"/>
      <c r="M482" s="46"/>
    </row>
    <row r="483" spans="12:13" x14ac:dyDescent="0.25">
      <c r="L483" s="46"/>
      <c r="M483" s="46"/>
    </row>
    <row r="484" spans="12:13" x14ac:dyDescent="0.25">
      <c r="L484" s="46"/>
      <c r="M484" s="46"/>
    </row>
    <row r="485" spans="12:13" x14ac:dyDescent="0.25">
      <c r="L485" s="46"/>
      <c r="M485" s="46"/>
    </row>
    <row r="486" spans="12:13" x14ac:dyDescent="0.25">
      <c r="L486" s="46"/>
      <c r="M486" s="46"/>
    </row>
    <row r="487" spans="12:13" x14ac:dyDescent="0.25">
      <c r="L487" s="46"/>
      <c r="M487" s="46"/>
    </row>
    <row r="488" spans="12:13" x14ac:dyDescent="0.25">
      <c r="L488" s="46"/>
      <c r="M488" s="46"/>
    </row>
    <row r="489" spans="12:13" x14ac:dyDescent="0.25">
      <c r="L489" s="46"/>
      <c r="M489" s="46"/>
    </row>
    <row r="490" spans="12:13" x14ac:dyDescent="0.25">
      <c r="L490" s="46"/>
      <c r="M490" s="46"/>
    </row>
    <row r="491" spans="12:13" x14ac:dyDescent="0.25">
      <c r="L491" s="46"/>
      <c r="M491" s="46"/>
    </row>
    <row r="492" spans="12:13" x14ac:dyDescent="0.25">
      <c r="L492" s="46"/>
      <c r="M492" s="46"/>
    </row>
    <row r="493" spans="12:13" x14ac:dyDescent="0.25">
      <c r="L493" s="46"/>
      <c r="M493" s="46"/>
    </row>
    <row r="494" spans="12:13" x14ac:dyDescent="0.25">
      <c r="L494" s="46"/>
      <c r="M494" s="46"/>
    </row>
    <row r="495" spans="12:13" x14ac:dyDescent="0.25">
      <c r="L495" s="46"/>
      <c r="M495" s="46"/>
    </row>
    <row r="496" spans="12:13" x14ac:dyDescent="0.25">
      <c r="L496" s="46"/>
      <c r="M496" s="46"/>
    </row>
    <row r="497" spans="12:13" x14ac:dyDescent="0.25">
      <c r="L497" s="46"/>
      <c r="M497" s="46"/>
    </row>
    <row r="498" spans="12:13" x14ac:dyDescent="0.25">
      <c r="L498" s="46"/>
      <c r="M498" s="46"/>
    </row>
    <row r="499" spans="12:13" x14ac:dyDescent="0.25">
      <c r="L499" s="46"/>
      <c r="M499" s="46"/>
    </row>
    <row r="500" spans="12:13" x14ac:dyDescent="0.25">
      <c r="L500" s="46"/>
      <c r="M500" s="46"/>
    </row>
    <row r="501" spans="12:13" x14ac:dyDescent="0.25">
      <c r="L501" s="46"/>
      <c r="M501" s="46"/>
    </row>
    <row r="502" spans="12:13" x14ac:dyDescent="0.25">
      <c r="L502" s="46"/>
      <c r="M502" s="46"/>
    </row>
    <row r="503" spans="12:13" x14ac:dyDescent="0.25">
      <c r="L503" s="46"/>
      <c r="M503" s="46"/>
    </row>
    <row r="504" spans="12:13" x14ac:dyDescent="0.25">
      <c r="L504" s="46"/>
      <c r="M504" s="46"/>
    </row>
    <row r="505" spans="12:13" x14ac:dyDescent="0.25">
      <c r="L505" s="46"/>
      <c r="M505" s="46"/>
    </row>
    <row r="506" spans="12:13" x14ac:dyDescent="0.25">
      <c r="L506" s="46"/>
      <c r="M506" s="46"/>
    </row>
    <row r="507" spans="12:13" x14ac:dyDescent="0.25">
      <c r="L507" s="46"/>
      <c r="M507" s="46"/>
    </row>
    <row r="508" spans="12:13" x14ac:dyDescent="0.25">
      <c r="L508" s="46"/>
      <c r="M508" s="46"/>
    </row>
    <row r="509" spans="12:13" x14ac:dyDescent="0.25">
      <c r="L509" s="46"/>
      <c r="M509" s="46"/>
    </row>
    <row r="510" spans="12:13" x14ac:dyDescent="0.25">
      <c r="L510" s="46"/>
      <c r="M510" s="46"/>
    </row>
    <row r="511" spans="12:13" x14ac:dyDescent="0.25">
      <c r="L511" s="46"/>
      <c r="M511" s="46"/>
    </row>
    <row r="512" spans="12:13" x14ac:dyDescent="0.25">
      <c r="L512" s="46"/>
      <c r="M512" s="46"/>
    </row>
    <row r="513" spans="12:13" x14ac:dyDescent="0.25">
      <c r="L513" s="46"/>
      <c r="M513" s="46"/>
    </row>
    <row r="514" spans="12:13" x14ac:dyDescent="0.25">
      <c r="L514" s="46"/>
      <c r="M514" s="46"/>
    </row>
    <row r="515" spans="12:13" x14ac:dyDescent="0.25">
      <c r="L515" s="46"/>
      <c r="M515" s="46"/>
    </row>
    <row r="516" spans="12:13" x14ac:dyDescent="0.25">
      <c r="L516" s="46"/>
      <c r="M516" s="46"/>
    </row>
    <row r="517" spans="12:13" x14ac:dyDescent="0.25">
      <c r="L517" s="46"/>
      <c r="M517" s="46"/>
    </row>
    <row r="518" spans="12:13" x14ac:dyDescent="0.25">
      <c r="L518" s="46"/>
      <c r="M518" s="46"/>
    </row>
    <row r="519" spans="12:13" x14ac:dyDescent="0.25">
      <c r="L519" s="46"/>
      <c r="M519" s="46"/>
    </row>
    <row r="520" spans="12:13" x14ac:dyDescent="0.25">
      <c r="L520" s="46"/>
      <c r="M520" s="46"/>
    </row>
    <row r="521" spans="12:13" x14ac:dyDescent="0.25">
      <c r="L521" s="46"/>
      <c r="M521" s="46"/>
    </row>
    <row r="522" spans="12:13" x14ac:dyDescent="0.25">
      <c r="L522" s="46"/>
      <c r="M522" s="46"/>
    </row>
    <row r="523" spans="12:13" x14ac:dyDescent="0.25">
      <c r="L523" s="46"/>
      <c r="M523" s="46"/>
    </row>
    <row r="524" spans="12:13" x14ac:dyDescent="0.25">
      <c r="L524" s="46"/>
      <c r="M524" s="46"/>
    </row>
    <row r="525" spans="12:13" x14ac:dyDescent="0.25">
      <c r="L525" s="46"/>
      <c r="M525" s="46"/>
    </row>
    <row r="526" spans="12:13" x14ac:dyDescent="0.25">
      <c r="L526" s="46"/>
      <c r="M526" s="46"/>
    </row>
    <row r="527" spans="12:13" x14ac:dyDescent="0.25">
      <c r="L527" s="46"/>
      <c r="M527" s="46"/>
    </row>
    <row r="528" spans="12:13" x14ac:dyDescent="0.25">
      <c r="L528" s="46"/>
      <c r="M528" s="46"/>
    </row>
    <row r="529" spans="12:13" x14ac:dyDescent="0.25">
      <c r="L529" s="46"/>
      <c r="M529" s="46"/>
    </row>
    <row r="530" spans="12:13" x14ac:dyDescent="0.25">
      <c r="L530" s="46"/>
      <c r="M530" s="46"/>
    </row>
    <row r="531" spans="12:13" x14ac:dyDescent="0.25">
      <c r="L531" s="46"/>
      <c r="M531" s="46"/>
    </row>
    <row r="532" spans="12:13" x14ac:dyDescent="0.25">
      <c r="L532" s="46"/>
      <c r="M532" s="46"/>
    </row>
    <row r="533" spans="12:13" x14ac:dyDescent="0.25">
      <c r="L533" s="46"/>
      <c r="M533" s="46"/>
    </row>
    <row r="534" spans="12:13" x14ac:dyDescent="0.25">
      <c r="L534" s="46"/>
      <c r="M534" s="46"/>
    </row>
    <row r="535" spans="12:13" x14ac:dyDescent="0.25">
      <c r="L535" s="46"/>
      <c r="M535" s="46"/>
    </row>
    <row r="536" spans="12:13" x14ac:dyDescent="0.25">
      <c r="L536" s="46"/>
      <c r="M536" s="46"/>
    </row>
    <row r="537" spans="12:13" x14ac:dyDescent="0.25">
      <c r="L537" s="46"/>
      <c r="M537" s="46"/>
    </row>
    <row r="538" spans="12:13" x14ac:dyDescent="0.25">
      <c r="L538" s="46"/>
      <c r="M538" s="46"/>
    </row>
    <row r="539" spans="12:13" x14ac:dyDescent="0.25">
      <c r="L539" s="46"/>
      <c r="M539" s="46"/>
    </row>
    <row r="540" spans="12:13" x14ac:dyDescent="0.25">
      <c r="L540" s="46"/>
      <c r="M540" s="46"/>
    </row>
    <row r="541" spans="12:13" x14ac:dyDescent="0.25">
      <c r="L541" s="46"/>
      <c r="M541" s="46"/>
    </row>
    <row r="542" spans="12:13" x14ac:dyDescent="0.25">
      <c r="L542" s="46"/>
      <c r="M542" s="46"/>
    </row>
    <row r="543" spans="12:13" x14ac:dyDescent="0.25">
      <c r="L543" s="46"/>
      <c r="M543" s="46"/>
    </row>
    <row r="544" spans="12:13" x14ac:dyDescent="0.25">
      <c r="L544" s="46"/>
      <c r="M544" s="46"/>
    </row>
    <row r="545" spans="12:13" x14ac:dyDescent="0.25">
      <c r="L545" s="46"/>
      <c r="M545" s="46"/>
    </row>
    <row r="546" spans="12:13" x14ac:dyDescent="0.25">
      <c r="L546" s="46"/>
      <c r="M546" s="46"/>
    </row>
    <row r="547" spans="12:13" x14ac:dyDescent="0.25">
      <c r="L547" s="46"/>
      <c r="M547" s="46"/>
    </row>
    <row r="548" spans="12:13" x14ac:dyDescent="0.25">
      <c r="L548" s="46"/>
      <c r="M548" s="46"/>
    </row>
    <row r="549" spans="12:13" x14ac:dyDescent="0.25">
      <c r="L549" s="46"/>
      <c r="M549" s="46"/>
    </row>
    <row r="550" spans="12:13" x14ac:dyDescent="0.25">
      <c r="L550" s="46"/>
      <c r="M550" s="46"/>
    </row>
    <row r="551" spans="12:13" x14ac:dyDescent="0.25">
      <c r="L551" s="46"/>
      <c r="M551" s="46"/>
    </row>
    <row r="552" spans="12:13" x14ac:dyDescent="0.25">
      <c r="L552" s="46"/>
      <c r="M552" s="46"/>
    </row>
    <row r="553" spans="12:13" x14ac:dyDescent="0.25">
      <c r="L553" s="46"/>
      <c r="M553" s="46"/>
    </row>
    <row r="554" spans="12:13" x14ac:dyDescent="0.25">
      <c r="L554" s="46"/>
      <c r="M554" s="46"/>
    </row>
    <row r="555" spans="12:13" x14ac:dyDescent="0.25">
      <c r="L555" s="46"/>
      <c r="M555" s="46"/>
    </row>
    <row r="556" spans="12:13" x14ac:dyDescent="0.25">
      <c r="L556" s="46"/>
      <c r="M556" s="46"/>
    </row>
    <row r="557" spans="12:13" x14ac:dyDescent="0.25">
      <c r="L557" s="46"/>
      <c r="M557" s="46"/>
    </row>
    <row r="558" spans="12:13" x14ac:dyDescent="0.25">
      <c r="L558" s="46"/>
      <c r="M558" s="46"/>
    </row>
    <row r="559" spans="12:13" x14ac:dyDescent="0.25">
      <c r="L559" s="46"/>
      <c r="M559" s="46"/>
    </row>
    <row r="560" spans="12:13" x14ac:dyDescent="0.25">
      <c r="L560" s="46"/>
      <c r="M560" s="46"/>
    </row>
    <row r="561" spans="12:13" x14ac:dyDescent="0.25">
      <c r="L561" s="46"/>
      <c r="M561" s="46"/>
    </row>
    <row r="562" spans="12:13" x14ac:dyDescent="0.25">
      <c r="L562" s="46"/>
      <c r="M562" s="46"/>
    </row>
    <row r="563" spans="12:13" x14ac:dyDescent="0.25">
      <c r="L563" s="46"/>
      <c r="M563" s="46"/>
    </row>
    <row r="564" spans="12:13" x14ac:dyDescent="0.25">
      <c r="L564" s="46"/>
      <c r="M564" s="46"/>
    </row>
    <row r="565" spans="12:13" x14ac:dyDescent="0.25">
      <c r="L565" s="46"/>
      <c r="M565" s="46"/>
    </row>
    <row r="566" spans="12:13" x14ac:dyDescent="0.25">
      <c r="L566" s="46"/>
      <c r="M566" s="46"/>
    </row>
    <row r="567" spans="12:13" x14ac:dyDescent="0.25">
      <c r="L567" s="46"/>
      <c r="M567" s="46"/>
    </row>
    <row r="568" spans="12:13" x14ac:dyDescent="0.25">
      <c r="L568" s="46"/>
      <c r="M568" s="46"/>
    </row>
    <row r="569" spans="12:13" x14ac:dyDescent="0.25">
      <c r="L569" s="46"/>
      <c r="M569" s="46"/>
    </row>
    <row r="570" spans="12:13" x14ac:dyDescent="0.25">
      <c r="L570" s="46"/>
      <c r="M570" s="46"/>
    </row>
    <row r="571" spans="12:13" x14ac:dyDescent="0.25">
      <c r="L571" s="46"/>
      <c r="M571" s="46"/>
    </row>
    <row r="572" spans="12:13" x14ac:dyDescent="0.25">
      <c r="L572" s="46"/>
      <c r="M572" s="46"/>
    </row>
    <row r="573" spans="12:13" x14ac:dyDescent="0.25">
      <c r="L573" s="46"/>
      <c r="M573" s="46"/>
    </row>
    <row r="574" spans="12:13" x14ac:dyDescent="0.25">
      <c r="L574" s="46"/>
      <c r="M574" s="46"/>
    </row>
    <row r="575" spans="12:13" x14ac:dyDescent="0.25">
      <c r="L575" s="46"/>
      <c r="M575" s="46"/>
    </row>
    <row r="576" spans="12:13" x14ac:dyDescent="0.25">
      <c r="L576" s="46"/>
      <c r="M576" s="46"/>
    </row>
    <row r="577" spans="12:13" x14ac:dyDescent="0.25">
      <c r="L577" s="46"/>
      <c r="M577" s="46"/>
    </row>
    <row r="578" spans="12:13" x14ac:dyDescent="0.25">
      <c r="L578" s="46"/>
      <c r="M578" s="46"/>
    </row>
    <row r="579" spans="12:13" x14ac:dyDescent="0.25">
      <c r="L579" s="46"/>
      <c r="M579" s="46"/>
    </row>
    <row r="580" spans="12:13" x14ac:dyDescent="0.25">
      <c r="L580" s="46"/>
      <c r="M580" s="46"/>
    </row>
    <row r="581" spans="12:13" x14ac:dyDescent="0.25">
      <c r="L581" s="46"/>
      <c r="M581" s="46"/>
    </row>
    <row r="582" spans="12:13" x14ac:dyDescent="0.25">
      <c r="L582" s="46"/>
      <c r="M582" s="46"/>
    </row>
    <row r="583" spans="12:13" x14ac:dyDescent="0.25">
      <c r="L583" s="46"/>
      <c r="M583" s="46"/>
    </row>
    <row r="584" spans="12:13" x14ac:dyDescent="0.25">
      <c r="L584" s="46"/>
      <c r="M584" s="46"/>
    </row>
    <row r="585" spans="12:13" x14ac:dyDescent="0.25">
      <c r="L585" s="46"/>
      <c r="M585" s="46"/>
    </row>
    <row r="586" spans="12:13" x14ac:dyDescent="0.25">
      <c r="L586" s="46"/>
      <c r="M586" s="46"/>
    </row>
    <row r="587" spans="12:13" x14ac:dyDescent="0.25">
      <c r="L587" s="46"/>
      <c r="M587" s="46"/>
    </row>
    <row r="588" spans="12:13" x14ac:dyDescent="0.25">
      <c r="L588" s="46"/>
      <c r="M588" s="46"/>
    </row>
    <row r="589" spans="12:13" x14ac:dyDescent="0.25">
      <c r="L589" s="46"/>
      <c r="M589" s="46"/>
    </row>
    <row r="590" spans="12:13" x14ac:dyDescent="0.25">
      <c r="L590" s="46"/>
      <c r="M590" s="46"/>
    </row>
    <row r="591" spans="12:13" x14ac:dyDescent="0.25">
      <c r="L591" s="46"/>
      <c r="M591" s="46"/>
    </row>
    <row r="592" spans="12:13" x14ac:dyDescent="0.25">
      <c r="L592" s="46"/>
      <c r="M592" s="46"/>
    </row>
    <row r="593" spans="12:13" x14ac:dyDescent="0.25">
      <c r="L593" s="46"/>
      <c r="M593" s="46"/>
    </row>
    <row r="594" spans="12:13" x14ac:dyDescent="0.25">
      <c r="L594" s="46"/>
      <c r="M594" s="46"/>
    </row>
    <row r="595" spans="12:13" x14ac:dyDescent="0.25">
      <c r="L595" s="46"/>
      <c r="M595" s="46"/>
    </row>
    <row r="596" spans="12:13" x14ac:dyDescent="0.25">
      <c r="L596" s="46"/>
      <c r="M596" s="46"/>
    </row>
    <row r="597" spans="12:13" x14ac:dyDescent="0.25">
      <c r="L597" s="46"/>
      <c r="M597" s="46"/>
    </row>
    <row r="598" spans="12:13" x14ac:dyDescent="0.25">
      <c r="L598" s="46"/>
      <c r="M598" s="46"/>
    </row>
    <row r="599" spans="12:13" x14ac:dyDescent="0.25">
      <c r="L599" s="46"/>
      <c r="M599" s="46"/>
    </row>
    <row r="600" spans="12:13" x14ac:dyDescent="0.25">
      <c r="L600" s="46"/>
      <c r="M600" s="46"/>
    </row>
    <row r="601" spans="12:13" x14ac:dyDescent="0.25">
      <c r="L601" s="46"/>
      <c r="M601" s="46"/>
    </row>
    <row r="602" spans="12:13" x14ac:dyDescent="0.25">
      <c r="L602" s="46"/>
      <c r="M602" s="46"/>
    </row>
    <row r="603" spans="12:13" x14ac:dyDescent="0.25">
      <c r="L603" s="46"/>
      <c r="M603" s="46"/>
    </row>
    <row r="604" spans="12:13" x14ac:dyDescent="0.25">
      <c r="L604" s="46"/>
      <c r="M604" s="46"/>
    </row>
    <row r="605" spans="12:13" x14ac:dyDescent="0.25">
      <c r="L605" s="46"/>
      <c r="M605" s="46"/>
    </row>
    <row r="606" spans="12:13" x14ac:dyDescent="0.25">
      <c r="L606" s="46"/>
      <c r="M606" s="46"/>
    </row>
    <row r="607" spans="12:13" x14ac:dyDescent="0.25">
      <c r="L607" s="46"/>
      <c r="M607" s="46"/>
    </row>
    <row r="608" spans="12:13" x14ac:dyDescent="0.25">
      <c r="L608" s="46"/>
      <c r="M608" s="46"/>
    </row>
    <row r="609" spans="12:13" x14ac:dyDescent="0.25">
      <c r="L609" s="46"/>
      <c r="M609" s="46"/>
    </row>
    <row r="610" spans="12:13" x14ac:dyDescent="0.25">
      <c r="L610" s="46"/>
      <c r="M610" s="46"/>
    </row>
    <row r="611" spans="12:13" x14ac:dyDescent="0.25">
      <c r="L611" s="46"/>
      <c r="M611" s="46"/>
    </row>
    <row r="612" spans="12:13" x14ac:dyDescent="0.25">
      <c r="L612" s="46"/>
      <c r="M612" s="46"/>
    </row>
    <row r="613" spans="12:13" x14ac:dyDescent="0.25">
      <c r="L613" s="46"/>
      <c r="M613" s="46"/>
    </row>
    <row r="614" spans="12:13" x14ac:dyDescent="0.25">
      <c r="L614" s="46"/>
      <c r="M614" s="46"/>
    </row>
    <row r="615" spans="12:13" x14ac:dyDescent="0.25">
      <c r="L615" s="46"/>
      <c r="M615" s="46"/>
    </row>
    <row r="616" spans="12:13" x14ac:dyDescent="0.25">
      <c r="L616" s="46"/>
      <c r="M616" s="46"/>
    </row>
    <row r="617" spans="12:13" x14ac:dyDescent="0.25">
      <c r="L617" s="46"/>
      <c r="M617" s="46"/>
    </row>
    <row r="618" spans="12:13" x14ac:dyDescent="0.25">
      <c r="L618" s="46"/>
      <c r="M618" s="46"/>
    </row>
    <row r="619" spans="12:13" x14ac:dyDescent="0.25">
      <c r="L619" s="46"/>
      <c r="M619" s="46"/>
    </row>
    <row r="620" spans="12:13" x14ac:dyDescent="0.25">
      <c r="L620" s="46"/>
      <c r="M620" s="46"/>
    </row>
    <row r="621" spans="12:13" x14ac:dyDescent="0.25">
      <c r="L621" s="46"/>
      <c r="M621" s="46"/>
    </row>
    <row r="622" spans="12:13" x14ac:dyDescent="0.25">
      <c r="L622" s="46"/>
      <c r="M622" s="46"/>
    </row>
    <row r="623" spans="12:13" x14ac:dyDescent="0.25">
      <c r="L623" s="46"/>
      <c r="M623" s="46"/>
    </row>
    <row r="624" spans="12:13" x14ac:dyDescent="0.25">
      <c r="L624" s="46"/>
      <c r="M624" s="46"/>
    </row>
    <row r="625" spans="12:13" x14ac:dyDescent="0.25">
      <c r="L625" s="46"/>
      <c r="M625" s="46"/>
    </row>
    <row r="626" spans="12:13" x14ac:dyDescent="0.25">
      <c r="L626" s="46"/>
      <c r="M626" s="46"/>
    </row>
    <row r="627" spans="12:13" x14ac:dyDescent="0.25">
      <c r="L627" s="46"/>
      <c r="M627" s="46"/>
    </row>
    <row r="628" spans="12:13" x14ac:dyDescent="0.25">
      <c r="L628" s="46"/>
      <c r="M628" s="46"/>
    </row>
    <row r="629" spans="12:13" x14ac:dyDescent="0.25">
      <c r="L629" s="46"/>
      <c r="M629" s="46"/>
    </row>
    <row r="630" spans="12:13" x14ac:dyDescent="0.25">
      <c r="L630" s="46"/>
      <c r="M630" s="46"/>
    </row>
    <row r="631" spans="12:13" x14ac:dyDescent="0.25">
      <c r="L631" s="46"/>
      <c r="M631" s="46"/>
    </row>
    <row r="632" spans="12:13" x14ac:dyDescent="0.25">
      <c r="L632" s="46"/>
      <c r="M632" s="46"/>
    </row>
    <row r="633" spans="12:13" x14ac:dyDescent="0.25">
      <c r="L633" s="46"/>
      <c r="M633" s="46"/>
    </row>
    <row r="634" spans="12:13" x14ac:dyDescent="0.25">
      <c r="L634" s="46"/>
      <c r="M634" s="46"/>
    </row>
    <row r="635" spans="12:13" x14ac:dyDescent="0.25">
      <c r="L635" s="46"/>
      <c r="M635" s="46"/>
    </row>
    <row r="636" spans="12:13" x14ac:dyDescent="0.25">
      <c r="L636" s="46"/>
      <c r="M636" s="46"/>
    </row>
    <row r="637" spans="12:13" x14ac:dyDescent="0.25">
      <c r="L637" s="46"/>
      <c r="M637" s="46"/>
    </row>
    <row r="638" spans="12:13" x14ac:dyDescent="0.25">
      <c r="L638" s="46"/>
      <c r="M638" s="46"/>
    </row>
    <row r="639" spans="12:13" x14ac:dyDescent="0.25">
      <c r="L639" s="46"/>
      <c r="M639" s="46"/>
    </row>
    <row r="640" spans="12:13" x14ac:dyDescent="0.25">
      <c r="L640" s="46"/>
      <c r="M640" s="46"/>
    </row>
    <row r="641" spans="12:13" x14ac:dyDescent="0.25">
      <c r="L641" s="46"/>
      <c r="M641" s="46"/>
    </row>
    <row r="642" spans="12:13" x14ac:dyDescent="0.25">
      <c r="L642" s="46"/>
      <c r="M642" s="46"/>
    </row>
    <row r="643" spans="12:13" x14ac:dyDescent="0.25">
      <c r="L643" s="46"/>
      <c r="M643" s="46"/>
    </row>
    <row r="644" spans="12:13" x14ac:dyDescent="0.25">
      <c r="L644" s="46"/>
      <c r="M644" s="46"/>
    </row>
    <row r="645" spans="12:13" x14ac:dyDescent="0.25">
      <c r="L645" s="46"/>
      <c r="M645" s="46"/>
    </row>
    <row r="646" spans="12:13" x14ac:dyDescent="0.25">
      <c r="L646" s="46"/>
      <c r="M646" s="46"/>
    </row>
    <row r="647" spans="12:13" x14ac:dyDescent="0.25">
      <c r="L647" s="46"/>
      <c r="M647" s="46"/>
    </row>
    <row r="648" spans="12:13" x14ac:dyDescent="0.25">
      <c r="L648" s="46"/>
      <c r="M648" s="46"/>
    </row>
    <row r="649" spans="12:13" x14ac:dyDescent="0.25">
      <c r="L649" s="46"/>
      <c r="M649" s="46"/>
    </row>
    <row r="650" spans="12:13" x14ac:dyDescent="0.25">
      <c r="L650" s="46"/>
      <c r="M650" s="46"/>
    </row>
    <row r="651" spans="12:13" x14ac:dyDescent="0.25">
      <c r="L651" s="46"/>
      <c r="M651" s="46"/>
    </row>
    <row r="652" spans="12:13" x14ac:dyDescent="0.25">
      <c r="L652" s="46"/>
      <c r="M652" s="46"/>
    </row>
    <row r="653" spans="12:13" x14ac:dyDescent="0.25">
      <c r="L653" s="46"/>
      <c r="M653" s="46"/>
    </row>
    <row r="654" spans="12:13" x14ac:dyDescent="0.25">
      <c r="L654" s="46"/>
      <c r="M654" s="46"/>
    </row>
    <row r="655" spans="12:13" x14ac:dyDescent="0.25">
      <c r="L655" s="46"/>
      <c r="M655" s="46"/>
    </row>
    <row r="656" spans="12:13" x14ac:dyDescent="0.25">
      <c r="L656" s="46"/>
      <c r="M656" s="46"/>
    </row>
    <row r="657" spans="12:13" x14ac:dyDescent="0.25">
      <c r="L657" s="46"/>
      <c r="M657" s="46"/>
    </row>
    <row r="658" spans="12:13" x14ac:dyDescent="0.25">
      <c r="L658" s="46"/>
      <c r="M658" s="46"/>
    </row>
    <row r="659" spans="12:13" x14ac:dyDescent="0.25">
      <c r="L659" s="46"/>
      <c r="M659" s="46"/>
    </row>
    <row r="660" spans="12:13" x14ac:dyDescent="0.25">
      <c r="L660" s="46"/>
      <c r="M660" s="46"/>
    </row>
    <row r="661" spans="12:13" x14ac:dyDescent="0.25">
      <c r="L661" s="46"/>
      <c r="M661" s="46"/>
    </row>
    <row r="662" spans="12:13" x14ac:dyDescent="0.25">
      <c r="L662" s="46"/>
      <c r="M662" s="46"/>
    </row>
    <row r="663" spans="12:13" x14ac:dyDescent="0.25">
      <c r="L663" s="46"/>
      <c r="M663" s="46"/>
    </row>
    <row r="664" spans="12:13" x14ac:dyDescent="0.25">
      <c r="L664" s="46"/>
      <c r="M664" s="46"/>
    </row>
    <row r="665" spans="12:13" x14ac:dyDescent="0.25">
      <c r="L665" s="46"/>
      <c r="M665" s="46"/>
    </row>
    <row r="666" spans="12:13" x14ac:dyDescent="0.25">
      <c r="L666" s="46"/>
      <c r="M666" s="46"/>
    </row>
    <row r="667" spans="12:13" x14ac:dyDescent="0.25">
      <c r="L667" s="46"/>
      <c r="M667" s="46"/>
    </row>
    <row r="668" spans="12:13" x14ac:dyDescent="0.25">
      <c r="L668" s="46"/>
      <c r="M668" s="46"/>
    </row>
    <row r="669" spans="12:13" x14ac:dyDescent="0.25">
      <c r="L669" s="46"/>
      <c r="M669" s="46"/>
    </row>
    <row r="670" spans="12:13" x14ac:dyDescent="0.25">
      <c r="L670" s="46"/>
      <c r="M670" s="46"/>
    </row>
    <row r="671" spans="12:13" x14ac:dyDescent="0.25">
      <c r="L671" s="46"/>
      <c r="M671" s="46"/>
    </row>
    <row r="672" spans="12:13" x14ac:dyDescent="0.25">
      <c r="L672" s="46"/>
      <c r="M672" s="46"/>
    </row>
    <row r="673" spans="12:13" x14ac:dyDescent="0.25">
      <c r="L673" s="46"/>
      <c r="M673" s="46"/>
    </row>
    <row r="674" spans="12:13" x14ac:dyDescent="0.25">
      <c r="L674" s="46"/>
      <c r="M674" s="46"/>
    </row>
    <row r="675" spans="12:13" x14ac:dyDescent="0.25">
      <c r="L675" s="46"/>
      <c r="M675" s="46"/>
    </row>
    <row r="676" spans="12:13" x14ac:dyDescent="0.25">
      <c r="L676" s="46"/>
      <c r="M676" s="46"/>
    </row>
    <row r="677" spans="12:13" x14ac:dyDescent="0.25">
      <c r="L677" s="46"/>
      <c r="M677" s="46"/>
    </row>
    <row r="678" spans="12:13" x14ac:dyDescent="0.25">
      <c r="L678" s="46"/>
      <c r="M678" s="46"/>
    </row>
    <row r="679" spans="12:13" x14ac:dyDescent="0.25">
      <c r="L679" s="46"/>
      <c r="M679" s="46"/>
    </row>
    <row r="680" spans="12:13" x14ac:dyDescent="0.25">
      <c r="L680" s="46"/>
      <c r="M680" s="46"/>
    </row>
    <row r="681" spans="12:13" x14ac:dyDescent="0.25">
      <c r="L681" s="46"/>
      <c r="M681" s="46"/>
    </row>
    <row r="682" spans="12:13" x14ac:dyDescent="0.25">
      <c r="L682" s="46"/>
      <c r="M682" s="46"/>
    </row>
    <row r="683" spans="12:13" x14ac:dyDescent="0.25">
      <c r="L683" s="46"/>
      <c r="M683" s="46"/>
    </row>
    <row r="684" spans="12:13" x14ac:dyDescent="0.25">
      <c r="L684" s="46"/>
      <c r="M684" s="46"/>
    </row>
    <row r="685" spans="12:13" x14ac:dyDescent="0.25">
      <c r="L685" s="46"/>
      <c r="M685" s="46"/>
    </row>
    <row r="686" spans="12:13" x14ac:dyDescent="0.25">
      <c r="L686" s="46"/>
      <c r="M686" s="46"/>
    </row>
    <row r="687" spans="12:13" x14ac:dyDescent="0.25">
      <c r="L687" s="46"/>
      <c r="M687" s="46"/>
    </row>
    <row r="688" spans="12:13" x14ac:dyDescent="0.25">
      <c r="L688" s="46"/>
      <c r="M688" s="46"/>
    </row>
    <row r="689" spans="12:13" x14ac:dyDescent="0.25">
      <c r="L689" s="46"/>
      <c r="M689" s="46"/>
    </row>
    <row r="690" spans="12:13" x14ac:dyDescent="0.25">
      <c r="L690" s="46"/>
      <c r="M690" s="46"/>
    </row>
    <row r="691" spans="12:13" x14ac:dyDescent="0.25">
      <c r="L691" s="46"/>
      <c r="M691" s="46"/>
    </row>
    <row r="692" spans="12:13" x14ac:dyDescent="0.25">
      <c r="L692" s="46"/>
      <c r="M692" s="46"/>
    </row>
    <row r="693" spans="12:13" x14ac:dyDescent="0.25">
      <c r="L693" s="46"/>
      <c r="M693" s="46"/>
    </row>
    <row r="694" spans="12:13" x14ac:dyDescent="0.25">
      <c r="L694" s="46"/>
      <c r="M694" s="46"/>
    </row>
    <row r="695" spans="12:13" x14ac:dyDescent="0.25">
      <c r="L695" s="46"/>
      <c r="M695" s="46"/>
    </row>
    <row r="696" spans="12:13" x14ac:dyDescent="0.25">
      <c r="L696" s="46"/>
      <c r="M696" s="46"/>
    </row>
    <row r="697" spans="12:13" x14ac:dyDescent="0.25">
      <c r="L697" s="46"/>
      <c r="M697" s="46"/>
    </row>
    <row r="698" spans="12:13" x14ac:dyDescent="0.25">
      <c r="L698" s="46"/>
      <c r="M698" s="46"/>
    </row>
    <row r="699" spans="12:13" x14ac:dyDescent="0.25">
      <c r="L699" s="46"/>
      <c r="M699" s="46"/>
    </row>
    <row r="700" spans="12:13" x14ac:dyDescent="0.25">
      <c r="L700" s="46"/>
      <c r="M700" s="46"/>
    </row>
    <row r="701" spans="12:13" x14ac:dyDescent="0.25">
      <c r="L701" s="46"/>
      <c r="M701" s="46"/>
    </row>
    <row r="702" spans="12:13" x14ac:dyDescent="0.25">
      <c r="L702" s="46"/>
      <c r="M702" s="46"/>
    </row>
    <row r="703" spans="12:13" x14ac:dyDescent="0.25">
      <c r="L703" s="46"/>
      <c r="M703" s="46"/>
    </row>
    <row r="704" spans="12:13" x14ac:dyDescent="0.25">
      <c r="L704" s="46"/>
      <c r="M704" s="46"/>
    </row>
    <row r="705" spans="12:13" x14ac:dyDescent="0.25">
      <c r="L705" s="46"/>
      <c r="M705" s="46"/>
    </row>
    <row r="706" spans="12:13" x14ac:dyDescent="0.25">
      <c r="L706" s="46"/>
      <c r="M706" s="46"/>
    </row>
    <row r="707" spans="12:13" x14ac:dyDescent="0.25">
      <c r="L707" s="46"/>
      <c r="M707" s="46"/>
    </row>
    <row r="708" spans="12:13" x14ac:dyDescent="0.25">
      <c r="L708" s="46"/>
      <c r="M708" s="46"/>
    </row>
    <row r="709" spans="12:13" x14ac:dyDescent="0.25">
      <c r="L709" s="46"/>
      <c r="M709" s="46"/>
    </row>
    <row r="710" spans="12:13" x14ac:dyDescent="0.25">
      <c r="L710" s="46"/>
      <c r="M710" s="46"/>
    </row>
    <row r="711" spans="12:13" x14ac:dyDescent="0.25">
      <c r="L711" s="46"/>
      <c r="M711" s="46"/>
    </row>
    <row r="712" spans="12:13" x14ac:dyDescent="0.25">
      <c r="L712" s="46"/>
      <c r="M712" s="46"/>
    </row>
    <row r="713" spans="12:13" x14ac:dyDescent="0.25">
      <c r="L713" s="46"/>
      <c r="M713" s="46"/>
    </row>
    <row r="714" spans="12:13" x14ac:dyDescent="0.25">
      <c r="L714" s="46"/>
      <c r="M714" s="46"/>
    </row>
    <row r="715" spans="12:13" x14ac:dyDescent="0.25">
      <c r="L715" s="46"/>
      <c r="M715" s="46"/>
    </row>
    <row r="716" spans="12:13" x14ac:dyDescent="0.25">
      <c r="L716" s="46"/>
      <c r="M716" s="46"/>
    </row>
    <row r="717" spans="12:13" x14ac:dyDescent="0.25">
      <c r="L717" s="46"/>
      <c r="M717" s="46"/>
    </row>
    <row r="718" spans="12:13" x14ac:dyDescent="0.25">
      <c r="L718" s="46"/>
      <c r="M718" s="46"/>
    </row>
    <row r="719" spans="12:13" x14ac:dyDescent="0.25">
      <c r="L719" s="46"/>
      <c r="M719" s="46"/>
    </row>
    <row r="720" spans="12:13" x14ac:dyDescent="0.25">
      <c r="L720" s="46"/>
      <c r="M720" s="46"/>
    </row>
    <row r="721" spans="12:13" x14ac:dyDescent="0.25">
      <c r="L721" s="46"/>
      <c r="M721" s="46"/>
    </row>
    <row r="722" spans="12:13" x14ac:dyDescent="0.25">
      <c r="L722" s="46"/>
      <c r="M722" s="46"/>
    </row>
    <row r="723" spans="12:13" x14ac:dyDescent="0.25">
      <c r="L723" s="46"/>
      <c r="M723" s="46"/>
    </row>
    <row r="724" spans="12:13" x14ac:dyDescent="0.25">
      <c r="L724" s="46"/>
      <c r="M724" s="46"/>
    </row>
    <row r="725" spans="12:13" x14ac:dyDescent="0.25">
      <c r="L725" s="46"/>
      <c r="M725" s="46"/>
    </row>
    <row r="726" spans="12:13" x14ac:dyDescent="0.25">
      <c r="L726" s="46"/>
      <c r="M726" s="46"/>
    </row>
    <row r="727" spans="12:13" x14ac:dyDescent="0.25">
      <c r="L727" s="46"/>
      <c r="M727" s="46"/>
    </row>
    <row r="728" spans="12:13" x14ac:dyDescent="0.25">
      <c r="L728" s="46"/>
      <c r="M728" s="46"/>
    </row>
    <row r="729" spans="12:13" x14ac:dyDescent="0.25">
      <c r="L729" s="46"/>
      <c r="M729" s="46"/>
    </row>
    <row r="730" spans="12:13" x14ac:dyDescent="0.25">
      <c r="L730" s="46"/>
      <c r="M730" s="46"/>
    </row>
    <row r="731" spans="12:13" x14ac:dyDescent="0.25">
      <c r="L731" s="46"/>
      <c r="M731" s="46"/>
    </row>
    <row r="732" spans="12:13" x14ac:dyDescent="0.25">
      <c r="L732" s="46"/>
      <c r="M732" s="46"/>
    </row>
    <row r="733" spans="12:13" x14ac:dyDescent="0.25">
      <c r="L733" s="46"/>
      <c r="M733" s="46"/>
    </row>
    <row r="734" spans="12:13" x14ac:dyDescent="0.25">
      <c r="L734" s="46"/>
      <c r="M734" s="46"/>
    </row>
    <row r="735" spans="12:13" x14ac:dyDescent="0.25">
      <c r="L735" s="46"/>
      <c r="M735" s="46"/>
    </row>
    <row r="736" spans="12:13" x14ac:dyDescent="0.25">
      <c r="L736" s="46"/>
      <c r="M736" s="46"/>
    </row>
    <row r="737" spans="12:13" x14ac:dyDescent="0.25">
      <c r="L737" s="46"/>
      <c r="M737" s="46"/>
    </row>
    <row r="738" spans="12:13" x14ac:dyDescent="0.25">
      <c r="L738" s="46"/>
      <c r="M738" s="46"/>
    </row>
    <row r="739" spans="12:13" x14ac:dyDescent="0.25">
      <c r="L739" s="46"/>
      <c r="M739" s="46"/>
    </row>
    <row r="740" spans="12:13" x14ac:dyDescent="0.25">
      <c r="L740" s="46"/>
      <c r="M740" s="46"/>
    </row>
    <row r="741" spans="12:13" x14ac:dyDescent="0.25">
      <c r="L741" s="46"/>
      <c r="M741" s="46"/>
    </row>
    <row r="742" spans="12:13" x14ac:dyDescent="0.25">
      <c r="L742" s="46"/>
      <c r="M742" s="46"/>
    </row>
    <row r="743" spans="12:13" x14ac:dyDescent="0.25">
      <c r="L743" s="46"/>
      <c r="M743" s="46"/>
    </row>
    <row r="744" spans="12:13" x14ac:dyDescent="0.25">
      <c r="L744" s="46"/>
      <c r="M744" s="46"/>
    </row>
    <row r="745" spans="12:13" x14ac:dyDescent="0.25">
      <c r="L745" s="46"/>
      <c r="M745" s="46"/>
    </row>
    <row r="746" spans="12:13" x14ac:dyDescent="0.25">
      <c r="L746" s="46"/>
      <c r="M746" s="46"/>
    </row>
    <row r="747" spans="12:13" x14ac:dyDescent="0.25">
      <c r="L747" s="46"/>
      <c r="M747" s="46"/>
    </row>
    <row r="748" spans="12:13" x14ac:dyDescent="0.25">
      <c r="L748" s="46"/>
      <c r="M748" s="46"/>
    </row>
    <row r="749" spans="12:13" x14ac:dyDescent="0.25">
      <c r="L749" s="46"/>
      <c r="M749" s="46"/>
    </row>
    <row r="750" spans="12:13" x14ac:dyDescent="0.25">
      <c r="L750" s="46"/>
      <c r="M750" s="46"/>
    </row>
    <row r="751" spans="12:13" x14ac:dyDescent="0.25">
      <c r="L751" s="46"/>
      <c r="M751" s="46"/>
    </row>
    <row r="752" spans="12:13" x14ac:dyDescent="0.25">
      <c r="L752" s="46"/>
      <c r="M752" s="46"/>
    </row>
    <row r="753" spans="12:13" x14ac:dyDescent="0.25">
      <c r="L753" s="46"/>
      <c r="M753" s="46"/>
    </row>
    <row r="754" spans="12:13" x14ac:dyDescent="0.25">
      <c r="L754" s="46"/>
      <c r="M754" s="46"/>
    </row>
    <row r="755" spans="12:13" x14ac:dyDescent="0.25">
      <c r="L755" s="46"/>
      <c r="M755" s="46"/>
    </row>
    <row r="756" spans="12:13" x14ac:dyDescent="0.25">
      <c r="L756" s="46"/>
      <c r="M756" s="46"/>
    </row>
    <row r="757" spans="12:13" x14ac:dyDescent="0.25">
      <c r="L757" s="46"/>
      <c r="M757" s="46"/>
    </row>
    <row r="758" spans="12:13" x14ac:dyDescent="0.25">
      <c r="L758" s="46"/>
      <c r="M758" s="46"/>
    </row>
    <row r="759" spans="12:13" x14ac:dyDescent="0.25">
      <c r="L759" s="46"/>
      <c r="M759" s="46"/>
    </row>
    <row r="760" spans="12:13" x14ac:dyDescent="0.25">
      <c r="L760" s="46"/>
      <c r="M760" s="46"/>
    </row>
    <row r="761" spans="12:13" x14ac:dyDescent="0.25">
      <c r="L761" s="46"/>
      <c r="M761" s="46"/>
    </row>
    <row r="762" spans="12:13" x14ac:dyDescent="0.25">
      <c r="L762" s="46"/>
      <c r="M762" s="46"/>
    </row>
    <row r="763" spans="12:13" x14ac:dyDescent="0.25">
      <c r="L763" s="46"/>
      <c r="M763" s="46"/>
    </row>
    <row r="764" spans="12:13" x14ac:dyDescent="0.25">
      <c r="L764" s="46"/>
      <c r="M764" s="46"/>
    </row>
    <row r="765" spans="12:13" x14ac:dyDescent="0.25">
      <c r="L765" s="46"/>
      <c r="M765" s="46"/>
    </row>
    <row r="766" spans="12:13" x14ac:dyDescent="0.25">
      <c r="L766" s="46"/>
      <c r="M766" s="46"/>
    </row>
    <row r="767" spans="12:13" x14ac:dyDescent="0.25">
      <c r="L767" s="46"/>
      <c r="M767" s="46"/>
    </row>
    <row r="768" spans="12:13" x14ac:dyDescent="0.25">
      <c r="L768" s="46"/>
      <c r="M768" s="46"/>
    </row>
    <row r="769" spans="12:13" x14ac:dyDescent="0.25">
      <c r="L769" s="46"/>
      <c r="M769" s="46"/>
    </row>
    <row r="770" spans="12:13" x14ac:dyDescent="0.25">
      <c r="L770" s="46"/>
      <c r="M770" s="46"/>
    </row>
    <row r="771" spans="12:13" x14ac:dyDescent="0.25">
      <c r="L771" s="46"/>
      <c r="M771" s="46"/>
    </row>
    <row r="772" spans="12:13" x14ac:dyDescent="0.25">
      <c r="L772" s="46"/>
      <c r="M772" s="46"/>
    </row>
    <row r="773" spans="12:13" x14ac:dyDescent="0.25">
      <c r="L773" s="46"/>
      <c r="M773" s="46"/>
    </row>
    <row r="774" spans="12:13" x14ac:dyDescent="0.25">
      <c r="L774" s="46"/>
      <c r="M774" s="46"/>
    </row>
    <row r="775" spans="12:13" x14ac:dyDescent="0.25">
      <c r="L775" s="46"/>
      <c r="M775" s="46"/>
    </row>
    <row r="776" spans="12:13" x14ac:dyDescent="0.25">
      <c r="L776" s="46"/>
      <c r="M776" s="46"/>
    </row>
    <row r="777" spans="12:13" x14ac:dyDescent="0.25">
      <c r="L777" s="46"/>
      <c r="M777" s="46"/>
    </row>
    <row r="778" spans="12:13" x14ac:dyDescent="0.25">
      <c r="L778" s="46"/>
      <c r="M778" s="46"/>
    </row>
    <row r="779" spans="12:13" x14ac:dyDescent="0.25">
      <c r="L779" s="46"/>
      <c r="M779" s="46"/>
    </row>
    <row r="780" spans="12:13" x14ac:dyDescent="0.25">
      <c r="L780" s="46"/>
      <c r="M780" s="46"/>
    </row>
    <row r="781" spans="12:13" x14ac:dyDescent="0.25">
      <c r="L781" s="46"/>
      <c r="M781" s="46"/>
    </row>
    <row r="782" spans="12:13" x14ac:dyDescent="0.25">
      <c r="L782" s="46"/>
      <c r="M782" s="46"/>
    </row>
    <row r="783" spans="12:13" x14ac:dyDescent="0.25">
      <c r="L783" s="46"/>
      <c r="M783" s="46"/>
    </row>
    <row r="784" spans="12:13" x14ac:dyDescent="0.25">
      <c r="L784" s="46"/>
      <c r="M784" s="46"/>
    </row>
    <row r="785" spans="12:13" x14ac:dyDescent="0.25">
      <c r="L785" s="46"/>
      <c r="M785" s="46"/>
    </row>
    <row r="786" spans="12:13" x14ac:dyDescent="0.25">
      <c r="L786" s="46"/>
      <c r="M786" s="46"/>
    </row>
    <row r="787" spans="12:13" x14ac:dyDescent="0.25">
      <c r="L787" s="46"/>
      <c r="M787" s="46"/>
    </row>
    <row r="788" spans="12:13" x14ac:dyDescent="0.25">
      <c r="L788" s="46"/>
      <c r="M788" s="46"/>
    </row>
    <row r="789" spans="12:13" x14ac:dyDescent="0.25">
      <c r="L789" s="46"/>
      <c r="M789" s="46"/>
    </row>
    <row r="790" spans="12:13" x14ac:dyDescent="0.25">
      <c r="L790" s="46"/>
      <c r="M790" s="46"/>
    </row>
    <row r="791" spans="12:13" x14ac:dyDescent="0.25">
      <c r="L791" s="46"/>
      <c r="M791" s="46"/>
    </row>
    <row r="792" spans="12:13" x14ac:dyDescent="0.25">
      <c r="L792" s="46"/>
      <c r="M792" s="46"/>
    </row>
    <row r="793" spans="12:13" x14ac:dyDescent="0.25">
      <c r="L793" s="46"/>
      <c r="M793" s="46"/>
    </row>
    <row r="794" spans="12:13" x14ac:dyDescent="0.25">
      <c r="L794" s="46"/>
      <c r="M794" s="46"/>
    </row>
    <row r="795" spans="12:13" x14ac:dyDescent="0.25">
      <c r="L795" s="46"/>
      <c r="M795" s="46"/>
    </row>
    <row r="796" spans="12:13" x14ac:dyDescent="0.25">
      <c r="L796" s="46"/>
      <c r="M796" s="46"/>
    </row>
    <row r="797" spans="12:13" x14ac:dyDescent="0.25">
      <c r="L797" s="46"/>
      <c r="M797" s="46"/>
    </row>
    <row r="798" spans="12:13" x14ac:dyDescent="0.25">
      <c r="L798" s="46"/>
      <c r="M798" s="46"/>
    </row>
    <row r="799" spans="12:13" x14ac:dyDescent="0.25">
      <c r="L799" s="46"/>
      <c r="M799" s="46"/>
    </row>
    <row r="800" spans="12:13" x14ac:dyDescent="0.25">
      <c r="L800" s="46"/>
      <c r="M800" s="46"/>
    </row>
    <row r="801" spans="12:13" x14ac:dyDescent="0.25">
      <c r="L801" s="46"/>
      <c r="M801" s="46"/>
    </row>
    <row r="802" spans="12:13" x14ac:dyDescent="0.25">
      <c r="L802" s="46"/>
      <c r="M802" s="46"/>
    </row>
    <row r="803" spans="12:13" x14ac:dyDescent="0.25">
      <c r="L803" s="46"/>
      <c r="M803" s="46"/>
    </row>
    <row r="804" spans="12:13" x14ac:dyDescent="0.25">
      <c r="L804" s="46"/>
      <c r="M804" s="46"/>
    </row>
    <row r="805" spans="12:13" x14ac:dyDescent="0.25">
      <c r="L805" s="46"/>
      <c r="M805" s="46"/>
    </row>
    <row r="806" spans="12:13" x14ac:dyDescent="0.25">
      <c r="L806" s="46"/>
      <c r="M806" s="46"/>
    </row>
    <row r="807" spans="12:13" x14ac:dyDescent="0.25">
      <c r="L807" s="46"/>
      <c r="M807" s="46"/>
    </row>
    <row r="808" spans="12:13" x14ac:dyDescent="0.25">
      <c r="L808" s="46"/>
      <c r="M808" s="46"/>
    </row>
    <row r="809" spans="12:13" x14ac:dyDescent="0.25">
      <c r="L809" s="46"/>
      <c r="M809" s="46"/>
    </row>
    <row r="810" spans="12:13" x14ac:dyDescent="0.25">
      <c r="L810" s="46"/>
      <c r="M810" s="46"/>
    </row>
    <row r="811" spans="12:13" x14ac:dyDescent="0.25">
      <c r="L811" s="46"/>
      <c r="M811" s="46"/>
    </row>
    <row r="812" spans="12:13" x14ac:dyDescent="0.25">
      <c r="L812" s="46"/>
      <c r="M812" s="46"/>
    </row>
    <row r="813" spans="12:13" x14ac:dyDescent="0.25">
      <c r="L813" s="46"/>
      <c r="M813" s="46"/>
    </row>
    <row r="814" spans="12:13" x14ac:dyDescent="0.25">
      <c r="L814" s="46"/>
      <c r="M814" s="46"/>
    </row>
    <row r="815" spans="12:13" x14ac:dyDescent="0.25">
      <c r="L815" s="46"/>
      <c r="M815" s="46"/>
    </row>
    <row r="816" spans="12:13" x14ac:dyDescent="0.25">
      <c r="L816" s="46"/>
      <c r="M816" s="46"/>
    </row>
    <row r="817" spans="12:13" x14ac:dyDescent="0.25">
      <c r="L817" s="46"/>
      <c r="M817" s="46"/>
    </row>
    <row r="818" spans="12:13" x14ac:dyDescent="0.25">
      <c r="L818" s="46"/>
      <c r="M818" s="46"/>
    </row>
    <row r="819" spans="12:13" x14ac:dyDescent="0.25">
      <c r="L819" s="46"/>
      <c r="M819" s="46"/>
    </row>
    <row r="820" spans="12:13" x14ac:dyDescent="0.25">
      <c r="L820" s="46"/>
      <c r="M820" s="46"/>
    </row>
    <row r="821" spans="12:13" x14ac:dyDescent="0.25">
      <c r="L821" s="46"/>
      <c r="M821" s="46"/>
    </row>
    <row r="822" spans="12:13" x14ac:dyDescent="0.25">
      <c r="L822" s="46"/>
      <c r="M822" s="46"/>
    </row>
    <row r="823" spans="12:13" x14ac:dyDescent="0.25">
      <c r="L823" s="46"/>
      <c r="M823" s="46"/>
    </row>
    <row r="824" spans="12:13" x14ac:dyDescent="0.25">
      <c r="L824" s="46"/>
      <c r="M824" s="46"/>
    </row>
    <row r="825" spans="12:13" x14ac:dyDescent="0.25">
      <c r="L825" s="46"/>
      <c r="M825" s="46"/>
    </row>
    <row r="826" spans="12:13" x14ac:dyDescent="0.25">
      <c r="L826" s="46"/>
      <c r="M826" s="46"/>
    </row>
    <row r="827" spans="12:13" x14ac:dyDescent="0.25">
      <c r="L827" s="46"/>
      <c r="M827" s="46"/>
    </row>
    <row r="828" spans="12:13" x14ac:dyDescent="0.25">
      <c r="L828" s="46"/>
      <c r="M828" s="46"/>
    </row>
    <row r="829" spans="12:13" x14ac:dyDescent="0.25">
      <c r="L829" s="46"/>
      <c r="M829" s="46"/>
    </row>
    <row r="830" spans="12:13" x14ac:dyDescent="0.25">
      <c r="L830" s="46"/>
      <c r="M830" s="46"/>
    </row>
    <row r="831" spans="12:13" x14ac:dyDescent="0.25">
      <c r="L831" s="46"/>
      <c r="M831" s="46"/>
    </row>
    <row r="832" spans="12:13" x14ac:dyDescent="0.25">
      <c r="L832" s="46"/>
      <c r="M832" s="46"/>
    </row>
    <row r="833" spans="12:13" x14ac:dyDescent="0.25">
      <c r="L833" s="46"/>
      <c r="M833" s="46"/>
    </row>
    <row r="834" spans="12:13" x14ac:dyDescent="0.25">
      <c r="L834" s="46"/>
      <c r="M834" s="46"/>
    </row>
    <row r="835" spans="12:13" x14ac:dyDescent="0.25">
      <c r="L835" s="46"/>
      <c r="M835" s="46"/>
    </row>
    <row r="836" spans="12:13" x14ac:dyDescent="0.25">
      <c r="L836" s="46"/>
      <c r="M836" s="46"/>
    </row>
    <row r="837" spans="12:13" x14ac:dyDescent="0.25">
      <c r="L837" s="46"/>
      <c r="M837" s="46"/>
    </row>
    <row r="838" spans="12:13" x14ac:dyDescent="0.25">
      <c r="L838" s="46"/>
      <c r="M838" s="46"/>
    </row>
    <row r="839" spans="12:13" x14ac:dyDescent="0.25">
      <c r="L839" s="46"/>
      <c r="M839" s="46"/>
    </row>
    <row r="840" spans="12:13" x14ac:dyDescent="0.25">
      <c r="L840" s="46"/>
      <c r="M840" s="46"/>
    </row>
    <row r="841" spans="12:13" x14ac:dyDescent="0.25">
      <c r="L841" s="46"/>
      <c r="M841" s="46"/>
    </row>
    <row r="842" spans="12:13" x14ac:dyDescent="0.25">
      <c r="L842" s="46"/>
      <c r="M842" s="46"/>
    </row>
    <row r="843" spans="12:13" x14ac:dyDescent="0.25">
      <c r="L843" s="46"/>
      <c r="M843" s="46"/>
    </row>
    <row r="844" spans="12:13" x14ac:dyDescent="0.25">
      <c r="L844" s="46"/>
      <c r="M844" s="46"/>
    </row>
    <row r="845" spans="12:13" x14ac:dyDescent="0.25">
      <c r="L845" s="46"/>
      <c r="M845" s="46"/>
    </row>
    <row r="846" spans="12:13" x14ac:dyDescent="0.25">
      <c r="L846" s="46"/>
      <c r="M846" s="46"/>
    </row>
    <row r="847" spans="12:13" x14ac:dyDescent="0.25">
      <c r="L847" s="46"/>
      <c r="M847" s="46"/>
    </row>
    <row r="848" spans="12:13" x14ac:dyDescent="0.25">
      <c r="L848" s="46"/>
      <c r="M848" s="46"/>
    </row>
    <row r="849" spans="12:13" x14ac:dyDescent="0.25">
      <c r="L849" s="46"/>
      <c r="M849" s="46"/>
    </row>
    <row r="850" spans="12:13" x14ac:dyDescent="0.25">
      <c r="L850" s="46"/>
      <c r="M850" s="46"/>
    </row>
    <row r="851" spans="12:13" x14ac:dyDescent="0.25">
      <c r="L851" s="46"/>
      <c r="M851" s="46"/>
    </row>
    <row r="852" spans="12:13" x14ac:dyDescent="0.25">
      <c r="L852" s="46"/>
      <c r="M852" s="46"/>
    </row>
    <row r="853" spans="12:13" x14ac:dyDescent="0.25">
      <c r="L853" s="46"/>
      <c r="M853" s="46"/>
    </row>
    <row r="854" spans="12:13" x14ac:dyDescent="0.25">
      <c r="L854" s="46"/>
      <c r="M854" s="46"/>
    </row>
    <row r="855" spans="12:13" x14ac:dyDescent="0.25">
      <c r="L855" s="46"/>
      <c r="M855" s="46"/>
    </row>
    <row r="856" spans="12:13" x14ac:dyDescent="0.25">
      <c r="L856" s="46"/>
      <c r="M856" s="46"/>
    </row>
    <row r="857" spans="12:13" x14ac:dyDescent="0.25">
      <c r="L857" s="46"/>
      <c r="M857" s="46"/>
    </row>
    <row r="858" spans="12:13" x14ac:dyDescent="0.25">
      <c r="L858" s="46"/>
      <c r="M858" s="46"/>
    </row>
    <row r="859" spans="12:13" x14ac:dyDescent="0.25">
      <c r="L859" s="46"/>
      <c r="M859" s="46"/>
    </row>
    <row r="860" spans="12:13" x14ac:dyDescent="0.25">
      <c r="L860" s="46"/>
      <c r="M860" s="46"/>
    </row>
    <row r="861" spans="12:13" x14ac:dyDescent="0.25">
      <c r="L861" s="46"/>
      <c r="M861" s="46"/>
    </row>
    <row r="862" spans="12:13" x14ac:dyDescent="0.25">
      <c r="L862" s="46"/>
      <c r="M862" s="46"/>
    </row>
    <row r="863" spans="12:13" x14ac:dyDescent="0.25">
      <c r="L863" s="46"/>
      <c r="M863" s="46"/>
    </row>
    <row r="864" spans="12:13" x14ac:dyDescent="0.25">
      <c r="L864" s="46"/>
      <c r="M864" s="46"/>
    </row>
    <row r="865" spans="12:13" x14ac:dyDescent="0.25">
      <c r="L865" s="46"/>
      <c r="M865" s="46"/>
    </row>
    <row r="866" spans="12:13" x14ac:dyDescent="0.25">
      <c r="L866" s="46"/>
      <c r="M866" s="46"/>
    </row>
    <row r="867" spans="12:13" x14ac:dyDescent="0.25">
      <c r="L867" s="46"/>
      <c r="M867" s="46"/>
    </row>
    <row r="868" spans="12:13" x14ac:dyDescent="0.25">
      <c r="L868" s="46"/>
      <c r="M868" s="46"/>
    </row>
    <row r="869" spans="12:13" x14ac:dyDescent="0.25">
      <c r="L869" s="46"/>
      <c r="M869" s="46"/>
    </row>
    <row r="870" spans="12:13" x14ac:dyDescent="0.25">
      <c r="L870" s="46"/>
      <c r="M870" s="46"/>
    </row>
    <row r="871" spans="12:13" x14ac:dyDescent="0.25">
      <c r="L871" s="46"/>
      <c r="M871" s="46"/>
    </row>
    <row r="872" spans="12:13" x14ac:dyDescent="0.25">
      <c r="L872" s="46"/>
      <c r="M872" s="46"/>
    </row>
    <row r="873" spans="12:13" x14ac:dyDescent="0.25">
      <c r="L873" s="46"/>
      <c r="M873" s="46"/>
    </row>
    <row r="874" spans="12:13" x14ac:dyDescent="0.25">
      <c r="L874" s="46"/>
      <c r="M874" s="46"/>
    </row>
    <row r="875" spans="12:13" x14ac:dyDescent="0.25">
      <c r="L875" s="46"/>
      <c r="M875" s="46"/>
    </row>
    <row r="876" spans="12:13" x14ac:dyDescent="0.25">
      <c r="L876" s="46"/>
      <c r="M876" s="46"/>
    </row>
    <row r="877" spans="12:13" x14ac:dyDescent="0.25">
      <c r="L877" s="46"/>
      <c r="M877" s="46"/>
    </row>
    <row r="878" spans="12:13" x14ac:dyDescent="0.25">
      <c r="L878" s="46"/>
      <c r="M878" s="46"/>
    </row>
    <row r="879" spans="12:13" x14ac:dyDescent="0.25">
      <c r="L879" s="46"/>
      <c r="M879" s="46"/>
    </row>
    <row r="880" spans="12:13" x14ac:dyDescent="0.25">
      <c r="L880" s="46"/>
      <c r="M880" s="46"/>
    </row>
    <row r="881" spans="12:13" x14ac:dyDescent="0.25">
      <c r="L881" s="46"/>
      <c r="M881" s="46"/>
    </row>
    <row r="882" spans="12:13" x14ac:dyDescent="0.25">
      <c r="L882" s="46"/>
      <c r="M882" s="46"/>
    </row>
    <row r="883" spans="12:13" x14ac:dyDescent="0.25">
      <c r="L883" s="46"/>
      <c r="M883" s="46"/>
    </row>
    <row r="884" spans="12:13" x14ac:dyDescent="0.25">
      <c r="L884" s="46"/>
      <c r="M884" s="46"/>
    </row>
    <row r="885" spans="12:13" x14ac:dyDescent="0.25">
      <c r="L885" s="46"/>
      <c r="M885" s="46"/>
    </row>
    <row r="886" spans="12:13" x14ac:dyDescent="0.25">
      <c r="L886" s="46"/>
      <c r="M886" s="46"/>
    </row>
    <row r="887" spans="12:13" x14ac:dyDescent="0.25">
      <c r="L887" s="46"/>
      <c r="M887" s="46"/>
    </row>
    <row r="888" spans="12:13" x14ac:dyDescent="0.25">
      <c r="L888" s="46"/>
      <c r="M888" s="46"/>
    </row>
    <row r="889" spans="12:13" x14ac:dyDescent="0.25">
      <c r="L889" s="46"/>
      <c r="M889" s="46"/>
    </row>
    <row r="890" spans="12:13" x14ac:dyDescent="0.25">
      <c r="L890" s="46"/>
      <c r="M890" s="46"/>
    </row>
    <row r="891" spans="12:13" x14ac:dyDescent="0.25">
      <c r="L891" s="46"/>
      <c r="M891" s="46"/>
    </row>
    <row r="892" spans="12:13" x14ac:dyDescent="0.25">
      <c r="L892" s="46"/>
      <c r="M892" s="46"/>
    </row>
    <row r="893" spans="12:13" x14ac:dyDescent="0.25">
      <c r="L893" s="46"/>
      <c r="M893" s="46"/>
    </row>
    <row r="894" spans="12:13" x14ac:dyDescent="0.25">
      <c r="L894" s="46"/>
      <c r="M894" s="46"/>
    </row>
    <row r="895" spans="12:13" x14ac:dyDescent="0.25">
      <c r="L895" s="46"/>
      <c r="M895" s="46"/>
    </row>
    <row r="896" spans="12:13" x14ac:dyDescent="0.25">
      <c r="L896" s="46"/>
      <c r="M896" s="46"/>
    </row>
    <row r="897" spans="12:13" x14ac:dyDescent="0.25">
      <c r="L897" s="46"/>
      <c r="M897" s="46"/>
    </row>
    <row r="898" spans="12:13" x14ac:dyDescent="0.25">
      <c r="L898" s="46"/>
      <c r="M898" s="46"/>
    </row>
    <row r="899" spans="12:13" x14ac:dyDescent="0.25">
      <c r="L899" s="46"/>
      <c r="M899" s="46"/>
    </row>
    <row r="900" spans="12:13" x14ac:dyDescent="0.25">
      <c r="L900" s="46"/>
      <c r="M900" s="46"/>
    </row>
    <row r="901" spans="12:13" x14ac:dyDescent="0.25">
      <c r="L901" s="46"/>
      <c r="M901" s="46"/>
    </row>
    <row r="902" spans="12:13" x14ac:dyDescent="0.25">
      <c r="L902" s="46"/>
      <c r="M902" s="46"/>
    </row>
    <row r="903" spans="12:13" x14ac:dyDescent="0.25">
      <c r="L903" s="46"/>
      <c r="M903" s="46"/>
    </row>
    <row r="904" spans="12:13" x14ac:dyDescent="0.25">
      <c r="L904" s="46"/>
      <c r="M904" s="46"/>
    </row>
    <row r="905" spans="12:13" x14ac:dyDescent="0.25">
      <c r="L905" s="46"/>
      <c r="M905" s="46"/>
    </row>
    <row r="906" spans="12:13" x14ac:dyDescent="0.25">
      <c r="L906" s="46"/>
      <c r="M906" s="46"/>
    </row>
    <row r="907" spans="12:13" x14ac:dyDescent="0.25">
      <c r="L907" s="46"/>
      <c r="M907" s="46"/>
    </row>
    <row r="908" spans="12:13" x14ac:dyDescent="0.25">
      <c r="L908" s="46"/>
      <c r="M908" s="46"/>
    </row>
    <row r="909" spans="12:13" x14ac:dyDescent="0.25">
      <c r="L909" s="46"/>
      <c r="M909" s="46"/>
    </row>
    <row r="910" spans="12:13" x14ac:dyDescent="0.25">
      <c r="L910" s="46"/>
      <c r="M910" s="46"/>
    </row>
    <row r="911" spans="12:13" x14ac:dyDescent="0.25">
      <c r="L911" s="46"/>
      <c r="M911" s="46"/>
    </row>
    <row r="912" spans="12:13" x14ac:dyDescent="0.25">
      <c r="L912" s="46"/>
      <c r="M912" s="46"/>
    </row>
    <row r="913" spans="12:13" x14ac:dyDescent="0.25">
      <c r="L913" s="46"/>
      <c r="M913" s="46"/>
    </row>
    <row r="914" spans="12:13" x14ac:dyDescent="0.25">
      <c r="L914" s="46"/>
      <c r="M914" s="46"/>
    </row>
    <row r="915" spans="12:13" x14ac:dyDescent="0.25">
      <c r="L915" s="46"/>
      <c r="M915" s="46"/>
    </row>
    <row r="916" spans="12:13" x14ac:dyDescent="0.25">
      <c r="L916" s="46"/>
      <c r="M916" s="46"/>
    </row>
    <row r="917" spans="12:13" x14ac:dyDescent="0.25">
      <c r="L917" s="46"/>
      <c r="M917" s="46"/>
    </row>
    <row r="918" spans="12:13" x14ac:dyDescent="0.25">
      <c r="L918" s="46"/>
      <c r="M918" s="46"/>
    </row>
    <row r="919" spans="12:13" x14ac:dyDescent="0.25">
      <c r="L919" s="46"/>
      <c r="M919" s="46"/>
    </row>
    <row r="920" spans="12:13" x14ac:dyDescent="0.25">
      <c r="L920" s="46"/>
      <c r="M920" s="46"/>
    </row>
    <row r="921" spans="12:13" x14ac:dyDescent="0.25">
      <c r="L921" s="46"/>
      <c r="M921" s="46"/>
    </row>
    <row r="922" spans="12:13" x14ac:dyDescent="0.25">
      <c r="L922" s="46"/>
      <c r="M922" s="46"/>
    </row>
    <row r="923" spans="12:13" x14ac:dyDescent="0.25">
      <c r="L923" s="46"/>
      <c r="M923" s="46"/>
    </row>
    <row r="924" spans="12:13" x14ac:dyDescent="0.25">
      <c r="L924" s="46"/>
      <c r="M924" s="46"/>
    </row>
    <row r="925" spans="12:13" x14ac:dyDescent="0.25">
      <c r="L925" s="46"/>
      <c r="M925" s="46"/>
    </row>
    <row r="926" spans="12:13" x14ac:dyDescent="0.25">
      <c r="L926" s="46"/>
      <c r="M926" s="46"/>
    </row>
    <row r="927" spans="12:13" x14ac:dyDescent="0.25">
      <c r="L927" s="46"/>
      <c r="M927" s="46"/>
    </row>
    <row r="928" spans="12:13" x14ac:dyDescent="0.25">
      <c r="L928" s="46"/>
      <c r="M928" s="46"/>
    </row>
    <row r="929" spans="12:13" x14ac:dyDescent="0.25">
      <c r="L929" s="46"/>
      <c r="M929" s="46"/>
    </row>
    <row r="930" spans="12:13" x14ac:dyDescent="0.25">
      <c r="L930" s="46"/>
      <c r="M930" s="46"/>
    </row>
    <row r="931" spans="12:13" x14ac:dyDescent="0.25">
      <c r="L931" s="46"/>
      <c r="M931" s="46"/>
    </row>
    <row r="932" spans="12:13" x14ac:dyDescent="0.25">
      <c r="L932" s="46"/>
      <c r="M932" s="46"/>
    </row>
    <row r="933" spans="12:13" x14ac:dyDescent="0.25">
      <c r="L933" s="46"/>
      <c r="M933" s="46"/>
    </row>
    <row r="934" spans="12:13" x14ac:dyDescent="0.25">
      <c r="L934" s="46"/>
      <c r="M934" s="46"/>
    </row>
    <row r="935" spans="12:13" x14ac:dyDescent="0.25">
      <c r="L935" s="46"/>
      <c r="M935" s="46"/>
    </row>
    <row r="936" spans="12:13" x14ac:dyDescent="0.25">
      <c r="L936" s="46"/>
      <c r="M936" s="46"/>
    </row>
    <row r="937" spans="12:13" x14ac:dyDescent="0.25">
      <c r="L937" s="46"/>
      <c r="M937" s="46"/>
    </row>
    <row r="938" spans="12:13" x14ac:dyDescent="0.25">
      <c r="L938" s="46"/>
      <c r="M938" s="46"/>
    </row>
    <row r="939" spans="12:13" x14ac:dyDescent="0.25">
      <c r="L939" s="46"/>
      <c r="M939" s="46"/>
    </row>
    <row r="940" spans="12:13" x14ac:dyDescent="0.25">
      <c r="L940" s="46"/>
      <c r="M940" s="46"/>
    </row>
    <row r="941" spans="12:13" x14ac:dyDescent="0.25">
      <c r="L941" s="46"/>
      <c r="M941" s="46"/>
    </row>
    <row r="942" spans="12:13" x14ac:dyDescent="0.25">
      <c r="L942" s="46"/>
      <c r="M942" s="46"/>
    </row>
    <row r="943" spans="12:13" x14ac:dyDescent="0.25">
      <c r="L943" s="46"/>
      <c r="M943" s="46"/>
    </row>
    <row r="944" spans="12:13" x14ac:dyDescent="0.25">
      <c r="L944" s="46"/>
      <c r="M944" s="46"/>
    </row>
    <row r="945" spans="12:13" x14ac:dyDescent="0.25">
      <c r="L945" s="46"/>
      <c r="M945" s="46"/>
    </row>
    <row r="946" spans="12:13" x14ac:dyDescent="0.25">
      <c r="L946" s="46"/>
      <c r="M946" s="46"/>
    </row>
    <row r="947" spans="12:13" x14ac:dyDescent="0.25">
      <c r="L947" s="46"/>
      <c r="M947" s="46"/>
    </row>
    <row r="948" spans="12:13" x14ac:dyDescent="0.25">
      <c r="L948" s="46"/>
      <c r="M948" s="46"/>
    </row>
    <row r="949" spans="12:13" x14ac:dyDescent="0.25">
      <c r="L949" s="46"/>
      <c r="M949" s="46"/>
    </row>
    <row r="950" spans="12:13" x14ac:dyDescent="0.25">
      <c r="L950" s="46"/>
      <c r="M950" s="46"/>
    </row>
    <row r="951" spans="12:13" x14ac:dyDescent="0.25">
      <c r="L951" s="46"/>
      <c r="M951" s="46"/>
    </row>
    <row r="952" spans="12:13" x14ac:dyDescent="0.25">
      <c r="L952" s="46"/>
      <c r="M952" s="46"/>
    </row>
    <row r="953" spans="12:13" x14ac:dyDescent="0.25">
      <c r="L953" s="46"/>
      <c r="M953" s="46"/>
    </row>
    <row r="954" spans="12:13" x14ac:dyDescent="0.25">
      <c r="L954" s="46"/>
      <c r="M954" s="46"/>
    </row>
    <row r="955" spans="12:13" x14ac:dyDescent="0.25">
      <c r="L955" s="46"/>
      <c r="M955" s="46"/>
    </row>
    <row r="956" spans="12:13" x14ac:dyDescent="0.25">
      <c r="L956" s="46"/>
      <c r="M956" s="46"/>
    </row>
    <row r="957" spans="12:13" x14ac:dyDescent="0.25">
      <c r="L957" s="46"/>
      <c r="M957" s="46"/>
    </row>
    <row r="958" spans="12:13" x14ac:dyDescent="0.25">
      <c r="L958" s="46"/>
      <c r="M958" s="46"/>
    </row>
    <row r="959" spans="12:13" x14ac:dyDescent="0.25">
      <c r="L959" s="46"/>
      <c r="M959" s="46"/>
    </row>
    <row r="960" spans="12:13" x14ac:dyDescent="0.25">
      <c r="L960" s="46"/>
      <c r="M960" s="46"/>
    </row>
    <row r="961" spans="12:13" x14ac:dyDescent="0.25">
      <c r="L961" s="46"/>
      <c r="M961" s="46"/>
    </row>
    <row r="962" spans="12:13" x14ac:dyDescent="0.25">
      <c r="L962" s="46"/>
      <c r="M962" s="46"/>
    </row>
    <row r="963" spans="12:13" x14ac:dyDescent="0.25">
      <c r="L963" s="46"/>
      <c r="M963" s="46"/>
    </row>
    <row r="964" spans="12:13" x14ac:dyDescent="0.25">
      <c r="L964" s="46"/>
      <c r="M964" s="46"/>
    </row>
    <row r="965" spans="12:13" x14ac:dyDescent="0.25">
      <c r="L965" s="46"/>
      <c r="M965" s="46"/>
    </row>
    <row r="966" spans="12:13" x14ac:dyDescent="0.25">
      <c r="L966" s="46"/>
      <c r="M966" s="46"/>
    </row>
    <row r="967" spans="12:13" x14ac:dyDescent="0.25">
      <c r="L967" s="46"/>
      <c r="M967" s="46"/>
    </row>
    <row r="968" spans="12:13" x14ac:dyDescent="0.25">
      <c r="L968" s="46"/>
      <c r="M968" s="46"/>
    </row>
    <row r="969" spans="12:13" x14ac:dyDescent="0.25">
      <c r="L969" s="46"/>
      <c r="M969" s="46"/>
    </row>
    <row r="970" spans="12:13" x14ac:dyDescent="0.25">
      <c r="L970" s="46"/>
      <c r="M970" s="46"/>
    </row>
    <row r="971" spans="12:13" x14ac:dyDescent="0.25">
      <c r="L971" s="46"/>
      <c r="M971" s="46"/>
    </row>
    <row r="972" spans="12:13" x14ac:dyDescent="0.25">
      <c r="L972" s="46"/>
      <c r="M972" s="46"/>
    </row>
    <row r="973" spans="12:13" x14ac:dyDescent="0.25">
      <c r="L973" s="46"/>
      <c r="M973" s="46"/>
    </row>
    <row r="974" spans="12:13" x14ac:dyDescent="0.25">
      <c r="L974" s="46"/>
      <c r="M974" s="46"/>
    </row>
    <row r="975" spans="12:13" x14ac:dyDescent="0.25">
      <c r="L975" s="46"/>
      <c r="M975" s="46"/>
    </row>
    <row r="976" spans="12:13" x14ac:dyDescent="0.25">
      <c r="L976" s="46"/>
      <c r="M976" s="46"/>
    </row>
    <row r="977" spans="12:13" x14ac:dyDescent="0.25">
      <c r="L977" s="46"/>
      <c r="M977" s="46"/>
    </row>
    <row r="978" spans="12:13" x14ac:dyDescent="0.25">
      <c r="L978" s="46"/>
      <c r="M978" s="46"/>
    </row>
    <row r="979" spans="12:13" x14ac:dyDescent="0.25">
      <c r="L979" s="46"/>
      <c r="M979" s="46"/>
    </row>
    <row r="980" spans="12:13" x14ac:dyDescent="0.25">
      <c r="L980" s="46"/>
      <c r="M980" s="46"/>
    </row>
    <row r="981" spans="12:13" x14ac:dyDescent="0.25">
      <c r="L981" s="46"/>
      <c r="M981" s="46"/>
    </row>
    <row r="982" spans="12:13" x14ac:dyDescent="0.25">
      <c r="L982" s="46"/>
      <c r="M982" s="46"/>
    </row>
    <row r="983" spans="12:13" x14ac:dyDescent="0.25">
      <c r="L983" s="46"/>
      <c r="M983" s="46"/>
    </row>
    <row r="984" spans="12:13" x14ac:dyDescent="0.25">
      <c r="L984" s="46"/>
      <c r="M984" s="46"/>
    </row>
    <row r="985" spans="12:13" x14ac:dyDescent="0.25">
      <c r="L985" s="46"/>
      <c r="M985" s="46"/>
    </row>
    <row r="986" spans="12:13" x14ac:dyDescent="0.25">
      <c r="L986" s="46"/>
      <c r="M986" s="46"/>
    </row>
    <row r="987" spans="12:13" x14ac:dyDescent="0.25">
      <c r="L987" s="46"/>
      <c r="M987" s="46"/>
    </row>
    <row r="988" spans="12:13" x14ac:dyDescent="0.25">
      <c r="L988" s="46"/>
      <c r="M988" s="46"/>
    </row>
    <row r="989" spans="12:13" x14ac:dyDescent="0.25">
      <c r="L989" s="46"/>
      <c r="M989" s="46"/>
    </row>
    <row r="990" spans="12:13" x14ac:dyDescent="0.25">
      <c r="L990" s="46"/>
      <c r="M990" s="46"/>
    </row>
    <row r="991" spans="12:13" x14ac:dyDescent="0.25">
      <c r="L991" s="46"/>
      <c r="M991" s="46"/>
    </row>
    <row r="992" spans="12:13" x14ac:dyDescent="0.25">
      <c r="L992" s="46"/>
      <c r="M992" s="46"/>
    </row>
    <row r="993" spans="12:13" x14ac:dyDescent="0.25">
      <c r="L993" s="46"/>
      <c r="M993" s="46"/>
    </row>
    <row r="994" spans="12:13" x14ac:dyDescent="0.25">
      <c r="L994" s="46"/>
      <c r="M994" s="46"/>
    </row>
    <row r="995" spans="12:13" x14ac:dyDescent="0.25">
      <c r="L995" s="46"/>
      <c r="M995" s="46"/>
    </row>
    <row r="996" spans="12:13" x14ac:dyDescent="0.25">
      <c r="L996" s="46"/>
      <c r="M996" s="46"/>
    </row>
    <row r="997" spans="12:13" x14ac:dyDescent="0.25">
      <c r="L997" s="46"/>
      <c r="M997" s="46"/>
    </row>
    <row r="998" spans="12:13" x14ac:dyDescent="0.25">
      <c r="L998" s="46"/>
      <c r="M998" s="46"/>
    </row>
    <row r="999" spans="12:13" x14ac:dyDescent="0.25">
      <c r="L999" s="46"/>
      <c r="M999" s="46"/>
    </row>
    <row r="1000" spans="12:13" x14ac:dyDescent="0.25">
      <c r="L1000" s="46"/>
      <c r="M1000" s="46"/>
    </row>
    <row r="1001" spans="12:13" x14ac:dyDescent="0.25">
      <c r="L1001" s="46"/>
      <c r="M1001" s="46"/>
    </row>
  </sheetData>
  <phoneticPr fontId="15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Lists!$A$2:$A$5</xm:f>
          </x14:formula1>
          <xm:sqref>F4:F1048576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1515"/>
  <sheetViews>
    <sheetView tabSelected="1" zoomScaleNormal="100" workbookViewId="0">
      <pane ySplit="3" topLeftCell="A70" activePane="bottomLeft" state="frozen"/>
      <selection activeCell="I36" sqref="I36"/>
      <selection pane="bottomLeft" activeCell="F107" sqref="F107"/>
    </sheetView>
  </sheetViews>
  <sheetFormatPr defaultColWidth="12.28515625" defaultRowHeight="15" x14ac:dyDescent="0.25"/>
  <cols>
    <col min="1" max="1" width="4.7109375" style="33" customWidth="1"/>
    <col min="2" max="3" width="13.42578125" style="33" customWidth="1"/>
    <col min="4" max="4" width="15.7109375" style="33" bestFit="1" customWidth="1"/>
    <col min="5" max="10" width="13.42578125" style="33" customWidth="1"/>
    <col min="11" max="12" width="13.42578125" style="44" customWidth="1"/>
    <col min="18" max="18" width="15.28515625" bestFit="1" customWidth="1"/>
    <col min="30" max="16384" width="12.28515625" style="33"/>
  </cols>
  <sheetData>
    <row r="1" spans="2:18" x14ac:dyDescent="0.25">
      <c r="B1" s="32" t="s">
        <v>0</v>
      </c>
    </row>
    <row r="3" spans="2:18" x14ac:dyDescent="0.25">
      <c r="B3" s="34" t="s">
        <v>2</v>
      </c>
      <c r="C3" s="34" t="s">
        <v>3</v>
      </c>
      <c r="D3" s="34" t="s">
        <v>4</v>
      </c>
      <c r="E3" s="34" t="s">
        <v>5</v>
      </c>
      <c r="F3" s="34" t="s">
        <v>6</v>
      </c>
      <c r="G3" s="34" t="s">
        <v>7</v>
      </c>
      <c r="H3" s="34" t="s">
        <v>8</v>
      </c>
      <c r="I3" s="34" t="s">
        <v>9</v>
      </c>
      <c r="J3" s="34" t="s">
        <v>10</v>
      </c>
      <c r="K3" s="45" t="s">
        <v>11</v>
      </c>
      <c r="L3" s="45" t="s">
        <v>12</v>
      </c>
      <c r="O3" s="54" t="s">
        <v>13</v>
      </c>
      <c r="P3" s="53"/>
    </row>
    <row r="4" spans="2:18" x14ac:dyDescent="0.25">
      <c r="B4" s="55">
        <v>1715</v>
      </c>
      <c r="C4" s="55">
        <v>35</v>
      </c>
      <c r="D4" s="55" t="s">
        <v>18</v>
      </c>
      <c r="E4" s="55" t="str">
        <f t="shared" ref="E4:E67" si="0">IF(ISNUMBER(SEARCH("v crs",D4))=TRUE,"VC",IF(ISNUMBER(SEARCH("crs",D4))=TRUE,"C",IF(ISNUMBER(SEARCH("med",D4))=TRUE,"M",IF(ISNUMBER(SEARCH("vf",D4))=TRUE,"VF",IF(ISNUMBER(SEARCH("f",D4))=TRUE,"F","")))))</f>
        <v>F</v>
      </c>
      <c r="F4" s="55">
        <v>5</v>
      </c>
      <c r="G4" s="55" t="s">
        <v>61</v>
      </c>
      <c r="H4" s="55">
        <v>22.6</v>
      </c>
      <c r="I4" s="55" t="s">
        <v>27</v>
      </c>
      <c r="J4" s="55"/>
      <c r="K4" s="46"/>
      <c r="L4" s="56"/>
      <c r="O4" s="39" t="s">
        <v>18</v>
      </c>
      <c r="P4" s="40" t="s">
        <v>19</v>
      </c>
      <c r="Q4" s="57" t="str">
        <f ca="1">IF(C4="","",IF(OR(K4="",AND(ISNUMBER(Q4),C4=Q4)),Q4,C4))</f>
        <v/>
      </c>
      <c r="R4" s="57" t="str">
        <f ca="1">IF(C4="","",IF(OR(L4="",AND(ISNUMBER(R4),C4=R4)),R4,C4))</f>
        <v/>
      </c>
    </row>
    <row r="5" spans="2:18" x14ac:dyDescent="0.25">
      <c r="B5" s="55">
        <v>1720</v>
      </c>
      <c r="C5" s="55">
        <v>35</v>
      </c>
      <c r="D5" s="55" t="s">
        <v>18</v>
      </c>
      <c r="E5" s="55" t="str">
        <f t="shared" si="0"/>
        <v>F</v>
      </c>
      <c r="F5" s="55">
        <v>5</v>
      </c>
      <c r="G5" s="55" t="s">
        <v>61</v>
      </c>
      <c r="H5" s="55">
        <v>22.6</v>
      </c>
      <c r="I5" s="55"/>
      <c r="J5" s="55"/>
      <c r="K5" s="46"/>
      <c r="L5" s="56"/>
      <c r="O5" s="39" t="s">
        <v>22</v>
      </c>
      <c r="P5" s="40" t="s">
        <v>23</v>
      </c>
      <c r="Q5" s="57" t="str">
        <f t="shared" ref="Q5" ca="1" si="1">IF(C5="","",IF(OR(K5="",AND(ISNUMBER(Q5),C5=Q5)),Q5,C5))</f>
        <v/>
      </c>
      <c r="R5" s="57" t="str">
        <f t="shared" ref="R5" ca="1" si="2">IF(C5="","",IF(OR(L5="",AND(ISNUMBER(R5),C5=R5)),R5,C5))</f>
        <v/>
      </c>
    </row>
    <row r="6" spans="2:18" x14ac:dyDescent="0.25">
      <c r="B6" s="55">
        <v>1785</v>
      </c>
      <c r="C6" s="55">
        <v>40</v>
      </c>
      <c r="D6" s="55" t="s">
        <v>18</v>
      </c>
      <c r="E6" s="55" t="str">
        <f t="shared" si="0"/>
        <v>F</v>
      </c>
      <c r="F6" s="55">
        <v>100</v>
      </c>
      <c r="G6" s="55" t="s">
        <v>61</v>
      </c>
      <c r="H6" s="55">
        <v>39.4</v>
      </c>
      <c r="I6" s="55"/>
      <c r="J6" s="55"/>
      <c r="K6" s="46"/>
      <c r="L6" s="56"/>
      <c r="O6" s="39" t="s">
        <v>24</v>
      </c>
      <c r="P6" s="40" t="s">
        <v>25</v>
      </c>
      <c r="Q6" s="57" t="str">
        <f t="shared" ref="Q6:Q69" ca="1" si="3">IF(C6="","",IF(OR(K6="",AND(ISNUMBER(Q6),C6=Q6)),Q6,C6))</f>
        <v/>
      </c>
      <c r="R6" s="57" t="str">
        <f t="shared" ref="R6:R69" ca="1" si="4">IF(C6="","",IF(OR(L6="",AND(ISNUMBER(R6),C6=R6)),R6,C6))</f>
        <v/>
      </c>
    </row>
    <row r="7" spans="2:18" x14ac:dyDescent="0.25">
      <c r="B7" s="55">
        <v>1790</v>
      </c>
      <c r="C7" s="55">
        <v>40</v>
      </c>
      <c r="D7" s="55" t="s">
        <v>18</v>
      </c>
      <c r="E7" s="55" t="str">
        <f t="shared" si="0"/>
        <v>F</v>
      </c>
      <c r="F7" s="55">
        <v>100</v>
      </c>
      <c r="G7" s="55" t="s">
        <v>61</v>
      </c>
      <c r="H7" s="59">
        <v>24</v>
      </c>
      <c r="I7" s="55"/>
      <c r="J7" s="55"/>
      <c r="K7" s="46"/>
      <c r="L7" s="56"/>
      <c r="O7" s="39" t="s">
        <v>28</v>
      </c>
      <c r="P7" s="40" t="s">
        <v>29</v>
      </c>
      <c r="Q7" s="57" t="str">
        <f t="shared" ca="1" si="3"/>
        <v/>
      </c>
      <c r="R7" s="57" t="str">
        <f t="shared" ca="1" si="4"/>
        <v/>
      </c>
    </row>
    <row r="8" spans="2:18" x14ac:dyDescent="0.25">
      <c r="B8" s="55">
        <v>1795</v>
      </c>
      <c r="C8" s="55">
        <v>80</v>
      </c>
      <c r="D8" s="55" t="s">
        <v>18</v>
      </c>
      <c r="E8" s="55" t="str">
        <f t="shared" si="0"/>
        <v>F</v>
      </c>
      <c r="F8" s="55">
        <v>100</v>
      </c>
      <c r="G8" s="55" t="s">
        <v>61</v>
      </c>
      <c r="H8" s="55">
        <v>26.4</v>
      </c>
      <c r="I8" s="55"/>
      <c r="J8" s="55"/>
      <c r="K8" s="46"/>
      <c r="L8" s="56"/>
      <c r="O8" s="39" t="s">
        <v>30</v>
      </c>
      <c r="P8" s="40" t="s">
        <v>31</v>
      </c>
      <c r="Q8" s="57" t="str">
        <f t="shared" ca="1" si="3"/>
        <v/>
      </c>
      <c r="R8" s="57" t="str">
        <f t="shared" ca="1" si="4"/>
        <v/>
      </c>
    </row>
    <row r="9" spans="2:18" x14ac:dyDescent="0.25">
      <c r="B9" s="55">
        <v>1800</v>
      </c>
      <c r="C9" s="55">
        <v>60</v>
      </c>
      <c r="D9" s="55" t="s">
        <v>18</v>
      </c>
      <c r="E9" s="55" t="str">
        <f t="shared" si="0"/>
        <v>F</v>
      </c>
      <c r="F9" s="55">
        <v>100</v>
      </c>
      <c r="G9" s="55" t="s">
        <v>61</v>
      </c>
      <c r="H9" s="55">
        <v>20.399999999999999</v>
      </c>
      <c r="I9" s="55"/>
      <c r="J9" s="55"/>
      <c r="K9" s="46"/>
      <c r="L9" s="56"/>
      <c r="O9" s="39" t="s">
        <v>33</v>
      </c>
      <c r="P9" s="40" t="s">
        <v>34</v>
      </c>
      <c r="Q9" s="57" t="str">
        <f t="shared" ca="1" si="3"/>
        <v/>
      </c>
      <c r="R9" s="57" t="str">
        <f t="shared" ca="1" si="4"/>
        <v/>
      </c>
    </row>
    <row r="10" spans="2:18" x14ac:dyDescent="0.25">
      <c r="B10" s="55">
        <v>1805</v>
      </c>
      <c r="C10" s="55">
        <v>60</v>
      </c>
      <c r="D10" s="55" t="s">
        <v>18</v>
      </c>
      <c r="E10" s="55" t="str">
        <f t="shared" si="0"/>
        <v>F</v>
      </c>
      <c r="F10" s="55">
        <v>10</v>
      </c>
      <c r="G10" s="55" t="s">
        <v>61</v>
      </c>
      <c r="H10" s="55">
        <v>14.5</v>
      </c>
      <c r="I10" s="55"/>
      <c r="J10" s="55"/>
      <c r="K10" s="46"/>
      <c r="L10" s="56"/>
      <c r="O10" s="39" t="s">
        <v>17</v>
      </c>
      <c r="P10" s="40" t="s">
        <v>36</v>
      </c>
      <c r="Q10" s="57" t="str">
        <f t="shared" ca="1" si="3"/>
        <v/>
      </c>
      <c r="R10" s="57" t="str">
        <f t="shared" ca="1" si="4"/>
        <v/>
      </c>
    </row>
    <row r="11" spans="2:18" x14ac:dyDescent="0.25">
      <c r="B11" s="55">
        <v>1810</v>
      </c>
      <c r="C11" s="55">
        <v>50</v>
      </c>
      <c r="D11" s="55" t="s">
        <v>18</v>
      </c>
      <c r="E11" s="55" t="str">
        <f t="shared" si="0"/>
        <v>F</v>
      </c>
      <c r="F11" s="55">
        <v>10</v>
      </c>
      <c r="G11" s="55" t="s">
        <v>61</v>
      </c>
      <c r="H11" s="55">
        <v>16.2</v>
      </c>
      <c r="I11" s="55"/>
      <c r="J11" s="55"/>
      <c r="K11" s="46"/>
      <c r="L11" s="56"/>
      <c r="O11" s="39" t="s">
        <v>37</v>
      </c>
      <c r="P11" s="40" t="s">
        <v>38</v>
      </c>
      <c r="Q11" s="57" t="str">
        <f t="shared" ca="1" si="3"/>
        <v/>
      </c>
      <c r="R11" s="57" t="str">
        <f t="shared" ca="1" si="4"/>
        <v/>
      </c>
    </row>
    <row r="12" spans="2:18" x14ac:dyDescent="0.25">
      <c r="B12" s="55">
        <v>1895</v>
      </c>
      <c r="C12" s="55">
        <v>15</v>
      </c>
      <c r="D12" s="55" t="s">
        <v>18</v>
      </c>
      <c r="E12" s="55" t="str">
        <f t="shared" si="0"/>
        <v>F</v>
      </c>
      <c r="F12" s="55">
        <v>20</v>
      </c>
      <c r="G12" s="55" t="s">
        <v>61</v>
      </c>
      <c r="H12" s="55">
        <v>7.8</v>
      </c>
      <c r="I12" s="55" t="s">
        <v>27</v>
      </c>
      <c r="J12" s="55"/>
      <c r="K12" s="46"/>
      <c r="L12" s="56"/>
      <c r="O12" s="39" t="s">
        <v>27</v>
      </c>
      <c r="P12" s="40" t="s">
        <v>39</v>
      </c>
      <c r="Q12" s="57" t="str">
        <f t="shared" ca="1" si="3"/>
        <v/>
      </c>
      <c r="R12" s="57" t="str">
        <f t="shared" ca="1" si="4"/>
        <v/>
      </c>
    </row>
    <row r="13" spans="2:18" x14ac:dyDescent="0.25">
      <c r="B13" s="55">
        <v>1900</v>
      </c>
      <c r="C13" s="55">
        <v>15</v>
      </c>
      <c r="D13" s="55" t="s">
        <v>18</v>
      </c>
      <c r="E13" s="55" t="str">
        <f t="shared" si="0"/>
        <v>F</v>
      </c>
      <c r="F13" s="55">
        <v>50</v>
      </c>
      <c r="G13" s="55" t="s">
        <v>61</v>
      </c>
      <c r="H13" s="55">
        <v>7.4</v>
      </c>
      <c r="I13" s="55"/>
      <c r="J13" s="55"/>
      <c r="K13" s="46"/>
      <c r="L13" s="56"/>
      <c r="O13" s="39" t="s">
        <v>41</v>
      </c>
      <c r="P13" s="40" t="s">
        <v>42</v>
      </c>
      <c r="Q13" s="57" t="str">
        <f t="shared" ca="1" si="3"/>
        <v/>
      </c>
      <c r="R13" s="57" t="str">
        <f t="shared" ca="1" si="4"/>
        <v/>
      </c>
    </row>
    <row r="14" spans="2:18" x14ac:dyDescent="0.25">
      <c r="B14" s="55">
        <v>1905</v>
      </c>
      <c r="C14" s="55">
        <v>10</v>
      </c>
      <c r="D14" s="55" t="s">
        <v>18</v>
      </c>
      <c r="E14" s="55" t="str">
        <f t="shared" si="0"/>
        <v>F</v>
      </c>
      <c r="F14" s="55">
        <v>100</v>
      </c>
      <c r="G14" s="55" t="s">
        <v>51</v>
      </c>
      <c r="H14" s="55">
        <v>17.899999999999999</v>
      </c>
      <c r="I14" s="55"/>
      <c r="J14" s="55"/>
      <c r="K14" s="46"/>
      <c r="L14" s="56"/>
      <c r="O14" s="39" t="s">
        <v>46</v>
      </c>
      <c r="P14" s="40" t="s">
        <v>47</v>
      </c>
      <c r="Q14" s="57" t="str">
        <f t="shared" ca="1" si="3"/>
        <v/>
      </c>
      <c r="R14" s="57" t="str">
        <f t="shared" ca="1" si="4"/>
        <v/>
      </c>
    </row>
    <row r="15" spans="2:18" x14ac:dyDescent="0.25">
      <c r="B15" s="55">
        <v>1910</v>
      </c>
      <c r="C15" s="55">
        <v>10</v>
      </c>
      <c r="D15" s="55" t="s">
        <v>18</v>
      </c>
      <c r="E15" s="55" t="str">
        <f t="shared" si="0"/>
        <v>F</v>
      </c>
      <c r="F15" s="55">
        <v>100</v>
      </c>
      <c r="G15" s="55" t="s">
        <v>51</v>
      </c>
      <c r="H15" s="55">
        <v>15.3</v>
      </c>
      <c r="I15" s="55" t="s">
        <v>52</v>
      </c>
      <c r="J15" s="55"/>
      <c r="K15" s="46"/>
      <c r="L15" s="56"/>
      <c r="O15" s="39" t="s">
        <v>50</v>
      </c>
      <c r="P15" s="40" t="s">
        <v>51</v>
      </c>
      <c r="Q15" s="57" t="str">
        <f t="shared" ca="1" si="3"/>
        <v/>
      </c>
      <c r="R15" s="57" t="str">
        <f t="shared" ca="1" si="4"/>
        <v/>
      </c>
    </row>
    <row r="16" spans="2:18" x14ac:dyDescent="0.25">
      <c r="B16" s="55">
        <v>1915</v>
      </c>
      <c r="C16" s="55">
        <v>20</v>
      </c>
      <c r="D16" s="55" t="s">
        <v>18</v>
      </c>
      <c r="E16" s="55" t="str">
        <f t="shared" si="0"/>
        <v>F</v>
      </c>
      <c r="F16" s="55">
        <v>100</v>
      </c>
      <c r="G16" s="55" t="s">
        <v>51</v>
      </c>
      <c r="H16" s="55">
        <v>20.399999999999999</v>
      </c>
      <c r="I16" s="55"/>
      <c r="J16" s="55"/>
      <c r="K16" s="46"/>
      <c r="L16" s="56"/>
      <c r="O16" s="39" t="s">
        <v>52</v>
      </c>
      <c r="P16" s="40" t="s">
        <v>53</v>
      </c>
      <c r="Q16" s="57" t="str">
        <f t="shared" ca="1" si="3"/>
        <v/>
      </c>
      <c r="R16" s="57" t="str">
        <f t="shared" ca="1" si="4"/>
        <v/>
      </c>
    </row>
    <row r="17" spans="2:18" x14ac:dyDescent="0.25">
      <c r="B17" s="55">
        <v>1920</v>
      </c>
      <c r="C17" s="55">
        <v>20</v>
      </c>
      <c r="D17" s="55" t="s">
        <v>18</v>
      </c>
      <c r="E17" s="55" t="str">
        <f t="shared" si="0"/>
        <v>F</v>
      </c>
      <c r="F17" s="55">
        <v>100</v>
      </c>
      <c r="G17" s="55" t="s">
        <v>51</v>
      </c>
      <c r="H17" s="55">
        <v>10.8</v>
      </c>
      <c r="I17" s="55"/>
      <c r="J17" s="55"/>
      <c r="K17" s="46"/>
      <c r="L17" s="56"/>
      <c r="O17" s="39" t="s">
        <v>55</v>
      </c>
      <c r="P17" s="40" t="s">
        <v>56</v>
      </c>
      <c r="Q17" s="57" t="str">
        <f t="shared" ca="1" si="3"/>
        <v/>
      </c>
      <c r="R17" s="57" t="str">
        <f t="shared" ca="1" si="4"/>
        <v/>
      </c>
    </row>
    <row r="18" spans="2:18" x14ac:dyDescent="0.25">
      <c r="B18" s="35">
        <v>1925</v>
      </c>
      <c r="C18" s="35">
        <v>10</v>
      </c>
      <c r="D18" s="35" t="s">
        <v>18</v>
      </c>
      <c r="E18" s="55" t="str">
        <f t="shared" si="0"/>
        <v>F</v>
      </c>
      <c r="F18" s="55">
        <v>100</v>
      </c>
      <c r="G18" s="55" t="s">
        <v>51</v>
      </c>
      <c r="H18" s="55">
        <v>19.399999999999999</v>
      </c>
      <c r="I18" s="55"/>
      <c r="J18" s="55"/>
      <c r="K18" s="46" t="str">
        <f t="shared" ref="K18:K69" ca="1" si="5">IF(AND(C18&lt;&gt;"",C18&lt;&gt;Q18),TODAY(),IF(C18="","",K18))</f>
        <v/>
      </c>
      <c r="L18" s="56" t="str">
        <f t="shared" ref="L18:L69" ca="1" si="6">IF(AND(C18&lt;&gt;"",C18&lt;&gt;R18),NOW(),IF(C18="","",L18))</f>
        <v/>
      </c>
      <c r="O18" s="39" t="s">
        <v>57</v>
      </c>
      <c r="P18" s="40" t="s">
        <v>58</v>
      </c>
      <c r="Q18" s="57" t="str">
        <f t="shared" ca="1" si="3"/>
        <v/>
      </c>
      <c r="R18" s="57" t="str">
        <f t="shared" ca="1" si="4"/>
        <v/>
      </c>
    </row>
    <row r="19" spans="2:18" x14ac:dyDescent="0.25">
      <c r="B19" s="35">
        <v>1930</v>
      </c>
      <c r="C19" s="35">
        <v>10</v>
      </c>
      <c r="D19" s="35" t="s">
        <v>18</v>
      </c>
      <c r="E19" s="55" t="str">
        <f t="shared" si="0"/>
        <v>F</v>
      </c>
      <c r="F19" s="55">
        <v>100</v>
      </c>
      <c r="G19" s="55" t="s">
        <v>51</v>
      </c>
      <c r="H19" s="59">
        <v>19</v>
      </c>
      <c r="I19" s="55"/>
      <c r="J19" s="55"/>
      <c r="K19" s="46" t="str">
        <f t="shared" ca="1" si="5"/>
        <v/>
      </c>
      <c r="L19" s="56" t="str">
        <f t="shared" ca="1" si="6"/>
        <v/>
      </c>
      <c r="O19" s="41" t="s">
        <v>59</v>
      </c>
      <c r="P19" s="42" t="s">
        <v>60</v>
      </c>
      <c r="Q19" s="57" t="str">
        <f t="shared" ca="1" si="3"/>
        <v/>
      </c>
      <c r="R19" s="57" t="str">
        <f t="shared" ca="1" si="4"/>
        <v/>
      </c>
    </row>
    <row r="20" spans="2:18" x14ac:dyDescent="0.25">
      <c r="B20" s="35">
        <v>1935</v>
      </c>
      <c r="C20" s="35">
        <v>20</v>
      </c>
      <c r="D20" s="35" t="s">
        <v>18</v>
      </c>
      <c r="E20" s="55" t="str">
        <f t="shared" si="0"/>
        <v>F</v>
      </c>
      <c r="F20" s="55">
        <v>100</v>
      </c>
      <c r="G20" s="55" t="s">
        <v>51</v>
      </c>
      <c r="H20" s="55">
        <v>21.5</v>
      </c>
      <c r="I20" s="55"/>
      <c r="J20" s="55"/>
      <c r="K20" s="46" t="str">
        <f t="shared" ca="1" si="5"/>
        <v/>
      </c>
      <c r="L20" s="56" t="str">
        <f t="shared" ca="1" si="6"/>
        <v/>
      </c>
      <c r="Q20" s="57" t="str">
        <f t="shared" ca="1" si="3"/>
        <v/>
      </c>
      <c r="R20" s="57" t="str">
        <f t="shared" ca="1" si="4"/>
        <v/>
      </c>
    </row>
    <row r="21" spans="2:18" x14ac:dyDescent="0.25">
      <c r="B21" s="35">
        <v>1940</v>
      </c>
      <c r="C21" s="35">
        <v>20</v>
      </c>
      <c r="D21" s="35" t="s">
        <v>18</v>
      </c>
      <c r="E21" s="55" t="str">
        <f t="shared" si="0"/>
        <v>F</v>
      </c>
      <c r="F21" s="55">
        <v>100</v>
      </c>
      <c r="G21" s="55" t="s">
        <v>51</v>
      </c>
      <c r="H21" s="55">
        <v>13.6</v>
      </c>
      <c r="I21" s="55" t="s">
        <v>52</v>
      </c>
      <c r="J21" s="55"/>
      <c r="K21" s="46" t="str">
        <f t="shared" ca="1" si="5"/>
        <v/>
      </c>
      <c r="L21" s="56" t="str">
        <f t="shared" ca="1" si="6"/>
        <v/>
      </c>
      <c r="Q21" s="57" t="str">
        <f t="shared" ca="1" si="3"/>
        <v/>
      </c>
      <c r="R21" s="57" t="str">
        <f t="shared" ca="1" si="4"/>
        <v/>
      </c>
    </row>
    <row r="22" spans="2:18" x14ac:dyDescent="0.25">
      <c r="B22" s="35">
        <v>1945</v>
      </c>
      <c r="C22" s="35">
        <v>20</v>
      </c>
      <c r="D22" s="35" t="s">
        <v>18</v>
      </c>
      <c r="E22" s="55" t="str">
        <f t="shared" si="0"/>
        <v>F</v>
      </c>
      <c r="F22" s="55">
        <v>100</v>
      </c>
      <c r="G22" s="55" t="s">
        <v>51</v>
      </c>
      <c r="H22" s="55">
        <v>15.1</v>
      </c>
      <c r="I22" s="55"/>
      <c r="J22" s="55"/>
      <c r="K22" s="46" t="str">
        <f t="shared" ca="1" si="5"/>
        <v/>
      </c>
      <c r="L22" s="56" t="str">
        <f t="shared" ca="1" si="6"/>
        <v/>
      </c>
      <c r="Q22" s="57" t="str">
        <f t="shared" ca="1" si="3"/>
        <v/>
      </c>
      <c r="R22" s="57" t="str">
        <f t="shared" ca="1" si="4"/>
        <v/>
      </c>
    </row>
    <row r="23" spans="2:18" x14ac:dyDescent="0.25">
      <c r="B23" s="35">
        <v>1950</v>
      </c>
      <c r="C23" s="35">
        <v>20</v>
      </c>
      <c r="D23" s="35" t="s">
        <v>18</v>
      </c>
      <c r="E23" s="55" t="str">
        <f t="shared" si="0"/>
        <v>F</v>
      </c>
      <c r="F23" s="55">
        <v>100</v>
      </c>
      <c r="G23" s="55" t="s">
        <v>51</v>
      </c>
      <c r="H23" s="55">
        <v>23.2</v>
      </c>
      <c r="I23" s="55"/>
      <c r="J23" s="55"/>
      <c r="K23" s="46" t="str">
        <f t="shared" ca="1" si="5"/>
        <v/>
      </c>
      <c r="L23" s="56" t="str">
        <f t="shared" ca="1" si="6"/>
        <v/>
      </c>
      <c r="Q23" s="57" t="str">
        <f t="shared" ca="1" si="3"/>
        <v/>
      </c>
      <c r="R23" s="57" t="str">
        <f t="shared" ca="1" si="4"/>
        <v/>
      </c>
    </row>
    <row r="24" spans="2:18" x14ac:dyDescent="0.25">
      <c r="B24" s="35">
        <v>1955</v>
      </c>
      <c r="C24" s="35">
        <v>25</v>
      </c>
      <c r="D24" s="35" t="s">
        <v>18</v>
      </c>
      <c r="E24" s="55" t="str">
        <f t="shared" si="0"/>
        <v>F</v>
      </c>
      <c r="F24" s="55">
        <v>100</v>
      </c>
      <c r="G24" s="55" t="s">
        <v>60</v>
      </c>
      <c r="H24" s="59">
        <v>23</v>
      </c>
      <c r="I24" s="55"/>
      <c r="J24" s="55"/>
      <c r="K24" s="46" t="str">
        <f t="shared" ca="1" si="5"/>
        <v/>
      </c>
      <c r="L24" s="56" t="str">
        <f t="shared" ca="1" si="6"/>
        <v/>
      </c>
      <c r="Q24" s="57" t="str">
        <f t="shared" ca="1" si="3"/>
        <v/>
      </c>
      <c r="R24" s="57" t="str">
        <f t="shared" ca="1" si="4"/>
        <v/>
      </c>
    </row>
    <row r="25" spans="2:18" x14ac:dyDescent="0.25">
      <c r="B25" s="35">
        <v>1960</v>
      </c>
      <c r="C25" s="35">
        <v>25</v>
      </c>
      <c r="D25" s="35" t="s">
        <v>18</v>
      </c>
      <c r="E25" s="55" t="str">
        <f t="shared" si="0"/>
        <v>F</v>
      </c>
      <c r="F25" s="55">
        <v>100</v>
      </c>
      <c r="G25" s="55" t="s">
        <v>60</v>
      </c>
      <c r="H25" s="55">
        <v>19.7</v>
      </c>
      <c r="I25" s="55" t="s">
        <v>27</v>
      </c>
      <c r="J25" s="55"/>
      <c r="K25" s="46" t="str">
        <f t="shared" ca="1" si="5"/>
        <v/>
      </c>
      <c r="L25" s="56" t="str">
        <f t="shared" ca="1" si="6"/>
        <v/>
      </c>
      <c r="Q25" s="57" t="str">
        <f t="shared" ca="1" si="3"/>
        <v/>
      </c>
      <c r="R25" s="57" t="str">
        <f t="shared" ca="1" si="4"/>
        <v/>
      </c>
    </row>
    <row r="26" spans="2:18" x14ac:dyDescent="0.25">
      <c r="B26" s="35">
        <v>1965</v>
      </c>
      <c r="C26" s="35">
        <v>30</v>
      </c>
      <c r="D26" s="35" t="s">
        <v>18</v>
      </c>
      <c r="E26" s="55" t="str">
        <f t="shared" si="0"/>
        <v>F</v>
      </c>
      <c r="F26" s="55">
        <v>100</v>
      </c>
      <c r="G26" s="55" t="s">
        <v>60</v>
      </c>
      <c r="H26" s="55">
        <v>19.8</v>
      </c>
      <c r="I26" s="55"/>
      <c r="J26" s="55"/>
      <c r="K26" s="46" t="str">
        <f t="shared" ca="1" si="5"/>
        <v/>
      </c>
      <c r="L26" s="56" t="str">
        <f t="shared" ca="1" si="6"/>
        <v/>
      </c>
      <c r="Q26" s="57" t="str">
        <f t="shared" ca="1" si="3"/>
        <v/>
      </c>
      <c r="R26" s="57" t="str">
        <f t="shared" ca="1" si="4"/>
        <v/>
      </c>
    </row>
    <row r="27" spans="2:18" x14ac:dyDescent="0.25">
      <c r="B27" s="35">
        <v>1970</v>
      </c>
      <c r="C27" s="35">
        <v>30</v>
      </c>
      <c r="D27" s="35" t="s">
        <v>18</v>
      </c>
      <c r="E27" s="55" t="str">
        <f t="shared" si="0"/>
        <v>F</v>
      </c>
      <c r="F27" s="55">
        <v>100</v>
      </c>
      <c r="G27" s="55" t="s">
        <v>60</v>
      </c>
      <c r="H27" s="55">
        <v>23.7</v>
      </c>
      <c r="I27" s="55"/>
      <c r="J27" s="55"/>
      <c r="K27" s="46" t="str">
        <f t="shared" ca="1" si="5"/>
        <v/>
      </c>
      <c r="L27" s="56" t="str">
        <f t="shared" ca="1" si="6"/>
        <v/>
      </c>
      <c r="Q27" s="57" t="str">
        <f t="shared" ca="1" si="3"/>
        <v/>
      </c>
      <c r="R27" s="57" t="str">
        <f t="shared" ca="1" si="4"/>
        <v/>
      </c>
    </row>
    <row r="28" spans="2:18" x14ac:dyDescent="0.25">
      <c r="B28" s="35">
        <v>1975</v>
      </c>
      <c r="C28" s="35">
        <v>30</v>
      </c>
      <c r="D28" s="35" t="s">
        <v>18</v>
      </c>
      <c r="E28" s="55" t="str">
        <f t="shared" si="0"/>
        <v>F</v>
      </c>
      <c r="F28" s="55">
        <v>100</v>
      </c>
      <c r="G28" s="55" t="s">
        <v>60</v>
      </c>
      <c r="H28" s="59">
        <v>25</v>
      </c>
      <c r="I28" s="55"/>
      <c r="J28" s="55"/>
      <c r="K28" s="46" t="str">
        <f t="shared" ca="1" si="5"/>
        <v/>
      </c>
      <c r="L28" s="56" t="str">
        <f t="shared" ca="1" si="6"/>
        <v/>
      </c>
      <c r="Q28" s="57" t="str">
        <f t="shared" ca="1" si="3"/>
        <v/>
      </c>
      <c r="R28" s="57" t="str">
        <f t="shared" ca="1" si="4"/>
        <v/>
      </c>
    </row>
    <row r="29" spans="2:18" x14ac:dyDescent="0.25">
      <c r="B29" s="35">
        <v>1980</v>
      </c>
      <c r="C29" s="35">
        <v>30</v>
      </c>
      <c r="D29" s="35" t="s">
        <v>18</v>
      </c>
      <c r="E29" s="55" t="str">
        <f t="shared" si="0"/>
        <v>F</v>
      </c>
      <c r="F29" s="55">
        <v>100</v>
      </c>
      <c r="G29" s="55" t="s">
        <v>60</v>
      </c>
      <c r="H29" s="55">
        <v>19.100000000000001</v>
      </c>
      <c r="I29" s="55"/>
      <c r="J29" s="55"/>
      <c r="K29" s="46" t="str">
        <f t="shared" ca="1" si="5"/>
        <v/>
      </c>
      <c r="L29" s="56" t="str">
        <f t="shared" ca="1" si="6"/>
        <v/>
      </c>
      <c r="Q29" s="57" t="str">
        <f t="shared" ca="1" si="3"/>
        <v/>
      </c>
      <c r="R29" s="57" t="str">
        <f t="shared" ca="1" si="4"/>
        <v/>
      </c>
    </row>
    <row r="30" spans="2:18" x14ac:dyDescent="0.25">
      <c r="B30" s="35">
        <v>1985</v>
      </c>
      <c r="C30" s="35">
        <v>30</v>
      </c>
      <c r="D30" s="35" t="s">
        <v>18</v>
      </c>
      <c r="E30" s="55" t="str">
        <f t="shared" si="0"/>
        <v>F</v>
      </c>
      <c r="F30" s="55">
        <v>100</v>
      </c>
      <c r="G30" s="55" t="s">
        <v>35</v>
      </c>
      <c r="H30" s="55">
        <v>21.1</v>
      </c>
      <c r="I30" s="55"/>
      <c r="J30" s="55"/>
      <c r="K30" s="46" t="str">
        <f t="shared" ca="1" si="5"/>
        <v/>
      </c>
      <c r="L30" s="56" t="str">
        <f t="shared" ca="1" si="6"/>
        <v/>
      </c>
      <c r="Q30" s="57" t="str">
        <f t="shared" ca="1" si="3"/>
        <v/>
      </c>
      <c r="R30" s="57" t="str">
        <f t="shared" ca="1" si="4"/>
        <v/>
      </c>
    </row>
    <row r="31" spans="2:18" x14ac:dyDescent="0.25">
      <c r="B31" s="35">
        <v>1990</v>
      </c>
      <c r="C31" s="35">
        <v>30</v>
      </c>
      <c r="D31" s="35" t="s">
        <v>18</v>
      </c>
      <c r="E31" s="55" t="str">
        <f t="shared" si="0"/>
        <v>F</v>
      </c>
      <c r="F31" s="55">
        <v>100</v>
      </c>
      <c r="G31" s="55" t="s">
        <v>35</v>
      </c>
      <c r="H31" s="55">
        <v>25.1</v>
      </c>
      <c r="I31" s="55"/>
      <c r="J31" s="55"/>
      <c r="K31" s="46" t="str">
        <f t="shared" ca="1" si="5"/>
        <v/>
      </c>
      <c r="L31" s="56" t="str">
        <f t="shared" ca="1" si="6"/>
        <v/>
      </c>
      <c r="Q31" s="57" t="str">
        <f t="shared" ca="1" si="3"/>
        <v/>
      </c>
      <c r="R31" s="57" t="str">
        <f t="shared" ca="1" si="4"/>
        <v/>
      </c>
    </row>
    <row r="32" spans="2:18" x14ac:dyDescent="0.25">
      <c r="B32" s="35">
        <v>1995</v>
      </c>
      <c r="C32" s="35">
        <v>40</v>
      </c>
      <c r="D32" s="35" t="s">
        <v>18</v>
      </c>
      <c r="E32" s="55" t="str">
        <f t="shared" si="0"/>
        <v>F</v>
      </c>
      <c r="F32" s="55">
        <v>100</v>
      </c>
      <c r="G32" s="55" t="s">
        <v>35</v>
      </c>
      <c r="H32" s="55">
        <v>25.7</v>
      </c>
      <c r="I32" s="55"/>
      <c r="J32" s="55"/>
      <c r="K32" s="46" t="str">
        <f t="shared" ca="1" si="5"/>
        <v/>
      </c>
      <c r="L32" s="56" t="str">
        <f t="shared" ca="1" si="6"/>
        <v/>
      </c>
      <c r="Q32" s="57" t="str">
        <f t="shared" ca="1" si="3"/>
        <v/>
      </c>
      <c r="R32" s="57" t="str">
        <f t="shared" ca="1" si="4"/>
        <v/>
      </c>
    </row>
    <row r="33" spans="2:18" x14ac:dyDescent="0.25">
      <c r="B33" s="35">
        <v>2000</v>
      </c>
      <c r="C33" s="35">
        <v>40</v>
      </c>
      <c r="D33" s="35" t="s">
        <v>18</v>
      </c>
      <c r="E33" s="55" t="str">
        <f t="shared" si="0"/>
        <v>F</v>
      </c>
      <c r="F33" s="55">
        <v>100</v>
      </c>
      <c r="G33" s="55" t="s">
        <v>35</v>
      </c>
      <c r="H33" s="55">
        <v>22.4</v>
      </c>
      <c r="I33" s="55" t="s">
        <v>52</v>
      </c>
      <c r="J33" s="55"/>
      <c r="K33" s="46" t="str">
        <f t="shared" ca="1" si="5"/>
        <v/>
      </c>
      <c r="L33" s="56" t="str">
        <f t="shared" ca="1" si="6"/>
        <v/>
      </c>
      <c r="Q33" s="57" t="str">
        <f t="shared" ca="1" si="3"/>
        <v/>
      </c>
      <c r="R33" s="57" t="str">
        <f t="shared" ca="1" si="4"/>
        <v/>
      </c>
    </row>
    <row r="34" spans="2:18" x14ac:dyDescent="0.25">
      <c r="B34" s="35">
        <v>2005</v>
      </c>
      <c r="C34" s="35">
        <v>30</v>
      </c>
      <c r="D34" s="35" t="s">
        <v>18</v>
      </c>
      <c r="E34" s="55" t="str">
        <f t="shared" si="0"/>
        <v>F</v>
      </c>
      <c r="F34" s="55">
        <v>100</v>
      </c>
      <c r="G34" s="55" t="s">
        <v>35</v>
      </c>
      <c r="H34" s="55">
        <v>17.399999999999999</v>
      </c>
      <c r="I34" s="55"/>
      <c r="J34" s="55"/>
      <c r="K34" s="46" t="str">
        <f t="shared" ca="1" si="5"/>
        <v/>
      </c>
      <c r="L34" s="56" t="str">
        <f t="shared" ca="1" si="6"/>
        <v/>
      </c>
      <c r="Q34" s="57" t="str">
        <f t="shared" ca="1" si="3"/>
        <v/>
      </c>
      <c r="R34" s="57" t="str">
        <f t="shared" ca="1" si="4"/>
        <v/>
      </c>
    </row>
    <row r="35" spans="2:18" x14ac:dyDescent="0.25">
      <c r="B35" s="35">
        <v>2010</v>
      </c>
      <c r="C35" s="35">
        <v>30</v>
      </c>
      <c r="D35" s="35" t="s">
        <v>18</v>
      </c>
      <c r="E35" s="55" t="str">
        <f t="shared" si="0"/>
        <v>F</v>
      </c>
      <c r="F35" s="55">
        <v>100</v>
      </c>
      <c r="G35" s="55" t="s">
        <v>35</v>
      </c>
      <c r="H35" s="55">
        <v>21.2</v>
      </c>
      <c r="I35" s="55" t="s">
        <v>52</v>
      </c>
      <c r="J35" s="55"/>
      <c r="K35" s="46" t="str">
        <f t="shared" ca="1" si="5"/>
        <v/>
      </c>
      <c r="L35" s="56" t="str">
        <f t="shared" ca="1" si="6"/>
        <v/>
      </c>
      <c r="Q35" s="57" t="str">
        <f t="shared" ca="1" si="3"/>
        <v/>
      </c>
      <c r="R35" s="57" t="str">
        <f t="shared" ca="1" si="4"/>
        <v/>
      </c>
    </row>
    <row r="36" spans="2:18" x14ac:dyDescent="0.25">
      <c r="B36" s="35">
        <v>2015</v>
      </c>
      <c r="C36" s="43">
        <v>30</v>
      </c>
      <c r="D36" s="43" t="s">
        <v>18</v>
      </c>
      <c r="E36" s="55" t="str">
        <f t="shared" si="0"/>
        <v>F</v>
      </c>
      <c r="F36" s="55">
        <v>100</v>
      </c>
      <c r="G36" s="55" t="s">
        <v>45</v>
      </c>
      <c r="H36" s="55">
        <v>16.600000000000001</v>
      </c>
      <c r="I36" s="55"/>
      <c r="J36" s="55"/>
      <c r="K36" s="46" t="str">
        <f t="shared" ca="1" si="5"/>
        <v/>
      </c>
      <c r="L36" s="56" t="str">
        <f t="shared" ca="1" si="6"/>
        <v/>
      </c>
      <c r="Q36" s="57" t="str">
        <f t="shared" ca="1" si="3"/>
        <v/>
      </c>
      <c r="R36" s="57" t="str">
        <f t="shared" ca="1" si="4"/>
        <v/>
      </c>
    </row>
    <row r="37" spans="2:18" x14ac:dyDescent="0.25">
      <c r="B37" s="35">
        <v>2020</v>
      </c>
      <c r="C37" s="43">
        <v>30</v>
      </c>
      <c r="D37" s="43" t="s">
        <v>18</v>
      </c>
      <c r="E37" s="55" t="str">
        <f t="shared" si="0"/>
        <v>F</v>
      </c>
      <c r="F37" s="55">
        <v>100</v>
      </c>
      <c r="G37" s="55" t="s">
        <v>45</v>
      </c>
      <c r="H37" s="55">
        <v>23.6</v>
      </c>
      <c r="I37" s="55" t="s">
        <v>52</v>
      </c>
      <c r="J37" s="55"/>
      <c r="K37" s="46" t="str">
        <f t="shared" ca="1" si="5"/>
        <v/>
      </c>
      <c r="L37" s="56" t="str">
        <f t="shared" ca="1" si="6"/>
        <v/>
      </c>
      <c r="Q37" s="57" t="str">
        <f t="shared" ca="1" si="3"/>
        <v/>
      </c>
      <c r="R37" s="57" t="str">
        <f t="shared" ca="1" si="4"/>
        <v/>
      </c>
    </row>
    <row r="38" spans="2:18" x14ac:dyDescent="0.25">
      <c r="B38" s="35">
        <v>2025</v>
      </c>
      <c r="C38" s="43">
        <v>40</v>
      </c>
      <c r="D38" s="43" t="s">
        <v>18</v>
      </c>
      <c r="E38" s="55" t="str">
        <f t="shared" si="0"/>
        <v>F</v>
      </c>
      <c r="F38" s="55">
        <v>100</v>
      </c>
      <c r="G38" s="55" t="s">
        <v>45</v>
      </c>
      <c r="H38" s="55">
        <v>27.9</v>
      </c>
      <c r="I38" s="55"/>
      <c r="J38" s="55"/>
      <c r="K38" s="46" t="str">
        <f t="shared" ca="1" si="5"/>
        <v/>
      </c>
      <c r="L38" s="56" t="str">
        <f t="shared" ca="1" si="6"/>
        <v/>
      </c>
      <c r="Q38" s="57" t="str">
        <f t="shared" ca="1" si="3"/>
        <v/>
      </c>
      <c r="R38" s="57" t="str">
        <f t="shared" ca="1" si="4"/>
        <v/>
      </c>
    </row>
    <row r="39" spans="2:18" x14ac:dyDescent="0.25">
      <c r="B39" s="35">
        <v>2030</v>
      </c>
      <c r="C39" s="43">
        <v>40</v>
      </c>
      <c r="D39" s="43" t="s">
        <v>18</v>
      </c>
      <c r="E39" s="55" t="str">
        <f t="shared" si="0"/>
        <v>F</v>
      </c>
      <c r="F39" s="55">
        <v>100</v>
      </c>
      <c r="G39" s="55" t="s">
        <v>45</v>
      </c>
      <c r="H39" s="55">
        <v>29.9</v>
      </c>
      <c r="I39" s="55" t="s">
        <v>27</v>
      </c>
      <c r="J39" s="55"/>
      <c r="K39" s="46" t="str">
        <f t="shared" ca="1" si="5"/>
        <v/>
      </c>
      <c r="L39" s="56" t="str">
        <f t="shared" ca="1" si="6"/>
        <v/>
      </c>
      <c r="Q39" s="57" t="str">
        <f t="shared" ca="1" si="3"/>
        <v/>
      </c>
      <c r="R39" s="57" t="str">
        <f t="shared" ca="1" si="4"/>
        <v/>
      </c>
    </row>
    <row r="40" spans="2:18" x14ac:dyDescent="0.25">
      <c r="B40" s="35">
        <v>2035</v>
      </c>
      <c r="C40" s="43">
        <v>40</v>
      </c>
      <c r="D40" s="43" t="s">
        <v>18</v>
      </c>
      <c r="E40" s="55" t="str">
        <f t="shared" si="0"/>
        <v>F</v>
      </c>
      <c r="F40" s="55">
        <v>100</v>
      </c>
      <c r="G40" s="55" t="s">
        <v>45</v>
      </c>
      <c r="H40" s="55">
        <v>17.899999999999999</v>
      </c>
      <c r="I40" s="55"/>
      <c r="J40" s="55"/>
      <c r="K40" s="46" t="str">
        <f t="shared" ca="1" si="5"/>
        <v/>
      </c>
      <c r="L40" s="56" t="str">
        <f t="shared" ca="1" si="6"/>
        <v/>
      </c>
      <c r="Q40" s="57" t="str">
        <f t="shared" ca="1" si="3"/>
        <v/>
      </c>
      <c r="R40" s="57" t="str">
        <f t="shared" ca="1" si="4"/>
        <v/>
      </c>
    </row>
    <row r="41" spans="2:18" x14ac:dyDescent="0.25">
      <c r="B41" s="35">
        <v>2040</v>
      </c>
      <c r="C41" s="43">
        <v>40</v>
      </c>
      <c r="D41" s="43" t="s">
        <v>18</v>
      </c>
      <c r="E41" s="55" t="str">
        <f t="shared" si="0"/>
        <v>F</v>
      </c>
      <c r="F41" s="55">
        <v>100</v>
      </c>
      <c r="G41" s="55" t="s">
        <v>45</v>
      </c>
      <c r="H41" s="55">
        <v>23.4</v>
      </c>
      <c r="I41" s="55"/>
      <c r="J41" s="55"/>
      <c r="K41" s="46" t="str">
        <f t="shared" ca="1" si="5"/>
        <v/>
      </c>
      <c r="L41" s="56" t="str">
        <f t="shared" ca="1" si="6"/>
        <v/>
      </c>
      <c r="Q41" s="57" t="str">
        <f t="shared" ca="1" si="3"/>
        <v/>
      </c>
      <c r="R41" s="57" t="str">
        <f t="shared" ca="1" si="4"/>
        <v/>
      </c>
    </row>
    <row r="42" spans="2:18" x14ac:dyDescent="0.25">
      <c r="B42" s="35">
        <v>2045</v>
      </c>
      <c r="C42" s="43">
        <v>45</v>
      </c>
      <c r="D42" s="43" t="s">
        <v>18</v>
      </c>
      <c r="E42" s="55" t="str">
        <f t="shared" si="0"/>
        <v>F</v>
      </c>
      <c r="F42" s="55">
        <v>100</v>
      </c>
      <c r="G42" s="55" t="s">
        <v>45</v>
      </c>
      <c r="H42" s="55">
        <v>34.5</v>
      </c>
      <c r="I42" s="55"/>
      <c r="J42" s="55"/>
      <c r="K42" s="46" t="str">
        <f t="shared" ca="1" si="5"/>
        <v/>
      </c>
      <c r="L42" s="56" t="str">
        <f t="shared" ca="1" si="6"/>
        <v/>
      </c>
      <c r="Q42" s="57" t="str">
        <f t="shared" ca="1" si="3"/>
        <v/>
      </c>
      <c r="R42" s="57" t="str">
        <f t="shared" ca="1" si="4"/>
        <v/>
      </c>
    </row>
    <row r="43" spans="2:18" x14ac:dyDescent="0.25">
      <c r="B43" s="35">
        <v>2050</v>
      </c>
      <c r="C43" s="43">
        <v>45</v>
      </c>
      <c r="D43" s="43" t="s">
        <v>18</v>
      </c>
      <c r="E43" s="55" t="str">
        <f t="shared" si="0"/>
        <v>F</v>
      </c>
      <c r="F43" s="55">
        <v>100</v>
      </c>
      <c r="G43" s="55" t="s">
        <v>45</v>
      </c>
      <c r="H43" s="59">
        <v>37</v>
      </c>
      <c r="I43" s="55"/>
      <c r="J43" s="55"/>
      <c r="K43" s="46" t="str">
        <f t="shared" ca="1" si="5"/>
        <v/>
      </c>
      <c r="L43" s="56" t="str">
        <f t="shared" ca="1" si="6"/>
        <v/>
      </c>
      <c r="Q43" s="57" t="str">
        <f t="shared" ca="1" si="3"/>
        <v/>
      </c>
      <c r="R43" s="57" t="str">
        <f t="shared" ca="1" si="4"/>
        <v/>
      </c>
    </row>
    <row r="44" spans="2:18" x14ac:dyDescent="0.25">
      <c r="B44" s="35">
        <v>2055</v>
      </c>
      <c r="C44" s="43">
        <v>40</v>
      </c>
      <c r="D44" s="43" t="s">
        <v>18</v>
      </c>
      <c r="E44" s="55" t="str">
        <f t="shared" si="0"/>
        <v>F</v>
      </c>
      <c r="F44" s="55">
        <v>100</v>
      </c>
      <c r="G44" s="55" t="s">
        <v>45</v>
      </c>
      <c r="H44" s="55">
        <v>26.4</v>
      </c>
      <c r="I44" s="55"/>
      <c r="J44" s="55"/>
      <c r="K44" s="46" t="str">
        <f t="shared" ca="1" si="5"/>
        <v/>
      </c>
      <c r="L44" s="56" t="str">
        <f t="shared" ca="1" si="6"/>
        <v/>
      </c>
      <c r="Q44" s="57" t="str">
        <f t="shared" ca="1" si="3"/>
        <v/>
      </c>
      <c r="R44" s="57" t="str">
        <f t="shared" ca="1" si="4"/>
        <v/>
      </c>
    </row>
    <row r="45" spans="2:18" x14ac:dyDescent="0.25">
      <c r="B45" s="35">
        <v>2060</v>
      </c>
      <c r="C45" s="43">
        <v>40</v>
      </c>
      <c r="D45" s="43" t="s">
        <v>18</v>
      </c>
      <c r="E45" s="55" t="str">
        <f t="shared" si="0"/>
        <v>F</v>
      </c>
      <c r="F45" s="55">
        <v>100</v>
      </c>
      <c r="G45" s="55" t="s">
        <v>45</v>
      </c>
      <c r="H45" s="55">
        <v>25.6</v>
      </c>
      <c r="I45" s="55"/>
      <c r="J45" s="55"/>
      <c r="K45" s="46" t="str">
        <f t="shared" ca="1" si="5"/>
        <v/>
      </c>
      <c r="L45" s="56" t="str">
        <f t="shared" ca="1" si="6"/>
        <v/>
      </c>
      <c r="Q45" s="57" t="str">
        <f t="shared" ca="1" si="3"/>
        <v/>
      </c>
      <c r="R45" s="57" t="str">
        <f t="shared" ca="1" si="4"/>
        <v/>
      </c>
    </row>
    <row r="46" spans="2:18" x14ac:dyDescent="0.25">
      <c r="B46" s="35">
        <v>2065</v>
      </c>
      <c r="C46" s="43">
        <v>35</v>
      </c>
      <c r="D46" s="43" t="s">
        <v>18</v>
      </c>
      <c r="E46" s="55" t="str">
        <f t="shared" si="0"/>
        <v>F</v>
      </c>
      <c r="F46" s="55">
        <v>100</v>
      </c>
      <c r="G46" s="55" t="s">
        <v>45</v>
      </c>
      <c r="H46" s="55">
        <v>23.7</v>
      </c>
      <c r="I46" s="55"/>
      <c r="J46" s="55"/>
      <c r="K46" s="46" t="str">
        <f t="shared" ca="1" si="5"/>
        <v/>
      </c>
      <c r="L46" s="56" t="str">
        <f t="shared" ca="1" si="6"/>
        <v/>
      </c>
      <c r="Q46" s="57" t="str">
        <f t="shared" ca="1" si="3"/>
        <v/>
      </c>
      <c r="R46" s="57" t="str">
        <f t="shared" ca="1" si="4"/>
        <v/>
      </c>
    </row>
    <row r="47" spans="2:18" x14ac:dyDescent="0.25">
      <c r="B47" s="35">
        <v>2070</v>
      </c>
      <c r="C47" s="43">
        <v>35</v>
      </c>
      <c r="D47" s="43" t="s">
        <v>18</v>
      </c>
      <c r="E47" s="55" t="str">
        <f t="shared" si="0"/>
        <v>F</v>
      </c>
      <c r="F47" s="55">
        <v>100</v>
      </c>
      <c r="G47" s="55" t="s">
        <v>45</v>
      </c>
      <c r="H47" s="55">
        <v>35.299999999999997</v>
      </c>
      <c r="I47" s="55"/>
      <c r="J47" s="55"/>
      <c r="K47" s="46" t="str">
        <f t="shared" ca="1" si="5"/>
        <v/>
      </c>
      <c r="L47" s="56" t="str">
        <f t="shared" ca="1" si="6"/>
        <v/>
      </c>
      <c r="Q47" s="57" t="str">
        <f t="shared" ca="1" si="3"/>
        <v/>
      </c>
      <c r="R47" s="57" t="str">
        <f t="shared" ca="1" si="4"/>
        <v/>
      </c>
    </row>
    <row r="48" spans="2:18" x14ac:dyDescent="0.25">
      <c r="B48" s="35">
        <v>2075</v>
      </c>
      <c r="C48" s="43">
        <v>40</v>
      </c>
      <c r="D48" s="43" t="s">
        <v>18</v>
      </c>
      <c r="E48" s="55" t="str">
        <f t="shared" si="0"/>
        <v>F</v>
      </c>
      <c r="F48" s="55">
        <v>100</v>
      </c>
      <c r="G48" s="55" t="s">
        <v>45</v>
      </c>
      <c r="H48" s="55">
        <v>27.9</v>
      </c>
      <c r="I48" s="55"/>
      <c r="J48" s="55"/>
      <c r="K48" s="46" t="str">
        <f t="shared" ca="1" si="5"/>
        <v/>
      </c>
      <c r="L48" s="56" t="str">
        <f t="shared" ca="1" si="6"/>
        <v/>
      </c>
      <c r="Q48" s="57" t="str">
        <f t="shared" ca="1" si="3"/>
        <v/>
      </c>
      <c r="R48" s="57" t="str">
        <f t="shared" ca="1" si="4"/>
        <v/>
      </c>
    </row>
    <row r="49" spans="2:18" x14ac:dyDescent="0.25">
      <c r="B49" s="35">
        <v>2080</v>
      </c>
      <c r="C49" s="43">
        <v>40</v>
      </c>
      <c r="D49" s="43" t="s">
        <v>18</v>
      </c>
      <c r="E49" s="55" t="str">
        <f t="shared" si="0"/>
        <v>F</v>
      </c>
      <c r="F49" s="55">
        <v>100</v>
      </c>
      <c r="G49" s="55" t="s">
        <v>45</v>
      </c>
      <c r="H49" s="55">
        <v>29.3</v>
      </c>
      <c r="I49" s="55"/>
      <c r="J49" s="55"/>
      <c r="K49" s="46" t="str">
        <f t="shared" ca="1" si="5"/>
        <v/>
      </c>
      <c r="L49" s="56" t="str">
        <f t="shared" ca="1" si="6"/>
        <v/>
      </c>
      <c r="Q49" s="57" t="str">
        <f t="shared" ca="1" si="3"/>
        <v/>
      </c>
      <c r="R49" s="57" t="str">
        <f t="shared" ca="1" si="4"/>
        <v/>
      </c>
    </row>
    <row r="50" spans="2:18" x14ac:dyDescent="0.25">
      <c r="B50" s="35">
        <v>2085</v>
      </c>
      <c r="C50" s="43">
        <v>40</v>
      </c>
      <c r="D50" s="43" t="s">
        <v>18</v>
      </c>
      <c r="E50" s="55" t="str">
        <f t="shared" si="0"/>
        <v>F</v>
      </c>
      <c r="F50" s="55">
        <v>100</v>
      </c>
      <c r="G50" s="55" t="s">
        <v>45</v>
      </c>
      <c r="H50" s="55">
        <v>28.1</v>
      </c>
      <c r="I50" s="55"/>
      <c r="J50" s="55"/>
      <c r="K50" s="46" t="str">
        <f t="shared" ca="1" si="5"/>
        <v/>
      </c>
      <c r="L50" s="56" t="str">
        <f t="shared" ca="1" si="6"/>
        <v/>
      </c>
      <c r="Q50" s="57" t="str">
        <f t="shared" ca="1" si="3"/>
        <v/>
      </c>
      <c r="R50" s="57" t="str">
        <f t="shared" ca="1" si="4"/>
        <v/>
      </c>
    </row>
    <row r="51" spans="2:18" x14ac:dyDescent="0.25">
      <c r="B51" s="35">
        <v>2090</v>
      </c>
      <c r="C51" s="43">
        <v>40</v>
      </c>
      <c r="D51" s="43" t="s">
        <v>18</v>
      </c>
      <c r="E51" s="55" t="str">
        <f t="shared" si="0"/>
        <v>F</v>
      </c>
      <c r="F51" s="55">
        <v>100</v>
      </c>
      <c r="G51" s="55" t="s">
        <v>45</v>
      </c>
      <c r="H51" s="55">
        <v>32.4</v>
      </c>
      <c r="I51" s="55"/>
      <c r="J51" s="55"/>
      <c r="K51" s="46" t="str">
        <f t="shared" ca="1" si="5"/>
        <v/>
      </c>
      <c r="L51" s="56" t="str">
        <f t="shared" ca="1" si="6"/>
        <v/>
      </c>
      <c r="Q51" s="57" t="str">
        <f t="shared" ca="1" si="3"/>
        <v/>
      </c>
      <c r="R51" s="57" t="str">
        <f t="shared" ca="1" si="4"/>
        <v/>
      </c>
    </row>
    <row r="52" spans="2:18" x14ac:dyDescent="0.25">
      <c r="B52" s="35">
        <v>2095</v>
      </c>
      <c r="C52" s="43">
        <v>40</v>
      </c>
      <c r="D52" s="43" t="s">
        <v>18</v>
      </c>
      <c r="E52" s="55" t="str">
        <f t="shared" si="0"/>
        <v>F</v>
      </c>
      <c r="F52" s="55">
        <v>100</v>
      </c>
      <c r="G52" s="55" t="s">
        <v>45</v>
      </c>
      <c r="H52" s="55">
        <v>32.299999999999997</v>
      </c>
      <c r="I52" s="55"/>
      <c r="J52" s="55"/>
      <c r="K52" s="46" t="str">
        <f t="shared" ca="1" si="5"/>
        <v/>
      </c>
      <c r="L52" s="56" t="str">
        <f t="shared" ca="1" si="6"/>
        <v/>
      </c>
      <c r="Q52" s="57" t="str">
        <f t="shared" ca="1" si="3"/>
        <v/>
      </c>
      <c r="R52" s="57" t="str">
        <f t="shared" ca="1" si="4"/>
        <v/>
      </c>
    </row>
    <row r="53" spans="2:18" x14ac:dyDescent="0.25">
      <c r="B53" s="35">
        <v>2100</v>
      </c>
      <c r="C53" s="43">
        <v>40</v>
      </c>
      <c r="D53" s="43" t="s">
        <v>18</v>
      </c>
      <c r="E53" s="55" t="str">
        <f t="shared" si="0"/>
        <v>F</v>
      </c>
      <c r="F53" s="55">
        <v>100</v>
      </c>
      <c r="G53" s="55" t="s">
        <v>45</v>
      </c>
      <c r="H53" s="55">
        <v>33.700000000000003</v>
      </c>
      <c r="I53" s="55"/>
      <c r="J53" s="55"/>
      <c r="K53" s="46" t="str">
        <f t="shared" ca="1" si="5"/>
        <v/>
      </c>
      <c r="L53" s="56" t="str">
        <f t="shared" ca="1" si="6"/>
        <v/>
      </c>
      <c r="Q53" s="57" t="str">
        <f t="shared" ca="1" si="3"/>
        <v/>
      </c>
      <c r="R53" s="57" t="str">
        <f t="shared" ca="1" si="4"/>
        <v/>
      </c>
    </row>
    <row r="54" spans="2:18" x14ac:dyDescent="0.25">
      <c r="B54" s="35">
        <v>2105</v>
      </c>
      <c r="C54" s="43">
        <v>45</v>
      </c>
      <c r="D54" s="43" t="s">
        <v>18</v>
      </c>
      <c r="E54" s="55" t="str">
        <f t="shared" si="0"/>
        <v>F</v>
      </c>
      <c r="F54" s="55">
        <v>100</v>
      </c>
      <c r="G54" s="55" t="s">
        <v>45</v>
      </c>
      <c r="H54" s="55">
        <v>36.5</v>
      </c>
      <c r="I54" s="55"/>
      <c r="J54" s="55"/>
      <c r="K54" s="46" t="str">
        <f t="shared" ca="1" si="5"/>
        <v/>
      </c>
      <c r="L54" s="56" t="str">
        <f t="shared" ca="1" si="6"/>
        <v/>
      </c>
      <c r="Q54" s="57" t="str">
        <f t="shared" ca="1" si="3"/>
        <v/>
      </c>
      <c r="R54" s="57" t="str">
        <f t="shared" ca="1" si="4"/>
        <v/>
      </c>
    </row>
    <row r="55" spans="2:18" x14ac:dyDescent="0.25">
      <c r="B55" s="35">
        <v>2110</v>
      </c>
      <c r="C55" s="43">
        <v>45</v>
      </c>
      <c r="D55" s="43" t="s">
        <v>18</v>
      </c>
      <c r="E55" s="55" t="str">
        <f t="shared" si="0"/>
        <v>F</v>
      </c>
      <c r="F55" s="55">
        <v>100</v>
      </c>
      <c r="G55" s="55" t="s">
        <v>45</v>
      </c>
      <c r="H55" s="55">
        <v>41.3</v>
      </c>
      <c r="I55" s="55"/>
      <c r="J55" s="55"/>
      <c r="K55" s="46" t="str">
        <f t="shared" ca="1" si="5"/>
        <v/>
      </c>
      <c r="L55" s="56" t="str">
        <f t="shared" ca="1" si="6"/>
        <v/>
      </c>
      <c r="Q55" s="57" t="str">
        <f t="shared" ca="1" si="3"/>
        <v/>
      </c>
      <c r="R55" s="57" t="str">
        <f t="shared" ca="1" si="4"/>
        <v/>
      </c>
    </row>
    <row r="56" spans="2:18" x14ac:dyDescent="0.25">
      <c r="B56" s="35">
        <v>2115</v>
      </c>
      <c r="C56" s="43">
        <v>50</v>
      </c>
      <c r="D56" s="43" t="s">
        <v>18</v>
      </c>
      <c r="E56" s="55" t="str">
        <f t="shared" si="0"/>
        <v>F</v>
      </c>
      <c r="F56" s="55">
        <v>100</v>
      </c>
      <c r="G56" s="55" t="s">
        <v>45</v>
      </c>
      <c r="H56" s="55">
        <v>36.200000000000003</v>
      </c>
      <c r="I56" s="55"/>
      <c r="J56" s="55"/>
      <c r="K56" s="46" t="str">
        <f t="shared" ca="1" si="5"/>
        <v/>
      </c>
      <c r="L56" s="56" t="str">
        <f t="shared" ca="1" si="6"/>
        <v/>
      </c>
      <c r="Q56" s="57" t="str">
        <f t="shared" ca="1" si="3"/>
        <v/>
      </c>
      <c r="R56" s="57" t="str">
        <f t="shared" ca="1" si="4"/>
        <v/>
      </c>
    </row>
    <row r="57" spans="2:18" x14ac:dyDescent="0.25">
      <c r="B57" s="35">
        <v>2120</v>
      </c>
      <c r="C57" s="43">
        <v>50</v>
      </c>
      <c r="D57" s="43" t="s">
        <v>18</v>
      </c>
      <c r="E57" s="55" t="str">
        <f t="shared" si="0"/>
        <v>F</v>
      </c>
      <c r="F57" s="55">
        <v>100</v>
      </c>
      <c r="G57" s="55" t="s">
        <v>45</v>
      </c>
      <c r="H57" s="55">
        <v>33.5</v>
      </c>
      <c r="I57" s="55"/>
      <c r="J57" s="55"/>
      <c r="K57" s="46" t="str">
        <f t="shared" ca="1" si="5"/>
        <v/>
      </c>
      <c r="L57" s="56" t="str">
        <f t="shared" ca="1" si="6"/>
        <v/>
      </c>
      <c r="Q57" s="57" t="str">
        <f t="shared" ca="1" si="3"/>
        <v/>
      </c>
      <c r="R57" s="57" t="str">
        <f t="shared" ca="1" si="4"/>
        <v/>
      </c>
    </row>
    <row r="58" spans="2:18" x14ac:dyDescent="0.25">
      <c r="B58" s="35">
        <v>2125</v>
      </c>
      <c r="C58" s="43">
        <v>45</v>
      </c>
      <c r="D58" s="43" t="s">
        <v>18</v>
      </c>
      <c r="E58" s="55" t="str">
        <f t="shared" si="0"/>
        <v>F</v>
      </c>
      <c r="F58" s="55">
        <v>100</v>
      </c>
      <c r="G58" s="55" t="s">
        <v>45</v>
      </c>
      <c r="H58" s="55">
        <v>38.799999999999997</v>
      </c>
      <c r="I58" s="55"/>
      <c r="J58" s="55"/>
      <c r="K58" s="46" t="str">
        <f t="shared" ca="1" si="5"/>
        <v/>
      </c>
      <c r="L58" s="56" t="str">
        <f t="shared" ca="1" si="6"/>
        <v/>
      </c>
      <c r="Q58" s="57" t="str">
        <f t="shared" ca="1" si="3"/>
        <v/>
      </c>
      <c r="R58" s="57" t="str">
        <f t="shared" ca="1" si="4"/>
        <v/>
      </c>
    </row>
    <row r="59" spans="2:18" x14ac:dyDescent="0.25">
      <c r="B59" s="35">
        <v>2130</v>
      </c>
      <c r="C59" s="43">
        <v>45</v>
      </c>
      <c r="D59" s="43" t="s">
        <v>18</v>
      </c>
      <c r="E59" s="55" t="str">
        <f t="shared" si="0"/>
        <v>F</v>
      </c>
      <c r="F59" s="55">
        <v>100</v>
      </c>
      <c r="G59" s="55" t="s">
        <v>45</v>
      </c>
      <c r="H59" s="55">
        <v>24.9</v>
      </c>
      <c r="I59" s="55"/>
      <c r="J59" s="55"/>
      <c r="K59" s="46" t="str">
        <f t="shared" ca="1" si="5"/>
        <v/>
      </c>
      <c r="L59" s="56" t="str">
        <f t="shared" ca="1" si="6"/>
        <v/>
      </c>
      <c r="Q59" s="57" t="str">
        <f t="shared" ca="1" si="3"/>
        <v/>
      </c>
      <c r="R59" s="57" t="str">
        <f t="shared" ca="1" si="4"/>
        <v/>
      </c>
    </row>
    <row r="60" spans="2:18" x14ac:dyDescent="0.25">
      <c r="B60" s="35">
        <v>2135</v>
      </c>
      <c r="C60" s="43">
        <v>45</v>
      </c>
      <c r="D60" s="43" t="s">
        <v>18</v>
      </c>
      <c r="E60" s="55" t="str">
        <f t="shared" si="0"/>
        <v>F</v>
      </c>
      <c r="F60" s="55">
        <v>100</v>
      </c>
      <c r="G60" s="55" t="s">
        <v>62</v>
      </c>
      <c r="H60" s="55">
        <v>43.2</v>
      </c>
      <c r="I60" s="55"/>
      <c r="J60" s="55"/>
      <c r="K60" s="46" t="str">
        <f t="shared" ca="1" si="5"/>
        <v/>
      </c>
      <c r="L60" s="56" t="str">
        <f t="shared" ca="1" si="6"/>
        <v/>
      </c>
      <c r="Q60" s="57" t="str">
        <f t="shared" ca="1" si="3"/>
        <v/>
      </c>
      <c r="R60" s="57" t="str">
        <f t="shared" ca="1" si="4"/>
        <v/>
      </c>
    </row>
    <row r="61" spans="2:18" x14ac:dyDescent="0.25">
      <c r="B61" s="35">
        <v>2140</v>
      </c>
      <c r="C61" s="43">
        <v>45</v>
      </c>
      <c r="D61" s="43" t="s">
        <v>18</v>
      </c>
      <c r="E61" s="55" t="str">
        <f t="shared" si="0"/>
        <v>F</v>
      </c>
      <c r="F61" s="55">
        <v>100</v>
      </c>
      <c r="G61" s="55" t="s">
        <v>62</v>
      </c>
      <c r="H61" s="59">
        <v>29</v>
      </c>
      <c r="I61" s="55"/>
      <c r="J61" s="55"/>
      <c r="K61" s="46" t="str">
        <f t="shared" ca="1" si="5"/>
        <v/>
      </c>
      <c r="L61" s="56" t="str">
        <f t="shared" ca="1" si="6"/>
        <v/>
      </c>
      <c r="Q61" s="57" t="str">
        <f t="shared" ca="1" si="3"/>
        <v/>
      </c>
      <c r="R61" s="57" t="str">
        <f t="shared" ca="1" si="4"/>
        <v/>
      </c>
    </row>
    <row r="62" spans="2:18" x14ac:dyDescent="0.25">
      <c r="B62" s="35">
        <v>2145</v>
      </c>
      <c r="C62" s="43">
        <v>40</v>
      </c>
      <c r="D62" s="43" t="s">
        <v>18</v>
      </c>
      <c r="E62" s="55" t="str">
        <f t="shared" si="0"/>
        <v>F</v>
      </c>
      <c r="F62" s="55">
        <v>100</v>
      </c>
      <c r="G62" s="55" t="s">
        <v>45</v>
      </c>
      <c r="H62" s="55">
        <v>39.799999999999997</v>
      </c>
      <c r="I62" s="55"/>
      <c r="J62" s="55"/>
      <c r="K62" s="46" t="str">
        <f t="shared" ca="1" si="5"/>
        <v/>
      </c>
      <c r="L62" s="56" t="str">
        <f t="shared" ca="1" si="6"/>
        <v/>
      </c>
      <c r="Q62" s="57" t="str">
        <f t="shared" ca="1" si="3"/>
        <v/>
      </c>
      <c r="R62" s="57" t="str">
        <f t="shared" ca="1" si="4"/>
        <v/>
      </c>
    </row>
    <row r="63" spans="2:18" x14ac:dyDescent="0.25">
      <c r="B63" s="35">
        <v>2150</v>
      </c>
      <c r="C63" s="43">
        <v>40</v>
      </c>
      <c r="D63" s="43" t="s">
        <v>18</v>
      </c>
      <c r="E63" s="55" t="str">
        <f t="shared" si="0"/>
        <v>F</v>
      </c>
      <c r="F63" s="55">
        <v>100</v>
      </c>
      <c r="G63" s="55" t="s">
        <v>45</v>
      </c>
      <c r="H63" s="55">
        <v>26.9</v>
      </c>
      <c r="I63" s="55"/>
      <c r="J63" s="55"/>
      <c r="K63" s="46" t="str">
        <f t="shared" ca="1" si="5"/>
        <v/>
      </c>
      <c r="L63" s="56" t="str">
        <f t="shared" ca="1" si="6"/>
        <v/>
      </c>
      <c r="Q63" s="57" t="str">
        <f t="shared" ca="1" si="3"/>
        <v/>
      </c>
      <c r="R63" s="57" t="str">
        <f t="shared" ca="1" si="4"/>
        <v/>
      </c>
    </row>
    <row r="64" spans="2:18" x14ac:dyDescent="0.25">
      <c r="B64" s="43">
        <v>2155</v>
      </c>
      <c r="C64" s="43">
        <v>50</v>
      </c>
      <c r="D64" s="43" t="s">
        <v>18</v>
      </c>
      <c r="E64" s="55" t="str">
        <f t="shared" si="0"/>
        <v>F</v>
      </c>
      <c r="F64" s="55">
        <v>100</v>
      </c>
      <c r="G64" s="55" t="s">
        <v>62</v>
      </c>
      <c r="H64" s="55">
        <v>46.5</v>
      </c>
      <c r="I64" s="55"/>
      <c r="J64" s="55"/>
      <c r="K64" s="46" t="str">
        <f t="shared" ca="1" si="5"/>
        <v/>
      </c>
      <c r="L64" s="56" t="str">
        <f t="shared" ca="1" si="6"/>
        <v/>
      </c>
      <c r="Q64" s="57" t="str">
        <f t="shared" ca="1" si="3"/>
        <v/>
      </c>
      <c r="R64" s="57" t="str">
        <f t="shared" ca="1" si="4"/>
        <v/>
      </c>
    </row>
    <row r="65" spans="2:18" x14ac:dyDescent="0.25">
      <c r="B65" s="43">
        <v>2160</v>
      </c>
      <c r="C65" s="43">
        <v>50</v>
      </c>
      <c r="D65" s="43" t="s">
        <v>18</v>
      </c>
      <c r="E65" s="55" t="str">
        <f t="shared" si="0"/>
        <v>F</v>
      </c>
      <c r="F65" s="55">
        <v>100</v>
      </c>
      <c r="G65" s="55" t="s">
        <v>62</v>
      </c>
      <c r="H65" s="55">
        <v>48.4</v>
      </c>
      <c r="I65" s="55"/>
      <c r="J65" s="55"/>
      <c r="K65" s="46" t="str">
        <f t="shared" ca="1" si="5"/>
        <v/>
      </c>
      <c r="L65" s="56" t="str">
        <f t="shared" ca="1" si="6"/>
        <v/>
      </c>
      <c r="Q65" s="57" t="str">
        <f t="shared" ca="1" si="3"/>
        <v/>
      </c>
      <c r="R65" s="57" t="str">
        <f t="shared" ca="1" si="4"/>
        <v/>
      </c>
    </row>
    <row r="66" spans="2:18" x14ac:dyDescent="0.25">
      <c r="B66" s="43">
        <v>2165</v>
      </c>
      <c r="C66" s="43">
        <v>45</v>
      </c>
      <c r="D66" s="43" t="s">
        <v>18</v>
      </c>
      <c r="E66" s="55" t="str">
        <f t="shared" si="0"/>
        <v>F</v>
      </c>
      <c r="F66" s="55">
        <v>100</v>
      </c>
      <c r="G66" s="55" t="s">
        <v>45</v>
      </c>
      <c r="H66" s="55">
        <v>44.9</v>
      </c>
      <c r="I66" s="55"/>
      <c r="J66" s="55"/>
      <c r="K66" s="46" t="str">
        <f t="shared" ca="1" si="5"/>
        <v/>
      </c>
      <c r="L66" s="56" t="str">
        <f t="shared" ca="1" si="6"/>
        <v/>
      </c>
      <c r="Q66" s="57" t="str">
        <f t="shared" ca="1" si="3"/>
        <v/>
      </c>
      <c r="R66" s="57" t="str">
        <f t="shared" ca="1" si="4"/>
        <v/>
      </c>
    </row>
    <row r="67" spans="2:18" x14ac:dyDescent="0.25">
      <c r="B67" s="43">
        <v>2170</v>
      </c>
      <c r="C67" s="43">
        <v>45</v>
      </c>
      <c r="D67" s="43" t="s">
        <v>18</v>
      </c>
      <c r="E67" s="55" t="str">
        <f t="shared" si="0"/>
        <v>F</v>
      </c>
      <c r="F67" s="55">
        <v>100</v>
      </c>
      <c r="G67" s="55" t="s">
        <v>45</v>
      </c>
      <c r="H67" s="55">
        <v>30.7</v>
      </c>
      <c r="I67" s="55"/>
      <c r="J67" s="55"/>
      <c r="K67" s="46" t="str">
        <f t="shared" ca="1" si="5"/>
        <v/>
      </c>
      <c r="L67" s="56" t="str">
        <f t="shared" ca="1" si="6"/>
        <v/>
      </c>
      <c r="Q67" s="57" t="str">
        <f t="shared" ca="1" si="3"/>
        <v/>
      </c>
      <c r="R67" s="57" t="str">
        <f t="shared" ca="1" si="4"/>
        <v/>
      </c>
    </row>
    <row r="68" spans="2:18" x14ac:dyDescent="0.25">
      <c r="B68" s="43">
        <v>2175</v>
      </c>
      <c r="C68" s="43">
        <v>40</v>
      </c>
      <c r="D68" s="43" t="s">
        <v>18</v>
      </c>
      <c r="E68" s="55" t="str">
        <f t="shared" ref="E68:E131" si="7">IF(ISNUMBER(SEARCH("v crs",D68))=TRUE,"VC",IF(ISNUMBER(SEARCH("crs",D68))=TRUE,"C",IF(ISNUMBER(SEARCH("med",D68))=TRUE,"M",IF(ISNUMBER(SEARCH("vf",D68))=TRUE,"VF",IF(ISNUMBER(SEARCH("f",D68))=TRUE,"F","")))))</f>
        <v>F</v>
      </c>
      <c r="F68" s="55">
        <v>100</v>
      </c>
      <c r="G68" s="55" t="s">
        <v>45</v>
      </c>
      <c r="H68" s="55">
        <v>27.3</v>
      </c>
      <c r="I68" s="55"/>
      <c r="J68" s="55"/>
      <c r="K68" s="46" t="str">
        <f t="shared" ca="1" si="5"/>
        <v/>
      </c>
      <c r="L68" s="56" t="str">
        <f t="shared" ca="1" si="6"/>
        <v/>
      </c>
      <c r="Q68" s="57" t="str">
        <f t="shared" ca="1" si="3"/>
        <v/>
      </c>
      <c r="R68" s="57" t="str">
        <f t="shared" ca="1" si="4"/>
        <v/>
      </c>
    </row>
    <row r="69" spans="2:18" x14ac:dyDescent="0.25">
      <c r="B69" s="43">
        <v>2180</v>
      </c>
      <c r="C69" s="43">
        <v>40</v>
      </c>
      <c r="D69" s="43" t="s">
        <v>18</v>
      </c>
      <c r="E69" s="55" t="str">
        <f t="shared" si="7"/>
        <v>F</v>
      </c>
      <c r="F69" s="55">
        <v>100</v>
      </c>
      <c r="G69" s="55" t="s">
        <v>45</v>
      </c>
      <c r="H69" s="55">
        <v>28.8</v>
      </c>
      <c r="I69" s="55"/>
      <c r="J69" s="55"/>
      <c r="K69" s="46" t="str">
        <f t="shared" ca="1" si="5"/>
        <v/>
      </c>
      <c r="L69" s="56" t="str">
        <f t="shared" ca="1" si="6"/>
        <v/>
      </c>
      <c r="Q69" s="57" t="str">
        <f t="shared" ca="1" si="3"/>
        <v/>
      </c>
      <c r="R69" s="57" t="str">
        <f t="shared" ca="1" si="4"/>
        <v/>
      </c>
    </row>
    <row r="70" spans="2:18" x14ac:dyDescent="0.25">
      <c r="B70" s="43">
        <v>2185</v>
      </c>
      <c r="C70" s="43">
        <v>40</v>
      </c>
      <c r="D70" s="43" t="s">
        <v>18</v>
      </c>
      <c r="E70" s="55" t="str">
        <f t="shared" si="7"/>
        <v>F</v>
      </c>
      <c r="F70" s="55">
        <v>100</v>
      </c>
      <c r="G70" s="55" t="s">
        <v>45</v>
      </c>
      <c r="H70" s="55">
        <v>32.299999999999997</v>
      </c>
      <c r="I70" s="55"/>
      <c r="J70" s="55"/>
      <c r="K70" s="46" t="str">
        <f t="shared" ref="K70:K133" ca="1" si="8">IF(AND(C70&lt;&gt;"",C70&lt;&gt;Q70),TODAY(),IF(C70="","",K70))</f>
        <v/>
      </c>
      <c r="L70" s="56" t="str">
        <f t="shared" ref="L70:L133" ca="1" si="9">IF(AND(C70&lt;&gt;"",C70&lt;&gt;R70),NOW(),IF(C70="","",L70))</f>
        <v/>
      </c>
      <c r="Q70" s="57" t="str">
        <f t="shared" ref="Q70:Q133" ca="1" si="10">IF(C70="","",IF(OR(K70="",AND(ISNUMBER(Q70),C70=Q70)),Q70,C70))</f>
        <v/>
      </c>
      <c r="R70" s="57" t="str">
        <f t="shared" ref="R70:R133" ca="1" si="11">IF(C70="","",IF(OR(L70="",AND(ISNUMBER(R70),C70=R70)),R70,C70))</f>
        <v/>
      </c>
    </row>
    <row r="71" spans="2:18" x14ac:dyDescent="0.25">
      <c r="B71" s="43">
        <v>2190</v>
      </c>
      <c r="C71" s="43">
        <v>40</v>
      </c>
      <c r="D71" s="43" t="s">
        <v>18</v>
      </c>
      <c r="E71" s="55" t="str">
        <f t="shared" si="7"/>
        <v>F</v>
      </c>
      <c r="F71" s="55">
        <v>100</v>
      </c>
      <c r="G71" s="55" t="s">
        <v>45</v>
      </c>
      <c r="H71" s="55">
        <v>33.5</v>
      </c>
      <c r="I71" s="55"/>
      <c r="J71" s="55"/>
      <c r="K71" s="46" t="str">
        <f t="shared" ca="1" si="8"/>
        <v/>
      </c>
      <c r="L71" s="56" t="str">
        <f t="shared" ca="1" si="9"/>
        <v/>
      </c>
      <c r="Q71" s="57" t="str">
        <f t="shared" ca="1" si="10"/>
        <v/>
      </c>
      <c r="R71" s="57" t="str">
        <f t="shared" ca="1" si="11"/>
        <v/>
      </c>
    </row>
    <row r="72" spans="2:18" x14ac:dyDescent="0.25">
      <c r="B72" s="43">
        <v>2195</v>
      </c>
      <c r="C72" s="43">
        <v>45</v>
      </c>
      <c r="D72" s="43" t="s">
        <v>18</v>
      </c>
      <c r="E72" s="55" t="str">
        <f t="shared" si="7"/>
        <v>F</v>
      </c>
      <c r="F72" s="55">
        <v>100</v>
      </c>
      <c r="G72" s="55" t="s">
        <v>62</v>
      </c>
      <c r="H72" s="55">
        <v>48.8</v>
      </c>
      <c r="I72" s="55"/>
      <c r="J72" s="55"/>
      <c r="K72" s="46" t="str">
        <f t="shared" ca="1" si="8"/>
        <v/>
      </c>
      <c r="L72" s="56" t="str">
        <f t="shared" ca="1" si="9"/>
        <v/>
      </c>
      <c r="Q72" s="57" t="str">
        <f t="shared" ca="1" si="10"/>
        <v/>
      </c>
      <c r="R72" s="57" t="str">
        <f t="shared" ca="1" si="11"/>
        <v/>
      </c>
    </row>
    <row r="73" spans="2:18" x14ac:dyDescent="0.25">
      <c r="B73" s="43">
        <v>2200</v>
      </c>
      <c r="C73" s="43">
        <v>45</v>
      </c>
      <c r="D73" s="43" t="s">
        <v>18</v>
      </c>
      <c r="E73" s="55" t="str">
        <f t="shared" si="7"/>
        <v>F</v>
      </c>
      <c r="F73" s="55">
        <v>100</v>
      </c>
      <c r="G73" s="55" t="s">
        <v>62</v>
      </c>
      <c r="H73" s="55">
        <v>49.6</v>
      </c>
      <c r="I73" s="55"/>
      <c r="J73" s="55"/>
      <c r="K73" s="46" t="str">
        <f t="shared" ca="1" si="8"/>
        <v/>
      </c>
      <c r="L73" s="56" t="str">
        <f t="shared" ca="1" si="9"/>
        <v/>
      </c>
      <c r="Q73" s="57" t="str">
        <f t="shared" ca="1" si="10"/>
        <v/>
      </c>
      <c r="R73" s="57" t="str">
        <f t="shared" ca="1" si="11"/>
        <v/>
      </c>
    </row>
    <row r="74" spans="2:18" x14ac:dyDescent="0.25">
      <c r="B74" s="43">
        <v>2205</v>
      </c>
      <c r="C74" s="43">
        <v>20</v>
      </c>
      <c r="D74" s="43" t="s">
        <v>18</v>
      </c>
      <c r="E74" s="55" t="str">
        <f t="shared" si="7"/>
        <v>F</v>
      </c>
      <c r="F74" s="55">
        <v>100</v>
      </c>
      <c r="G74" s="55" t="s">
        <v>62</v>
      </c>
      <c r="H74" s="55">
        <v>22.7</v>
      </c>
      <c r="I74" s="55"/>
      <c r="J74" s="55"/>
      <c r="K74" s="46" t="str">
        <f t="shared" ca="1" si="8"/>
        <v/>
      </c>
      <c r="L74" s="56" t="str">
        <f t="shared" ca="1" si="9"/>
        <v/>
      </c>
      <c r="Q74" s="57" t="str">
        <f t="shared" ca="1" si="10"/>
        <v/>
      </c>
      <c r="R74" s="57" t="str">
        <f t="shared" ca="1" si="11"/>
        <v/>
      </c>
    </row>
    <row r="75" spans="2:18" x14ac:dyDescent="0.25">
      <c r="B75" s="43">
        <v>2210</v>
      </c>
      <c r="C75" s="43">
        <v>20</v>
      </c>
      <c r="D75" s="43" t="s">
        <v>18</v>
      </c>
      <c r="E75" s="55" t="str">
        <f t="shared" si="7"/>
        <v>F</v>
      </c>
      <c r="F75" s="55">
        <v>100</v>
      </c>
      <c r="G75" s="55" t="s">
        <v>62</v>
      </c>
      <c r="H75" s="55">
        <v>26.2</v>
      </c>
      <c r="I75" s="55"/>
      <c r="J75" s="55"/>
      <c r="K75" s="46" t="str">
        <f t="shared" ca="1" si="8"/>
        <v/>
      </c>
      <c r="L75" s="56" t="str">
        <f t="shared" ca="1" si="9"/>
        <v/>
      </c>
      <c r="Q75" s="57" t="str">
        <f t="shared" ca="1" si="10"/>
        <v/>
      </c>
      <c r="R75" s="57" t="str">
        <f t="shared" ca="1" si="11"/>
        <v/>
      </c>
    </row>
    <row r="76" spans="2:18" x14ac:dyDescent="0.25">
      <c r="B76" s="43">
        <v>2215</v>
      </c>
      <c r="C76" s="43">
        <v>25</v>
      </c>
      <c r="D76" s="43" t="s">
        <v>18</v>
      </c>
      <c r="E76" s="55" t="str">
        <f t="shared" si="7"/>
        <v>F</v>
      </c>
      <c r="F76" s="55">
        <v>100</v>
      </c>
      <c r="G76" s="55" t="s">
        <v>62</v>
      </c>
      <c r="H76" s="55">
        <v>34.299999999999997</v>
      </c>
      <c r="I76" s="55"/>
      <c r="J76" s="55"/>
      <c r="K76" s="46" t="str">
        <f t="shared" ca="1" si="8"/>
        <v/>
      </c>
      <c r="L76" s="56" t="str">
        <f t="shared" ca="1" si="9"/>
        <v/>
      </c>
      <c r="Q76" s="57" t="str">
        <f t="shared" ca="1" si="10"/>
        <v/>
      </c>
      <c r="R76" s="57" t="str">
        <f t="shared" ca="1" si="11"/>
        <v/>
      </c>
    </row>
    <row r="77" spans="2:18" x14ac:dyDescent="0.25">
      <c r="B77" s="43">
        <v>2220</v>
      </c>
      <c r="C77" s="43">
        <v>25</v>
      </c>
      <c r="D77" s="43" t="s">
        <v>18</v>
      </c>
      <c r="E77" s="55" t="str">
        <f t="shared" si="7"/>
        <v>F</v>
      </c>
      <c r="F77" s="55">
        <v>100</v>
      </c>
      <c r="G77" s="55" t="s">
        <v>62</v>
      </c>
      <c r="H77" s="59">
        <v>43</v>
      </c>
      <c r="I77" s="55"/>
      <c r="J77" s="55"/>
      <c r="K77" s="46" t="str">
        <f t="shared" ca="1" si="8"/>
        <v/>
      </c>
      <c r="L77" s="56" t="str">
        <f t="shared" ca="1" si="9"/>
        <v/>
      </c>
      <c r="Q77" s="57" t="str">
        <f t="shared" ca="1" si="10"/>
        <v/>
      </c>
      <c r="R77" s="57" t="str">
        <f t="shared" ca="1" si="11"/>
        <v/>
      </c>
    </row>
    <row r="78" spans="2:18" x14ac:dyDescent="0.25">
      <c r="B78" s="43">
        <v>2225</v>
      </c>
      <c r="C78" s="43">
        <v>35</v>
      </c>
      <c r="D78" s="43" t="s">
        <v>18</v>
      </c>
      <c r="E78" s="55" t="str">
        <f t="shared" si="7"/>
        <v>F</v>
      </c>
      <c r="F78" s="55">
        <v>100</v>
      </c>
      <c r="G78" s="55" t="s">
        <v>62</v>
      </c>
      <c r="H78" s="55">
        <v>45.7</v>
      </c>
      <c r="I78" s="55"/>
      <c r="J78" s="55"/>
      <c r="K78" s="46" t="str">
        <f t="shared" ca="1" si="8"/>
        <v/>
      </c>
      <c r="L78" s="56" t="str">
        <f t="shared" ca="1" si="9"/>
        <v/>
      </c>
      <c r="Q78" s="57" t="str">
        <f t="shared" ca="1" si="10"/>
        <v/>
      </c>
      <c r="R78" s="57" t="str">
        <f t="shared" ca="1" si="11"/>
        <v/>
      </c>
    </row>
    <row r="79" spans="2:18" x14ac:dyDescent="0.25">
      <c r="B79" s="43">
        <v>2230</v>
      </c>
      <c r="C79" s="43">
        <v>35</v>
      </c>
      <c r="D79" s="43" t="s">
        <v>18</v>
      </c>
      <c r="E79" s="55" t="str">
        <f t="shared" si="7"/>
        <v>F</v>
      </c>
      <c r="F79" s="55">
        <v>100</v>
      </c>
      <c r="G79" s="55" t="s">
        <v>62</v>
      </c>
      <c r="H79" s="55">
        <v>41.5</v>
      </c>
      <c r="I79" s="55" t="s">
        <v>27</v>
      </c>
      <c r="J79" s="55"/>
      <c r="K79" s="46" t="str">
        <f t="shared" ca="1" si="8"/>
        <v/>
      </c>
      <c r="L79" s="56" t="str">
        <f t="shared" ca="1" si="9"/>
        <v/>
      </c>
      <c r="Q79" s="57" t="str">
        <f t="shared" ca="1" si="10"/>
        <v/>
      </c>
      <c r="R79" s="57" t="str">
        <f t="shared" ca="1" si="11"/>
        <v/>
      </c>
    </row>
    <row r="80" spans="2:18" x14ac:dyDescent="0.25">
      <c r="B80" s="43">
        <v>2235</v>
      </c>
      <c r="C80" s="43">
        <v>35</v>
      </c>
      <c r="D80" s="43" t="s">
        <v>18</v>
      </c>
      <c r="E80" s="55" t="str">
        <f t="shared" si="7"/>
        <v>F</v>
      </c>
      <c r="F80" s="55">
        <v>100</v>
      </c>
      <c r="G80" s="55" t="s">
        <v>62</v>
      </c>
      <c r="H80" s="55">
        <v>42.7</v>
      </c>
      <c r="I80" s="55"/>
      <c r="J80" s="55"/>
      <c r="K80" s="46" t="str">
        <f t="shared" ca="1" si="8"/>
        <v/>
      </c>
      <c r="L80" s="56" t="str">
        <f t="shared" ca="1" si="9"/>
        <v/>
      </c>
      <c r="Q80" s="57" t="str">
        <f t="shared" ca="1" si="10"/>
        <v/>
      </c>
      <c r="R80" s="57" t="str">
        <f t="shared" ca="1" si="11"/>
        <v/>
      </c>
    </row>
    <row r="81" spans="2:18" x14ac:dyDescent="0.25">
      <c r="B81" s="43">
        <v>2240</v>
      </c>
      <c r="C81" s="43">
        <v>35</v>
      </c>
      <c r="D81" s="43" t="s">
        <v>18</v>
      </c>
      <c r="E81" s="55" t="str">
        <f t="shared" si="7"/>
        <v>F</v>
      </c>
      <c r="F81" s="55">
        <v>100</v>
      </c>
      <c r="G81" s="55" t="s">
        <v>62</v>
      </c>
      <c r="H81" s="55">
        <v>36.200000000000003</v>
      </c>
      <c r="I81" s="55" t="s">
        <v>27</v>
      </c>
      <c r="J81" s="55"/>
      <c r="K81" s="46" t="str">
        <f t="shared" ca="1" si="8"/>
        <v/>
      </c>
      <c r="L81" s="56" t="str">
        <f t="shared" ca="1" si="9"/>
        <v/>
      </c>
      <c r="Q81" s="57" t="str">
        <f t="shared" ca="1" si="10"/>
        <v/>
      </c>
      <c r="R81" s="57" t="str">
        <f t="shared" ca="1" si="11"/>
        <v/>
      </c>
    </row>
    <row r="82" spans="2:18" x14ac:dyDescent="0.25">
      <c r="B82" s="43">
        <v>2245</v>
      </c>
      <c r="C82" s="43">
        <v>35</v>
      </c>
      <c r="D82" s="43" t="s">
        <v>18</v>
      </c>
      <c r="E82" s="55" t="str">
        <f t="shared" si="7"/>
        <v>F</v>
      </c>
      <c r="F82" s="55">
        <v>100</v>
      </c>
      <c r="G82" s="55" t="s">
        <v>45</v>
      </c>
      <c r="H82" s="55">
        <v>29.4</v>
      </c>
      <c r="I82" s="55"/>
      <c r="J82" s="55"/>
      <c r="K82" s="46" t="str">
        <f t="shared" ca="1" si="8"/>
        <v/>
      </c>
      <c r="L82" s="56" t="str">
        <f t="shared" ca="1" si="9"/>
        <v/>
      </c>
      <c r="Q82" s="57" t="str">
        <f t="shared" ca="1" si="10"/>
        <v/>
      </c>
      <c r="R82" s="57" t="str">
        <f t="shared" ca="1" si="11"/>
        <v/>
      </c>
    </row>
    <row r="83" spans="2:18" x14ac:dyDescent="0.25">
      <c r="B83" s="43">
        <v>2250</v>
      </c>
      <c r="C83" s="43">
        <v>35</v>
      </c>
      <c r="D83" s="43" t="s">
        <v>18</v>
      </c>
      <c r="E83" s="55" t="str">
        <f t="shared" si="7"/>
        <v>F</v>
      </c>
      <c r="F83" s="55">
        <v>100</v>
      </c>
      <c r="G83" s="55" t="s">
        <v>45</v>
      </c>
      <c r="H83" s="55">
        <v>42.7</v>
      </c>
      <c r="I83" s="55"/>
      <c r="J83" s="55"/>
      <c r="K83" s="46" t="str">
        <f t="shared" ca="1" si="8"/>
        <v/>
      </c>
      <c r="L83" s="56" t="str">
        <f t="shared" ca="1" si="9"/>
        <v/>
      </c>
      <c r="Q83" s="57" t="str">
        <f t="shared" ca="1" si="10"/>
        <v/>
      </c>
      <c r="R83" s="57" t="str">
        <f t="shared" ca="1" si="11"/>
        <v/>
      </c>
    </row>
    <row r="84" spans="2:18" x14ac:dyDescent="0.25">
      <c r="B84" s="43">
        <v>2255</v>
      </c>
      <c r="C84" s="43">
        <v>35</v>
      </c>
      <c r="D84" s="43" t="s">
        <v>18</v>
      </c>
      <c r="E84" s="55" t="str">
        <f t="shared" si="7"/>
        <v>F</v>
      </c>
      <c r="F84" s="55">
        <v>100</v>
      </c>
      <c r="G84" s="55" t="s">
        <v>45</v>
      </c>
      <c r="H84" s="55">
        <v>45.8</v>
      </c>
      <c r="I84" s="55"/>
      <c r="J84" s="55"/>
      <c r="K84" s="46" t="str">
        <f t="shared" ca="1" si="8"/>
        <v/>
      </c>
      <c r="L84" s="56" t="str">
        <f t="shared" ca="1" si="9"/>
        <v/>
      </c>
      <c r="Q84" s="57" t="str">
        <f t="shared" ca="1" si="10"/>
        <v/>
      </c>
      <c r="R84" s="57" t="str">
        <f t="shared" ca="1" si="11"/>
        <v/>
      </c>
    </row>
    <row r="85" spans="2:18" x14ac:dyDescent="0.25">
      <c r="B85" s="43">
        <v>2260</v>
      </c>
      <c r="C85" s="43">
        <v>35</v>
      </c>
      <c r="D85" s="43" t="s">
        <v>18</v>
      </c>
      <c r="E85" s="55" t="str">
        <f t="shared" si="7"/>
        <v>F</v>
      </c>
      <c r="F85" s="55">
        <v>100</v>
      </c>
      <c r="G85" s="55" t="s">
        <v>45</v>
      </c>
      <c r="H85" s="55">
        <v>110.5</v>
      </c>
      <c r="I85" s="55" t="s">
        <v>37</v>
      </c>
      <c r="J85" s="55"/>
      <c r="K85" s="46" t="str">
        <f t="shared" ca="1" si="8"/>
        <v/>
      </c>
      <c r="L85" s="56" t="str">
        <f t="shared" ca="1" si="9"/>
        <v/>
      </c>
      <c r="Q85" s="57" t="str">
        <f t="shared" ca="1" si="10"/>
        <v/>
      </c>
      <c r="R85" s="57" t="str">
        <f t="shared" ca="1" si="11"/>
        <v/>
      </c>
    </row>
    <row r="86" spans="2:18" x14ac:dyDescent="0.25">
      <c r="B86" s="43">
        <v>2265</v>
      </c>
      <c r="C86" s="43">
        <v>50</v>
      </c>
      <c r="D86" s="43" t="s">
        <v>18</v>
      </c>
      <c r="E86" s="55" t="str">
        <f t="shared" si="7"/>
        <v>F</v>
      </c>
      <c r="F86" s="55">
        <v>100</v>
      </c>
      <c r="G86" s="55" t="s">
        <v>46</v>
      </c>
      <c r="H86" s="55">
        <v>73.2</v>
      </c>
      <c r="I86" s="55"/>
      <c r="J86" s="55"/>
      <c r="K86" s="46" t="str">
        <f t="shared" ca="1" si="8"/>
        <v/>
      </c>
      <c r="L86" s="56" t="str">
        <f t="shared" ca="1" si="9"/>
        <v/>
      </c>
      <c r="Q86" s="57" t="str">
        <f t="shared" ca="1" si="10"/>
        <v/>
      </c>
      <c r="R86" s="57" t="str">
        <f t="shared" ca="1" si="11"/>
        <v/>
      </c>
    </row>
    <row r="87" spans="2:18" x14ac:dyDescent="0.25">
      <c r="B87" s="43">
        <v>2270</v>
      </c>
      <c r="C87" s="43">
        <v>50</v>
      </c>
      <c r="D87" s="43" t="s">
        <v>18</v>
      </c>
      <c r="E87" s="55" t="str">
        <f t="shared" si="7"/>
        <v>F</v>
      </c>
      <c r="F87" s="55">
        <v>100</v>
      </c>
      <c r="G87" s="55" t="s">
        <v>46</v>
      </c>
      <c r="H87" s="55">
        <v>109.3</v>
      </c>
      <c r="I87" s="55"/>
      <c r="J87" s="55"/>
      <c r="K87" s="46" t="str">
        <f t="shared" ca="1" si="8"/>
        <v/>
      </c>
      <c r="L87" s="56" t="str">
        <f t="shared" ca="1" si="9"/>
        <v/>
      </c>
      <c r="Q87" s="57" t="str">
        <f t="shared" ca="1" si="10"/>
        <v/>
      </c>
      <c r="R87" s="57" t="str">
        <f t="shared" ca="1" si="11"/>
        <v/>
      </c>
    </row>
    <row r="88" spans="2:18" x14ac:dyDescent="0.25">
      <c r="B88" s="43">
        <v>2275</v>
      </c>
      <c r="C88" s="43">
        <v>50</v>
      </c>
      <c r="D88" s="43" t="s">
        <v>18</v>
      </c>
      <c r="E88" s="55" t="str">
        <f t="shared" si="7"/>
        <v>F</v>
      </c>
      <c r="F88" s="55">
        <v>100</v>
      </c>
      <c r="G88" s="55" t="s">
        <v>46</v>
      </c>
      <c r="H88" s="55">
        <v>79.400000000000006</v>
      </c>
      <c r="I88" s="55"/>
      <c r="J88" s="55"/>
      <c r="K88" s="46" t="str">
        <f t="shared" ca="1" si="8"/>
        <v/>
      </c>
      <c r="L88" s="56" t="str">
        <f t="shared" ca="1" si="9"/>
        <v/>
      </c>
      <c r="Q88" s="57" t="str">
        <f t="shared" ca="1" si="10"/>
        <v/>
      </c>
      <c r="R88" s="57" t="str">
        <f t="shared" ca="1" si="11"/>
        <v/>
      </c>
    </row>
    <row r="89" spans="2:18" x14ac:dyDescent="0.25">
      <c r="B89" s="43">
        <v>2280</v>
      </c>
      <c r="C89" s="43">
        <v>50</v>
      </c>
      <c r="D89" s="43" t="s">
        <v>18</v>
      </c>
      <c r="E89" s="55" t="str">
        <f t="shared" si="7"/>
        <v>F</v>
      </c>
      <c r="F89" s="55">
        <v>100</v>
      </c>
      <c r="G89" s="55" t="s">
        <v>46</v>
      </c>
      <c r="H89" s="55">
        <v>65.3</v>
      </c>
      <c r="I89" s="55" t="s">
        <v>27</v>
      </c>
      <c r="J89" s="55"/>
      <c r="K89" s="46" t="str">
        <f t="shared" ca="1" si="8"/>
        <v/>
      </c>
      <c r="L89" s="56" t="str">
        <f t="shared" ca="1" si="9"/>
        <v/>
      </c>
      <c r="Q89" s="57" t="str">
        <f t="shared" ca="1" si="10"/>
        <v/>
      </c>
      <c r="R89" s="57" t="str">
        <f t="shared" ca="1" si="11"/>
        <v/>
      </c>
    </row>
    <row r="90" spans="2:18" x14ac:dyDescent="0.25">
      <c r="B90" s="43">
        <v>2285</v>
      </c>
      <c r="C90" s="43">
        <v>60</v>
      </c>
      <c r="D90" s="43" t="s">
        <v>18</v>
      </c>
      <c r="E90" s="55" t="str">
        <f t="shared" si="7"/>
        <v>F</v>
      </c>
      <c r="F90" s="55">
        <v>100</v>
      </c>
      <c r="G90" s="55" t="s">
        <v>62</v>
      </c>
      <c r="H90" s="55">
        <v>70.3</v>
      </c>
      <c r="I90" s="55"/>
      <c r="J90" s="55"/>
      <c r="K90" s="46" t="str">
        <f t="shared" ca="1" si="8"/>
        <v/>
      </c>
      <c r="L90" s="56" t="str">
        <f t="shared" ca="1" si="9"/>
        <v/>
      </c>
      <c r="Q90" s="57" t="str">
        <f t="shared" ca="1" si="10"/>
        <v/>
      </c>
      <c r="R90" s="57" t="str">
        <f t="shared" ca="1" si="11"/>
        <v/>
      </c>
    </row>
    <row r="91" spans="2:18" x14ac:dyDescent="0.25">
      <c r="B91" s="43">
        <v>2290</v>
      </c>
      <c r="C91" s="43">
        <v>60</v>
      </c>
      <c r="D91" s="43" t="s">
        <v>18</v>
      </c>
      <c r="E91" s="55" t="str">
        <f t="shared" si="7"/>
        <v>F</v>
      </c>
      <c r="F91" s="55">
        <v>100</v>
      </c>
      <c r="G91" s="55" t="s">
        <v>62</v>
      </c>
      <c r="H91" s="55">
        <v>122.8</v>
      </c>
      <c r="I91" s="55"/>
      <c r="J91" s="55" t="s">
        <v>52</v>
      </c>
      <c r="K91" s="46" t="str">
        <f t="shared" ca="1" si="8"/>
        <v/>
      </c>
      <c r="L91" s="56" t="str">
        <f t="shared" ca="1" si="9"/>
        <v/>
      </c>
      <c r="Q91" s="57" t="str">
        <f t="shared" ca="1" si="10"/>
        <v/>
      </c>
      <c r="R91" s="57" t="str">
        <f t="shared" ca="1" si="11"/>
        <v/>
      </c>
    </row>
    <row r="92" spans="2:18" x14ac:dyDescent="0.25">
      <c r="B92" s="43">
        <v>2295</v>
      </c>
      <c r="C92" s="43">
        <v>60</v>
      </c>
      <c r="D92" s="43" t="s">
        <v>18</v>
      </c>
      <c r="E92" s="55" t="str">
        <f t="shared" si="7"/>
        <v>F</v>
      </c>
      <c r="F92" s="55">
        <v>100</v>
      </c>
      <c r="G92" s="55" t="s">
        <v>46</v>
      </c>
      <c r="H92" s="55">
        <v>110.7</v>
      </c>
      <c r="I92" s="55"/>
      <c r="J92" s="55"/>
      <c r="K92" s="46" t="str">
        <f t="shared" ca="1" si="8"/>
        <v/>
      </c>
      <c r="L92" s="56" t="str">
        <f t="shared" ca="1" si="9"/>
        <v/>
      </c>
      <c r="Q92" s="57" t="str">
        <f t="shared" ca="1" si="10"/>
        <v/>
      </c>
      <c r="R92" s="57" t="str">
        <f t="shared" ca="1" si="11"/>
        <v/>
      </c>
    </row>
    <row r="93" spans="2:18" x14ac:dyDescent="0.25">
      <c r="B93" s="43">
        <v>2300</v>
      </c>
      <c r="C93" s="43">
        <v>60</v>
      </c>
      <c r="D93" s="43" t="s">
        <v>18</v>
      </c>
      <c r="E93" s="55" t="str">
        <f t="shared" si="7"/>
        <v>F</v>
      </c>
      <c r="F93" s="55">
        <v>100</v>
      </c>
      <c r="G93" s="55" t="s">
        <v>46</v>
      </c>
      <c r="H93" s="55">
        <v>133.69999999999999</v>
      </c>
      <c r="I93" s="55"/>
      <c r="J93" s="55"/>
      <c r="K93" s="46" t="str">
        <f t="shared" ca="1" si="8"/>
        <v/>
      </c>
      <c r="L93" s="56" t="str">
        <f t="shared" ca="1" si="9"/>
        <v/>
      </c>
      <c r="Q93" s="57" t="str">
        <f t="shared" ca="1" si="10"/>
        <v/>
      </c>
      <c r="R93" s="57" t="str">
        <f t="shared" ca="1" si="11"/>
        <v/>
      </c>
    </row>
    <row r="94" spans="2:18" x14ac:dyDescent="0.25">
      <c r="B94" s="43">
        <v>2305</v>
      </c>
      <c r="C94" s="43">
        <v>65</v>
      </c>
      <c r="D94" s="43" t="s">
        <v>18</v>
      </c>
      <c r="E94" s="55" t="str">
        <f t="shared" si="7"/>
        <v>F</v>
      </c>
      <c r="F94" s="55">
        <v>100</v>
      </c>
      <c r="G94" s="55" t="s">
        <v>46</v>
      </c>
      <c r="H94" s="55">
        <v>102.7</v>
      </c>
      <c r="I94" s="55"/>
      <c r="J94" s="55"/>
      <c r="K94" s="46" t="str">
        <f t="shared" ca="1" si="8"/>
        <v/>
      </c>
      <c r="L94" s="56" t="str">
        <f t="shared" ca="1" si="9"/>
        <v/>
      </c>
      <c r="Q94" s="57" t="str">
        <f t="shared" ca="1" si="10"/>
        <v/>
      </c>
      <c r="R94" s="57" t="str">
        <f t="shared" ca="1" si="11"/>
        <v/>
      </c>
    </row>
    <row r="95" spans="2:18" x14ac:dyDescent="0.25">
      <c r="B95" s="43">
        <v>2310</v>
      </c>
      <c r="C95" s="43">
        <v>65</v>
      </c>
      <c r="D95" s="43" t="s">
        <v>18</v>
      </c>
      <c r="E95" s="55" t="str">
        <f t="shared" si="7"/>
        <v>F</v>
      </c>
      <c r="F95" s="55">
        <v>100</v>
      </c>
      <c r="G95" s="55" t="s">
        <v>46</v>
      </c>
      <c r="H95" s="55">
        <v>92.8</v>
      </c>
      <c r="I95" s="55"/>
      <c r="J95" s="55" t="s">
        <v>52</v>
      </c>
      <c r="K95" s="46" t="str">
        <f t="shared" ca="1" si="8"/>
        <v/>
      </c>
      <c r="L95" s="56" t="str">
        <f t="shared" ca="1" si="9"/>
        <v/>
      </c>
      <c r="Q95" s="57" t="str">
        <f t="shared" ca="1" si="10"/>
        <v/>
      </c>
      <c r="R95" s="57" t="str">
        <f t="shared" ca="1" si="11"/>
        <v/>
      </c>
    </row>
    <row r="96" spans="2:18" x14ac:dyDescent="0.25">
      <c r="B96" s="43">
        <v>2315</v>
      </c>
      <c r="C96" s="43">
        <v>70</v>
      </c>
      <c r="D96" s="43" t="s">
        <v>18</v>
      </c>
      <c r="E96" s="55" t="str">
        <f t="shared" si="7"/>
        <v>F</v>
      </c>
      <c r="F96" s="55">
        <v>100</v>
      </c>
      <c r="G96" s="55" t="s">
        <v>46</v>
      </c>
      <c r="H96" s="55">
        <v>90.3</v>
      </c>
      <c r="I96" s="55"/>
      <c r="J96" s="55"/>
      <c r="K96" s="46" t="str">
        <f t="shared" ca="1" si="8"/>
        <v/>
      </c>
      <c r="L96" s="56" t="str">
        <f t="shared" ca="1" si="9"/>
        <v/>
      </c>
      <c r="Q96" s="57" t="str">
        <f t="shared" ca="1" si="10"/>
        <v/>
      </c>
      <c r="R96" s="57" t="str">
        <f t="shared" ca="1" si="11"/>
        <v/>
      </c>
    </row>
    <row r="97" spans="2:18" x14ac:dyDescent="0.25">
      <c r="B97" s="43">
        <v>2320</v>
      </c>
      <c r="C97" s="43">
        <v>70</v>
      </c>
      <c r="D97" s="43" t="s">
        <v>18</v>
      </c>
      <c r="E97" s="55" t="str">
        <f t="shared" si="7"/>
        <v>F</v>
      </c>
      <c r="F97" s="55">
        <v>100</v>
      </c>
      <c r="G97" s="55" t="s">
        <v>46</v>
      </c>
      <c r="H97" s="55">
        <v>123.9</v>
      </c>
      <c r="I97" s="55"/>
      <c r="J97" s="55"/>
      <c r="K97" s="46" t="str">
        <f t="shared" ca="1" si="8"/>
        <v/>
      </c>
      <c r="L97" s="56" t="str">
        <f t="shared" ca="1" si="9"/>
        <v/>
      </c>
      <c r="Q97" s="57" t="str">
        <f t="shared" ca="1" si="10"/>
        <v/>
      </c>
      <c r="R97" s="57" t="str">
        <f t="shared" ca="1" si="11"/>
        <v/>
      </c>
    </row>
    <row r="98" spans="2:18" x14ac:dyDescent="0.25">
      <c r="B98" s="43">
        <v>2325</v>
      </c>
      <c r="C98" s="43">
        <v>95</v>
      </c>
      <c r="D98" s="43" t="s">
        <v>18</v>
      </c>
      <c r="E98" s="55" t="str">
        <f t="shared" si="7"/>
        <v>F</v>
      </c>
      <c r="F98" s="55">
        <v>100</v>
      </c>
      <c r="G98" s="55" t="s">
        <v>45</v>
      </c>
      <c r="H98" s="55">
        <v>63.8</v>
      </c>
      <c r="I98" s="55"/>
      <c r="J98" s="55"/>
      <c r="K98" s="46" t="str">
        <f t="shared" ca="1" si="8"/>
        <v/>
      </c>
      <c r="L98" s="56" t="str">
        <f t="shared" ca="1" si="9"/>
        <v/>
      </c>
      <c r="Q98" s="57" t="str">
        <f t="shared" ca="1" si="10"/>
        <v/>
      </c>
      <c r="R98" s="57" t="str">
        <f t="shared" ca="1" si="11"/>
        <v/>
      </c>
    </row>
    <row r="99" spans="2:18" x14ac:dyDescent="0.25">
      <c r="B99" s="43">
        <v>2330</v>
      </c>
      <c r="C99" s="43">
        <v>95</v>
      </c>
      <c r="D99" s="43" t="s">
        <v>18</v>
      </c>
      <c r="E99" s="55" t="str">
        <f t="shared" si="7"/>
        <v>F</v>
      </c>
      <c r="F99" s="55">
        <v>100</v>
      </c>
      <c r="G99" s="55" t="s">
        <v>45</v>
      </c>
      <c r="H99" s="59">
        <v>160</v>
      </c>
      <c r="I99" s="55"/>
      <c r="J99" s="55"/>
      <c r="K99" s="46" t="str">
        <f t="shared" ca="1" si="8"/>
        <v/>
      </c>
      <c r="L99" s="56" t="str">
        <f t="shared" ca="1" si="9"/>
        <v/>
      </c>
      <c r="Q99" s="57" t="str">
        <f t="shared" ca="1" si="10"/>
        <v/>
      </c>
      <c r="R99" s="57" t="str">
        <f t="shared" ca="1" si="11"/>
        <v/>
      </c>
    </row>
    <row r="100" spans="2:18" x14ac:dyDescent="0.25">
      <c r="B100" s="43">
        <v>2335</v>
      </c>
      <c r="C100" s="43">
        <v>100</v>
      </c>
      <c r="D100" s="43" t="s">
        <v>18</v>
      </c>
      <c r="E100" s="55" t="str">
        <f t="shared" si="7"/>
        <v>F</v>
      </c>
      <c r="F100" s="55">
        <v>100</v>
      </c>
      <c r="G100" s="55" t="s">
        <v>45</v>
      </c>
      <c r="H100" s="59">
        <v>158</v>
      </c>
      <c r="I100" s="55"/>
      <c r="J100" s="55"/>
      <c r="K100" s="46" t="str">
        <f t="shared" ca="1" si="8"/>
        <v/>
      </c>
      <c r="L100" s="56" t="str">
        <f t="shared" ca="1" si="9"/>
        <v/>
      </c>
      <c r="Q100" s="57" t="str">
        <f t="shared" ca="1" si="10"/>
        <v/>
      </c>
      <c r="R100" s="57" t="str">
        <f t="shared" ca="1" si="11"/>
        <v/>
      </c>
    </row>
    <row r="101" spans="2:18" x14ac:dyDescent="0.25">
      <c r="B101" s="43">
        <v>2340</v>
      </c>
      <c r="C101" s="43">
        <v>100</v>
      </c>
      <c r="D101" s="43" t="s">
        <v>18</v>
      </c>
      <c r="E101" s="55" t="str">
        <f t="shared" si="7"/>
        <v>F</v>
      </c>
      <c r="F101" s="55">
        <v>100</v>
      </c>
      <c r="G101" s="55" t="s">
        <v>45</v>
      </c>
      <c r="H101" s="59">
        <v>159</v>
      </c>
      <c r="I101" s="55"/>
      <c r="J101" s="55"/>
      <c r="K101" s="46" t="str">
        <f t="shared" ca="1" si="8"/>
        <v/>
      </c>
      <c r="L101" s="56" t="str">
        <f t="shared" ca="1" si="9"/>
        <v/>
      </c>
      <c r="Q101" s="57" t="str">
        <f t="shared" ca="1" si="10"/>
        <v/>
      </c>
      <c r="R101" s="57" t="str">
        <f t="shared" ca="1" si="11"/>
        <v/>
      </c>
    </row>
    <row r="102" spans="2:18" x14ac:dyDescent="0.25">
      <c r="B102" s="43">
        <v>2345</v>
      </c>
      <c r="C102" s="43">
        <v>95</v>
      </c>
      <c r="D102" s="43" t="s">
        <v>63</v>
      </c>
      <c r="E102" s="55" t="str">
        <f t="shared" si="7"/>
        <v>C</v>
      </c>
      <c r="F102" s="55">
        <v>100</v>
      </c>
      <c r="G102" s="55" t="s">
        <v>45</v>
      </c>
      <c r="H102" s="55">
        <v>161.80000000000001</v>
      </c>
      <c r="I102" s="55"/>
      <c r="J102" s="55"/>
      <c r="K102" s="46" t="str">
        <f t="shared" ca="1" si="8"/>
        <v/>
      </c>
      <c r="L102" s="56" t="str">
        <f t="shared" ca="1" si="9"/>
        <v/>
      </c>
      <c r="Q102" s="57" t="str">
        <f t="shared" ca="1" si="10"/>
        <v/>
      </c>
      <c r="R102" s="57" t="str">
        <f t="shared" ca="1" si="11"/>
        <v/>
      </c>
    </row>
    <row r="103" spans="2:18" x14ac:dyDescent="0.25">
      <c r="B103" s="43">
        <v>2350</v>
      </c>
      <c r="C103" s="43">
        <v>95</v>
      </c>
      <c r="D103" s="43" t="s">
        <v>63</v>
      </c>
      <c r="E103" s="55" t="str">
        <f t="shared" si="7"/>
        <v>C</v>
      </c>
      <c r="F103" s="55">
        <v>100</v>
      </c>
      <c r="G103" s="55" t="s">
        <v>45</v>
      </c>
      <c r="H103" s="55">
        <v>156.1</v>
      </c>
      <c r="I103" s="55"/>
      <c r="J103" s="55"/>
      <c r="K103" s="46" t="str">
        <f t="shared" ca="1" si="8"/>
        <v/>
      </c>
      <c r="L103" s="56" t="str">
        <f t="shared" ca="1" si="9"/>
        <v/>
      </c>
      <c r="Q103" s="57" t="str">
        <f t="shared" ca="1" si="10"/>
        <v/>
      </c>
      <c r="R103" s="57" t="str">
        <f t="shared" ca="1" si="11"/>
        <v/>
      </c>
    </row>
    <row r="104" spans="2:18" x14ac:dyDescent="0.25">
      <c r="B104" s="43">
        <v>2355</v>
      </c>
      <c r="C104" s="43">
        <v>100</v>
      </c>
      <c r="D104" s="43" t="s">
        <v>64</v>
      </c>
      <c r="E104" s="55" t="str">
        <f t="shared" si="7"/>
        <v>M</v>
      </c>
      <c r="F104" s="55">
        <v>100</v>
      </c>
      <c r="G104" s="55" t="s">
        <v>45</v>
      </c>
      <c r="H104" s="55">
        <v>128.80000000000001</v>
      </c>
      <c r="I104" s="55"/>
      <c r="J104" s="55"/>
      <c r="K104" s="46" t="str">
        <f t="shared" ca="1" si="8"/>
        <v/>
      </c>
      <c r="L104" s="56" t="str">
        <f t="shared" ca="1" si="9"/>
        <v/>
      </c>
      <c r="Q104" s="57" t="str">
        <f t="shared" ca="1" si="10"/>
        <v/>
      </c>
      <c r="R104" s="57" t="str">
        <f t="shared" ca="1" si="11"/>
        <v/>
      </c>
    </row>
    <row r="105" spans="2:18" x14ac:dyDescent="0.25">
      <c r="B105" s="43">
        <v>2360</v>
      </c>
      <c r="C105" s="43">
        <v>100</v>
      </c>
      <c r="D105" s="43" t="s">
        <v>64</v>
      </c>
      <c r="E105" s="55" t="str">
        <f t="shared" si="7"/>
        <v>M</v>
      </c>
      <c r="F105" s="55">
        <v>100</v>
      </c>
      <c r="G105" s="55" t="s">
        <v>45</v>
      </c>
      <c r="H105" s="55">
        <v>109.8</v>
      </c>
      <c r="I105" s="55"/>
      <c r="J105" s="55"/>
      <c r="K105" s="46" t="str">
        <f t="shared" ca="1" si="8"/>
        <v/>
      </c>
      <c r="L105" s="56" t="str">
        <f t="shared" ca="1" si="9"/>
        <v/>
      </c>
      <c r="Q105" s="57" t="str">
        <f t="shared" ca="1" si="10"/>
        <v/>
      </c>
      <c r="R105" s="57" t="str">
        <f t="shared" ca="1" si="11"/>
        <v/>
      </c>
    </row>
    <row r="106" spans="2:18" x14ac:dyDescent="0.25">
      <c r="B106" s="43">
        <v>2365</v>
      </c>
      <c r="C106" s="43">
        <v>95</v>
      </c>
      <c r="D106" s="43" t="s">
        <v>64</v>
      </c>
      <c r="E106" s="55" t="str">
        <f t="shared" si="7"/>
        <v>M</v>
      </c>
      <c r="F106" s="55">
        <v>100</v>
      </c>
      <c r="G106" s="55" t="s">
        <v>45</v>
      </c>
      <c r="H106" s="55">
        <v>109.6</v>
      </c>
      <c r="I106" s="55"/>
      <c r="J106" s="55"/>
      <c r="K106" s="46" t="str">
        <f t="shared" ca="1" si="8"/>
        <v/>
      </c>
      <c r="L106" s="56" t="str">
        <f t="shared" ca="1" si="9"/>
        <v/>
      </c>
      <c r="Q106" s="57" t="str">
        <f t="shared" ca="1" si="10"/>
        <v/>
      </c>
      <c r="R106" s="57" t="str">
        <f t="shared" ca="1" si="11"/>
        <v/>
      </c>
    </row>
    <row r="107" spans="2:18" x14ac:dyDescent="0.25">
      <c r="B107" s="43">
        <v>2370</v>
      </c>
      <c r="C107" s="43">
        <v>95</v>
      </c>
      <c r="D107" s="43" t="s">
        <v>64</v>
      </c>
      <c r="E107" s="55" t="str">
        <f t="shared" si="7"/>
        <v>M</v>
      </c>
      <c r="F107" s="55">
        <v>100</v>
      </c>
      <c r="G107" s="55" t="s">
        <v>45</v>
      </c>
      <c r="H107" s="55">
        <v>117.2</v>
      </c>
      <c r="I107" s="55"/>
      <c r="J107" s="55"/>
      <c r="K107" s="46" t="str">
        <f t="shared" ca="1" si="8"/>
        <v/>
      </c>
      <c r="L107" s="56" t="str">
        <f t="shared" ca="1" si="9"/>
        <v/>
      </c>
      <c r="Q107" s="57" t="str">
        <f t="shared" ca="1" si="10"/>
        <v/>
      </c>
      <c r="R107" s="57" t="str">
        <f t="shared" ca="1" si="11"/>
        <v/>
      </c>
    </row>
    <row r="108" spans="2:18" x14ac:dyDescent="0.25">
      <c r="B108" s="43">
        <v>2375</v>
      </c>
      <c r="C108" s="43">
        <v>90</v>
      </c>
      <c r="D108" s="43" t="s">
        <v>64</v>
      </c>
      <c r="E108" s="55" t="str">
        <f t="shared" si="7"/>
        <v>M</v>
      </c>
      <c r="F108" s="55">
        <v>100</v>
      </c>
      <c r="G108" s="55" t="s">
        <v>45</v>
      </c>
      <c r="H108" s="55">
        <v>125.9</v>
      </c>
      <c r="I108" s="55"/>
      <c r="J108" s="55"/>
      <c r="K108" s="46" t="str">
        <f t="shared" ca="1" si="8"/>
        <v/>
      </c>
      <c r="L108" s="56" t="str">
        <f t="shared" ca="1" si="9"/>
        <v/>
      </c>
      <c r="Q108" s="57" t="str">
        <f t="shared" ca="1" si="10"/>
        <v/>
      </c>
      <c r="R108" s="57" t="str">
        <f t="shared" ca="1" si="11"/>
        <v/>
      </c>
    </row>
    <row r="109" spans="2:18" x14ac:dyDescent="0.25">
      <c r="B109" s="43">
        <v>2380</v>
      </c>
      <c r="C109" s="43">
        <v>90</v>
      </c>
      <c r="D109" s="43" t="s">
        <v>64</v>
      </c>
      <c r="E109" s="55" t="str">
        <f t="shared" si="7"/>
        <v>M</v>
      </c>
      <c r="F109" s="55">
        <v>100</v>
      </c>
      <c r="G109" s="55" t="s">
        <v>45</v>
      </c>
      <c r="H109" s="55">
        <v>115.6</v>
      </c>
      <c r="I109" s="55"/>
      <c r="J109" s="55"/>
      <c r="K109" s="46" t="str">
        <f t="shared" ca="1" si="8"/>
        <v/>
      </c>
      <c r="L109" s="56" t="str">
        <f t="shared" ca="1" si="9"/>
        <v/>
      </c>
      <c r="Q109" s="57" t="str">
        <f t="shared" ca="1" si="10"/>
        <v/>
      </c>
      <c r="R109" s="57" t="str">
        <f t="shared" ca="1" si="11"/>
        <v/>
      </c>
    </row>
    <row r="110" spans="2:18" x14ac:dyDescent="0.25">
      <c r="B110" s="43">
        <v>2385</v>
      </c>
      <c r="C110" s="43">
        <v>100</v>
      </c>
      <c r="D110" s="43" t="s">
        <v>64</v>
      </c>
      <c r="E110" s="55" t="str">
        <f t="shared" si="7"/>
        <v>M</v>
      </c>
      <c r="F110" s="55">
        <v>100</v>
      </c>
      <c r="G110" s="55" t="s">
        <v>45</v>
      </c>
      <c r="H110" s="55">
        <v>122.2</v>
      </c>
      <c r="I110" s="55"/>
      <c r="J110" s="55"/>
      <c r="K110" s="46" t="str">
        <f t="shared" ca="1" si="8"/>
        <v/>
      </c>
      <c r="L110" s="56" t="str">
        <f t="shared" ca="1" si="9"/>
        <v/>
      </c>
      <c r="Q110" s="57" t="str">
        <f t="shared" ca="1" si="10"/>
        <v/>
      </c>
      <c r="R110" s="57" t="str">
        <f t="shared" ca="1" si="11"/>
        <v/>
      </c>
    </row>
    <row r="111" spans="2:18" x14ac:dyDescent="0.25">
      <c r="B111" s="43">
        <v>2390</v>
      </c>
      <c r="C111" s="43">
        <v>100</v>
      </c>
      <c r="D111" s="43" t="s">
        <v>64</v>
      </c>
      <c r="E111" s="55" t="str">
        <f t="shared" si="7"/>
        <v>M</v>
      </c>
      <c r="F111" s="55">
        <v>100</v>
      </c>
      <c r="G111" s="55" t="s">
        <v>45</v>
      </c>
      <c r="H111" s="55">
        <v>148.9</v>
      </c>
      <c r="I111" s="55"/>
      <c r="J111" s="55"/>
      <c r="K111" s="46" t="str">
        <f t="shared" ca="1" si="8"/>
        <v/>
      </c>
      <c r="L111" s="56" t="str">
        <f t="shared" ca="1" si="9"/>
        <v/>
      </c>
      <c r="Q111" s="57" t="str">
        <f t="shared" ca="1" si="10"/>
        <v/>
      </c>
      <c r="R111" s="57" t="str">
        <f t="shared" ca="1" si="11"/>
        <v/>
      </c>
    </row>
    <row r="112" spans="2:18" x14ac:dyDescent="0.25">
      <c r="B112" s="43">
        <v>2395</v>
      </c>
      <c r="C112" s="43">
        <v>80</v>
      </c>
      <c r="D112" s="43" t="s">
        <v>64</v>
      </c>
      <c r="E112" s="55" t="str">
        <f t="shared" si="7"/>
        <v>M</v>
      </c>
      <c r="F112" s="55">
        <v>100</v>
      </c>
      <c r="G112" s="55" t="s">
        <v>45</v>
      </c>
      <c r="H112" s="59">
        <v>140</v>
      </c>
      <c r="I112" s="55"/>
      <c r="J112" s="55"/>
      <c r="K112" s="46" t="str">
        <f t="shared" ca="1" si="8"/>
        <v/>
      </c>
      <c r="L112" s="56" t="str">
        <f t="shared" ca="1" si="9"/>
        <v/>
      </c>
      <c r="Q112" s="57" t="str">
        <f t="shared" ca="1" si="10"/>
        <v/>
      </c>
      <c r="R112" s="57" t="str">
        <f t="shared" ca="1" si="11"/>
        <v/>
      </c>
    </row>
    <row r="113" spans="2:18" x14ac:dyDescent="0.25">
      <c r="B113" s="43">
        <v>2400</v>
      </c>
      <c r="C113" s="43">
        <v>80</v>
      </c>
      <c r="D113" s="43" t="s">
        <v>64</v>
      </c>
      <c r="E113" s="55" t="str">
        <f t="shared" si="7"/>
        <v>M</v>
      </c>
      <c r="F113" s="55">
        <v>100</v>
      </c>
      <c r="G113" s="55" t="s">
        <v>45</v>
      </c>
      <c r="H113" s="55">
        <v>78.5</v>
      </c>
      <c r="I113" s="55"/>
      <c r="J113" s="55"/>
      <c r="K113" s="46" t="str">
        <f t="shared" ca="1" si="8"/>
        <v/>
      </c>
      <c r="L113" s="56" t="str">
        <f t="shared" ca="1" si="9"/>
        <v/>
      </c>
      <c r="Q113" s="57" t="str">
        <f t="shared" ca="1" si="10"/>
        <v/>
      </c>
      <c r="R113" s="57" t="str">
        <f t="shared" ca="1" si="11"/>
        <v/>
      </c>
    </row>
    <row r="114" spans="2:18" x14ac:dyDescent="0.25">
      <c r="B114" s="43">
        <v>2405</v>
      </c>
      <c r="C114" s="43">
        <v>95</v>
      </c>
      <c r="D114" s="43" t="s">
        <v>64</v>
      </c>
      <c r="E114" s="55" t="str">
        <f t="shared" si="7"/>
        <v>M</v>
      </c>
      <c r="F114" s="55">
        <v>100</v>
      </c>
      <c r="G114" s="55" t="s">
        <v>46</v>
      </c>
      <c r="H114" s="55">
        <v>95.2</v>
      </c>
      <c r="I114" s="55"/>
      <c r="J114" s="55"/>
      <c r="K114" s="46" t="str">
        <f t="shared" ca="1" si="8"/>
        <v/>
      </c>
      <c r="L114" s="56" t="str">
        <f t="shared" ca="1" si="9"/>
        <v/>
      </c>
      <c r="Q114" s="57" t="str">
        <f t="shared" ca="1" si="10"/>
        <v/>
      </c>
      <c r="R114" s="57" t="str">
        <f t="shared" ca="1" si="11"/>
        <v/>
      </c>
    </row>
    <row r="115" spans="2:18" x14ac:dyDescent="0.25">
      <c r="B115" s="43">
        <v>2410</v>
      </c>
      <c r="C115" s="43">
        <v>95</v>
      </c>
      <c r="D115" s="43" t="s">
        <v>64</v>
      </c>
      <c r="E115" s="55" t="str">
        <f t="shared" si="7"/>
        <v>M</v>
      </c>
      <c r="F115" s="55">
        <v>100</v>
      </c>
      <c r="G115" s="55" t="s">
        <v>46</v>
      </c>
      <c r="H115" s="55">
        <v>114.9</v>
      </c>
      <c r="I115" s="55"/>
      <c r="J115" s="55"/>
      <c r="K115" s="46" t="str">
        <f t="shared" ca="1" si="8"/>
        <v/>
      </c>
      <c r="L115" s="56" t="str">
        <f t="shared" ca="1" si="9"/>
        <v/>
      </c>
      <c r="Q115" s="57" t="str">
        <f t="shared" ca="1" si="10"/>
        <v/>
      </c>
      <c r="R115" s="57" t="str">
        <f t="shared" ca="1" si="11"/>
        <v/>
      </c>
    </row>
    <row r="116" spans="2:18" x14ac:dyDescent="0.25">
      <c r="B116" s="43">
        <v>2415</v>
      </c>
      <c r="C116" s="43">
        <v>90</v>
      </c>
      <c r="D116" s="43" t="s">
        <v>64</v>
      </c>
      <c r="E116" s="55" t="str">
        <f t="shared" si="7"/>
        <v>M</v>
      </c>
      <c r="F116" s="55">
        <v>100</v>
      </c>
      <c r="G116" s="55" t="s">
        <v>46</v>
      </c>
      <c r="H116" s="55">
        <v>108.9</v>
      </c>
      <c r="I116" s="55"/>
      <c r="J116" s="55"/>
      <c r="K116" s="46" t="str">
        <f t="shared" ca="1" si="8"/>
        <v/>
      </c>
      <c r="L116" s="56" t="str">
        <f t="shared" ca="1" si="9"/>
        <v/>
      </c>
      <c r="Q116" s="57" t="str">
        <f t="shared" ca="1" si="10"/>
        <v/>
      </c>
      <c r="R116" s="57" t="str">
        <f t="shared" ca="1" si="11"/>
        <v/>
      </c>
    </row>
    <row r="117" spans="2:18" x14ac:dyDescent="0.25">
      <c r="B117" s="43">
        <v>2420</v>
      </c>
      <c r="C117" s="43">
        <v>90</v>
      </c>
      <c r="D117" s="43" t="s">
        <v>64</v>
      </c>
      <c r="E117" s="55" t="str">
        <f t="shared" si="7"/>
        <v>M</v>
      </c>
      <c r="F117" s="55">
        <v>100</v>
      </c>
      <c r="G117" s="55" t="s">
        <v>46</v>
      </c>
      <c r="H117" s="55">
        <v>80.900000000000006</v>
      </c>
      <c r="I117" s="55"/>
      <c r="J117" s="55"/>
      <c r="K117" s="46" t="str">
        <f t="shared" ca="1" si="8"/>
        <v/>
      </c>
      <c r="L117" s="56" t="str">
        <f t="shared" ca="1" si="9"/>
        <v/>
      </c>
      <c r="Q117" s="57" t="str">
        <f t="shared" ca="1" si="10"/>
        <v/>
      </c>
      <c r="R117" s="57" t="str">
        <f t="shared" ca="1" si="11"/>
        <v/>
      </c>
    </row>
    <row r="118" spans="2:18" x14ac:dyDescent="0.25">
      <c r="B118" s="43">
        <v>2425</v>
      </c>
      <c r="C118" s="43">
        <v>90</v>
      </c>
      <c r="D118" s="43" t="s">
        <v>64</v>
      </c>
      <c r="E118" s="55" t="str">
        <f t="shared" si="7"/>
        <v>M</v>
      </c>
      <c r="F118" s="55">
        <v>100</v>
      </c>
      <c r="G118" s="55" t="s">
        <v>46</v>
      </c>
      <c r="H118" s="55">
        <v>71.900000000000006</v>
      </c>
      <c r="I118" s="55"/>
      <c r="J118" s="55"/>
      <c r="K118" s="46" t="str">
        <f t="shared" ca="1" si="8"/>
        <v/>
      </c>
      <c r="L118" s="56" t="str">
        <f t="shared" ca="1" si="9"/>
        <v/>
      </c>
      <c r="Q118" s="57" t="str">
        <f t="shared" ca="1" si="10"/>
        <v/>
      </c>
      <c r="R118" s="57" t="str">
        <f t="shared" ca="1" si="11"/>
        <v/>
      </c>
    </row>
    <row r="119" spans="2:18" x14ac:dyDescent="0.25">
      <c r="B119" s="43">
        <v>2430</v>
      </c>
      <c r="C119" s="43">
        <v>90</v>
      </c>
      <c r="D119" s="43" t="s">
        <v>64</v>
      </c>
      <c r="E119" s="55" t="str">
        <f t="shared" si="7"/>
        <v>M</v>
      </c>
      <c r="F119" s="55">
        <v>100</v>
      </c>
      <c r="G119" s="55" t="s">
        <v>46</v>
      </c>
      <c r="H119" s="55">
        <v>105.1</v>
      </c>
      <c r="I119" s="55"/>
      <c r="J119" s="55"/>
      <c r="K119" s="46" t="str">
        <f t="shared" ca="1" si="8"/>
        <v/>
      </c>
      <c r="L119" s="56" t="str">
        <f t="shared" ca="1" si="9"/>
        <v/>
      </c>
      <c r="Q119" s="57" t="str">
        <f t="shared" ca="1" si="10"/>
        <v/>
      </c>
      <c r="R119" s="57" t="str">
        <f t="shared" ca="1" si="11"/>
        <v/>
      </c>
    </row>
    <row r="120" spans="2:18" x14ac:dyDescent="0.25">
      <c r="B120" s="43">
        <v>2435</v>
      </c>
      <c r="C120" s="43">
        <v>95</v>
      </c>
      <c r="D120" s="43" t="s">
        <v>64</v>
      </c>
      <c r="E120" s="55" t="str">
        <f t="shared" si="7"/>
        <v>M</v>
      </c>
      <c r="F120" s="55">
        <v>100</v>
      </c>
      <c r="G120" s="55" t="s">
        <v>46</v>
      </c>
      <c r="H120" s="55">
        <v>64.2</v>
      </c>
      <c r="I120" s="55"/>
      <c r="J120" s="55"/>
      <c r="K120" s="46" t="str">
        <f t="shared" ca="1" si="8"/>
        <v/>
      </c>
      <c r="L120" s="56" t="str">
        <f t="shared" ca="1" si="9"/>
        <v/>
      </c>
      <c r="Q120" s="57" t="str">
        <f t="shared" ca="1" si="10"/>
        <v/>
      </c>
      <c r="R120" s="57" t="str">
        <f t="shared" ca="1" si="11"/>
        <v/>
      </c>
    </row>
    <row r="121" spans="2:18" x14ac:dyDescent="0.25">
      <c r="B121" s="43">
        <v>2440</v>
      </c>
      <c r="C121" s="43">
        <v>95</v>
      </c>
      <c r="D121" s="43" t="s">
        <v>64</v>
      </c>
      <c r="E121" s="55" t="str">
        <f t="shared" si="7"/>
        <v>M</v>
      </c>
      <c r="F121" s="55">
        <v>100</v>
      </c>
      <c r="G121" s="55" t="s">
        <v>46</v>
      </c>
      <c r="H121" s="55">
        <v>125.5</v>
      </c>
      <c r="I121" s="55"/>
      <c r="J121" s="55"/>
      <c r="K121" s="46" t="str">
        <f t="shared" ca="1" si="8"/>
        <v/>
      </c>
      <c r="L121" s="56" t="str">
        <f t="shared" ca="1" si="9"/>
        <v/>
      </c>
      <c r="Q121" s="57" t="str">
        <f t="shared" ca="1" si="10"/>
        <v/>
      </c>
      <c r="R121" s="57" t="str">
        <f t="shared" ca="1" si="11"/>
        <v/>
      </c>
    </row>
    <row r="122" spans="2:18" x14ac:dyDescent="0.25">
      <c r="B122" s="43">
        <v>2445</v>
      </c>
      <c r="C122" s="43">
        <v>100</v>
      </c>
      <c r="D122" s="43" t="s">
        <v>64</v>
      </c>
      <c r="E122" s="55" t="str">
        <f t="shared" si="7"/>
        <v>M</v>
      </c>
      <c r="F122" s="55">
        <v>100</v>
      </c>
      <c r="G122" s="55" t="s">
        <v>46</v>
      </c>
      <c r="H122" s="55">
        <v>115.3</v>
      </c>
      <c r="I122" s="55"/>
      <c r="J122" s="55"/>
      <c r="K122" s="46" t="str">
        <f t="shared" ca="1" si="8"/>
        <v/>
      </c>
      <c r="L122" s="56" t="str">
        <f t="shared" ca="1" si="9"/>
        <v/>
      </c>
      <c r="Q122" s="57" t="str">
        <f t="shared" ca="1" si="10"/>
        <v/>
      </c>
      <c r="R122" s="57" t="str">
        <f t="shared" ca="1" si="11"/>
        <v/>
      </c>
    </row>
    <row r="123" spans="2:18" x14ac:dyDescent="0.25">
      <c r="B123" s="43">
        <v>2450</v>
      </c>
      <c r="C123" s="43">
        <v>100</v>
      </c>
      <c r="D123" s="43" t="s">
        <v>64</v>
      </c>
      <c r="E123" s="55" t="str">
        <f t="shared" si="7"/>
        <v>M</v>
      </c>
      <c r="F123" s="55">
        <v>100</v>
      </c>
      <c r="G123" s="55" t="s">
        <v>46</v>
      </c>
      <c r="H123" s="55">
        <v>121.7</v>
      </c>
      <c r="I123" s="55"/>
      <c r="J123" s="55"/>
      <c r="K123" s="46" t="str">
        <f t="shared" ca="1" si="8"/>
        <v/>
      </c>
      <c r="L123" s="56" t="str">
        <f t="shared" ca="1" si="9"/>
        <v/>
      </c>
      <c r="Q123" s="57" t="str">
        <f t="shared" ca="1" si="10"/>
        <v/>
      </c>
      <c r="R123" s="57" t="str">
        <f t="shared" ca="1" si="11"/>
        <v/>
      </c>
    </row>
    <row r="124" spans="2:18" x14ac:dyDescent="0.25">
      <c r="B124" s="43">
        <v>2455</v>
      </c>
      <c r="C124" s="43">
        <v>95</v>
      </c>
      <c r="D124" s="43" t="s">
        <v>64</v>
      </c>
      <c r="E124" s="55" t="str">
        <f t="shared" si="7"/>
        <v>M</v>
      </c>
      <c r="F124" s="55">
        <v>100</v>
      </c>
      <c r="G124" s="55" t="s">
        <v>46</v>
      </c>
      <c r="H124" s="55">
        <v>80.2</v>
      </c>
      <c r="I124" s="55"/>
      <c r="J124" s="55"/>
      <c r="K124" s="46" t="str">
        <f t="shared" ca="1" si="8"/>
        <v/>
      </c>
      <c r="L124" s="56" t="str">
        <f t="shared" ca="1" si="9"/>
        <v/>
      </c>
      <c r="Q124" s="57" t="str">
        <f t="shared" ca="1" si="10"/>
        <v/>
      </c>
      <c r="R124" s="57" t="str">
        <f t="shared" ca="1" si="11"/>
        <v/>
      </c>
    </row>
    <row r="125" spans="2:18" x14ac:dyDescent="0.25">
      <c r="B125" s="43">
        <v>2460</v>
      </c>
      <c r="C125" s="43">
        <v>95</v>
      </c>
      <c r="D125" s="43" t="s">
        <v>64</v>
      </c>
      <c r="E125" s="55" t="str">
        <f t="shared" si="7"/>
        <v>M</v>
      </c>
      <c r="F125" s="55">
        <v>100</v>
      </c>
      <c r="G125" s="55" t="s">
        <v>46</v>
      </c>
      <c r="H125" s="55">
        <v>113.7</v>
      </c>
      <c r="I125" s="55"/>
      <c r="J125" s="55"/>
      <c r="K125" s="46" t="str">
        <f t="shared" ca="1" si="8"/>
        <v/>
      </c>
      <c r="L125" s="56" t="str">
        <f t="shared" ca="1" si="9"/>
        <v/>
      </c>
      <c r="Q125" s="57" t="str">
        <f t="shared" ca="1" si="10"/>
        <v/>
      </c>
      <c r="R125" s="57" t="str">
        <f t="shared" ca="1" si="11"/>
        <v/>
      </c>
    </row>
    <row r="126" spans="2:18" x14ac:dyDescent="0.25">
      <c r="B126" s="43">
        <v>2465</v>
      </c>
      <c r="C126" s="43">
        <v>90</v>
      </c>
      <c r="D126" s="43" t="s">
        <v>63</v>
      </c>
      <c r="E126" s="55" t="str">
        <f t="shared" si="7"/>
        <v>C</v>
      </c>
      <c r="F126" s="55">
        <v>100</v>
      </c>
      <c r="G126" s="55" t="s">
        <v>46</v>
      </c>
      <c r="H126" s="55">
        <v>109.6</v>
      </c>
      <c r="I126" s="55"/>
      <c r="J126" s="55"/>
      <c r="K126" s="46" t="str">
        <f t="shared" ca="1" si="8"/>
        <v/>
      </c>
      <c r="L126" s="56" t="str">
        <f t="shared" ca="1" si="9"/>
        <v/>
      </c>
      <c r="Q126" s="57" t="str">
        <f t="shared" ca="1" si="10"/>
        <v/>
      </c>
      <c r="R126" s="57" t="str">
        <f t="shared" ca="1" si="11"/>
        <v/>
      </c>
    </row>
    <row r="127" spans="2:18" x14ac:dyDescent="0.25">
      <c r="B127" s="43">
        <v>2470</v>
      </c>
      <c r="C127" s="43">
        <v>90</v>
      </c>
      <c r="D127" s="43" t="s">
        <v>63</v>
      </c>
      <c r="E127" s="55" t="str">
        <f t="shared" si="7"/>
        <v>C</v>
      </c>
      <c r="F127" s="55">
        <v>100</v>
      </c>
      <c r="G127" s="55" t="s">
        <v>46</v>
      </c>
      <c r="H127" s="55">
        <v>118.7</v>
      </c>
      <c r="I127" s="55"/>
      <c r="J127" s="55"/>
      <c r="K127" s="46" t="str">
        <f t="shared" ca="1" si="8"/>
        <v/>
      </c>
      <c r="L127" s="56" t="str">
        <f t="shared" ca="1" si="9"/>
        <v/>
      </c>
      <c r="Q127" s="57" t="str">
        <f t="shared" ca="1" si="10"/>
        <v/>
      </c>
      <c r="R127" s="57" t="str">
        <f t="shared" ca="1" si="11"/>
        <v/>
      </c>
    </row>
    <row r="128" spans="2:18" x14ac:dyDescent="0.25">
      <c r="B128" s="43">
        <v>2475</v>
      </c>
      <c r="C128" s="43">
        <v>90</v>
      </c>
      <c r="D128" s="43" t="s">
        <v>64</v>
      </c>
      <c r="E128" s="55" t="str">
        <f t="shared" si="7"/>
        <v>M</v>
      </c>
      <c r="F128" s="55">
        <v>100</v>
      </c>
      <c r="G128" s="55" t="s">
        <v>46</v>
      </c>
      <c r="H128" s="55">
        <v>57.3</v>
      </c>
      <c r="I128" s="55"/>
      <c r="J128" s="55"/>
      <c r="K128" s="46" t="str">
        <f t="shared" ca="1" si="8"/>
        <v/>
      </c>
      <c r="L128" s="56" t="str">
        <f t="shared" ca="1" si="9"/>
        <v/>
      </c>
      <c r="Q128" s="57" t="str">
        <f t="shared" ca="1" si="10"/>
        <v/>
      </c>
      <c r="R128" s="57" t="str">
        <f t="shared" ca="1" si="11"/>
        <v/>
      </c>
    </row>
    <row r="129" spans="2:18" x14ac:dyDescent="0.25">
      <c r="B129" s="43">
        <v>2480</v>
      </c>
      <c r="C129" s="43">
        <v>90</v>
      </c>
      <c r="D129" s="43" t="s">
        <v>64</v>
      </c>
      <c r="E129" s="55" t="str">
        <f t="shared" si="7"/>
        <v>M</v>
      </c>
      <c r="F129" s="55">
        <v>100</v>
      </c>
      <c r="G129" s="55" t="s">
        <v>46</v>
      </c>
      <c r="H129" s="59">
        <v>115</v>
      </c>
      <c r="I129" s="55"/>
      <c r="J129" s="55"/>
      <c r="K129" s="46" t="str">
        <f t="shared" ca="1" si="8"/>
        <v/>
      </c>
      <c r="L129" s="56" t="str">
        <f t="shared" ca="1" si="9"/>
        <v/>
      </c>
      <c r="Q129" s="57" t="str">
        <f t="shared" ca="1" si="10"/>
        <v/>
      </c>
      <c r="R129" s="57" t="str">
        <f t="shared" ca="1" si="11"/>
        <v/>
      </c>
    </row>
    <row r="130" spans="2:18" x14ac:dyDescent="0.25">
      <c r="B130" s="43">
        <v>2485</v>
      </c>
      <c r="C130" s="43">
        <v>100</v>
      </c>
      <c r="D130" s="43" t="s">
        <v>64</v>
      </c>
      <c r="E130" s="55" t="str">
        <f t="shared" si="7"/>
        <v>M</v>
      </c>
      <c r="F130" s="55">
        <v>100</v>
      </c>
      <c r="G130" s="55" t="s">
        <v>46</v>
      </c>
      <c r="H130" s="55">
        <v>96.6</v>
      </c>
      <c r="I130" s="55"/>
      <c r="J130" s="55"/>
      <c r="K130" s="46" t="str">
        <f t="shared" ca="1" si="8"/>
        <v/>
      </c>
      <c r="L130" s="56" t="str">
        <f t="shared" ca="1" si="9"/>
        <v/>
      </c>
      <c r="Q130" s="57" t="str">
        <f t="shared" ca="1" si="10"/>
        <v/>
      </c>
      <c r="R130" s="57" t="str">
        <f t="shared" ca="1" si="11"/>
        <v/>
      </c>
    </row>
    <row r="131" spans="2:18" x14ac:dyDescent="0.25">
      <c r="B131" s="43">
        <v>2490</v>
      </c>
      <c r="C131" s="43">
        <v>100</v>
      </c>
      <c r="D131" s="43" t="s">
        <v>64</v>
      </c>
      <c r="E131" s="55" t="str">
        <f t="shared" si="7"/>
        <v>M</v>
      </c>
      <c r="F131" s="55">
        <v>100</v>
      </c>
      <c r="G131" s="55" t="s">
        <v>46</v>
      </c>
      <c r="H131" s="55">
        <v>70.400000000000006</v>
      </c>
      <c r="I131" s="55"/>
      <c r="J131" s="55"/>
      <c r="K131" s="46" t="str">
        <f t="shared" ca="1" si="8"/>
        <v/>
      </c>
      <c r="L131" s="56" t="str">
        <f t="shared" ca="1" si="9"/>
        <v/>
      </c>
      <c r="Q131" s="57" t="str">
        <f t="shared" ca="1" si="10"/>
        <v/>
      </c>
      <c r="R131" s="57" t="str">
        <f t="shared" ca="1" si="11"/>
        <v/>
      </c>
    </row>
    <row r="132" spans="2:18" x14ac:dyDescent="0.25">
      <c r="B132" s="43">
        <v>2495</v>
      </c>
      <c r="C132" s="43">
        <v>100</v>
      </c>
      <c r="D132" s="43" t="s">
        <v>63</v>
      </c>
      <c r="E132" s="55" t="str">
        <f t="shared" ref="E132:E195" si="12">IF(ISNUMBER(SEARCH("v crs",D132))=TRUE,"VC",IF(ISNUMBER(SEARCH("crs",D132))=TRUE,"C",IF(ISNUMBER(SEARCH("med",D132))=TRUE,"M",IF(ISNUMBER(SEARCH("vf",D132))=TRUE,"VF",IF(ISNUMBER(SEARCH("f",D132))=TRUE,"F","")))))</f>
        <v>C</v>
      </c>
      <c r="F132" s="55">
        <v>100</v>
      </c>
      <c r="G132" s="55" t="s">
        <v>46</v>
      </c>
      <c r="H132" s="55">
        <v>61.3</v>
      </c>
      <c r="I132" s="55"/>
      <c r="J132" s="55"/>
      <c r="K132" s="46" t="str">
        <f t="shared" ca="1" si="8"/>
        <v/>
      </c>
      <c r="L132" s="56" t="str">
        <f t="shared" ca="1" si="9"/>
        <v/>
      </c>
      <c r="Q132" s="57" t="str">
        <f t="shared" ca="1" si="10"/>
        <v/>
      </c>
      <c r="R132" s="57" t="str">
        <f t="shared" ca="1" si="11"/>
        <v/>
      </c>
    </row>
    <row r="133" spans="2:18" x14ac:dyDescent="0.25">
      <c r="B133" s="43">
        <v>2500</v>
      </c>
      <c r="C133" s="43">
        <v>100</v>
      </c>
      <c r="D133" s="43" t="s">
        <v>63</v>
      </c>
      <c r="E133" s="55" t="str">
        <f t="shared" si="12"/>
        <v>C</v>
      </c>
      <c r="F133" s="55">
        <v>100</v>
      </c>
      <c r="G133" s="55" t="s">
        <v>46</v>
      </c>
      <c r="H133" s="55">
        <v>94.9</v>
      </c>
      <c r="I133" s="55" t="s">
        <v>52</v>
      </c>
      <c r="J133" s="55"/>
      <c r="K133" s="46" t="str">
        <f t="shared" ca="1" si="8"/>
        <v/>
      </c>
      <c r="L133" s="56" t="str">
        <f t="shared" ca="1" si="9"/>
        <v/>
      </c>
      <c r="Q133" s="57" t="str">
        <f t="shared" ca="1" si="10"/>
        <v/>
      </c>
      <c r="R133" s="57" t="str">
        <f t="shared" ca="1" si="11"/>
        <v/>
      </c>
    </row>
    <row r="134" spans="2:18" x14ac:dyDescent="0.25">
      <c r="B134" s="43">
        <v>2505</v>
      </c>
      <c r="C134" s="43">
        <v>80</v>
      </c>
      <c r="D134" s="43" t="s">
        <v>63</v>
      </c>
      <c r="E134" s="55" t="str">
        <f t="shared" si="12"/>
        <v>C</v>
      </c>
      <c r="F134" s="55">
        <v>100</v>
      </c>
      <c r="G134" s="55" t="s">
        <v>46</v>
      </c>
      <c r="H134" s="59">
        <v>92</v>
      </c>
      <c r="I134" s="55"/>
      <c r="J134" s="55"/>
      <c r="K134" s="46" t="str">
        <f t="shared" ref="K134:K211" ca="1" si="13">IF(AND(C134&lt;&gt;"",C134&lt;&gt;Q134),TODAY(),IF(C134="","",K134))</f>
        <v/>
      </c>
      <c r="L134" s="56" t="str">
        <f t="shared" ref="L134:L211" ca="1" si="14">IF(AND(C134&lt;&gt;"",C134&lt;&gt;R134),NOW(),IF(C134="","",L134))</f>
        <v/>
      </c>
      <c r="Q134" s="57" t="str">
        <f t="shared" ref="Q134:Q211" ca="1" si="15">IF(C134="","",IF(OR(K134="",AND(ISNUMBER(Q134),C134=Q134)),Q134,C134))</f>
        <v/>
      </c>
      <c r="R134" s="57" t="str">
        <f t="shared" ref="R134:R211" ca="1" si="16">IF(C134="","",IF(OR(L134="",AND(ISNUMBER(R134),C134=R134)),R134,C134))</f>
        <v/>
      </c>
    </row>
    <row r="135" spans="2:18" x14ac:dyDescent="0.25">
      <c r="B135" s="43">
        <v>2510</v>
      </c>
      <c r="C135" s="43">
        <v>80</v>
      </c>
      <c r="D135" s="43" t="s">
        <v>63</v>
      </c>
      <c r="E135" s="55" t="str">
        <f t="shared" si="12"/>
        <v>C</v>
      </c>
      <c r="F135" s="55">
        <v>100</v>
      </c>
      <c r="G135" s="55" t="s">
        <v>46</v>
      </c>
      <c r="H135" s="55">
        <v>84.1</v>
      </c>
      <c r="I135" s="55"/>
      <c r="J135" s="55"/>
      <c r="K135" s="46" t="str">
        <f t="shared" ca="1" si="13"/>
        <v/>
      </c>
      <c r="L135" s="56" t="str">
        <f t="shared" ca="1" si="14"/>
        <v/>
      </c>
      <c r="Q135" s="57" t="str">
        <f t="shared" ca="1" si="15"/>
        <v/>
      </c>
      <c r="R135" s="57" t="str">
        <f t="shared" ca="1" si="16"/>
        <v/>
      </c>
    </row>
    <row r="136" spans="2:18" x14ac:dyDescent="0.25">
      <c r="B136" s="43">
        <v>2515</v>
      </c>
      <c r="C136" s="43">
        <v>90</v>
      </c>
      <c r="D136" s="43" t="s">
        <v>64</v>
      </c>
      <c r="E136" s="55" t="str">
        <f t="shared" si="12"/>
        <v>M</v>
      </c>
      <c r="F136" s="55">
        <v>100</v>
      </c>
      <c r="G136" s="55" t="s">
        <v>46</v>
      </c>
      <c r="H136" s="55">
        <v>78.3</v>
      </c>
      <c r="I136" s="55"/>
      <c r="J136" s="55"/>
      <c r="K136" s="46" t="str">
        <f t="shared" ca="1" si="13"/>
        <v/>
      </c>
      <c r="L136" s="56" t="str">
        <f t="shared" ca="1" si="14"/>
        <v/>
      </c>
      <c r="Q136" s="57" t="str">
        <f t="shared" ca="1" si="15"/>
        <v/>
      </c>
      <c r="R136" s="57" t="str">
        <f t="shared" ca="1" si="16"/>
        <v/>
      </c>
    </row>
    <row r="137" spans="2:18" x14ac:dyDescent="0.25">
      <c r="B137" s="43">
        <v>2520</v>
      </c>
      <c r="C137" s="43">
        <v>90</v>
      </c>
      <c r="D137" s="43" t="s">
        <v>64</v>
      </c>
      <c r="E137" s="55" t="str">
        <f t="shared" si="12"/>
        <v>M</v>
      </c>
      <c r="F137" s="55">
        <v>100</v>
      </c>
      <c r="G137" s="55" t="s">
        <v>46</v>
      </c>
      <c r="H137" s="55">
        <v>42.8</v>
      </c>
      <c r="I137" s="55"/>
      <c r="J137" s="55"/>
      <c r="K137" s="46" t="str">
        <f t="shared" ca="1" si="13"/>
        <v/>
      </c>
      <c r="L137" s="56" t="str">
        <f t="shared" ca="1" si="14"/>
        <v/>
      </c>
      <c r="Q137" s="57" t="str">
        <f t="shared" ca="1" si="15"/>
        <v/>
      </c>
      <c r="R137" s="57" t="str">
        <f t="shared" ca="1" si="16"/>
        <v/>
      </c>
    </row>
    <row r="138" spans="2:18" x14ac:dyDescent="0.25">
      <c r="B138" s="43">
        <v>2525</v>
      </c>
      <c r="C138" s="43">
        <v>90</v>
      </c>
      <c r="D138" s="43" t="s">
        <v>64</v>
      </c>
      <c r="E138" s="55" t="str">
        <f t="shared" si="12"/>
        <v>M</v>
      </c>
      <c r="F138" s="55">
        <v>100</v>
      </c>
      <c r="G138" s="55" t="s">
        <v>46</v>
      </c>
      <c r="H138" s="55">
        <v>105.6</v>
      </c>
      <c r="I138" s="55"/>
      <c r="J138" s="55"/>
      <c r="K138" s="46" t="str">
        <f t="shared" ca="1" si="13"/>
        <v/>
      </c>
      <c r="L138" s="56" t="str">
        <f t="shared" ca="1" si="14"/>
        <v/>
      </c>
      <c r="Q138" s="57" t="str">
        <f t="shared" ca="1" si="15"/>
        <v/>
      </c>
      <c r="R138" s="57" t="str">
        <f t="shared" ca="1" si="16"/>
        <v/>
      </c>
    </row>
    <row r="139" spans="2:18" x14ac:dyDescent="0.25">
      <c r="B139" s="43">
        <v>2530</v>
      </c>
      <c r="C139" s="43">
        <v>90</v>
      </c>
      <c r="D139" s="43" t="s">
        <v>64</v>
      </c>
      <c r="E139" s="55" t="str">
        <f t="shared" si="12"/>
        <v>M</v>
      </c>
      <c r="F139" s="55">
        <v>100</v>
      </c>
      <c r="G139" s="55" t="s">
        <v>46</v>
      </c>
      <c r="H139" s="55">
        <v>49.7</v>
      </c>
      <c r="I139" s="55" t="s">
        <v>27</v>
      </c>
      <c r="J139" s="55"/>
      <c r="K139" s="46" t="str">
        <f t="shared" ca="1" si="13"/>
        <v/>
      </c>
      <c r="L139" s="56" t="str">
        <f t="shared" ca="1" si="14"/>
        <v/>
      </c>
      <c r="Q139" s="57" t="str">
        <f t="shared" ca="1" si="15"/>
        <v/>
      </c>
      <c r="R139" s="57" t="str">
        <f t="shared" ca="1" si="16"/>
        <v/>
      </c>
    </row>
    <row r="140" spans="2:18" x14ac:dyDescent="0.25">
      <c r="B140" s="43">
        <v>2535</v>
      </c>
      <c r="C140" s="43">
        <v>90</v>
      </c>
      <c r="D140" s="43" t="s">
        <v>64</v>
      </c>
      <c r="E140" s="55" t="str">
        <f t="shared" si="12"/>
        <v>M</v>
      </c>
      <c r="F140" s="55">
        <v>100</v>
      </c>
      <c r="G140" s="55" t="s">
        <v>46</v>
      </c>
      <c r="H140" s="55">
        <v>98.8</v>
      </c>
      <c r="I140" s="55"/>
      <c r="J140" s="55"/>
      <c r="K140" s="46" t="str">
        <f t="shared" ca="1" si="13"/>
        <v/>
      </c>
      <c r="L140" s="56" t="str">
        <f t="shared" ca="1" si="14"/>
        <v/>
      </c>
      <c r="Q140" s="57" t="str">
        <f t="shared" ca="1" si="15"/>
        <v/>
      </c>
      <c r="R140" s="57" t="str">
        <f t="shared" ca="1" si="16"/>
        <v/>
      </c>
    </row>
    <row r="141" spans="2:18" x14ac:dyDescent="0.25">
      <c r="B141" s="43">
        <v>2540</v>
      </c>
      <c r="C141" s="43">
        <v>90</v>
      </c>
      <c r="D141" s="43" t="s">
        <v>64</v>
      </c>
      <c r="E141" s="55" t="str">
        <f t="shared" si="12"/>
        <v>M</v>
      </c>
      <c r="F141" s="55">
        <v>100</v>
      </c>
      <c r="G141" s="55" t="s">
        <v>46</v>
      </c>
      <c r="H141" s="55">
        <v>101.5</v>
      </c>
      <c r="I141" s="55"/>
      <c r="J141" s="55"/>
      <c r="K141" s="46" t="str">
        <f t="shared" ca="1" si="13"/>
        <v/>
      </c>
      <c r="L141" s="56" t="str">
        <f t="shared" ca="1" si="14"/>
        <v/>
      </c>
      <c r="Q141" s="57" t="str">
        <f t="shared" ca="1" si="15"/>
        <v/>
      </c>
      <c r="R141" s="57" t="str">
        <f t="shared" ca="1" si="16"/>
        <v/>
      </c>
    </row>
    <row r="142" spans="2:18" x14ac:dyDescent="0.25">
      <c r="B142" s="43">
        <v>2545</v>
      </c>
      <c r="C142" s="43">
        <v>80</v>
      </c>
      <c r="D142" s="43" t="s">
        <v>63</v>
      </c>
      <c r="E142" s="55" t="str">
        <f t="shared" si="12"/>
        <v>C</v>
      </c>
      <c r="F142" s="55">
        <v>100</v>
      </c>
      <c r="G142" s="55" t="s">
        <v>46</v>
      </c>
      <c r="H142" s="55">
        <v>118.6</v>
      </c>
      <c r="I142" s="55"/>
      <c r="J142" s="55"/>
      <c r="K142" s="46" t="str">
        <f t="shared" ca="1" si="13"/>
        <v/>
      </c>
      <c r="L142" s="56" t="str">
        <f t="shared" ca="1" si="14"/>
        <v/>
      </c>
      <c r="Q142" s="57" t="str">
        <f t="shared" ca="1" si="15"/>
        <v/>
      </c>
      <c r="R142" s="57" t="str">
        <f t="shared" ca="1" si="16"/>
        <v/>
      </c>
    </row>
    <row r="143" spans="2:18" x14ac:dyDescent="0.25">
      <c r="B143" s="43">
        <v>2550</v>
      </c>
      <c r="C143" s="43">
        <v>80</v>
      </c>
      <c r="D143" s="43" t="s">
        <v>63</v>
      </c>
      <c r="E143" s="55" t="str">
        <f t="shared" si="12"/>
        <v>C</v>
      </c>
      <c r="F143" s="55">
        <v>100</v>
      </c>
      <c r="G143" s="55" t="s">
        <v>46</v>
      </c>
      <c r="H143" s="55">
        <v>52.8</v>
      </c>
      <c r="I143" s="55"/>
      <c r="J143" s="55"/>
      <c r="K143" s="46" t="str">
        <f t="shared" ca="1" si="13"/>
        <v/>
      </c>
      <c r="L143" s="56" t="str">
        <f t="shared" ca="1" si="14"/>
        <v/>
      </c>
      <c r="Q143" s="57" t="str">
        <f t="shared" ca="1" si="15"/>
        <v/>
      </c>
      <c r="R143" s="57" t="str">
        <f t="shared" ca="1" si="16"/>
        <v/>
      </c>
    </row>
    <row r="144" spans="2:18" x14ac:dyDescent="0.25">
      <c r="B144" s="43">
        <v>2555</v>
      </c>
      <c r="C144" s="43">
        <v>95</v>
      </c>
      <c r="D144" s="43" t="s">
        <v>64</v>
      </c>
      <c r="E144" s="55" t="str">
        <f t="shared" si="12"/>
        <v>M</v>
      </c>
      <c r="F144" s="55">
        <v>100</v>
      </c>
      <c r="G144" s="55" t="s">
        <v>46</v>
      </c>
      <c r="H144" s="55">
        <v>124.2</v>
      </c>
      <c r="I144" s="55"/>
      <c r="J144" s="55"/>
      <c r="K144" s="46" t="str">
        <f t="shared" ca="1" si="13"/>
        <v/>
      </c>
      <c r="L144" s="56" t="str">
        <f t="shared" ca="1" si="14"/>
        <v/>
      </c>
      <c r="Q144" s="57" t="str">
        <f t="shared" ca="1" si="15"/>
        <v/>
      </c>
      <c r="R144" s="57" t="str">
        <f t="shared" ca="1" si="16"/>
        <v/>
      </c>
    </row>
    <row r="145" spans="2:18" x14ac:dyDescent="0.25">
      <c r="B145" s="43">
        <v>2560</v>
      </c>
      <c r="C145" s="43">
        <v>95</v>
      </c>
      <c r="D145" s="43" t="s">
        <v>64</v>
      </c>
      <c r="E145" s="55" t="str">
        <f t="shared" si="12"/>
        <v>M</v>
      </c>
      <c r="F145" s="55">
        <v>100</v>
      </c>
      <c r="G145" s="55" t="s">
        <v>46</v>
      </c>
      <c r="H145" s="55">
        <v>105.2</v>
      </c>
      <c r="I145" s="55"/>
      <c r="J145" s="55"/>
      <c r="K145" s="46" t="str">
        <f t="shared" ca="1" si="13"/>
        <v/>
      </c>
      <c r="L145" s="56" t="str">
        <f t="shared" ca="1" si="14"/>
        <v/>
      </c>
      <c r="Q145" s="57" t="str">
        <f t="shared" ca="1" si="15"/>
        <v/>
      </c>
      <c r="R145" s="57" t="str">
        <f t="shared" ca="1" si="16"/>
        <v/>
      </c>
    </row>
    <row r="146" spans="2:18" x14ac:dyDescent="0.25">
      <c r="B146" s="43">
        <v>2565</v>
      </c>
      <c r="C146" s="43">
        <v>90</v>
      </c>
      <c r="D146" s="43" t="s">
        <v>64</v>
      </c>
      <c r="E146" s="55" t="str">
        <f t="shared" si="12"/>
        <v>M</v>
      </c>
      <c r="F146" s="55">
        <v>100</v>
      </c>
      <c r="G146" s="55" t="s">
        <v>46</v>
      </c>
      <c r="H146" s="55">
        <v>106.3</v>
      </c>
      <c r="I146" s="55"/>
      <c r="J146" s="55"/>
      <c r="K146" s="46" t="str">
        <f t="shared" ca="1" si="13"/>
        <v/>
      </c>
      <c r="L146" s="56" t="str">
        <f t="shared" ca="1" si="14"/>
        <v/>
      </c>
      <c r="Q146" s="57" t="str">
        <f t="shared" ca="1" si="15"/>
        <v/>
      </c>
      <c r="R146" s="57" t="str">
        <f t="shared" ca="1" si="16"/>
        <v/>
      </c>
    </row>
    <row r="147" spans="2:18" x14ac:dyDescent="0.25">
      <c r="B147" s="43">
        <v>2570</v>
      </c>
      <c r="C147" s="43">
        <v>90</v>
      </c>
      <c r="D147" s="43" t="s">
        <v>64</v>
      </c>
      <c r="E147" s="55" t="str">
        <f t="shared" si="12"/>
        <v>M</v>
      </c>
      <c r="F147" s="55">
        <v>100</v>
      </c>
      <c r="G147" s="55" t="s">
        <v>46</v>
      </c>
      <c r="H147" s="55">
        <v>65.7</v>
      </c>
      <c r="I147" s="55" t="s">
        <v>27</v>
      </c>
      <c r="J147" s="55"/>
      <c r="K147" s="46" t="str">
        <f t="shared" ca="1" si="13"/>
        <v/>
      </c>
      <c r="L147" s="56" t="str">
        <f t="shared" ca="1" si="14"/>
        <v/>
      </c>
      <c r="Q147" s="57" t="str">
        <f t="shared" ca="1" si="15"/>
        <v/>
      </c>
      <c r="R147" s="57" t="str">
        <f t="shared" ca="1" si="16"/>
        <v/>
      </c>
    </row>
    <row r="148" spans="2:18" x14ac:dyDescent="0.25">
      <c r="B148" s="43">
        <v>2575</v>
      </c>
      <c r="C148" s="43">
        <v>95</v>
      </c>
      <c r="D148" s="43" t="s">
        <v>64</v>
      </c>
      <c r="E148" s="55" t="str">
        <f t="shared" si="12"/>
        <v>M</v>
      </c>
      <c r="F148" s="55">
        <v>100</v>
      </c>
      <c r="G148" s="55" t="s">
        <v>46</v>
      </c>
      <c r="H148" s="55">
        <v>118.8</v>
      </c>
      <c r="I148" s="55"/>
      <c r="J148" s="55"/>
      <c r="K148" s="46" t="str">
        <f t="shared" ca="1" si="13"/>
        <v/>
      </c>
      <c r="L148" s="56" t="str">
        <f t="shared" ca="1" si="14"/>
        <v/>
      </c>
      <c r="Q148" s="57" t="str">
        <f t="shared" ca="1" si="15"/>
        <v/>
      </c>
      <c r="R148" s="57" t="str">
        <f t="shared" ca="1" si="16"/>
        <v/>
      </c>
    </row>
    <row r="149" spans="2:18" x14ac:dyDescent="0.25">
      <c r="B149" s="43">
        <v>2580</v>
      </c>
      <c r="C149" s="43">
        <v>95</v>
      </c>
      <c r="D149" s="43" t="s">
        <v>64</v>
      </c>
      <c r="E149" s="55" t="str">
        <f t="shared" si="12"/>
        <v>M</v>
      </c>
      <c r="F149" s="55">
        <v>100</v>
      </c>
      <c r="G149" s="55" t="s">
        <v>46</v>
      </c>
      <c r="H149" s="55">
        <v>83.2</v>
      </c>
      <c r="I149" s="55"/>
      <c r="J149" s="55"/>
      <c r="K149" s="46" t="str">
        <f t="shared" ca="1" si="13"/>
        <v/>
      </c>
      <c r="L149" s="56" t="str">
        <f t="shared" ca="1" si="14"/>
        <v/>
      </c>
      <c r="Q149" s="57" t="str">
        <f t="shared" ca="1" si="15"/>
        <v/>
      </c>
      <c r="R149" s="57" t="str">
        <f t="shared" ca="1" si="16"/>
        <v/>
      </c>
    </row>
    <row r="150" spans="2:18" x14ac:dyDescent="0.25">
      <c r="B150" s="43">
        <v>2585</v>
      </c>
      <c r="C150" s="43">
        <v>95</v>
      </c>
      <c r="D150" s="43" t="s">
        <v>64</v>
      </c>
      <c r="E150" s="55" t="str">
        <f t="shared" si="12"/>
        <v>M</v>
      </c>
      <c r="F150" s="55">
        <v>100</v>
      </c>
      <c r="G150" s="55" t="s">
        <v>46</v>
      </c>
      <c r="H150" s="55">
        <v>102.7</v>
      </c>
      <c r="I150" s="55"/>
      <c r="J150" s="55"/>
      <c r="K150" s="46" t="str">
        <f t="shared" ca="1" si="13"/>
        <v/>
      </c>
      <c r="L150" s="56" t="str">
        <f t="shared" ca="1" si="14"/>
        <v/>
      </c>
      <c r="Q150" s="57" t="str">
        <f t="shared" ca="1" si="15"/>
        <v/>
      </c>
      <c r="R150" s="57" t="str">
        <f t="shared" ca="1" si="16"/>
        <v/>
      </c>
    </row>
    <row r="151" spans="2:18" x14ac:dyDescent="0.25">
      <c r="B151" s="43">
        <v>2590</v>
      </c>
      <c r="C151" s="43">
        <v>95</v>
      </c>
      <c r="D151" s="43" t="s">
        <v>64</v>
      </c>
      <c r="E151" s="55" t="str">
        <f t="shared" si="12"/>
        <v>M</v>
      </c>
      <c r="F151" s="55">
        <v>100</v>
      </c>
      <c r="G151" s="55" t="s">
        <v>46</v>
      </c>
      <c r="H151" s="55">
        <v>75.099999999999994</v>
      </c>
      <c r="I151" s="55"/>
      <c r="J151" s="55"/>
      <c r="K151" s="46" t="str">
        <f t="shared" ca="1" si="13"/>
        <v/>
      </c>
      <c r="L151" s="56" t="str">
        <f t="shared" ca="1" si="14"/>
        <v/>
      </c>
      <c r="Q151" s="57" t="str">
        <f t="shared" ca="1" si="15"/>
        <v/>
      </c>
      <c r="R151" s="57" t="str">
        <f t="shared" ca="1" si="16"/>
        <v/>
      </c>
    </row>
    <row r="152" spans="2:18" x14ac:dyDescent="0.25">
      <c r="B152" s="43">
        <v>2595</v>
      </c>
      <c r="C152" s="43">
        <v>90</v>
      </c>
      <c r="D152" s="43" t="s">
        <v>64</v>
      </c>
      <c r="E152" s="55" t="str">
        <f t="shared" si="12"/>
        <v>M</v>
      </c>
      <c r="F152" s="55">
        <v>100</v>
      </c>
      <c r="G152" s="55" t="s">
        <v>46</v>
      </c>
      <c r="H152" s="55">
        <v>78.599999999999994</v>
      </c>
      <c r="I152" s="55"/>
      <c r="J152" s="55"/>
      <c r="K152" s="46" t="str">
        <f t="shared" ca="1" si="13"/>
        <v/>
      </c>
      <c r="L152" s="56" t="str">
        <f t="shared" ca="1" si="14"/>
        <v/>
      </c>
      <c r="Q152" s="57" t="str">
        <f t="shared" ca="1" si="15"/>
        <v/>
      </c>
      <c r="R152" s="57" t="str">
        <f t="shared" ca="1" si="16"/>
        <v/>
      </c>
    </row>
    <row r="153" spans="2:18" x14ac:dyDescent="0.25">
      <c r="B153" s="43">
        <v>2600</v>
      </c>
      <c r="C153" s="43">
        <v>90</v>
      </c>
      <c r="D153" s="43" t="s">
        <v>64</v>
      </c>
      <c r="E153" s="55" t="str">
        <f t="shared" si="12"/>
        <v>M</v>
      </c>
      <c r="F153" s="55">
        <v>100</v>
      </c>
      <c r="G153" s="55" t="s">
        <v>46</v>
      </c>
      <c r="H153" s="55">
        <v>72.400000000000006</v>
      </c>
      <c r="I153" s="55"/>
      <c r="J153" s="55"/>
      <c r="K153" s="46" t="str">
        <f t="shared" ca="1" si="13"/>
        <v/>
      </c>
      <c r="L153" s="56" t="str">
        <f t="shared" ca="1" si="14"/>
        <v/>
      </c>
      <c r="Q153" s="57" t="str">
        <f t="shared" ca="1" si="15"/>
        <v/>
      </c>
      <c r="R153" s="57" t="str">
        <f t="shared" ca="1" si="16"/>
        <v/>
      </c>
    </row>
    <row r="154" spans="2:18" x14ac:dyDescent="0.25">
      <c r="B154" s="43">
        <v>2605</v>
      </c>
      <c r="C154" s="43">
        <v>100</v>
      </c>
      <c r="D154" s="43" t="s">
        <v>64</v>
      </c>
      <c r="E154" s="55" t="str">
        <f t="shared" si="12"/>
        <v>M</v>
      </c>
      <c r="F154" s="55">
        <v>100</v>
      </c>
      <c r="G154" s="55" t="s">
        <v>45</v>
      </c>
      <c r="H154" s="55">
        <v>79.2</v>
      </c>
      <c r="I154" s="55"/>
      <c r="J154" s="55"/>
      <c r="K154" s="46" t="str">
        <f t="shared" ca="1" si="13"/>
        <v/>
      </c>
      <c r="L154" s="56" t="str">
        <f t="shared" ca="1" si="14"/>
        <v/>
      </c>
      <c r="Q154" s="57" t="str">
        <f t="shared" ca="1" si="15"/>
        <v/>
      </c>
      <c r="R154" s="57" t="str">
        <f t="shared" ca="1" si="16"/>
        <v/>
      </c>
    </row>
    <row r="155" spans="2:18" x14ac:dyDescent="0.25">
      <c r="B155" s="43">
        <v>2610</v>
      </c>
      <c r="C155" s="43">
        <v>100</v>
      </c>
      <c r="D155" s="43" t="s">
        <v>64</v>
      </c>
      <c r="E155" s="55" t="str">
        <f t="shared" si="12"/>
        <v>M</v>
      </c>
      <c r="F155" s="55">
        <v>100</v>
      </c>
      <c r="G155" s="55" t="s">
        <v>45</v>
      </c>
      <c r="H155" s="55">
        <v>70.2</v>
      </c>
      <c r="I155" s="55"/>
      <c r="J155" s="55"/>
      <c r="K155" s="46" t="str">
        <f t="shared" ca="1" si="13"/>
        <v/>
      </c>
      <c r="L155" s="56" t="str">
        <f t="shared" ca="1" si="14"/>
        <v/>
      </c>
      <c r="Q155" s="57" t="str">
        <f t="shared" ca="1" si="15"/>
        <v/>
      </c>
      <c r="R155" s="57" t="str">
        <f t="shared" ca="1" si="16"/>
        <v/>
      </c>
    </row>
    <row r="156" spans="2:18" x14ac:dyDescent="0.25">
      <c r="B156" s="43">
        <v>2615</v>
      </c>
      <c r="C156" s="43">
        <v>95</v>
      </c>
      <c r="D156" s="43" t="s">
        <v>64</v>
      </c>
      <c r="E156" s="55" t="str">
        <f t="shared" si="12"/>
        <v>M</v>
      </c>
      <c r="F156" s="55">
        <v>100</v>
      </c>
      <c r="G156" s="55" t="s">
        <v>45</v>
      </c>
      <c r="H156" s="55">
        <v>71.400000000000006</v>
      </c>
      <c r="I156" s="55"/>
      <c r="J156" s="55"/>
      <c r="K156" s="46" t="str">
        <f t="shared" ca="1" si="13"/>
        <v/>
      </c>
      <c r="L156" s="56" t="str">
        <f t="shared" ca="1" si="14"/>
        <v/>
      </c>
      <c r="Q156" s="57" t="str">
        <f t="shared" ca="1" si="15"/>
        <v/>
      </c>
      <c r="R156" s="57" t="str">
        <f t="shared" ca="1" si="16"/>
        <v/>
      </c>
    </row>
    <row r="157" spans="2:18" x14ac:dyDescent="0.25">
      <c r="B157" s="43">
        <v>2620</v>
      </c>
      <c r="C157" s="43">
        <v>95</v>
      </c>
      <c r="D157" s="43" t="s">
        <v>64</v>
      </c>
      <c r="E157" s="55" t="str">
        <f t="shared" si="12"/>
        <v>M</v>
      </c>
      <c r="F157" s="55">
        <v>100</v>
      </c>
      <c r="G157" s="55" t="s">
        <v>45</v>
      </c>
      <c r="H157" s="55">
        <v>81.400000000000006</v>
      </c>
      <c r="I157" s="55"/>
      <c r="J157" s="55"/>
      <c r="K157" s="46" t="str">
        <f t="shared" ca="1" si="13"/>
        <v/>
      </c>
      <c r="L157" s="56" t="str">
        <f t="shared" ca="1" si="14"/>
        <v/>
      </c>
      <c r="Q157" s="57" t="str">
        <f t="shared" ca="1" si="15"/>
        <v/>
      </c>
      <c r="R157" s="57" t="str">
        <f t="shared" ca="1" si="16"/>
        <v/>
      </c>
    </row>
    <row r="158" spans="2:18" x14ac:dyDescent="0.25">
      <c r="B158" s="43">
        <v>2625</v>
      </c>
      <c r="C158" s="43">
        <v>100</v>
      </c>
      <c r="D158" s="43" t="s">
        <v>64</v>
      </c>
      <c r="E158" s="55" t="str">
        <f t="shared" si="12"/>
        <v>M</v>
      </c>
      <c r="F158" s="55">
        <v>100</v>
      </c>
      <c r="G158" s="55" t="s">
        <v>45</v>
      </c>
      <c r="H158" s="55">
        <v>88.3</v>
      </c>
      <c r="I158" s="55"/>
      <c r="J158" s="55"/>
      <c r="K158" s="46" t="str">
        <f t="shared" ca="1" si="13"/>
        <v/>
      </c>
      <c r="L158" s="56" t="str">
        <f t="shared" ca="1" si="14"/>
        <v/>
      </c>
      <c r="Q158" s="57" t="str">
        <f t="shared" ca="1" si="15"/>
        <v/>
      </c>
      <c r="R158" s="57" t="str">
        <f t="shared" ca="1" si="16"/>
        <v/>
      </c>
    </row>
    <row r="159" spans="2:18" x14ac:dyDescent="0.25">
      <c r="B159" s="43">
        <v>2630</v>
      </c>
      <c r="C159" s="43">
        <v>100</v>
      </c>
      <c r="D159" s="43" t="s">
        <v>65</v>
      </c>
      <c r="E159" s="55" t="str">
        <f t="shared" si="12"/>
        <v>M</v>
      </c>
      <c r="F159" s="55">
        <v>100</v>
      </c>
      <c r="G159" s="55" t="s">
        <v>45</v>
      </c>
      <c r="H159" s="59">
        <v>84</v>
      </c>
      <c r="I159" s="55"/>
      <c r="J159" s="55"/>
      <c r="K159" s="46" t="str">
        <f t="shared" ca="1" si="13"/>
        <v/>
      </c>
      <c r="L159" s="56" t="str">
        <f t="shared" ca="1" si="14"/>
        <v/>
      </c>
      <c r="Q159" s="57" t="str">
        <f t="shared" ca="1" si="15"/>
        <v/>
      </c>
      <c r="R159" s="57" t="str">
        <f t="shared" ca="1" si="16"/>
        <v/>
      </c>
    </row>
    <row r="160" spans="2:18" x14ac:dyDescent="0.25">
      <c r="B160" s="43">
        <v>2635</v>
      </c>
      <c r="C160" s="43">
        <v>95</v>
      </c>
      <c r="D160" s="43" t="s">
        <v>65</v>
      </c>
      <c r="E160" s="55" t="str">
        <f t="shared" si="12"/>
        <v>M</v>
      </c>
      <c r="F160" s="55">
        <v>100</v>
      </c>
      <c r="G160" s="55" t="s">
        <v>46</v>
      </c>
      <c r="H160" s="55">
        <v>66.8</v>
      </c>
      <c r="I160" s="55"/>
      <c r="J160" s="55"/>
      <c r="K160" s="46" t="str">
        <f t="shared" ca="1" si="13"/>
        <v/>
      </c>
      <c r="L160" s="56" t="str">
        <f t="shared" ca="1" si="14"/>
        <v/>
      </c>
      <c r="Q160" s="57" t="str">
        <f t="shared" ca="1" si="15"/>
        <v/>
      </c>
      <c r="R160" s="57" t="str">
        <f t="shared" ca="1" si="16"/>
        <v/>
      </c>
    </row>
    <row r="161" spans="2:18" x14ac:dyDescent="0.25">
      <c r="B161" s="43">
        <v>2640</v>
      </c>
      <c r="C161" s="43">
        <v>95</v>
      </c>
      <c r="D161" s="43" t="s">
        <v>65</v>
      </c>
      <c r="E161" s="55" t="str">
        <f t="shared" si="12"/>
        <v>M</v>
      </c>
      <c r="F161" s="55">
        <v>100</v>
      </c>
      <c r="G161" s="55" t="s">
        <v>46</v>
      </c>
      <c r="H161" s="55">
        <v>62.1</v>
      </c>
      <c r="I161" s="55"/>
      <c r="J161" s="55"/>
      <c r="K161" s="46" t="str">
        <f t="shared" ca="1" si="13"/>
        <v/>
      </c>
      <c r="L161" s="56" t="str">
        <f t="shared" ca="1" si="14"/>
        <v/>
      </c>
      <c r="Q161" s="57" t="str">
        <f t="shared" ca="1" si="15"/>
        <v/>
      </c>
      <c r="R161" s="57" t="str">
        <f t="shared" ca="1" si="16"/>
        <v/>
      </c>
    </row>
    <row r="162" spans="2:18" x14ac:dyDescent="0.25">
      <c r="B162" s="43">
        <v>2645</v>
      </c>
      <c r="C162" s="43">
        <v>95</v>
      </c>
      <c r="D162" s="43" t="s">
        <v>65</v>
      </c>
      <c r="E162" s="55" t="str">
        <f t="shared" si="12"/>
        <v>M</v>
      </c>
      <c r="F162" s="55">
        <v>100</v>
      </c>
      <c r="G162" s="55" t="s">
        <v>45</v>
      </c>
      <c r="H162" s="55">
        <v>48.1</v>
      </c>
      <c r="I162" s="55"/>
      <c r="J162" s="55"/>
      <c r="K162" s="46" t="str">
        <f t="shared" ca="1" si="13"/>
        <v/>
      </c>
      <c r="L162" s="56" t="str">
        <f t="shared" ca="1" si="14"/>
        <v/>
      </c>
      <c r="Q162" s="57" t="str">
        <f t="shared" ca="1" si="15"/>
        <v/>
      </c>
      <c r="R162" s="57" t="str">
        <f t="shared" ca="1" si="16"/>
        <v/>
      </c>
    </row>
    <row r="163" spans="2:18" x14ac:dyDescent="0.25">
      <c r="B163" s="43">
        <v>2650</v>
      </c>
      <c r="C163" s="43">
        <v>95</v>
      </c>
      <c r="D163" s="43" t="s">
        <v>65</v>
      </c>
      <c r="E163" s="55" t="str">
        <f t="shared" si="12"/>
        <v>M</v>
      </c>
      <c r="F163" s="55">
        <v>100</v>
      </c>
      <c r="G163" s="55" t="s">
        <v>45</v>
      </c>
      <c r="H163" s="55">
        <v>68.599999999999994</v>
      </c>
      <c r="I163" s="55"/>
      <c r="J163" s="55"/>
      <c r="K163" s="46" t="str">
        <f t="shared" ca="1" si="13"/>
        <v/>
      </c>
      <c r="L163" s="56" t="str">
        <f t="shared" ca="1" si="14"/>
        <v/>
      </c>
      <c r="Q163" s="57" t="str">
        <f t="shared" ca="1" si="15"/>
        <v/>
      </c>
      <c r="R163" s="57" t="str">
        <f t="shared" ca="1" si="16"/>
        <v/>
      </c>
    </row>
    <row r="164" spans="2:18" x14ac:dyDescent="0.25">
      <c r="B164" s="43">
        <v>2655</v>
      </c>
      <c r="C164" s="43">
        <v>95</v>
      </c>
      <c r="D164" s="43" t="s">
        <v>65</v>
      </c>
      <c r="E164" s="55" t="str">
        <f t="shared" si="12"/>
        <v>M</v>
      </c>
      <c r="F164" s="55">
        <v>100</v>
      </c>
      <c r="G164" s="55" t="s">
        <v>46</v>
      </c>
      <c r="H164" s="55">
        <v>76.5</v>
      </c>
      <c r="I164" s="55"/>
      <c r="J164" s="55"/>
      <c r="K164" s="46" t="str">
        <f t="shared" ca="1" si="13"/>
        <v/>
      </c>
      <c r="L164" s="56" t="str">
        <f t="shared" ca="1" si="14"/>
        <v/>
      </c>
      <c r="Q164" s="57" t="str">
        <f t="shared" ca="1" si="15"/>
        <v/>
      </c>
      <c r="R164" s="57" t="str">
        <f t="shared" ca="1" si="16"/>
        <v/>
      </c>
    </row>
    <row r="165" spans="2:18" x14ac:dyDescent="0.25">
      <c r="B165" s="43">
        <v>2660</v>
      </c>
      <c r="C165" s="43">
        <v>95</v>
      </c>
      <c r="D165" s="43" t="s">
        <v>65</v>
      </c>
      <c r="E165" s="55" t="str">
        <f t="shared" si="12"/>
        <v>M</v>
      </c>
      <c r="F165" s="55">
        <v>100</v>
      </c>
      <c r="G165" s="55" t="s">
        <v>46</v>
      </c>
      <c r="H165" s="55">
        <v>79.099999999999994</v>
      </c>
      <c r="I165" s="55"/>
      <c r="J165" s="55"/>
      <c r="K165" s="46" t="str">
        <f t="shared" ca="1" si="13"/>
        <v/>
      </c>
      <c r="L165" s="56" t="str">
        <f t="shared" ca="1" si="14"/>
        <v/>
      </c>
      <c r="Q165" s="57" t="str">
        <f t="shared" ca="1" si="15"/>
        <v/>
      </c>
      <c r="R165" s="57" t="str">
        <f t="shared" ca="1" si="16"/>
        <v/>
      </c>
    </row>
    <row r="166" spans="2:18" x14ac:dyDescent="0.25">
      <c r="B166" s="43">
        <v>2665</v>
      </c>
      <c r="C166" s="43">
        <v>90</v>
      </c>
      <c r="D166" s="43" t="s">
        <v>65</v>
      </c>
      <c r="E166" s="55" t="str">
        <f t="shared" si="12"/>
        <v>M</v>
      </c>
      <c r="F166" s="55">
        <v>100</v>
      </c>
      <c r="G166" s="55" t="s">
        <v>46</v>
      </c>
      <c r="H166" s="55">
        <v>52.5</v>
      </c>
      <c r="I166" s="55"/>
      <c r="J166" s="55"/>
      <c r="K166" s="46" t="str">
        <f t="shared" ca="1" si="13"/>
        <v/>
      </c>
      <c r="L166" s="56" t="str">
        <f t="shared" ca="1" si="14"/>
        <v/>
      </c>
      <c r="Q166" s="57" t="str">
        <f t="shared" ca="1" si="15"/>
        <v/>
      </c>
      <c r="R166" s="57" t="str">
        <f t="shared" ca="1" si="16"/>
        <v/>
      </c>
    </row>
    <row r="167" spans="2:18" x14ac:dyDescent="0.25">
      <c r="B167" s="43">
        <v>2670</v>
      </c>
      <c r="C167" s="43">
        <v>90</v>
      </c>
      <c r="D167" s="43" t="s">
        <v>65</v>
      </c>
      <c r="E167" s="55" t="str">
        <f t="shared" si="12"/>
        <v>M</v>
      </c>
      <c r="F167" s="55">
        <v>100</v>
      </c>
      <c r="G167" s="55" t="s">
        <v>46</v>
      </c>
      <c r="H167" s="55">
        <v>88.5</v>
      </c>
      <c r="I167" s="55"/>
      <c r="J167" s="55"/>
      <c r="K167" s="46" t="str">
        <f t="shared" ca="1" si="13"/>
        <v/>
      </c>
      <c r="L167" s="56" t="str">
        <f t="shared" ca="1" si="14"/>
        <v/>
      </c>
      <c r="Q167" s="57" t="str">
        <f t="shared" ca="1" si="15"/>
        <v/>
      </c>
      <c r="R167" s="57" t="str">
        <f t="shared" ca="1" si="16"/>
        <v/>
      </c>
    </row>
    <row r="168" spans="2:18" x14ac:dyDescent="0.25">
      <c r="B168" s="43">
        <v>2675</v>
      </c>
      <c r="C168" s="43">
        <v>95</v>
      </c>
      <c r="D168" s="43" t="s">
        <v>65</v>
      </c>
      <c r="E168" s="55" t="str">
        <f t="shared" si="12"/>
        <v>M</v>
      </c>
      <c r="F168" s="55">
        <v>100</v>
      </c>
      <c r="G168" s="55" t="s">
        <v>46</v>
      </c>
      <c r="H168" s="55">
        <v>95.7</v>
      </c>
      <c r="I168" s="55"/>
      <c r="J168" s="55"/>
      <c r="K168" s="46" t="str">
        <f t="shared" ca="1" si="13"/>
        <v/>
      </c>
      <c r="L168" s="56" t="str">
        <f t="shared" ca="1" si="14"/>
        <v/>
      </c>
      <c r="Q168" s="57" t="str">
        <f t="shared" ca="1" si="15"/>
        <v/>
      </c>
      <c r="R168" s="57" t="str">
        <f t="shared" ca="1" si="16"/>
        <v/>
      </c>
    </row>
    <row r="169" spans="2:18" x14ac:dyDescent="0.25">
      <c r="B169" s="43">
        <v>2680</v>
      </c>
      <c r="C169" s="43">
        <v>95</v>
      </c>
      <c r="D169" s="43" t="s">
        <v>65</v>
      </c>
      <c r="E169" s="55" t="str">
        <f t="shared" si="12"/>
        <v>M</v>
      </c>
      <c r="F169" s="55">
        <v>100</v>
      </c>
      <c r="G169" s="55" t="s">
        <v>46</v>
      </c>
      <c r="H169" s="59">
        <v>100</v>
      </c>
      <c r="I169" s="55"/>
      <c r="J169" s="55"/>
      <c r="K169" s="46" t="str">
        <f t="shared" ca="1" si="13"/>
        <v/>
      </c>
      <c r="L169" s="56" t="str">
        <f t="shared" ca="1" si="14"/>
        <v/>
      </c>
      <c r="Q169" s="57" t="str">
        <f t="shared" ca="1" si="15"/>
        <v/>
      </c>
      <c r="R169" s="57" t="str">
        <f t="shared" ca="1" si="16"/>
        <v/>
      </c>
    </row>
    <row r="170" spans="2:18" x14ac:dyDescent="0.25">
      <c r="B170" s="43">
        <v>2685</v>
      </c>
      <c r="C170" s="43">
        <v>60</v>
      </c>
      <c r="D170" s="43" t="s">
        <v>65</v>
      </c>
      <c r="E170" s="55" t="str">
        <f t="shared" si="12"/>
        <v>M</v>
      </c>
      <c r="F170" s="55">
        <v>100</v>
      </c>
      <c r="G170" s="55" t="s">
        <v>49</v>
      </c>
      <c r="H170" s="55">
        <v>46</v>
      </c>
      <c r="I170" s="55"/>
      <c r="J170" s="55"/>
      <c r="K170" s="46" t="str">
        <f t="shared" ca="1" si="13"/>
        <v/>
      </c>
      <c r="L170" s="56" t="str">
        <f t="shared" ca="1" si="14"/>
        <v/>
      </c>
      <c r="Q170" s="57" t="str">
        <f t="shared" ca="1" si="15"/>
        <v/>
      </c>
      <c r="R170" s="57" t="str">
        <f t="shared" ca="1" si="16"/>
        <v/>
      </c>
    </row>
    <row r="171" spans="2:18" x14ac:dyDescent="0.25">
      <c r="B171" s="43">
        <v>2690</v>
      </c>
      <c r="C171" s="43">
        <v>60</v>
      </c>
      <c r="D171" s="43" t="s">
        <v>65</v>
      </c>
      <c r="E171" s="55" t="str">
        <f t="shared" si="12"/>
        <v>M</v>
      </c>
      <c r="F171" s="55">
        <v>100</v>
      </c>
      <c r="G171" s="55" t="s">
        <v>49</v>
      </c>
      <c r="H171" s="55">
        <v>59</v>
      </c>
      <c r="I171" s="55"/>
      <c r="J171" s="55"/>
      <c r="K171" s="46" t="str">
        <f t="shared" ca="1" si="13"/>
        <v/>
      </c>
      <c r="L171" s="56" t="str">
        <f t="shared" ca="1" si="14"/>
        <v/>
      </c>
      <c r="Q171" s="57" t="str">
        <f t="shared" ca="1" si="15"/>
        <v/>
      </c>
      <c r="R171" s="57" t="str">
        <f t="shared" ca="1" si="16"/>
        <v/>
      </c>
    </row>
    <row r="172" spans="2:18" x14ac:dyDescent="0.25">
      <c r="B172" s="43">
        <v>2695</v>
      </c>
      <c r="C172" s="43">
        <v>90</v>
      </c>
      <c r="D172" s="43" t="s">
        <v>65</v>
      </c>
      <c r="E172" s="55" t="str">
        <f t="shared" si="12"/>
        <v>M</v>
      </c>
      <c r="F172" s="55">
        <v>100</v>
      </c>
      <c r="G172" s="55" t="s">
        <v>49</v>
      </c>
      <c r="H172" s="55">
        <v>64</v>
      </c>
      <c r="I172" s="55"/>
      <c r="J172" s="55"/>
      <c r="K172" s="46" t="str">
        <f t="shared" ca="1" si="13"/>
        <v/>
      </c>
      <c r="L172" s="56" t="str">
        <f t="shared" ca="1" si="14"/>
        <v/>
      </c>
      <c r="Q172" s="57" t="str">
        <f t="shared" ca="1" si="15"/>
        <v/>
      </c>
      <c r="R172" s="57" t="str">
        <f t="shared" ca="1" si="16"/>
        <v/>
      </c>
    </row>
    <row r="173" spans="2:18" x14ac:dyDescent="0.25">
      <c r="B173" s="43">
        <v>2700</v>
      </c>
      <c r="C173" s="43">
        <v>90</v>
      </c>
      <c r="D173" s="43" t="s">
        <v>65</v>
      </c>
      <c r="E173" s="55" t="str">
        <f t="shared" si="12"/>
        <v>M</v>
      </c>
      <c r="F173" s="55">
        <v>100</v>
      </c>
      <c r="G173" s="55" t="s">
        <v>49</v>
      </c>
      <c r="H173" s="55">
        <v>72</v>
      </c>
      <c r="I173" s="55"/>
      <c r="J173" s="55"/>
      <c r="K173" s="46" t="str">
        <f t="shared" ca="1" si="13"/>
        <v/>
      </c>
      <c r="L173" s="56" t="str">
        <f t="shared" ca="1" si="14"/>
        <v/>
      </c>
      <c r="Q173" s="57" t="str">
        <f t="shared" ca="1" si="15"/>
        <v/>
      </c>
      <c r="R173" s="57" t="str">
        <f t="shared" ca="1" si="16"/>
        <v/>
      </c>
    </row>
    <row r="174" spans="2:18" x14ac:dyDescent="0.25">
      <c r="B174" s="43">
        <v>2705</v>
      </c>
      <c r="C174" s="43">
        <v>90</v>
      </c>
      <c r="D174" s="43" t="s">
        <v>65</v>
      </c>
      <c r="E174" s="55" t="str">
        <f t="shared" si="12"/>
        <v>M</v>
      </c>
      <c r="F174" s="55">
        <v>100</v>
      </c>
      <c r="G174" s="55" t="s">
        <v>49</v>
      </c>
      <c r="H174" s="55">
        <v>52</v>
      </c>
      <c r="I174" s="55"/>
      <c r="J174" s="55"/>
      <c r="K174" s="46" t="str">
        <f t="shared" ca="1" si="13"/>
        <v/>
      </c>
      <c r="L174" s="56" t="str">
        <f t="shared" ca="1" si="14"/>
        <v/>
      </c>
      <c r="Q174" s="57" t="str">
        <f t="shared" ca="1" si="15"/>
        <v/>
      </c>
      <c r="R174" s="57" t="str">
        <f t="shared" ca="1" si="16"/>
        <v/>
      </c>
    </row>
    <row r="175" spans="2:18" x14ac:dyDescent="0.25">
      <c r="B175" s="43">
        <v>2710</v>
      </c>
      <c r="C175" s="43">
        <v>90</v>
      </c>
      <c r="D175" s="43" t="s">
        <v>65</v>
      </c>
      <c r="E175" s="55" t="str">
        <f t="shared" si="12"/>
        <v>M</v>
      </c>
      <c r="F175" s="55">
        <v>100</v>
      </c>
      <c r="G175" s="55" t="s">
        <v>49</v>
      </c>
      <c r="H175" s="55">
        <v>75</v>
      </c>
      <c r="I175" s="55"/>
      <c r="J175" s="55"/>
      <c r="K175" s="46" t="str">
        <f t="shared" ca="1" si="13"/>
        <v/>
      </c>
      <c r="L175" s="56" t="str">
        <f t="shared" ca="1" si="14"/>
        <v/>
      </c>
      <c r="Q175" s="57" t="str">
        <f t="shared" ca="1" si="15"/>
        <v/>
      </c>
      <c r="R175" s="57" t="str">
        <f t="shared" ca="1" si="16"/>
        <v/>
      </c>
    </row>
    <row r="176" spans="2:18" x14ac:dyDescent="0.25">
      <c r="B176" s="43">
        <v>2715</v>
      </c>
      <c r="C176" s="43">
        <v>90</v>
      </c>
      <c r="D176" s="43" t="s">
        <v>65</v>
      </c>
      <c r="E176" s="55" t="str">
        <f t="shared" si="12"/>
        <v>M</v>
      </c>
      <c r="F176" s="55">
        <v>100</v>
      </c>
      <c r="G176" s="55" t="s">
        <v>49</v>
      </c>
      <c r="H176" s="55">
        <v>77</v>
      </c>
      <c r="I176" s="55"/>
      <c r="J176" s="55"/>
      <c r="K176" s="46" t="str">
        <f t="shared" ca="1" si="13"/>
        <v/>
      </c>
      <c r="L176" s="56" t="str">
        <f t="shared" ca="1" si="14"/>
        <v/>
      </c>
      <c r="Q176" s="57" t="str">
        <f t="shared" ca="1" si="15"/>
        <v/>
      </c>
      <c r="R176" s="57" t="str">
        <f t="shared" ca="1" si="16"/>
        <v/>
      </c>
    </row>
    <row r="177" spans="2:18" x14ac:dyDescent="0.25">
      <c r="B177" s="43">
        <v>2720</v>
      </c>
      <c r="C177" s="43">
        <v>90</v>
      </c>
      <c r="D177" s="43" t="s">
        <v>65</v>
      </c>
      <c r="E177" s="55" t="str">
        <f t="shared" si="12"/>
        <v>M</v>
      </c>
      <c r="F177" s="55">
        <v>100</v>
      </c>
      <c r="G177" s="55" t="s">
        <v>49</v>
      </c>
      <c r="H177" s="55">
        <v>68</v>
      </c>
      <c r="I177" s="55"/>
      <c r="J177" s="55"/>
      <c r="K177" s="46" t="str">
        <f t="shared" ca="1" si="13"/>
        <v/>
      </c>
      <c r="L177" s="56" t="str">
        <f t="shared" ca="1" si="14"/>
        <v/>
      </c>
      <c r="Q177" s="57" t="str">
        <f t="shared" ca="1" si="15"/>
        <v/>
      </c>
      <c r="R177" s="57" t="str">
        <f t="shared" ca="1" si="16"/>
        <v/>
      </c>
    </row>
    <row r="178" spans="2:18" x14ac:dyDescent="0.25">
      <c r="B178" s="43">
        <v>2725</v>
      </c>
      <c r="C178" s="43">
        <v>60</v>
      </c>
      <c r="D178" s="43" t="s">
        <v>65</v>
      </c>
      <c r="E178" s="55" t="str">
        <f t="shared" si="12"/>
        <v>M</v>
      </c>
      <c r="F178" s="55">
        <v>100</v>
      </c>
      <c r="G178" s="55" t="s">
        <v>49</v>
      </c>
      <c r="H178" s="55">
        <v>81</v>
      </c>
      <c r="I178" s="55"/>
      <c r="J178" s="55"/>
      <c r="K178" s="46" t="str">
        <f t="shared" ca="1" si="13"/>
        <v/>
      </c>
      <c r="L178" s="56" t="str">
        <f t="shared" ca="1" si="14"/>
        <v/>
      </c>
      <c r="Q178" s="57" t="str">
        <f t="shared" ca="1" si="15"/>
        <v/>
      </c>
      <c r="R178" s="57" t="str">
        <f t="shared" ca="1" si="16"/>
        <v/>
      </c>
    </row>
    <row r="179" spans="2:18" x14ac:dyDescent="0.25">
      <c r="B179" s="43">
        <v>2730</v>
      </c>
      <c r="C179" s="43">
        <v>50</v>
      </c>
      <c r="D179" s="43" t="s">
        <v>65</v>
      </c>
      <c r="E179" s="55" t="str">
        <f t="shared" si="12"/>
        <v>M</v>
      </c>
      <c r="F179" s="55">
        <v>100</v>
      </c>
      <c r="G179" s="55" t="s">
        <v>49</v>
      </c>
      <c r="H179" s="55">
        <v>92</v>
      </c>
      <c r="I179" s="55"/>
      <c r="J179" s="55"/>
      <c r="K179" s="46" t="str">
        <f t="shared" ca="1" si="13"/>
        <v/>
      </c>
      <c r="L179" s="56" t="str">
        <f t="shared" ca="1" si="14"/>
        <v/>
      </c>
      <c r="Q179" s="57" t="str">
        <f t="shared" ca="1" si="15"/>
        <v/>
      </c>
      <c r="R179" s="57" t="str">
        <f t="shared" ca="1" si="16"/>
        <v/>
      </c>
    </row>
    <row r="180" spans="2:18" x14ac:dyDescent="0.25">
      <c r="B180" s="43">
        <v>2735</v>
      </c>
      <c r="C180" s="43">
        <v>90</v>
      </c>
      <c r="D180" s="43" t="s">
        <v>65</v>
      </c>
      <c r="E180" s="55" t="str">
        <f t="shared" si="12"/>
        <v>M</v>
      </c>
      <c r="F180" s="55">
        <v>100</v>
      </c>
      <c r="G180" s="55" t="s">
        <v>49</v>
      </c>
      <c r="H180" s="55">
        <v>102</v>
      </c>
      <c r="I180" s="55"/>
      <c r="J180" s="55"/>
      <c r="K180" s="46" t="str">
        <f t="shared" ca="1" si="13"/>
        <v/>
      </c>
      <c r="L180" s="56" t="str">
        <f t="shared" ca="1" si="14"/>
        <v/>
      </c>
      <c r="Q180" s="57" t="str">
        <f t="shared" ca="1" si="15"/>
        <v/>
      </c>
      <c r="R180" s="57" t="str">
        <f t="shared" ca="1" si="16"/>
        <v/>
      </c>
    </row>
    <row r="181" spans="2:18" x14ac:dyDescent="0.25">
      <c r="B181" s="43">
        <v>2740</v>
      </c>
      <c r="C181" s="43">
        <v>90</v>
      </c>
      <c r="D181" s="43" t="s">
        <v>65</v>
      </c>
      <c r="E181" s="55" t="str">
        <f t="shared" si="12"/>
        <v>M</v>
      </c>
      <c r="F181" s="55">
        <v>100</v>
      </c>
      <c r="G181" s="55" t="s">
        <v>49</v>
      </c>
      <c r="H181" s="55">
        <v>102</v>
      </c>
      <c r="I181" s="55"/>
      <c r="J181" s="55"/>
      <c r="K181" s="46" t="str">
        <f t="shared" ca="1" si="13"/>
        <v/>
      </c>
      <c r="L181" s="56" t="str">
        <f t="shared" ca="1" si="14"/>
        <v/>
      </c>
      <c r="Q181" s="57" t="str">
        <f t="shared" ca="1" si="15"/>
        <v/>
      </c>
      <c r="R181" s="57" t="str">
        <f t="shared" ca="1" si="16"/>
        <v/>
      </c>
    </row>
    <row r="182" spans="2:18" x14ac:dyDescent="0.25">
      <c r="B182" s="43">
        <v>2745</v>
      </c>
      <c r="C182" s="43">
        <v>80</v>
      </c>
      <c r="D182" s="43" t="s">
        <v>65</v>
      </c>
      <c r="E182" s="55" t="str">
        <f t="shared" si="12"/>
        <v>M</v>
      </c>
      <c r="F182" s="55">
        <v>100</v>
      </c>
      <c r="G182" s="55" t="s">
        <v>49</v>
      </c>
      <c r="H182" s="55">
        <v>76</v>
      </c>
      <c r="I182" s="55"/>
      <c r="J182" s="55"/>
      <c r="K182" s="46" t="str">
        <f t="shared" ca="1" si="13"/>
        <v/>
      </c>
      <c r="L182" s="56" t="str">
        <f t="shared" ca="1" si="14"/>
        <v/>
      </c>
      <c r="Q182" s="57" t="str">
        <f t="shared" ca="1" si="15"/>
        <v/>
      </c>
      <c r="R182" s="57" t="str">
        <f t="shared" ca="1" si="16"/>
        <v/>
      </c>
    </row>
    <row r="183" spans="2:18" x14ac:dyDescent="0.25">
      <c r="B183" s="43">
        <v>2750</v>
      </c>
      <c r="C183" s="43">
        <v>80</v>
      </c>
      <c r="D183" s="43" t="s">
        <v>65</v>
      </c>
      <c r="E183" s="55" t="str">
        <f t="shared" si="12"/>
        <v>M</v>
      </c>
      <c r="F183" s="55">
        <v>100</v>
      </c>
      <c r="G183" s="55" t="s">
        <v>49</v>
      </c>
      <c r="H183" s="55">
        <v>70</v>
      </c>
      <c r="I183" s="55"/>
      <c r="J183" s="55"/>
      <c r="K183" s="46" t="str">
        <f t="shared" ca="1" si="13"/>
        <v/>
      </c>
      <c r="L183" s="56" t="str">
        <f t="shared" ca="1" si="14"/>
        <v/>
      </c>
      <c r="Q183" s="57" t="str">
        <f t="shared" ca="1" si="15"/>
        <v/>
      </c>
      <c r="R183" s="57" t="str">
        <f t="shared" ca="1" si="16"/>
        <v/>
      </c>
    </row>
    <row r="184" spans="2:18" x14ac:dyDescent="0.25">
      <c r="B184" s="43">
        <v>2755</v>
      </c>
      <c r="C184" s="43">
        <v>80</v>
      </c>
      <c r="D184" s="43" t="s">
        <v>64</v>
      </c>
      <c r="E184" s="55" t="str">
        <f t="shared" si="12"/>
        <v>M</v>
      </c>
      <c r="F184" s="55">
        <v>100</v>
      </c>
      <c r="G184" s="55" t="s">
        <v>46</v>
      </c>
      <c r="H184" s="55">
        <v>76.2</v>
      </c>
      <c r="I184" s="55"/>
      <c r="J184" s="55"/>
      <c r="K184" s="46"/>
      <c r="L184" s="56"/>
      <c r="Q184" s="57"/>
      <c r="R184" s="57"/>
    </row>
    <row r="185" spans="2:18" x14ac:dyDescent="0.25">
      <c r="B185" s="43">
        <v>2760</v>
      </c>
      <c r="C185" s="43">
        <v>80</v>
      </c>
      <c r="D185" s="43" t="s">
        <v>64</v>
      </c>
      <c r="E185" s="55" t="str">
        <f t="shared" si="12"/>
        <v>M</v>
      </c>
      <c r="F185" s="55">
        <v>100</v>
      </c>
      <c r="G185" s="55" t="s">
        <v>46</v>
      </c>
      <c r="H185" s="55">
        <v>42</v>
      </c>
      <c r="I185" s="55"/>
      <c r="J185" s="55"/>
      <c r="K185" s="46" t="str">
        <f t="shared" ca="1" si="13"/>
        <v/>
      </c>
      <c r="L185" s="56" t="str">
        <f t="shared" ca="1" si="14"/>
        <v/>
      </c>
      <c r="Q185" s="57" t="str">
        <f t="shared" ca="1" si="15"/>
        <v/>
      </c>
      <c r="R185" s="57" t="str">
        <f t="shared" ca="1" si="16"/>
        <v/>
      </c>
    </row>
    <row r="186" spans="2:18" x14ac:dyDescent="0.25">
      <c r="B186" s="43">
        <v>2765</v>
      </c>
      <c r="C186" s="43">
        <v>85</v>
      </c>
      <c r="D186" s="43" t="s">
        <v>64</v>
      </c>
      <c r="E186" s="55" t="str">
        <f t="shared" si="12"/>
        <v>M</v>
      </c>
      <c r="F186" s="55">
        <v>100</v>
      </c>
      <c r="G186" s="55" t="s">
        <v>46</v>
      </c>
      <c r="H186" s="55">
        <v>87.7</v>
      </c>
      <c r="I186" s="55"/>
      <c r="J186" s="55"/>
      <c r="K186" s="46"/>
      <c r="L186" s="56"/>
      <c r="Q186" s="57"/>
      <c r="R186" s="57"/>
    </row>
    <row r="187" spans="2:18" x14ac:dyDescent="0.25">
      <c r="B187" s="43">
        <v>2770</v>
      </c>
      <c r="C187" s="43">
        <v>85</v>
      </c>
      <c r="D187" s="43" t="s">
        <v>64</v>
      </c>
      <c r="E187" s="55" t="str">
        <f t="shared" si="12"/>
        <v>M</v>
      </c>
      <c r="F187" s="55">
        <v>100</v>
      </c>
      <c r="G187" s="55" t="s">
        <v>46</v>
      </c>
      <c r="H187" s="55">
        <v>63</v>
      </c>
      <c r="I187" s="55"/>
      <c r="J187" s="55"/>
      <c r="K187" s="46" t="str">
        <f t="shared" ca="1" si="13"/>
        <v/>
      </c>
      <c r="L187" s="56" t="str">
        <f t="shared" ca="1" si="14"/>
        <v/>
      </c>
      <c r="Q187" s="57" t="str">
        <f t="shared" ca="1" si="15"/>
        <v/>
      </c>
      <c r="R187" s="57" t="str">
        <f t="shared" ca="1" si="16"/>
        <v/>
      </c>
    </row>
    <row r="188" spans="2:18" x14ac:dyDescent="0.25">
      <c r="B188" s="43">
        <v>2775</v>
      </c>
      <c r="C188" s="43">
        <v>90</v>
      </c>
      <c r="D188" s="43" t="s">
        <v>65</v>
      </c>
      <c r="E188" s="55" t="str">
        <f t="shared" si="12"/>
        <v>M</v>
      </c>
      <c r="F188" s="55">
        <v>100</v>
      </c>
      <c r="G188" s="55" t="s">
        <v>46</v>
      </c>
      <c r="H188" s="55">
        <v>98.6</v>
      </c>
      <c r="I188" s="55"/>
      <c r="J188" s="55"/>
      <c r="K188" s="46"/>
      <c r="L188" s="56"/>
      <c r="Q188" s="57"/>
      <c r="R188" s="57"/>
    </row>
    <row r="189" spans="2:18" x14ac:dyDescent="0.25">
      <c r="B189" s="43">
        <v>2780</v>
      </c>
      <c r="C189" s="43">
        <v>90</v>
      </c>
      <c r="D189" s="43" t="s">
        <v>65</v>
      </c>
      <c r="E189" s="55" t="str">
        <f t="shared" si="12"/>
        <v>M</v>
      </c>
      <c r="F189" s="55">
        <v>100</v>
      </c>
      <c r="G189" s="55" t="s">
        <v>46</v>
      </c>
      <c r="H189" s="55">
        <v>53</v>
      </c>
      <c r="I189" s="55"/>
      <c r="J189" s="55"/>
      <c r="K189" s="46" t="str">
        <f t="shared" ca="1" si="13"/>
        <v/>
      </c>
      <c r="L189" s="56" t="str">
        <f t="shared" ca="1" si="14"/>
        <v/>
      </c>
      <c r="Q189" s="57" t="str">
        <f t="shared" ca="1" si="15"/>
        <v/>
      </c>
      <c r="R189" s="57" t="str">
        <f t="shared" ca="1" si="16"/>
        <v/>
      </c>
    </row>
    <row r="190" spans="2:18" x14ac:dyDescent="0.25">
      <c r="B190" s="43">
        <v>2785</v>
      </c>
      <c r="C190" s="43">
        <v>85</v>
      </c>
      <c r="D190" s="43" t="s">
        <v>65</v>
      </c>
      <c r="E190" s="55" t="str">
        <f t="shared" si="12"/>
        <v>M</v>
      </c>
      <c r="F190" s="55">
        <v>100</v>
      </c>
      <c r="G190" s="55" t="s">
        <v>46</v>
      </c>
      <c r="H190" s="55">
        <v>100</v>
      </c>
      <c r="I190" s="55"/>
      <c r="J190" s="55"/>
      <c r="K190" s="46"/>
      <c r="L190" s="56"/>
      <c r="Q190" s="57"/>
      <c r="R190" s="57"/>
    </row>
    <row r="191" spans="2:18" x14ac:dyDescent="0.25">
      <c r="B191" s="43">
        <v>2790</v>
      </c>
      <c r="C191" s="43">
        <v>85</v>
      </c>
      <c r="D191" s="43" t="s">
        <v>65</v>
      </c>
      <c r="E191" s="55" t="str">
        <f t="shared" si="12"/>
        <v>M</v>
      </c>
      <c r="F191" s="55">
        <v>100</v>
      </c>
      <c r="G191" s="55" t="s">
        <v>46</v>
      </c>
      <c r="H191" s="55">
        <v>108</v>
      </c>
      <c r="I191" s="55"/>
      <c r="J191" s="55"/>
      <c r="K191" s="46" t="str">
        <f t="shared" ca="1" si="13"/>
        <v/>
      </c>
      <c r="L191" s="56" t="str">
        <f t="shared" ca="1" si="14"/>
        <v/>
      </c>
      <c r="Q191" s="57" t="str">
        <f t="shared" ca="1" si="15"/>
        <v/>
      </c>
      <c r="R191" s="57" t="str">
        <f t="shared" ca="1" si="16"/>
        <v/>
      </c>
    </row>
    <row r="192" spans="2:18" x14ac:dyDescent="0.25">
      <c r="B192" s="43">
        <v>2795</v>
      </c>
      <c r="C192" s="43">
        <v>90</v>
      </c>
      <c r="D192" s="43" t="s">
        <v>65</v>
      </c>
      <c r="E192" s="55" t="str">
        <f t="shared" si="12"/>
        <v>M</v>
      </c>
      <c r="F192" s="55">
        <v>100</v>
      </c>
      <c r="G192" s="55" t="s">
        <v>46</v>
      </c>
      <c r="H192" s="55">
        <v>110.5</v>
      </c>
      <c r="I192" s="55"/>
      <c r="J192" s="55"/>
      <c r="K192" s="46"/>
      <c r="L192" s="56"/>
      <c r="Q192" s="57"/>
      <c r="R192" s="57"/>
    </row>
    <row r="193" spans="2:18" x14ac:dyDescent="0.25">
      <c r="B193" s="43">
        <v>2800</v>
      </c>
      <c r="C193" s="43">
        <v>90</v>
      </c>
      <c r="D193" s="43" t="s">
        <v>65</v>
      </c>
      <c r="E193" s="55" t="str">
        <f t="shared" si="12"/>
        <v>M</v>
      </c>
      <c r="F193" s="55">
        <v>100</v>
      </c>
      <c r="G193" s="55" t="s">
        <v>46</v>
      </c>
      <c r="H193" s="55">
        <v>107</v>
      </c>
      <c r="I193" s="55"/>
      <c r="J193" s="55"/>
      <c r="K193" s="46" t="str">
        <f t="shared" ca="1" si="13"/>
        <v/>
      </c>
      <c r="L193" s="56" t="str">
        <f t="shared" ca="1" si="14"/>
        <v/>
      </c>
      <c r="Q193" s="57" t="str">
        <f t="shared" ca="1" si="15"/>
        <v/>
      </c>
      <c r="R193" s="57" t="str">
        <f t="shared" ca="1" si="16"/>
        <v/>
      </c>
    </row>
    <row r="194" spans="2:18" x14ac:dyDescent="0.25">
      <c r="B194" s="43">
        <v>2805</v>
      </c>
      <c r="C194" s="43">
        <v>95</v>
      </c>
      <c r="D194" s="43" t="s">
        <v>65</v>
      </c>
      <c r="E194" s="55" t="str">
        <f t="shared" si="12"/>
        <v>M</v>
      </c>
      <c r="F194" s="55">
        <v>100</v>
      </c>
      <c r="G194" s="55" t="s">
        <v>46</v>
      </c>
      <c r="H194" s="55">
        <v>101.3</v>
      </c>
      <c r="I194" s="55"/>
      <c r="J194" s="55"/>
      <c r="K194" s="46"/>
      <c r="L194" s="56"/>
      <c r="Q194" s="57"/>
      <c r="R194" s="57"/>
    </row>
    <row r="195" spans="2:18" x14ac:dyDescent="0.25">
      <c r="B195" s="43">
        <v>2810</v>
      </c>
      <c r="C195" s="43">
        <v>95</v>
      </c>
      <c r="D195" s="43" t="s">
        <v>65</v>
      </c>
      <c r="E195" s="55" t="str">
        <f t="shared" si="12"/>
        <v>M</v>
      </c>
      <c r="F195" s="55">
        <v>100</v>
      </c>
      <c r="G195" s="55" t="s">
        <v>46</v>
      </c>
      <c r="H195" s="55">
        <v>76</v>
      </c>
      <c r="I195" s="55"/>
      <c r="J195" s="55"/>
      <c r="K195" s="46" t="str">
        <f t="shared" ca="1" si="13"/>
        <v/>
      </c>
      <c r="L195" s="56" t="str">
        <f t="shared" ca="1" si="14"/>
        <v/>
      </c>
      <c r="Q195" s="57" t="str">
        <f t="shared" ca="1" si="15"/>
        <v/>
      </c>
      <c r="R195" s="57" t="str">
        <f t="shared" ca="1" si="16"/>
        <v/>
      </c>
    </row>
    <row r="196" spans="2:18" x14ac:dyDescent="0.25">
      <c r="B196" s="43">
        <v>2815</v>
      </c>
      <c r="C196" s="43">
        <v>90</v>
      </c>
      <c r="D196" s="43" t="s">
        <v>65</v>
      </c>
      <c r="E196" s="55" t="str">
        <f t="shared" ref="E196:E201" si="17">IF(ISNUMBER(SEARCH("v crs",D196))=TRUE,"VC",IF(ISNUMBER(SEARCH("crs",D196))=TRUE,"C",IF(ISNUMBER(SEARCH("med",D196))=TRUE,"M",IF(ISNUMBER(SEARCH("vf",D196))=TRUE,"VF",IF(ISNUMBER(SEARCH("f",D196))=TRUE,"F","")))))</f>
        <v>M</v>
      </c>
      <c r="F196" s="55">
        <v>100</v>
      </c>
      <c r="G196" s="55" t="s">
        <v>46</v>
      </c>
      <c r="H196" s="55">
        <v>65.400000000000006</v>
      </c>
      <c r="I196" s="55"/>
      <c r="J196" s="55"/>
      <c r="K196" s="46"/>
      <c r="L196" s="56"/>
      <c r="Q196" s="57"/>
      <c r="R196" s="57"/>
    </row>
    <row r="197" spans="2:18" x14ac:dyDescent="0.25">
      <c r="B197" s="43">
        <v>2820</v>
      </c>
      <c r="C197" s="43">
        <v>90</v>
      </c>
      <c r="D197" s="43" t="s">
        <v>65</v>
      </c>
      <c r="E197" s="55" t="str">
        <f t="shared" si="17"/>
        <v>M</v>
      </c>
      <c r="F197" s="55">
        <v>100</v>
      </c>
      <c r="G197" s="55" t="s">
        <v>46</v>
      </c>
      <c r="H197" s="55">
        <v>88</v>
      </c>
      <c r="I197" s="55"/>
      <c r="J197" s="55"/>
      <c r="K197" s="46" t="str">
        <f t="shared" ca="1" si="13"/>
        <v/>
      </c>
      <c r="L197" s="56" t="str">
        <f t="shared" ca="1" si="14"/>
        <v/>
      </c>
      <c r="Q197" s="57" t="str">
        <f t="shared" ca="1" si="15"/>
        <v/>
      </c>
      <c r="R197" s="57" t="str">
        <f t="shared" ca="1" si="16"/>
        <v/>
      </c>
    </row>
    <row r="198" spans="2:18" x14ac:dyDescent="0.25">
      <c r="B198" s="43">
        <v>2825</v>
      </c>
      <c r="C198" s="43">
        <v>90</v>
      </c>
      <c r="D198" s="43" t="s">
        <v>65</v>
      </c>
      <c r="E198" s="55" t="str">
        <f t="shared" si="17"/>
        <v>M</v>
      </c>
      <c r="F198" s="55">
        <v>100</v>
      </c>
      <c r="G198" s="55" t="s">
        <v>46</v>
      </c>
      <c r="H198" s="55">
        <v>58.5</v>
      </c>
      <c r="I198" s="55"/>
      <c r="J198" s="55"/>
      <c r="K198" s="46"/>
      <c r="L198" s="56"/>
      <c r="Q198" s="57"/>
      <c r="R198" s="57"/>
    </row>
    <row r="199" spans="2:18" x14ac:dyDescent="0.25">
      <c r="B199" s="43">
        <v>2830</v>
      </c>
      <c r="C199" s="43">
        <v>90</v>
      </c>
      <c r="D199" s="43" t="s">
        <v>65</v>
      </c>
      <c r="E199" s="55" t="str">
        <f t="shared" si="17"/>
        <v>M</v>
      </c>
      <c r="F199" s="55">
        <v>100</v>
      </c>
      <c r="G199" s="55" t="s">
        <v>46</v>
      </c>
      <c r="H199" s="55">
        <v>67</v>
      </c>
      <c r="I199" s="55"/>
      <c r="J199" s="55"/>
      <c r="K199" s="46" t="str">
        <f t="shared" ca="1" si="13"/>
        <v/>
      </c>
      <c r="L199" s="56" t="str">
        <f t="shared" ca="1" si="14"/>
        <v/>
      </c>
      <c r="Q199" s="57" t="str">
        <f t="shared" ca="1" si="15"/>
        <v/>
      </c>
      <c r="R199" s="57" t="str">
        <f t="shared" ca="1" si="16"/>
        <v/>
      </c>
    </row>
    <row r="200" spans="2:18" x14ac:dyDescent="0.25">
      <c r="B200" s="43">
        <v>2835</v>
      </c>
      <c r="C200" s="43">
        <v>95</v>
      </c>
      <c r="D200" s="43" t="s">
        <v>65</v>
      </c>
      <c r="E200" s="55" t="str">
        <f t="shared" si="17"/>
        <v>M</v>
      </c>
      <c r="F200" s="55">
        <v>100</v>
      </c>
      <c r="G200" s="55" t="s">
        <v>46</v>
      </c>
      <c r="H200" s="55">
        <v>100.5</v>
      </c>
      <c r="I200" s="55"/>
      <c r="J200" s="55"/>
      <c r="K200" s="46"/>
      <c r="L200" s="56"/>
      <c r="Q200" s="57"/>
      <c r="R200" s="57"/>
    </row>
    <row r="201" spans="2:18" x14ac:dyDescent="0.25">
      <c r="B201" s="43">
        <v>2840</v>
      </c>
      <c r="C201" s="43">
        <v>95</v>
      </c>
      <c r="D201" s="43" t="s">
        <v>65</v>
      </c>
      <c r="E201" s="55" t="str">
        <f t="shared" si="17"/>
        <v>M</v>
      </c>
      <c r="F201" s="55">
        <v>100</v>
      </c>
      <c r="G201" s="55" t="s">
        <v>46</v>
      </c>
      <c r="H201" s="55">
        <v>123</v>
      </c>
      <c r="I201" s="55"/>
      <c r="J201" s="55"/>
      <c r="K201" s="46" t="str">
        <f t="shared" ca="1" si="13"/>
        <v/>
      </c>
      <c r="L201" s="56" t="str">
        <f t="shared" ca="1" si="14"/>
        <v/>
      </c>
      <c r="Q201" s="57" t="str">
        <f t="shared" ca="1" si="15"/>
        <v/>
      </c>
      <c r="R201" s="57" t="str">
        <f t="shared" ca="1" si="16"/>
        <v/>
      </c>
    </row>
    <row r="202" spans="2:18" x14ac:dyDescent="0.25">
      <c r="B202" s="43">
        <v>2845</v>
      </c>
      <c r="C202" s="43">
        <v>95</v>
      </c>
      <c r="D202" s="43" t="s">
        <v>65</v>
      </c>
      <c r="E202" s="55" t="str">
        <f t="shared" ref="E202:E208" si="18">IF(ISNUMBER(SEARCH("v crs",D202))=TRUE,"VC",IF(ISNUMBER(SEARCH("crs",D202))=TRUE,"C",IF(ISNUMBER(SEARCH("med",D202))=TRUE,"M",IF(ISNUMBER(SEARCH("vf",D202))=TRUE,"VF",IF(ISNUMBER(SEARCH("f",D202))=TRUE,"F","")))))</f>
        <v>M</v>
      </c>
      <c r="F202" s="55">
        <v>100</v>
      </c>
      <c r="G202" s="55" t="s">
        <v>46</v>
      </c>
      <c r="H202" s="55">
        <v>87.6</v>
      </c>
      <c r="I202" s="55"/>
      <c r="J202" s="55"/>
      <c r="K202" s="46"/>
      <c r="L202" s="56"/>
      <c r="Q202" s="57"/>
      <c r="R202" s="57"/>
    </row>
    <row r="203" spans="2:18" x14ac:dyDescent="0.25">
      <c r="B203" s="43">
        <v>2850</v>
      </c>
      <c r="C203" s="43">
        <v>95</v>
      </c>
      <c r="D203" s="43" t="s">
        <v>65</v>
      </c>
      <c r="E203" s="55" t="str">
        <f t="shared" si="18"/>
        <v>M</v>
      </c>
      <c r="F203" s="55">
        <v>100</v>
      </c>
      <c r="G203" s="55" t="s">
        <v>46</v>
      </c>
      <c r="H203" s="55">
        <v>114</v>
      </c>
      <c r="I203" s="55"/>
      <c r="J203" s="55"/>
      <c r="K203" s="46" t="str">
        <f t="shared" ca="1" si="13"/>
        <v/>
      </c>
      <c r="L203" s="56" t="str">
        <f t="shared" ca="1" si="14"/>
        <v/>
      </c>
      <c r="Q203" s="57" t="str">
        <f t="shared" ca="1" si="15"/>
        <v/>
      </c>
      <c r="R203" s="57" t="str">
        <f t="shared" ca="1" si="16"/>
        <v/>
      </c>
    </row>
    <row r="204" spans="2:18" x14ac:dyDescent="0.25">
      <c r="B204" s="43">
        <v>2855</v>
      </c>
      <c r="C204" s="43">
        <v>85</v>
      </c>
      <c r="D204" s="43" t="s">
        <v>65</v>
      </c>
      <c r="E204" s="55" t="str">
        <f t="shared" si="18"/>
        <v>M</v>
      </c>
      <c r="F204" s="55">
        <v>100</v>
      </c>
      <c r="G204" s="55" t="s">
        <v>46</v>
      </c>
      <c r="H204" s="55">
        <v>55.5</v>
      </c>
      <c r="I204" s="55"/>
      <c r="J204" s="55"/>
      <c r="K204" s="46"/>
      <c r="L204" s="56"/>
      <c r="Q204" s="57"/>
      <c r="R204" s="57"/>
    </row>
    <row r="205" spans="2:18" x14ac:dyDescent="0.25">
      <c r="B205" s="43">
        <v>2860</v>
      </c>
      <c r="C205" s="43">
        <v>85</v>
      </c>
      <c r="D205" s="43" t="s">
        <v>65</v>
      </c>
      <c r="E205" s="55" t="str">
        <f t="shared" si="18"/>
        <v>M</v>
      </c>
      <c r="F205" s="55">
        <v>100</v>
      </c>
      <c r="G205" s="55" t="s">
        <v>46</v>
      </c>
      <c r="H205" s="55">
        <v>136</v>
      </c>
      <c r="I205" s="55"/>
      <c r="J205" s="55"/>
      <c r="K205" s="46" t="str">
        <f t="shared" ca="1" si="13"/>
        <v/>
      </c>
      <c r="L205" s="56" t="str">
        <f t="shared" ca="1" si="14"/>
        <v/>
      </c>
      <c r="Q205" s="57" t="str">
        <f t="shared" ca="1" si="15"/>
        <v/>
      </c>
      <c r="R205" s="57" t="str">
        <f t="shared" ca="1" si="16"/>
        <v/>
      </c>
    </row>
    <row r="206" spans="2:18" x14ac:dyDescent="0.25">
      <c r="B206" s="43">
        <v>2865</v>
      </c>
      <c r="C206" s="43">
        <v>90</v>
      </c>
      <c r="D206" s="43" t="s">
        <v>65</v>
      </c>
      <c r="E206" s="55" t="str">
        <f t="shared" si="18"/>
        <v>M</v>
      </c>
      <c r="F206" s="55">
        <v>100</v>
      </c>
      <c r="G206" s="55" t="s">
        <v>46</v>
      </c>
      <c r="H206" s="55">
        <v>131</v>
      </c>
      <c r="I206" s="55"/>
      <c r="J206" s="55"/>
      <c r="K206" s="46"/>
      <c r="L206" s="56"/>
      <c r="Q206" s="57"/>
      <c r="R206" s="57"/>
    </row>
    <row r="207" spans="2:18" x14ac:dyDescent="0.25">
      <c r="B207" s="43">
        <v>2870</v>
      </c>
      <c r="C207" s="43">
        <v>90</v>
      </c>
      <c r="D207" s="43" t="s">
        <v>65</v>
      </c>
      <c r="E207" s="55" t="str">
        <f t="shared" si="18"/>
        <v>M</v>
      </c>
      <c r="F207" s="55">
        <v>100</v>
      </c>
      <c r="G207" s="55" t="s">
        <v>46</v>
      </c>
      <c r="H207" s="55">
        <v>88</v>
      </c>
      <c r="I207" s="55"/>
      <c r="J207" s="55"/>
      <c r="K207" s="46" t="str">
        <f t="shared" ca="1" si="13"/>
        <v/>
      </c>
      <c r="L207" s="56" t="str">
        <f t="shared" ca="1" si="14"/>
        <v/>
      </c>
      <c r="Q207" s="57" t="str">
        <f t="shared" ca="1" si="15"/>
        <v/>
      </c>
      <c r="R207" s="57" t="str">
        <f t="shared" ca="1" si="16"/>
        <v/>
      </c>
    </row>
    <row r="208" spans="2:18" x14ac:dyDescent="0.25">
      <c r="B208" s="43">
        <v>2875</v>
      </c>
      <c r="C208" s="43">
        <v>85</v>
      </c>
      <c r="D208" s="43" t="s">
        <v>65</v>
      </c>
      <c r="E208" s="55" t="str">
        <f t="shared" si="18"/>
        <v>M</v>
      </c>
      <c r="F208" s="55">
        <v>100</v>
      </c>
      <c r="G208" s="55" t="s">
        <v>46</v>
      </c>
      <c r="H208" s="55">
        <v>48.6</v>
      </c>
      <c r="I208" s="55"/>
      <c r="J208" s="55"/>
      <c r="K208" s="46"/>
      <c r="L208" s="56"/>
      <c r="Q208" s="57"/>
      <c r="R208" s="57"/>
    </row>
    <row r="209" spans="2:18" x14ac:dyDescent="0.25">
      <c r="B209" s="43">
        <v>2880</v>
      </c>
      <c r="C209" s="43">
        <v>85</v>
      </c>
      <c r="D209" s="43" t="s">
        <v>65</v>
      </c>
      <c r="E209" s="55" t="str">
        <f t="shared" ref="E209" si="19">IF(ISNUMBER(SEARCH("v crs",D209))=TRUE,"VC",IF(ISNUMBER(SEARCH("crs",D209))=TRUE,"C",IF(ISNUMBER(SEARCH("med",D209))=TRUE,"M",IF(ISNUMBER(SEARCH("vf",D209))=TRUE,"VF",IF(ISNUMBER(SEARCH("f",D209))=TRUE,"F","")))))</f>
        <v>M</v>
      </c>
      <c r="F209" s="55">
        <v>100</v>
      </c>
      <c r="G209" s="55" t="s">
        <v>46</v>
      </c>
      <c r="H209" s="55">
        <v>89</v>
      </c>
      <c r="I209" s="55"/>
      <c r="J209" s="55"/>
      <c r="K209" s="46" t="str">
        <f t="shared" ca="1" si="13"/>
        <v/>
      </c>
      <c r="L209" s="56" t="str">
        <f t="shared" ca="1" si="14"/>
        <v/>
      </c>
      <c r="Q209" s="57" t="str">
        <f t="shared" ca="1" si="15"/>
        <v/>
      </c>
      <c r="R209" s="57" t="str">
        <f t="shared" ca="1" si="16"/>
        <v/>
      </c>
    </row>
    <row r="210" spans="2:18" x14ac:dyDescent="0.25">
      <c r="B210" s="43">
        <v>2885</v>
      </c>
      <c r="C210" s="43">
        <v>90</v>
      </c>
      <c r="D210" s="43" t="s">
        <v>65</v>
      </c>
      <c r="E210" s="55" t="s">
        <v>21</v>
      </c>
      <c r="F210" s="55">
        <v>100</v>
      </c>
      <c r="G210" s="55" t="s">
        <v>46</v>
      </c>
      <c r="H210" s="55">
        <v>101.7</v>
      </c>
      <c r="I210" s="55"/>
      <c r="J210" s="55"/>
      <c r="K210" s="46"/>
      <c r="L210" s="56"/>
      <c r="Q210" s="57"/>
      <c r="R210" s="57"/>
    </row>
    <row r="211" spans="2:18" x14ac:dyDescent="0.25">
      <c r="B211" s="43">
        <v>2890</v>
      </c>
      <c r="C211" s="43">
        <v>90</v>
      </c>
      <c r="D211" s="43" t="s">
        <v>65</v>
      </c>
      <c r="E211" s="55" t="str">
        <f t="shared" ref="E211:E275" si="20">IF(ISNUMBER(SEARCH("v crs",D211))=TRUE,"VC",IF(ISNUMBER(SEARCH("crs",D211))=TRUE,"C",IF(ISNUMBER(SEARCH("med",D211))=TRUE,"M",IF(ISNUMBER(SEARCH("vf",D211))=TRUE,"VF",IF(ISNUMBER(SEARCH("f",D211))=TRUE,"F","")))))</f>
        <v>M</v>
      </c>
      <c r="F211" s="55">
        <v>100</v>
      </c>
      <c r="G211" s="55" t="s">
        <v>46</v>
      </c>
      <c r="H211" s="55">
        <v>115.5</v>
      </c>
      <c r="I211" s="55"/>
      <c r="J211" s="55"/>
      <c r="K211" s="46" t="str">
        <f t="shared" ca="1" si="13"/>
        <v/>
      </c>
      <c r="L211" s="56" t="str">
        <f t="shared" ca="1" si="14"/>
        <v/>
      </c>
      <c r="Q211" s="57" t="str">
        <f t="shared" ca="1" si="15"/>
        <v/>
      </c>
      <c r="R211" s="57" t="str">
        <f t="shared" ca="1" si="16"/>
        <v/>
      </c>
    </row>
    <row r="212" spans="2:18" x14ac:dyDescent="0.25">
      <c r="B212" s="43">
        <v>2895</v>
      </c>
      <c r="C212" s="43">
        <v>95</v>
      </c>
      <c r="D212" s="43" t="s">
        <v>64</v>
      </c>
      <c r="E212" s="55" t="s">
        <v>21</v>
      </c>
      <c r="F212" s="55">
        <v>100</v>
      </c>
      <c r="G212" s="55" t="s">
        <v>46</v>
      </c>
      <c r="H212" s="55">
        <v>104.2</v>
      </c>
      <c r="I212" s="55"/>
      <c r="J212" s="55"/>
      <c r="K212" s="46"/>
      <c r="L212" s="56"/>
      <c r="Q212" s="57"/>
      <c r="R212" s="57"/>
    </row>
    <row r="213" spans="2:18" x14ac:dyDescent="0.25">
      <c r="B213" s="43">
        <v>2900</v>
      </c>
      <c r="C213" s="43">
        <v>95</v>
      </c>
      <c r="D213" s="43" t="s">
        <v>64</v>
      </c>
      <c r="E213" s="55" t="str">
        <f t="shared" si="20"/>
        <v>M</v>
      </c>
      <c r="F213" s="55">
        <v>100</v>
      </c>
      <c r="G213" s="55" t="s">
        <v>46</v>
      </c>
      <c r="H213" s="55">
        <v>120.4</v>
      </c>
      <c r="I213" s="55"/>
      <c r="J213" s="55"/>
      <c r="K213" s="46" t="str">
        <f t="shared" ref="K213:K276" ca="1" si="21">IF(AND(C213&lt;&gt;"",C213&lt;&gt;Q213),TODAY(),IF(C213="","",K213))</f>
        <v/>
      </c>
      <c r="L213" s="56" t="str">
        <f t="shared" ref="L213:L276" ca="1" si="22">IF(AND(C213&lt;&gt;"",C213&lt;&gt;R213),NOW(),IF(C213="","",L213))</f>
        <v/>
      </c>
      <c r="Q213" s="57" t="str">
        <f t="shared" ref="Q213:Q276" ca="1" si="23">IF(C213="","",IF(OR(K213="",AND(ISNUMBER(Q213),C213=Q213)),Q213,C213))</f>
        <v/>
      </c>
      <c r="R213" s="57" t="str">
        <f t="shared" ref="R213:R276" ca="1" si="24">IF(C213="","",IF(OR(L213="",AND(ISNUMBER(R213),C213=R213)),R213,C213))</f>
        <v/>
      </c>
    </row>
    <row r="214" spans="2:18" x14ac:dyDescent="0.25">
      <c r="B214" s="43">
        <v>2905</v>
      </c>
      <c r="C214" s="43">
        <v>95</v>
      </c>
      <c r="D214" s="43" t="s">
        <v>64</v>
      </c>
      <c r="E214" s="55" t="str">
        <f t="shared" si="20"/>
        <v>M</v>
      </c>
      <c r="F214" s="55">
        <v>100</v>
      </c>
      <c r="G214" s="55" t="s">
        <v>46</v>
      </c>
      <c r="H214" s="55">
        <v>114.3</v>
      </c>
      <c r="I214" s="55"/>
      <c r="J214" s="55"/>
      <c r="K214" s="46" t="str">
        <f t="shared" ca="1" si="21"/>
        <v/>
      </c>
      <c r="L214" s="56" t="str">
        <f t="shared" ca="1" si="22"/>
        <v/>
      </c>
      <c r="Q214" s="57" t="str">
        <f t="shared" ca="1" si="23"/>
        <v/>
      </c>
      <c r="R214" s="57" t="str">
        <f t="shared" ca="1" si="24"/>
        <v/>
      </c>
    </row>
    <row r="215" spans="2:18" x14ac:dyDescent="0.25">
      <c r="B215" s="43">
        <v>2910</v>
      </c>
      <c r="C215" s="43">
        <v>95</v>
      </c>
      <c r="D215" s="43" t="s">
        <v>64</v>
      </c>
      <c r="E215" s="55" t="str">
        <f t="shared" si="20"/>
        <v>M</v>
      </c>
      <c r="F215" s="55">
        <v>100</v>
      </c>
      <c r="G215" s="55" t="s">
        <v>46</v>
      </c>
      <c r="H215" s="55">
        <v>103.4</v>
      </c>
      <c r="I215" s="55"/>
      <c r="J215" s="55"/>
      <c r="K215" s="46" t="str">
        <f t="shared" ca="1" si="21"/>
        <v/>
      </c>
      <c r="L215" s="56" t="str">
        <f t="shared" ca="1" si="22"/>
        <v/>
      </c>
      <c r="Q215" s="57" t="str">
        <f t="shared" ca="1" si="23"/>
        <v/>
      </c>
      <c r="R215" s="57" t="str">
        <f t="shared" ca="1" si="24"/>
        <v/>
      </c>
    </row>
    <row r="216" spans="2:18" x14ac:dyDescent="0.25">
      <c r="B216" s="43">
        <v>2915</v>
      </c>
      <c r="C216" s="43">
        <v>95</v>
      </c>
      <c r="D216" s="43" t="s">
        <v>63</v>
      </c>
      <c r="E216" s="55" t="str">
        <f t="shared" si="20"/>
        <v>C</v>
      </c>
      <c r="F216" s="55">
        <v>100</v>
      </c>
      <c r="G216" s="55" t="s">
        <v>46</v>
      </c>
      <c r="H216" s="55">
        <v>88.4</v>
      </c>
      <c r="I216" s="55"/>
      <c r="J216" s="55"/>
      <c r="K216" s="46" t="str">
        <f t="shared" ca="1" si="21"/>
        <v/>
      </c>
      <c r="L216" s="56" t="str">
        <f t="shared" ca="1" si="22"/>
        <v/>
      </c>
      <c r="Q216" s="57" t="str">
        <f t="shared" ca="1" si="23"/>
        <v/>
      </c>
      <c r="R216" s="57" t="str">
        <f t="shared" ca="1" si="24"/>
        <v/>
      </c>
    </row>
    <row r="217" spans="2:18" x14ac:dyDescent="0.25">
      <c r="B217" s="43">
        <v>2920</v>
      </c>
      <c r="C217" s="43">
        <v>95</v>
      </c>
      <c r="D217" s="43" t="s">
        <v>63</v>
      </c>
      <c r="E217" s="55" t="str">
        <f t="shared" si="20"/>
        <v>C</v>
      </c>
      <c r="F217" s="55">
        <v>100</v>
      </c>
      <c r="G217" s="55" t="s">
        <v>46</v>
      </c>
      <c r="H217" s="55">
        <v>76.099999999999994</v>
      </c>
      <c r="I217" s="55"/>
      <c r="J217" s="55"/>
      <c r="K217" s="46" t="str">
        <f t="shared" ca="1" si="21"/>
        <v/>
      </c>
      <c r="L217" s="56" t="str">
        <f t="shared" ca="1" si="22"/>
        <v/>
      </c>
      <c r="Q217" s="57" t="str">
        <f t="shared" ca="1" si="23"/>
        <v/>
      </c>
      <c r="R217" s="57" t="str">
        <f t="shared" ca="1" si="24"/>
        <v/>
      </c>
    </row>
    <row r="218" spans="2:18" x14ac:dyDescent="0.25">
      <c r="B218" s="43">
        <v>2925</v>
      </c>
      <c r="C218" s="43">
        <v>95</v>
      </c>
      <c r="D218" s="43" t="s">
        <v>66</v>
      </c>
      <c r="E218" s="55" t="str">
        <f t="shared" si="20"/>
        <v>VC</v>
      </c>
      <c r="F218" s="55">
        <v>100</v>
      </c>
      <c r="G218" s="55" t="s">
        <v>46</v>
      </c>
      <c r="H218" s="55">
        <v>106</v>
      </c>
      <c r="I218" s="55"/>
      <c r="J218" s="55"/>
      <c r="K218" s="46" t="str">
        <f t="shared" ca="1" si="21"/>
        <v/>
      </c>
      <c r="L218" s="56" t="str">
        <f t="shared" ca="1" si="22"/>
        <v/>
      </c>
      <c r="Q218" s="57" t="str">
        <f t="shared" ca="1" si="23"/>
        <v/>
      </c>
      <c r="R218" s="57" t="str">
        <f t="shared" ca="1" si="24"/>
        <v/>
      </c>
    </row>
    <row r="219" spans="2:18" x14ac:dyDescent="0.25">
      <c r="B219" s="43">
        <v>2930</v>
      </c>
      <c r="C219" s="43">
        <v>95</v>
      </c>
      <c r="D219" s="43" t="s">
        <v>66</v>
      </c>
      <c r="E219" s="55" t="str">
        <f t="shared" si="20"/>
        <v>VC</v>
      </c>
      <c r="F219" s="55">
        <v>100</v>
      </c>
      <c r="G219" s="55" t="s">
        <v>46</v>
      </c>
      <c r="H219" s="55">
        <v>130.19999999999999</v>
      </c>
      <c r="I219" s="55"/>
      <c r="J219" s="55"/>
      <c r="K219" s="46" t="str">
        <f t="shared" ca="1" si="21"/>
        <v/>
      </c>
      <c r="L219" s="56" t="str">
        <f t="shared" ca="1" si="22"/>
        <v/>
      </c>
      <c r="Q219" s="57" t="str">
        <f t="shared" ca="1" si="23"/>
        <v/>
      </c>
      <c r="R219" s="57" t="str">
        <f t="shared" ca="1" si="24"/>
        <v/>
      </c>
    </row>
    <row r="220" spans="2:18" x14ac:dyDescent="0.25">
      <c r="B220" s="43">
        <v>2935</v>
      </c>
      <c r="C220" s="43">
        <v>95</v>
      </c>
      <c r="D220" s="43" t="s">
        <v>66</v>
      </c>
      <c r="E220" s="55" t="str">
        <f t="shared" si="20"/>
        <v>VC</v>
      </c>
      <c r="F220" s="55">
        <v>100</v>
      </c>
      <c r="G220" s="55" t="s">
        <v>46</v>
      </c>
      <c r="H220" s="55">
        <v>133.30000000000001</v>
      </c>
      <c r="I220" s="55"/>
      <c r="J220" s="55"/>
      <c r="K220" s="46" t="str">
        <f t="shared" ca="1" si="21"/>
        <v/>
      </c>
      <c r="L220" s="56" t="str">
        <f t="shared" ca="1" si="22"/>
        <v/>
      </c>
      <c r="Q220" s="57" t="str">
        <f t="shared" ca="1" si="23"/>
        <v/>
      </c>
      <c r="R220" s="57" t="str">
        <f t="shared" ca="1" si="24"/>
        <v/>
      </c>
    </row>
    <row r="221" spans="2:18" x14ac:dyDescent="0.25">
      <c r="B221" s="43">
        <v>2940</v>
      </c>
      <c r="C221" s="43">
        <v>95</v>
      </c>
      <c r="D221" s="43" t="s">
        <v>66</v>
      </c>
      <c r="E221" s="55" t="str">
        <f t="shared" si="20"/>
        <v>VC</v>
      </c>
      <c r="F221" s="55">
        <v>100</v>
      </c>
      <c r="G221" s="55" t="s">
        <v>46</v>
      </c>
      <c r="H221" s="55">
        <v>127.3</v>
      </c>
      <c r="I221" s="55"/>
      <c r="J221" s="55"/>
      <c r="K221" s="46" t="str">
        <f t="shared" ca="1" si="21"/>
        <v/>
      </c>
      <c r="L221" s="56" t="str">
        <f t="shared" ca="1" si="22"/>
        <v/>
      </c>
      <c r="Q221" s="57" t="str">
        <f t="shared" ca="1" si="23"/>
        <v/>
      </c>
      <c r="R221" s="57" t="str">
        <f t="shared" ca="1" si="24"/>
        <v/>
      </c>
    </row>
    <row r="222" spans="2:18" x14ac:dyDescent="0.25">
      <c r="B222" s="43">
        <v>2945</v>
      </c>
      <c r="C222" s="43">
        <v>100</v>
      </c>
      <c r="D222" s="43" t="s">
        <v>66</v>
      </c>
      <c r="E222" s="55" t="str">
        <f t="shared" si="20"/>
        <v>VC</v>
      </c>
      <c r="F222" s="55">
        <v>100</v>
      </c>
      <c r="G222" s="55" t="s">
        <v>46</v>
      </c>
      <c r="H222" s="55">
        <v>127</v>
      </c>
      <c r="I222" s="55"/>
      <c r="J222" s="55"/>
      <c r="K222" s="46" t="str">
        <f t="shared" ca="1" si="21"/>
        <v/>
      </c>
      <c r="L222" s="56" t="str">
        <f t="shared" ca="1" si="22"/>
        <v/>
      </c>
      <c r="Q222" s="57" t="str">
        <f t="shared" ca="1" si="23"/>
        <v/>
      </c>
      <c r="R222" s="57" t="str">
        <f t="shared" ca="1" si="24"/>
        <v/>
      </c>
    </row>
    <row r="223" spans="2:18" x14ac:dyDescent="0.25">
      <c r="B223" s="43">
        <v>2950</v>
      </c>
      <c r="C223" s="43">
        <v>100</v>
      </c>
      <c r="D223" s="43" t="s">
        <v>66</v>
      </c>
      <c r="E223" s="55" t="str">
        <f t="shared" si="20"/>
        <v>VC</v>
      </c>
      <c r="F223" s="55">
        <v>100</v>
      </c>
      <c r="G223" s="55" t="s">
        <v>46</v>
      </c>
      <c r="H223" s="55">
        <v>74.400000000000006</v>
      </c>
      <c r="I223" s="55"/>
      <c r="J223" s="55"/>
      <c r="K223" s="46" t="str">
        <f t="shared" ca="1" si="21"/>
        <v/>
      </c>
      <c r="L223" s="56" t="str">
        <f t="shared" ca="1" si="22"/>
        <v/>
      </c>
      <c r="Q223" s="57" t="str">
        <f t="shared" ca="1" si="23"/>
        <v/>
      </c>
      <c r="R223" s="57" t="str">
        <f t="shared" ca="1" si="24"/>
        <v/>
      </c>
    </row>
    <row r="224" spans="2:18" x14ac:dyDescent="0.25">
      <c r="B224" s="43">
        <v>2955</v>
      </c>
      <c r="C224" s="43">
        <v>100</v>
      </c>
      <c r="D224" s="43" t="s">
        <v>63</v>
      </c>
      <c r="E224" s="55" t="str">
        <f t="shared" si="20"/>
        <v>C</v>
      </c>
      <c r="F224" s="55">
        <v>100</v>
      </c>
      <c r="G224" s="55" t="s">
        <v>46</v>
      </c>
      <c r="H224" s="55">
        <v>104.4</v>
      </c>
      <c r="I224" s="55"/>
      <c r="J224" s="55"/>
      <c r="K224" s="46" t="str">
        <f t="shared" ca="1" si="21"/>
        <v/>
      </c>
      <c r="L224" s="56" t="str">
        <f t="shared" ca="1" si="22"/>
        <v/>
      </c>
      <c r="Q224" s="57" t="str">
        <f t="shared" ca="1" si="23"/>
        <v/>
      </c>
      <c r="R224" s="57" t="str">
        <f t="shared" ca="1" si="24"/>
        <v/>
      </c>
    </row>
    <row r="225" spans="2:18" x14ac:dyDescent="0.25">
      <c r="B225" s="43">
        <v>2960</v>
      </c>
      <c r="C225" s="43">
        <v>100</v>
      </c>
      <c r="D225" s="43" t="s">
        <v>63</v>
      </c>
      <c r="E225" s="55" t="str">
        <f t="shared" si="20"/>
        <v>C</v>
      </c>
      <c r="F225" s="55">
        <v>100</v>
      </c>
      <c r="G225" s="55" t="s">
        <v>46</v>
      </c>
      <c r="H225" s="55">
        <v>97.2</v>
      </c>
      <c r="I225" s="55"/>
      <c r="J225" s="55"/>
      <c r="K225" s="46" t="str">
        <f t="shared" ca="1" si="21"/>
        <v/>
      </c>
      <c r="L225" s="56" t="str">
        <f t="shared" ca="1" si="22"/>
        <v/>
      </c>
      <c r="Q225" s="57" t="str">
        <f t="shared" ca="1" si="23"/>
        <v/>
      </c>
      <c r="R225" s="57" t="str">
        <f t="shared" ca="1" si="24"/>
        <v/>
      </c>
    </row>
    <row r="226" spans="2:18" x14ac:dyDescent="0.25">
      <c r="B226" s="43">
        <v>2965</v>
      </c>
      <c r="C226" s="43">
        <v>100</v>
      </c>
      <c r="D226" s="43" t="s">
        <v>67</v>
      </c>
      <c r="E226" s="55" t="str">
        <f t="shared" si="20"/>
        <v>C</v>
      </c>
      <c r="F226" s="55">
        <v>100</v>
      </c>
      <c r="G226" s="55" t="s">
        <v>46</v>
      </c>
      <c r="H226" s="55">
        <v>113.2</v>
      </c>
      <c r="I226" s="55"/>
      <c r="J226" s="55"/>
      <c r="K226" s="46" t="str">
        <f t="shared" ca="1" si="21"/>
        <v/>
      </c>
      <c r="L226" s="56" t="str">
        <f t="shared" ca="1" si="22"/>
        <v/>
      </c>
      <c r="Q226" s="57" t="str">
        <f t="shared" ca="1" si="23"/>
        <v/>
      </c>
      <c r="R226" s="57" t="str">
        <f t="shared" ca="1" si="24"/>
        <v/>
      </c>
    </row>
    <row r="227" spans="2:18" x14ac:dyDescent="0.25">
      <c r="B227" s="43">
        <v>2970</v>
      </c>
      <c r="C227" s="43">
        <v>100</v>
      </c>
      <c r="D227" s="43" t="s">
        <v>67</v>
      </c>
      <c r="E227" s="55" t="str">
        <f t="shared" si="20"/>
        <v>C</v>
      </c>
      <c r="F227" s="55">
        <v>100</v>
      </c>
      <c r="G227" s="55" t="s">
        <v>46</v>
      </c>
      <c r="H227" s="55">
        <v>79.2</v>
      </c>
      <c r="I227" s="55"/>
      <c r="J227" s="55"/>
      <c r="K227" s="46" t="str">
        <f t="shared" ca="1" si="21"/>
        <v/>
      </c>
      <c r="L227" s="56" t="str">
        <f t="shared" ca="1" si="22"/>
        <v/>
      </c>
      <c r="Q227" s="57" t="str">
        <f t="shared" ca="1" si="23"/>
        <v/>
      </c>
      <c r="R227" s="57" t="str">
        <f t="shared" ca="1" si="24"/>
        <v/>
      </c>
    </row>
    <row r="228" spans="2:18" x14ac:dyDescent="0.25">
      <c r="B228" s="43">
        <v>2975</v>
      </c>
      <c r="C228" s="43">
        <v>100</v>
      </c>
      <c r="D228" s="43" t="s">
        <v>67</v>
      </c>
      <c r="E228" s="55" t="str">
        <f t="shared" si="20"/>
        <v>C</v>
      </c>
      <c r="F228" s="55">
        <v>100</v>
      </c>
      <c r="G228" s="55" t="s">
        <v>46</v>
      </c>
      <c r="H228" s="55">
        <v>65.099999999999994</v>
      </c>
      <c r="I228" s="55"/>
      <c r="J228" s="55"/>
      <c r="K228" s="46" t="str">
        <f t="shared" ca="1" si="21"/>
        <v/>
      </c>
      <c r="L228" s="56" t="str">
        <f t="shared" ca="1" si="22"/>
        <v/>
      </c>
      <c r="Q228" s="57" t="str">
        <f t="shared" ca="1" si="23"/>
        <v/>
      </c>
      <c r="R228" s="57" t="str">
        <f t="shared" ca="1" si="24"/>
        <v/>
      </c>
    </row>
    <row r="229" spans="2:18" x14ac:dyDescent="0.25">
      <c r="B229" s="43">
        <v>2980</v>
      </c>
      <c r="C229" s="43">
        <v>100</v>
      </c>
      <c r="D229" s="43" t="s">
        <v>67</v>
      </c>
      <c r="E229" s="55" t="str">
        <f t="shared" si="20"/>
        <v>C</v>
      </c>
      <c r="F229" s="55">
        <v>100</v>
      </c>
      <c r="G229" s="55" t="s">
        <v>46</v>
      </c>
      <c r="H229" s="55">
        <v>80.7</v>
      </c>
      <c r="I229" s="55"/>
      <c r="J229" s="55"/>
      <c r="K229" s="46" t="str">
        <f t="shared" ca="1" si="21"/>
        <v/>
      </c>
      <c r="L229" s="56" t="str">
        <f t="shared" ca="1" si="22"/>
        <v/>
      </c>
      <c r="Q229" s="57" t="str">
        <f t="shared" ca="1" si="23"/>
        <v/>
      </c>
      <c r="R229" s="57" t="str">
        <f t="shared" ca="1" si="24"/>
        <v/>
      </c>
    </row>
    <row r="230" spans="2:18" x14ac:dyDescent="0.25">
      <c r="B230" s="43">
        <v>2985</v>
      </c>
      <c r="C230" s="43">
        <v>100</v>
      </c>
      <c r="D230" s="43" t="s">
        <v>67</v>
      </c>
      <c r="E230" s="55" t="str">
        <f t="shared" si="20"/>
        <v>C</v>
      </c>
      <c r="F230" s="55">
        <v>100</v>
      </c>
      <c r="G230" s="55" t="s">
        <v>46</v>
      </c>
      <c r="H230" s="55">
        <v>67.5</v>
      </c>
      <c r="I230" s="55"/>
      <c r="J230" s="55"/>
      <c r="K230" s="46" t="str">
        <f t="shared" ca="1" si="21"/>
        <v/>
      </c>
      <c r="L230" s="56" t="str">
        <f t="shared" ca="1" si="22"/>
        <v/>
      </c>
      <c r="Q230" s="57" t="str">
        <f t="shared" ca="1" si="23"/>
        <v/>
      </c>
      <c r="R230" s="57" t="str">
        <f t="shared" ca="1" si="24"/>
        <v/>
      </c>
    </row>
    <row r="231" spans="2:18" x14ac:dyDescent="0.25">
      <c r="B231" s="43">
        <v>2990</v>
      </c>
      <c r="C231" s="43">
        <v>100</v>
      </c>
      <c r="D231" s="43" t="s">
        <v>67</v>
      </c>
      <c r="E231" s="55" t="str">
        <f t="shared" si="20"/>
        <v>C</v>
      </c>
      <c r="F231" s="55">
        <v>100</v>
      </c>
      <c r="G231" s="55" t="s">
        <v>46</v>
      </c>
      <c r="H231" s="55">
        <v>102.4</v>
      </c>
      <c r="I231" s="55"/>
      <c r="J231" s="55"/>
      <c r="K231" s="46" t="str">
        <f t="shared" ca="1" si="21"/>
        <v/>
      </c>
      <c r="L231" s="56" t="str">
        <f t="shared" ca="1" si="22"/>
        <v/>
      </c>
      <c r="Q231" s="57" t="str">
        <f t="shared" ca="1" si="23"/>
        <v/>
      </c>
      <c r="R231" s="57" t="str">
        <f t="shared" ca="1" si="24"/>
        <v/>
      </c>
    </row>
    <row r="232" spans="2:18" x14ac:dyDescent="0.25">
      <c r="B232" s="43">
        <v>2995</v>
      </c>
      <c r="C232" s="43">
        <v>95</v>
      </c>
      <c r="D232" s="43" t="s">
        <v>67</v>
      </c>
      <c r="E232" s="55" t="str">
        <f t="shared" si="20"/>
        <v>C</v>
      </c>
      <c r="F232" s="55">
        <v>100</v>
      </c>
      <c r="G232" s="55" t="s">
        <v>46</v>
      </c>
      <c r="H232" s="55">
        <v>71.5</v>
      </c>
      <c r="I232" s="55"/>
      <c r="J232" s="55"/>
      <c r="K232" s="46" t="str">
        <f t="shared" ca="1" si="21"/>
        <v/>
      </c>
      <c r="L232" s="56" t="str">
        <f t="shared" ca="1" si="22"/>
        <v/>
      </c>
      <c r="Q232" s="57" t="str">
        <f t="shared" ca="1" si="23"/>
        <v/>
      </c>
      <c r="R232" s="57" t="str">
        <f t="shared" ca="1" si="24"/>
        <v/>
      </c>
    </row>
    <row r="233" spans="2:18" x14ac:dyDescent="0.25">
      <c r="B233" s="43">
        <v>3000</v>
      </c>
      <c r="C233" s="43">
        <v>95</v>
      </c>
      <c r="D233" s="43" t="s">
        <v>67</v>
      </c>
      <c r="E233" s="55" t="str">
        <f t="shared" si="20"/>
        <v>C</v>
      </c>
      <c r="F233" s="55">
        <v>100</v>
      </c>
      <c r="G233" s="55" t="s">
        <v>46</v>
      </c>
      <c r="H233" s="55">
        <v>67.900000000000006</v>
      </c>
      <c r="I233" s="55"/>
      <c r="J233" s="55"/>
      <c r="K233" s="46" t="str">
        <f t="shared" ca="1" si="21"/>
        <v/>
      </c>
      <c r="L233" s="56" t="str">
        <f t="shared" ca="1" si="22"/>
        <v/>
      </c>
      <c r="Q233" s="57" t="str">
        <f t="shared" ca="1" si="23"/>
        <v/>
      </c>
      <c r="R233" s="57" t="str">
        <f t="shared" ca="1" si="24"/>
        <v/>
      </c>
    </row>
    <row r="234" spans="2:18" x14ac:dyDescent="0.25">
      <c r="B234" s="43">
        <v>3005</v>
      </c>
      <c r="C234" s="43">
        <v>95</v>
      </c>
      <c r="D234" s="43" t="s">
        <v>67</v>
      </c>
      <c r="E234" s="55" t="str">
        <f t="shared" si="20"/>
        <v>C</v>
      </c>
      <c r="F234" s="55">
        <v>100</v>
      </c>
      <c r="G234" s="55" t="s">
        <v>46</v>
      </c>
      <c r="H234" s="55">
        <v>70.599999999999994</v>
      </c>
      <c r="I234" s="55"/>
      <c r="J234" s="55"/>
      <c r="K234" s="46" t="str">
        <f t="shared" ca="1" si="21"/>
        <v/>
      </c>
      <c r="L234" s="56" t="str">
        <f t="shared" ca="1" si="22"/>
        <v/>
      </c>
      <c r="Q234" s="57" t="str">
        <f t="shared" ca="1" si="23"/>
        <v/>
      </c>
      <c r="R234" s="57" t="str">
        <f t="shared" ca="1" si="24"/>
        <v/>
      </c>
    </row>
    <row r="235" spans="2:18" x14ac:dyDescent="0.25">
      <c r="B235" s="43">
        <v>3010</v>
      </c>
      <c r="C235" s="43">
        <v>95</v>
      </c>
      <c r="D235" s="43" t="s">
        <v>67</v>
      </c>
      <c r="E235" s="55" t="str">
        <f t="shared" si="20"/>
        <v>C</v>
      </c>
      <c r="F235" s="55">
        <v>100</v>
      </c>
      <c r="G235" s="55" t="s">
        <v>46</v>
      </c>
      <c r="H235" s="55">
        <v>62.1</v>
      </c>
      <c r="I235" s="55"/>
      <c r="J235" s="55"/>
      <c r="K235" s="46" t="str">
        <f t="shared" ca="1" si="21"/>
        <v/>
      </c>
      <c r="L235" s="56" t="str">
        <f t="shared" ca="1" si="22"/>
        <v/>
      </c>
      <c r="Q235" s="57" t="str">
        <f t="shared" ca="1" si="23"/>
        <v/>
      </c>
      <c r="R235" s="57" t="str">
        <f t="shared" ca="1" si="24"/>
        <v/>
      </c>
    </row>
    <row r="236" spans="2:18" x14ac:dyDescent="0.25">
      <c r="B236" s="43">
        <v>3015</v>
      </c>
      <c r="C236" s="43">
        <v>95</v>
      </c>
      <c r="D236" s="43" t="s">
        <v>67</v>
      </c>
      <c r="E236" s="55" t="str">
        <f t="shared" si="20"/>
        <v>C</v>
      </c>
      <c r="F236" s="55">
        <v>100</v>
      </c>
      <c r="G236" s="55" t="s">
        <v>46</v>
      </c>
      <c r="H236" s="55">
        <v>83</v>
      </c>
      <c r="I236" s="55"/>
      <c r="J236" s="55"/>
      <c r="K236" s="46" t="str">
        <f t="shared" ca="1" si="21"/>
        <v/>
      </c>
      <c r="L236" s="56" t="str">
        <f t="shared" ca="1" si="22"/>
        <v/>
      </c>
      <c r="Q236" s="57" t="str">
        <f t="shared" ca="1" si="23"/>
        <v/>
      </c>
      <c r="R236" s="57" t="str">
        <f t="shared" ca="1" si="24"/>
        <v/>
      </c>
    </row>
    <row r="237" spans="2:18" x14ac:dyDescent="0.25">
      <c r="B237" s="43">
        <v>3020</v>
      </c>
      <c r="C237" s="43">
        <v>95</v>
      </c>
      <c r="D237" s="43" t="s">
        <v>67</v>
      </c>
      <c r="E237" s="55" t="str">
        <f t="shared" si="20"/>
        <v>C</v>
      </c>
      <c r="F237" s="55">
        <v>100</v>
      </c>
      <c r="G237" s="55" t="s">
        <v>46</v>
      </c>
      <c r="H237" s="55">
        <v>56.7</v>
      </c>
      <c r="I237" s="55"/>
      <c r="J237" s="55"/>
      <c r="K237" s="46" t="str">
        <f t="shared" ca="1" si="21"/>
        <v/>
      </c>
      <c r="L237" s="56" t="str">
        <f t="shared" ca="1" si="22"/>
        <v/>
      </c>
      <c r="Q237" s="57" t="str">
        <f t="shared" ca="1" si="23"/>
        <v/>
      </c>
      <c r="R237" s="57" t="str">
        <f t="shared" ca="1" si="24"/>
        <v/>
      </c>
    </row>
    <row r="238" spans="2:18" x14ac:dyDescent="0.25">
      <c r="B238" s="43">
        <v>3025</v>
      </c>
      <c r="C238" s="43">
        <v>95</v>
      </c>
      <c r="D238" s="43" t="s">
        <v>67</v>
      </c>
      <c r="E238" s="55" t="str">
        <f t="shared" si="20"/>
        <v>C</v>
      </c>
      <c r="F238" s="55">
        <v>100</v>
      </c>
      <c r="G238" s="55" t="s">
        <v>46</v>
      </c>
      <c r="H238" s="55">
        <v>73.8</v>
      </c>
      <c r="I238" s="55"/>
      <c r="J238" s="55"/>
      <c r="K238" s="46" t="str">
        <f t="shared" ca="1" si="21"/>
        <v/>
      </c>
      <c r="L238" s="56" t="str">
        <f t="shared" ca="1" si="22"/>
        <v/>
      </c>
      <c r="Q238" s="57" t="str">
        <f t="shared" ca="1" si="23"/>
        <v/>
      </c>
      <c r="R238" s="57" t="str">
        <f t="shared" ca="1" si="24"/>
        <v/>
      </c>
    </row>
    <row r="239" spans="2:18" x14ac:dyDescent="0.25">
      <c r="B239" s="43">
        <v>3030</v>
      </c>
      <c r="C239" s="43">
        <v>95</v>
      </c>
      <c r="D239" s="43" t="s">
        <v>68</v>
      </c>
      <c r="E239" s="55" t="str">
        <f t="shared" si="20"/>
        <v>C</v>
      </c>
      <c r="F239" s="55">
        <v>100</v>
      </c>
      <c r="G239" s="55" t="s">
        <v>46</v>
      </c>
      <c r="H239" s="55">
        <v>68.599999999999994</v>
      </c>
      <c r="I239" s="55"/>
      <c r="J239" s="55"/>
      <c r="K239" s="46" t="str">
        <f t="shared" ca="1" si="21"/>
        <v/>
      </c>
      <c r="L239" s="56" t="str">
        <f t="shared" ca="1" si="22"/>
        <v/>
      </c>
      <c r="Q239" s="57" t="str">
        <f t="shared" ca="1" si="23"/>
        <v/>
      </c>
      <c r="R239" s="57" t="str">
        <f t="shared" ca="1" si="24"/>
        <v/>
      </c>
    </row>
    <row r="240" spans="2:18" x14ac:dyDescent="0.25">
      <c r="B240" s="43">
        <v>3035</v>
      </c>
      <c r="C240" s="43">
        <v>100</v>
      </c>
      <c r="D240" s="43" t="s">
        <v>68</v>
      </c>
      <c r="E240" s="55" t="str">
        <f t="shared" si="20"/>
        <v>C</v>
      </c>
      <c r="F240" s="55">
        <v>100</v>
      </c>
      <c r="G240" s="55" t="s">
        <v>46</v>
      </c>
      <c r="H240" s="55">
        <v>107</v>
      </c>
      <c r="I240" s="55"/>
      <c r="J240" s="55"/>
      <c r="K240" s="46" t="str">
        <f t="shared" ca="1" si="21"/>
        <v/>
      </c>
      <c r="L240" s="56" t="str">
        <f t="shared" ca="1" si="22"/>
        <v/>
      </c>
      <c r="Q240" s="57" t="str">
        <f t="shared" ca="1" si="23"/>
        <v/>
      </c>
      <c r="R240" s="57" t="str">
        <f t="shared" ca="1" si="24"/>
        <v/>
      </c>
    </row>
    <row r="241" spans="2:18" x14ac:dyDescent="0.25">
      <c r="B241" s="43">
        <v>3040</v>
      </c>
      <c r="C241" s="43">
        <v>100</v>
      </c>
      <c r="D241" s="43" t="s">
        <v>68</v>
      </c>
      <c r="E241" s="55" t="str">
        <f t="shared" si="20"/>
        <v>C</v>
      </c>
      <c r="F241" s="55">
        <v>100</v>
      </c>
      <c r="G241" s="55" t="s">
        <v>46</v>
      </c>
      <c r="H241" s="55">
        <v>57.3</v>
      </c>
      <c r="I241" s="55"/>
      <c r="J241" s="55"/>
      <c r="K241" s="46" t="str">
        <f t="shared" ca="1" si="21"/>
        <v/>
      </c>
      <c r="L241" s="56" t="str">
        <f t="shared" ca="1" si="22"/>
        <v/>
      </c>
      <c r="Q241" s="57" t="str">
        <f t="shared" ca="1" si="23"/>
        <v/>
      </c>
      <c r="R241" s="57" t="str">
        <f t="shared" ca="1" si="24"/>
        <v/>
      </c>
    </row>
    <row r="242" spans="2:18" x14ac:dyDescent="0.25">
      <c r="B242" s="43">
        <v>3045</v>
      </c>
      <c r="C242" s="43">
        <v>100</v>
      </c>
      <c r="D242" s="43" t="s">
        <v>65</v>
      </c>
      <c r="E242" s="55" t="str">
        <f t="shared" si="20"/>
        <v>M</v>
      </c>
      <c r="F242" s="55">
        <v>100</v>
      </c>
      <c r="G242" s="55" t="s">
        <v>46</v>
      </c>
      <c r="H242" s="55">
        <v>35.799999999999997</v>
      </c>
      <c r="I242" s="55"/>
      <c r="J242" s="55"/>
      <c r="K242" s="46" t="str">
        <f t="shared" ca="1" si="21"/>
        <v/>
      </c>
      <c r="L242" s="56" t="str">
        <f t="shared" ca="1" si="22"/>
        <v/>
      </c>
      <c r="Q242" s="57" t="str">
        <f t="shared" ca="1" si="23"/>
        <v/>
      </c>
      <c r="R242" s="57" t="str">
        <f t="shared" ca="1" si="24"/>
        <v/>
      </c>
    </row>
    <row r="243" spans="2:18" x14ac:dyDescent="0.25">
      <c r="B243" s="43">
        <v>3050</v>
      </c>
      <c r="C243" s="43">
        <v>100</v>
      </c>
      <c r="D243" s="43" t="s">
        <v>65</v>
      </c>
      <c r="E243" s="55" t="str">
        <f t="shared" si="20"/>
        <v>M</v>
      </c>
      <c r="F243" s="55">
        <v>100</v>
      </c>
      <c r="G243" s="55" t="s">
        <v>46</v>
      </c>
      <c r="H243" s="55">
        <v>56.5</v>
      </c>
      <c r="I243" s="55"/>
      <c r="J243" s="55"/>
      <c r="K243" s="46" t="str">
        <f t="shared" ca="1" si="21"/>
        <v/>
      </c>
      <c r="L243" s="56" t="str">
        <f t="shared" ca="1" si="22"/>
        <v/>
      </c>
      <c r="Q243" s="57" t="str">
        <f t="shared" ca="1" si="23"/>
        <v/>
      </c>
      <c r="R243" s="57" t="str">
        <f t="shared" ca="1" si="24"/>
        <v/>
      </c>
    </row>
    <row r="244" spans="2:18" x14ac:dyDescent="0.25">
      <c r="B244" s="43">
        <v>3055</v>
      </c>
      <c r="C244" s="43">
        <v>95</v>
      </c>
      <c r="D244" s="43" t="s">
        <v>63</v>
      </c>
      <c r="E244" s="55" t="str">
        <f t="shared" si="20"/>
        <v>C</v>
      </c>
      <c r="F244" s="55">
        <v>100</v>
      </c>
      <c r="G244" s="55" t="s">
        <v>46</v>
      </c>
      <c r="H244" s="55">
        <v>81.099999999999994</v>
      </c>
      <c r="I244" s="55"/>
      <c r="J244" s="55"/>
      <c r="K244" s="46" t="str">
        <f t="shared" ca="1" si="21"/>
        <v/>
      </c>
      <c r="L244" s="56" t="str">
        <f t="shared" ca="1" si="22"/>
        <v/>
      </c>
      <c r="Q244" s="57" t="str">
        <f t="shared" ca="1" si="23"/>
        <v/>
      </c>
      <c r="R244" s="57" t="str">
        <f t="shared" ca="1" si="24"/>
        <v/>
      </c>
    </row>
    <row r="245" spans="2:18" x14ac:dyDescent="0.25">
      <c r="B245" s="43">
        <v>3060</v>
      </c>
      <c r="C245" s="43">
        <v>95</v>
      </c>
      <c r="D245" s="43" t="s">
        <v>63</v>
      </c>
      <c r="E245" s="55" t="str">
        <f t="shared" si="20"/>
        <v>C</v>
      </c>
      <c r="F245" s="55">
        <v>100</v>
      </c>
      <c r="G245" s="55" t="s">
        <v>46</v>
      </c>
      <c r="H245" s="55">
        <v>63.7</v>
      </c>
      <c r="I245" s="55"/>
      <c r="J245" s="55"/>
      <c r="K245" s="46" t="str">
        <f t="shared" ca="1" si="21"/>
        <v/>
      </c>
      <c r="L245" s="56" t="str">
        <f t="shared" ca="1" si="22"/>
        <v/>
      </c>
      <c r="Q245" s="57" t="str">
        <f t="shared" ca="1" si="23"/>
        <v/>
      </c>
      <c r="R245" s="57" t="str">
        <f t="shared" ca="1" si="24"/>
        <v/>
      </c>
    </row>
    <row r="246" spans="2:18" x14ac:dyDescent="0.25">
      <c r="B246" s="43">
        <v>3065</v>
      </c>
      <c r="C246" s="43">
        <v>90</v>
      </c>
      <c r="D246" s="43" t="s">
        <v>65</v>
      </c>
      <c r="E246" s="55" t="str">
        <f t="shared" si="20"/>
        <v>M</v>
      </c>
      <c r="F246" s="55">
        <v>100</v>
      </c>
      <c r="G246" s="55" t="s">
        <v>46</v>
      </c>
      <c r="H246" s="55">
        <v>40.4</v>
      </c>
      <c r="I246" s="55"/>
      <c r="J246" s="55"/>
      <c r="K246" s="46" t="str">
        <f t="shared" ca="1" si="21"/>
        <v/>
      </c>
      <c r="L246" s="56" t="str">
        <f t="shared" ca="1" si="22"/>
        <v/>
      </c>
      <c r="Q246" s="57" t="str">
        <f t="shared" ca="1" si="23"/>
        <v/>
      </c>
      <c r="R246" s="57" t="str">
        <f t="shared" ca="1" si="24"/>
        <v/>
      </c>
    </row>
    <row r="247" spans="2:18" x14ac:dyDescent="0.25">
      <c r="B247" s="43">
        <v>3070</v>
      </c>
      <c r="C247" s="43">
        <v>90</v>
      </c>
      <c r="D247" s="43" t="s">
        <v>65</v>
      </c>
      <c r="E247" s="55" t="str">
        <f t="shared" si="20"/>
        <v>M</v>
      </c>
      <c r="F247" s="55">
        <v>100</v>
      </c>
      <c r="G247" s="55" t="s">
        <v>46</v>
      </c>
      <c r="H247" s="55">
        <v>95</v>
      </c>
      <c r="I247" s="55"/>
      <c r="J247" s="55"/>
      <c r="K247" s="46" t="str">
        <f t="shared" ca="1" si="21"/>
        <v/>
      </c>
      <c r="L247" s="56" t="str">
        <f t="shared" ca="1" si="22"/>
        <v/>
      </c>
      <c r="Q247" s="57" t="str">
        <f t="shared" ca="1" si="23"/>
        <v/>
      </c>
      <c r="R247" s="57" t="str">
        <f t="shared" ca="1" si="24"/>
        <v/>
      </c>
    </row>
    <row r="248" spans="2:18" x14ac:dyDescent="0.25">
      <c r="B248" s="43">
        <v>3075</v>
      </c>
      <c r="C248" s="43">
        <v>100</v>
      </c>
      <c r="D248" s="43" t="s">
        <v>69</v>
      </c>
      <c r="E248" s="55" t="str">
        <f t="shared" si="20"/>
        <v>C</v>
      </c>
      <c r="F248" s="55">
        <v>100</v>
      </c>
      <c r="G248" s="55" t="s">
        <v>46</v>
      </c>
      <c r="H248" s="55">
        <v>99.7</v>
      </c>
      <c r="I248" s="55"/>
      <c r="J248" s="55"/>
      <c r="K248" s="46" t="str">
        <f t="shared" ca="1" si="21"/>
        <v/>
      </c>
      <c r="L248" s="56" t="str">
        <f t="shared" ca="1" si="22"/>
        <v/>
      </c>
      <c r="Q248" s="57" t="str">
        <f t="shared" ca="1" si="23"/>
        <v/>
      </c>
      <c r="R248" s="57" t="str">
        <f t="shared" ca="1" si="24"/>
        <v/>
      </c>
    </row>
    <row r="249" spans="2:18" x14ac:dyDescent="0.25">
      <c r="B249" s="43">
        <v>3080</v>
      </c>
      <c r="C249" s="43">
        <v>100</v>
      </c>
      <c r="D249" s="43" t="s">
        <v>69</v>
      </c>
      <c r="E249" s="55" t="str">
        <f t="shared" si="20"/>
        <v>C</v>
      </c>
      <c r="F249" s="55">
        <v>100</v>
      </c>
      <c r="G249" s="55" t="s">
        <v>46</v>
      </c>
      <c r="H249" s="55">
        <v>73.400000000000006</v>
      </c>
      <c r="I249" s="55"/>
      <c r="J249" s="55"/>
      <c r="K249" s="46" t="str">
        <f t="shared" ca="1" si="21"/>
        <v/>
      </c>
      <c r="L249" s="56" t="str">
        <f t="shared" ca="1" si="22"/>
        <v/>
      </c>
      <c r="Q249" s="57" t="str">
        <f t="shared" ca="1" si="23"/>
        <v/>
      </c>
      <c r="R249" s="57" t="str">
        <f t="shared" ca="1" si="24"/>
        <v/>
      </c>
    </row>
    <row r="250" spans="2:18" x14ac:dyDescent="0.25">
      <c r="B250" s="43">
        <v>3085</v>
      </c>
      <c r="C250" s="43">
        <v>95</v>
      </c>
      <c r="D250" s="43" t="s">
        <v>63</v>
      </c>
      <c r="E250" s="55" t="str">
        <f t="shared" si="20"/>
        <v>C</v>
      </c>
      <c r="F250" s="55">
        <v>100</v>
      </c>
      <c r="G250" s="55" t="s">
        <v>46</v>
      </c>
      <c r="H250" s="55">
        <v>66.599999999999994</v>
      </c>
      <c r="I250" s="55"/>
      <c r="J250" s="55"/>
      <c r="K250" s="46" t="str">
        <f t="shared" ca="1" si="21"/>
        <v/>
      </c>
      <c r="L250" s="56" t="str">
        <f t="shared" ca="1" si="22"/>
        <v/>
      </c>
      <c r="Q250" s="57" t="str">
        <f t="shared" ca="1" si="23"/>
        <v/>
      </c>
      <c r="R250" s="57" t="str">
        <f t="shared" ca="1" si="24"/>
        <v/>
      </c>
    </row>
    <row r="251" spans="2:18" x14ac:dyDescent="0.25">
      <c r="B251" s="43">
        <v>3090</v>
      </c>
      <c r="C251" s="43">
        <v>95</v>
      </c>
      <c r="D251" s="43" t="s">
        <v>63</v>
      </c>
      <c r="E251" s="55" t="str">
        <f t="shared" si="20"/>
        <v>C</v>
      </c>
      <c r="F251" s="55">
        <v>100</v>
      </c>
      <c r="G251" s="55" t="s">
        <v>46</v>
      </c>
      <c r="H251" s="55">
        <v>109.2</v>
      </c>
      <c r="I251" s="55"/>
      <c r="J251" s="55"/>
      <c r="K251" s="46" t="str">
        <f t="shared" ca="1" si="21"/>
        <v/>
      </c>
      <c r="L251" s="56" t="str">
        <f t="shared" ca="1" si="22"/>
        <v/>
      </c>
      <c r="Q251" s="57" t="str">
        <f t="shared" ca="1" si="23"/>
        <v/>
      </c>
      <c r="R251" s="57" t="str">
        <f t="shared" ca="1" si="24"/>
        <v/>
      </c>
    </row>
    <row r="252" spans="2:18" x14ac:dyDescent="0.25">
      <c r="B252" s="43">
        <v>3095</v>
      </c>
      <c r="C252" s="43">
        <v>95</v>
      </c>
      <c r="D252" s="43" t="s">
        <v>69</v>
      </c>
      <c r="E252" s="55" t="str">
        <f t="shared" si="20"/>
        <v>C</v>
      </c>
      <c r="F252" s="55">
        <v>100</v>
      </c>
      <c r="G252" s="55" t="s">
        <v>46</v>
      </c>
      <c r="H252" s="55">
        <v>146.80000000000001</v>
      </c>
      <c r="I252" s="55"/>
      <c r="J252" s="55"/>
      <c r="K252" s="46" t="str">
        <f t="shared" ca="1" si="21"/>
        <v/>
      </c>
      <c r="L252" s="56" t="str">
        <f t="shared" ca="1" si="22"/>
        <v/>
      </c>
      <c r="Q252" s="57" t="str">
        <f t="shared" ca="1" si="23"/>
        <v/>
      </c>
      <c r="R252" s="57" t="str">
        <f t="shared" ca="1" si="24"/>
        <v/>
      </c>
    </row>
    <row r="253" spans="2:18" x14ac:dyDescent="0.25">
      <c r="B253" s="43">
        <v>3100</v>
      </c>
      <c r="C253" s="43">
        <v>95</v>
      </c>
      <c r="D253" s="43" t="s">
        <v>69</v>
      </c>
      <c r="E253" s="55" t="str">
        <f t="shared" si="20"/>
        <v>C</v>
      </c>
      <c r="F253" s="55">
        <v>100</v>
      </c>
      <c r="G253" s="55" t="s">
        <v>46</v>
      </c>
      <c r="H253" s="55">
        <v>137.69999999999999</v>
      </c>
      <c r="I253" s="55"/>
      <c r="J253" s="55"/>
      <c r="K253" s="46" t="str">
        <f t="shared" ca="1" si="21"/>
        <v/>
      </c>
      <c r="L253" s="56" t="str">
        <f t="shared" ca="1" si="22"/>
        <v/>
      </c>
      <c r="Q253" s="57" t="str">
        <f t="shared" ca="1" si="23"/>
        <v/>
      </c>
      <c r="R253" s="57" t="str">
        <f t="shared" ca="1" si="24"/>
        <v/>
      </c>
    </row>
    <row r="254" spans="2:18" x14ac:dyDescent="0.25">
      <c r="B254" s="43">
        <v>3105</v>
      </c>
      <c r="C254" s="43">
        <v>90</v>
      </c>
      <c r="D254" s="43" t="s">
        <v>63</v>
      </c>
      <c r="E254" s="55" t="str">
        <f t="shared" si="20"/>
        <v>C</v>
      </c>
      <c r="F254" s="55">
        <v>100</v>
      </c>
      <c r="G254" s="55" t="s">
        <v>46</v>
      </c>
      <c r="H254" s="55">
        <v>110.1</v>
      </c>
      <c r="I254" s="55"/>
      <c r="J254" s="55"/>
      <c r="K254" s="46" t="str">
        <f t="shared" ca="1" si="21"/>
        <v/>
      </c>
      <c r="L254" s="56" t="str">
        <f t="shared" ca="1" si="22"/>
        <v/>
      </c>
      <c r="Q254" s="57" t="str">
        <f t="shared" ca="1" si="23"/>
        <v/>
      </c>
      <c r="R254" s="57" t="str">
        <f t="shared" ca="1" si="24"/>
        <v/>
      </c>
    </row>
    <row r="255" spans="2:18" x14ac:dyDescent="0.25">
      <c r="B255" s="43">
        <v>3110</v>
      </c>
      <c r="C255" s="43">
        <v>90</v>
      </c>
      <c r="D255" s="43" t="s">
        <v>63</v>
      </c>
      <c r="E255" s="55" t="str">
        <f t="shared" si="20"/>
        <v>C</v>
      </c>
      <c r="F255" s="55">
        <v>100</v>
      </c>
      <c r="G255" s="55" t="s">
        <v>46</v>
      </c>
      <c r="H255" s="55">
        <v>130.4</v>
      </c>
      <c r="I255" s="55"/>
      <c r="J255" s="55"/>
      <c r="K255" s="46" t="str">
        <f t="shared" ca="1" si="21"/>
        <v/>
      </c>
      <c r="L255" s="56" t="str">
        <f t="shared" ca="1" si="22"/>
        <v/>
      </c>
      <c r="Q255" s="57" t="str">
        <f t="shared" ca="1" si="23"/>
        <v/>
      </c>
      <c r="R255" s="57" t="str">
        <f t="shared" ca="1" si="24"/>
        <v/>
      </c>
    </row>
    <row r="256" spans="2:18" x14ac:dyDescent="0.25">
      <c r="B256" s="43">
        <v>3115</v>
      </c>
      <c r="C256" s="43">
        <v>95</v>
      </c>
      <c r="D256" s="43" t="s">
        <v>69</v>
      </c>
      <c r="E256" s="55" t="str">
        <f t="shared" si="20"/>
        <v>C</v>
      </c>
      <c r="F256" s="55">
        <v>100</v>
      </c>
      <c r="G256" s="55" t="s">
        <v>46</v>
      </c>
      <c r="H256" s="55">
        <v>120.9</v>
      </c>
      <c r="I256" s="55"/>
      <c r="J256" s="55"/>
      <c r="K256" s="46" t="str">
        <f t="shared" ca="1" si="21"/>
        <v/>
      </c>
      <c r="L256" s="56" t="str">
        <f t="shared" ca="1" si="22"/>
        <v/>
      </c>
      <c r="Q256" s="57" t="str">
        <f t="shared" ca="1" si="23"/>
        <v/>
      </c>
      <c r="R256" s="57" t="str">
        <f t="shared" ca="1" si="24"/>
        <v/>
      </c>
    </row>
    <row r="257" spans="2:18" x14ac:dyDescent="0.25">
      <c r="B257" s="43">
        <v>3120</v>
      </c>
      <c r="C257" s="43">
        <v>95</v>
      </c>
      <c r="D257" s="43" t="s">
        <v>69</v>
      </c>
      <c r="E257" s="55" t="str">
        <f t="shared" si="20"/>
        <v>C</v>
      </c>
      <c r="F257" s="55">
        <v>100</v>
      </c>
      <c r="G257" s="55" t="s">
        <v>46</v>
      </c>
      <c r="H257" s="55">
        <v>142.6</v>
      </c>
      <c r="I257" s="55"/>
      <c r="J257" s="55"/>
      <c r="K257" s="46" t="str">
        <f t="shared" ca="1" si="21"/>
        <v/>
      </c>
      <c r="L257" s="56" t="str">
        <f t="shared" ca="1" si="22"/>
        <v/>
      </c>
      <c r="Q257" s="57" t="str">
        <f t="shared" ca="1" si="23"/>
        <v/>
      </c>
      <c r="R257" s="57" t="str">
        <f t="shared" ca="1" si="24"/>
        <v/>
      </c>
    </row>
    <row r="258" spans="2:18" x14ac:dyDescent="0.25">
      <c r="B258" s="43">
        <v>3125</v>
      </c>
      <c r="C258" s="43">
        <v>95</v>
      </c>
      <c r="D258" s="43" t="s">
        <v>63</v>
      </c>
      <c r="E258" s="55" t="str">
        <f t="shared" si="20"/>
        <v>C</v>
      </c>
      <c r="F258" s="55">
        <v>100</v>
      </c>
      <c r="G258" s="55" t="s">
        <v>46</v>
      </c>
      <c r="H258" s="55">
        <v>119.8</v>
      </c>
      <c r="I258" s="55"/>
      <c r="J258" s="55"/>
      <c r="K258" s="46" t="str">
        <f t="shared" ca="1" si="21"/>
        <v/>
      </c>
      <c r="L258" s="56" t="str">
        <f t="shared" ca="1" si="22"/>
        <v/>
      </c>
      <c r="Q258" s="57" t="str">
        <f t="shared" ca="1" si="23"/>
        <v/>
      </c>
      <c r="R258" s="57" t="str">
        <f t="shared" ca="1" si="24"/>
        <v/>
      </c>
    </row>
    <row r="259" spans="2:18" x14ac:dyDescent="0.25">
      <c r="B259" s="43">
        <v>3130</v>
      </c>
      <c r="C259" s="43">
        <v>95</v>
      </c>
      <c r="D259" s="43" t="s">
        <v>63</v>
      </c>
      <c r="E259" s="55" t="str">
        <f t="shared" si="20"/>
        <v>C</v>
      </c>
      <c r="F259" s="55">
        <v>100</v>
      </c>
      <c r="G259" s="55" t="s">
        <v>46</v>
      </c>
      <c r="H259" s="55">
        <v>142.5</v>
      </c>
      <c r="I259" s="55"/>
      <c r="J259" s="55"/>
      <c r="K259" s="46" t="str">
        <f t="shared" ca="1" si="21"/>
        <v/>
      </c>
      <c r="L259" s="56" t="str">
        <f t="shared" ca="1" si="22"/>
        <v/>
      </c>
      <c r="Q259" s="57" t="str">
        <f t="shared" ca="1" si="23"/>
        <v/>
      </c>
      <c r="R259" s="57" t="str">
        <f t="shared" ca="1" si="24"/>
        <v/>
      </c>
    </row>
    <row r="260" spans="2:18" x14ac:dyDescent="0.25">
      <c r="B260" s="43">
        <v>3135</v>
      </c>
      <c r="C260" s="43">
        <v>95</v>
      </c>
      <c r="D260" s="43" t="s">
        <v>69</v>
      </c>
      <c r="E260" s="55" t="str">
        <f t="shared" si="20"/>
        <v>C</v>
      </c>
      <c r="F260" s="55">
        <v>100</v>
      </c>
      <c r="G260" s="55" t="s">
        <v>46</v>
      </c>
      <c r="H260" s="55">
        <v>150.30000000000001</v>
      </c>
      <c r="I260" s="55"/>
      <c r="J260" s="55"/>
      <c r="K260" s="46" t="str">
        <f t="shared" ca="1" si="21"/>
        <v/>
      </c>
      <c r="L260" s="56" t="str">
        <f t="shared" ca="1" si="22"/>
        <v/>
      </c>
      <c r="Q260" s="57" t="str">
        <f t="shared" ca="1" si="23"/>
        <v/>
      </c>
      <c r="R260" s="57" t="str">
        <f t="shared" ca="1" si="24"/>
        <v/>
      </c>
    </row>
    <row r="261" spans="2:18" x14ac:dyDescent="0.25">
      <c r="B261" s="43">
        <v>3140</v>
      </c>
      <c r="C261" s="43">
        <v>95</v>
      </c>
      <c r="D261" s="43" t="s">
        <v>69</v>
      </c>
      <c r="E261" s="55" t="str">
        <f t="shared" si="20"/>
        <v>C</v>
      </c>
      <c r="F261" s="55">
        <v>100</v>
      </c>
      <c r="G261" s="55" t="s">
        <v>46</v>
      </c>
      <c r="H261" s="55">
        <v>145.30000000000001</v>
      </c>
      <c r="I261" s="55"/>
      <c r="J261" s="55"/>
      <c r="K261" s="46" t="str">
        <f t="shared" ca="1" si="21"/>
        <v/>
      </c>
      <c r="L261" s="56" t="str">
        <f t="shared" ca="1" si="22"/>
        <v/>
      </c>
      <c r="Q261" s="57" t="str">
        <f t="shared" ca="1" si="23"/>
        <v/>
      </c>
      <c r="R261" s="57" t="str">
        <f t="shared" ca="1" si="24"/>
        <v/>
      </c>
    </row>
    <row r="262" spans="2:18" x14ac:dyDescent="0.25">
      <c r="B262" s="43">
        <v>3145</v>
      </c>
      <c r="C262" s="43">
        <v>95</v>
      </c>
      <c r="D262" s="43" t="s">
        <v>63</v>
      </c>
      <c r="E262" s="55" t="str">
        <f t="shared" si="20"/>
        <v>C</v>
      </c>
      <c r="F262" s="55">
        <v>100</v>
      </c>
      <c r="G262" s="55" t="s">
        <v>46</v>
      </c>
      <c r="H262" s="55">
        <v>126.4</v>
      </c>
      <c r="I262" s="55"/>
      <c r="J262" s="55"/>
      <c r="K262" s="46" t="str">
        <f t="shared" ca="1" si="21"/>
        <v/>
      </c>
      <c r="L262" s="56" t="str">
        <f t="shared" ca="1" si="22"/>
        <v/>
      </c>
      <c r="Q262" s="57" t="str">
        <f t="shared" ca="1" si="23"/>
        <v/>
      </c>
      <c r="R262" s="57" t="str">
        <f t="shared" ca="1" si="24"/>
        <v/>
      </c>
    </row>
    <row r="263" spans="2:18" x14ac:dyDescent="0.25">
      <c r="B263" s="43">
        <v>3150</v>
      </c>
      <c r="C263" s="43">
        <v>95</v>
      </c>
      <c r="D263" s="43" t="s">
        <v>63</v>
      </c>
      <c r="E263" s="55" t="str">
        <f t="shared" si="20"/>
        <v>C</v>
      </c>
      <c r="F263" s="55">
        <v>100</v>
      </c>
      <c r="G263" s="55" t="s">
        <v>46</v>
      </c>
      <c r="H263" s="55">
        <v>159.19999999999999</v>
      </c>
      <c r="I263" s="55"/>
      <c r="J263" s="55"/>
      <c r="K263" s="46" t="str">
        <f t="shared" ca="1" si="21"/>
        <v/>
      </c>
      <c r="L263" s="56" t="str">
        <f t="shared" ca="1" si="22"/>
        <v/>
      </c>
      <c r="Q263" s="57" t="str">
        <f t="shared" ca="1" si="23"/>
        <v/>
      </c>
      <c r="R263" s="57" t="str">
        <f t="shared" ca="1" si="24"/>
        <v/>
      </c>
    </row>
    <row r="264" spans="2:18" x14ac:dyDescent="0.25">
      <c r="B264" s="43">
        <v>3155</v>
      </c>
      <c r="C264" s="43">
        <v>100</v>
      </c>
      <c r="D264" s="43" t="s">
        <v>63</v>
      </c>
      <c r="E264" s="55" t="str">
        <f t="shared" si="20"/>
        <v>C</v>
      </c>
      <c r="F264" s="55">
        <v>100</v>
      </c>
      <c r="G264" s="55" t="s">
        <v>46</v>
      </c>
      <c r="H264" s="55">
        <v>171.6</v>
      </c>
      <c r="I264" s="55"/>
      <c r="J264" s="55"/>
      <c r="K264" s="46" t="str">
        <f t="shared" ca="1" si="21"/>
        <v/>
      </c>
      <c r="L264" s="56" t="str">
        <f t="shared" ca="1" si="22"/>
        <v/>
      </c>
      <c r="Q264" s="57" t="str">
        <f t="shared" ca="1" si="23"/>
        <v/>
      </c>
      <c r="R264" s="57" t="str">
        <f t="shared" ca="1" si="24"/>
        <v/>
      </c>
    </row>
    <row r="265" spans="2:18" x14ac:dyDescent="0.25">
      <c r="B265" s="43">
        <v>3160</v>
      </c>
      <c r="C265" s="43">
        <v>100</v>
      </c>
      <c r="D265" s="43" t="s">
        <v>63</v>
      </c>
      <c r="E265" s="55" t="str">
        <f t="shared" si="20"/>
        <v>C</v>
      </c>
      <c r="F265" s="55">
        <v>100</v>
      </c>
      <c r="G265" s="55" t="s">
        <v>46</v>
      </c>
      <c r="H265" s="55">
        <v>69.400000000000006</v>
      </c>
      <c r="I265" s="55"/>
      <c r="J265" s="55"/>
      <c r="K265" s="46" t="str">
        <f t="shared" ca="1" si="21"/>
        <v/>
      </c>
      <c r="L265" s="56" t="str">
        <f t="shared" ca="1" si="22"/>
        <v/>
      </c>
      <c r="Q265" s="57" t="str">
        <f t="shared" ca="1" si="23"/>
        <v/>
      </c>
      <c r="R265" s="57" t="str">
        <f t="shared" ca="1" si="24"/>
        <v/>
      </c>
    </row>
    <row r="266" spans="2:18" x14ac:dyDescent="0.25">
      <c r="B266" s="43">
        <v>3165</v>
      </c>
      <c r="C266" s="43">
        <v>95</v>
      </c>
      <c r="D266" s="43" t="s">
        <v>63</v>
      </c>
      <c r="E266" s="55" t="str">
        <f t="shared" si="20"/>
        <v>C</v>
      </c>
      <c r="F266" s="55">
        <v>100</v>
      </c>
      <c r="G266" s="55" t="s">
        <v>46</v>
      </c>
      <c r="H266" s="55">
        <v>125.6</v>
      </c>
      <c r="I266" s="55"/>
      <c r="J266" s="55"/>
      <c r="K266" s="46" t="str">
        <f t="shared" ca="1" si="21"/>
        <v/>
      </c>
      <c r="L266" s="56" t="str">
        <f t="shared" ca="1" si="22"/>
        <v/>
      </c>
      <c r="Q266" s="57" t="str">
        <f t="shared" ca="1" si="23"/>
        <v/>
      </c>
      <c r="R266" s="57" t="str">
        <f t="shared" ca="1" si="24"/>
        <v/>
      </c>
    </row>
    <row r="267" spans="2:18" x14ac:dyDescent="0.25">
      <c r="B267" s="43">
        <v>3170</v>
      </c>
      <c r="C267" s="43">
        <v>95</v>
      </c>
      <c r="D267" s="43" t="s">
        <v>63</v>
      </c>
      <c r="E267" s="55" t="str">
        <f t="shared" si="20"/>
        <v>C</v>
      </c>
      <c r="F267" s="55">
        <v>100</v>
      </c>
      <c r="G267" s="55" t="s">
        <v>46</v>
      </c>
      <c r="H267" s="55">
        <v>131.1</v>
      </c>
      <c r="I267" s="55"/>
      <c r="J267" s="55"/>
      <c r="K267" s="46" t="str">
        <f t="shared" ca="1" si="21"/>
        <v/>
      </c>
      <c r="L267" s="56" t="str">
        <f t="shared" ca="1" si="22"/>
        <v/>
      </c>
      <c r="Q267" s="57" t="str">
        <f t="shared" ca="1" si="23"/>
        <v/>
      </c>
      <c r="R267" s="57" t="str">
        <f t="shared" ca="1" si="24"/>
        <v/>
      </c>
    </row>
    <row r="268" spans="2:18" x14ac:dyDescent="0.25">
      <c r="B268" s="43">
        <v>3175</v>
      </c>
      <c r="C268" s="43">
        <v>80</v>
      </c>
      <c r="D268" s="43" t="s">
        <v>63</v>
      </c>
      <c r="E268" s="55" t="str">
        <f t="shared" si="20"/>
        <v>C</v>
      </c>
      <c r="F268" s="55">
        <v>80</v>
      </c>
      <c r="G268" s="55" t="s">
        <v>46</v>
      </c>
      <c r="H268" s="55">
        <v>122.2</v>
      </c>
      <c r="I268" s="55"/>
      <c r="J268" s="55"/>
      <c r="K268" s="46" t="str">
        <f t="shared" ca="1" si="21"/>
        <v/>
      </c>
      <c r="L268" s="56" t="str">
        <f t="shared" ca="1" si="22"/>
        <v/>
      </c>
      <c r="Q268" s="57" t="str">
        <f t="shared" ca="1" si="23"/>
        <v/>
      </c>
      <c r="R268" s="57" t="str">
        <f t="shared" ca="1" si="24"/>
        <v/>
      </c>
    </row>
    <row r="269" spans="2:18" x14ac:dyDescent="0.25">
      <c r="B269" s="43">
        <v>3180</v>
      </c>
      <c r="C269" s="43">
        <v>80</v>
      </c>
      <c r="D269" s="43" t="s">
        <v>63</v>
      </c>
      <c r="E269" s="55" t="str">
        <f t="shared" si="20"/>
        <v>C</v>
      </c>
      <c r="F269" s="55">
        <v>80</v>
      </c>
      <c r="G269" s="55" t="s">
        <v>46</v>
      </c>
      <c r="H269" s="55">
        <v>68.599999999999994</v>
      </c>
      <c r="I269" s="55"/>
      <c r="J269" s="55"/>
      <c r="K269" s="46" t="str">
        <f t="shared" ca="1" si="21"/>
        <v/>
      </c>
      <c r="L269" s="56" t="str">
        <f t="shared" ca="1" si="22"/>
        <v/>
      </c>
      <c r="Q269" s="57" t="str">
        <f t="shared" ca="1" si="23"/>
        <v/>
      </c>
      <c r="R269" s="57" t="str">
        <f t="shared" ca="1" si="24"/>
        <v/>
      </c>
    </row>
    <row r="270" spans="2:18" x14ac:dyDescent="0.25">
      <c r="B270" s="43">
        <v>3185</v>
      </c>
      <c r="C270" s="43">
        <v>95</v>
      </c>
      <c r="D270" s="43" t="s">
        <v>69</v>
      </c>
      <c r="E270" s="55" t="str">
        <f t="shared" si="20"/>
        <v>C</v>
      </c>
      <c r="F270" s="55">
        <v>100</v>
      </c>
      <c r="G270" s="55" t="s">
        <v>46</v>
      </c>
      <c r="H270" s="55">
        <v>110.8</v>
      </c>
      <c r="I270" s="55"/>
      <c r="J270" s="55"/>
      <c r="K270" s="46" t="str">
        <f t="shared" ca="1" si="21"/>
        <v/>
      </c>
      <c r="L270" s="56" t="str">
        <f t="shared" ca="1" si="22"/>
        <v/>
      </c>
      <c r="Q270" s="57" t="str">
        <f t="shared" ca="1" si="23"/>
        <v/>
      </c>
      <c r="R270" s="57" t="str">
        <f t="shared" ca="1" si="24"/>
        <v/>
      </c>
    </row>
    <row r="271" spans="2:18" x14ac:dyDescent="0.25">
      <c r="B271" s="43">
        <v>3190</v>
      </c>
      <c r="C271" s="43">
        <v>95</v>
      </c>
      <c r="D271" s="43" t="s">
        <v>69</v>
      </c>
      <c r="E271" s="55" t="str">
        <f t="shared" si="20"/>
        <v>C</v>
      </c>
      <c r="F271" s="55">
        <v>100</v>
      </c>
      <c r="G271" s="55" t="s">
        <v>46</v>
      </c>
      <c r="H271" s="55">
        <v>147.4</v>
      </c>
      <c r="I271" s="55"/>
      <c r="J271" s="55"/>
      <c r="K271" s="46" t="str">
        <f t="shared" ca="1" si="21"/>
        <v/>
      </c>
      <c r="L271" s="56" t="str">
        <f t="shared" ca="1" si="22"/>
        <v/>
      </c>
      <c r="Q271" s="57" t="str">
        <f t="shared" ca="1" si="23"/>
        <v/>
      </c>
      <c r="R271" s="57" t="str">
        <f t="shared" ca="1" si="24"/>
        <v/>
      </c>
    </row>
    <row r="272" spans="2:18" x14ac:dyDescent="0.25">
      <c r="B272" s="43">
        <v>3195</v>
      </c>
      <c r="C272" s="43">
        <v>95</v>
      </c>
      <c r="D272" s="43" t="s">
        <v>69</v>
      </c>
      <c r="E272" s="55" t="str">
        <f t="shared" si="20"/>
        <v>C</v>
      </c>
      <c r="F272" s="55">
        <v>100</v>
      </c>
      <c r="G272" s="55" t="s">
        <v>46</v>
      </c>
      <c r="H272" s="55">
        <v>134.9</v>
      </c>
      <c r="I272" s="55"/>
      <c r="J272" s="55"/>
      <c r="K272" s="46" t="str">
        <f t="shared" ca="1" si="21"/>
        <v/>
      </c>
      <c r="L272" s="56" t="str">
        <f t="shared" ca="1" si="22"/>
        <v/>
      </c>
      <c r="Q272" s="57" t="str">
        <f t="shared" ca="1" si="23"/>
        <v/>
      </c>
      <c r="R272" s="57" t="str">
        <f t="shared" ca="1" si="24"/>
        <v/>
      </c>
    </row>
    <row r="273" spans="2:18" x14ac:dyDescent="0.25">
      <c r="B273" s="43">
        <v>3200</v>
      </c>
      <c r="C273" s="43">
        <v>95</v>
      </c>
      <c r="D273" s="43" t="s">
        <v>69</v>
      </c>
      <c r="E273" s="55" t="str">
        <f t="shared" si="20"/>
        <v>C</v>
      </c>
      <c r="F273" s="55">
        <v>100</v>
      </c>
      <c r="G273" s="55" t="s">
        <v>46</v>
      </c>
      <c r="H273" s="55">
        <v>94.9</v>
      </c>
      <c r="I273" s="55"/>
      <c r="J273" s="55"/>
      <c r="K273" s="46" t="str">
        <f t="shared" ca="1" si="21"/>
        <v/>
      </c>
      <c r="L273" s="56" t="str">
        <f t="shared" ca="1" si="22"/>
        <v/>
      </c>
      <c r="Q273" s="57" t="str">
        <f t="shared" ca="1" si="23"/>
        <v/>
      </c>
      <c r="R273" s="57" t="str">
        <f t="shared" ca="1" si="24"/>
        <v/>
      </c>
    </row>
    <row r="274" spans="2:18" x14ac:dyDescent="0.25">
      <c r="B274" s="43">
        <v>3205</v>
      </c>
      <c r="C274" s="35">
        <v>100</v>
      </c>
      <c r="D274" s="43" t="s">
        <v>69</v>
      </c>
      <c r="E274" s="55" t="str">
        <f t="shared" si="20"/>
        <v>C</v>
      </c>
      <c r="F274" s="55">
        <v>90</v>
      </c>
      <c r="G274" s="55" t="s">
        <v>46</v>
      </c>
      <c r="H274" s="55">
        <v>99.7</v>
      </c>
      <c r="I274" s="55"/>
      <c r="J274" s="55"/>
      <c r="K274" s="46" t="str">
        <f t="shared" ca="1" si="21"/>
        <v/>
      </c>
      <c r="L274" s="56" t="str">
        <f t="shared" ca="1" si="22"/>
        <v/>
      </c>
      <c r="Q274" s="57" t="str">
        <f t="shared" ca="1" si="23"/>
        <v/>
      </c>
      <c r="R274" s="57" t="str">
        <f t="shared" ca="1" si="24"/>
        <v/>
      </c>
    </row>
    <row r="275" spans="2:18" x14ac:dyDescent="0.25">
      <c r="B275" s="43">
        <v>3210</v>
      </c>
      <c r="C275" s="35">
        <v>100</v>
      </c>
      <c r="D275" s="43" t="s">
        <v>69</v>
      </c>
      <c r="E275" s="55" t="str">
        <f t="shared" si="20"/>
        <v>C</v>
      </c>
      <c r="F275" s="55">
        <v>90</v>
      </c>
      <c r="G275" s="55" t="s">
        <v>46</v>
      </c>
      <c r="H275" s="55">
        <v>79.099999999999994</v>
      </c>
      <c r="I275" s="55"/>
      <c r="J275" s="55"/>
      <c r="K275" s="46" t="str">
        <f t="shared" ca="1" si="21"/>
        <v/>
      </c>
      <c r="L275" s="56" t="str">
        <f t="shared" ca="1" si="22"/>
        <v/>
      </c>
      <c r="Q275" s="57" t="str">
        <f t="shared" ca="1" si="23"/>
        <v/>
      </c>
      <c r="R275" s="57" t="str">
        <f t="shared" ca="1" si="24"/>
        <v/>
      </c>
    </row>
    <row r="276" spans="2:18" x14ac:dyDescent="0.25">
      <c r="B276" s="43">
        <v>3215</v>
      </c>
      <c r="C276" s="35">
        <v>95</v>
      </c>
      <c r="D276" s="43" t="s">
        <v>69</v>
      </c>
      <c r="E276" s="55" t="str">
        <f t="shared" ref="E276:E339" si="25">IF(ISNUMBER(SEARCH("v crs",D276))=TRUE,"VC",IF(ISNUMBER(SEARCH("crs",D276))=TRUE,"C",IF(ISNUMBER(SEARCH("med",D276))=TRUE,"M",IF(ISNUMBER(SEARCH("vf",D276))=TRUE,"VF",IF(ISNUMBER(SEARCH("f",D276))=TRUE,"F","")))))</f>
        <v>C</v>
      </c>
      <c r="F276" s="55">
        <v>90</v>
      </c>
      <c r="G276" s="55" t="s">
        <v>45</v>
      </c>
      <c r="H276" s="55">
        <v>88</v>
      </c>
      <c r="I276" s="55"/>
      <c r="J276" s="55"/>
      <c r="K276" s="46" t="str">
        <f t="shared" ca="1" si="21"/>
        <v/>
      </c>
      <c r="L276" s="56" t="str">
        <f t="shared" ca="1" si="22"/>
        <v/>
      </c>
      <c r="Q276" s="57" t="str">
        <f t="shared" ca="1" si="23"/>
        <v/>
      </c>
      <c r="R276" s="57" t="str">
        <f t="shared" ca="1" si="24"/>
        <v/>
      </c>
    </row>
    <row r="277" spans="2:18" x14ac:dyDescent="0.25">
      <c r="B277" s="43">
        <v>3220</v>
      </c>
      <c r="C277" s="35">
        <v>95</v>
      </c>
      <c r="D277" s="43" t="s">
        <v>69</v>
      </c>
      <c r="E277" s="55" t="str">
        <f t="shared" si="25"/>
        <v>C</v>
      </c>
      <c r="F277" s="55">
        <v>90</v>
      </c>
      <c r="G277" s="55" t="s">
        <v>45</v>
      </c>
      <c r="H277" s="55">
        <v>76.3</v>
      </c>
      <c r="I277" s="55"/>
      <c r="J277" s="55"/>
      <c r="K277" s="46" t="str">
        <f t="shared" ref="K277:K340" ca="1" si="26">IF(AND(C277&lt;&gt;"",C277&lt;&gt;Q277),TODAY(),IF(C277="","",K277))</f>
        <v/>
      </c>
      <c r="L277" s="56" t="str">
        <f t="shared" ref="L277:L340" ca="1" si="27">IF(AND(C277&lt;&gt;"",C277&lt;&gt;R277),NOW(),IF(C277="","",L277))</f>
        <v/>
      </c>
      <c r="Q277" s="57" t="str">
        <f t="shared" ref="Q277:Q340" ca="1" si="28">IF(C277="","",IF(OR(K277="",AND(ISNUMBER(Q277),C277=Q277)),Q277,C277))</f>
        <v/>
      </c>
      <c r="R277" s="57" t="str">
        <f t="shared" ref="R277:R340" ca="1" si="29">IF(C277="","",IF(OR(L277="",AND(ISNUMBER(R277),C277=R277)),R277,C277))</f>
        <v/>
      </c>
    </row>
    <row r="278" spans="2:18" x14ac:dyDescent="0.25">
      <c r="B278" s="43">
        <v>3225</v>
      </c>
      <c r="C278" s="35">
        <v>80</v>
      </c>
      <c r="D278" s="43" t="s">
        <v>69</v>
      </c>
      <c r="E278" s="55" t="str">
        <f t="shared" si="25"/>
        <v>C</v>
      </c>
      <c r="F278" s="55">
        <v>50</v>
      </c>
      <c r="G278" s="55" t="s">
        <v>45</v>
      </c>
      <c r="H278" s="55">
        <v>90.2</v>
      </c>
      <c r="I278" s="55" t="s">
        <v>27</v>
      </c>
      <c r="J278" s="55"/>
      <c r="K278" s="46" t="str">
        <f t="shared" ca="1" si="26"/>
        <v/>
      </c>
      <c r="L278" s="56" t="str">
        <f t="shared" ca="1" si="27"/>
        <v/>
      </c>
      <c r="Q278" s="57" t="str">
        <f t="shared" ca="1" si="28"/>
        <v/>
      </c>
      <c r="R278" s="57" t="str">
        <f t="shared" ca="1" si="29"/>
        <v/>
      </c>
    </row>
    <row r="279" spans="2:18" x14ac:dyDescent="0.25">
      <c r="B279" s="43">
        <v>3230</v>
      </c>
      <c r="C279" s="35">
        <v>80</v>
      </c>
      <c r="D279" s="43" t="s">
        <v>69</v>
      </c>
      <c r="E279" s="55" t="str">
        <f t="shared" si="25"/>
        <v>C</v>
      </c>
      <c r="F279" s="55">
        <v>50</v>
      </c>
      <c r="G279" s="55" t="s">
        <v>45</v>
      </c>
      <c r="H279" s="55">
        <v>56</v>
      </c>
      <c r="I279" s="55" t="s">
        <v>27</v>
      </c>
      <c r="J279" s="55"/>
      <c r="K279" s="46" t="str">
        <f t="shared" ca="1" si="26"/>
        <v/>
      </c>
      <c r="L279" s="56" t="str">
        <f t="shared" ca="1" si="27"/>
        <v/>
      </c>
      <c r="Q279" s="57" t="str">
        <f t="shared" ca="1" si="28"/>
        <v/>
      </c>
      <c r="R279" s="57" t="str">
        <f t="shared" ca="1" si="29"/>
        <v/>
      </c>
    </row>
    <row r="280" spans="2:18" x14ac:dyDescent="0.25">
      <c r="B280" s="43">
        <v>3235</v>
      </c>
      <c r="C280" s="35">
        <v>75</v>
      </c>
      <c r="D280" s="43" t="s">
        <v>63</v>
      </c>
      <c r="E280" s="55" t="str">
        <f t="shared" si="25"/>
        <v>C</v>
      </c>
      <c r="F280" s="55">
        <v>80</v>
      </c>
      <c r="G280" s="55" t="s">
        <v>45</v>
      </c>
      <c r="H280" s="55">
        <v>70.900000000000006</v>
      </c>
      <c r="I280" s="55"/>
      <c r="J280" s="55" t="s">
        <v>52</v>
      </c>
      <c r="K280" s="46" t="str">
        <f t="shared" ca="1" si="26"/>
        <v/>
      </c>
      <c r="L280" s="56" t="str">
        <f t="shared" ca="1" si="27"/>
        <v/>
      </c>
      <c r="Q280" s="57" t="str">
        <f t="shared" ca="1" si="28"/>
        <v/>
      </c>
      <c r="R280" s="57" t="str">
        <f t="shared" ca="1" si="29"/>
        <v/>
      </c>
    </row>
    <row r="281" spans="2:18" x14ac:dyDescent="0.25">
      <c r="B281" s="43">
        <v>3240</v>
      </c>
      <c r="C281" s="35">
        <v>80</v>
      </c>
      <c r="D281" s="43" t="s">
        <v>69</v>
      </c>
      <c r="E281" s="55" t="str">
        <f t="shared" si="25"/>
        <v>C</v>
      </c>
      <c r="F281" s="55">
        <v>80</v>
      </c>
      <c r="G281" s="55" t="s">
        <v>45</v>
      </c>
      <c r="H281" s="55">
        <v>67</v>
      </c>
      <c r="I281" s="55"/>
      <c r="J281" s="55"/>
      <c r="K281" s="46" t="str">
        <f t="shared" ca="1" si="26"/>
        <v/>
      </c>
      <c r="L281" s="56" t="str">
        <f t="shared" ca="1" si="27"/>
        <v/>
      </c>
      <c r="Q281" s="57" t="str">
        <f t="shared" ca="1" si="28"/>
        <v/>
      </c>
      <c r="R281" s="57" t="str">
        <f t="shared" ca="1" si="29"/>
        <v/>
      </c>
    </row>
    <row r="282" spans="2:18" x14ac:dyDescent="0.25">
      <c r="B282" s="43">
        <v>3245</v>
      </c>
      <c r="C282" s="35">
        <v>90</v>
      </c>
      <c r="D282" s="43" t="s">
        <v>63</v>
      </c>
      <c r="E282" s="55" t="str">
        <f t="shared" si="25"/>
        <v>C</v>
      </c>
      <c r="F282" s="55">
        <v>100</v>
      </c>
      <c r="G282" s="55" t="s">
        <v>45</v>
      </c>
      <c r="H282" s="55">
        <v>95.2</v>
      </c>
      <c r="I282" s="55"/>
      <c r="J282" s="55"/>
      <c r="K282" s="46" t="str">
        <f t="shared" ca="1" si="26"/>
        <v/>
      </c>
      <c r="L282" s="56" t="str">
        <f t="shared" ca="1" si="27"/>
        <v/>
      </c>
      <c r="Q282" s="57" t="str">
        <f t="shared" ca="1" si="28"/>
        <v/>
      </c>
      <c r="R282" s="57" t="str">
        <f t="shared" ca="1" si="29"/>
        <v/>
      </c>
    </row>
    <row r="283" spans="2:18" x14ac:dyDescent="0.25">
      <c r="B283" s="43">
        <v>3250</v>
      </c>
      <c r="C283" s="35">
        <v>95</v>
      </c>
      <c r="D283" s="43" t="s">
        <v>69</v>
      </c>
      <c r="E283" s="55" t="str">
        <f t="shared" si="25"/>
        <v>C</v>
      </c>
      <c r="F283" s="55">
        <v>100</v>
      </c>
      <c r="G283" s="55" t="s">
        <v>45</v>
      </c>
      <c r="H283" s="55">
        <v>106.8</v>
      </c>
      <c r="I283" s="55"/>
      <c r="J283" s="55"/>
      <c r="K283" s="46" t="str">
        <f t="shared" ca="1" si="26"/>
        <v/>
      </c>
      <c r="L283" s="56" t="str">
        <f t="shared" ca="1" si="27"/>
        <v/>
      </c>
      <c r="Q283" s="57" t="str">
        <f t="shared" ca="1" si="28"/>
        <v/>
      </c>
      <c r="R283" s="57" t="str">
        <f t="shared" ca="1" si="29"/>
        <v/>
      </c>
    </row>
    <row r="284" spans="2:18" x14ac:dyDescent="0.25">
      <c r="B284" s="43">
        <v>3255</v>
      </c>
      <c r="C284" s="35">
        <v>85</v>
      </c>
      <c r="D284" s="43" t="s">
        <v>69</v>
      </c>
      <c r="E284" s="55" t="str">
        <f t="shared" si="25"/>
        <v>C</v>
      </c>
      <c r="F284" s="55">
        <v>100</v>
      </c>
      <c r="G284" s="55" t="s">
        <v>46</v>
      </c>
      <c r="H284" s="55">
        <v>63</v>
      </c>
      <c r="I284" s="55"/>
      <c r="J284" s="55"/>
      <c r="K284" s="46" t="str">
        <f t="shared" ca="1" si="26"/>
        <v/>
      </c>
      <c r="L284" s="56" t="str">
        <f t="shared" ca="1" si="27"/>
        <v/>
      </c>
      <c r="Q284" s="57" t="str">
        <f t="shared" ca="1" si="28"/>
        <v/>
      </c>
      <c r="R284" s="57" t="str">
        <f t="shared" ca="1" si="29"/>
        <v/>
      </c>
    </row>
    <row r="285" spans="2:18" x14ac:dyDescent="0.25">
      <c r="B285" s="43">
        <v>3260</v>
      </c>
      <c r="C285" s="35">
        <v>85</v>
      </c>
      <c r="D285" s="43" t="s">
        <v>69</v>
      </c>
      <c r="E285" s="55" t="str">
        <f t="shared" si="25"/>
        <v>C</v>
      </c>
      <c r="F285" s="55">
        <v>100</v>
      </c>
      <c r="G285" s="55" t="s">
        <v>46</v>
      </c>
      <c r="H285" s="55">
        <v>96.6</v>
      </c>
      <c r="I285" s="55"/>
      <c r="J285" s="55"/>
      <c r="K285" s="46" t="str">
        <f t="shared" ca="1" si="26"/>
        <v/>
      </c>
      <c r="L285" s="56" t="str">
        <f t="shared" ca="1" si="27"/>
        <v/>
      </c>
      <c r="Q285" s="57" t="str">
        <f t="shared" ca="1" si="28"/>
        <v/>
      </c>
      <c r="R285" s="57" t="str">
        <f t="shared" ca="1" si="29"/>
        <v/>
      </c>
    </row>
    <row r="286" spans="2:18" x14ac:dyDescent="0.25">
      <c r="B286" s="43">
        <v>3265</v>
      </c>
      <c r="C286" s="35">
        <v>90</v>
      </c>
      <c r="D286" s="43" t="s">
        <v>69</v>
      </c>
      <c r="E286" s="55" t="str">
        <f t="shared" si="25"/>
        <v>C</v>
      </c>
      <c r="F286" s="55">
        <v>100</v>
      </c>
      <c r="G286" s="55" t="s">
        <v>46</v>
      </c>
      <c r="H286" s="55">
        <v>127.9</v>
      </c>
      <c r="I286" s="55"/>
      <c r="J286" s="55"/>
      <c r="K286" s="46" t="str">
        <f t="shared" ca="1" si="26"/>
        <v/>
      </c>
      <c r="L286" s="56" t="str">
        <f t="shared" ca="1" si="27"/>
        <v/>
      </c>
      <c r="Q286" s="57" t="str">
        <f t="shared" ca="1" si="28"/>
        <v/>
      </c>
      <c r="R286" s="57" t="str">
        <f t="shared" ca="1" si="29"/>
        <v/>
      </c>
    </row>
    <row r="287" spans="2:18" x14ac:dyDescent="0.25">
      <c r="B287" s="43">
        <v>3270</v>
      </c>
      <c r="C287" s="35">
        <v>90</v>
      </c>
      <c r="D287" s="43" t="s">
        <v>69</v>
      </c>
      <c r="E287" s="55" t="str">
        <f t="shared" si="25"/>
        <v>C</v>
      </c>
      <c r="F287" s="55">
        <v>100</v>
      </c>
      <c r="G287" s="55" t="s">
        <v>46</v>
      </c>
      <c r="H287" s="55">
        <v>135.6</v>
      </c>
      <c r="I287" s="55"/>
      <c r="J287" s="55"/>
      <c r="K287" s="46" t="str">
        <f t="shared" ca="1" si="26"/>
        <v/>
      </c>
      <c r="L287" s="56" t="str">
        <f t="shared" ca="1" si="27"/>
        <v/>
      </c>
      <c r="Q287" s="57" t="str">
        <f t="shared" ca="1" si="28"/>
        <v/>
      </c>
      <c r="R287" s="57" t="str">
        <f t="shared" ca="1" si="29"/>
        <v/>
      </c>
    </row>
    <row r="288" spans="2:18" x14ac:dyDescent="0.25">
      <c r="B288" s="43">
        <v>3275</v>
      </c>
      <c r="C288" s="35">
        <v>95</v>
      </c>
      <c r="D288" s="43" t="s">
        <v>63</v>
      </c>
      <c r="E288" s="55" t="str">
        <f t="shared" si="25"/>
        <v>C</v>
      </c>
      <c r="F288" s="55">
        <v>100</v>
      </c>
      <c r="G288" s="55" t="s">
        <v>46</v>
      </c>
      <c r="H288" s="55">
        <v>66.8</v>
      </c>
      <c r="I288" s="55"/>
      <c r="J288" s="55"/>
      <c r="K288" s="46" t="str">
        <f t="shared" ca="1" si="26"/>
        <v/>
      </c>
      <c r="L288" s="56" t="str">
        <f t="shared" ca="1" si="27"/>
        <v/>
      </c>
      <c r="Q288" s="57" t="str">
        <f t="shared" ca="1" si="28"/>
        <v/>
      </c>
      <c r="R288" s="57" t="str">
        <f t="shared" ca="1" si="29"/>
        <v/>
      </c>
    </row>
    <row r="289" spans="2:18" x14ac:dyDescent="0.25">
      <c r="B289" s="43">
        <v>3280</v>
      </c>
      <c r="C289" s="35">
        <v>95</v>
      </c>
      <c r="D289" s="43" t="s">
        <v>63</v>
      </c>
      <c r="E289" s="55" t="str">
        <f t="shared" si="25"/>
        <v>C</v>
      </c>
      <c r="F289" s="55">
        <v>100</v>
      </c>
      <c r="G289" s="55" t="s">
        <v>46</v>
      </c>
      <c r="H289" s="55">
        <v>148.19999999999999</v>
      </c>
      <c r="I289" s="55"/>
      <c r="J289" s="55"/>
      <c r="K289" s="46" t="str">
        <f t="shared" ca="1" si="26"/>
        <v/>
      </c>
      <c r="L289" s="56" t="str">
        <f t="shared" ca="1" si="27"/>
        <v/>
      </c>
      <c r="Q289" s="57" t="str">
        <f t="shared" ca="1" si="28"/>
        <v/>
      </c>
      <c r="R289" s="57" t="str">
        <f t="shared" ca="1" si="29"/>
        <v/>
      </c>
    </row>
    <row r="290" spans="2:18" x14ac:dyDescent="0.25">
      <c r="B290" s="43">
        <v>3285</v>
      </c>
      <c r="C290" s="35">
        <v>90</v>
      </c>
      <c r="D290" s="43" t="s">
        <v>63</v>
      </c>
      <c r="E290" s="55" t="str">
        <f t="shared" si="25"/>
        <v>C</v>
      </c>
      <c r="F290" s="55">
        <v>100</v>
      </c>
      <c r="G290" s="55" t="s">
        <v>46</v>
      </c>
      <c r="H290" s="55">
        <v>119.7</v>
      </c>
      <c r="I290" s="55"/>
      <c r="J290" s="55"/>
      <c r="K290" s="46" t="str">
        <f t="shared" ca="1" si="26"/>
        <v/>
      </c>
      <c r="L290" s="56" t="str">
        <f t="shared" ca="1" si="27"/>
        <v/>
      </c>
      <c r="Q290" s="57" t="str">
        <f t="shared" ca="1" si="28"/>
        <v/>
      </c>
      <c r="R290" s="57" t="str">
        <f t="shared" ca="1" si="29"/>
        <v/>
      </c>
    </row>
    <row r="291" spans="2:18" x14ac:dyDescent="0.25">
      <c r="B291" s="43">
        <v>3290</v>
      </c>
      <c r="C291" s="35">
        <v>90</v>
      </c>
      <c r="D291" s="43" t="s">
        <v>63</v>
      </c>
      <c r="E291" s="55" t="str">
        <f t="shared" si="25"/>
        <v>C</v>
      </c>
      <c r="F291" s="55">
        <v>100</v>
      </c>
      <c r="G291" s="55" t="s">
        <v>46</v>
      </c>
      <c r="H291" s="55">
        <v>101.9</v>
      </c>
      <c r="I291" s="55"/>
      <c r="J291" s="55"/>
      <c r="K291" s="46" t="str">
        <f t="shared" ca="1" si="26"/>
        <v/>
      </c>
      <c r="L291" s="56" t="str">
        <f t="shared" ca="1" si="27"/>
        <v/>
      </c>
      <c r="Q291" s="57" t="str">
        <f t="shared" ca="1" si="28"/>
        <v/>
      </c>
      <c r="R291" s="57" t="str">
        <f t="shared" ca="1" si="29"/>
        <v/>
      </c>
    </row>
    <row r="292" spans="2:18" x14ac:dyDescent="0.25">
      <c r="B292" s="43">
        <v>3295</v>
      </c>
      <c r="C292" s="35">
        <v>95</v>
      </c>
      <c r="D292" s="43" t="s">
        <v>63</v>
      </c>
      <c r="E292" s="55" t="str">
        <f t="shared" si="25"/>
        <v>C</v>
      </c>
      <c r="F292" s="55">
        <v>90</v>
      </c>
      <c r="G292" s="55" t="s">
        <v>46</v>
      </c>
      <c r="H292" s="55">
        <v>108</v>
      </c>
      <c r="I292" s="55"/>
      <c r="J292" s="55"/>
      <c r="K292" s="46" t="str">
        <f t="shared" ca="1" si="26"/>
        <v/>
      </c>
      <c r="L292" s="56" t="str">
        <f t="shared" ca="1" si="27"/>
        <v/>
      </c>
      <c r="Q292" s="57" t="str">
        <f t="shared" ca="1" si="28"/>
        <v/>
      </c>
      <c r="R292" s="57" t="str">
        <f t="shared" ca="1" si="29"/>
        <v/>
      </c>
    </row>
    <row r="293" spans="2:18" x14ac:dyDescent="0.25">
      <c r="B293" s="43">
        <v>3300</v>
      </c>
      <c r="C293" s="35">
        <v>95</v>
      </c>
      <c r="D293" s="43" t="s">
        <v>63</v>
      </c>
      <c r="E293" s="55" t="str">
        <f t="shared" si="25"/>
        <v>C</v>
      </c>
      <c r="F293" s="55">
        <v>90</v>
      </c>
      <c r="G293" s="55" t="s">
        <v>46</v>
      </c>
      <c r="H293" s="55">
        <v>144.80000000000001</v>
      </c>
      <c r="I293" s="55"/>
      <c r="J293" s="55"/>
      <c r="K293" s="46" t="str">
        <f t="shared" ca="1" si="26"/>
        <v/>
      </c>
      <c r="L293" s="56" t="str">
        <f t="shared" ca="1" si="27"/>
        <v/>
      </c>
      <c r="Q293" s="57" t="str">
        <f t="shared" ca="1" si="28"/>
        <v/>
      </c>
      <c r="R293" s="57" t="str">
        <f t="shared" ca="1" si="29"/>
        <v/>
      </c>
    </row>
    <row r="294" spans="2:18" x14ac:dyDescent="0.25">
      <c r="B294" s="43">
        <v>3305</v>
      </c>
      <c r="C294" s="35">
        <v>90</v>
      </c>
      <c r="D294" s="43" t="s">
        <v>69</v>
      </c>
      <c r="E294" s="55" t="str">
        <f t="shared" si="25"/>
        <v>C</v>
      </c>
      <c r="F294" s="55">
        <v>100</v>
      </c>
      <c r="G294" s="55" t="s">
        <v>46</v>
      </c>
      <c r="H294" s="55">
        <v>155.1</v>
      </c>
      <c r="I294" s="55"/>
      <c r="J294" s="55"/>
      <c r="K294" s="46" t="str">
        <f t="shared" ca="1" si="26"/>
        <v/>
      </c>
      <c r="L294" s="56" t="str">
        <f t="shared" ca="1" si="27"/>
        <v/>
      </c>
      <c r="Q294" s="57" t="str">
        <f t="shared" ca="1" si="28"/>
        <v/>
      </c>
      <c r="R294" s="57" t="str">
        <f t="shared" ca="1" si="29"/>
        <v/>
      </c>
    </row>
    <row r="295" spans="2:18" x14ac:dyDescent="0.25">
      <c r="B295" s="43">
        <v>3310</v>
      </c>
      <c r="C295" s="35">
        <v>90</v>
      </c>
      <c r="D295" s="43" t="s">
        <v>69</v>
      </c>
      <c r="E295" s="55" t="str">
        <f t="shared" si="25"/>
        <v>C</v>
      </c>
      <c r="F295" s="55">
        <v>100</v>
      </c>
      <c r="G295" s="55" t="s">
        <v>46</v>
      </c>
      <c r="H295" s="55">
        <v>140.80000000000001</v>
      </c>
      <c r="I295" s="55"/>
      <c r="J295" s="55"/>
      <c r="K295" s="46" t="str">
        <f t="shared" ca="1" si="26"/>
        <v/>
      </c>
      <c r="L295" s="56" t="str">
        <f t="shared" ca="1" si="27"/>
        <v/>
      </c>
      <c r="Q295" s="57" t="str">
        <f t="shared" ca="1" si="28"/>
        <v/>
      </c>
      <c r="R295" s="57" t="str">
        <f t="shared" ca="1" si="29"/>
        <v/>
      </c>
    </row>
    <row r="296" spans="2:18" x14ac:dyDescent="0.25">
      <c r="B296" s="43">
        <v>3315</v>
      </c>
      <c r="C296" s="35">
        <v>90</v>
      </c>
      <c r="D296" s="43" t="s">
        <v>69</v>
      </c>
      <c r="E296" s="55" t="str">
        <f t="shared" si="25"/>
        <v>C</v>
      </c>
      <c r="F296" s="55">
        <v>100</v>
      </c>
      <c r="G296" s="55" t="s">
        <v>46</v>
      </c>
      <c r="H296" s="55">
        <v>138.1</v>
      </c>
      <c r="I296" s="55"/>
      <c r="J296" s="55"/>
      <c r="K296" s="46" t="str">
        <f t="shared" ca="1" si="26"/>
        <v/>
      </c>
      <c r="L296" s="56" t="str">
        <f t="shared" ca="1" si="27"/>
        <v/>
      </c>
      <c r="Q296" s="57" t="str">
        <f t="shared" ca="1" si="28"/>
        <v/>
      </c>
      <c r="R296" s="57" t="str">
        <f t="shared" ca="1" si="29"/>
        <v/>
      </c>
    </row>
    <row r="297" spans="2:18" x14ac:dyDescent="0.25">
      <c r="B297" s="43">
        <v>3320</v>
      </c>
      <c r="C297" s="35">
        <v>90</v>
      </c>
      <c r="D297" s="43" t="s">
        <v>69</v>
      </c>
      <c r="E297" s="55" t="str">
        <f t="shared" si="25"/>
        <v>C</v>
      </c>
      <c r="F297" s="55">
        <v>100</v>
      </c>
      <c r="G297" s="55" t="s">
        <v>46</v>
      </c>
      <c r="H297" s="55">
        <v>190.2</v>
      </c>
      <c r="I297" s="55"/>
      <c r="J297" s="55"/>
      <c r="K297" s="46" t="str">
        <f t="shared" ca="1" si="26"/>
        <v/>
      </c>
      <c r="L297" s="56" t="str">
        <f t="shared" ca="1" si="27"/>
        <v/>
      </c>
      <c r="Q297" s="57" t="str">
        <f t="shared" ca="1" si="28"/>
        <v/>
      </c>
      <c r="R297" s="57" t="str">
        <f t="shared" ca="1" si="29"/>
        <v/>
      </c>
    </row>
    <row r="298" spans="2:18" x14ac:dyDescent="0.25">
      <c r="B298" s="43">
        <v>3325</v>
      </c>
      <c r="C298" s="35">
        <v>80</v>
      </c>
      <c r="D298" s="43" t="s">
        <v>63</v>
      </c>
      <c r="E298" s="55" t="str">
        <f t="shared" si="25"/>
        <v>C</v>
      </c>
      <c r="F298" s="55">
        <v>80</v>
      </c>
      <c r="G298" s="55" t="s">
        <v>45</v>
      </c>
      <c r="H298" s="55">
        <v>165.8</v>
      </c>
      <c r="I298" s="55" t="s">
        <v>52</v>
      </c>
      <c r="J298" s="55"/>
      <c r="K298" s="46" t="str">
        <f t="shared" ca="1" si="26"/>
        <v/>
      </c>
      <c r="L298" s="56" t="str">
        <f t="shared" ca="1" si="27"/>
        <v/>
      </c>
      <c r="Q298" s="57" t="str">
        <f t="shared" ca="1" si="28"/>
        <v/>
      </c>
      <c r="R298" s="57" t="str">
        <f t="shared" ca="1" si="29"/>
        <v/>
      </c>
    </row>
    <row r="299" spans="2:18" x14ac:dyDescent="0.25">
      <c r="B299" s="43">
        <v>3330</v>
      </c>
      <c r="C299" s="35">
        <v>80</v>
      </c>
      <c r="D299" s="43" t="s">
        <v>63</v>
      </c>
      <c r="E299" s="55" t="str">
        <f t="shared" si="25"/>
        <v>C</v>
      </c>
      <c r="F299" s="55">
        <v>80</v>
      </c>
      <c r="G299" s="55" t="s">
        <v>45</v>
      </c>
      <c r="H299" s="55">
        <v>121.4</v>
      </c>
      <c r="I299" s="55" t="s">
        <v>52</v>
      </c>
      <c r="J299" s="55"/>
      <c r="K299" s="46" t="str">
        <f t="shared" ca="1" si="26"/>
        <v/>
      </c>
      <c r="L299" s="56" t="str">
        <f t="shared" ca="1" si="27"/>
        <v/>
      </c>
      <c r="Q299" s="57" t="str">
        <f t="shared" ca="1" si="28"/>
        <v/>
      </c>
      <c r="R299" s="57" t="str">
        <f t="shared" ca="1" si="29"/>
        <v/>
      </c>
    </row>
    <row r="300" spans="2:18" x14ac:dyDescent="0.25">
      <c r="B300" s="43">
        <v>3335</v>
      </c>
      <c r="C300" s="35">
        <v>90</v>
      </c>
      <c r="D300" s="43" t="s">
        <v>63</v>
      </c>
      <c r="E300" s="55" t="str">
        <f t="shared" si="25"/>
        <v>C</v>
      </c>
      <c r="F300" s="55">
        <v>80</v>
      </c>
      <c r="G300" s="55" t="s">
        <v>45</v>
      </c>
      <c r="H300" s="55">
        <v>78.5</v>
      </c>
      <c r="I300" s="55"/>
      <c r="J300" s="55" t="s">
        <v>52</v>
      </c>
      <c r="K300" s="46" t="str">
        <f t="shared" ca="1" si="26"/>
        <v/>
      </c>
      <c r="L300" s="56" t="str">
        <f t="shared" ca="1" si="27"/>
        <v/>
      </c>
      <c r="Q300" s="57" t="str">
        <f t="shared" ca="1" si="28"/>
        <v/>
      </c>
      <c r="R300" s="57" t="str">
        <f t="shared" ca="1" si="29"/>
        <v/>
      </c>
    </row>
    <row r="301" spans="2:18" x14ac:dyDescent="0.25">
      <c r="B301" s="43">
        <v>3340</v>
      </c>
      <c r="C301" s="35">
        <v>90</v>
      </c>
      <c r="D301" s="43" t="s">
        <v>63</v>
      </c>
      <c r="E301" s="55" t="str">
        <f t="shared" si="25"/>
        <v>C</v>
      </c>
      <c r="F301" s="55">
        <v>80</v>
      </c>
      <c r="G301" s="55" t="s">
        <v>45</v>
      </c>
      <c r="H301" s="55"/>
      <c r="I301" s="55"/>
      <c r="J301" s="55" t="s">
        <v>52</v>
      </c>
      <c r="K301" s="46" t="str">
        <f t="shared" ca="1" si="26"/>
        <v/>
      </c>
      <c r="L301" s="56" t="str">
        <f t="shared" ca="1" si="27"/>
        <v/>
      </c>
      <c r="Q301" s="57" t="str">
        <f t="shared" ca="1" si="28"/>
        <v/>
      </c>
      <c r="R301" s="57" t="str">
        <f t="shared" ca="1" si="29"/>
        <v/>
      </c>
    </row>
    <row r="302" spans="2:18" x14ac:dyDescent="0.25">
      <c r="B302" s="43">
        <v>3345</v>
      </c>
      <c r="C302" s="35">
        <v>75</v>
      </c>
      <c r="D302" s="43" t="s">
        <v>67</v>
      </c>
      <c r="E302" s="55" t="str">
        <f t="shared" si="25"/>
        <v>C</v>
      </c>
      <c r="F302" s="55">
        <v>80</v>
      </c>
      <c r="G302" s="55" t="s">
        <v>45</v>
      </c>
      <c r="H302" s="55"/>
      <c r="I302" s="55" t="s">
        <v>52</v>
      </c>
      <c r="J302" s="55"/>
      <c r="K302" s="46" t="str">
        <f t="shared" ca="1" si="26"/>
        <v/>
      </c>
      <c r="L302" s="56" t="str">
        <f t="shared" ca="1" si="27"/>
        <v/>
      </c>
      <c r="Q302" s="57" t="str">
        <f t="shared" ca="1" si="28"/>
        <v/>
      </c>
      <c r="R302" s="57" t="str">
        <f t="shared" ca="1" si="29"/>
        <v/>
      </c>
    </row>
    <row r="303" spans="2:18" x14ac:dyDescent="0.25">
      <c r="B303" s="43">
        <v>3350</v>
      </c>
      <c r="C303" s="35">
        <v>75</v>
      </c>
      <c r="D303" s="43" t="s">
        <v>67</v>
      </c>
      <c r="E303" s="55" t="str">
        <f t="shared" si="25"/>
        <v>C</v>
      </c>
      <c r="F303" s="55">
        <v>80</v>
      </c>
      <c r="G303" s="55" t="s">
        <v>45</v>
      </c>
      <c r="H303" s="55"/>
      <c r="I303" s="55" t="s">
        <v>52</v>
      </c>
      <c r="J303" s="55"/>
      <c r="K303" s="46" t="str">
        <f t="shared" ca="1" si="26"/>
        <v/>
      </c>
      <c r="L303" s="56" t="str">
        <f t="shared" ca="1" si="27"/>
        <v/>
      </c>
      <c r="Q303" s="57" t="str">
        <f t="shared" ca="1" si="28"/>
        <v/>
      </c>
      <c r="R303" s="57" t="str">
        <f t="shared" ca="1" si="29"/>
        <v/>
      </c>
    </row>
    <row r="304" spans="2:18" x14ac:dyDescent="0.25">
      <c r="B304" s="43">
        <v>3355</v>
      </c>
      <c r="C304" s="35">
        <v>70</v>
      </c>
      <c r="D304" s="43" t="s">
        <v>67</v>
      </c>
      <c r="E304" s="55" t="str">
        <f t="shared" si="25"/>
        <v>C</v>
      </c>
      <c r="F304" s="55">
        <v>80</v>
      </c>
      <c r="G304" s="55" t="s">
        <v>45</v>
      </c>
      <c r="H304" s="55"/>
      <c r="I304" s="55" t="s">
        <v>27</v>
      </c>
      <c r="J304" s="55"/>
      <c r="K304" s="46" t="str">
        <f t="shared" ca="1" si="26"/>
        <v/>
      </c>
      <c r="L304" s="56" t="str">
        <f t="shared" ca="1" si="27"/>
        <v/>
      </c>
      <c r="Q304" s="57" t="str">
        <f t="shared" ca="1" si="28"/>
        <v/>
      </c>
      <c r="R304" s="57" t="str">
        <f t="shared" ca="1" si="29"/>
        <v/>
      </c>
    </row>
    <row r="305" spans="2:18" x14ac:dyDescent="0.25">
      <c r="B305" s="43">
        <v>3360</v>
      </c>
      <c r="C305" s="35">
        <v>70</v>
      </c>
      <c r="D305" s="43" t="s">
        <v>67</v>
      </c>
      <c r="E305" s="55" t="str">
        <f t="shared" si="25"/>
        <v>C</v>
      </c>
      <c r="F305" s="55">
        <v>80</v>
      </c>
      <c r="G305" s="55" t="s">
        <v>45</v>
      </c>
      <c r="H305" s="55"/>
      <c r="I305" s="55" t="s">
        <v>27</v>
      </c>
      <c r="J305" s="55"/>
      <c r="K305" s="46" t="str">
        <f t="shared" ca="1" si="26"/>
        <v/>
      </c>
      <c r="L305" s="56" t="str">
        <f t="shared" ca="1" si="27"/>
        <v/>
      </c>
      <c r="Q305" s="57" t="str">
        <f t="shared" ca="1" si="28"/>
        <v/>
      </c>
      <c r="R305" s="57" t="str">
        <f t="shared" ca="1" si="29"/>
        <v/>
      </c>
    </row>
    <row r="306" spans="2:18" x14ac:dyDescent="0.25">
      <c r="B306" s="43">
        <v>3365</v>
      </c>
      <c r="C306" s="35">
        <v>65</v>
      </c>
      <c r="D306" s="43" t="s">
        <v>67</v>
      </c>
      <c r="E306" s="55" t="str">
        <f t="shared" si="25"/>
        <v>C</v>
      </c>
      <c r="F306" s="55">
        <v>80</v>
      </c>
      <c r="G306" s="55" t="s">
        <v>45</v>
      </c>
      <c r="H306" s="55"/>
      <c r="I306" s="55" t="s">
        <v>27</v>
      </c>
      <c r="J306" s="55"/>
      <c r="K306" s="46" t="str">
        <f t="shared" ca="1" si="26"/>
        <v/>
      </c>
      <c r="L306" s="56" t="str">
        <f t="shared" ca="1" si="27"/>
        <v/>
      </c>
      <c r="Q306" s="57" t="str">
        <f t="shared" ca="1" si="28"/>
        <v/>
      </c>
      <c r="R306" s="57" t="str">
        <f t="shared" ca="1" si="29"/>
        <v/>
      </c>
    </row>
    <row r="307" spans="2:18" x14ac:dyDescent="0.25">
      <c r="B307" s="43">
        <v>3370</v>
      </c>
      <c r="C307" s="35">
        <v>65</v>
      </c>
      <c r="D307" s="43" t="s">
        <v>67</v>
      </c>
      <c r="E307" s="55" t="str">
        <f t="shared" si="25"/>
        <v>C</v>
      </c>
      <c r="F307" s="55">
        <v>80</v>
      </c>
      <c r="G307" s="55" t="s">
        <v>45</v>
      </c>
      <c r="H307" s="55"/>
      <c r="I307" s="55" t="s">
        <v>27</v>
      </c>
      <c r="J307" s="55"/>
      <c r="K307" s="46" t="str">
        <f t="shared" ca="1" si="26"/>
        <v/>
      </c>
      <c r="L307" s="56" t="str">
        <f t="shared" ca="1" si="27"/>
        <v/>
      </c>
      <c r="Q307" s="57" t="str">
        <f t="shared" ca="1" si="28"/>
        <v/>
      </c>
      <c r="R307" s="57" t="str">
        <f t="shared" ca="1" si="29"/>
        <v/>
      </c>
    </row>
    <row r="308" spans="2:18" x14ac:dyDescent="0.25">
      <c r="B308" s="43">
        <v>3375</v>
      </c>
      <c r="C308" s="35">
        <v>55</v>
      </c>
      <c r="D308" s="43" t="s">
        <v>15</v>
      </c>
      <c r="E308" s="55" t="str">
        <f t="shared" si="25"/>
        <v>VF</v>
      </c>
      <c r="F308" s="55">
        <v>80</v>
      </c>
      <c r="G308" s="55" t="s">
        <v>45</v>
      </c>
      <c r="H308" s="55"/>
      <c r="I308" s="55" t="s">
        <v>52</v>
      </c>
      <c r="J308" s="55"/>
      <c r="K308" s="46" t="str">
        <f t="shared" ca="1" si="26"/>
        <v/>
      </c>
      <c r="L308" s="56" t="str">
        <f t="shared" ca="1" si="27"/>
        <v/>
      </c>
      <c r="Q308" s="57" t="str">
        <f t="shared" ca="1" si="28"/>
        <v/>
      </c>
      <c r="R308" s="57" t="str">
        <f t="shared" ca="1" si="29"/>
        <v/>
      </c>
    </row>
    <row r="309" spans="2:18" x14ac:dyDescent="0.25">
      <c r="B309" s="43">
        <v>3380</v>
      </c>
      <c r="C309" s="43">
        <v>55</v>
      </c>
      <c r="D309" s="43" t="s">
        <v>15</v>
      </c>
      <c r="E309" s="55" t="str">
        <f t="shared" si="25"/>
        <v>VF</v>
      </c>
      <c r="F309" s="55">
        <v>80</v>
      </c>
      <c r="G309" s="55" t="s">
        <v>45</v>
      </c>
      <c r="H309" s="55"/>
      <c r="I309" s="55" t="s">
        <v>52</v>
      </c>
      <c r="J309" s="55"/>
      <c r="K309" s="46" t="str">
        <f t="shared" ca="1" si="26"/>
        <v/>
      </c>
      <c r="L309" s="56" t="str">
        <f t="shared" ca="1" si="27"/>
        <v/>
      </c>
      <c r="Q309" s="57" t="str">
        <f t="shared" ca="1" si="28"/>
        <v/>
      </c>
      <c r="R309" s="57" t="str">
        <f t="shared" ca="1" si="29"/>
        <v/>
      </c>
    </row>
    <row r="310" spans="2:18" x14ac:dyDescent="0.25">
      <c r="B310" s="43">
        <v>3385</v>
      </c>
      <c r="C310" s="43">
        <v>50</v>
      </c>
      <c r="D310" s="43" t="s">
        <v>15</v>
      </c>
      <c r="E310" s="55" t="str">
        <f t="shared" si="25"/>
        <v>VF</v>
      </c>
      <c r="F310" s="55">
        <v>80</v>
      </c>
      <c r="G310" s="55" t="s">
        <v>45</v>
      </c>
      <c r="H310" s="55"/>
      <c r="I310" s="55" t="s">
        <v>52</v>
      </c>
      <c r="J310" s="55"/>
      <c r="K310" s="46" t="str">
        <f t="shared" ca="1" si="26"/>
        <v/>
      </c>
      <c r="L310" s="56" t="str">
        <f t="shared" ca="1" si="27"/>
        <v/>
      </c>
      <c r="Q310" s="57" t="str">
        <f t="shared" ca="1" si="28"/>
        <v/>
      </c>
      <c r="R310" s="57" t="str">
        <f t="shared" ca="1" si="29"/>
        <v/>
      </c>
    </row>
    <row r="311" spans="2:18" x14ac:dyDescent="0.25">
      <c r="B311" s="43">
        <v>3390</v>
      </c>
      <c r="C311" s="43">
        <v>50</v>
      </c>
      <c r="D311" s="43" t="s">
        <v>15</v>
      </c>
      <c r="E311" s="55" t="str">
        <f t="shared" si="25"/>
        <v>VF</v>
      </c>
      <c r="F311" s="55">
        <v>80</v>
      </c>
      <c r="G311" s="55" t="s">
        <v>45</v>
      </c>
      <c r="H311" s="55"/>
      <c r="I311" s="55" t="s">
        <v>52</v>
      </c>
      <c r="J311" s="55"/>
      <c r="K311" s="46" t="str">
        <f t="shared" ca="1" si="26"/>
        <v/>
      </c>
      <c r="L311" s="56" t="str">
        <f t="shared" ca="1" si="27"/>
        <v/>
      </c>
      <c r="Q311" s="57" t="str">
        <f t="shared" ca="1" si="28"/>
        <v/>
      </c>
      <c r="R311" s="57" t="str">
        <f t="shared" ca="1" si="29"/>
        <v/>
      </c>
    </row>
    <row r="312" spans="2:18" x14ac:dyDescent="0.25">
      <c r="B312" s="43">
        <v>3394</v>
      </c>
      <c r="C312" s="43">
        <v>50</v>
      </c>
      <c r="D312" s="43" t="s">
        <v>15</v>
      </c>
      <c r="E312" s="55" t="str">
        <f t="shared" si="25"/>
        <v>VF</v>
      </c>
      <c r="F312" s="55">
        <v>80</v>
      </c>
      <c r="G312" s="55" t="s">
        <v>45</v>
      </c>
      <c r="H312" s="55"/>
      <c r="I312" s="55" t="s">
        <v>52</v>
      </c>
      <c r="J312" s="55"/>
      <c r="K312" s="46" t="str">
        <f t="shared" ca="1" si="26"/>
        <v/>
      </c>
      <c r="L312" s="56" t="str">
        <f t="shared" ca="1" si="27"/>
        <v/>
      </c>
      <c r="Q312" s="57" t="str">
        <f t="shared" ca="1" si="28"/>
        <v/>
      </c>
      <c r="R312" s="57" t="str">
        <f t="shared" ca="1" si="29"/>
        <v/>
      </c>
    </row>
    <row r="313" spans="2:18" x14ac:dyDescent="0.25">
      <c r="B313" s="43"/>
      <c r="D313" s="43"/>
      <c r="E313" s="55" t="str">
        <f t="shared" si="25"/>
        <v/>
      </c>
      <c r="F313" s="55"/>
      <c r="G313" s="55"/>
      <c r="H313" s="55"/>
      <c r="I313" s="55"/>
      <c r="J313" s="55"/>
      <c r="K313" s="46" t="str">
        <f t="shared" ca="1" si="26"/>
        <v/>
      </c>
      <c r="L313" s="56" t="str">
        <f t="shared" ca="1" si="27"/>
        <v/>
      </c>
      <c r="Q313" s="57" t="str">
        <f t="shared" si="28"/>
        <v/>
      </c>
      <c r="R313" s="57" t="str">
        <f t="shared" si="29"/>
        <v/>
      </c>
    </row>
    <row r="314" spans="2:18" x14ac:dyDescent="0.25">
      <c r="B314" s="43"/>
      <c r="D314" s="43"/>
      <c r="E314" s="55" t="str">
        <f t="shared" si="25"/>
        <v/>
      </c>
      <c r="F314" s="55"/>
      <c r="G314" s="55"/>
      <c r="H314" s="55"/>
      <c r="I314" s="55"/>
      <c r="J314" s="55"/>
      <c r="K314" s="46" t="str">
        <f t="shared" ca="1" si="26"/>
        <v/>
      </c>
      <c r="L314" s="56" t="str">
        <f t="shared" ca="1" si="27"/>
        <v/>
      </c>
      <c r="Q314" s="57" t="str">
        <f t="shared" si="28"/>
        <v/>
      </c>
      <c r="R314" s="57" t="str">
        <f t="shared" si="29"/>
        <v/>
      </c>
    </row>
    <row r="315" spans="2:18" x14ac:dyDescent="0.25">
      <c r="B315" s="43"/>
      <c r="D315" s="43"/>
      <c r="E315" s="55" t="str">
        <f t="shared" si="25"/>
        <v/>
      </c>
      <c r="F315" s="55"/>
      <c r="G315" s="55"/>
      <c r="H315" s="55"/>
      <c r="I315" s="55"/>
      <c r="J315" s="55"/>
      <c r="K315" s="46" t="str">
        <f t="shared" ca="1" si="26"/>
        <v/>
      </c>
      <c r="L315" s="56" t="str">
        <f t="shared" ca="1" si="27"/>
        <v/>
      </c>
      <c r="Q315" s="57" t="str">
        <f t="shared" si="28"/>
        <v/>
      </c>
      <c r="R315" s="57" t="str">
        <f t="shared" si="29"/>
        <v/>
      </c>
    </row>
    <row r="316" spans="2:18" x14ac:dyDescent="0.25">
      <c r="B316" s="43"/>
      <c r="D316" s="43"/>
      <c r="E316" s="55" t="str">
        <f t="shared" si="25"/>
        <v/>
      </c>
      <c r="F316" s="55"/>
      <c r="G316" s="55"/>
      <c r="H316" s="55"/>
      <c r="I316" s="55"/>
      <c r="J316" s="55"/>
      <c r="K316" s="46" t="str">
        <f t="shared" ca="1" si="26"/>
        <v/>
      </c>
      <c r="L316" s="56" t="str">
        <f t="shared" ca="1" si="27"/>
        <v/>
      </c>
      <c r="Q316" s="57" t="str">
        <f t="shared" si="28"/>
        <v/>
      </c>
      <c r="R316" s="57" t="str">
        <f t="shared" si="29"/>
        <v/>
      </c>
    </row>
    <row r="317" spans="2:18" x14ac:dyDescent="0.25">
      <c r="B317" s="43"/>
      <c r="D317" s="43"/>
      <c r="E317" s="55" t="str">
        <f t="shared" si="25"/>
        <v/>
      </c>
      <c r="F317" s="55"/>
      <c r="G317" s="55"/>
      <c r="H317" s="55"/>
      <c r="I317" s="55"/>
      <c r="J317" s="55"/>
      <c r="K317" s="46" t="str">
        <f t="shared" ca="1" si="26"/>
        <v/>
      </c>
      <c r="L317" s="56" t="str">
        <f t="shared" ca="1" si="27"/>
        <v/>
      </c>
      <c r="Q317" s="57" t="str">
        <f t="shared" si="28"/>
        <v/>
      </c>
      <c r="R317" s="57" t="str">
        <f t="shared" si="29"/>
        <v/>
      </c>
    </row>
    <row r="318" spans="2:18" x14ac:dyDescent="0.25">
      <c r="B318" s="43"/>
      <c r="D318" s="43"/>
      <c r="E318" s="55" t="str">
        <f t="shared" si="25"/>
        <v/>
      </c>
      <c r="F318" s="55"/>
      <c r="G318" s="55"/>
      <c r="H318" s="55"/>
      <c r="I318" s="55"/>
      <c r="J318" s="55"/>
      <c r="K318" s="46" t="str">
        <f t="shared" ca="1" si="26"/>
        <v/>
      </c>
      <c r="L318" s="56" t="str">
        <f t="shared" ca="1" si="27"/>
        <v/>
      </c>
      <c r="Q318" s="57" t="str">
        <f t="shared" si="28"/>
        <v/>
      </c>
      <c r="R318" s="57" t="str">
        <f t="shared" si="29"/>
        <v/>
      </c>
    </row>
    <row r="319" spans="2:18" x14ac:dyDescent="0.25">
      <c r="B319" s="43"/>
      <c r="D319" s="43"/>
      <c r="E319" s="55" t="str">
        <f t="shared" si="25"/>
        <v/>
      </c>
      <c r="F319" s="55"/>
      <c r="G319" s="55"/>
      <c r="H319" s="55"/>
      <c r="I319" s="55"/>
      <c r="J319" s="55"/>
      <c r="K319" s="46" t="str">
        <f t="shared" ca="1" si="26"/>
        <v/>
      </c>
      <c r="L319" s="56" t="str">
        <f t="shared" ca="1" si="27"/>
        <v/>
      </c>
      <c r="Q319" s="57" t="str">
        <f t="shared" si="28"/>
        <v/>
      </c>
      <c r="R319" s="57" t="str">
        <f t="shared" si="29"/>
        <v/>
      </c>
    </row>
    <row r="320" spans="2:18" x14ac:dyDescent="0.25">
      <c r="B320" s="43"/>
      <c r="D320" s="43"/>
      <c r="E320" s="55" t="str">
        <f t="shared" si="25"/>
        <v/>
      </c>
      <c r="F320" s="55"/>
      <c r="G320" s="55"/>
      <c r="H320" s="55"/>
      <c r="I320" s="55"/>
      <c r="J320" s="55"/>
      <c r="K320" s="46" t="str">
        <f t="shared" ca="1" si="26"/>
        <v/>
      </c>
      <c r="L320" s="56" t="str">
        <f t="shared" ca="1" si="27"/>
        <v/>
      </c>
      <c r="Q320" s="57" t="str">
        <f t="shared" si="28"/>
        <v/>
      </c>
      <c r="R320" s="57" t="str">
        <f t="shared" si="29"/>
        <v/>
      </c>
    </row>
    <row r="321" spans="2:18" x14ac:dyDescent="0.25">
      <c r="B321" s="43"/>
      <c r="D321" s="43"/>
      <c r="E321" s="55" t="str">
        <f t="shared" si="25"/>
        <v/>
      </c>
      <c r="F321" s="55"/>
      <c r="G321" s="55"/>
      <c r="H321" s="55"/>
      <c r="I321" s="55"/>
      <c r="J321" s="55"/>
      <c r="K321" s="46" t="str">
        <f t="shared" ca="1" si="26"/>
        <v/>
      </c>
      <c r="L321" s="56" t="str">
        <f t="shared" ca="1" si="27"/>
        <v/>
      </c>
      <c r="Q321" s="57" t="str">
        <f t="shared" si="28"/>
        <v/>
      </c>
      <c r="R321" s="57" t="str">
        <f t="shared" si="29"/>
        <v/>
      </c>
    </row>
    <row r="322" spans="2:18" x14ac:dyDescent="0.25">
      <c r="B322" s="43"/>
      <c r="D322" s="43"/>
      <c r="E322" s="55" t="str">
        <f t="shared" si="25"/>
        <v/>
      </c>
      <c r="F322" s="55"/>
      <c r="G322" s="55"/>
      <c r="H322" s="55"/>
      <c r="I322" s="55"/>
      <c r="J322" s="55"/>
      <c r="K322" s="46" t="str">
        <f t="shared" ca="1" si="26"/>
        <v/>
      </c>
      <c r="L322" s="56" t="str">
        <f t="shared" ca="1" si="27"/>
        <v/>
      </c>
      <c r="Q322" s="57" t="str">
        <f t="shared" si="28"/>
        <v/>
      </c>
      <c r="R322" s="57" t="str">
        <f t="shared" si="29"/>
        <v/>
      </c>
    </row>
    <row r="323" spans="2:18" x14ac:dyDescent="0.25">
      <c r="B323" s="43"/>
      <c r="D323" s="43"/>
      <c r="E323" s="55" t="str">
        <f t="shared" si="25"/>
        <v/>
      </c>
      <c r="F323" s="55"/>
      <c r="G323" s="55"/>
      <c r="H323" s="55"/>
      <c r="I323" s="55"/>
      <c r="J323" s="55"/>
      <c r="K323" s="46" t="str">
        <f t="shared" ca="1" si="26"/>
        <v/>
      </c>
      <c r="L323" s="56" t="str">
        <f t="shared" ca="1" si="27"/>
        <v/>
      </c>
      <c r="Q323" s="57" t="str">
        <f t="shared" si="28"/>
        <v/>
      </c>
      <c r="R323" s="57" t="str">
        <f t="shared" si="29"/>
        <v/>
      </c>
    </row>
    <row r="324" spans="2:18" x14ac:dyDescent="0.25">
      <c r="B324" s="43"/>
      <c r="D324" s="43"/>
      <c r="E324" s="55" t="str">
        <f t="shared" si="25"/>
        <v/>
      </c>
      <c r="F324" s="55"/>
      <c r="G324" s="55"/>
      <c r="H324" s="55"/>
      <c r="I324" s="55"/>
      <c r="J324" s="55"/>
      <c r="K324" s="46" t="str">
        <f t="shared" ca="1" si="26"/>
        <v/>
      </c>
      <c r="L324" s="56" t="str">
        <f t="shared" ca="1" si="27"/>
        <v/>
      </c>
      <c r="Q324" s="57" t="str">
        <f t="shared" si="28"/>
        <v/>
      </c>
      <c r="R324" s="57" t="str">
        <f t="shared" si="29"/>
        <v/>
      </c>
    </row>
    <row r="325" spans="2:18" x14ac:dyDescent="0.25">
      <c r="B325" s="43"/>
      <c r="D325" s="43"/>
      <c r="E325" s="55" t="str">
        <f t="shared" si="25"/>
        <v/>
      </c>
      <c r="F325" s="55"/>
      <c r="G325" s="55"/>
      <c r="H325" s="55"/>
      <c r="I325" s="55"/>
      <c r="J325" s="55"/>
      <c r="K325" s="46" t="str">
        <f t="shared" ca="1" si="26"/>
        <v/>
      </c>
      <c r="L325" s="56" t="str">
        <f t="shared" ca="1" si="27"/>
        <v/>
      </c>
      <c r="Q325" s="57" t="str">
        <f t="shared" si="28"/>
        <v/>
      </c>
      <c r="R325" s="57" t="str">
        <f t="shared" si="29"/>
        <v/>
      </c>
    </row>
    <row r="326" spans="2:18" x14ac:dyDescent="0.25">
      <c r="B326" s="43"/>
      <c r="D326" s="43"/>
      <c r="E326" s="55" t="str">
        <f t="shared" si="25"/>
        <v/>
      </c>
      <c r="F326" s="55"/>
      <c r="G326" s="55"/>
      <c r="H326" s="55"/>
      <c r="I326" s="55"/>
      <c r="J326" s="55"/>
      <c r="K326" s="46" t="str">
        <f t="shared" ca="1" si="26"/>
        <v/>
      </c>
      <c r="L326" s="56" t="str">
        <f t="shared" ca="1" si="27"/>
        <v/>
      </c>
      <c r="Q326" s="57" t="str">
        <f t="shared" si="28"/>
        <v/>
      </c>
      <c r="R326" s="57" t="str">
        <f t="shared" si="29"/>
        <v/>
      </c>
    </row>
    <row r="327" spans="2:18" x14ac:dyDescent="0.25">
      <c r="B327" s="43"/>
      <c r="D327" s="43"/>
      <c r="E327" s="55" t="str">
        <f t="shared" si="25"/>
        <v/>
      </c>
      <c r="F327" s="55"/>
      <c r="G327" s="55"/>
      <c r="H327" s="55"/>
      <c r="I327" s="55"/>
      <c r="J327" s="55"/>
      <c r="K327" s="46" t="str">
        <f t="shared" ca="1" si="26"/>
        <v/>
      </c>
      <c r="L327" s="56" t="str">
        <f t="shared" ca="1" si="27"/>
        <v/>
      </c>
      <c r="Q327" s="57" t="str">
        <f t="shared" si="28"/>
        <v/>
      </c>
      <c r="R327" s="57" t="str">
        <f t="shared" si="29"/>
        <v/>
      </c>
    </row>
    <row r="328" spans="2:18" x14ac:dyDescent="0.25">
      <c r="B328" s="43"/>
      <c r="D328" s="43"/>
      <c r="E328" s="55" t="str">
        <f t="shared" si="25"/>
        <v/>
      </c>
      <c r="F328" s="55"/>
      <c r="G328" s="55"/>
      <c r="H328" s="55"/>
      <c r="I328" s="55"/>
      <c r="J328" s="55"/>
      <c r="K328" s="46" t="str">
        <f t="shared" ca="1" si="26"/>
        <v/>
      </c>
      <c r="L328" s="56" t="str">
        <f t="shared" ca="1" si="27"/>
        <v/>
      </c>
      <c r="Q328" s="57" t="str">
        <f t="shared" si="28"/>
        <v/>
      </c>
      <c r="R328" s="57" t="str">
        <f t="shared" si="29"/>
        <v/>
      </c>
    </row>
    <row r="329" spans="2:18" x14ac:dyDescent="0.25">
      <c r="B329" s="43"/>
      <c r="D329" s="43"/>
      <c r="E329" s="55" t="str">
        <f t="shared" si="25"/>
        <v/>
      </c>
      <c r="F329" s="55"/>
      <c r="G329" s="55"/>
      <c r="H329" s="55"/>
      <c r="I329" s="55"/>
      <c r="J329" s="55"/>
      <c r="K329" s="46" t="str">
        <f t="shared" ca="1" si="26"/>
        <v/>
      </c>
      <c r="L329" s="56" t="str">
        <f t="shared" ca="1" si="27"/>
        <v/>
      </c>
      <c r="Q329" s="57" t="str">
        <f t="shared" si="28"/>
        <v/>
      </c>
      <c r="R329" s="57" t="str">
        <f t="shared" si="29"/>
        <v/>
      </c>
    </row>
    <row r="330" spans="2:18" x14ac:dyDescent="0.25">
      <c r="B330" s="43"/>
      <c r="D330" s="43"/>
      <c r="E330" s="55" t="str">
        <f t="shared" si="25"/>
        <v/>
      </c>
      <c r="F330" s="55"/>
      <c r="G330" s="55"/>
      <c r="H330" s="55"/>
      <c r="I330" s="55"/>
      <c r="J330" s="55"/>
      <c r="K330" s="46" t="str">
        <f t="shared" ca="1" si="26"/>
        <v/>
      </c>
      <c r="L330" s="56" t="str">
        <f t="shared" ca="1" si="27"/>
        <v/>
      </c>
      <c r="Q330" s="57" t="str">
        <f t="shared" si="28"/>
        <v/>
      </c>
      <c r="R330" s="57" t="str">
        <f t="shared" si="29"/>
        <v/>
      </c>
    </row>
    <row r="331" spans="2:18" x14ac:dyDescent="0.25">
      <c r="B331" s="43"/>
      <c r="D331" s="43"/>
      <c r="E331" s="55" t="str">
        <f t="shared" si="25"/>
        <v/>
      </c>
      <c r="F331" s="55"/>
      <c r="G331" s="55"/>
      <c r="H331" s="55"/>
      <c r="I331" s="55"/>
      <c r="J331" s="55"/>
      <c r="K331" s="46" t="str">
        <f t="shared" ca="1" si="26"/>
        <v/>
      </c>
      <c r="L331" s="56" t="str">
        <f t="shared" ca="1" si="27"/>
        <v/>
      </c>
      <c r="Q331" s="57" t="str">
        <f t="shared" si="28"/>
        <v/>
      </c>
      <c r="R331" s="57" t="str">
        <f t="shared" si="29"/>
        <v/>
      </c>
    </row>
    <row r="332" spans="2:18" x14ac:dyDescent="0.25">
      <c r="B332" s="43"/>
      <c r="D332" s="43"/>
      <c r="E332" s="55" t="str">
        <f t="shared" si="25"/>
        <v/>
      </c>
      <c r="F332" s="55"/>
      <c r="G332" s="55"/>
      <c r="H332" s="55"/>
      <c r="I332" s="55"/>
      <c r="J332" s="55"/>
      <c r="K332" s="46" t="str">
        <f t="shared" ca="1" si="26"/>
        <v/>
      </c>
      <c r="L332" s="56" t="str">
        <f t="shared" ca="1" si="27"/>
        <v/>
      </c>
      <c r="Q332" s="57" t="str">
        <f t="shared" si="28"/>
        <v/>
      </c>
      <c r="R332" s="57" t="str">
        <f t="shared" si="29"/>
        <v/>
      </c>
    </row>
    <row r="333" spans="2:18" x14ac:dyDescent="0.25">
      <c r="B333" s="43"/>
      <c r="D333" s="43"/>
      <c r="E333" s="55" t="str">
        <f t="shared" si="25"/>
        <v/>
      </c>
      <c r="F333" s="55"/>
      <c r="G333" s="55"/>
      <c r="H333" s="55"/>
      <c r="I333" s="55"/>
      <c r="J333" s="55"/>
      <c r="K333" s="46" t="str">
        <f t="shared" ca="1" si="26"/>
        <v/>
      </c>
      <c r="L333" s="56" t="str">
        <f t="shared" ca="1" si="27"/>
        <v/>
      </c>
      <c r="Q333" s="57" t="str">
        <f t="shared" si="28"/>
        <v/>
      </c>
      <c r="R333" s="57" t="str">
        <f t="shared" si="29"/>
        <v/>
      </c>
    </row>
    <row r="334" spans="2:18" x14ac:dyDescent="0.25">
      <c r="B334" s="43"/>
      <c r="D334" s="43"/>
      <c r="E334" s="55" t="str">
        <f t="shared" si="25"/>
        <v/>
      </c>
      <c r="F334" s="55"/>
      <c r="G334" s="55"/>
      <c r="H334" s="55"/>
      <c r="I334" s="55"/>
      <c r="J334" s="55"/>
      <c r="K334" s="46" t="str">
        <f t="shared" ca="1" si="26"/>
        <v/>
      </c>
      <c r="L334" s="56" t="str">
        <f t="shared" ca="1" si="27"/>
        <v/>
      </c>
      <c r="Q334" s="57" t="str">
        <f t="shared" si="28"/>
        <v/>
      </c>
      <c r="R334" s="57" t="str">
        <f t="shared" si="29"/>
        <v/>
      </c>
    </row>
    <row r="335" spans="2:18" x14ac:dyDescent="0.25">
      <c r="B335" s="43"/>
      <c r="D335" s="43"/>
      <c r="E335" s="55" t="str">
        <f t="shared" si="25"/>
        <v/>
      </c>
      <c r="F335" s="55"/>
      <c r="G335" s="55"/>
      <c r="H335" s="55"/>
      <c r="I335" s="55"/>
      <c r="J335" s="55"/>
      <c r="K335" s="46" t="str">
        <f t="shared" ca="1" si="26"/>
        <v/>
      </c>
      <c r="L335" s="56" t="str">
        <f t="shared" ca="1" si="27"/>
        <v/>
      </c>
      <c r="Q335" s="57" t="str">
        <f t="shared" si="28"/>
        <v/>
      </c>
      <c r="R335" s="57" t="str">
        <f t="shared" si="29"/>
        <v/>
      </c>
    </row>
    <row r="336" spans="2:18" x14ac:dyDescent="0.25">
      <c r="B336" s="43"/>
      <c r="D336" s="43"/>
      <c r="E336" s="55" t="str">
        <f t="shared" si="25"/>
        <v/>
      </c>
      <c r="F336" s="55"/>
      <c r="G336" s="55"/>
      <c r="H336" s="55"/>
      <c r="I336" s="55"/>
      <c r="J336" s="55"/>
      <c r="K336" s="46" t="str">
        <f t="shared" ca="1" si="26"/>
        <v/>
      </c>
      <c r="L336" s="56" t="str">
        <f t="shared" ca="1" si="27"/>
        <v/>
      </c>
      <c r="Q336" s="57" t="str">
        <f t="shared" si="28"/>
        <v/>
      </c>
      <c r="R336" s="57" t="str">
        <f t="shared" si="29"/>
        <v/>
      </c>
    </row>
    <row r="337" spans="2:18" x14ac:dyDescent="0.25">
      <c r="B337" s="43"/>
      <c r="D337" s="43"/>
      <c r="E337" s="55" t="str">
        <f t="shared" si="25"/>
        <v/>
      </c>
      <c r="F337" s="55"/>
      <c r="G337" s="55"/>
      <c r="H337" s="55"/>
      <c r="I337" s="55"/>
      <c r="J337" s="55"/>
      <c r="K337" s="46" t="str">
        <f t="shared" ca="1" si="26"/>
        <v/>
      </c>
      <c r="L337" s="56" t="str">
        <f t="shared" ca="1" si="27"/>
        <v/>
      </c>
      <c r="Q337" s="57" t="str">
        <f t="shared" si="28"/>
        <v/>
      </c>
      <c r="R337" s="57" t="str">
        <f t="shared" si="29"/>
        <v/>
      </c>
    </row>
    <row r="338" spans="2:18" x14ac:dyDescent="0.25">
      <c r="B338" s="43"/>
      <c r="D338" s="43"/>
      <c r="E338" s="55" t="str">
        <f t="shared" si="25"/>
        <v/>
      </c>
      <c r="F338" s="55"/>
      <c r="G338" s="55"/>
      <c r="H338" s="55"/>
      <c r="I338" s="55"/>
      <c r="J338" s="55"/>
      <c r="K338" s="46" t="str">
        <f t="shared" ca="1" si="26"/>
        <v/>
      </c>
      <c r="L338" s="56" t="str">
        <f t="shared" ca="1" si="27"/>
        <v/>
      </c>
      <c r="Q338" s="57" t="str">
        <f t="shared" si="28"/>
        <v/>
      </c>
      <c r="R338" s="57" t="str">
        <f t="shared" si="29"/>
        <v/>
      </c>
    </row>
    <row r="339" spans="2:18" x14ac:dyDescent="0.25">
      <c r="B339" s="43"/>
      <c r="D339" s="43"/>
      <c r="E339" s="55" t="str">
        <f t="shared" si="25"/>
        <v/>
      </c>
      <c r="F339" s="55"/>
      <c r="G339" s="55"/>
      <c r="H339" s="55"/>
      <c r="I339" s="55"/>
      <c r="J339" s="55"/>
      <c r="K339" s="46" t="str">
        <f t="shared" ca="1" si="26"/>
        <v/>
      </c>
      <c r="L339" s="56" t="str">
        <f t="shared" ca="1" si="27"/>
        <v/>
      </c>
      <c r="Q339" s="57" t="str">
        <f t="shared" si="28"/>
        <v/>
      </c>
      <c r="R339" s="57" t="str">
        <f t="shared" si="29"/>
        <v/>
      </c>
    </row>
    <row r="340" spans="2:18" x14ac:dyDescent="0.25">
      <c r="B340" s="43"/>
      <c r="D340" s="43"/>
      <c r="E340" s="55" t="str">
        <f t="shared" ref="E340:E403" si="30">IF(ISNUMBER(SEARCH("v crs",D340))=TRUE,"VC",IF(ISNUMBER(SEARCH("crs",D340))=TRUE,"C",IF(ISNUMBER(SEARCH("med",D340))=TRUE,"M",IF(ISNUMBER(SEARCH("vf",D340))=TRUE,"VF",IF(ISNUMBER(SEARCH("f",D340))=TRUE,"F","")))))</f>
        <v/>
      </c>
      <c r="F340" s="55"/>
      <c r="G340" s="55"/>
      <c r="H340" s="55"/>
      <c r="I340" s="55"/>
      <c r="J340" s="55"/>
      <c r="K340" s="46" t="str">
        <f t="shared" ca="1" si="26"/>
        <v/>
      </c>
      <c r="L340" s="56" t="str">
        <f t="shared" ca="1" si="27"/>
        <v/>
      </c>
      <c r="Q340" s="57" t="str">
        <f t="shared" si="28"/>
        <v/>
      </c>
      <c r="R340" s="57" t="str">
        <f t="shared" si="29"/>
        <v/>
      </c>
    </row>
    <row r="341" spans="2:18" x14ac:dyDescent="0.25">
      <c r="B341" s="43"/>
      <c r="D341" s="43"/>
      <c r="E341" s="55" t="str">
        <f t="shared" si="30"/>
        <v/>
      </c>
      <c r="F341" s="55"/>
      <c r="G341" s="55"/>
      <c r="H341" s="55"/>
      <c r="I341" s="55"/>
      <c r="J341" s="55"/>
      <c r="K341" s="46" t="str">
        <f t="shared" ref="K341:K404" ca="1" si="31">IF(AND(C341&lt;&gt;"",C341&lt;&gt;Q341),TODAY(),IF(C341="","",K341))</f>
        <v/>
      </c>
      <c r="L341" s="56" t="str">
        <f t="shared" ref="L341:L404" ca="1" si="32">IF(AND(C341&lt;&gt;"",C341&lt;&gt;R341),NOW(),IF(C341="","",L341))</f>
        <v/>
      </c>
      <c r="Q341" s="57" t="str">
        <f t="shared" ref="Q341:Q404" si="33">IF(C341="","",IF(OR(K341="",AND(ISNUMBER(Q341),C341=Q341)),Q341,C341))</f>
        <v/>
      </c>
      <c r="R341" s="57" t="str">
        <f t="shared" ref="R341:R404" si="34">IF(C341="","",IF(OR(L341="",AND(ISNUMBER(R341),C341=R341)),R341,C341))</f>
        <v/>
      </c>
    </row>
    <row r="342" spans="2:18" x14ac:dyDescent="0.25">
      <c r="B342" s="43"/>
      <c r="D342" s="43"/>
      <c r="E342" s="55" t="str">
        <f t="shared" si="30"/>
        <v/>
      </c>
      <c r="F342" s="55"/>
      <c r="G342" s="55"/>
      <c r="H342" s="55"/>
      <c r="I342" s="55"/>
      <c r="J342" s="55"/>
      <c r="K342" s="46" t="str">
        <f t="shared" ca="1" si="31"/>
        <v/>
      </c>
      <c r="L342" s="56" t="str">
        <f t="shared" ca="1" si="32"/>
        <v/>
      </c>
      <c r="Q342" s="57" t="str">
        <f t="shared" si="33"/>
        <v/>
      </c>
      <c r="R342" s="57" t="str">
        <f t="shared" si="34"/>
        <v/>
      </c>
    </row>
    <row r="343" spans="2:18" x14ac:dyDescent="0.25">
      <c r="B343" s="43"/>
      <c r="D343" s="43"/>
      <c r="E343" s="55" t="str">
        <f t="shared" si="30"/>
        <v/>
      </c>
      <c r="F343" s="55"/>
      <c r="G343" s="55"/>
      <c r="H343" s="55"/>
      <c r="I343" s="55"/>
      <c r="J343" s="55"/>
      <c r="K343" s="46" t="str">
        <f t="shared" ca="1" si="31"/>
        <v/>
      </c>
      <c r="L343" s="56" t="str">
        <f t="shared" ca="1" si="32"/>
        <v/>
      </c>
      <c r="Q343" s="57" t="str">
        <f t="shared" si="33"/>
        <v/>
      </c>
      <c r="R343" s="57" t="str">
        <f t="shared" si="34"/>
        <v/>
      </c>
    </row>
    <row r="344" spans="2:18" x14ac:dyDescent="0.25">
      <c r="B344" s="43"/>
      <c r="D344" s="43"/>
      <c r="E344" s="55" t="str">
        <f t="shared" si="30"/>
        <v/>
      </c>
      <c r="F344" s="55"/>
      <c r="G344" s="55"/>
      <c r="H344" s="55"/>
      <c r="I344" s="55"/>
      <c r="J344" s="55"/>
      <c r="K344" s="46" t="str">
        <f t="shared" ca="1" si="31"/>
        <v/>
      </c>
      <c r="L344" s="56" t="str">
        <f t="shared" ca="1" si="32"/>
        <v/>
      </c>
      <c r="Q344" s="57" t="str">
        <f t="shared" si="33"/>
        <v/>
      </c>
      <c r="R344" s="57" t="str">
        <f t="shared" si="34"/>
        <v/>
      </c>
    </row>
    <row r="345" spans="2:18" x14ac:dyDescent="0.25">
      <c r="B345" s="43"/>
      <c r="D345" s="43"/>
      <c r="E345" s="55" t="str">
        <f t="shared" si="30"/>
        <v/>
      </c>
      <c r="F345" s="55"/>
      <c r="G345" s="55"/>
      <c r="H345" s="55"/>
      <c r="I345" s="55"/>
      <c r="J345" s="55"/>
      <c r="K345" s="46" t="str">
        <f t="shared" ca="1" si="31"/>
        <v/>
      </c>
      <c r="L345" s="56" t="str">
        <f t="shared" ca="1" si="32"/>
        <v/>
      </c>
      <c r="Q345" s="57" t="str">
        <f t="shared" si="33"/>
        <v/>
      </c>
      <c r="R345" s="57" t="str">
        <f t="shared" si="34"/>
        <v/>
      </c>
    </row>
    <row r="346" spans="2:18" x14ac:dyDescent="0.25">
      <c r="B346" s="43"/>
      <c r="D346" s="43"/>
      <c r="E346" s="55" t="str">
        <f t="shared" si="30"/>
        <v/>
      </c>
      <c r="F346" s="55"/>
      <c r="G346" s="55"/>
      <c r="H346" s="55"/>
      <c r="I346" s="55"/>
      <c r="J346" s="55"/>
      <c r="K346" s="46" t="str">
        <f t="shared" ca="1" si="31"/>
        <v/>
      </c>
      <c r="L346" s="56" t="str">
        <f t="shared" ca="1" si="32"/>
        <v/>
      </c>
      <c r="Q346" s="57" t="str">
        <f t="shared" si="33"/>
        <v/>
      </c>
      <c r="R346" s="57" t="str">
        <f t="shared" si="34"/>
        <v/>
      </c>
    </row>
    <row r="347" spans="2:18" x14ac:dyDescent="0.25">
      <c r="D347" s="43"/>
      <c r="E347" s="55" t="str">
        <f t="shared" si="30"/>
        <v/>
      </c>
      <c r="F347" s="55"/>
      <c r="G347" s="55"/>
      <c r="H347" s="55"/>
      <c r="I347" s="55"/>
      <c r="J347" s="55"/>
      <c r="K347" s="46" t="str">
        <f t="shared" ca="1" si="31"/>
        <v/>
      </c>
      <c r="L347" s="56" t="str">
        <f t="shared" ca="1" si="32"/>
        <v/>
      </c>
      <c r="Q347" s="57" t="str">
        <f t="shared" si="33"/>
        <v/>
      </c>
      <c r="R347" s="57" t="str">
        <f t="shared" si="34"/>
        <v/>
      </c>
    </row>
    <row r="348" spans="2:18" x14ac:dyDescent="0.25">
      <c r="D348" s="43"/>
      <c r="E348" s="55" t="str">
        <f t="shared" si="30"/>
        <v/>
      </c>
      <c r="F348" s="55"/>
      <c r="G348" s="55"/>
      <c r="H348" s="55"/>
      <c r="I348" s="55"/>
      <c r="J348" s="55"/>
      <c r="K348" s="46" t="str">
        <f t="shared" ca="1" si="31"/>
        <v/>
      </c>
      <c r="L348" s="56" t="str">
        <f t="shared" ca="1" si="32"/>
        <v/>
      </c>
      <c r="Q348" s="57" t="str">
        <f t="shared" si="33"/>
        <v/>
      </c>
      <c r="R348" s="57" t="str">
        <f t="shared" si="34"/>
        <v/>
      </c>
    </row>
    <row r="349" spans="2:18" x14ac:dyDescent="0.25">
      <c r="D349" s="43"/>
      <c r="E349" s="55" t="str">
        <f t="shared" si="30"/>
        <v/>
      </c>
      <c r="F349" s="55"/>
      <c r="G349" s="55"/>
      <c r="H349" s="55"/>
      <c r="I349" s="55"/>
      <c r="J349" s="55"/>
      <c r="K349" s="46" t="str">
        <f t="shared" ca="1" si="31"/>
        <v/>
      </c>
      <c r="L349" s="56" t="str">
        <f t="shared" ca="1" si="32"/>
        <v/>
      </c>
      <c r="Q349" s="57" t="str">
        <f t="shared" si="33"/>
        <v/>
      </c>
      <c r="R349" s="57" t="str">
        <f t="shared" si="34"/>
        <v/>
      </c>
    </row>
    <row r="350" spans="2:18" x14ac:dyDescent="0.25">
      <c r="D350" s="43"/>
      <c r="E350" s="55" t="str">
        <f t="shared" si="30"/>
        <v/>
      </c>
      <c r="F350" s="55"/>
      <c r="G350" s="55"/>
      <c r="H350" s="55"/>
      <c r="I350" s="55"/>
      <c r="J350" s="55"/>
      <c r="K350" s="46" t="str">
        <f t="shared" ca="1" si="31"/>
        <v/>
      </c>
      <c r="L350" s="56" t="str">
        <f t="shared" ca="1" si="32"/>
        <v/>
      </c>
      <c r="Q350" s="57" t="str">
        <f t="shared" si="33"/>
        <v/>
      </c>
      <c r="R350" s="57" t="str">
        <f t="shared" si="34"/>
        <v/>
      </c>
    </row>
    <row r="351" spans="2:18" x14ac:dyDescent="0.25">
      <c r="D351" s="43"/>
      <c r="E351" s="55" t="str">
        <f t="shared" si="30"/>
        <v/>
      </c>
      <c r="F351" s="55"/>
      <c r="G351" s="55"/>
      <c r="H351" s="55"/>
      <c r="I351" s="55"/>
      <c r="J351" s="55"/>
      <c r="K351" s="46" t="str">
        <f t="shared" ca="1" si="31"/>
        <v/>
      </c>
      <c r="L351" s="56" t="str">
        <f t="shared" ca="1" si="32"/>
        <v/>
      </c>
      <c r="Q351" s="57" t="str">
        <f t="shared" si="33"/>
        <v/>
      </c>
      <c r="R351" s="57" t="str">
        <f t="shared" si="34"/>
        <v/>
      </c>
    </row>
    <row r="352" spans="2:18" x14ac:dyDescent="0.25">
      <c r="D352" s="43"/>
      <c r="E352" s="55" t="str">
        <f t="shared" si="30"/>
        <v/>
      </c>
      <c r="F352" s="55"/>
      <c r="G352" s="55"/>
      <c r="H352" s="55"/>
      <c r="I352" s="55"/>
      <c r="J352" s="55"/>
      <c r="K352" s="46" t="str">
        <f t="shared" ca="1" si="31"/>
        <v/>
      </c>
      <c r="L352" s="56" t="str">
        <f t="shared" ca="1" si="32"/>
        <v/>
      </c>
      <c r="Q352" s="57" t="str">
        <f t="shared" si="33"/>
        <v/>
      </c>
      <c r="R352" s="57" t="str">
        <f t="shared" si="34"/>
        <v/>
      </c>
    </row>
    <row r="353" spans="4:18" x14ac:dyDescent="0.25">
      <c r="D353" s="43"/>
      <c r="E353" s="55" t="str">
        <f t="shared" si="30"/>
        <v/>
      </c>
      <c r="F353" s="55"/>
      <c r="G353" s="55"/>
      <c r="H353" s="55"/>
      <c r="I353" s="55"/>
      <c r="J353" s="55"/>
      <c r="K353" s="46" t="str">
        <f t="shared" ca="1" si="31"/>
        <v/>
      </c>
      <c r="L353" s="56" t="str">
        <f t="shared" ca="1" si="32"/>
        <v/>
      </c>
      <c r="Q353" s="57" t="str">
        <f t="shared" si="33"/>
        <v/>
      </c>
      <c r="R353" s="57" t="str">
        <f t="shared" si="34"/>
        <v/>
      </c>
    </row>
    <row r="354" spans="4:18" x14ac:dyDescent="0.25">
      <c r="D354" s="43"/>
      <c r="E354" s="55" t="str">
        <f t="shared" si="30"/>
        <v/>
      </c>
      <c r="F354" s="55"/>
      <c r="G354" s="55"/>
      <c r="H354" s="55"/>
      <c r="I354" s="55"/>
      <c r="J354" s="55"/>
      <c r="K354" s="46" t="str">
        <f t="shared" ca="1" si="31"/>
        <v/>
      </c>
      <c r="L354" s="56" t="str">
        <f t="shared" ca="1" si="32"/>
        <v/>
      </c>
      <c r="Q354" s="57" t="str">
        <f t="shared" si="33"/>
        <v/>
      </c>
      <c r="R354" s="57" t="str">
        <f t="shared" si="34"/>
        <v/>
      </c>
    </row>
    <row r="355" spans="4:18" x14ac:dyDescent="0.25">
      <c r="D355" s="43"/>
      <c r="E355" s="55" t="str">
        <f t="shared" si="30"/>
        <v/>
      </c>
      <c r="F355" s="55"/>
      <c r="G355" s="55"/>
      <c r="H355" s="55"/>
      <c r="I355" s="55"/>
      <c r="J355" s="55"/>
      <c r="K355" s="46" t="str">
        <f t="shared" ca="1" si="31"/>
        <v/>
      </c>
      <c r="L355" s="56" t="str">
        <f t="shared" ca="1" si="32"/>
        <v/>
      </c>
      <c r="Q355" s="57" t="str">
        <f t="shared" si="33"/>
        <v/>
      </c>
      <c r="R355" s="57" t="str">
        <f t="shared" si="34"/>
        <v/>
      </c>
    </row>
    <row r="356" spans="4:18" x14ac:dyDescent="0.25">
      <c r="D356" s="43"/>
      <c r="E356" s="55" t="str">
        <f t="shared" si="30"/>
        <v/>
      </c>
      <c r="F356" s="55"/>
      <c r="G356" s="55"/>
      <c r="H356" s="55"/>
      <c r="I356" s="55"/>
      <c r="J356" s="55"/>
      <c r="K356" s="46" t="str">
        <f t="shared" ca="1" si="31"/>
        <v/>
      </c>
      <c r="L356" s="56" t="str">
        <f t="shared" ca="1" si="32"/>
        <v/>
      </c>
      <c r="Q356" s="57" t="str">
        <f t="shared" si="33"/>
        <v/>
      </c>
      <c r="R356" s="57" t="str">
        <f t="shared" si="34"/>
        <v/>
      </c>
    </row>
    <row r="357" spans="4:18" x14ac:dyDescent="0.25">
      <c r="D357" s="43"/>
      <c r="E357" s="55" t="str">
        <f t="shared" si="30"/>
        <v/>
      </c>
      <c r="F357" s="55"/>
      <c r="G357" s="55"/>
      <c r="H357" s="55"/>
      <c r="I357" s="55"/>
      <c r="J357" s="55"/>
      <c r="K357" s="46" t="str">
        <f t="shared" ca="1" si="31"/>
        <v/>
      </c>
      <c r="L357" s="56" t="str">
        <f t="shared" ca="1" si="32"/>
        <v/>
      </c>
      <c r="Q357" s="57" t="str">
        <f t="shared" si="33"/>
        <v/>
      </c>
      <c r="R357" s="57" t="str">
        <f t="shared" si="34"/>
        <v/>
      </c>
    </row>
    <row r="358" spans="4:18" x14ac:dyDescent="0.25">
      <c r="D358" s="43"/>
      <c r="E358" s="55" t="str">
        <f t="shared" si="30"/>
        <v/>
      </c>
      <c r="F358" s="55"/>
      <c r="G358" s="55"/>
      <c r="H358" s="55"/>
      <c r="I358" s="55"/>
      <c r="J358" s="55"/>
      <c r="K358" s="46" t="str">
        <f t="shared" ca="1" si="31"/>
        <v/>
      </c>
      <c r="L358" s="56" t="str">
        <f t="shared" ca="1" si="32"/>
        <v/>
      </c>
      <c r="Q358" s="57" t="str">
        <f t="shared" si="33"/>
        <v/>
      </c>
      <c r="R358" s="57" t="str">
        <f t="shared" si="34"/>
        <v/>
      </c>
    </row>
    <row r="359" spans="4:18" x14ac:dyDescent="0.25">
      <c r="D359" s="43"/>
      <c r="E359" s="55" t="str">
        <f t="shared" si="30"/>
        <v/>
      </c>
      <c r="F359" s="55"/>
      <c r="G359" s="55"/>
      <c r="H359" s="55"/>
      <c r="I359" s="55"/>
      <c r="J359" s="55"/>
      <c r="K359" s="46" t="str">
        <f t="shared" ca="1" si="31"/>
        <v/>
      </c>
      <c r="L359" s="56" t="str">
        <f t="shared" ca="1" si="32"/>
        <v/>
      </c>
      <c r="Q359" s="57" t="str">
        <f t="shared" si="33"/>
        <v/>
      </c>
      <c r="R359" s="57" t="str">
        <f t="shared" si="34"/>
        <v/>
      </c>
    </row>
    <row r="360" spans="4:18" x14ac:dyDescent="0.25">
      <c r="D360" s="43"/>
      <c r="E360" s="55" t="str">
        <f t="shared" si="30"/>
        <v/>
      </c>
      <c r="F360" s="55"/>
      <c r="G360" s="55"/>
      <c r="H360" s="55"/>
      <c r="I360" s="55"/>
      <c r="J360" s="55"/>
      <c r="K360" s="46" t="str">
        <f t="shared" ca="1" si="31"/>
        <v/>
      </c>
      <c r="L360" s="56" t="str">
        <f t="shared" ca="1" si="32"/>
        <v/>
      </c>
      <c r="Q360" s="57" t="str">
        <f t="shared" si="33"/>
        <v/>
      </c>
      <c r="R360" s="57" t="str">
        <f t="shared" si="34"/>
        <v/>
      </c>
    </row>
    <row r="361" spans="4:18" x14ac:dyDescent="0.25">
      <c r="D361" s="43"/>
      <c r="E361" s="55" t="str">
        <f t="shared" si="30"/>
        <v/>
      </c>
      <c r="F361" s="55"/>
      <c r="G361" s="55"/>
      <c r="H361" s="55"/>
      <c r="I361" s="55"/>
      <c r="J361" s="55"/>
      <c r="K361" s="46" t="str">
        <f t="shared" ca="1" si="31"/>
        <v/>
      </c>
      <c r="L361" s="56" t="str">
        <f t="shared" ca="1" si="32"/>
        <v/>
      </c>
      <c r="Q361" s="57" t="str">
        <f t="shared" si="33"/>
        <v/>
      </c>
      <c r="R361" s="57" t="str">
        <f t="shared" si="34"/>
        <v/>
      </c>
    </row>
    <row r="362" spans="4:18" x14ac:dyDescent="0.25">
      <c r="D362" s="43"/>
      <c r="E362" s="55" t="str">
        <f t="shared" si="30"/>
        <v/>
      </c>
      <c r="F362" s="55"/>
      <c r="G362" s="55"/>
      <c r="H362" s="55"/>
      <c r="I362" s="55"/>
      <c r="J362" s="55"/>
      <c r="K362" s="46" t="str">
        <f t="shared" ca="1" si="31"/>
        <v/>
      </c>
      <c r="L362" s="56" t="str">
        <f t="shared" ca="1" si="32"/>
        <v/>
      </c>
      <c r="Q362" s="57" t="str">
        <f t="shared" si="33"/>
        <v/>
      </c>
      <c r="R362" s="57" t="str">
        <f t="shared" si="34"/>
        <v/>
      </c>
    </row>
    <row r="363" spans="4:18" x14ac:dyDescent="0.25">
      <c r="D363" s="43"/>
      <c r="E363" s="55" t="str">
        <f t="shared" si="30"/>
        <v/>
      </c>
      <c r="F363" s="55"/>
      <c r="G363" s="55"/>
      <c r="H363" s="55"/>
      <c r="I363" s="55"/>
      <c r="J363" s="55"/>
      <c r="K363" s="46" t="str">
        <f t="shared" ca="1" si="31"/>
        <v/>
      </c>
      <c r="L363" s="56" t="str">
        <f t="shared" ca="1" si="32"/>
        <v/>
      </c>
      <c r="Q363" s="57" t="str">
        <f t="shared" si="33"/>
        <v/>
      </c>
      <c r="R363" s="57" t="str">
        <f t="shared" si="34"/>
        <v/>
      </c>
    </row>
    <row r="364" spans="4:18" x14ac:dyDescent="0.25">
      <c r="D364" s="43"/>
      <c r="E364" s="55" t="str">
        <f t="shared" si="30"/>
        <v/>
      </c>
      <c r="F364" s="55"/>
      <c r="G364" s="55"/>
      <c r="H364" s="55"/>
      <c r="I364" s="55"/>
      <c r="J364" s="55"/>
      <c r="K364" s="46" t="str">
        <f t="shared" ca="1" si="31"/>
        <v/>
      </c>
      <c r="L364" s="56" t="str">
        <f t="shared" ca="1" si="32"/>
        <v/>
      </c>
      <c r="Q364" s="57" t="str">
        <f t="shared" si="33"/>
        <v/>
      </c>
      <c r="R364" s="57" t="str">
        <f t="shared" si="34"/>
        <v/>
      </c>
    </row>
    <row r="365" spans="4:18" x14ac:dyDescent="0.25">
      <c r="D365" s="43"/>
      <c r="E365" s="55" t="str">
        <f t="shared" si="30"/>
        <v/>
      </c>
      <c r="F365" s="55"/>
      <c r="G365" s="55"/>
      <c r="H365" s="55"/>
      <c r="I365" s="55"/>
      <c r="J365" s="55"/>
      <c r="K365" s="46" t="str">
        <f t="shared" ca="1" si="31"/>
        <v/>
      </c>
      <c r="L365" s="56" t="str">
        <f t="shared" ca="1" si="32"/>
        <v/>
      </c>
      <c r="Q365" s="57" t="str">
        <f t="shared" si="33"/>
        <v/>
      </c>
      <c r="R365" s="57" t="str">
        <f t="shared" si="34"/>
        <v/>
      </c>
    </row>
    <row r="366" spans="4:18" x14ac:dyDescent="0.25">
      <c r="D366" s="43"/>
      <c r="E366" s="55" t="str">
        <f t="shared" si="30"/>
        <v/>
      </c>
      <c r="F366" s="55"/>
      <c r="G366" s="55"/>
      <c r="H366" s="55"/>
      <c r="I366" s="55"/>
      <c r="J366" s="55"/>
      <c r="K366" s="46" t="str">
        <f t="shared" ca="1" si="31"/>
        <v/>
      </c>
      <c r="L366" s="56" t="str">
        <f t="shared" ca="1" si="32"/>
        <v/>
      </c>
      <c r="Q366" s="57" t="str">
        <f t="shared" si="33"/>
        <v/>
      </c>
      <c r="R366" s="57" t="str">
        <f t="shared" si="34"/>
        <v/>
      </c>
    </row>
    <row r="367" spans="4:18" x14ac:dyDescent="0.25">
      <c r="D367" s="43"/>
      <c r="E367" s="55" t="str">
        <f t="shared" si="30"/>
        <v/>
      </c>
      <c r="F367" s="55"/>
      <c r="G367" s="55"/>
      <c r="H367" s="55"/>
      <c r="I367" s="55"/>
      <c r="J367" s="55"/>
      <c r="K367" s="46" t="str">
        <f t="shared" ca="1" si="31"/>
        <v/>
      </c>
      <c r="L367" s="56" t="str">
        <f t="shared" ca="1" si="32"/>
        <v/>
      </c>
      <c r="Q367" s="57" t="str">
        <f t="shared" si="33"/>
        <v/>
      </c>
      <c r="R367" s="57" t="str">
        <f t="shared" si="34"/>
        <v/>
      </c>
    </row>
    <row r="368" spans="4:18" x14ac:dyDescent="0.25">
      <c r="D368" s="43"/>
      <c r="E368" s="55" t="str">
        <f t="shared" si="30"/>
        <v/>
      </c>
      <c r="F368" s="55"/>
      <c r="G368" s="55"/>
      <c r="H368" s="55"/>
      <c r="I368" s="55"/>
      <c r="J368" s="55"/>
      <c r="K368" s="46" t="str">
        <f t="shared" ca="1" si="31"/>
        <v/>
      </c>
      <c r="L368" s="56" t="str">
        <f t="shared" ca="1" si="32"/>
        <v/>
      </c>
      <c r="Q368" s="57" t="str">
        <f t="shared" si="33"/>
        <v/>
      </c>
      <c r="R368" s="57" t="str">
        <f t="shared" si="34"/>
        <v/>
      </c>
    </row>
    <row r="369" spans="4:18" x14ac:dyDescent="0.25">
      <c r="D369" s="43"/>
      <c r="E369" s="55" t="str">
        <f t="shared" si="30"/>
        <v/>
      </c>
      <c r="F369" s="55"/>
      <c r="G369" s="55"/>
      <c r="H369" s="55"/>
      <c r="I369" s="55"/>
      <c r="J369" s="55"/>
      <c r="K369" s="46" t="str">
        <f t="shared" ca="1" si="31"/>
        <v/>
      </c>
      <c r="L369" s="56" t="str">
        <f t="shared" ca="1" si="32"/>
        <v/>
      </c>
      <c r="Q369" s="57" t="str">
        <f t="shared" si="33"/>
        <v/>
      </c>
      <c r="R369" s="57" t="str">
        <f t="shared" si="34"/>
        <v/>
      </c>
    </row>
    <row r="370" spans="4:18" x14ac:dyDescent="0.25">
      <c r="D370" s="43"/>
      <c r="E370" s="55" t="str">
        <f t="shared" si="30"/>
        <v/>
      </c>
      <c r="F370" s="55"/>
      <c r="G370" s="55"/>
      <c r="H370" s="55"/>
      <c r="I370" s="55"/>
      <c r="J370" s="55"/>
      <c r="K370" s="46" t="str">
        <f t="shared" ca="1" si="31"/>
        <v/>
      </c>
      <c r="L370" s="56" t="str">
        <f t="shared" ca="1" si="32"/>
        <v/>
      </c>
      <c r="Q370" s="57" t="str">
        <f t="shared" si="33"/>
        <v/>
      </c>
      <c r="R370" s="57" t="str">
        <f t="shared" si="34"/>
        <v/>
      </c>
    </row>
    <row r="371" spans="4:18" x14ac:dyDescent="0.25">
      <c r="D371" s="43"/>
      <c r="E371" s="55" t="str">
        <f t="shared" si="30"/>
        <v/>
      </c>
      <c r="F371" s="55"/>
      <c r="G371" s="55"/>
      <c r="H371" s="55"/>
      <c r="I371" s="55"/>
      <c r="J371" s="55"/>
      <c r="K371" s="46" t="str">
        <f t="shared" ca="1" si="31"/>
        <v/>
      </c>
      <c r="L371" s="56" t="str">
        <f t="shared" ca="1" si="32"/>
        <v/>
      </c>
      <c r="Q371" s="57" t="str">
        <f t="shared" si="33"/>
        <v/>
      </c>
      <c r="R371" s="57" t="str">
        <f t="shared" si="34"/>
        <v/>
      </c>
    </row>
    <row r="372" spans="4:18" x14ac:dyDescent="0.25">
      <c r="D372" s="43"/>
      <c r="E372" s="55" t="str">
        <f t="shared" si="30"/>
        <v/>
      </c>
      <c r="F372" s="55"/>
      <c r="G372" s="55"/>
      <c r="H372" s="55"/>
      <c r="I372" s="55"/>
      <c r="J372" s="55"/>
      <c r="K372" s="46" t="str">
        <f t="shared" ca="1" si="31"/>
        <v/>
      </c>
      <c r="L372" s="56" t="str">
        <f t="shared" ca="1" si="32"/>
        <v/>
      </c>
      <c r="Q372" s="57" t="str">
        <f t="shared" si="33"/>
        <v/>
      </c>
      <c r="R372" s="57" t="str">
        <f t="shared" si="34"/>
        <v/>
      </c>
    </row>
    <row r="373" spans="4:18" x14ac:dyDescent="0.25">
      <c r="D373" s="43"/>
      <c r="E373" s="55" t="str">
        <f t="shared" si="30"/>
        <v/>
      </c>
      <c r="F373" s="55"/>
      <c r="G373" s="55"/>
      <c r="H373" s="55"/>
      <c r="I373" s="55"/>
      <c r="J373" s="55"/>
      <c r="K373" s="46" t="str">
        <f t="shared" ca="1" si="31"/>
        <v/>
      </c>
      <c r="L373" s="56" t="str">
        <f t="shared" ca="1" si="32"/>
        <v/>
      </c>
      <c r="Q373" s="57" t="str">
        <f t="shared" si="33"/>
        <v/>
      </c>
      <c r="R373" s="57" t="str">
        <f t="shared" si="34"/>
        <v/>
      </c>
    </row>
    <row r="374" spans="4:18" x14ac:dyDescent="0.25">
      <c r="D374" s="43"/>
      <c r="E374" s="55" t="str">
        <f t="shared" si="30"/>
        <v/>
      </c>
      <c r="F374" s="55"/>
      <c r="G374" s="55"/>
      <c r="H374" s="55"/>
      <c r="I374" s="55"/>
      <c r="J374" s="55"/>
      <c r="K374" s="46" t="str">
        <f t="shared" ca="1" si="31"/>
        <v/>
      </c>
      <c r="L374" s="56" t="str">
        <f t="shared" ca="1" si="32"/>
        <v/>
      </c>
      <c r="Q374" s="57" t="str">
        <f t="shared" si="33"/>
        <v/>
      </c>
      <c r="R374" s="57" t="str">
        <f t="shared" si="34"/>
        <v/>
      </c>
    </row>
    <row r="375" spans="4:18" x14ac:dyDescent="0.25">
      <c r="D375" s="43"/>
      <c r="E375" s="55" t="str">
        <f t="shared" si="30"/>
        <v/>
      </c>
      <c r="F375" s="55"/>
      <c r="G375" s="55"/>
      <c r="H375" s="55"/>
      <c r="I375" s="55"/>
      <c r="J375" s="55"/>
      <c r="K375" s="46" t="str">
        <f t="shared" ca="1" si="31"/>
        <v/>
      </c>
      <c r="L375" s="56" t="str">
        <f t="shared" ca="1" si="32"/>
        <v/>
      </c>
      <c r="Q375" s="57" t="str">
        <f t="shared" si="33"/>
        <v/>
      </c>
      <c r="R375" s="57" t="str">
        <f t="shared" si="34"/>
        <v/>
      </c>
    </row>
    <row r="376" spans="4:18" x14ac:dyDescent="0.25">
      <c r="D376" s="43"/>
      <c r="E376" s="55" t="str">
        <f t="shared" si="30"/>
        <v/>
      </c>
      <c r="F376" s="55"/>
      <c r="G376" s="55"/>
      <c r="H376" s="55"/>
      <c r="I376" s="55"/>
      <c r="J376" s="55"/>
      <c r="K376" s="46" t="str">
        <f t="shared" ca="1" si="31"/>
        <v/>
      </c>
      <c r="L376" s="56" t="str">
        <f t="shared" ca="1" si="32"/>
        <v/>
      </c>
      <c r="Q376" s="57" t="str">
        <f t="shared" si="33"/>
        <v/>
      </c>
      <c r="R376" s="57" t="str">
        <f t="shared" si="34"/>
        <v/>
      </c>
    </row>
    <row r="377" spans="4:18" x14ac:dyDescent="0.25">
      <c r="D377" s="43"/>
      <c r="E377" s="55" t="str">
        <f t="shared" si="30"/>
        <v/>
      </c>
      <c r="F377" s="55"/>
      <c r="G377" s="55"/>
      <c r="H377" s="55"/>
      <c r="I377" s="55"/>
      <c r="J377" s="55"/>
      <c r="K377" s="46" t="str">
        <f t="shared" ca="1" si="31"/>
        <v/>
      </c>
      <c r="L377" s="56" t="str">
        <f t="shared" ca="1" si="32"/>
        <v/>
      </c>
      <c r="Q377" s="57" t="str">
        <f t="shared" si="33"/>
        <v/>
      </c>
      <c r="R377" s="57" t="str">
        <f t="shared" si="34"/>
        <v/>
      </c>
    </row>
    <row r="378" spans="4:18" x14ac:dyDescent="0.25">
      <c r="D378" s="43"/>
      <c r="E378" s="55" t="str">
        <f t="shared" si="30"/>
        <v/>
      </c>
      <c r="F378" s="55"/>
      <c r="G378" s="55"/>
      <c r="H378" s="55"/>
      <c r="I378" s="55"/>
      <c r="J378" s="55"/>
      <c r="K378" s="46" t="str">
        <f t="shared" ca="1" si="31"/>
        <v/>
      </c>
      <c r="L378" s="56" t="str">
        <f t="shared" ca="1" si="32"/>
        <v/>
      </c>
      <c r="Q378" s="57" t="str">
        <f t="shared" si="33"/>
        <v/>
      </c>
      <c r="R378" s="57" t="str">
        <f t="shared" si="34"/>
        <v/>
      </c>
    </row>
    <row r="379" spans="4:18" x14ac:dyDescent="0.25">
      <c r="D379" s="43"/>
      <c r="E379" s="55" t="str">
        <f t="shared" si="30"/>
        <v/>
      </c>
      <c r="F379" s="55"/>
      <c r="G379" s="55"/>
      <c r="H379" s="55"/>
      <c r="I379" s="55"/>
      <c r="J379" s="55"/>
      <c r="K379" s="46" t="str">
        <f t="shared" ca="1" si="31"/>
        <v/>
      </c>
      <c r="L379" s="56" t="str">
        <f t="shared" ca="1" si="32"/>
        <v/>
      </c>
      <c r="Q379" s="57" t="str">
        <f t="shared" si="33"/>
        <v/>
      </c>
      <c r="R379" s="57" t="str">
        <f t="shared" si="34"/>
        <v/>
      </c>
    </row>
    <row r="380" spans="4:18" x14ac:dyDescent="0.25">
      <c r="D380" s="43"/>
      <c r="E380" s="55" t="str">
        <f t="shared" si="30"/>
        <v/>
      </c>
      <c r="F380" s="55"/>
      <c r="G380" s="55"/>
      <c r="H380" s="55"/>
      <c r="I380" s="55"/>
      <c r="J380" s="55"/>
      <c r="K380" s="46" t="str">
        <f t="shared" ca="1" si="31"/>
        <v/>
      </c>
      <c r="L380" s="56" t="str">
        <f t="shared" ca="1" si="32"/>
        <v/>
      </c>
      <c r="Q380" s="57" t="str">
        <f t="shared" si="33"/>
        <v/>
      </c>
      <c r="R380" s="57" t="str">
        <f t="shared" si="34"/>
        <v/>
      </c>
    </row>
    <row r="381" spans="4:18" x14ac:dyDescent="0.25">
      <c r="D381" s="43"/>
      <c r="E381" s="55" t="str">
        <f t="shared" si="30"/>
        <v/>
      </c>
      <c r="F381" s="55"/>
      <c r="G381" s="55"/>
      <c r="H381" s="55"/>
      <c r="I381" s="55"/>
      <c r="J381" s="55"/>
      <c r="K381" s="46" t="str">
        <f t="shared" ca="1" si="31"/>
        <v/>
      </c>
      <c r="L381" s="56" t="str">
        <f t="shared" ca="1" si="32"/>
        <v/>
      </c>
      <c r="Q381" s="57" t="str">
        <f t="shared" si="33"/>
        <v/>
      </c>
      <c r="R381" s="57" t="str">
        <f t="shared" si="34"/>
        <v/>
      </c>
    </row>
    <row r="382" spans="4:18" x14ac:dyDescent="0.25">
      <c r="D382" s="43"/>
      <c r="E382" s="55" t="str">
        <f t="shared" si="30"/>
        <v/>
      </c>
      <c r="F382" s="55"/>
      <c r="G382" s="55"/>
      <c r="H382" s="55"/>
      <c r="I382" s="55"/>
      <c r="J382" s="55"/>
      <c r="K382" s="46" t="str">
        <f t="shared" ca="1" si="31"/>
        <v/>
      </c>
      <c r="L382" s="56" t="str">
        <f t="shared" ca="1" si="32"/>
        <v/>
      </c>
      <c r="Q382" s="57" t="str">
        <f t="shared" si="33"/>
        <v/>
      </c>
      <c r="R382" s="57" t="str">
        <f t="shared" si="34"/>
        <v/>
      </c>
    </row>
    <row r="383" spans="4:18" x14ac:dyDescent="0.25">
      <c r="D383" s="43"/>
      <c r="E383" s="55" t="str">
        <f t="shared" si="30"/>
        <v/>
      </c>
      <c r="F383" s="55"/>
      <c r="G383" s="55"/>
      <c r="H383" s="55"/>
      <c r="I383" s="55"/>
      <c r="J383" s="55"/>
      <c r="K383" s="46" t="str">
        <f t="shared" ca="1" si="31"/>
        <v/>
      </c>
      <c r="L383" s="56" t="str">
        <f t="shared" ca="1" si="32"/>
        <v/>
      </c>
      <c r="Q383" s="57" t="str">
        <f t="shared" si="33"/>
        <v/>
      </c>
      <c r="R383" s="57" t="str">
        <f t="shared" si="34"/>
        <v/>
      </c>
    </row>
    <row r="384" spans="4:18" x14ac:dyDescent="0.25">
      <c r="D384" s="43"/>
      <c r="E384" s="55" t="str">
        <f t="shared" si="30"/>
        <v/>
      </c>
      <c r="F384" s="55"/>
      <c r="G384" s="55"/>
      <c r="H384" s="55"/>
      <c r="I384" s="55"/>
      <c r="J384" s="55"/>
      <c r="K384" s="46" t="str">
        <f t="shared" ca="1" si="31"/>
        <v/>
      </c>
      <c r="L384" s="56" t="str">
        <f t="shared" ca="1" si="32"/>
        <v/>
      </c>
      <c r="Q384" s="57" t="str">
        <f t="shared" si="33"/>
        <v/>
      </c>
      <c r="R384" s="57" t="str">
        <f t="shared" si="34"/>
        <v/>
      </c>
    </row>
    <row r="385" spans="4:18" x14ac:dyDescent="0.25">
      <c r="D385" s="43"/>
      <c r="E385" s="55" t="str">
        <f t="shared" si="30"/>
        <v/>
      </c>
      <c r="F385" s="55"/>
      <c r="G385" s="55"/>
      <c r="H385" s="55"/>
      <c r="I385" s="55"/>
      <c r="J385" s="55"/>
      <c r="K385" s="46" t="str">
        <f t="shared" ca="1" si="31"/>
        <v/>
      </c>
      <c r="L385" s="56" t="str">
        <f t="shared" ca="1" si="32"/>
        <v/>
      </c>
      <c r="Q385" s="57" t="str">
        <f t="shared" si="33"/>
        <v/>
      </c>
      <c r="R385" s="57" t="str">
        <f t="shared" si="34"/>
        <v/>
      </c>
    </row>
    <row r="386" spans="4:18" x14ac:dyDescent="0.25">
      <c r="D386" s="43"/>
      <c r="E386" s="55" t="str">
        <f t="shared" si="30"/>
        <v/>
      </c>
      <c r="F386" s="55"/>
      <c r="G386" s="55"/>
      <c r="H386" s="55"/>
      <c r="I386" s="55"/>
      <c r="J386" s="55"/>
      <c r="K386" s="46" t="str">
        <f t="shared" ca="1" si="31"/>
        <v/>
      </c>
      <c r="L386" s="56" t="str">
        <f t="shared" ca="1" si="32"/>
        <v/>
      </c>
      <c r="Q386" s="57" t="str">
        <f t="shared" si="33"/>
        <v/>
      </c>
      <c r="R386" s="57" t="str">
        <f t="shared" si="34"/>
        <v/>
      </c>
    </row>
    <row r="387" spans="4:18" x14ac:dyDescent="0.25">
      <c r="D387" s="43"/>
      <c r="E387" s="55" t="str">
        <f t="shared" si="30"/>
        <v/>
      </c>
      <c r="F387" s="55"/>
      <c r="G387" s="55"/>
      <c r="H387" s="55"/>
      <c r="I387" s="55"/>
      <c r="J387" s="55"/>
      <c r="K387" s="46" t="str">
        <f t="shared" ca="1" si="31"/>
        <v/>
      </c>
      <c r="L387" s="56" t="str">
        <f t="shared" ca="1" si="32"/>
        <v/>
      </c>
      <c r="Q387" s="57" t="str">
        <f t="shared" si="33"/>
        <v/>
      </c>
      <c r="R387" s="57" t="str">
        <f t="shared" si="34"/>
        <v/>
      </c>
    </row>
    <row r="388" spans="4:18" x14ac:dyDescent="0.25">
      <c r="D388" s="43"/>
      <c r="E388" s="55" t="str">
        <f t="shared" si="30"/>
        <v/>
      </c>
      <c r="F388" s="55"/>
      <c r="G388" s="55"/>
      <c r="H388" s="55"/>
      <c r="I388" s="55"/>
      <c r="J388" s="55"/>
      <c r="K388" s="46" t="str">
        <f t="shared" ca="1" si="31"/>
        <v/>
      </c>
      <c r="L388" s="56" t="str">
        <f t="shared" ca="1" si="32"/>
        <v/>
      </c>
      <c r="Q388" s="57" t="str">
        <f t="shared" si="33"/>
        <v/>
      </c>
      <c r="R388" s="57" t="str">
        <f t="shared" si="34"/>
        <v/>
      </c>
    </row>
    <row r="389" spans="4:18" x14ac:dyDescent="0.25">
      <c r="D389" s="43"/>
      <c r="E389" s="55" t="str">
        <f t="shared" si="30"/>
        <v/>
      </c>
      <c r="F389" s="55"/>
      <c r="G389" s="55"/>
      <c r="H389" s="55"/>
      <c r="I389" s="55"/>
      <c r="J389" s="55"/>
      <c r="K389" s="46" t="str">
        <f t="shared" ca="1" si="31"/>
        <v/>
      </c>
      <c r="L389" s="56" t="str">
        <f t="shared" ca="1" si="32"/>
        <v/>
      </c>
      <c r="Q389" s="57" t="str">
        <f t="shared" si="33"/>
        <v/>
      </c>
      <c r="R389" s="57" t="str">
        <f t="shared" si="34"/>
        <v/>
      </c>
    </row>
    <row r="390" spans="4:18" x14ac:dyDescent="0.25">
      <c r="D390" s="43"/>
      <c r="E390" s="55" t="str">
        <f t="shared" si="30"/>
        <v/>
      </c>
      <c r="F390" s="55"/>
      <c r="G390" s="55"/>
      <c r="H390" s="55"/>
      <c r="I390" s="55"/>
      <c r="J390" s="55"/>
      <c r="K390" s="46" t="str">
        <f t="shared" ca="1" si="31"/>
        <v/>
      </c>
      <c r="L390" s="56" t="str">
        <f t="shared" ca="1" si="32"/>
        <v/>
      </c>
      <c r="Q390" s="57" t="str">
        <f t="shared" si="33"/>
        <v/>
      </c>
      <c r="R390" s="57" t="str">
        <f t="shared" si="34"/>
        <v/>
      </c>
    </row>
    <row r="391" spans="4:18" x14ac:dyDescent="0.25">
      <c r="D391" s="43"/>
      <c r="E391" s="55" t="str">
        <f t="shared" si="30"/>
        <v/>
      </c>
      <c r="F391" s="55"/>
      <c r="G391" s="55"/>
      <c r="H391" s="55"/>
      <c r="I391" s="55"/>
      <c r="J391" s="55"/>
      <c r="K391" s="46" t="str">
        <f t="shared" ca="1" si="31"/>
        <v/>
      </c>
      <c r="L391" s="56" t="str">
        <f t="shared" ca="1" si="32"/>
        <v/>
      </c>
      <c r="Q391" s="57" t="str">
        <f t="shared" si="33"/>
        <v/>
      </c>
      <c r="R391" s="57" t="str">
        <f t="shared" si="34"/>
        <v/>
      </c>
    </row>
    <row r="392" spans="4:18" x14ac:dyDescent="0.25">
      <c r="D392" s="43"/>
      <c r="E392" s="55" t="str">
        <f t="shared" si="30"/>
        <v/>
      </c>
      <c r="F392" s="55"/>
      <c r="G392" s="55"/>
      <c r="H392" s="55"/>
      <c r="I392" s="55"/>
      <c r="J392" s="55"/>
      <c r="K392" s="46" t="str">
        <f t="shared" ca="1" si="31"/>
        <v/>
      </c>
      <c r="L392" s="56" t="str">
        <f t="shared" ca="1" si="32"/>
        <v/>
      </c>
      <c r="Q392" s="57" t="str">
        <f t="shared" si="33"/>
        <v/>
      </c>
      <c r="R392" s="57" t="str">
        <f t="shared" si="34"/>
        <v/>
      </c>
    </row>
    <row r="393" spans="4:18" x14ac:dyDescent="0.25">
      <c r="D393" s="43"/>
      <c r="E393" s="55" t="str">
        <f t="shared" si="30"/>
        <v/>
      </c>
      <c r="F393" s="55"/>
      <c r="G393" s="55"/>
      <c r="H393" s="55"/>
      <c r="I393" s="55"/>
      <c r="J393" s="55"/>
      <c r="K393" s="46" t="str">
        <f t="shared" ca="1" si="31"/>
        <v/>
      </c>
      <c r="L393" s="56" t="str">
        <f t="shared" ca="1" si="32"/>
        <v/>
      </c>
      <c r="Q393" s="57" t="str">
        <f t="shared" si="33"/>
        <v/>
      </c>
      <c r="R393" s="57" t="str">
        <f t="shared" si="34"/>
        <v/>
      </c>
    </row>
    <row r="394" spans="4:18" x14ac:dyDescent="0.25">
      <c r="D394" s="43"/>
      <c r="E394" s="55" t="str">
        <f t="shared" si="30"/>
        <v/>
      </c>
      <c r="F394" s="55"/>
      <c r="G394" s="55"/>
      <c r="H394" s="55"/>
      <c r="I394" s="55"/>
      <c r="J394" s="55"/>
      <c r="K394" s="46" t="str">
        <f t="shared" ca="1" si="31"/>
        <v/>
      </c>
      <c r="L394" s="56" t="str">
        <f t="shared" ca="1" si="32"/>
        <v/>
      </c>
      <c r="Q394" s="57" t="str">
        <f t="shared" si="33"/>
        <v/>
      </c>
      <c r="R394" s="57" t="str">
        <f t="shared" si="34"/>
        <v/>
      </c>
    </row>
    <row r="395" spans="4:18" x14ac:dyDescent="0.25">
      <c r="D395" s="43"/>
      <c r="E395" s="55" t="str">
        <f t="shared" si="30"/>
        <v/>
      </c>
      <c r="F395" s="55"/>
      <c r="G395" s="55"/>
      <c r="H395" s="55"/>
      <c r="I395" s="55"/>
      <c r="J395" s="55"/>
      <c r="K395" s="46" t="str">
        <f t="shared" ca="1" si="31"/>
        <v/>
      </c>
      <c r="L395" s="56" t="str">
        <f t="shared" ca="1" si="32"/>
        <v/>
      </c>
      <c r="Q395" s="57" t="str">
        <f t="shared" si="33"/>
        <v/>
      </c>
      <c r="R395" s="57" t="str">
        <f t="shared" si="34"/>
        <v/>
      </c>
    </row>
    <row r="396" spans="4:18" x14ac:dyDescent="0.25">
      <c r="D396" s="43"/>
      <c r="E396" s="55" t="str">
        <f t="shared" si="30"/>
        <v/>
      </c>
      <c r="F396" s="55"/>
      <c r="G396" s="55"/>
      <c r="H396" s="55"/>
      <c r="I396" s="55"/>
      <c r="J396" s="55"/>
      <c r="K396" s="46" t="str">
        <f t="shared" ca="1" si="31"/>
        <v/>
      </c>
      <c r="L396" s="56" t="str">
        <f t="shared" ca="1" si="32"/>
        <v/>
      </c>
      <c r="Q396" s="57" t="str">
        <f t="shared" si="33"/>
        <v/>
      </c>
      <c r="R396" s="57" t="str">
        <f t="shared" si="34"/>
        <v/>
      </c>
    </row>
    <row r="397" spans="4:18" x14ac:dyDescent="0.25">
      <c r="D397" s="43"/>
      <c r="E397" s="55" t="str">
        <f t="shared" si="30"/>
        <v/>
      </c>
      <c r="F397" s="55"/>
      <c r="G397" s="55"/>
      <c r="H397" s="55"/>
      <c r="I397" s="55"/>
      <c r="J397" s="55"/>
      <c r="K397" s="46" t="str">
        <f t="shared" ca="1" si="31"/>
        <v/>
      </c>
      <c r="L397" s="56" t="str">
        <f t="shared" ca="1" si="32"/>
        <v/>
      </c>
      <c r="Q397" s="57" t="str">
        <f t="shared" si="33"/>
        <v/>
      </c>
      <c r="R397" s="57" t="str">
        <f t="shared" si="34"/>
        <v/>
      </c>
    </row>
    <row r="398" spans="4:18" x14ac:dyDescent="0.25">
      <c r="D398" s="43"/>
      <c r="E398" s="55" t="str">
        <f t="shared" si="30"/>
        <v/>
      </c>
      <c r="F398" s="55"/>
      <c r="G398" s="55"/>
      <c r="H398" s="55"/>
      <c r="I398" s="55"/>
      <c r="J398" s="55"/>
      <c r="K398" s="46" t="str">
        <f t="shared" ca="1" si="31"/>
        <v/>
      </c>
      <c r="L398" s="56" t="str">
        <f t="shared" ca="1" si="32"/>
        <v/>
      </c>
      <c r="Q398" s="57" t="str">
        <f t="shared" si="33"/>
        <v/>
      </c>
      <c r="R398" s="57" t="str">
        <f t="shared" si="34"/>
        <v/>
      </c>
    </row>
    <row r="399" spans="4:18" x14ac:dyDescent="0.25">
      <c r="D399" s="43"/>
      <c r="E399" s="55" t="str">
        <f t="shared" si="30"/>
        <v/>
      </c>
      <c r="F399" s="55"/>
      <c r="G399" s="55"/>
      <c r="H399" s="55"/>
      <c r="I399" s="55"/>
      <c r="J399" s="55"/>
      <c r="K399" s="46" t="str">
        <f t="shared" ca="1" si="31"/>
        <v/>
      </c>
      <c r="L399" s="56" t="str">
        <f t="shared" ca="1" si="32"/>
        <v/>
      </c>
      <c r="Q399" s="57" t="str">
        <f t="shared" si="33"/>
        <v/>
      </c>
      <c r="R399" s="57" t="str">
        <f t="shared" si="34"/>
        <v/>
      </c>
    </row>
    <row r="400" spans="4:18" x14ac:dyDescent="0.25">
      <c r="D400" s="43"/>
      <c r="E400" s="55" t="str">
        <f t="shared" si="30"/>
        <v/>
      </c>
      <c r="F400" s="55"/>
      <c r="G400" s="55"/>
      <c r="H400" s="55"/>
      <c r="I400" s="55"/>
      <c r="J400" s="55"/>
      <c r="K400" s="46" t="str">
        <f t="shared" ca="1" si="31"/>
        <v/>
      </c>
      <c r="L400" s="56" t="str">
        <f t="shared" ca="1" si="32"/>
        <v/>
      </c>
      <c r="Q400" s="57" t="str">
        <f t="shared" si="33"/>
        <v/>
      </c>
      <c r="R400" s="57" t="str">
        <f t="shared" si="34"/>
        <v/>
      </c>
    </row>
    <row r="401" spans="4:18" x14ac:dyDescent="0.25">
      <c r="D401" s="43"/>
      <c r="E401" s="55" t="str">
        <f t="shared" si="30"/>
        <v/>
      </c>
      <c r="F401" s="55"/>
      <c r="G401" s="55"/>
      <c r="H401" s="55"/>
      <c r="I401" s="55"/>
      <c r="J401" s="55"/>
      <c r="K401" s="46" t="str">
        <f t="shared" ca="1" si="31"/>
        <v/>
      </c>
      <c r="L401" s="56" t="str">
        <f t="shared" ca="1" si="32"/>
        <v/>
      </c>
      <c r="Q401" s="57" t="str">
        <f t="shared" si="33"/>
        <v/>
      </c>
      <c r="R401" s="57" t="str">
        <f t="shared" si="34"/>
        <v/>
      </c>
    </row>
    <row r="402" spans="4:18" x14ac:dyDescent="0.25">
      <c r="D402" s="43"/>
      <c r="E402" s="55" t="str">
        <f t="shared" si="30"/>
        <v/>
      </c>
      <c r="F402" s="55"/>
      <c r="G402" s="55"/>
      <c r="H402" s="55"/>
      <c r="I402" s="55"/>
      <c r="J402" s="55"/>
      <c r="K402" s="46" t="str">
        <f t="shared" ca="1" si="31"/>
        <v/>
      </c>
      <c r="L402" s="56" t="str">
        <f t="shared" ca="1" si="32"/>
        <v/>
      </c>
      <c r="Q402" s="57" t="str">
        <f t="shared" si="33"/>
        <v/>
      </c>
      <c r="R402" s="57" t="str">
        <f t="shared" si="34"/>
        <v/>
      </c>
    </row>
    <row r="403" spans="4:18" x14ac:dyDescent="0.25">
      <c r="D403" s="43"/>
      <c r="E403" s="55" t="str">
        <f t="shared" si="30"/>
        <v/>
      </c>
      <c r="F403" s="55"/>
      <c r="G403" s="55"/>
      <c r="H403" s="55"/>
      <c r="I403" s="55"/>
      <c r="J403" s="55"/>
      <c r="K403" s="46" t="str">
        <f t="shared" ca="1" si="31"/>
        <v/>
      </c>
      <c r="L403" s="56" t="str">
        <f t="shared" ca="1" si="32"/>
        <v/>
      </c>
      <c r="Q403" s="57" t="str">
        <f t="shared" si="33"/>
        <v/>
      </c>
      <c r="R403" s="57" t="str">
        <f t="shared" si="34"/>
        <v/>
      </c>
    </row>
    <row r="404" spans="4:18" x14ac:dyDescent="0.25">
      <c r="D404" s="43"/>
      <c r="E404" s="55" t="str">
        <f t="shared" ref="E404:E467" si="35">IF(ISNUMBER(SEARCH("v crs",D404))=TRUE,"VC",IF(ISNUMBER(SEARCH("crs",D404))=TRUE,"C",IF(ISNUMBER(SEARCH("med",D404))=TRUE,"M",IF(ISNUMBER(SEARCH("vf",D404))=TRUE,"VF",IF(ISNUMBER(SEARCH("f",D404))=TRUE,"F","")))))</f>
        <v/>
      </c>
      <c r="F404" s="55"/>
      <c r="G404" s="55"/>
      <c r="H404" s="55"/>
      <c r="I404" s="55"/>
      <c r="J404" s="55"/>
      <c r="K404" s="46" t="str">
        <f t="shared" ca="1" si="31"/>
        <v/>
      </c>
      <c r="L404" s="56" t="str">
        <f t="shared" ca="1" si="32"/>
        <v/>
      </c>
      <c r="Q404" s="57" t="str">
        <f t="shared" si="33"/>
        <v/>
      </c>
      <c r="R404" s="57" t="str">
        <f t="shared" si="34"/>
        <v/>
      </c>
    </row>
    <row r="405" spans="4:18" x14ac:dyDescent="0.25">
      <c r="D405" s="43"/>
      <c r="E405" s="55" t="str">
        <f t="shared" si="35"/>
        <v/>
      </c>
      <c r="F405" s="55"/>
      <c r="G405" s="55"/>
      <c r="H405" s="55"/>
      <c r="I405" s="55"/>
      <c r="J405" s="55"/>
      <c r="K405" s="46" t="str">
        <f t="shared" ref="K405:K468" ca="1" si="36">IF(AND(C405&lt;&gt;"",C405&lt;&gt;Q405),TODAY(),IF(C405="","",K405))</f>
        <v/>
      </c>
      <c r="L405" s="56" t="str">
        <f t="shared" ref="L405:L468" ca="1" si="37">IF(AND(C405&lt;&gt;"",C405&lt;&gt;R405),NOW(),IF(C405="","",L405))</f>
        <v/>
      </c>
      <c r="Q405" s="57" t="str">
        <f t="shared" ref="Q405:Q468" si="38">IF(C405="","",IF(OR(K405="",AND(ISNUMBER(Q405),C405=Q405)),Q405,C405))</f>
        <v/>
      </c>
      <c r="R405" s="57" t="str">
        <f t="shared" ref="R405:R468" si="39">IF(C405="","",IF(OR(L405="",AND(ISNUMBER(R405),C405=R405)),R405,C405))</f>
        <v/>
      </c>
    </row>
    <row r="406" spans="4:18" x14ac:dyDescent="0.25">
      <c r="D406" s="43"/>
      <c r="E406" s="55" t="str">
        <f t="shared" si="35"/>
        <v/>
      </c>
      <c r="F406" s="55"/>
      <c r="G406" s="55"/>
      <c r="H406" s="55"/>
      <c r="I406" s="55"/>
      <c r="J406" s="55"/>
      <c r="K406" s="46" t="str">
        <f t="shared" ca="1" si="36"/>
        <v/>
      </c>
      <c r="L406" s="56" t="str">
        <f t="shared" ca="1" si="37"/>
        <v/>
      </c>
      <c r="Q406" s="57" t="str">
        <f t="shared" si="38"/>
        <v/>
      </c>
      <c r="R406" s="57" t="str">
        <f t="shared" si="39"/>
        <v/>
      </c>
    </row>
    <row r="407" spans="4:18" x14ac:dyDescent="0.25">
      <c r="D407" s="43"/>
      <c r="E407" s="55" t="str">
        <f t="shared" si="35"/>
        <v/>
      </c>
      <c r="F407" s="55"/>
      <c r="G407" s="55"/>
      <c r="H407" s="55"/>
      <c r="I407" s="55"/>
      <c r="J407" s="55"/>
      <c r="K407" s="46" t="str">
        <f t="shared" ca="1" si="36"/>
        <v/>
      </c>
      <c r="L407" s="56" t="str">
        <f t="shared" ca="1" si="37"/>
        <v/>
      </c>
      <c r="Q407" s="57" t="str">
        <f t="shared" si="38"/>
        <v/>
      </c>
      <c r="R407" s="57" t="str">
        <f t="shared" si="39"/>
        <v/>
      </c>
    </row>
    <row r="408" spans="4:18" x14ac:dyDescent="0.25">
      <c r="D408" s="43"/>
      <c r="E408" s="55" t="str">
        <f t="shared" si="35"/>
        <v/>
      </c>
      <c r="F408" s="55"/>
      <c r="G408" s="55"/>
      <c r="H408" s="55"/>
      <c r="I408" s="55"/>
      <c r="J408" s="55"/>
      <c r="K408" s="46" t="str">
        <f t="shared" ca="1" si="36"/>
        <v/>
      </c>
      <c r="L408" s="56" t="str">
        <f t="shared" ca="1" si="37"/>
        <v/>
      </c>
      <c r="Q408" s="57" t="str">
        <f t="shared" si="38"/>
        <v/>
      </c>
      <c r="R408" s="57" t="str">
        <f t="shared" si="39"/>
        <v/>
      </c>
    </row>
    <row r="409" spans="4:18" x14ac:dyDescent="0.25">
      <c r="D409" s="43"/>
      <c r="E409" s="55" t="str">
        <f t="shared" si="35"/>
        <v/>
      </c>
      <c r="F409" s="55"/>
      <c r="G409" s="55"/>
      <c r="H409" s="55"/>
      <c r="I409" s="55"/>
      <c r="J409" s="55"/>
      <c r="K409" s="46" t="str">
        <f t="shared" ca="1" si="36"/>
        <v/>
      </c>
      <c r="L409" s="56" t="str">
        <f t="shared" ca="1" si="37"/>
        <v/>
      </c>
      <c r="Q409" s="57" t="str">
        <f t="shared" si="38"/>
        <v/>
      </c>
      <c r="R409" s="57" t="str">
        <f t="shared" si="39"/>
        <v/>
      </c>
    </row>
    <row r="410" spans="4:18" x14ac:dyDescent="0.25">
      <c r="D410" s="43"/>
      <c r="E410" s="55" t="str">
        <f t="shared" si="35"/>
        <v/>
      </c>
      <c r="F410" s="55"/>
      <c r="G410" s="55"/>
      <c r="H410" s="55"/>
      <c r="I410" s="55"/>
      <c r="J410" s="55"/>
      <c r="K410" s="46" t="str">
        <f t="shared" ca="1" si="36"/>
        <v/>
      </c>
      <c r="L410" s="56" t="str">
        <f t="shared" ca="1" si="37"/>
        <v/>
      </c>
      <c r="Q410" s="57" t="str">
        <f t="shared" si="38"/>
        <v/>
      </c>
      <c r="R410" s="57" t="str">
        <f t="shared" si="39"/>
        <v/>
      </c>
    </row>
    <row r="411" spans="4:18" x14ac:dyDescent="0.25">
      <c r="D411" s="43"/>
      <c r="E411" s="55" t="str">
        <f t="shared" si="35"/>
        <v/>
      </c>
      <c r="F411" s="55"/>
      <c r="G411" s="55"/>
      <c r="H411" s="55"/>
      <c r="I411" s="55"/>
      <c r="J411" s="55"/>
      <c r="K411" s="46" t="str">
        <f t="shared" ca="1" si="36"/>
        <v/>
      </c>
      <c r="L411" s="56" t="str">
        <f t="shared" ca="1" si="37"/>
        <v/>
      </c>
      <c r="Q411" s="57" t="str">
        <f t="shared" si="38"/>
        <v/>
      </c>
      <c r="R411" s="57" t="str">
        <f t="shared" si="39"/>
        <v/>
      </c>
    </row>
    <row r="412" spans="4:18" x14ac:dyDescent="0.25">
      <c r="D412" s="43"/>
      <c r="E412" s="55" t="str">
        <f t="shared" si="35"/>
        <v/>
      </c>
      <c r="F412" s="55"/>
      <c r="G412" s="55"/>
      <c r="H412" s="55"/>
      <c r="I412" s="55"/>
      <c r="J412" s="55"/>
      <c r="K412" s="46" t="str">
        <f t="shared" ca="1" si="36"/>
        <v/>
      </c>
      <c r="L412" s="56" t="str">
        <f t="shared" ca="1" si="37"/>
        <v/>
      </c>
      <c r="Q412" s="57" t="str">
        <f t="shared" si="38"/>
        <v/>
      </c>
      <c r="R412" s="57" t="str">
        <f t="shared" si="39"/>
        <v/>
      </c>
    </row>
    <row r="413" spans="4:18" x14ac:dyDescent="0.25">
      <c r="D413" s="43"/>
      <c r="E413" s="55" t="str">
        <f t="shared" si="35"/>
        <v/>
      </c>
      <c r="F413" s="55"/>
      <c r="G413" s="55"/>
      <c r="H413" s="55"/>
      <c r="I413" s="55"/>
      <c r="J413" s="55"/>
      <c r="K413" s="46" t="str">
        <f t="shared" ca="1" si="36"/>
        <v/>
      </c>
      <c r="L413" s="56" t="str">
        <f t="shared" ca="1" si="37"/>
        <v/>
      </c>
      <c r="Q413" s="57" t="str">
        <f t="shared" si="38"/>
        <v/>
      </c>
      <c r="R413" s="57" t="str">
        <f t="shared" si="39"/>
        <v/>
      </c>
    </row>
    <row r="414" spans="4:18" x14ac:dyDescent="0.25">
      <c r="D414" s="43"/>
      <c r="E414" s="55" t="str">
        <f t="shared" si="35"/>
        <v/>
      </c>
      <c r="F414" s="55"/>
      <c r="G414" s="55"/>
      <c r="H414" s="55"/>
      <c r="I414" s="55"/>
      <c r="J414" s="55"/>
      <c r="K414" s="46" t="str">
        <f t="shared" ca="1" si="36"/>
        <v/>
      </c>
      <c r="L414" s="56" t="str">
        <f t="shared" ca="1" si="37"/>
        <v/>
      </c>
      <c r="Q414" s="57" t="str">
        <f t="shared" si="38"/>
        <v/>
      </c>
      <c r="R414" s="57" t="str">
        <f t="shared" si="39"/>
        <v/>
      </c>
    </row>
    <row r="415" spans="4:18" x14ac:dyDescent="0.25">
      <c r="D415" s="43"/>
      <c r="E415" s="55" t="str">
        <f t="shared" si="35"/>
        <v/>
      </c>
      <c r="F415" s="55"/>
      <c r="G415" s="55"/>
      <c r="H415" s="55"/>
      <c r="I415" s="55"/>
      <c r="J415" s="55"/>
      <c r="K415" s="46" t="str">
        <f t="shared" ca="1" si="36"/>
        <v/>
      </c>
      <c r="L415" s="56" t="str">
        <f t="shared" ca="1" si="37"/>
        <v/>
      </c>
      <c r="Q415" s="57" t="str">
        <f t="shared" si="38"/>
        <v/>
      </c>
      <c r="R415" s="57" t="str">
        <f t="shared" si="39"/>
        <v/>
      </c>
    </row>
    <row r="416" spans="4:18" x14ac:dyDescent="0.25">
      <c r="D416" s="43"/>
      <c r="E416" s="55" t="str">
        <f t="shared" si="35"/>
        <v/>
      </c>
      <c r="F416" s="55"/>
      <c r="G416" s="55"/>
      <c r="H416" s="55"/>
      <c r="I416" s="55"/>
      <c r="J416" s="55"/>
      <c r="K416" s="46" t="str">
        <f t="shared" ca="1" si="36"/>
        <v/>
      </c>
      <c r="L416" s="56" t="str">
        <f t="shared" ca="1" si="37"/>
        <v/>
      </c>
      <c r="Q416" s="57" t="str">
        <f t="shared" si="38"/>
        <v/>
      </c>
      <c r="R416" s="57" t="str">
        <f t="shared" si="39"/>
        <v/>
      </c>
    </row>
    <row r="417" spans="4:18" x14ac:dyDescent="0.25">
      <c r="D417" s="43"/>
      <c r="E417" s="55" t="str">
        <f t="shared" si="35"/>
        <v/>
      </c>
      <c r="F417" s="55"/>
      <c r="G417" s="55"/>
      <c r="H417" s="55"/>
      <c r="I417" s="55"/>
      <c r="J417" s="55"/>
      <c r="K417" s="46" t="str">
        <f t="shared" ca="1" si="36"/>
        <v/>
      </c>
      <c r="L417" s="56" t="str">
        <f t="shared" ca="1" si="37"/>
        <v/>
      </c>
      <c r="Q417" s="57" t="str">
        <f t="shared" si="38"/>
        <v/>
      </c>
      <c r="R417" s="57" t="str">
        <f t="shared" si="39"/>
        <v/>
      </c>
    </row>
    <row r="418" spans="4:18" x14ac:dyDescent="0.25">
      <c r="D418" s="43"/>
      <c r="E418" s="55" t="str">
        <f t="shared" si="35"/>
        <v/>
      </c>
      <c r="F418" s="55"/>
      <c r="G418" s="55"/>
      <c r="H418" s="55"/>
      <c r="I418" s="55"/>
      <c r="J418" s="55"/>
      <c r="K418" s="46" t="str">
        <f t="shared" ca="1" si="36"/>
        <v/>
      </c>
      <c r="L418" s="56" t="str">
        <f t="shared" ca="1" si="37"/>
        <v/>
      </c>
      <c r="Q418" s="57" t="str">
        <f t="shared" si="38"/>
        <v/>
      </c>
      <c r="R418" s="57" t="str">
        <f t="shared" si="39"/>
        <v/>
      </c>
    </row>
    <row r="419" spans="4:18" x14ac:dyDescent="0.25">
      <c r="D419" s="43"/>
      <c r="E419" s="55" t="str">
        <f t="shared" si="35"/>
        <v/>
      </c>
      <c r="F419" s="55"/>
      <c r="G419" s="55"/>
      <c r="H419" s="55"/>
      <c r="I419" s="55"/>
      <c r="J419" s="55"/>
      <c r="K419" s="46" t="str">
        <f t="shared" ca="1" si="36"/>
        <v/>
      </c>
      <c r="L419" s="56" t="str">
        <f t="shared" ca="1" si="37"/>
        <v/>
      </c>
      <c r="Q419" s="57" t="str">
        <f t="shared" si="38"/>
        <v/>
      </c>
      <c r="R419" s="57" t="str">
        <f t="shared" si="39"/>
        <v/>
      </c>
    </row>
    <row r="420" spans="4:18" x14ac:dyDescent="0.25">
      <c r="D420" s="43"/>
      <c r="E420" s="55" t="str">
        <f t="shared" si="35"/>
        <v/>
      </c>
      <c r="F420" s="55"/>
      <c r="G420" s="55"/>
      <c r="H420" s="55"/>
      <c r="I420" s="55"/>
      <c r="J420" s="55"/>
      <c r="K420" s="46" t="str">
        <f t="shared" ca="1" si="36"/>
        <v/>
      </c>
      <c r="L420" s="56" t="str">
        <f t="shared" ca="1" si="37"/>
        <v/>
      </c>
      <c r="Q420" s="57" t="str">
        <f t="shared" si="38"/>
        <v/>
      </c>
      <c r="R420" s="57" t="str">
        <f t="shared" si="39"/>
        <v/>
      </c>
    </row>
    <row r="421" spans="4:18" x14ac:dyDescent="0.25">
      <c r="D421" s="43"/>
      <c r="E421" s="55" t="str">
        <f t="shared" si="35"/>
        <v/>
      </c>
      <c r="F421" s="55"/>
      <c r="G421" s="55"/>
      <c r="H421" s="55"/>
      <c r="I421" s="55"/>
      <c r="J421" s="55"/>
      <c r="K421" s="46" t="str">
        <f t="shared" ca="1" si="36"/>
        <v/>
      </c>
      <c r="L421" s="56" t="str">
        <f t="shared" ca="1" si="37"/>
        <v/>
      </c>
      <c r="Q421" s="57" t="str">
        <f t="shared" si="38"/>
        <v/>
      </c>
      <c r="R421" s="57" t="str">
        <f t="shared" si="39"/>
        <v/>
      </c>
    </row>
    <row r="422" spans="4:18" x14ac:dyDescent="0.25">
      <c r="D422" s="43"/>
      <c r="E422" s="55" t="str">
        <f t="shared" si="35"/>
        <v/>
      </c>
      <c r="F422" s="55"/>
      <c r="G422" s="55"/>
      <c r="H422" s="55"/>
      <c r="I422" s="55"/>
      <c r="J422" s="55"/>
      <c r="K422" s="46" t="str">
        <f t="shared" ca="1" si="36"/>
        <v/>
      </c>
      <c r="L422" s="56" t="str">
        <f t="shared" ca="1" si="37"/>
        <v/>
      </c>
      <c r="Q422" s="57" t="str">
        <f t="shared" si="38"/>
        <v/>
      </c>
      <c r="R422" s="57" t="str">
        <f t="shared" si="39"/>
        <v/>
      </c>
    </row>
    <row r="423" spans="4:18" x14ac:dyDescent="0.25">
      <c r="D423" s="43"/>
      <c r="E423" s="55" t="str">
        <f t="shared" si="35"/>
        <v/>
      </c>
      <c r="F423" s="55"/>
      <c r="G423" s="55"/>
      <c r="H423" s="55"/>
      <c r="I423" s="55"/>
      <c r="J423" s="55"/>
      <c r="K423" s="46" t="str">
        <f t="shared" ca="1" si="36"/>
        <v/>
      </c>
      <c r="L423" s="56" t="str">
        <f t="shared" ca="1" si="37"/>
        <v/>
      </c>
      <c r="Q423" s="57" t="str">
        <f t="shared" si="38"/>
        <v/>
      </c>
      <c r="R423" s="57" t="str">
        <f t="shared" si="39"/>
        <v/>
      </c>
    </row>
    <row r="424" spans="4:18" x14ac:dyDescent="0.25">
      <c r="D424" s="43"/>
      <c r="E424" s="55" t="str">
        <f t="shared" si="35"/>
        <v/>
      </c>
      <c r="F424" s="55"/>
      <c r="G424" s="55"/>
      <c r="H424" s="55"/>
      <c r="I424" s="55"/>
      <c r="J424" s="55"/>
      <c r="K424" s="46" t="str">
        <f t="shared" ca="1" si="36"/>
        <v/>
      </c>
      <c r="L424" s="56" t="str">
        <f t="shared" ca="1" si="37"/>
        <v/>
      </c>
      <c r="Q424" s="57" t="str">
        <f t="shared" si="38"/>
        <v/>
      </c>
      <c r="R424" s="57" t="str">
        <f t="shared" si="39"/>
        <v/>
      </c>
    </row>
    <row r="425" spans="4:18" x14ac:dyDescent="0.25">
      <c r="D425" s="43"/>
      <c r="E425" s="55" t="str">
        <f t="shared" si="35"/>
        <v/>
      </c>
      <c r="F425" s="55"/>
      <c r="G425" s="55"/>
      <c r="H425" s="55"/>
      <c r="I425" s="55"/>
      <c r="J425" s="55"/>
      <c r="K425" s="46" t="str">
        <f t="shared" ca="1" si="36"/>
        <v/>
      </c>
      <c r="L425" s="56" t="str">
        <f t="shared" ca="1" si="37"/>
        <v/>
      </c>
      <c r="Q425" s="57" t="str">
        <f t="shared" si="38"/>
        <v/>
      </c>
      <c r="R425" s="57" t="str">
        <f t="shared" si="39"/>
        <v/>
      </c>
    </row>
    <row r="426" spans="4:18" x14ac:dyDescent="0.25">
      <c r="D426" s="43"/>
      <c r="E426" s="55" t="str">
        <f t="shared" si="35"/>
        <v/>
      </c>
      <c r="F426" s="55"/>
      <c r="G426" s="55"/>
      <c r="H426" s="55"/>
      <c r="I426" s="55"/>
      <c r="J426" s="55"/>
      <c r="K426" s="46" t="str">
        <f t="shared" ca="1" si="36"/>
        <v/>
      </c>
      <c r="L426" s="56" t="str">
        <f t="shared" ca="1" si="37"/>
        <v/>
      </c>
      <c r="Q426" s="57" t="str">
        <f t="shared" si="38"/>
        <v/>
      </c>
      <c r="R426" s="57" t="str">
        <f t="shared" si="39"/>
        <v/>
      </c>
    </row>
    <row r="427" spans="4:18" x14ac:dyDescent="0.25">
      <c r="D427" s="43"/>
      <c r="E427" s="55" t="str">
        <f t="shared" si="35"/>
        <v/>
      </c>
      <c r="F427" s="55"/>
      <c r="G427" s="55"/>
      <c r="H427" s="55"/>
      <c r="I427" s="55"/>
      <c r="J427" s="55"/>
      <c r="K427" s="46" t="str">
        <f t="shared" ca="1" si="36"/>
        <v/>
      </c>
      <c r="L427" s="56" t="str">
        <f t="shared" ca="1" si="37"/>
        <v/>
      </c>
      <c r="Q427" s="57" t="str">
        <f t="shared" si="38"/>
        <v/>
      </c>
      <c r="R427" s="57" t="str">
        <f t="shared" si="39"/>
        <v/>
      </c>
    </row>
    <row r="428" spans="4:18" x14ac:dyDescent="0.25">
      <c r="D428" s="43"/>
      <c r="E428" s="55" t="str">
        <f t="shared" si="35"/>
        <v/>
      </c>
      <c r="F428" s="55"/>
      <c r="G428" s="55"/>
      <c r="H428" s="55"/>
      <c r="I428" s="55"/>
      <c r="J428" s="55"/>
      <c r="K428" s="46" t="str">
        <f t="shared" ca="1" si="36"/>
        <v/>
      </c>
      <c r="L428" s="56" t="str">
        <f t="shared" ca="1" si="37"/>
        <v/>
      </c>
      <c r="Q428" s="57" t="str">
        <f t="shared" si="38"/>
        <v/>
      </c>
      <c r="R428" s="57" t="str">
        <f t="shared" si="39"/>
        <v/>
      </c>
    </row>
    <row r="429" spans="4:18" x14ac:dyDescent="0.25">
      <c r="D429" s="43"/>
      <c r="E429" s="55" t="str">
        <f t="shared" si="35"/>
        <v/>
      </c>
      <c r="F429" s="55"/>
      <c r="G429" s="55"/>
      <c r="H429" s="55"/>
      <c r="I429" s="55"/>
      <c r="J429" s="55"/>
      <c r="K429" s="46" t="str">
        <f t="shared" ca="1" si="36"/>
        <v/>
      </c>
      <c r="L429" s="56" t="str">
        <f t="shared" ca="1" si="37"/>
        <v/>
      </c>
      <c r="Q429" s="57" t="str">
        <f t="shared" si="38"/>
        <v/>
      </c>
      <c r="R429" s="57" t="str">
        <f t="shared" si="39"/>
        <v/>
      </c>
    </row>
    <row r="430" spans="4:18" x14ac:dyDescent="0.25">
      <c r="D430" s="43"/>
      <c r="E430" s="55" t="str">
        <f t="shared" si="35"/>
        <v/>
      </c>
      <c r="F430" s="55"/>
      <c r="G430" s="55"/>
      <c r="H430" s="55"/>
      <c r="I430" s="55"/>
      <c r="J430" s="55"/>
      <c r="K430" s="46" t="str">
        <f t="shared" ca="1" si="36"/>
        <v/>
      </c>
      <c r="L430" s="56" t="str">
        <f t="shared" ca="1" si="37"/>
        <v/>
      </c>
      <c r="Q430" s="57" t="str">
        <f t="shared" si="38"/>
        <v/>
      </c>
      <c r="R430" s="57" t="str">
        <f t="shared" si="39"/>
        <v/>
      </c>
    </row>
    <row r="431" spans="4:18" x14ac:dyDescent="0.25">
      <c r="D431" s="43"/>
      <c r="E431" s="55" t="str">
        <f t="shared" si="35"/>
        <v/>
      </c>
      <c r="F431" s="55"/>
      <c r="G431" s="55"/>
      <c r="H431" s="55"/>
      <c r="I431" s="55"/>
      <c r="J431" s="55"/>
      <c r="K431" s="46" t="str">
        <f t="shared" ca="1" si="36"/>
        <v/>
      </c>
      <c r="L431" s="56" t="str">
        <f t="shared" ca="1" si="37"/>
        <v/>
      </c>
      <c r="Q431" s="57" t="str">
        <f t="shared" si="38"/>
        <v/>
      </c>
      <c r="R431" s="57" t="str">
        <f t="shared" si="39"/>
        <v/>
      </c>
    </row>
    <row r="432" spans="4:18" x14ac:dyDescent="0.25">
      <c r="D432" s="43"/>
      <c r="E432" s="55" t="str">
        <f t="shared" si="35"/>
        <v/>
      </c>
      <c r="F432" s="55"/>
      <c r="G432" s="55"/>
      <c r="H432" s="55"/>
      <c r="I432" s="55"/>
      <c r="J432" s="55"/>
      <c r="K432" s="46" t="str">
        <f t="shared" ca="1" si="36"/>
        <v/>
      </c>
      <c r="L432" s="56" t="str">
        <f t="shared" ca="1" si="37"/>
        <v/>
      </c>
      <c r="Q432" s="57" t="str">
        <f t="shared" si="38"/>
        <v/>
      </c>
      <c r="R432" s="57" t="str">
        <f t="shared" si="39"/>
        <v/>
      </c>
    </row>
    <row r="433" spans="4:18" x14ac:dyDescent="0.25">
      <c r="D433" s="43"/>
      <c r="E433" s="55" t="str">
        <f t="shared" si="35"/>
        <v/>
      </c>
      <c r="F433" s="55"/>
      <c r="G433" s="55"/>
      <c r="H433" s="55"/>
      <c r="I433" s="55"/>
      <c r="J433" s="55"/>
      <c r="K433" s="46" t="str">
        <f t="shared" ca="1" si="36"/>
        <v/>
      </c>
      <c r="L433" s="56" t="str">
        <f t="shared" ca="1" si="37"/>
        <v/>
      </c>
      <c r="Q433" s="57" t="str">
        <f t="shared" si="38"/>
        <v/>
      </c>
      <c r="R433" s="57" t="str">
        <f t="shared" si="39"/>
        <v/>
      </c>
    </row>
    <row r="434" spans="4:18" x14ac:dyDescent="0.25">
      <c r="D434" s="43"/>
      <c r="E434" s="55" t="str">
        <f t="shared" si="35"/>
        <v/>
      </c>
      <c r="F434" s="55"/>
      <c r="G434" s="55"/>
      <c r="H434" s="55"/>
      <c r="I434" s="55"/>
      <c r="J434" s="55"/>
      <c r="K434" s="46" t="str">
        <f t="shared" ca="1" si="36"/>
        <v/>
      </c>
      <c r="L434" s="56" t="str">
        <f t="shared" ca="1" si="37"/>
        <v/>
      </c>
      <c r="Q434" s="57" t="str">
        <f t="shared" si="38"/>
        <v/>
      </c>
      <c r="R434" s="57" t="str">
        <f t="shared" si="39"/>
        <v/>
      </c>
    </row>
    <row r="435" spans="4:18" x14ac:dyDescent="0.25">
      <c r="D435" s="43"/>
      <c r="E435" s="55" t="str">
        <f t="shared" si="35"/>
        <v/>
      </c>
      <c r="F435" s="55"/>
      <c r="G435" s="55"/>
      <c r="H435" s="55"/>
      <c r="I435" s="55"/>
      <c r="J435" s="55"/>
      <c r="K435" s="46" t="str">
        <f t="shared" ca="1" si="36"/>
        <v/>
      </c>
      <c r="L435" s="56" t="str">
        <f t="shared" ca="1" si="37"/>
        <v/>
      </c>
      <c r="Q435" s="57" t="str">
        <f t="shared" si="38"/>
        <v/>
      </c>
      <c r="R435" s="57" t="str">
        <f t="shared" si="39"/>
        <v/>
      </c>
    </row>
    <row r="436" spans="4:18" x14ac:dyDescent="0.25">
      <c r="D436" s="43"/>
      <c r="E436" s="55" t="str">
        <f t="shared" si="35"/>
        <v/>
      </c>
      <c r="F436" s="55"/>
      <c r="G436" s="55"/>
      <c r="H436" s="55"/>
      <c r="I436" s="55"/>
      <c r="J436" s="55"/>
      <c r="K436" s="46" t="str">
        <f t="shared" ca="1" si="36"/>
        <v/>
      </c>
      <c r="L436" s="56" t="str">
        <f t="shared" ca="1" si="37"/>
        <v/>
      </c>
      <c r="Q436" s="57" t="str">
        <f t="shared" si="38"/>
        <v/>
      </c>
      <c r="R436" s="57" t="str">
        <f t="shared" si="39"/>
        <v/>
      </c>
    </row>
    <row r="437" spans="4:18" x14ac:dyDescent="0.25">
      <c r="D437" s="43"/>
      <c r="E437" s="55" t="str">
        <f t="shared" si="35"/>
        <v/>
      </c>
      <c r="F437" s="55"/>
      <c r="G437" s="55"/>
      <c r="H437" s="55"/>
      <c r="I437" s="55"/>
      <c r="J437" s="55"/>
      <c r="K437" s="46" t="str">
        <f t="shared" ca="1" si="36"/>
        <v/>
      </c>
      <c r="L437" s="56" t="str">
        <f t="shared" ca="1" si="37"/>
        <v/>
      </c>
      <c r="Q437" s="57" t="str">
        <f t="shared" si="38"/>
        <v/>
      </c>
      <c r="R437" s="57" t="str">
        <f t="shared" si="39"/>
        <v/>
      </c>
    </row>
    <row r="438" spans="4:18" x14ac:dyDescent="0.25">
      <c r="D438" s="43"/>
      <c r="E438" s="55" t="str">
        <f t="shared" si="35"/>
        <v/>
      </c>
      <c r="F438" s="55"/>
      <c r="G438" s="55"/>
      <c r="H438" s="55"/>
      <c r="I438" s="55"/>
      <c r="J438" s="55"/>
      <c r="K438" s="46" t="str">
        <f t="shared" ca="1" si="36"/>
        <v/>
      </c>
      <c r="L438" s="56" t="str">
        <f t="shared" ca="1" si="37"/>
        <v/>
      </c>
      <c r="Q438" s="57" t="str">
        <f t="shared" si="38"/>
        <v/>
      </c>
      <c r="R438" s="57" t="str">
        <f t="shared" si="39"/>
        <v/>
      </c>
    </row>
    <row r="439" spans="4:18" x14ac:dyDescent="0.25">
      <c r="D439" s="43"/>
      <c r="E439" s="55" t="str">
        <f t="shared" si="35"/>
        <v/>
      </c>
      <c r="F439" s="55"/>
      <c r="G439" s="55"/>
      <c r="H439" s="55"/>
      <c r="I439" s="55"/>
      <c r="J439" s="55"/>
      <c r="K439" s="46" t="str">
        <f t="shared" ca="1" si="36"/>
        <v/>
      </c>
      <c r="L439" s="56" t="str">
        <f t="shared" ca="1" si="37"/>
        <v/>
      </c>
      <c r="Q439" s="57" t="str">
        <f t="shared" si="38"/>
        <v/>
      </c>
      <c r="R439" s="57" t="str">
        <f t="shared" si="39"/>
        <v/>
      </c>
    </row>
    <row r="440" spans="4:18" x14ac:dyDescent="0.25">
      <c r="D440" s="43"/>
      <c r="E440" s="55" t="str">
        <f t="shared" si="35"/>
        <v/>
      </c>
      <c r="F440" s="55"/>
      <c r="G440" s="55"/>
      <c r="H440" s="55"/>
      <c r="I440" s="55"/>
      <c r="J440" s="55"/>
      <c r="K440" s="46" t="str">
        <f t="shared" ca="1" si="36"/>
        <v/>
      </c>
      <c r="L440" s="56" t="str">
        <f t="shared" ca="1" si="37"/>
        <v/>
      </c>
      <c r="Q440" s="57" t="str">
        <f t="shared" si="38"/>
        <v/>
      </c>
      <c r="R440" s="57" t="str">
        <f t="shared" si="39"/>
        <v/>
      </c>
    </row>
    <row r="441" spans="4:18" x14ac:dyDescent="0.25">
      <c r="D441" s="43"/>
      <c r="E441" s="55" t="str">
        <f t="shared" si="35"/>
        <v/>
      </c>
      <c r="F441" s="55"/>
      <c r="G441" s="55"/>
      <c r="H441" s="55"/>
      <c r="I441" s="55"/>
      <c r="J441" s="55"/>
      <c r="K441" s="46" t="str">
        <f t="shared" ca="1" si="36"/>
        <v/>
      </c>
      <c r="L441" s="56" t="str">
        <f t="shared" ca="1" si="37"/>
        <v/>
      </c>
      <c r="Q441" s="57" t="str">
        <f t="shared" si="38"/>
        <v/>
      </c>
      <c r="R441" s="57" t="str">
        <f t="shared" si="39"/>
        <v/>
      </c>
    </row>
    <row r="442" spans="4:18" x14ac:dyDescent="0.25">
      <c r="D442" s="43"/>
      <c r="E442" s="55" t="str">
        <f t="shared" si="35"/>
        <v/>
      </c>
      <c r="F442" s="55"/>
      <c r="G442" s="55"/>
      <c r="H442" s="55"/>
      <c r="I442" s="55"/>
      <c r="J442" s="55"/>
      <c r="K442" s="46" t="str">
        <f t="shared" ca="1" si="36"/>
        <v/>
      </c>
      <c r="L442" s="56" t="str">
        <f t="shared" ca="1" si="37"/>
        <v/>
      </c>
      <c r="Q442" s="57" t="str">
        <f t="shared" si="38"/>
        <v/>
      </c>
      <c r="R442" s="57" t="str">
        <f t="shared" si="39"/>
        <v/>
      </c>
    </row>
    <row r="443" spans="4:18" x14ac:dyDescent="0.25">
      <c r="D443" s="43"/>
      <c r="E443" s="55" t="str">
        <f t="shared" si="35"/>
        <v/>
      </c>
      <c r="F443" s="55"/>
      <c r="G443" s="55"/>
      <c r="H443" s="55"/>
      <c r="I443" s="55"/>
      <c r="J443" s="55"/>
      <c r="K443" s="46" t="str">
        <f t="shared" ca="1" si="36"/>
        <v/>
      </c>
      <c r="L443" s="56" t="str">
        <f t="shared" ca="1" si="37"/>
        <v/>
      </c>
      <c r="Q443" s="57" t="str">
        <f t="shared" si="38"/>
        <v/>
      </c>
      <c r="R443" s="57" t="str">
        <f t="shared" si="39"/>
        <v/>
      </c>
    </row>
    <row r="444" spans="4:18" x14ac:dyDescent="0.25">
      <c r="D444" s="43"/>
      <c r="E444" s="55" t="str">
        <f t="shared" si="35"/>
        <v/>
      </c>
      <c r="F444" s="55"/>
      <c r="G444" s="55"/>
      <c r="H444" s="55"/>
      <c r="I444" s="55"/>
      <c r="J444" s="55"/>
      <c r="K444" s="46" t="str">
        <f t="shared" ca="1" si="36"/>
        <v/>
      </c>
      <c r="L444" s="56" t="str">
        <f t="shared" ca="1" si="37"/>
        <v/>
      </c>
      <c r="Q444" s="57" t="str">
        <f t="shared" si="38"/>
        <v/>
      </c>
      <c r="R444" s="57" t="str">
        <f t="shared" si="39"/>
        <v/>
      </c>
    </row>
    <row r="445" spans="4:18" x14ac:dyDescent="0.25">
      <c r="D445" s="43"/>
      <c r="E445" s="55" t="str">
        <f t="shared" si="35"/>
        <v/>
      </c>
      <c r="F445" s="55"/>
      <c r="G445" s="55"/>
      <c r="H445" s="55"/>
      <c r="I445" s="55"/>
      <c r="J445" s="55"/>
      <c r="K445" s="46" t="str">
        <f t="shared" ca="1" si="36"/>
        <v/>
      </c>
      <c r="L445" s="56" t="str">
        <f t="shared" ca="1" si="37"/>
        <v/>
      </c>
      <c r="Q445" s="57" t="str">
        <f t="shared" si="38"/>
        <v/>
      </c>
      <c r="R445" s="57" t="str">
        <f t="shared" si="39"/>
        <v/>
      </c>
    </row>
    <row r="446" spans="4:18" x14ac:dyDescent="0.25">
      <c r="D446" s="43"/>
      <c r="E446" s="55" t="str">
        <f t="shared" si="35"/>
        <v/>
      </c>
      <c r="F446" s="55"/>
      <c r="G446" s="55"/>
      <c r="H446" s="55"/>
      <c r="I446" s="55"/>
      <c r="J446" s="55"/>
      <c r="K446" s="46" t="str">
        <f t="shared" ca="1" si="36"/>
        <v/>
      </c>
      <c r="L446" s="56" t="str">
        <f t="shared" ca="1" si="37"/>
        <v/>
      </c>
      <c r="Q446" s="57" t="str">
        <f t="shared" si="38"/>
        <v/>
      </c>
      <c r="R446" s="57" t="str">
        <f t="shared" si="39"/>
        <v/>
      </c>
    </row>
    <row r="447" spans="4:18" x14ac:dyDescent="0.25">
      <c r="D447" s="43"/>
      <c r="E447" s="55" t="str">
        <f t="shared" si="35"/>
        <v/>
      </c>
      <c r="F447" s="55"/>
      <c r="G447" s="55"/>
      <c r="H447" s="55"/>
      <c r="I447" s="55"/>
      <c r="J447" s="55"/>
      <c r="K447" s="46" t="str">
        <f t="shared" ca="1" si="36"/>
        <v/>
      </c>
      <c r="L447" s="56" t="str">
        <f t="shared" ca="1" si="37"/>
        <v/>
      </c>
      <c r="Q447" s="57" t="str">
        <f t="shared" si="38"/>
        <v/>
      </c>
      <c r="R447" s="57" t="str">
        <f t="shared" si="39"/>
        <v/>
      </c>
    </row>
    <row r="448" spans="4:18" x14ac:dyDescent="0.25">
      <c r="D448" s="43"/>
      <c r="E448" s="55" t="str">
        <f t="shared" si="35"/>
        <v/>
      </c>
      <c r="F448" s="55"/>
      <c r="G448" s="55"/>
      <c r="H448" s="55"/>
      <c r="I448" s="55"/>
      <c r="J448" s="55"/>
      <c r="K448" s="46" t="str">
        <f t="shared" ca="1" si="36"/>
        <v/>
      </c>
      <c r="L448" s="56" t="str">
        <f t="shared" ca="1" si="37"/>
        <v/>
      </c>
      <c r="Q448" s="57" t="str">
        <f t="shared" si="38"/>
        <v/>
      </c>
      <c r="R448" s="57" t="str">
        <f t="shared" si="39"/>
        <v/>
      </c>
    </row>
    <row r="449" spans="4:18" x14ac:dyDescent="0.25">
      <c r="D449" s="43"/>
      <c r="E449" s="55" t="str">
        <f t="shared" si="35"/>
        <v/>
      </c>
      <c r="F449" s="55"/>
      <c r="G449" s="55"/>
      <c r="H449" s="55"/>
      <c r="I449" s="55"/>
      <c r="J449" s="55"/>
      <c r="K449" s="46" t="str">
        <f t="shared" ca="1" si="36"/>
        <v/>
      </c>
      <c r="L449" s="56" t="str">
        <f t="shared" ca="1" si="37"/>
        <v/>
      </c>
      <c r="Q449" s="57" t="str">
        <f t="shared" si="38"/>
        <v/>
      </c>
      <c r="R449" s="57" t="str">
        <f t="shared" si="39"/>
        <v/>
      </c>
    </row>
    <row r="450" spans="4:18" x14ac:dyDescent="0.25">
      <c r="D450" s="43"/>
      <c r="E450" s="55" t="str">
        <f t="shared" si="35"/>
        <v/>
      </c>
      <c r="F450" s="55"/>
      <c r="G450" s="55"/>
      <c r="H450" s="55"/>
      <c r="I450" s="55"/>
      <c r="J450" s="55"/>
      <c r="K450" s="46" t="str">
        <f t="shared" ca="1" si="36"/>
        <v/>
      </c>
      <c r="L450" s="56" t="str">
        <f t="shared" ca="1" si="37"/>
        <v/>
      </c>
      <c r="Q450" s="57" t="str">
        <f t="shared" si="38"/>
        <v/>
      </c>
      <c r="R450" s="57" t="str">
        <f t="shared" si="39"/>
        <v/>
      </c>
    </row>
    <row r="451" spans="4:18" x14ac:dyDescent="0.25">
      <c r="D451" s="43"/>
      <c r="E451" s="55" t="str">
        <f t="shared" si="35"/>
        <v/>
      </c>
      <c r="F451" s="55"/>
      <c r="G451" s="55"/>
      <c r="H451" s="55"/>
      <c r="I451" s="55"/>
      <c r="J451" s="55"/>
      <c r="K451" s="46" t="str">
        <f t="shared" ca="1" si="36"/>
        <v/>
      </c>
      <c r="L451" s="56" t="str">
        <f t="shared" ca="1" si="37"/>
        <v/>
      </c>
      <c r="Q451" s="57" t="str">
        <f t="shared" si="38"/>
        <v/>
      </c>
      <c r="R451" s="57" t="str">
        <f t="shared" si="39"/>
        <v/>
      </c>
    </row>
    <row r="452" spans="4:18" x14ac:dyDescent="0.25">
      <c r="D452" s="43"/>
      <c r="E452" s="55" t="str">
        <f t="shared" si="35"/>
        <v/>
      </c>
      <c r="F452" s="55"/>
      <c r="G452" s="55"/>
      <c r="H452" s="55"/>
      <c r="I452" s="55"/>
      <c r="J452" s="55"/>
      <c r="K452" s="46" t="str">
        <f t="shared" ca="1" si="36"/>
        <v/>
      </c>
      <c r="L452" s="56" t="str">
        <f t="shared" ca="1" si="37"/>
        <v/>
      </c>
      <c r="Q452" s="57" t="str">
        <f t="shared" si="38"/>
        <v/>
      </c>
      <c r="R452" s="57" t="str">
        <f t="shared" si="39"/>
        <v/>
      </c>
    </row>
    <row r="453" spans="4:18" x14ac:dyDescent="0.25">
      <c r="D453" s="43"/>
      <c r="E453" s="55" t="str">
        <f t="shared" si="35"/>
        <v/>
      </c>
      <c r="F453" s="55"/>
      <c r="G453" s="55"/>
      <c r="H453" s="55"/>
      <c r="I453" s="55"/>
      <c r="J453" s="55"/>
      <c r="K453" s="46" t="str">
        <f t="shared" ca="1" si="36"/>
        <v/>
      </c>
      <c r="L453" s="56" t="str">
        <f t="shared" ca="1" si="37"/>
        <v/>
      </c>
      <c r="Q453" s="57" t="str">
        <f t="shared" si="38"/>
        <v/>
      </c>
      <c r="R453" s="57" t="str">
        <f t="shared" si="39"/>
        <v/>
      </c>
    </row>
    <row r="454" spans="4:18" x14ac:dyDescent="0.25">
      <c r="D454" s="43"/>
      <c r="E454" s="55" t="str">
        <f t="shared" si="35"/>
        <v/>
      </c>
      <c r="F454" s="55"/>
      <c r="G454" s="55"/>
      <c r="H454" s="55"/>
      <c r="I454" s="55"/>
      <c r="J454" s="55"/>
      <c r="K454" s="46" t="str">
        <f t="shared" ca="1" si="36"/>
        <v/>
      </c>
      <c r="L454" s="56" t="str">
        <f t="shared" ca="1" si="37"/>
        <v/>
      </c>
      <c r="Q454" s="57" t="str">
        <f t="shared" si="38"/>
        <v/>
      </c>
      <c r="R454" s="57" t="str">
        <f t="shared" si="39"/>
        <v/>
      </c>
    </row>
    <row r="455" spans="4:18" x14ac:dyDescent="0.25">
      <c r="D455" s="43"/>
      <c r="E455" s="55" t="str">
        <f t="shared" si="35"/>
        <v/>
      </c>
      <c r="F455" s="55"/>
      <c r="G455" s="55"/>
      <c r="H455" s="55"/>
      <c r="I455" s="55"/>
      <c r="J455" s="55"/>
      <c r="K455" s="46" t="str">
        <f t="shared" ca="1" si="36"/>
        <v/>
      </c>
      <c r="L455" s="56" t="str">
        <f t="shared" ca="1" si="37"/>
        <v/>
      </c>
      <c r="Q455" s="57" t="str">
        <f t="shared" si="38"/>
        <v/>
      </c>
      <c r="R455" s="57" t="str">
        <f t="shared" si="39"/>
        <v/>
      </c>
    </row>
    <row r="456" spans="4:18" x14ac:dyDescent="0.25">
      <c r="D456" s="43"/>
      <c r="E456" s="55" t="str">
        <f t="shared" si="35"/>
        <v/>
      </c>
      <c r="F456" s="55"/>
      <c r="G456" s="55"/>
      <c r="H456" s="55"/>
      <c r="I456" s="55"/>
      <c r="J456" s="55"/>
      <c r="K456" s="46" t="str">
        <f t="shared" ca="1" si="36"/>
        <v/>
      </c>
      <c r="L456" s="56" t="str">
        <f t="shared" ca="1" si="37"/>
        <v/>
      </c>
      <c r="Q456" s="57" t="str">
        <f t="shared" si="38"/>
        <v/>
      </c>
      <c r="R456" s="57" t="str">
        <f t="shared" si="39"/>
        <v/>
      </c>
    </row>
    <row r="457" spans="4:18" x14ac:dyDescent="0.25">
      <c r="D457" s="43"/>
      <c r="E457" s="55" t="str">
        <f t="shared" si="35"/>
        <v/>
      </c>
      <c r="F457" s="55"/>
      <c r="G457" s="55"/>
      <c r="H457" s="55"/>
      <c r="I457" s="55"/>
      <c r="J457" s="55"/>
      <c r="K457" s="46" t="str">
        <f t="shared" ca="1" si="36"/>
        <v/>
      </c>
      <c r="L457" s="56" t="str">
        <f t="shared" ca="1" si="37"/>
        <v/>
      </c>
      <c r="Q457" s="57" t="str">
        <f t="shared" si="38"/>
        <v/>
      </c>
      <c r="R457" s="57" t="str">
        <f t="shared" si="39"/>
        <v/>
      </c>
    </row>
    <row r="458" spans="4:18" x14ac:dyDescent="0.25">
      <c r="D458" s="43"/>
      <c r="E458" s="55" t="str">
        <f t="shared" si="35"/>
        <v/>
      </c>
      <c r="F458" s="55"/>
      <c r="G458" s="55"/>
      <c r="H458" s="55"/>
      <c r="I458" s="55"/>
      <c r="J458" s="55"/>
      <c r="K458" s="46" t="str">
        <f t="shared" ca="1" si="36"/>
        <v/>
      </c>
      <c r="L458" s="56" t="str">
        <f t="shared" ca="1" si="37"/>
        <v/>
      </c>
      <c r="Q458" s="57" t="str">
        <f t="shared" si="38"/>
        <v/>
      </c>
      <c r="R458" s="57" t="str">
        <f t="shared" si="39"/>
        <v/>
      </c>
    </row>
    <row r="459" spans="4:18" x14ac:dyDescent="0.25">
      <c r="D459" s="43"/>
      <c r="E459" s="55" t="str">
        <f t="shared" si="35"/>
        <v/>
      </c>
      <c r="F459" s="55"/>
      <c r="G459" s="55"/>
      <c r="H459" s="55"/>
      <c r="I459" s="55"/>
      <c r="J459" s="55"/>
      <c r="K459" s="46" t="str">
        <f t="shared" ca="1" si="36"/>
        <v/>
      </c>
      <c r="L459" s="56" t="str">
        <f t="shared" ca="1" si="37"/>
        <v/>
      </c>
      <c r="Q459" s="57" t="str">
        <f t="shared" si="38"/>
        <v/>
      </c>
      <c r="R459" s="57" t="str">
        <f t="shared" si="39"/>
        <v/>
      </c>
    </row>
    <row r="460" spans="4:18" x14ac:dyDescent="0.25">
      <c r="D460" s="43"/>
      <c r="E460" s="55" t="str">
        <f t="shared" si="35"/>
        <v/>
      </c>
      <c r="F460" s="55"/>
      <c r="G460" s="55"/>
      <c r="H460" s="55"/>
      <c r="I460" s="55"/>
      <c r="J460" s="55"/>
      <c r="K460" s="46" t="str">
        <f t="shared" ca="1" si="36"/>
        <v/>
      </c>
      <c r="L460" s="56" t="str">
        <f t="shared" ca="1" si="37"/>
        <v/>
      </c>
      <c r="Q460" s="57" t="str">
        <f t="shared" si="38"/>
        <v/>
      </c>
      <c r="R460" s="57" t="str">
        <f t="shared" si="39"/>
        <v/>
      </c>
    </row>
    <row r="461" spans="4:18" x14ac:dyDescent="0.25">
      <c r="D461" s="43"/>
      <c r="E461" s="55" t="str">
        <f t="shared" si="35"/>
        <v/>
      </c>
      <c r="F461" s="55"/>
      <c r="G461" s="55"/>
      <c r="H461" s="55"/>
      <c r="I461" s="55"/>
      <c r="J461" s="55"/>
      <c r="K461" s="46" t="str">
        <f t="shared" ca="1" si="36"/>
        <v/>
      </c>
      <c r="L461" s="56" t="str">
        <f t="shared" ca="1" si="37"/>
        <v/>
      </c>
      <c r="Q461" s="57" t="str">
        <f t="shared" si="38"/>
        <v/>
      </c>
      <c r="R461" s="57" t="str">
        <f t="shared" si="39"/>
        <v/>
      </c>
    </row>
    <row r="462" spans="4:18" x14ac:dyDescent="0.25">
      <c r="D462" s="43"/>
      <c r="E462" s="55" t="str">
        <f t="shared" si="35"/>
        <v/>
      </c>
      <c r="F462" s="55"/>
      <c r="G462" s="55"/>
      <c r="H462" s="55"/>
      <c r="I462" s="55"/>
      <c r="J462" s="55"/>
      <c r="K462" s="46" t="str">
        <f t="shared" ca="1" si="36"/>
        <v/>
      </c>
      <c r="L462" s="56" t="str">
        <f t="shared" ca="1" si="37"/>
        <v/>
      </c>
      <c r="Q462" s="57" t="str">
        <f t="shared" si="38"/>
        <v/>
      </c>
      <c r="R462" s="57" t="str">
        <f t="shared" si="39"/>
        <v/>
      </c>
    </row>
    <row r="463" spans="4:18" x14ac:dyDescent="0.25">
      <c r="D463" s="43"/>
      <c r="E463" s="55" t="str">
        <f t="shared" si="35"/>
        <v/>
      </c>
      <c r="F463" s="55"/>
      <c r="G463" s="55"/>
      <c r="H463" s="55"/>
      <c r="I463" s="55"/>
      <c r="J463" s="55"/>
      <c r="K463" s="46" t="str">
        <f t="shared" ca="1" si="36"/>
        <v/>
      </c>
      <c r="L463" s="56" t="str">
        <f t="shared" ca="1" si="37"/>
        <v/>
      </c>
      <c r="Q463" s="57" t="str">
        <f t="shared" si="38"/>
        <v/>
      </c>
      <c r="R463" s="57" t="str">
        <f t="shared" si="39"/>
        <v/>
      </c>
    </row>
    <row r="464" spans="4:18" x14ac:dyDescent="0.25">
      <c r="D464" s="43"/>
      <c r="E464" s="55" t="str">
        <f t="shared" si="35"/>
        <v/>
      </c>
      <c r="F464" s="55"/>
      <c r="G464" s="55"/>
      <c r="H464" s="55"/>
      <c r="I464" s="55"/>
      <c r="J464" s="55"/>
      <c r="K464" s="46" t="str">
        <f t="shared" ca="1" si="36"/>
        <v/>
      </c>
      <c r="L464" s="56" t="str">
        <f t="shared" ca="1" si="37"/>
        <v/>
      </c>
      <c r="Q464" s="57" t="str">
        <f t="shared" si="38"/>
        <v/>
      </c>
      <c r="R464" s="57" t="str">
        <f t="shared" si="39"/>
        <v/>
      </c>
    </row>
    <row r="465" spans="4:18" x14ac:dyDescent="0.25">
      <c r="D465" s="43"/>
      <c r="E465" s="55" t="str">
        <f t="shared" si="35"/>
        <v/>
      </c>
      <c r="F465" s="55"/>
      <c r="G465" s="55"/>
      <c r="H465" s="55"/>
      <c r="I465" s="55"/>
      <c r="J465" s="55"/>
      <c r="K465" s="46" t="str">
        <f t="shared" ca="1" si="36"/>
        <v/>
      </c>
      <c r="L465" s="56" t="str">
        <f t="shared" ca="1" si="37"/>
        <v/>
      </c>
      <c r="Q465" s="57" t="str">
        <f t="shared" si="38"/>
        <v/>
      </c>
      <c r="R465" s="57" t="str">
        <f t="shared" si="39"/>
        <v/>
      </c>
    </row>
    <row r="466" spans="4:18" x14ac:dyDescent="0.25">
      <c r="D466" s="43"/>
      <c r="E466" s="55" t="str">
        <f t="shared" si="35"/>
        <v/>
      </c>
      <c r="F466" s="55"/>
      <c r="G466" s="55"/>
      <c r="H466" s="55"/>
      <c r="I466" s="55"/>
      <c r="J466" s="55"/>
      <c r="K466" s="46" t="str">
        <f t="shared" ca="1" si="36"/>
        <v/>
      </c>
      <c r="L466" s="56" t="str">
        <f t="shared" ca="1" si="37"/>
        <v/>
      </c>
      <c r="Q466" s="57" t="str">
        <f t="shared" si="38"/>
        <v/>
      </c>
      <c r="R466" s="57" t="str">
        <f t="shared" si="39"/>
        <v/>
      </c>
    </row>
    <row r="467" spans="4:18" x14ac:dyDescent="0.25">
      <c r="D467" s="43"/>
      <c r="E467" s="55" t="str">
        <f t="shared" si="35"/>
        <v/>
      </c>
      <c r="F467" s="55"/>
      <c r="G467" s="55"/>
      <c r="H467" s="55"/>
      <c r="I467" s="55"/>
      <c r="J467" s="55"/>
      <c r="K467" s="46" t="str">
        <f t="shared" ca="1" si="36"/>
        <v/>
      </c>
      <c r="L467" s="56" t="str">
        <f t="shared" ca="1" si="37"/>
        <v/>
      </c>
      <c r="Q467" s="57" t="str">
        <f t="shared" si="38"/>
        <v/>
      </c>
      <c r="R467" s="57" t="str">
        <f t="shared" si="39"/>
        <v/>
      </c>
    </row>
    <row r="468" spans="4:18" x14ac:dyDescent="0.25">
      <c r="D468" s="43"/>
      <c r="E468" s="55" t="str">
        <f t="shared" ref="E468:E531" si="40">IF(ISNUMBER(SEARCH("v crs",D468))=TRUE,"VC",IF(ISNUMBER(SEARCH("crs",D468))=TRUE,"C",IF(ISNUMBER(SEARCH("med",D468))=TRUE,"M",IF(ISNUMBER(SEARCH("vf",D468))=TRUE,"VF",IF(ISNUMBER(SEARCH("f",D468))=TRUE,"F","")))))</f>
        <v/>
      </c>
      <c r="F468" s="55"/>
      <c r="G468" s="55"/>
      <c r="H468" s="55"/>
      <c r="I468" s="55"/>
      <c r="J468" s="55"/>
      <c r="K468" s="46" t="str">
        <f t="shared" ca="1" si="36"/>
        <v/>
      </c>
      <c r="L468" s="56" t="str">
        <f t="shared" ca="1" si="37"/>
        <v/>
      </c>
      <c r="Q468" s="57" t="str">
        <f t="shared" si="38"/>
        <v/>
      </c>
      <c r="R468" s="57" t="str">
        <f t="shared" si="39"/>
        <v/>
      </c>
    </row>
    <row r="469" spans="4:18" x14ac:dyDescent="0.25">
      <c r="D469" s="43"/>
      <c r="E469" s="55" t="str">
        <f t="shared" si="40"/>
        <v/>
      </c>
      <c r="F469" s="55"/>
      <c r="G469" s="55"/>
      <c r="H469" s="55"/>
      <c r="I469" s="55"/>
      <c r="J469" s="55"/>
      <c r="K469" s="46" t="str">
        <f t="shared" ref="K469:K532" ca="1" si="41">IF(AND(C469&lt;&gt;"",C469&lt;&gt;Q469),TODAY(),IF(C469="","",K469))</f>
        <v/>
      </c>
      <c r="L469" s="56" t="str">
        <f t="shared" ref="L469:L532" ca="1" si="42">IF(AND(C469&lt;&gt;"",C469&lt;&gt;R469),NOW(),IF(C469="","",L469))</f>
        <v/>
      </c>
      <c r="Q469" s="57" t="str">
        <f t="shared" ref="Q469:Q532" si="43">IF(C469="","",IF(OR(K469="",AND(ISNUMBER(Q469),C469=Q469)),Q469,C469))</f>
        <v/>
      </c>
      <c r="R469" s="57" t="str">
        <f t="shared" ref="R469:R532" si="44">IF(C469="","",IF(OR(L469="",AND(ISNUMBER(R469),C469=R469)),R469,C469))</f>
        <v/>
      </c>
    </row>
    <row r="470" spans="4:18" x14ac:dyDescent="0.25">
      <c r="D470" s="43"/>
      <c r="E470" s="55" t="str">
        <f t="shared" si="40"/>
        <v/>
      </c>
      <c r="F470" s="55"/>
      <c r="G470" s="55"/>
      <c r="H470" s="55"/>
      <c r="I470" s="55"/>
      <c r="J470" s="55"/>
      <c r="K470" s="46" t="str">
        <f t="shared" ca="1" si="41"/>
        <v/>
      </c>
      <c r="L470" s="56" t="str">
        <f t="shared" ca="1" si="42"/>
        <v/>
      </c>
      <c r="Q470" s="57" t="str">
        <f t="shared" si="43"/>
        <v/>
      </c>
      <c r="R470" s="57" t="str">
        <f t="shared" si="44"/>
        <v/>
      </c>
    </row>
    <row r="471" spans="4:18" x14ac:dyDescent="0.25">
      <c r="D471" s="43"/>
      <c r="E471" s="55" t="str">
        <f t="shared" si="40"/>
        <v/>
      </c>
      <c r="F471" s="55"/>
      <c r="G471" s="55"/>
      <c r="H471" s="55"/>
      <c r="I471" s="55"/>
      <c r="J471" s="55"/>
      <c r="K471" s="46" t="str">
        <f t="shared" ca="1" si="41"/>
        <v/>
      </c>
      <c r="L471" s="56" t="str">
        <f t="shared" ca="1" si="42"/>
        <v/>
      </c>
      <c r="Q471" s="57" t="str">
        <f t="shared" si="43"/>
        <v/>
      </c>
      <c r="R471" s="57" t="str">
        <f t="shared" si="44"/>
        <v/>
      </c>
    </row>
    <row r="472" spans="4:18" x14ac:dyDescent="0.25">
      <c r="D472" s="43"/>
      <c r="E472" s="55" t="str">
        <f t="shared" si="40"/>
        <v/>
      </c>
      <c r="F472" s="55"/>
      <c r="G472" s="55"/>
      <c r="H472" s="55"/>
      <c r="I472" s="55"/>
      <c r="J472" s="55"/>
      <c r="K472" s="46" t="str">
        <f t="shared" ca="1" si="41"/>
        <v/>
      </c>
      <c r="L472" s="56" t="str">
        <f t="shared" ca="1" si="42"/>
        <v/>
      </c>
      <c r="Q472" s="57" t="str">
        <f t="shared" si="43"/>
        <v/>
      </c>
      <c r="R472" s="57" t="str">
        <f t="shared" si="44"/>
        <v/>
      </c>
    </row>
    <row r="473" spans="4:18" x14ac:dyDescent="0.25">
      <c r="D473" s="43"/>
      <c r="E473" s="55" t="str">
        <f t="shared" si="40"/>
        <v/>
      </c>
      <c r="F473" s="55"/>
      <c r="G473" s="55"/>
      <c r="H473" s="55"/>
      <c r="I473" s="55"/>
      <c r="J473" s="55"/>
      <c r="K473" s="46" t="str">
        <f t="shared" ca="1" si="41"/>
        <v/>
      </c>
      <c r="L473" s="56" t="str">
        <f t="shared" ca="1" si="42"/>
        <v/>
      </c>
      <c r="Q473" s="57" t="str">
        <f t="shared" si="43"/>
        <v/>
      </c>
      <c r="R473" s="57" t="str">
        <f t="shared" si="44"/>
        <v/>
      </c>
    </row>
    <row r="474" spans="4:18" x14ac:dyDescent="0.25">
      <c r="D474" s="43"/>
      <c r="E474" s="55" t="str">
        <f t="shared" si="40"/>
        <v/>
      </c>
      <c r="F474" s="55"/>
      <c r="G474" s="55"/>
      <c r="H474" s="55"/>
      <c r="I474" s="55"/>
      <c r="J474" s="55"/>
      <c r="K474" s="46" t="str">
        <f t="shared" ca="1" si="41"/>
        <v/>
      </c>
      <c r="L474" s="56" t="str">
        <f t="shared" ca="1" si="42"/>
        <v/>
      </c>
      <c r="Q474" s="57" t="str">
        <f t="shared" si="43"/>
        <v/>
      </c>
      <c r="R474" s="57" t="str">
        <f t="shared" si="44"/>
        <v/>
      </c>
    </row>
    <row r="475" spans="4:18" x14ac:dyDescent="0.25">
      <c r="D475" s="43"/>
      <c r="E475" s="55" t="str">
        <f t="shared" si="40"/>
        <v/>
      </c>
      <c r="F475" s="55"/>
      <c r="G475" s="55"/>
      <c r="H475" s="55"/>
      <c r="I475" s="55"/>
      <c r="J475" s="55"/>
      <c r="K475" s="46" t="str">
        <f t="shared" ca="1" si="41"/>
        <v/>
      </c>
      <c r="L475" s="56" t="str">
        <f t="shared" ca="1" si="42"/>
        <v/>
      </c>
      <c r="Q475" s="57" t="str">
        <f t="shared" si="43"/>
        <v/>
      </c>
      <c r="R475" s="57" t="str">
        <f t="shared" si="44"/>
        <v/>
      </c>
    </row>
    <row r="476" spans="4:18" x14ac:dyDescent="0.25">
      <c r="D476" s="43"/>
      <c r="E476" s="55" t="str">
        <f t="shared" si="40"/>
        <v/>
      </c>
      <c r="F476" s="55"/>
      <c r="G476" s="55"/>
      <c r="H476" s="55"/>
      <c r="I476" s="55"/>
      <c r="J476" s="55"/>
      <c r="K476" s="46" t="str">
        <f t="shared" ca="1" si="41"/>
        <v/>
      </c>
      <c r="L476" s="56" t="str">
        <f t="shared" ca="1" si="42"/>
        <v/>
      </c>
      <c r="Q476" s="57" t="str">
        <f t="shared" si="43"/>
        <v/>
      </c>
      <c r="R476" s="57" t="str">
        <f t="shared" si="44"/>
        <v/>
      </c>
    </row>
    <row r="477" spans="4:18" x14ac:dyDescent="0.25">
      <c r="D477" s="43"/>
      <c r="E477" s="55" t="str">
        <f t="shared" si="40"/>
        <v/>
      </c>
      <c r="F477" s="55"/>
      <c r="G477" s="55"/>
      <c r="H477" s="55"/>
      <c r="I477" s="55"/>
      <c r="J477" s="55"/>
      <c r="K477" s="46" t="str">
        <f t="shared" ca="1" si="41"/>
        <v/>
      </c>
      <c r="L477" s="56" t="str">
        <f t="shared" ca="1" si="42"/>
        <v/>
      </c>
      <c r="Q477" s="57" t="str">
        <f t="shared" si="43"/>
        <v/>
      </c>
      <c r="R477" s="57" t="str">
        <f t="shared" si="44"/>
        <v/>
      </c>
    </row>
    <row r="478" spans="4:18" x14ac:dyDescent="0.25">
      <c r="D478" s="43"/>
      <c r="E478" s="55" t="str">
        <f t="shared" si="40"/>
        <v/>
      </c>
      <c r="F478" s="55"/>
      <c r="G478" s="55"/>
      <c r="H478" s="55"/>
      <c r="I478" s="55"/>
      <c r="J478" s="55"/>
      <c r="K478" s="46" t="str">
        <f t="shared" ca="1" si="41"/>
        <v/>
      </c>
      <c r="L478" s="56" t="str">
        <f t="shared" ca="1" si="42"/>
        <v/>
      </c>
      <c r="Q478" s="57" t="str">
        <f t="shared" si="43"/>
        <v/>
      </c>
      <c r="R478" s="57" t="str">
        <f t="shared" si="44"/>
        <v/>
      </c>
    </row>
    <row r="479" spans="4:18" x14ac:dyDescent="0.25">
      <c r="D479" s="43"/>
      <c r="E479" s="55" t="str">
        <f t="shared" si="40"/>
        <v/>
      </c>
      <c r="F479" s="55"/>
      <c r="G479" s="55"/>
      <c r="H479" s="55"/>
      <c r="I479" s="55"/>
      <c r="J479" s="55"/>
      <c r="K479" s="46" t="str">
        <f t="shared" ca="1" si="41"/>
        <v/>
      </c>
      <c r="L479" s="56" t="str">
        <f t="shared" ca="1" si="42"/>
        <v/>
      </c>
      <c r="Q479" s="57" t="str">
        <f t="shared" si="43"/>
        <v/>
      </c>
      <c r="R479" s="57" t="str">
        <f t="shared" si="44"/>
        <v/>
      </c>
    </row>
    <row r="480" spans="4:18" x14ac:dyDescent="0.25">
      <c r="D480" s="43"/>
      <c r="E480" s="55" t="str">
        <f t="shared" si="40"/>
        <v/>
      </c>
      <c r="F480" s="55"/>
      <c r="G480" s="55"/>
      <c r="H480" s="55"/>
      <c r="I480" s="55"/>
      <c r="J480" s="55"/>
      <c r="K480" s="46" t="str">
        <f t="shared" ca="1" si="41"/>
        <v/>
      </c>
      <c r="L480" s="56" t="str">
        <f t="shared" ca="1" si="42"/>
        <v/>
      </c>
      <c r="Q480" s="57" t="str">
        <f t="shared" si="43"/>
        <v/>
      </c>
      <c r="R480" s="57" t="str">
        <f t="shared" si="44"/>
        <v/>
      </c>
    </row>
    <row r="481" spans="4:18" x14ac:dyDescent="0.25">
      <c r="D481" s="43"/>
      <c r="E481" s="55" t="str">
        <f t="shared" si="40"/>
        <v/>
      </c>
      <c r="F481" s="55"/>
      <c r="G481" s="55"/>
      <c r="H481" s="55"/>
      <c r="I481" s="55"/>
      <c r="J481" s="55"/>
      <c r="K481" s="46" t="str">
        <f t="shared" ca="1" si="41"/>
        <v/>
      </c>
      <c r="L481" s="56" t="str">
        <f t="shared" ca="1" si="42"/>
        <v/>
      </c>
      <c r="Q481" s="57" t="str">
        <f t="shared" si="43"/>
        <v/>
      </c>
      <c r="R481" s="57" t="str">
        <f t="shared" si="44"/>
        <v/>
      </c>
    </row>
    <row r="482" spans="4:18" x14ac:dyDescent="0.25">
      <c r="D482" s="43"/>
      <c r="E482" s="55" t="str">
        <f t="shared" si="40"/>
        <v/>
      </c>
      <c r="F482" s="55"/>
      <c r="G482" s="55"/>
      <c r="H482" s="55"/>
      <c r="I482" s="55"/>
      <c r="J482" s="55"/>
      <c r="K482" s="46" t="str">
        <f t="shared" ca="1" si="41"/>
        <v/>
      </c>
      <c r="L482" s="56" t="str">
        <f t="shared" ca="1" si="42"/>
        <v/>
      </c>
      <c r="Q482" s="57" t="str">
        <f t="shared" si="43"/>
        <v/>
      </c>
      <c r="R482" s="57" t="str">
        <f t="shared" si="44"/>
        <v/>
      </c>
    </row>
    <row r="483" spans="4:18" x14ac:dyDescent="0.25">
      <c r="D483" s="43"/>
      <c r="E483" s="55" t="str">
        <f t="shared" si="40"/>
        <v/>
      </c>
      <c r="F483" s="55"/>
      <c r="G483" s="55"/>
      <c r="H483" s="55"/>
      <c r="I483" s="55"/>
      <c r="J483" s="55"/>
      <c r="K483" s="46" t="str">
        <f t="shared" ca="1" si="41"/>
        <v/>
      </c>
      <c r="L483" s="56" t="str">
        <f t="shared" ca="1" si="42"/>
        <v/>
      </c>
      <c r="Q483" s="57" t="str">
        <f t="shared" si="43"/>
        <v/>
      </c>
      <c r="R483" s="57" t="str">
        <f t="shared" si="44"/>
        <v/>
      </c>
    </row>
    <row r="484" spans="4:18" x14ac:dyDescent="0.25">
      <c r="D484" s="43"/>
      <c r="E484" s="55" t="str">
        <f t="shared" si="40"/>
        <v/>
      </c>
      <c r="F484" s="55"/>
      <c r="G484" s="55"/>
      <c r="H484" s="55"/>
      <c r="I484" s="55"/>
      <c r="J484" s="55"/>
      <c r="K484" s="46" t="str">
        <f t="shared" ca="1" si="41"/>
        <v/>
      </c>
      <c r="L484" s="56" t="str">
        <f t="shared" ca="1" si="42"/>
        <v/>
      </c>
      <c r="Q484" s="57" t="str">
        <f t="shared" si="43"/>
        <v/>
      </c>
      <c r="R484" s="57" t="str">
        <f t="shared" si="44"/>
        <v/>
      </c>
    </row>
    <row r="485" spans="4:18" x14ac:dyDescent="0.25">
      <c r="D485" s="43"/>
      <c r="E485" s="55" t="str">
        <f t="shared" si="40"/>
        <v/>
      </c>
      <c r="F485" s="55"/>
      <c r="G485" s="55"/>
      <c r="H485" s="55"/>
      <c r="I485" s="55"/>
      <c r="J485" s="55"/>
      <c r="K485" s="46" t="str">
        <f t="shared" ca="1" si="41"/>
        <v/>
      </c>
      <c r="L485" s="56" t="str">
        <f t="shared" ca="1" si="42"/>
        <v/>
      </c>
      <c r="Q485" s="57" t="str">
        <f t="shared" si="43"/>
        <v/>
      </c>
      <c r="R485" s="57" t="str">
        <f t="shared" si="44"/>
        <v/>
      </c>
    </row>
    <row r="486" spans="4:18" x14ac:dyDescent="0.25">
      <c r="D486" s="43"/>
      <c r="E486" s="55" t="str">
        <f t="shared" si="40"/>
        <v/>
      </c>
      <c r="F486" s="55"/>
      <c r="G486" s="55"/>
      <c r="H486" s="55"/>
      <c r="I486" s="55"/>
      <c r="J486" s="55"/>
      <c r="K486" s="46" t="str">
        <f t="shared" ca="1" si="41"/>
        <v/>
      </c>
      <c r="L486" s="56" t="str">
        <f t="shared" ca="1" si="42"/>
        <v/>
      </c>
      <c r="Q486" s="57" t="str">
        <f t="shared" si="43"/>
        <v/>
      </c>
      <c r="R486" s="57" t="str">
        <f t="shared" si="44"/>
        <v/>
      </c>
    </row>
    <row r="487" spans="4:18" x14ac:dyDescent="0.25">
      <c r="D487" s="43"/>
      <c r="E487" s="55" t="str">
        <f t="shared" si="40"/>
        <v/>
      </c>
      <c r="F487" s="55"/>
      <c r="G487" s="55"/>
      <c r="H487" s="55"/>
      <c r="I487" s="55"/>
      <c r="J487" s="55"/>
      <c r="K487" s="46" t="str">
        <f t="shared" ca="1" si="41"/>
        <v/>
      </c>
      <c r="L487" s="56" t="str">
        <f t="shared" ca="1" si="42"/>
        <v/>
      </c>
      <c r="Q487" s="57" t="str">
        <f t="shared" si="43"/>
        <v/>
      </c>
      <c r="R487" s="57" t="str">
        <f t="shared" si="44"/>
        <v/>
      </c>
    </row>
    <row r="488" spans="4:18" x14ac:dyDescent="0.25">
      <c r="D488" s="43"/>
      <c r="E488" s="55" t="str">
        <f t="shared" si="40"/>
        <v/>
      </c>
      <c r="F488" s="55"/>
      <c r="G488" s="55"/>
      <c r="H488" s="55"/>
      <c r="I488" s="55"/>
      <c r="J488" s="55"/>
      <c r="K488" s="46" t="str">
        <f t="shared" ca="1" si="41"/>
        <v/>
      </c>
      <c r="L488" s="56" t="str">
        <f t="shared" ca="1" si="42"/>
        <v/>
      </c>
      <c r="Q488" s="57" t="str">
        <f t="shared" si="43"/>
        <v/>
      </c>
      <c r="R488" s="57" t="str">
        <f t="shared" si="44"/>
        <v/>
      </c>
    </row>
    <row r="489" spans="4:18" x14ac:dyDescent="0.25">
      <c r="D489" s="43"/>
      <c r="E489" s="55" t="str">
        <f t="shared" si="40"/>
        <v/>
      </c>
      <c r="F489" s="55"/>
      <c r="G489" s="55"/>
      <c r="H489" s="55"/>
      <c r="I489" s="55"/>
      <c r="J489" s="55"/>
      <c r="K489" s="46" t="str">
        <f t="shared" ca="1" si="41"/>
        <v/>
      </c>
      <c r="L489" s="56" t="str">
        <f t="shared" ca="1" si="42"/>
        <v/>
      </c>
      <c r="Q489" s="57" t="str">
        <f t="shared" si="43"/>
        <v/>
      </c>
      <c r="R489" s="57" t="str">
        <f t="shared" si="44"/>
        <v/>
      </c>
    </row>
    <row r="490" spans="4:18" x14ac:dyDescent="0.25">
      <c r="D490" s="43"/>
      <c r="E490" s="55" t="str">
        <f t="shared" si="40"/>
        <v/>
      </c>
      <c r="F490" s="55"/>
      <c r="G490" s="55"/>
      <c r="H490" s="55"/>
      <c r="I490" s="55"/>
      <c r="J490" s="55"/>
      <c r="K490" s="46" t="str">
        <f t="shared" ca="1" si="41"/>
        <v/>
      </c>
      <c r="L490" s="56" t="str">
        <f t="shared" ca="1" si="42"/>
        <v/>
      </c>
      <c r="Q490" s="57" t="str">
        <f t="shared" si="43"/>
        <v/>
      </c>
      <c r="R490" s="57" t="str">
        <f t="shared" si="44"/>
        <v/>
      </c>
    </row>
    <row r="491" spans="4:18" x14ac:dyDescent="0.25">
      <c r="D491" s="43"/>
      <c r="E491" s="55" t="str">
        <f t="shared" si="40"/>
        <v/>
      </c>
      <c r="F491" s="55"/>
      <c r="G491" s="55"/>
      <c r="H491" s="55"/>
      <c r="I491" s="55"/>
      <c r="J491" s="55"/>
      <c r="K491" s="46" t="str">
        <f t="shared" ca="1" si="41"/>
        <v/>
      </c>
      <c r="L491" s="56" t="str">
        <f t="shared" ca="1" si="42"/>
        <v/>
      </c>
      <c r="Q491" s="57" t="str">
        <f t="shared" si="43"/>
        <v/>
      </c>
      <c r="R491" s="57" t="str">
        <f t="shared" si="44"/>
        <v/>
      </c>
    </row>
    <row r="492" spans="4:18" x14ac:dyDescent="0.25">
      <c r="D492" s="43"/>
      <c r="E492" s="55" t="str">
        <f t="shared" si="40"/>
        <v/>
      </c>
      <c r="F492" s="55"/>
      <c r="G492" s="55"/>
      <c r="H492" s="55"/>
      <c r="I492" s="55"/>
      <c r="J492" s="55"/>
      <c r="K492" s="46" t="str">
        <f t="shared" ca="1" si="41"/>
        <v/>
      </c>
      <c r="L492" s="56" t="str">
        <f t="shared" ca="1" si="42"/>
        <v/>
      </c>
      <c r="Q492" s="57" t="str">
        <f t="shared" si="43"/>
        <v/>
      </c>
      <c r="R492" s="57" t="str">
        <f t="shared" si="44"/>
        <v/>
      </c>
    </row>
    <row r="493" spans="4:18" x14ac:dyDescent="0.25">
      <c r="D493" s="43"/>
      <c r="E493" s="55" t="str">
        <f t="shared" si="40"/>
        <v/>
      </c>
      <c r="F493" s="55"/>
      <c r="G493" s="55"/>
      <c r="H493" s="55"/>
      <c r="I493" s="55"/>
      <c r="J493" s="55"/>
      <c r="K493" s="46" t="str">
        <f t="shared" ca="1" si="41"/>
        <v/>
      </c>
      <c r="L493" s="56" t="str">
        <f t="shared" ca="1" si="42"/>
        <v/>
      </c>
      <c r="Q493" s="57" t="str">
        <f t="shared" si="43"/>
        <v/>
      </c>
      <c r="R493" s="57" t="str">
        <f t="shared" si="44"/>
        <v/>
      </c>
    </row>
    <row r="494" spans="4:18" x14ac:dyDescent="0.25">
      <c r="D494" s="43"/>
      <c r="E494" s="55" t="str">
        <f t="shared" si="40"/>
        <v/>
      </c>
      <c r="F494" s="55"/>
      <c r="G494" s="55"/>
      <c r="H494" s="55"/>
      <c r="I494" s="55"/>
      <c r="J494" s="55"/>
      <c r="K494" s="46" t="str">
        <f t="shared" ca="1" si="41"/>
        <v/>
      </c>
      <c r="L494" s="56" t="str">
        <f t="shared" ca="1" si="42"/>
        <v/>
      </c>
      <c r="Q494" s="57" t="str">
        <f t="shared" si="43"/>
        <v/>
      </c>
      <c r="R494" s="57" t="str">
        <f t="shared" si="44"/>
        <v/>
      </c>
    </row>
    <row r="495" spans="4:18" x14ac:dyDescent="0.25">
      <c r="D495" s="43"/>
      <c r="E495" s="55" t="str">
        <f t="shared" si="40"/>
        <v/>
      </c>
      <c r="F495" s="55"/>
      <c r="G495" s="55"/>
      <c r="H495" s="55"/>
      <c r="I495" s="55"/>
      <c r="J495" s="55"/>
      <c r="K495" s="46" t="str">
        <f t="shared" ca="1" si="41"/>
        <v/>
      </c>
      <c r="L495" s="56" t="str">
        <f t="shared" ca="1" si="42"/>
        <v/>
      </c>
      <c r="Q495" s="57" t="str">
        <f t="shared" si="43"/>
        <v/>
      </c>
      <c r="R495" s="57" t="str">
        <f t="shared" si="44"/>
        <v/>
      </c>
    </row>
    <row r="496" spans="4:18" x14ac:dyDescent="0.25">
      <c r="D496" s="43"/>
      <c r="E496" s="55" t="str">
        <f t="shared" si="40"/>
        <v/>
      </c>
      <c r="F496" s="55"/>
      <c r="G496" s="55"/>
      <c r="H496" s="55"/>
      <c r="I496" s="55"/>
      <c r="J496" s="55"/>
      <c r="K496" s="46" t="str">
        <f t="shared" ca="1" si="41"/>
        <v/>
      </c>
      <c r="L496" s="56" t="str">
        <f t="shared" ca="1" si="42"/>
        <v/>
      </c>
      <c r="Q496" s="57" t="str">
        <f t="shared" si="43"/>
        <v/>
      </c>
      <c r="R496" s="57" t="str">
        <f t="shared" si="44"/>
        <v/>
      </c>
    </row>
    <row r="497" spans="4:18" x14ac:dyDescent="0.25">
      <c r="D497" s="43"/>
      <c r="E497" s="55" t="str">
        <f t="shared" si="40"/>
        <v/>
      </c>
      <c r="F497" s="55"/>
      <c r="G497" s="55"/>
      <c r="H497" s="55"/>
      <c r="I497" s="55"/>
      <c r="J497" s="55"/>
      <c r="K497" s="46" t="str">
        <f t="shared" ca="1" si="41"/>
        <v/>
      </c>
      <c r="L497" s="56" t="str">
        <f t="shared" ca="1" si="42"/>
        <v/>
      </c>
      <c r="Q497" s="57" t="str">
        <f t="shared" si="43"/>
        <v/>
      </c>
      <c r="R497" s="57" t="str">
        <f t="shared" si="44"/>
        <v/>
      </c>
    </row>
    <row r="498" spans="4:18" x14ac:dyDescent="0.25">
      <c r="D498" s="43"/>
      <c r="E498" s="55" t="str">
        <f t="shared" si="40"/>
        <v/>
      </c>
      <c r="F498" s="55"/>
      <c r="G498" s="55"/>
      <c r="H498" s="55"/>
      <c r="I498" s="55"/>
      <c r="J498" s="55"/>
      <c r="K498" s="46" t="str">
        <f t="shared" ca="1" si="41"/>
        <v/>
      </c>
      <c r="L498" s="56" t="str">
        <f t="shared" ca="1" si="42"/>
        <v/>
      </c>
      <c r="Q498" s="57" t="str">
        <f t="shared" si="43"/>
        <v/>
      </c>
      <c r="R498" s="57" t="str">
        <f t="shared" si="44"/>
        <v/>
      </c>
    </row>
    <row r="499" spans="4:18" x14ac:dyDescent="0.25">
      <c r="D499" s="43"/>
      <c r="E499" s="55" t="str">
        <f t="shared" si="40"/>
        <v/>
      </c>
      <c r="F499" s="55"/>
      <c r="G499" s="55"/>
      <c r="H499" s="55"/>
      <c r="I499" s="55"/>
      <c r="J499" s="55"/>
      <c r="K499" s="46" t="str">
        <f t="shared" ca="1" si="41"/>
        <v/>
      </c>
      <c r="L499" s="56" t="str">
        <f t="shared" ca="1" si="42"/>
        <v/>
      </c>
      <c r="Q499" s="57" t="str">
        <f t="shared" si="43"/>
        <v/>
      </c>
      <c r="R499" s="57" t="str">
        <f t="shared" si="44"/>
        <v/>
      </c>
    </row>
    <row r="500" spans="4:18" x14ac:dyDescent="0.25">
      <c r="D500" s="43"/>
      <c r="E500" s="55" t="str">
        <f t="shared" si="40"/>
        <v/>
      </c>
      <c r="F500" s="55"/>
      <c r="G500" s="55"/>
      <c r="H500" s="55"/>
      <c r="I500" s="55"/>
      <c r="J500" s="55"/>
      <c r="K500" s="46" t="str">
        <f t="shared" ca="1" si="41"/>
        <v/>
      </c>
      <c r="L500" s="56" t="str">
        <f t="shared" ca="1" si="42"/>
        <v/>
      </c>
      <c r="Q500" s="57" t="str">
        <f t="shared" si="43"/>
        <v/>
      </c>
      <c r="R500" s="57" t="str">
        <f t="shared" si="44"/>
        <v/>
      </c>
    </row>
    <row r="501" spans="4:18" x14ac:dyDescent="0.25">
      <c r="D501" s="43"/>
      <c r="E501" s="55" t="str">
        <f t="shared" si="40"/>
        <v/>
      </c>
      <c r="F501" s="55"/>
      <c r="G501" s="55"/>
      <c r="H501" s="55"/>
      <c r="I501" s="55"/>
      <c r="J501" s="55"/>
      <c r="K501" s="46" t="str">
        <f t="shared" ca="1" si="41"/>
        <v/>
      </c>
      <c r="L501" s="56" t="str">
        <f t="shared" ca="1" si="42"/>
        <v/>
      </c>
      <c r="Q501" s="57" t="str">
        <f t="shared" si="43"/>
        <v/>
      </c>
      <c r="R501" s="57" t="str">
        <f t="shared" si="44"/>
        <v/>
      </c>
    </row>
    <row r="502" spans="4:18" x14ac:dyDescent="0.25">
      <c r="D502" s="43"/>
      <c r="E502" s="55" t="str">
        <f t="shared" si="40"/>
        <v/>
      </c>
      <c r="F502" s="55"/>
      <c r="G502" s="55"/>
      <c r="H502" s="55"/>
      <c r="I502" s="55"/>
      <c r="J502" s="55"/>
      <c r="K502" s="46" t="str">
        <f t="shared" ca="1" si="41"/>
        <v/>
      </c>
      <c r="L502" s="56" t="str">
        <f t="shared" ca="1" si="42"/>
        <v/>
      </c>
      <c r="Q502" s="57" t="str">
        <f t="shared" si="43"/>
        <v/>
      </c>
      <c r="R502" s="57" t="str">
        <f t="shared" si="44"/>
        <v/>
      </c>
    </row>
    <row r="503" spans="4:18" x14ac:dyDescent="0.25">
      <c r="D503" s="43"/>
      <c r="E503" s="55" t="str">
        <f t="shared" si="40"/>
        <v/>
      </c>
      <c r="F503" s="55"/>
      <c r="G503" s="55"/>
      <c r="H503" s="55"/>
      <c r="I503" s="55"/>
      <c r="J503" s="55"/>
      <c r="K503" s="46" t="str">
        <f t="shared" ca="1" si="41"/>
        <v/>
      </c>
      <c r="L503" s="56" t="str">
        <f t="shared" ca="1" si="42"/>
        <v/>
      </c>
      <c r="Q503" s="57" t="str">
        <f t="shared" si="43"/>
        <v/>
      </c>
      <c r="R503" s="57" t="str">
        <f t="shared" si="44"/>
        <v/>
      </c>
    </row>
    <row r="504" spans="4:18" x14ac:dyDescent="0.25">
      <c r="D504" s="43"/>
      <c r="E504" s="55" t="str">
        <f t="shared" si="40"/>
        <v/>
      </c>
      <c r="F504" s="55"/>
      <c r="G504" s="55"/>
      <c r="H504" s="55"/>
      <c r="I504" s="55"/>
      <c r="J504" s="55"/>
      <c r="K504" s="46" t="str">
        <f t="shared" ca="1" si="41"/>
        <v/>
      </c>
      <c r="L504" s="56" t="str">
        <f t="shared" ca="1" si="42"/>
        <v/>
      </c>
      <c r="Q504" s="57" t="str">
        <f t="shared" si="43"/>
        <v/>
      </c>
      <c r="R504" s="57" t="str">
        <f t="shared" si="44"/>
        <v/>
      </c>
    </row>
    <row r="505" spans="4:18" x14ac:dyDescent="0.25">
      <c r="D505" s="43"/>
      <c r="E505" s="55" t="str">
        <f t="shared" si="40"/>
        <v/>
      </c>
      <c r="F505" s="55"/>
      <c r="G505" s="55"/>
      <c r="H505" s="55"/>
      <c r="I505" s="55"/>
      <c r="J505" s="55"/>
      <c r="K505" s="46" t="str">
        <f t="shared" ca="1" si="41"/>
        <v/>
      </c>
      <c r="L505" s="56" t="str">
        <f t="shared" ca="1" si="42"/>
        <v/>
      </c>
      <c r="Q505" s="57" t="str">
        <f t="shared" si="43"/>
        <v/>
      </c>
      <c r="R505" s="57" t="str">
        <f t="shared" si="44"/>
        <v/>
      </c>
    </row>
    <row r="506" spans="4:18" x14ac:dyDescent="0.25">
      <c r="D506" s="43"/>
      <c r="E506" s="55" t="str">
        <f t="shared" si="40"/>
        <v/>
      </c>
      <c r="F506" s="55"/>
      <c r="G506" s="55"/>
      <c r="H506" s="55"/>
      <c r="I506" s="55"/>
      <c r="J506" s="55"/>
      <c r="K506" s="46" t="str">
        <f t="shared" ca="1" si="41"/>
        <v/>
      </c>
      <c r="L506" s="56" t="str">
        <f t="shared" ca="1" si="42"/>
        <v/>
      </c>
      <c r="Q506" s="57" t="str">
        <f t="shared" si="43"/>
        <v/>
      </c>
      <c r="R506" s="57" t="str">
        <f t="shared" si="44"/>
        <v/>
      </c>
    </row>
    <row r="507" spans="4:18" x14ac:dyDescent="0.25">
      <c r="D507" s="43"/>
      <c r="E507" s="55" t="str">
        <f t="shared" si="40"/>
        <v/>
      </c>
      <c r="F507" s="55"/>
      <c r="G507" s="55"/>
      <c r="H507" s="55"/>
      <c r="I507" s="55"/>
      <c r="J507" s="55"/>
      <c r="K507" s="46" t="str">
        <f t="shared" ca="1" si="41"/>
        <v/>
      </c>
      <c r="L507" s="56" t="str">
        <f t="shared" ca="1" si="42"/>
        <v/>
      </c>
      <c r="Q507" s="57" t="str">
        <f t="shared" si="43"/>
        <v/>
      </c>
      <c r="R507" s="57" t="str">
        <f t="shared" si="44"/>
        <v/>
      </c>
    </row>
    <row r="508" spans="4:18" x14ac:dyDescent="0.25">
      <c r="D508" s="43"/>
      <c r="E508" s="55" t="str">
        <f t="shared" si="40"/>
        <v/>
      </c>
      <c r="F508" s="55"/>
      <c r="G508" s="55"/>
      <c r="H508" s="55"/>
      <c r="I508" s="55"/>
      <c r="J508" s="55"/>
      <c r="K508" s="46" t="str">
        <f t="shared" ca="1" si="41"/>
        <v/>
      </c>
      <c r="L508" s="56" t="str">
        <f t="shared" ca="1" si="42"/>
        <v/>
      </c>
      <c r="Q508" s="57" t="str">
        <f t="shared" si="43"/>
        <v/>
      </c>
      <c r="R508" s="57" t="str">
        <f t="shared" si="44"/>
        <v/>
      </c>
    </row>
    <row r="509" spans="4:18" x14ac:dyDescent="0.25">
      <c r="D509" s="43"/>
      <c r="E509" s="55" t="str">
        <f t="shared" si="40"/>
        <v/>
      </c>
      <c r="F509" s="55"/>
      <c r="G509" s="55"/>
      <c r="H509" s="55"/>
      <c r="I509" s="55"/>
      <c r="J509" s="55"/>
      <c r="K509" s="46" t="str">
        <f t="shared" ca="1" si="41"/>
        <v/>
      </c>
      <c r="L509" s="56" t="str">
        <f t="shared" ca="1" si="42"/>
        <v/>
      </c>
      <c r="Q509" s="57" t="str">
        <f t="shared" si="43"/>
        <v/>
      </c>
      <c r="R509" s="57" t="str">
        <f t="shared" si="44"/>
        <v/>
      </c>
    </row>
    <row r="510" spans="4:18" x14ac:dyDescent="0.25">
      <c r="D510" s="43"/>
      <c r="E510" s="55" t="str">
        <f t="shared" si="40"/>
        <v/>
      </c>
      <c r="F510" s="55"/>
      <c r="G510" s="55"/>
      <c r="H510" s="55"/>
      <c r="I510" s="55"/>
      <c r="J510" s="55"/>
      <c r="K510" s="46" t="str">
        <f t="shared" ca="1" si="41"/>
        <v/>
      </c>
      <c r="L510" s="56" t="str">
        <f t="shared" ca="1" si="42"/>
        <v/>
      </c>
      <c r="Q510" s="57" t="str">
        <f t="shared" si="43"/>
        <v/>
      </c>
      <c r="R510" s="57" t="str">
        <f t="shared" si="44"/>
        <v/>
      </c>
    </row>
    <row r="511" spans="4:18" x14ac:dyDescent="0.25">
      <c r="D511" s="43"/>
      <c r="E511" s="55" t="str">
        <f t="shared" si="40"/>
        <v/>
      </c>
      <c r="F511" s="55"/>
      <c r="G511" s="55"/>
      <c r="H511" s="55"/>
      <c r="I511" s="55"/>
      <c r="J511" s="55"/>
      <c r="K511" s="46" t="str">
        <f t="shared" ca="1" si="41"/>
        <v/>
      </c>
      <c r="L511" s="56" t="str">
        <f t="shared" ca="1" si="42"/>
        <v/>
      </c>
      <c r="Q511" s="57" t="str">
        <f t="shared" si="43"/>
        <v/>
      </c>
      <c r="R511" s="57" t="str">
        <f t="shared" si="44"/>
        <v/>
      </c>
    </row>
    <row r="512" spans="4:18" x14ac:dyDescent="0.25">
      <c r="D512" s="43"/>
      <c r="E512" s="55" t="str">
        <f t="shared" si="40"/>
        <v/>
      </c>
      <c r="F512" s="55"/>
      <c r="G512" s="55"/>
      <c r="H512" s="55"/>
      <c r="I512" s="55"/>
      <c r="J512" s="55"/>
      <c r="K512" s="46" t="str">
        <f t="shared" ca="1" si="41"/>
        <v/>
      </c>
      <c r="L512" s="56" t="str">
        <f t="shared" ca="1" si="42"/>
        <v/>
      </c>
      <c r="Q512" s="57" t="str">
        <f t="shared" si="43"/>
        <v/>
      </c>
      <c r="R512" s="57" t="str">
        <f t="shared" si="44"/>
        <v/>
      </c>
    </row>
    <row r="513" spans="4:18" x14ac:dyDescent="0.25">
      <c r="D513" s="43"/>
      <c r="E513" s="55" t="str">
        <f t="shared" si="40"/>
        <v/>
      </c>
      <c r="F513" s="55"/>
      <c r="G513" s="55"/>
      <c r="H513" s="55"/>
      <c r="I513" s="55"/>
      <c r="J513" s="55"/>
      <c r="K513" s="46" t="str">
        <f t="shared" ca="1" si="41"/>
        <v/>
      </c>
      <c r="L513" s="56" t="str">
        <f t="shared" ca="1" si="42"/>
        <v/>
      </c>
      <c r="Q513" s="57" t="str">
        <f t="shared" si="43"/>
        <v/>
      </c>
      <c r="R513" s="57" t="str">
        <f t="shared" si="44"/>
        <v/>
      </c>
    </row>
    <row r="514" spans="4:18" x14ac:dyDescent="0.25">
      <c r="D514" s="43"/>
      <c r="E514" s="55" t="str">
        <f t="shared" si="40"/>
        <v/>
      </c>
      <c r="F514" s="55"/>
      <c r="G514" s="55"/>
      <c r="H514" s="55"/>
      <c r="I514" s="55"/>
      <c r="J514" s="55"/>
      <c r="K514" s="46" t="str">
        <f t="shared" ca="1" si="41"/>
        <v/>
      </c>
      <c r="L514" s="56" t="str">
        <f t="shared" ca="1" si="42"/>
        <v/>
      </c>
      <c r="Q514" s="57" t="str">
        <f t="shared" si="43"/>
        <v/>
      </c>
      <c r="R514" s="57" t="str">
        <f t="shared" si="44"/>
        <v/>
      </c>
    </row>
    <row r="515" spans="4:18" x14ac:dyDescent="0.25">
      <c r="D515" s="43"/>
      <c r="E515" s="55" t="str">
        <f t="shared" si="40"/>
        <v/>
      </c>
      <c r="F515" s="55"/>
      <c r="G515" s="55"/>
      <c r="H515" s="55"/>
      <c r="I515" s="55"/>
      <c r="J515" s="55"/>
      <c r="K515" s="46" t="str">
        <f t="shared" ca="1" si="41"/>
        <v/>
      </c>
      <c r="L515" s="56" t="str">
        <f t="shared" ca="1" si="42"/>
        <v/>
      </c>
      <c r="Q515" s="57" t="str">
        <f t="shared" si="43"/>
        <v/>
      </c>
      <c r="R515" s="57" t="str">
        <f t="shared" si="44"/>
        <v/>
      </c>
    </row>
    <row r="516" spans="4:18" x14ac:dyDescent="0.25">
      <c r="D516" s="43"/>
      <c r="E516" s="55" t="str">
        <f t="shared" si="40"/>
        <v/>
      </c>
      <c r="F516" s="55"/>
      <c r="G516" s="55"/>
      <c r="H516" s="55"/>
      <c r="I516" s="55"/>
      <c r="J516" s="55"/>
      <c r="K516" s="46" t="str">
        <f t="shared" ca="1" si="41"/>
        <v/>
      </c>
      <c r="L516" s="56" t="str">
        <f t="shared" ca="1" si="42"/>
        <v/>
      </c>
      <c r="Q516" s="57" t="str">
        <f t="shared" si="43"/>
        <v/>
      </c>
      <c r="R516" s="57" t="str">
        <f t="shared" si="44"/>
        <v/>
      </c>
    </row>
    <row r="517" spans="4:18" x14ac:dyDescent="0.25">
      <c r="D517" s="43"/>
      <c r="E517" s="55" t="str">
        <f t="shared" si="40"/>
        <v/>
      </c>
      <c r="F517" s="55"/>
      <c r="G517" s="55"/>
      <c r="H517" s="55"/>
      <c r="I517" s="55"/>
      <c r="J517" s="55"/>
      <c r="K517" s="46" t="str">
        <f t="shared" ca="1" si="41"/>
        <v/>
      </c>
      <c r="L517" s="56" t="str">
        <f t="shared" ca="1" si="42"/>
        <v/>
      </c>
      <c r="Q517" s="57" t="str">
        <f t="shared" si="43"/>
        <v/>
      </c>
      <c r="R517" s="57" t="str">
        <f t="shared" si="44"/>
        <v/>
      </c>
    </row>
    <row r="518" spans="4:18" x14ac:dyDescent="0.25">
      <c r="D518" s="43"/>
      <c r="E518" s="55" t="str">
        <f t="shared" si="40"/>
        <v/>
      </c>
      <c r="F518" s="55"/>
      <c r="G518" s="55"/>
      <c r="H518" s="55"/>
      <c r="I518" s="55"/>
      <c r="J518" s="55"/>
      <c r="K518" s="46" t="str">
        <f t="shared" ca="1" si="41"/>
        <v/>
      </c>
      <c r="L518" s="56" t="str">
        <f t="shared" ca="1" si="42"/>
        <v/>
      </c>
      <c r="Q518" s="57" t="str">
        <f t="shared" si="43"/>
        <v/>
      </c>
      <c r="R518" s="57" t="str">
        <f t="shared" si="44"/>
        <v/>
      </c>
    </row>
    <row r="519" spans="4:18" x14ac:dyDescent="0.25">
      <c r="D519" s="43"/>
      <c r="E519" s="55" t="str">
        <f t="shared" si="40"/>
        <v/>
      </c>
      <c r="F519" s="55"/>
      <c r="G519" s="55"/>
      <c r="H519" s="55"/>
      <c r="I519" s="55"/>
      <c r="J519" s="55"/>
      <c r="K519" s="46" t="str">
        <f t="shared" ca="1" si="41"/>
        <v/>
      </c>
      <c r="L519" s="56" t="str">
        <f t="shared" ca="1" si="42"/>
        <v/>
      </c>
      <c r="Q519" s="57" t="str">
        <f t="shared" si="43"/>
        <v/>
      </c>
      <c r="R519" s="57" t="str">
        <f t="shared" si="44"/>
        <v/>
      </c>
    </row>
    <row r="520" spans="4:18" x14ac:dyDescent="0.25">
      <c r="D520" s="43"/>
      <c r="E520" s="55" t="str">
        <f t="shared" si="40"/>
        <v/>
      </c>
      <c r="F520" s="55"/>
      <c r="G520" s="55"/>
      <c r="H520" s="55"/>
      <c r="I520" s="55"/>
      <c r="J520" s="55"/>
      <c r="K520" s="46" t="str">
        <f t="shared" ca="1" si="41"/>
        <v/>
      </c>
      <c r="L520" s="56" t="str">
        <f t="shared" ca="1" si="42"/>
        <v/>
      </c>
      <c r="Q520" s="57" t="str">
        <f t="shared" si="43"/>
        <v/>
      </c>
      <c r="R520" s="57" t="str">
        <f t="shared" si="44"/>
        <v/>
      </c>
    </row>
    <row r="521" spans="4:18" x14ac:dyDescent="0.25">
      <c r="D521" s="43"/>
      <c r="E521" s="55" t="str">
        <f t="shared" si="40"/>
        <v/>
      </c>
      <c r="F521" s="55"/>
      <c r="G521" s="55"/>
      <c r="H521" s="55"/>
      <c r="I521" s="55"/>
      <c r="J521" s="55"/>
      <c r="K521" s="46" t="str">
        <f t="shared" ca="1" si="41"/>
        <v/>
      </c>
      <c r="L521" s="56" t="str">
        <f t="shared" ca="1" si="42"/>
        <v/>
      </c>
      <c r="Q521" s="57" t="str">
        <f t="shared" si="43"/>
        <v/>
      </c>
      <c r="R521" s="57" t="str">
        <f t="shared" si="44"/>
        <v/>
      </c>
    </row>
    <row r="522" spans="4:18" x14ac:dyDescent="0.25">
      <c r="D522" s="43"/>
      <c r="E522" s="55" t="str">
        <f t="shared" si="40"/>
        <v/>
      </c>
      <c r="F522" s="55"/>
      <c r="G522" s="55"/>
      <c r="H522" s="55"/>
      <c r="I522" s="55"/>
      <c r="J522" s="55"/>
      <c r="K522" s="46" t="str">
        <f t="shared" ca="1" si="41"/>
        <v/>
      </c>
      <c r="L522" s="56" t="str">
        <f t="shared" ca="1" si="42"/>
        <v/>
      </c>
      <c r="Q522" s="57" t="str">
        <f t="shared" si="43"/>
        <v/>
      </c>
      <c r="R522" s="57" t="str">
        <f t="shared" si="44"/>
        <v/>
      </c>
    </row>
    <row r="523" spans="4:18" x14ac:dyDescent="0.25">
      <c r="D523" s="43"/>
      <c r="E523" s="55" t="str">
        <f t="shared" si="40"/>
        <v/>
      </c>
      <c r="F523" s="55"/>
      <c r="G523" s="55"/>
      <c r="H523" s="55"/>
      <c r="I523" s="55"/>
      <c r="J523" s="55"/>
      <c r="K523" s="46" t="str">
        <f t="shared" ca="1" si="41"/>
        <v/>
      </c>
      <c r="L523" s="56" t="str">
        <f t="shared" ca="1" si="42"/>
        <v/>
      </c>
      <c r="Q523" s="57" t="str">
        <f t="shared" si="43"/>
        <v/>
      </c>
      <c r="R523" s="57" t="str">
        <f t="shared" si="44"/>
        <v/>
      </c>
    </row>
    <row r="524" spans="4:18" x14ac:dyDescent="0.25">
      <c r="D524" s="43"/>
      <c r="E524" s="55" t="str">
        <f t="shared" si="40"/>
        <v/>
      </c>
      <c r="F524" s="55"/>
      <c r="G524" s="55"/>
      <c r="H524" s="55"/>
      <c r="I524" s="55"/>
      <c r="J524" s="55"/>
      <c r="K524" s="46" t="str">
        <f t="shared" ca="1" si="41"/>
        <v/>
      </c>
      <c r="L524" s="56" t="str">
        <f t="shared" ca="1" si="42"/>
        <v/>
      </c>
      <c r="Q524" s="57" t="str">
        <f t="shared" si="43"/>
        <v/>
      </c>
      <c r="R524" s="57" t="str">
        <f t="shared" si="44"/>
        <v/>
      </c>
    </row>
    <row r="525" spans="4:18" x14ac:dyDescent="0.25">
      <c r="D525" s="43"/>
      <c r="E525" s="55" t="str">
        <f t="shared" si="40"/>
        <v/>
      </c>
      <c r="F525" s="55"/>
      <c r="G525" s="55"/>
      <c r="H525" s="55"/>
      <c r="I525" s="55"/>
      <c r="J525" s="55"/>
      <c r="K525" s="46" t="str">
        <f t="shared" ca="1" si="41"/>
        <v/>
      </c>
      <c r="L525" s="56" t="str">
        <f t="shared" ca="1" si="42"/>
        <v/>
      </c>
      <c r="Q525" s="57" t="str">
        <f t="shared" si="43"/>
        <v/>
      </c>
      <c r="R525" s="57" t="str">
        <f t="shared" si="44"/>
        <v/>
      </c>
    </row>
    <row r="526" spans="4:18" x14ac:dyDescent="0.25">
      <c r="D526" s="43"/>
      <c r="E526" s="55" t="str">
        <f t="shared" si="40"/>
        <v/>
      </c>
      <c r="F526" s="55"/>
      <c r="G526" s="55"/>
      <c r="H526" s="55"/>
      <c r="I526" s="55"/>
      <c r="J526" s="55"/>
      <c r="K526" s="46" t="str">
        <f t="shared" ca="1" si="41"/>
        <v/>
      </c>
      <c r="L526" s="56" t="str">
        <f t="shared" ca="1" si="42"/>
        <v/>
      </c>
      <c r="Q526" s="57" t="str">
        <f t="shared" si="43"/>
        <v/>
      </c>
      <c r="R526" s="57" t="str">
        <f t="shared" si="44"/>
        <v/>
      </c>
    </row>
    <row r="527" spans="4:18" x14ac:dyDescent="0.25">
      <c r="D527" s="43"/>
      <c r="E527" s="55" t="str">
        <f t="shared" si="40"/>
        <v/>
      </c>
      <c r="F527" s="55"/>
      <c r="G527" s="55"/>
      <c r="H527" s="55"/>
      <c r="I527" s="55"/>
      <c r="J527" s="55"/>
      <c r="K527" s="46" t="str">
        <f t="shared" ca="1" si="41"/>
        <v/>
      </c>
      <c r="L527" s="56" t="str">
        <f t="shared" ca="1" si="42"/>
        <v/>
      </c>
      <c r="Q527" s="57" t="str">
        <f t="shared" si="43"/>
        <v/>
      </c>
      <c r="R527" s="57" t="str">
        <f t="shared" si="44"/>
        <v/>
      </c>
    </row>
    <row r="528" spans="4:18" x14ac:dyDescent="0.25">
      <c r="D528" s="43"/>
      <c r="E528" s="55" t="str">
        <f t="shared" si="40"/>
        <v/>
      </c>
      <c r="F528" s="55"/>
      <c r="G528" s="55"/>
      <c r="H528" s="55"/>
      <c r="I528" s="55"/>
      <c r="J528" s="55"/>
      <c r="K528" s="46" t="str">
        <f t="shared" ca="1" si="41"/>
        <v/>
      </c>
      <c r="L528" s="56" t="str">
        <f t="shared" ca="1" si="42"/>
        <v/>
      </c>
      <c r="Q528" s="57" t="str">
        <f t="shared" si="43"/>
        <v/>
      </c>
      <c r="R528" s="57" t="str">
        <f t="shared" si="44"/>
        <v/>
      </c>
    </row>
    <row r="529" spans="4:18" x14ac:dyDescent="0.25">
      <c r="D529" s="43"/>
      <c r="E529" s="55" t="str">
        <f t="shared" si="40"/>
        <v/>
      </c>
      <c r="F529" s="55"/>
      <c r="G529" s="55"/>
      <c r="H529" s="55"/>
      <c r="I529" s="55"/>
      <c r="J529" s="55"/>
      <c r="K529" s="46" t="str">
        <f t="shared" ca="1" si="41"/>
        <v/>
      </c>
      <c r="L529" s="56" t="str">
        <f t="shared" ca="1" si="42"/>
        <v/>
      </c>
      <c r="Q529" s="57" t="str">
        <f t="shared" si="43"/>
        <v/>
      </c>
      <c r="R529" s="57" t="str">
        <f t="shared" si="44"/>
        <v/>
      </c>
    </row>
    <row r="530" spans="4:18" x14ac:dyDescent="0.25">
      <c r="D530" s="43"/>
      <c r="E530" s="55" t="str">
        <f t="shared" si="40"/>
        <v/>
      </c>
      <c r="F530" s="55"/>
      <c r="G530" s="55"/>
      <c r="H530" s="55"/>
      <c r="I530" s="55"/>
      <c r="J530" s="55"/>
      <c r="K530" s="46" t="str">
        <f t="shared" ca="1" si="41"/>
        <v/>
      </c>
      <c r="L530" s="56" t="str">
        <f t="shared" ca="1" si="42"/>
        <v/>
      </c>
      <c r="Q530" s="57" t="str">
        <f t="shared" si="43"/>
        <v/>
      </c>
      <c r="R530" s="57" t="str">
        <f t="shared" si="44"/>
        <v/>
      </c>
    </row>
    <row r="531" spans="4:18" x14ac:dyDescent="0.25">
      <c r="D531" s="43"/>
      <c r="E531" s="55" t="str">
        <f t="shared" si="40"/>
        <v/>
      </c>
      <c r="F531" s="55"/>
      <c r="G531" s="55"/>
      <c r="H531" s="55"/>
      <c r="I531" s="55"/>
      <c r="J531" s="55"/>
      <c r="K531" s="46" t="str">
        <f t="shared" ca="1" si="41"/>
        <v/>
      </c>
      <c r="L531" s="56" t="str">
        <f t="shared" ca="1" si="42"/>
        <v/>
      </c>
      <c r="Q531" s="57" t="str">
        <f t="shared" si="43"/>
        <v/>
      </c>
      <c r="R531" s="57" t="str">
        <f t="shared" si="44"/>
        <v/>
      </c>
    </row>
    <row r="532" spans="4:18" x14ac:dyDescent="0.25">
      <c r="D532" s="43"/>
      <c r="E532" s="55" t="str">
        <f t="shared" ref="E532:E595" si="45">IF(ISNUMBER(SEARCH("v crs",D532))=TRUE,"VC",IF(ISNUMBER(SEARCH("crs",D532))=TRUE,"C",IF(ISNUMBER(SEARCH("med",D532))=TRUE,"M",IF(ISNUMBER(SEARCH("vf",D532))=TRUE,"VF",IF(ISNUMBER(SEARCH("f",D532))=TRUE,"F","")))))</f>
        <v/>
      </c>
      <c r="F532" s="55"/>
      <c r="G532" s="55"/>
      <c r="H532" s="55"/>
      <c r="I532" s="55"/>
      <c r="J532" s="55"/>
      <c r="K532" s="46" t="str">
        <f t="shared" ca="1" si="41"/>
        <v/>
      </c>
      <c r="L532" s="56" t="str">
        <f t="shared" ca="1" si="42"/>
        <v/>
      </c>
      <c r="Q532" s="57" t="str">
        <f t="shared" si="43"/>
        <v/>
      </c>
      <c r="R532" s="57" t="str">
        <f t="shared" si="44"/>
        <v/>
      </c>
    </row>
    <row r="533" spans="4:18" x14ac:dyDescent="0.25">
      <c r="D533" s="43"/>
      <c r="E533" s="55" t="str">
        <f t="shared" si="45"/>
        <v/>
      </c>
      <c r="F533" s="55"/>
      <c r="G533" s="55"/>
      <c r="H533" s="55"/>
      <c r="I533" s="55"/>
      <c r="J533" s="55"/>
      <c r="K533" s="46" t="str">
        <f t="shared" ref="K533:K596" ca="1" si="46">IF(AND(C533&lt;&gt;"",C533&lt;&gt;Q533),TODAY(),IF(C533="","",K533))</f>
        <v/>
      </c>
      <c r="L533" s="56" t="str">
        <f t="shared" ref="L533:L596" ca="1" si="47">IF(AND(C533&lt;&gt;"",C533&lt;&gt;R533),NOW(),IF(C533="","",L533))</f>
        <v/>
      </c>
      <c r="Q533" s="57" t="str">
        <f t="shared" ref="Q533:Q596" si="48">IF(C533="","",IF(OR(K533="",AND(ISNUMBER(Q533),C533=Q533)),Q533,C533))</f>
        <v/>
      </c>
      <c r="R533" s="57" t="str">
        <f t="shared" ref="R533:R596" si="49">IF(C533="","",IF(OR(L533="",AND(ISNUMBER(R533),C533=R533)),R533,C533))</f>
        <v/>
      </c>
    </row>
    <row r="534" spans="4:18" x14ac:dyDescent="0.25">
      <c r="D534" s="43"/>
      <c r="E534" s="55" t="str">
        <f t="shared" si="45"/>
        <v/>
      </c>
      <c r="F534" s="55"/>
      <c r="G534" s="55"/>
      <c r="H534" s="55"/>
      <c r="I534" s="55"/>
      <c r="J534" s="55"/>
      <c r="K534" s="46" t="str">
        <f t="shared" ca="1" si="46"/>
        <v/>
      </c>
      <c r="L534" s="56" t="str">
        <f t="shared" ca="1" si="47"/>
        <v/>
      </c>
      <c r="Q534" s="57" t="str">
        <f t="shared" si="48"/>
        <v/>
      </c>
      <c r="R534" s="57" t="str">
        <f t="shared" si="49"/>
        <v/>
      </c>
    </row>
    <row r="535" spans="4:18" x14ac:dyDescent="0.25">
      <c r="D535" s="43"/>
      <c r="E535" s="55" t="str">
        <f t="shared" si="45"/>
        <v/>
      </c>
      <c r="F535" s="55"/>
      <c r="G535" s="55"/>
      <c r="H535" s="55"/>
      <c r="I535" s="55"/>
      <c r="J535" s="55"/>
      <c r="K535" s="46" t="str">
        <f t="shared" ca="1" si="46"/>
        <v/>
      </c>
      <c r="L535" s="56" t="str">
        <f t="shared" ca="1" si="47"/>
        <v/>
      </c>
      <c r="Q535" s="57" t="str">
        <f t="shared" si="48"/>
        <v/>
      </c>
      <c r="R535" s="57" t="str">
        <f t="shared" si="49"/>
        <v/>
      </c>
    </row>
    <row r="536" spans="4:18" x14ac:dyDescent="0.25">
      <c r="D536" s="43"/>
      <c r="E536" s="55" t="str">
        <f t="shared" si="45"/>
        <v/>
      </c>
      <c r="F536" s="55"/>
      <c r="G536" s="55"/>
      <c r="H536" s="55"/>
      <c r="I536" s="55"/>
      <c r="J536" s="55"/>
      <c r="K536" s="46" t="str">
        <f t="shared" ca="1" si="46"/>
        <v/>
      </c>
      <c r="L536" s="56" t="str">
        <f t="shared" ca="1" si="47"/>
        <v/>
      </c>
      <c r="Q536" s="57" t="str">
        <f t="shared" si="48"/>
        <v/>
      </c>
      <c r="R536" s="57" t="str">
        <f t="shared" si="49"/>
        <v/>
      </c>
    </row>
    <row r="537" spans="4:18" x14ac:dyDescent="0.25">
      <c r="D537" s="43"/>
      <c r="E537" s="55" t="str">
        <f t="shared" si="45"/>
        <v/>
      </c>
      <c r="F537" s="55"/>
      <c r="G537" s="55"/>
      <c r="H537" s="55"/>
      <c r="I537" s="55"/>
      <c r="J537" s="55"/>
      <c r="K537" s="46" t="str">
        <f t="shared" ca="1" si="46"/>
        <v/>
      </c>
      <c r="L537" s="56" t="str">
        <f t="shared" ca="1" si="47"/>
        <v/>
      </c>
      <c r="Q537" s="57" t="str">
        <f t="shared" si="48"/>
        <v/>
      </c>
      <c r="R537" s="57" t="str">
        <f t="shared" si="49"/>
        <v/>
      </c>
    </row>
    <row r="538" spans="4:18" x14ac:dyDescent="0.25">
      <c r="D538" s="43"/>
      <c r="E538" s="55" t="str">
        <f t="shared" si="45"/>
        <v/>
      </c>
      <c r="F538" s="55"/>
      <c r="G538" s="55"/>
      <c r="H538" s="55"/>
      <c r="I538" s="55"/>
      <c r="J538" s="55"/>
      <c r="K538" s="46" t="str">
        <f t="shared" ca="1" si="46"/>
        <v/>
      </c>
      <c r="L538" s="56" t="str">
        <f t="shared" ca="1" si="47"/>
        <v/>
      </c>
      <c r="Q538" s="57" t="str">
        <f t="shared" si="48"/>
        <v/>
      </c>
      <c r="R538" s="57" t="str">
        <f t="shared" si="49"/>
        <v/>
      </c>
    </row>
    <row r="539" spans="4:18" x14ac:dyDescent="0.25">
      <c r="D539" s="43"/>
      <c r="E539" s="55" t="str">
        <f t="shared" si="45"/>
        <v/>
      </c>
      <c r="F539" s="55"/>
      <c r="G539" s="55"/>
      <c r="H539" s="55"/>
      <c r="I539" s="55"/>
      <c r="J539" s="55"/>
      <c r="K539" s="46" t="str">
        <f t="shared" ca="1" si="46"/>
        <v/>
      </c>
      <c r="L539" s="56" t="str">
        <f t="shared" ca="1" si="47"/>
        <v/>
      </c>
      <c r="Q539" s="57" t="str">
        <f t="shared" si="48"/>
        <v/>
      </c>
      <c r="R539" s="57" t="str">
        <f t="shared" si="49"/>
        <v/>
      </c>
    </row>
    <row r="540" spans="4:18" x14ac:dyDescent="0.25">
      <c r="D540" s="43"/>
      <c r="E540" s="55" t="str">
        <f t="shared" si="45"/>
        <v/>
      </c>
      <c r="F540" s="55"/>
      <c r="G540" s="55"/>
      <c r="H540" s="55"/>
      <c r="I540" s="55"/>
      <c r="J540" s="55"/>
      <c r="K540" s="46" t="str">
        <f t="shared" ca="1" si="46"/>
        <v/>
      </c>
      <c r="L540" s="56" t="str">
        <f t="shared" ca="1" si="47"/>
        <v/>
      </c>
      <c r="Q540" s="57" t="str">
        <f t="shared" si="48"/>
        <v/>
      </c>
      <c r="R540" s="57" t="str">
        <f t="shared" si="49"/>
        <v/>
      </c>
    </row>
    <row r="541" spans="4:18" x14ac:dyDescent="0.25">
      <c r="D541" s="43"/>
      <c r="E541" s="55" t="str">
        <f t="shared" si="45"/>
        <v/>
      </c>
      <c r="F541" s="55"/>
      <c r="G541" s="55"/>
      <c r="H541" s="55"/>
      <c r="I541" s="55"/>
      <c r="J541" s="55"/>
      <c r="K541" s="46" t="str">
        <f t="shared" ca="1" si="46"/>
        <v/>
      </c>
      <c r="L541" s="56" t="str">
        <f t="shared" ca="1" si="47"/>
        <v/>
      </c>
      <c r="Q541" s="57" t="str">
        <f t="shared" si="48"/>
        <v/>
      </c>
      <c r="R541" s="57" t="str">
        <f t="shared" si="49"/>
        <v/>
      </c>
    </row>
    <row r="542" spans="4:18" x14ac:dyDescent="0.25">
      <c r="D542" s="43"/>
      <c r="E542" s="55" t="str">
        <f t="shared" si="45"/>
        <v/>
      </c>
      <c r="F542" s="55"/>
      <c r="G542" s="55"/>
      <c r="H542" s="55"/>
      <c r="I542" s="55"/>
      <c r="J542" s="55"/>
      <c r="K542" s="46" t="str">
        <f t="shared" ca="1" si="46"/>
        <v/>
      </c>
      <c r="L542" s="56" t="str">
        <f t="shared" ca="1" si="47"/>
        <v/>
      </c>
      <c r="Q542" s="57" t="str">
        <f t="shared" si="48"/>
        <v/>
      </c>
      <c r="R542" s="57" t="str">
        <f t="shared" si="49"/>
        <v/>
      </c>
    </row>
    <row r="543" spans="4:18" x14ac:dyDescent="0.25">
      <c r="D543" s="43"/>
      <c r="E543" s="55" t="str">
        <f t="shared" si="45"/>
        <v/>
      </c>
      <c r="F543" s="55"/>
      <c r="G543" s="55"/>
      <c r="H543" s="55"/>
      <c r="I543" s="55"/>
      <c r="J543" s="55"/>
      <c r="K543" s="46" t="str">
        <f t="shared" ca="1" si="46"/>
        <v/>
      </c>
      <c r="L543" s="56" t="str">
        <f t="shared" ca="1" si="47"/>
        <v/>
      </c>
      <c r="Q543" s="57" t="str">
        <f t="shared" si="48"/>
        <v/>
      </c>
      <c r="R543" s="57" t="str">
        <f t="shared" si="49"/>
        <v/>
      </c>
    </row>
    <row r="544" spans="4:18" x14ac:dyDescent="0.25">
      <c r="D544" s="43"/>
      <c r="E544" s="55" t="str">
        <f t="shared" si="45"/>
        <v/>
      </c>
      <c r="F544" s="55"/>
      <c r="G544" s="55"/>
      <c r="H544" s="55"/>
      <c r="I544" s="55"/>
      <c r="J544" s="55"/>
      <c r="K544" s="46" t="str">
        <f t="shared" ca="1" si="46"/>
        <v/>
      </c>
      <c r="L544" s="56" t="str">
        <f t="shared" ca="1" si="47"/>
        <v/>
      </c>
      <c r="Q544" s="57" t="str">
        <f t="shared" si="48"/>
        <v/>
      </c>
      <c r="R544" s="57" t="str">
        <f t="shared" si="49"/>
        <v/>
      </c>
    </row>
    <row r="545" spans="4:18" x14ac:dyDescent="0.25">
      <c r="D545" s="43"/>
      <c r="E545" s="55" t="str">
        <f t="shared" si="45"/>
        <v/>
      </c>
      <c r="F545" s="55"/>
      <c r="G545" s="55"/>
      <c r="H545" s="55"/>
      <c r="I545" s="55"/>
      <c r="J545" s="55"/>
      <c r="K545" s="46" t="str">
        <f t="shared" ca="1" si="46"/>
        <v/>
      </c>
      <c r="L545" s="56" t="str">
        <f t="shared" ca="1" si="47"/>
        <v/>
      </c>
      <c r="Q545" s="57" t="str">
        <f t="shared" si="48"/>
        <v/>
      </c>
      <c r="R545" s="57" t="str">
        <f t="shared" si="49"/>
        <v/>
      </c>
    </row>
    <row r="546" spans="4:18" x14ac:dyDescent="0.25">
      <c r="D546" s="43"/>
      <c r="E546" s="55" t="str">
        <f t="shared" si="45"/>
        <v/>
      </c>
      <c r="F546" s="55"/>
      <c r="G546" s="55"/>
      <c r="H546" s="55"/>
      <c r="I546" s="55"/>
      <c r="J546" s="55"/>
      <c r="K546" s="46" t="str">
        <f t="shared" ca="1" si="46"/>
        <v/>
      </c>
      <c r="L546" s="56" t="str">
        <f t="shared" ca="1" si="47"/>
        <v/>
      </c>
      <c r="Q546" s="57" t="str">
        <f t="shared" si="48"/>
        <v/>
      </c>
      <c r="R546" s="57" t="str">
        <f t="shared" si="49"/>
        <v/>
      </c>
    </row>
    <row r="547" spans="4:18" x14ac:dyDescent="0.25">
      <c r="D547" s="43"/>
      <c r="E547" s="55" t="str">
        <f t="shared" si="45"/>
        <v/>
      </c>
      <c r="F547" s="55"/>
      <c r="G547" s="55"/>
      <c r="H547" s="55"/>
      <c r="I547" s="55"/>
      <c r="J547" s="55"/>
      <c r="K547" s="46" t="str">
        <f t="shared" ca="1" si="46"/>
        <v/>
      </c>
      <c r="L547" s="56" t="str">
        <f t="shared" ca="1" si="47"/>
        <v/>
      </c>
      <c r="Q547" s="57" t="str">
        <f t="shared" si="48"/>
        <v/>
      </c>
      <c r="R547" s="57" t="str">
        <f t="shared" si="49"/>
        <v/>
      </c>
    </row>
    <row r="548" spans="4:18" x14ac:dyDescent="0.25">
      <c r="D548" s="43"/>
      <c r="E548" s="55" t="str">
        <f t="shared" si="45"/>
        <v/>
      </c>
      <c r="F548" s="55"/>
      <c r="G548" s="55"/>
      <c r="H548" s="55"/>
      <c r="I548" s="55"/>
      <c r="J548" s="55"/>
      <c r="K548" s="46" t="str">
        <f t="shared" ca="1" si="46"/>
        <v/>
      </c>
      <c r="L548" s="56" t="str">
        <f t="shared" ca="1" si="47"/>
        <v/>
      </c>
      <c r="Q548" s="57" t="str">
        <f t="shared" si="48"/>
        <v/>
      </c>
      <c r="R548" s="57" t="str">
        <f t="shared" si="49"/>
        <v/>
      </c>
    </row>
    <row r="549" spans="4:18" x14ac:dyDescent="0.25">
      <c r="D549" s="43"/>
      <c r="E549" s="55" t="str">
        <f t="shared" si="45"/>
        <v/>
      </c>
      <c r="F549" s="55"/>
      <c r="G549" s="55"/>
      <c r="H549" s="55"/>
      <c r="I549" s="55"/>
      <c r="J549" s="55"/>
      <c r="K549" s="46" t="str">
        <f t="shared" ca="1" si="46"/>
        <v/>
      </c>
      <c r="L549" s="56" t="str">
        <f t="shared" ca="1" si="47"/>
        <v/>
      </c>
      <c r="Q549" s="57" t="str">
        <f t="shared" si="48"/>
        <v/>
      </c>
      <c r="R549" s="57" t="str">
        <f t="shared" si="49"/>
        <v/>
      </c>
    </row>
    <row r="550" spans="4:18" x14ac:dyDescent="0.25">
      <c r="D550" s="43"/>
      <c r="E550" s="55" t="str">
        <f t="shared" si="45"/>
        <v/>
      </c>
      <c r="F550" s="55"/>
      <c r="G550" s="55"/>
      <c r="H550" s="55"/>
      <c r="I550" s="55"/>
      <c r="J550" s="55"/>
      <c r="K550" s="46" t="str">
        <f t="shared" ca="1" si="46"/>
        <v/>
      </c>
      <c r="L550" s="56" t="str">
        <f t="shared" ca="1" si="47"/>
        <v/>
      </c>
      <c r="Q550" s="57" t="str">
        <f t="shared" si="48"/>
        <v/>
      </c>
      <c r="R550" s="57" t="str">
        <f t="shared" si="49"/>
        <v/>
      </c>
    </row>
    <row r="551" spans="4:18" x14ac:dyDescent="0.25">
      <c r="D551" s="43"/>
      <c r="E551" s="55" t="str">
        <f t="shared" si="45"/>
        <v/>
      </c>
      <c r="F551" s="55"/>
      <c r="G551" s="55"/>
      <c r="H551" s="55"/>
      <c r="I551" s="55"/>
      <c r="J551" s="55"/>
      <c r="K551" s="46" t="str">
        <f t="shared" ca="1" si="46"/>
        <v/>
      </c>
      <c r="L551" s="56" t="str">
        <f t="shared" ca="1" si="47"/>
        <v/>
      </c>
      <c r="Q551" s="57" t="str">
        <f t="shared" si="48"/>
        <v/>
      </c>
      <c r="R551" s="57" t="str">
        <f t="shared" si="49"/>
        <v/>
      </c>
    </row>
    <row r="552" spans="4:18" x14ac:dyDescent="0.25">
      <c r="D552" s="43"/>
      <c r="E552" s="55" t="str">
        <f t="shared" si="45"/>
        <v/>
      </c>
      <c r="F552" s="55"/>
      <c r="G552" s="55"/>
      <c r="H552" s="55"/>
      <c r="I552" s="55"/>
      <c r="J552" s="55"/>
      <c r="K552" s="46" t="str">
        <f t="shared" ca="1" si="46"/>
        <v/>
      </c>
      <c r="L552" s="56" t="str">
        <f t="shared" ca="1" si="47"/>
        <v/>
      </c>
      <c r="Q552" s="57" t="str">
        <f t="shared" si="48"/>
        <v/>
      </c>
      <c r="R552" s="57" t="str">
        <f t="shared" si="49"/>
        <v/>
      </c>
    </row>
    <row r="553" spans="4:18" x14ac:dyDescent="0.25">
      <c r="D553" s="43"/>
      <c r="E553" s="55" t="str">
        <f t="shared" si="45"/>
        <v/>
      </c>
      <c r="F553" s="55"/>
      <c r="G553" s="55"/>
      <c r="H553" s="55"/>
      <c r="I553" s="55"/>
      <c r="J553" s="55"/>
      <c r="K553" s="46" t="str">
        <f t="shared" ca="1" si="46"/>
        <v/>
      </c>
      <c r="L553" s="56" t="str">
        <f t="shared" ca="1" si="47"/>
        <v/>
      </c>
      <c r="Q553" s="57" t="str">
        <f t="shared" si="48"/>
        <v/>
      </c>
      <c r="R553" s="57" t="str">
        <f t="shared" si="49"/>
        <v/>
      </c>
    </row>
    <row r="554" spans="4:18" x14ac:dyDescent="0.25">
      <c r="D554" s="43"/>
      <c r="E554" s="55" t="str">
        <f t="shared" si="45"/>
        <v/>
      </c>
      <c r="F554" s="55"/>
      <c r="G554" s="55"/>
      <c r="H554" s="55"/>
      <c r="I554" s="55"/>
      <c r="J554" s="55"/>
      <c r="K554" s="46" t="str">
        <f t="shared" ca="1" si="46"/>
        <v/>
      </c>
      <c r="L554" s="56" t="str">
        <f t="shared" ca="1" si="47"/>
        <v/>
      </c>
      <c r="Q554" s="57" t="str">
        <f t="shared" si="48"/>
        <v/>
      </c>
      <c r="R554" s="57" t="str">
        <f t="shared" si="49"/>
        <v/>
      </c>
    </row>
    <row r="555" spans="4:18" x14ac:dyDescent="0.25">
      <c r="D555" s="43"/>
      <c r="E555" s="55" t="str">
        <f t="shared" si="45"/>
        <v/>
      </c>
      <c r="F555" s="55"/>
      <c r="G555" s="55"/>
      <c r="H555" s="55"/>
      <c r="I555" s="55"/>
      <c r="J555" s="55"/>
      <c r="K555" s="46" t="str">
        <f t="shared" ca="1" si="46"/>
        <v/>
      </c>
      <c r="L555" s="56" t="str">
        <f t="shared" ca="1" si="47"/>
        <v/>
      </c>
      <c r="Q555" s="57" t="str">
        <f t="shared" si="48"/>
        <v/>
      </c>
      <c r="R555" s="57" t="str">
        <f t="shared" si="49"/>
        <v/>
      </c>
    </row>
    <row r="556" spans="4:18" x14ac:dyDescent="0.25">
      <c r="D556" s="43"/>
      <c r="E556" s="55" t="str">
        <f t="shared" si="45"/>
        <v/>
      </c>
      <c r="F556" s="55"/>
      <c r="G556" s="55"/>
      <c r="H556" s="55"/>
      <c r="I556" s="55"/>
      <c r="J556" s="55"/>
      <c r="K556" s="46" t="str">
        <f t="shared" ca="1" si="46"/>
        <v/>
      </c>
      <c r="L556" s="56" t="str">
        <f t="shared" ca="1" si="47"/>
        <v/>
      </c>
      <c r="Q556" s="57" t="str">
        <f t="shared" si="48"/>
        <v/>
      </c>
      <c r="R556" s="57" t="str">
        <f t="shared" si="49"/>
        <v/>
      </c>
    </row>
    <row r="557" spans="4:18" x14ac:dyDescent="0.25">
      <c r="D557" s="43"/>
      <c r="E557" s="55" t="str">
        <f t="shared" si="45"/>
        <v/>
      </c>
      <c r="F557" s="55"/>
      <c r="G557" s="55"/>
      <c r="H557" s="55"/>
      <c r="I557" s="55"/>
      <c r="J557" s="55"/>
      <c r="K557" s="46" t="str">
        <f t="shared" ca="1" si="46"/>
        <v/>
      </c>
      <c r="L557" s="56" t="str">
        <f t="shared" ca="1" si="47"/>
        <v/>
      </c>
      <c r="Q557" s="57" t="str">
        <f t="shared" si="48"/>
        <v/>
      </c>
      <c r="R557" s="57" t="str">
        <f t="shared" si="49"/>
        <v/>
      </c>
    </row>
    <row r="558" spans="4:18" x14ac:dyDescent="0.25">
      <c r="D558" s="43"/>
      <c r="E558" s="55" t="str">
        <f t="shared" si="45"/>
        <v/>
      </c>
      <c r="F558" s="55"/>
      <c r="G558" s="55"/>
      <c r="H558" s="55"/>
      <c r="I558" s="55"/>
      <c r="J558" s="55"/>
      <c r="K558" s="46" t="str">
        <f t="shared" ca="1" si="46"/>
        <v/>
      </c>
      <c r="L558" s="56" t="str">
        <f t="shared" ca="1" si="47"/>
        <v/>
      </c>
      <c r="Q558" s="57" t="str">
        <f t="shared" si="48"/>
        <v/>
      </c>
      <c r="R558" s="57" t="str">
        <f t="shared" si="49"/>
        <v/>
      </c>
    </row>
    <row r="559" spans="4:18" x14ac:dyDescent="0.25">
      <c r="D559" s="43"/>
      <c r="E559" s="55" t="str">
        <f t="shared" si="45"/>
        <v/>
      </c>
      <c r="F559" s="55"/>
      <c r="G559" s="55"/>
      <c r="H559" s="55"/>
      <c r="I559" s="55"/>
      <c r="J559" s="55"/>
      <c r="K559" s="46" t="str">
        <f t="shared" ca="1" si="46"/>
        <v/>
      </c>
      <c r="L559" s="56" t="str">
        <f t="shared" ca="1" si="47"/>
        <v/>
      </c>
      <c r="Q559" s="57" t="str">
        <f t="shared" si="48"/>
        <v/>
      </c>
      <c r="R559" s="57" t="str">
        <f t="shared" si="49"/>
        <v/>
      </c>
    </row>
    <row r="560" spans="4:18" x14ac:dyDescent="0.25">
      <c r="D560" s="43"/>
      <c r="E560" s="55" t="str">
        <f t="shared" si="45"/>
        <v/>
      </c>
      <c r="F560" s="55"/>
      <c r="G560" s="55"/>
      <c r="H560" s="55"/>
      <c r="I560" s="55"/>
      <c r="J560" s="55"/>
      <c r="K560" s="46" t="str">
        <f t="shared" ca="1" si="46"/>
        <v/>
      </c>
      <c r="L560" s="56" t="str">
        <f t="shared" ca="1" si="47"/>
        <v/>
      </c>
      <c r="Q560" s="57" t="str">
        <f t="shared" si="48"/>
        <v/>
      </c>
      <c r="R560" s="57" t="str">
        <f t="shared" si="49"/>
        <v/>
      </c>
    </row>
    <row r="561" spans="4:18" x14ac:dyDescent="0.25">
      <c r="D561" s="43"/>
      <c r="E561" s="55" t="str">
        <f t="shared" si="45"/>
        <v/>
      </c>
      <c r="F561" s="55"/>
      <c r="G561" s="55"/>
      <c r="H561" s="55"/>
      <c r="I561" s="55"/>
      <c r="J561" s="55"/>
      <c r="K561" s="46" t="str">
        <f t="shared" ca="1" si="46"/>
        <v/>
      </c>
      <c r="L561" s="56" t="str">
        <f t="shared" ca="1" si="47"/>
        <v/>
      </c>
      <c r="Q561" s="57" t="str">
        <f t="shared" si="48"/>
        <v/>
      </c>
      <c r="R561" s="57" t="str">
        <f t="shared" si="49"/>
        <v/>
      </c>
    </row>
    <row r="562" spans="4:18" x14ac:dyDescent="0.25">
      <c r="D562" s="43"/>
      <c r="E562" s="55" t="str">
        <f t="shared" si="45"/>
        <v/>
      </c>
      <c r="F562" s="55"/>
      <c r="G562" s="55"/>
      <c r="H562" s="55"/>
      <c r="I562" s="55"/>
      <c r="J562" s="55"/>
      <c r="K562" s="46" t="str">
        <f t="shared" ca="1" si="46"/>
        <v/>
      </c>
      <c r="L562" s="56" t="str">
        <f t="shared" ca="1" si="47"/>
        <v/>
      </c>
      <c r="Q562" s="57" t="str">
        <f t="shared" si="48"/>
        <v/>
      </c>
      <c r="R562" s="57" t="str">
        <f t="shared" si="49"/>
        <v/>
      </c>
    </row>
    <row r="563" spans="4:18" x14ac:dyDescent="0.25">
      <c r="D563" s="43"/>
      <c r="E563" s="55" t="str">
        <f t="shared" si="45"/>
        <v/>
      </c>
      <c r="F563" s="55"/>
      <c r="G563" s="55"/>
      <c r="H563" s="55"/>
      <c r="I563" s="55"/>
      <c r="J563" s="55"/>
      <c r="K563" s="46" t="str">
        <f t="shared" ca="1" si="46"/>
        <v/>
      </c>
      <c r="L563" s="56" t="str">
        <f t="shared" ca="1" si="47"/>
        <v/>
      </c>
      <c r="Q563" s="57" t="str">
        <f t="shared" si="48"/>
        <v/>
      </c>
      <c r="R563" s="57" t="str">
        <f t="shared" si="49"/>
        <v/>
      </c>
    </row>
    <row r="564" spans="4:18" x14ac:dyDescent="0.25">
      <c r="D564" s="43"/>
      <c r="E564" s="55" t="str">
        <f t="shared" si="45"/>
        <v/>
      </c>
      <c r="F564" s="55"/>
      <c r="G564" s="55"/>
      <c r="H564" s="55"/>
      <c r="I564" s="55"/>
      <c r="J564" s="55"/>
      <c r="K564" s="46" t="str">
        <f t="shared" ca="1" si="46"/>
        <v/>
      </c>
      <c r="L564" s="56" t="str">
        <f t="shared" ca="1" si="47"/>
        <v/>
      </c>
      <c r="Q564" s="57" t="str">
        <f t="shared" si="48"/>
        <v/>
      </c>
      <c r="R564" s="57" t="str">
        <f t="shared" si="49"/>
        <v/>
      </c>
    </row>
    <row r="565" spans="4:18" x14ac:dyDescent="0.25">
      <c r="D565" s="43"/>
      <c r="E565" s="55" t="str">
        <f t="shared" si="45"/>
        <v/>
      </c>
      <c r="F565" s="55"/>
      <c r="G565" s="55"/>
      <c r="H565" s="55"/>
      <c r="I565" s="55"/>
      <c r="J565" s="55"/>
      <c r="K565" s="46" t="str">
        <f t="shared" ca="1" si="46"/>
        <v/>
      </c>
      <c r="L565" s="56" t="str">
        <f t="shared" ca="1" si="47"/>
        <v/>
      </c>
      <c r="Q565" s="57" t="str">
        <f t="shared" si="48"/>
        <v/>
      </c>
      <c r="R565" s="57" t="str">
        <f t="shared" si="49"/>
        <v/>
      </c>
    </row>
    <row r="566" spans="4:18" x14ac:dyDescent="0.25">
      <c r="D566" s="43"/>
      <c r="E566" s="55" t="str">
        <f t="shared" si="45"/>
        <v/>
      </c>
      <c r="F566" s="55"/>
      <c r="G566" s="55"/>
      <c r="H566" s="55"/>
      <c r="I566" s="55"/>
      <c r="J566" s="55"/>
      <c r="K566" s="46" t="str">
        <f t="shared" ca="1" si="46"/>
        <v/>
      </c>
      <c r="L566" s="56" t="str">
        <f t="shared" ca="1" si="47"/>
        <v/>
      </c>
      <c r="Q566" s="57" t="str">
        <f t="shared" si="48"/>
        <v/>
      </c>
      <c r="R566" s="57" t="str">
        <f t="shared" si="49"/>
        <v/>
      </c>
    </row>
    <row r="567" spans="4:18" x14ac:dyDescent="0.25">
      <c r="D567" s="43"/>
      <c r="E567" s="55" t="str">
        <f t="shared" si="45"/>
        <v/>
      </c>
      <c r="F567" s="55"/>
      <c r="G567" s="55"/>
      <c r="H567" s="55"/>
      <c r="I567" s="55"/>
      <c r="J567" s="55"/>
      <c r="K567" s="46" t="str">
        <f t="shared" ca="1" si="46"/>
        <v/>
      </c>
      <c r="L567" s="56" t="str">
        <f t="shared" ca="1" si="47"/>
        <v/>
      </c>
      <c r="Q567" s="57" t="str">
        <f t="shared" si="48"/>
        <v/>
      </c>
      <c r="R567" s="57" t="str">
        <f t="shared" si="49"/>
        <v/>
      </c>
    </row>
    <row r="568" spans="4:18" x14ac:dyDescent="0.25">
      <c r="D568" s="43"/>
      <c r="E568" s="55" t="str">
        <f t="shared" si="45"/>
        <v/>
      </c>
      <c r="F568" s="55"/>
      <c r="G568" s="55"/>
      <c r="H568" s="55"/>
      <c r="I568" s="55"/>
      <c r="J568" s="55"/>
      <c r="K568" s="46" t="str">
        <f t="shared" ca="1" si="46"/>
        <v/>
      </c>
      <c r="L568" s="56" t="str">
        <f t="shared" ca="1" si="47"/>
        <v/>
      </c>
      <c r="Q568" s="57" t="str">
        <f t="shared" si="48"/>
        <v/>
      </c>
      <c r="R568" s="57" t="str">
        <f t="shared" si="49"/>
        <v/>
      </c>
    </row>
    <row r="569" spans="4:18" x14ac:dyDescent="0.25">
      <c r="D569" s="43"/>
      <c r="E569" s="55" t="str">
        <f t="shared" si="45"/>
        <v/>
      </c>
      <c r="F569" s="55"/>
      <c r="G569" s="55"/>
      <c r="H569" s="55"/>
      <c r="I569" s="55"/>
      <c r="J569" s="55"/>
      <c r="K569" s="46" t="str">
        <f t="shared" ca="1" si="46"/>
        <v/>
      </c>
      <c r="L569" s="56" t="str">
        <f t="shared" ca="1" si="47"/>
        <v/>
      </c>
      <c r="Q569" s="57" t="str">
        <f t="shared" si="48"/>
        <v/>
      </c>
      <c r="R569" s="57" t="str">
        <f t="shared" si="49"/>
        <v/>
      </c>
    </row>
    <row r="570" spans="4:18" x14ac:dyDescent="0.25">
      <c r="D570" s="43"/>
      <c r="E570" s="55" t="str">
        <f t="shared" si="45"/>
        <v/>
      </c>
      <c r="F570" s="55"/>
      <c r="G570" s="55"/>
      <c r="H570" s="55"/>
      <c r="I570" s="55"/>
      <c r="J570" s="55"/>
      <c r="K570" s="46" t="str">
        <f t="shared" ca="1" si="46"/>
        <v/>
      </c>
      <c r="L570" s="56" t="str">
        <f t="shared" ca="1" si="47"/>
        <v/>
      </c>
      <c r="Q570" s="57" t="str">
        <f t="shared" si="48"/>
        <v/>
      </c>
      <c r="R570" s="57" t="str">
        <f t="shared" si="49"/>
        <v/>
      </c>
    </row>
    <row r="571" spans="4:18" x14ac:dyDescent="0.25">
      <c r="D571" s="43"/>
      <c r="E571" s="55" t="str">
        <f t="shared" si="45"/>
        <v/>
      </c>
      <c r="F571" s="55"/>
      <c r="G571" s="55"/>
      <c r="H571" s="55"/>
      <c r="I571" s="55"/>
      <c r="J571" s="55"/>
      <c r="K571" s="46" t="str">
        <f t="shared" ca="1" si="46"/>
        <v/>
      </c>
      <c r="L571" s="56" t="str">
        <f t="shared" ca="1" si="47"/>
        <v/>
      </c>
      <c r="Q571" s="57" t="str">
        <f t="shared" si="48"/>
        <v/>
      </c>
      <c r="R571" s="57" t="str">
        <f t="shared" si="49"/>
        <v/>
      </c>
    </row>
    <row r="572" spans="4:18" x14ac:dyDescent="0.25">
      <c r="D572" s="43"/>
      <c r="E572" s="55" t="str">
        <f t="shared" si="45"/>
        <v/>
      </c>
      <c r="F572" s="55"/>
      <c r="G572" s="55"/>
      <c r="H572" s="55"/>
      <c r="I572" s="55"/>
      <c r="J572" s="55"/>
      <c r="K572" s="46" t="str">
        <f t="shared" ca="1" si="46"/>
        <v/>
      </c>
      <c r="L572" s="56" t="str">
        <f t="shared" ca="1" si="47"/>
        <v/>
      </c>
      <c r="Q572" s="57" t="str">
        <f t="shared" si="48"/>
        <v/>
      </c>
      <c r="R572" s="57" t="str">
        <f t="shared" si="49"/>
        <v/>
      </c>
    </row>
    <row r="573" spans="4:18" x14ac:dyDescent="0.25">
      <c r="D573" s="43"/>
      <c r="E573" s="55" t="str">
        <f t="shared" si="45"/>
        <v/>
      </c>
      <c r="F573" s="55"/>
      <c r="G573" s="55"/>
      <c r="H573" s="55"/>
      <c r="I573" s="55"/>
      <c r="J573" s="55"/>
      <c r="K573" s="46" t="str">
        <f t="shared" ca="1" si="46"/>
        <v/>
      </c>
      <c r="L573" s="56" t="str">
        <f t="shared" ca="1" si="47"/>
        <v/>
      </c>
      <c r="Q573" s="57" t="str">
        <f t="shared" si="48"/>
        <v/>
      </c>
      <c r="R573" s="57" t="str">
        <f t="shared" si="49"/>
        <v/>
      </c>
    </row>
    <row r="574" spans="4:18" x14ac:dyDescent="0.25">
      <c r="D574" s="43"/>
      <c r="E574" s="55" t="str">
        <f t="shared" si="45"/>
        <v/>
      </c>
      <c r="F574" s="55"/>
      <c r="G574" s="55"/>
      <c r="H574" s="55"/>
      <c r="I574" s="55"/>
      <c r="J574" s="55"/>
      <c r="K574" s="46" t="str">
        <f t="shared" ca="1" si="46"/>
        <v/>
      </c>
      <c r="L574" s="56" t="str">
        <f t="shared" ca="1" si="47"/>
        <v/>
      </c>
      <c r="Q574" s="57" t="str">
        <f t="shared" si="48"/>
        <v/>
      </c>
      <c r="R574" s="57" t="str">
        <f t="shared" si="49"/>
        <v/>
      </c>
    </row>
    <row r="575" spans="4:18" x14ac:dyDescent="0.25">
      <c r="D575" s="43"/>
      <c r="E575" s="55" t="str">
        <f t="shared" si="45"/>
        <v/>
      </c>
      <c r="F575" s="55"/>
      <c r="G575" s="55"/>
      <c r="H575" s="55"/>
      <c r="I575" s="55"/>
      <c r="J575" s="55"/>
      <c r="K575" s="46" t="str">
        <f t="shared" ca="1" si="46"/>
        <v/>
      </c>
      <c r="L575" s="56" t="str">
        <f t="shared" ca="1" si="47"/>
        <v/>
      </c>
      <c r="Q575" s="57" t="str">
        <f t="shared" si="48"/>
        <v/>
      </c>
      <c r="R575" s="57" t="str">
        <f t="shared" si="49"/>
        <v/>
      </c>
    </row>
    <row r="576" spans="4:18" x14ac:dyDescent="0.25">
      <c r="D576" s="43"/>
      <c r="E576" s="55" t="str">
        <f t="shared" si="45"/>
        <v/>
      </c>
      <c r="F576" s="55"/>
      <c r="G576" s="55"/>
      <c r="H576" s="55"/>
      <c r="I576" s="55"/>
      <c r="J576" s="55"/>
      <c r="K576" s="46" t="str">
        <f t="shared" ca="1" si="46"/>
        <v/>
      </c>
      <c r="L576" s="56" t="str">
        <f t="shared" ca="1" si="47"/>
        <v/>
      </c>
      <c r="Q576" s="57" t="str">
        <f t="shared" si="48"/>
        <v/>
      </c>
      <c r="R576" s="57" t="str">
        <f t="shared" si="49"/>
        <v/>
      </c>
    </row>
    <row r="577" spans="4:18" x14ac:dyDescent="0.25">
      <c r="D577" s="43"/>
      <c r="E577" s="55" t="str">
        <f t="shared" si="45"/>
        <v/>
      </c>
      <c r="F577" s="55"/>
      <c r="G577" s="55"/>
      <c r="H577" s="55"/>
      <c r="I577" s="55"/>
      <c r="J577" s="55"/>
      <c r="K577" s="46" t="str">
        <f t="shared" ca="1" si="46"/>
        <v/>
      </c>
      <c r="L577" s="56" t="str">
        <f t="shared" ca="1" si="47"/>
        <v/>
      </c>
      <c r="Q577" s="57" t="str">
        <f t="shared" si="48"/>
        <v/>
      </c>
      <c r="R577" s="57" t="str">
        <f t="shared" si="49"/>
        <v/>
      </c>
    </row>
    <row r="578" spans="4:18" x14ac:dyDescent="0.25">
      <c r="D578" s="43"/>
      <c r="E578" s="55" t="str">
        <f t="shared" si="45"/>
        <v/>
      </c>
      <c r="F578" s="55"/>
      <c r="G578" s="55"/>
      <c r="H578" s="55"/>
      <c r="I578" s="55"/>
      <c r="J578" s="55"/>
      <c r="K578" s="46" t="str">
        <f t="shared" ca="1" si="46"/>
        <v/>
      </c>
      <c r="L578" s="56" t="str">
        <f t="shared" ca="1" si="47"/>
        <v/>
      </c>
      <c r="Q578" s="57" t="str">
        <f t="shared" si="48"/>
        <v/>
      </c>
      <c r="R578" s="57" t="str">
        <f t="shared" si="49"/>
        <v/>
      </c>
    </row>
    <row r="579" spans="4:18" x14ac:dyDescent="0.25">
      <c r="D579" s="43"/>
      <c r="E579" s="55" t="str">
        <f t="shared" si="45"/>
        <v/>
      </c>
      <c r="F579" s="55"/>
      <c r="G579" s="55"/>
      <c r="H579" s="55"/>
      <c r="I579" s="55"/>
      <c r="J579" s="55"/>
      <c r="K579" s="46" t="str">
        <f t="shared" ca="1" si="46"/>
        <v/>
      </c>
      <c r="L579" s="56" t="str">
        <f t="shared" ca="1" si="47"/>
        <v/>
      </c>
      <c r="Q579" s="57" t="str">
        <f t="shared" si="48"/>
        <v/>
      </c>
      <c r="R579" s="57" t="str">
        <f t="shared" si="49"/>
        <v/>
      </c>
    </row>
    <row r="580" spans="4:18" x14ac:dyDescent="0.25">
      <c r="D580" s="43"/>
      <c r="E580" s="55" t="str">
        <f t="shared" si="45"/>
        <v/>
      </c>
      <c r="F580" s="55"/>
      <c r="G580" s="55"/>
      <c r="H580" s="55"/>
      <c r="I580" s="55"/>
      <c r="J580" s="55"/>
      <c r="K580" s="46" t="str">
        <f t="shared" ca="1" si="46"/>
        <v/>
      </c>
      <c r="L580" s="56" t="str">
        <f t="shared" ca="1" si="47"/>
        <v/>
      </c>
      <c r="Q580" s="57" t="str">
        <f t="shared" si="48"/>
        <v/>
      </c>
      <c r="R580" s="57" t="str">
        <f t="shared" si="49"/>
        <v/>
      </c>
    </row>
    <row r="581" spans="4:18" x14ac:dyDescent="0.25">
      <c r="D581" s="43"/>
      <c r="E581" s="55" t="str">
        <f t="shared" si="45"/>
        <v/>
      </c>
      <c r="F581" s="55"/>
      <c r="G581" s="55"/>
      <c r="H581" s="55"/>
      <c r="I581" s="55"/>
      <c r="J581" s="55"/>
      <c r="K581" s="46" t="str">
        <f t="shared" ca="1" si="46"/>
        <v/>
      </c>
      <c r="L581" s="56" t="str">
        <f t="shared" ca="1" si="47"/>
        <v/>
      </c>
      <c r="Q581" s="57" t="str">
        <f t="shared" si="48"/>
        <v/>
      </c>
      <c r="R581" s="57" t="str">
        <f t="shared" si="49"/>
        <v/>
      </c>
    </row>
    <row r="582" spans="4:18" x14ac:dyDescent="0.25">
      <c r="D582" s="43"/>
      <c r="E582" s="55" t="str">
        <f t="shared" si="45"/>
        <v/>
      </c>
      <c r="F582" s="55"/>
      <c r="G582" s="55"/>
      <c r="H582" s="55"/>
      <c r="I582" s="55"/>
      <c r="J582" s="55"/>
      <c r="K582" s="46" t="str">
        <f t="shared" ca="1" si="46"/>
        <v/>
      </c>
      <c r="L582" s="56" t="str">
        <f t="shared" ca="1" si="47"/>
        <v/>
      </c>
      <c r="Q582" s="57" t="str">
        <f t="shared" si="48"/>
        <v/>
      </c>
      <c r="R582" s="57" t="str">
        <f t="shared" si="49"/>
        <v/>
      </c>
    </row>
    <row r="583" spans="4:18" x14ac:dyDescent="0.25">
      <c r="D583" s="43"/>
      <c r="E583" s="55" t="str">
        <f t="shared" si="45"/>
        <v/>
      </c>
      <c r="F583" s="55"/>
      <c r="G583" s="55"/>
      <c r="H583" s="55"/>
      <c r="I583" s="55"/>
      <c r="J583" s="55"/>
      <c r="K583" s="46" t="str">
        <f t="shared" ca="1" si="46"/>
        <v/>
      </c>
      <c r="L583" s="56" t="str">
        <f t="shared" ca="1" si="47"/>
        <v/>
      </c>
      <c r="Q583" s="57" t="str">
        <f t="shared" si="48"/>
        <v/>
      </c>
      <c r="R583" s="57" t="str">
        <f t="shared" si="49"/>
        <v/>
      </c>
    </row>
    <row r="584" spans="4:18" x14ac:dyDescent="0.25">
      <c r="D584" s="43"/>
      <c r="E584" s="55" t="str">
        <f t="shared" si="45"/>
        <v/>
      </c>
      <c r="F584" s="55"/>
      <c r="G584" s="55"/>
      <c r="H584" s="55"/>
      <c r="I584" s="55"/>
      <c r="J584" s="55"/>
      <c r="K584" s="46" t="str">
        <f t="shared" ca="1" si="46"/>
        <v/>
      </c>
      <c r="L584" s="56" t="str">
        <f t="shared" ca="1" si="47"/>
        <v/>
      </c>
      <c r="Q584" s="57" t="str">
        <f t="shared" si="48"/>
        <v/>
      </c>
      <c r="R584" s="57" t="str">
        <f t="shared" si="49"/>
        <v/>
      </c>
    </row>
    <row r="585" spans="4:18" x14ac:dyDescent="0.25">
      <c r="D585" s="43"/>
      <c r="E585" s="55" t="str">
        <f t="shared" si="45"/>
        <v/>
      </c>
      <c r="F585" s="55"/>
      <c r="G585" s="55"/>
      <c r="H585" s="55"/>
      <c r="I585" s="55"/>
      <c r="J585" s="55"/>
      <c r="K585" s="46" t="str">
        <f t="shared" ca="1" si="46"/>
        <v/>
      </c>
      <c r="L585" s="56" t="str">
        <f t="shared" ca="1" si="47"/>
        <v/>
      </c>
      <c r="Q585" s="57" t="str">
        <f t="shared" si="48"/>
        <v/>
      </c>
      <c r="R585" s="57" t="str">
        <f t="shared" si="49"/>
        <v/>
      </c>
    </row>
    <row r="586" spans="4:18" x14ac:dyDescent="0.25">
      <c r="D586" s="43"/>
      <c r="E586" s="55" t="str">
        <f t="shared" si="45"/>
        <v/>
      </c>
      <c r="F586" s="55"/>
      <c r="G586" s="55"/>
      <c r="H586" s="55"/>
      <c r="I586" s="55"/>
      <c r="J586" s="55"/>
      <c r="K586" s="46" t="str">
        <f t="shared" ca="1" si="46"/>
        <v/>
      </c>
      <c r="L586" s="56" t="str">
        <f t="shared" ca="1" si="47"/>
        <v/>
      </c>
      <c r="Q586" s="57" t="str">
        <f t="shared" si="48"/>
        <v/>
      </c>
      <c r="R586" s="57" t="str">
        <f t="shared" si="49"/>
        <v/>
      </c>
    </row>
    <row r="587" spans="4:18" x14ac:dyDescent="0.25">
      <c r="D587" s="43"/>
      <c r="E587" s="55" t="str">
        <f t="shared" si="45"/>
        <v/>
      </c>
      <c r="F587" s="55"/>
      <c r="G587" s="55"/>
      <c r="H587" s="55"/>
      <c r="I587" s="55"/>
      <c r="J587" s="55"/>
      <c r="K587" s="46" t="str">
        <f t="shared" ca="1" si="46"/>
        <v/>
      </c>
      <c r="L587" s="56" t="str">
        <f t="shared" ca="1" si="47"/>
        <v/>
      </c>
      <c r="Q587" s="57" t="str">
        <f t="shared" si="48"/>
        <v/>
      </c>
      <c r="R587" s="57" t="str">
        <f t="shared" si="49"/>
        <v/>
      </c>
    </row>
    <row r="588" spans="4:18" x14ac:dyDescent="0.25">
      <c r="D588" s="43"/>
      <c r="E588" s="55" t="str">
        <f t="shared" si="45"/>
        <v/>
      </c>
      <c r="F588" s="55"/>
      <c r="G588" s="55"/>
      <c r="H588" s="55"/>
      <c r="I588" s="55"/>
      <c r="J588" s="55"/>
      <c r="K588" s="46" t="str">
        <f t="shared" ca="1" si="46"/>
        <v/>
      </c>
      <c r="L588" s="56" t="str">
        <f t="shared" ca="1" si="47"/>
        <v/>
      </c>
      <c r="Q588" s="57" t="str">
        <f t="shared" si="48"/>
        <v/>
      </c>
      <c r="R588" s="57" t="str">
        <f t="shared" si="49"/>
        <v/>
      </c>
    </row>
    <row r="589" spans="4:18" x14ac:dyDescent="0.25">
      <c r="D589" s="43"/>
      <c r="E589" s="55" t="str">
        <f t="shared" si="45"/>
        <v/>
      </c>
      <c r="F589" s="55"/>
      <c r="G589" s="55"/>
      <c r="H589" s="55"/>
      <c r="I589" s="55"/>
      <c r="J589" s="55"/>
      <c r="K589" s="46" t="str">
        <f t="shared" ca="1" si="46"/>
        <v/>
      </c>
      <c r="L589" s="56" t="str">
        <f t="shared" ca="1" si="47"/>
        <v/>
      </c>
      <c r="Q589" s="57" t="str">
        <f t="shared" si="48"/>
        <v/>
      </c>
      <c r="R589" s="57" t="str">
        <f t="shared" si="49"/>
        <v/>
      </c>
    </row>
    <row r="590" spans="4:18" x14ac:dyDescent="0.25">
      <c r="D590" s="43"/>
      <c r="E590" s="55" t="str">
        <f t="shared" si="45"/>
        <v/>
      </c>
      <c r="F590" s="55"/>
      <c r="G590" s="55"/>
      <c r="H590" s="55"/>
      <c r="I590" s="55"/>
      <c r="J590" s="55"/>
      <c r="K590" s="46" t="str">
        <f t="shared" ca="1" si="46"/>
        <v/>
      </c>
      <c r="L590" s="56" t="str">
        <f t="shared" ca="1" si="47"/>
        <v/>
      </c>
      <c r="Q590" s="57" t="str">
        <f t="shared" si="48"/>
        <v/>
      </c>
      <c r="R590" s="57" t="str">
        <f t="shared" si="49"/>
        <v/>
      </c>
    </row>
    <row r="591" spans="4:18" x14ac:dyDescent="0.25">
      <c r="D591" s="43"/>
      <c r="E591" s="55" t="str">
        <f t="shared" si="45"/>
        <v/>
      </c>
      <c r="F591" s="55"/>
      <c r="G591" s="55"/>
      <c r="H591" s="55"/>
      <c r="I591" s="55"/>
      <c r="J591" s="55"/>
      <c r="K591" s="46" t="str">
        <f t="shared" ca="1" si="46"/>
        <v/>
      </c>
      <c r="L591" s="56" t="str">
        <f t="shared" ca="1" si="47"/>
        <v/>
      </c>
      <c r="Q591" s="57" t="str">
        <f t="shared" si="48"/>
        <v/>
      </c>
      <c r="R591" s="57" t="str">
        <f t="shared" si="49"/>
        <v/>
      </c>
    </row>
    <row r="592" spans="4:18" x14ac:dyDescent="0.25">
      <c r="D592" s="43"/>
      <c r="E592" s="55" t="str">
        <f t="shared" si="45"/>
        <v/>
      </c>
      <c r="F592" s="55"/>
      <c r="G592" s="55"/>
      <c r="H592" s="55"/>
      <c r="I592" s="55"/>
      <c r="J592" s="55"/>
      <c r="K592" s="46" t="str">
        <f t="shared" ca="1" si="46"/>
        <v/>
      </c>
      <c r="L592" s="56" t="str">
        <f t="shared" ca="1" si="47"/>
        <v/>
      </c>
      <c r="Q592" s="57" t="str">
        <f t="shared" si="48"/>
        <v/>
      </c>
      <c r="R592" s="57" t="str">
        <f t="shared" si="49"/>
        <v/>
      </c>
    </row>
    <row r="593" spans="4:18" x14ac:dyDescent="0.25">
      <c r="D593" s="43"/>
      <c r="E593" s="55" t="str">
        <f t="shared" si="45"/>
        <v/>
      </c>
      <c r="F593" s="55"/>
      <c r="G593" s="55"/>
      <c r="H593" s="55"/>
      <c r="I593" s="55"/>
      <c r="J593" s="55"/>
      <c r="K593" s="46" t="str">
        <f t="shared" ca="1" si="46"/>
        <v/>
      </c>
      <c r="L593" s="56" t="str">
        <f t="shared" ca="1" si="47"/>
        <v/>
      </c>
      <c r="Q593" s="57" t="str">
        <f t="shared" si="48"/>
        <v/>
      </c>
      <c r="R593" s="57" t="str">
        <f t="shared" si="49"/>
        <v/>
      </c>
    </row>
    <row r="594" spans="4:18" x14ac:dyDescent="0.25">
      <c r="D594" s="43"/>
      <c r="E594" s="55" t="str">
        <f t="shared" si="45"/>
        <v/>
      </c>
      <c r="F594" s="55"/>
      <c r="G594" s="55"/>
      <c r="H594" s="55"/>
      <c r="I594" s="55"/>
      <c r="J594" s="55"/>
      <c r="K594" s="46" t="str">
        <f t="shared" ca="1" si="46"/>
        <v/>
      </c>
      <c r="L594" s="56" t="str">
        <f t="shared" ca="1" si="47"/>
        <v/>
      </c>
      <c r="Q594" s="57" t="str">
        <f t="shared" si="48"/>
        <v/>
      </c>
      <c r="R594" s="57" t="str">
        <f t="shared" si="49"/>
        <v/>
      </c>
    </row>
    <row r="595" spans="4:18" x14ac:dyDescent="0.25">
      <c r="D595" s="43"/>
      <c r="E595" s="55" t="str">
        <f t="shared" si="45"/>
        <v/>
      </c>
      <c r="F595" s="55"/>
      <c r="G595" s="55"/>
      <c r="H595" s="55"/>
      <c r="I595" s="55"/>
      <c r="J595" s="55"/>
      <c r="K595" s="46" t="str">
        <f t="shared" ca="1" si="46"/>
        <v/>
      </c>
      <c r="L595" s="56" t="str">
        <f t="shared" ca="1" si="47"/>
        <v/>
      </c>
      <c r="Q595" s="57" t="str">
        <f t="shared" si="48"/>
        <v/>
      </c>
      <c r="R595" s="57" t="str">
        <f t="shared" si="49"/>
        <v/>
      </c>
    </row>
    <row r="596" spans="4:18" x14ac:dyDescent="0.25">
      <c r="D596" s="43"/>
      <c r="E596" s="55" t="str">
        <f t="shared" ref="E596:E659" si="50">IF(ISNUMBER(SEARCH("v crs",D596))=TRUE,"VC",IF(ISNUMBER(SEARCH("crs",D596))=TRUE,"C",IF(ISNUMBER(SEARCH("med",D596))=TRUE,"M",IF(ISNUMBER(SEARCH("vf",D596))=TRUE,"VF",IF(ISNUMBER(SEARCH("f",D596))=TRUE,"F","")))))</f>
        <v/>
      </c>
      <c r="F596" s="55"/>
      <c r="G596" s="55"/>
      <c r="H596" s="55"/>
      <c r="I596" s="55"/>
      <c r="J596" s="55"/>
      <c r="K596" s="46" t="str">
        <f t="shared" ca="1" si="46"/>
        <v/>
      </c>
      <c r="L596" s="56" t="str">
        <f t="shared" ca="1" si="47"/>
        <v/>
      </c>
      <c r="Q596" s="57" t="str">
        <f t="shared" si="48"/>
        <v/>
      </c>
      <c r="R596" s="57" t="str">
        <f t="shared" si="49"/>
        <v/>
      </c>
    </row>
    <row r="597" spans="4:18" x14ac:dyDescent="0.25">
      <c r="D597" s="43"/>
      <c r="E597" s="55" t="str">
        <f t="shared" si="50"/>
        <v/>
      </c>
      <c r="F597" s="55"/>
      <c r="G597" s="55"/>
      <c r="H597" s="55"/>
      <c r="I597" s="55"/>
      <c r="J597" s="55"/>
      <c r="K597" s="46" t="str">
        <f t="shared" ref="K597:K660" ca="1" si="51">IF(AND(C597&lt;&gt;"",C597&lt;&gt;Q597),TODAY(),IF(C597="","",K597))</f>
        <v/>
      </c>
      <c r="L597" s="56" t="str">
        <f t="shared" ref="L597:L660" ca="1" si="52">IF(AND(C597&lt;&gt;"",C597&lt;&gt;R597),NOW(),IF(C597="","",L597))</f>
        <v/>
      </c>
      <c r="Q597" s="57" t="str">
        <f t="shared" ref="Q597:Q660" si="53">IF(C597="","",IF(OR(K597="",AND(ISNUMBER(Q597),C597=Q597)),Q597,C597))</f>
        <v/>
      </c>
      <c r="R597" s="57" t="str">
        <f t="shared" ref="R597:R660" si="54">IF(C597="","",IF(OR(L597="",AND(ISNUMBER(R597),C597=R597)),R597,C597))</f>
        <v/>
      </c>
    </row>
    <row r="598" spans="4:18" x14ac:dyDescent="0.25">
      <c r="D598" s="43"/>
      <c r="E598" s="55" t="str">
        <f t="shared" si="50"/>
        <v/>
      </c>
      <c r="F598" s="55"/>
      <c r="G598" s="55"/>
      <c r="H598" s="55"/>
      <c r="I598" s="55"/>
      <c r="J598" s="55"/>
      <c r="K598" s="46" t="str">
        <f t="shared" ca="1" si="51"/>
        <v/>
      </c>
      <c r="L598" s="56" t="str">
        <f t="shared" ca="1" si="52"/>
        <v/>
      </c>
      <c r="Q598" s="57" t="str">
        <f t="shared" si="53"/>
        <v/>
      </c>
      <c r="R598" s="57" t="str">
        <f t="shared" si="54"/>
        <v/>
      </c>
    </row>
    <row r="599" spans="4:18" x14ac:dyDescent="0.25">
      <c r="D599" s="43"/>
      <c r="E599" s="55" t="str">
        <f t="shared" si="50"/>
        <v/>
      </c>
      <c r="F599" s="55"/>
      <c r="G599" s="55"/>
      <c r="H599" s="55"/>
      <c r="I599" s="55"/>
      <c r="J599" s="55"/>
      <c r="K599" s="46" t="str">
        <f t="shared" ca="1" si="51"/>
        <v/>
      </c>
      <c r="L599" s="56" t="str">
        <f t="shared" ca="1" si="52"/>
        <v/>
      </c>
      <c r="Q599" s="57" t="str">
        <f t="shared" si="53"/>
        <v/>
      </c>
      <c r="R599" s="57" t="str">
        <f t="shared" si="54"/>
        <v/>
      </c>
    </row>
    <row r="600" spans="4:18" x14ac:dyDescent="0.25">
      <c r="D600" s="43"/>
      <c r="E600" s="55" t="str">
        <f t="shared" si="50"/>
        <v/>
      </c>
      <c r="F600" s="55"/>
      <c r="G600" s="55"/>
      <c r="H600" s="55"/>
      <c r="I600" s="55"/>
      <c r="J600" s="55"/>
      <c r="K600" s="46" t="str">
        <f t="shared" ca="1" si="51"/>
        <v/>
      </c>
      <c r="L600" s="56" t="str">
        <f t="shared" ca="1" si="52"/>
        <v/>
      </c>
      <c r="Q600" s="57" t="str">
        <f t="shared" si="53"/>
        <v/>
      </c>
      <c r="R600" s="57" t="str">
        <f t="shared" si="54"/>
        <v/>
      </c>
    </row>
    <row r="601" spans="4:18" x14ac:dyDescent="0.25">
      <c r="D601" s="43"/>
      <c r="E601" s="55" t="str">
        <f t="shared" si="50"/>
        <v/>
      </c>
      <c r="F601" s="55"/>
      <c r="G601" s="55"/>
      <c r="H601" s="55"/>
      <c r="I601" s="55"/>
      <c r="J601" s="55"/>
      <c r="K601" s="46" t="str">
        <f t="shared" ca="1" si="51"/>
        <v/>
      </c>
      <c r="L601" s="56" t="str">
        <f t="shared" ca="1" si="52"/>
        <v/>
      </c>
      <c r="Q601" s="57" t="str">
        <f t="shared" si="53"/>
        <v/>
      </c>
      <c r="R601" s="57" t="str">
        <f t="shared" si="54"/>
        <v/>
      </c>
    </row>
    <row r="602" spans="4:18" x14ac:dyDescent="0.25">
      <c r="D602" s="43"/>
      <c r="E602" s="55" t="str">
        <f t="shared" si="50"/>
        <v/>
      </c>
      <c r="F602" s="55"/>
      <c r="G602" s="55"/>
      <c r="H602" s="55"/>
      <c r="I602" s="55"/>
      <c r="J602" s="55"/>
      <c r="K602" s="46" t="str">
        <f t="shared" ca="1" si="51"/>
        <v/>
      </c>
      <c r="L602" s="56" t="str">
        <f t="shared" ca="1" si="52"/>
        <v/>
      </c>
      <c r="Q602" s="57" t="str">
        <f t="shared" si="53"/>
        <v/>
      </c>
      <c r="R602" s="57" t="str">
        <f t="shared" si="54"/>
        <v/>
      </c>
    </row>
    <row r="603" spans="4:18" x14ac:dyDescent="0.25">
      <c r="D603" s="43"/>
      <c r="E603" s="55" t="str">
        <f t="shared" si="50"/>
        <v/>
      </c>
      <c r="F603" s="55"/>
      <c r="G603" s="55"/>
      <c r="H603" s="55"/>
      <c r="I603" s="55"/>
      <c r="J603" s="55"/>
      <c r="K603" s="46" t="str">
        <f t="shared" ca="1" si="51"/>
        <v/>
      </c>
      <c r="L603" s="56" t="str">
        <f t="shared" ca="1" si="52"/>
        <v/>
      </c>
      <c r="Q603" s="57" t="str">
        <f t="shared" si="53"/>
        <v/>
      </c>
      <c r="R603" s="57" t="str">
        <f t="shared" si="54"/>
        <v/>
      </c>
    </row>
    <row r="604" spans="4:18" x14ac:dyDescent="0.25">
      <c r="D604" s="43"/>
      <c r="E604" s="55" t="str">
        <f t="shared" si="50"/>
        <v/>
      </c>
      <c r="F604" s="55"/>
      <c r="G604" s="55"/>
      <c r="H604" s="55"/>
      <c r="I604" s="55"/>
      <c r="J604" s="55"/>
      <c r="K604" s="46" t="str">
        <f t="shared" ca="1" si="51"/>
        <v/>
      </c>
      <c r="L604" s="56" t="str">
        <f t="shared" ca="1" si="52"/>
        <v/>
      </c>
      <c r="Q604" s="57" t="str">
        <f t="shared" si="53"/>
        <v/>
      </c>
      <c r="R604" s="57" t="str">
        <f t="shared" si="54"/>
        <v/>
      </c>
    </row>
    <row r="605" spans="4:18" x14ac:dyDescent="0.25">
      <c r="D605" s="43"/>
      <c r="E605" s="55" t="str">
        <f t="shared" si="50"/>
        <v/>
      </c>
      <c r="F605" s="55"/>
      <c r="G605" s="55"/>
      <c r="H605" s="55"/>
      <c r="I605" s="55"/>
      <c r="J605" s="55"/>
      <c r="K605" s="46" t="str">
        <f t="shared" ca="1" si="51"/>
        <v/>
      </c>
      <c r="L605" s="56" t="str">
        <f t="shared" ca="1" si="52"/>
        <v/>
      </c>
      <c r="Q605" s="57" t="str">
        <f t="shared" si="53"/>
        <v/>
      </c>
      <c r="R605" s="57" t="str">
        <f t="shared" si="54"/>
        <v/>
      </c>
    </row>
    <row r="606" spans="4:18" x14ac:dyDescent="0.25">
      <c r="D606" s="43"/>
      <c r="E606" s="55" t="str">
        <f t="shared" si="50"/>
        <v/>
      </c>
      <c r="F606" s="55"/>
      <c r="G606" s="55"/>
      <c r="H606" s="55"/>
      <c r="I606" s="55"/>
      <c r="J606" s="55"/>
      <c r="K606" s="46" t="str">
        <f t="shared" ca="1" si="51"/>
        <v/>
      </c>
      <c r="L606" s="56" t="str">
        <f t="shared" ca="1" si="52"/>
        <v/>
      </c>
      <c r="Q606" s="57" t="str">
        <f t="shared" si="53"/>
        <v/>
      </c>
      <c r="R606" s="57" t="str">
        <f t="shared" si="54"/>
        <v/>
      </c>
    </row>
    <row r="607" spans="4:18" x14ac:dyDescent="0.25">
      <c r="D607" s="43"/>
      <c r="E607" s="55" t="str">
        <f t="shared" si="50"/>
        <v/>
      </c>
      <c r="F607" s="55"/>
      <c r="G607" s="55"/>
      <c r="H607" s="55"/>
      <c r="I607" s="55"/>
      <c r="J607" s="55"/>
      <c r="K607" s="46" t="str">
        <f t="shared" ca="1" si="51"/>
        <v/>
      </c>
      <c r="L607" s="56" t="str">
        <f t="shared" ca="1" si="52"/>
        <v/>
      </c>
      <c r="Q607" s="57" t="str">
        <f t="shared" si="53"/>
        <v/>
      </c>
      <c r="R607" s="57" t="str">
        <f t="shared" si="54"/>
        <v/>
      </c>
    </row>
    <row r="608" spans="4:18" x14ac:dyDescent="0.25">
      <c r="D608" s="43"/>
      <c r="E608" s="55" t="str">
        <f t="shared" si="50"/>
        <v/>
      </c>
      <c r="F608" s="55"/>
      <c r="G608" s="55"/>
      <c r="H608" s="55"/>
      <c r="I608" s="55"/>
      <c r="J608" s="55"/>
      <c r="K608" s="46" t="str">
        <f t="shared" ca="1" si="51"/>
        <v/>
      </c>
      <c r="L608" s="56" t="str">
        <f t="shared" ca="1" si="52"/>
        <v/>
      </c>
      <c r="Q608" s="57" t="str">
        <f t="shared" si="53"/>
        <v/>
      </c>
      <c r="R608" s="57" t="str">
        <f t="shared" si="54"/>
        <v/>
      </c>
    </row>
    <row r="609" spans="4:18" x14ac:dyDescent="0.25">
      <c r="D609" s="43"/>
      <c r="E609" s="55" t="str">
        <f t="shared" si="50"/>
        <v/>
      </c>
      <c r="F609" s="55"/>
      <c r="G609" s="55"/>
      <c r="H609" s="55"/>
      <c r="I609" s="55"/>
      <c r="J609" s="55"/>
      <c r="K609" s="46" t="str">
        <f t="shared" ca="1" si="51"/>
        <v/>
      </c>
      <c r="L609" s="56" t="str">
        <f t="shared" ca="1" si="52"/>
        <v/>
      </c>
      <c r="Q609" s="57" t="str">
        <f t="shared" si="53"/>
        <v/>
      </c>
      <c r="R609" s="57" t="str">
        <f t="shared" si="54"/>
        <v/>
      </c>
    </row>
    <row r="610" spans="4:18" x14ac:dyDescent="0.25">
      <c r="D610" s="43"/>
      <c r="E610" s="55" t="str">
        <f t="shared" si="50"/>
        <v/>
      </c>
      <c r="F610" s="55"/>
      <c r="G610" s="55"/>
      <c r="H610" s="55"/>
      <c r="I610" s="55"/>
      <c r="J610" s="55"/>
      <c r="K610" s="46" t="str">
        <f t="shared" ca="1" si="51"/>
        <v/>
      </c>
      <c r="L610" s="56" t="str">
        <f t="shared" ca="1" si="52"/>
        <v/>
      </c>
      <c r="Q610" s="57" t="str">
        <f t="shared" si="53"/>
        <v/>
      </c>
      <c r="R610" s="57" t="str">
        <f t="shared" si="54"/>
        <v/>
      </c>
    </row>
    <row r="611" spans="4:18" x14ac:dyDescent="0.25">
      <c r="D611" s="43"/>
      <c r="E611" s="55" t="str">
        <f t="shared" si="50"/>
        <v/>
      </c>
      <c r="F611" s="55"/>
      <c r="G611" s="55"/>
      <c r="H611" s="55"/>
      <c r="I611" s="55"/>
      <c r="J611" s="55"/>
      <c r="K611" s="46" t="str">
        <f t="shared" ca="1" si="51"/>
        <v/>
      </c>
      <c r="L611" s="56" t="str">
        <f t="shared" ca="1" si="52"/>
        <v/>
      </c>
      <c r="Q611" s="57" t="str">
        <f t="shared" si="53"/>
        <v/>
      </c>
      <c r="R611" s="57" t="str">
        <f t="shared" si="54"/>
        <v/>
      </c>
    </row>
    <row r="612" spans="4:18" x14ac:dyDescent="0.25">
      <c r="D612" s="43"/>
      <c r="E612" s="55" t="str">
        <f t="shared" si="50"/>
        <v/>
      </c>
      <c r="F612" s="55"/>
      <c r="G612" s="55"/>
      <c r="H612" s="55"/>
      <c r="I612" s="55"/>
      <c r="J612" s="55"/>
      <c r="K612" s="46" t="str">
        <f t="shared" ca="1" si="51"/>
        <v/>
      </c>
      <c r="L612" s="56" t="str">
        <f t="shared" ca="1" si="52"/>
        <v/>
      </c>
      <c r="Q612" s="57" t="str">
        <f t="shared" si="53"/>
        <v/>
      </c>
      <c r="R612" s="57" t="str">
        <f t="shared" si="54"/>
        <v/>
      </c>
    </row>
    <row r="613" spans="4:18" x14ac:dyDescent="0.25">
      <c r="D613" s="43"/>
      <c r="E613" s="55" t="str">
        <f t="shared" si="50"/>
        <v/>
      </c>
      <c r="F613" s="55"/>
      <c r="G613" s="55"/>
      <c r="H613" s="55"/>
      <c r="I613" s="55"/>
      <c r="J613" s="55"/>
      <c r="K613" s="46" t="str">
        <f t="shared" ca="1" si="51"/>
        <v/>
      </c>
      <c r="L613" s="56" t="str">
        <f t="shared" ca="1" si="52"/>
        <v/>
      </c>
      <c r="Q613" s="57" t="str">
        <f t="shared" si="53"/>
        <v/>
      </c>
      <c r="R613" s="57" t="str">
        <f t="shared" si="54"/>
        <v/>
      </c>
    </row>
    <row r="614" spans="4:18" x14ac:dyDescent="0.25">
      <c r="D614" s="43"/>
      <c r="E614" s="55" t="str">
        <f t="shared" si="50"/>
        <v/>
      </c>
      <c r="F614" s="55"/>
      <c r="G614" s="55"/>
      <c r="H614" s="55"/>
      <c r="I614" s="55"/>
      <c r="J614" s="55"/>
      <c r="K614" s="46" t="str">
        <f t="shared" ca="1" si="51"/>
        <v/>
      </c>
      <c r="L614" s="56" t="str">
        <f t="shared" ca="1" si="52"/>
        <v/>
      </c>
      <c r="Q614" s="57" t="str">
        <f t="shared" si="53"/>
        <v/>
      </c>
      <c r="R614" s="57" t="str">
        <f t="shared" si="54"/>
        <v/>
      </c>
    </row>
    <row r="615" spans="4:18" x14ac:dyDescent="0.25">
      <c r="D615" s="43"/>
      <c r="E615" s="55" t="str">
        <f t="shared" si="50"/>
        <v/>
      </c>
      <c r="F615" s="55"/>
      <c r="G615" s="55"/>
      <c r="H615" s="55"/>
      <c r="I615" s="55"/>
      <c r="J615" s="55"/>
      <c r="K615" s="46" t="str">
        <f t="shared" ca="1" si="51"/>
        <v/>
      </c>
      <c r="L615" s="56" t="str">
        <f t="shared" ca="1" si="52"/>
        <v/>
      </c>
      <c r="Q615" s="57" t="str">
        <f t="shared" si="53"/>
        <v/>
      </c>
      <c r="R615" s="57" t="str">
        <f t="shared" si="54"/>
        <v/>
      </c>
    </row>
    <row r="616" spans="4:18" x14ac:dyDescent="0.25">
      <c r="D616" s="43"/>
      <c r="E616" s="55" t="str">
        <f t="shared" si="50"/>
        <v/>
      </c>
      <c r="F616" s="55"/>
      <c r="G616" s="55"/>
      <c r="H616" s="55"/>
      <c r="I616" s="55"/>
      <c r="J616" s="55"/>
      <c r="K616" s="46" t="str">
        <f t="shared" ca="1" si="51"/>
        <v/>
      </c>
      <c r="L616" s="56" t="str">
        <f t="shared" ca="1" si="52"/>
        <v/>
      </c>
      <c r="Q616" s="57" t="str">
        <f t="shared" si="53"/>
        <v/>
      </c>
      <c r="R616" s="57" t="str">
        <f t="shared" si="54"/>
        <v/>
      </c>
    </row>
    <row r="617" spans="4:18" x14ac:dyDescent="0.25">
      <c r="D617" s="43"/>
      <c r="E617" s="55" t="str">
        <f t="shared" si="50"/>
        <v/>
      </c>
      <c r="F617" s="55"/>
      <c r="G617" s="55"/>
      <c r="H617" s="55"/>
      <c r="I617" s="55"/>
      <c r="J617" s="55"/>
      <c r="K617" s="46" t="str">
        <f t="shared" ca="1" si="51"/>
        <v/>
      </c>
      <c r="L617" s="56" t="str">
        <f t="shared" ca="1" si="52"/>
        <v/>
      </c>
      <c r="Q617" s="57" t="str">
        <f t="shared" si="53"/>
        <v/>
      </c>
      <c r="R617" s="57" t="str">
        <f t="shared" si="54"/>
        <v/>
      </c>
    </row>
    <row r="618" spans="4:18" x14ac:dyDescent="0.25">
      <c r="D618" s="43"/>
      <c r="E618" s="55" t="str">
        <f t="shared" si="50"/>
        <v/>
      </c>
      <c r="F618" s="55"/>
      <c r="G618" s="55"/>
      <c r="H618" s="55"/>
      <c r="I618" s="55"/>
      <c r="J618" s="55"/>
      <c r="K618" s="46" t="str">
        <f t="shared" ca="1" si="51"/>
        <v/>
      </c>
      <c r="L618" s="56" t="str">
        <f t="shared" ca="1" si="52"/>
        <v/>
      </c>
      <c r="Q618" s="57" t="str">
        <f t="shared" si="53"/>
        <v/>
      </c>
      <c r="R618" s="57" t="str">
        <f t="shared" si="54"/>
        <v/>
      </c>
    </row>
    <row r="619" spans="4:18" x14ac:dyDescent="0.25">
      <c r="D619" s="43"/>
      <c r="E619" s="55" t="str">
        <f t="shared" si="50"/>
        <v/>
      </c>
      <c r="F619" s="55"/>
      <c r="G619" s="55"/>
      <c r="H619" s="55"/>
      <c r="I619" s="55"/>
      <c r="J619" s="55"/>
      <c r="K619" s="46" t="str">
        <f t="shared" ca="1" si="51"/>
        <v/>
      </c>
      <c r="L619" s="56" t="str">
        <f t="shared" ca="1" si="52"/>
        <v/>
      </c>
      <c r="Q619" s="57" t="str">
        <f t="shared" si="53"/>
        <v/>
      </c>
      <c r="R619" s="57" t="str">
        <f t="shared" si="54"/>
        <v/>
      </c>
    </row>
    <row r="620" spans="4:18" x14ac:dyDescent="0.25">
      <c r="D620" s="43"/>
      <c r="E620" s="55" t="str">
        <f t="shared" si="50"/>
        <v/>
      </c>
      <c r="F620" s="55"/>
      <c r="G620" s="55"/>
      <c r="H620" s="55"/>
      <c r="I620" s="55"/>
      <c r="J620" s="55"/>
      <c r="K620" s="46" t="str">
        <f t="shared" ca="1" si="51"/>
        <v/>
      </c>
      <c r="L620" s="56" t="str">
        <f t="shared" ca="1" si="52"/>
        <v/>
      </c>
      <c r="Q620" s="57" t="str">
        <f t="shared" si="53"/>
        <v/>
      </c>
      <c r="R620" s="57" t="str">
        <f t="shared" si="54"/>
        <v/>
      </c>
    </row>
    <row r="621" spans="4:18" x14ac:dyDescent="0.25">
      <c r="D621" s="43"/>
      <c r="E621" s="55" t="str">
        <f t="shared" si="50"/>
        <v/>
      </c>
      <c r="F621" s="55"/>
      <c r="G621" s="55"/>
      <c r="H621" s="55"/>
      <c r="I621" s="55"/>
      <c r="J621" s="55"/>
      <c r="K621" s="46" t="str">
        <f t="shared" ca="1" si="51"/>
        <v/>
      </c>
      <c r="L621" s="56" t="str">
        <f t="shared" ca="1" si="52"/>
        <v/>
      </c>
      <c r="Q621" s="57" t="str">
        <f t="shared" si="53"/>
        <v/>
      </c>
      <c r="R621" s="57" t="str">
        <f t="shared" si="54"/>
        <v/>
      </c>
    </row>
    <row r="622" spans="4:18" x14ac:dyDescent="0.25">
      <c r="D622" s="43"/>
      <c r="E622" s="55" t="str">
        <f t="shared" si="50"/>
        <v/>
      </c>
      <c r="F622" s="55"/>
      <c r="G622" s="55"/>
      <c r="H622" s="55"/>
      <c r="I622" s="55"/>
      <c r="J622" s="55"/>
      <c r="K622" s="46" t="str">
        <f t="shared" ca="1" si="51"/>
        <v/>
      </c>
      <c r="L622" s="56" t="str">
        <f t="shared" ca="1" si="52"/>
        <v/>
      </c>
      <c r="Q622" s="57" t="str">
        <f t="shared" si="53"/>
        <v/>
      </c>
      <c r="R622" s="57" t="str">
        <f t="shared" si="54"/>
        <v/>
      </c>
    </row>
    <row r="623" spans="4:18" x14ac:dyDescent="0.25">
      <c r="D623" s="43"/>
      <c r="E623" s="55" t="str">
        <f t="shared" si="50"/>
        <v/>
      </c>
      <c r="F623" s="55"/>
      <c r="G623" s="55"/>
      <c r="H623" s="55"/>
      <c r="I623" s="55"/>
      <c r="J623" s="55"/>
      <c r="K623" s="46" t="str">
        <f t="shared" ca="1" si="51"/>
        <v/>
      </c>
      <c r="L623" s="56" t="str">
        <f t="shared" ca="1" si="52"/>
        <v/>
      </c>
      <c r="Q623" s="57" t="str">
        <f t="shared" si="53"/>
        <v/>
      </c>
      <c r="R623" s="57" t="str">
        <f t="shared" si="54"/>
        <v/>
      </c>
    </row>
    <row r="624" spans="4:18" x14ac:dyDescent="0.25">
      <c r="D624" s="43"/>
      <c r="E624" s="55" t="str">
        <f t="shared" si="50"/>
        <v/>
      </c>
      <c r="F624" s="55"/>
      <c r="G624" s="55"/>
      <c r="H624" s="55"/>
      <c r="I624" s="55"/>
      <c r="J624" s="55"/>
      <c r="K624" s="46" t="str">
        <f t="shared" ca="1" si="51"/>
        <v/>
      </c>
      <c r="L624" s="56" t="str">
        <f t="shared" ca="1" si="52"/>
        <v/>
      </c>
      <c r="Q624" s="57" t="str">
        <f t="shared" si="53"/>
        <v/>
      </c>
      <c r="R624" s="57" t="str">
        <f t="shared" si="54"/>
        <v/>
      </c>
    </row>
    <row r="625" spans="4:18" x14ac:dyDescent="0.25">
      <c r="D625" s="43"/>
      <c r="E625" s="55" t="str">
        <f t="shared" si="50"/>
        <v/>
      </c>
      <c r="F625" s="55"/>
      <c r="G625" s="55"/>
      <c r="H625" s="55"/>
      <c r="I625" s="55"/>
      <c r="J625" s="55"/>
      <c r="K625" s="46" t="str">
        <f t="shared" ca="1" si="51"/>
        <v/>
      </c>
      <c r="L625" s="56" t="str">
        <f t="shared" ca="1" si="52"/>
        <v/>
      </c>
      <c r="Q625" s="57" t="str">
        <f t="shared" si="53"/>
        <v/>
      </c>
      <c r="R625" s="57" t="str">
        <f t="shared" si="54"/>
        <v/>
      </c>
    </row>
    <row r="626" spans="4:18" x14ac:dyDescent="0.25">
      <c r="D626" s="43"/>
      <c r="E626" s="55" t="str">
        <f t="shared" si="50"/>
        <v/>
      </c>
      <c r="F626" s="55"/>
      <c r="G626" s="55"/>
      <c r="H626" s="55"/>
      <c r="I626" s="55"/>
      <c r="J626" s="55"/>
      <c r="K626" s="46" t="str">
        <f t="shared" ca="1" si="51"/>
        <v/>
      </c>
      <c r="L626" s="56" t="str">
        <f t="shared" ca="1" si="52"/>
        <v/>
      </c>
      <c r="Q626" s="57" t="str">
        <f t="shared" si="53"/>
        <v/>
      </c>
      <c r="R626" s="57" t="str">
        <f t="shared" si="54"/>
        <v/>
      </c>
    </row>
    <row r="627" spans="4:18" x14ac:dyDescent="0.25">
      <c r="D627" s="43"/>
      <c r="E627" s="55" t="str">
        <f t="shared" si="50"/>
        <v/>
      </c>
      <c r="F627" s="55"/>
      <c r="G627" s="55"/>
      <c r="H627" s="55"/>
      <c r="I627" s="55"/>
      <c r="J627" s="55"/>
      <c r="K627" s="46" t="str">
        <f t="shared" ca="1" si="51"/>
        <v/>
      </c>
      <c r="L627" s="56" t="str">
        <f t="shared" ca="1" si="52"/>
        <v/>
      </c>
      <c r="Q627" s="57" t="str">
        <f t="shared" si="53"/>
        <v/>
      </c>
      <c r="R627" s="57" t="str">
        <f t="shared" si="54"/>
        <v/>
      </c>
    </row>
    <row r="628" spans="4:18" x14ac:dyDescent="0.25">
      <c r="D628" s="43"/>
      <c r="E628" s="55" t="str">
        <f t="shared" si="50"/>
        <v/>
      </c>
      <c r="F628" s="55"/>
      <c r="G628" s="55"/>
      <c r="H628" s="55"/>
      <c r="I628" s="55"/>
      <c r="J628" s="55"/>
      <c r="K628" s="46" t="str">
        <f t="shared" ca="1" si="51"/>
        <v/>
      </c>
      <c r="L628" s="56" t="str">
        <f t="shared" ca="1" si="52"/>
        <v/>
      </c>
      <c r="Q628" s="57" t="str">
        <f t="shared" si="53"/>
        <v/>
      </c>
      <c r="R628" s="57" t="str">
        <f t="shared" si="54"/>
        <v/>
      </c>
    </row>
    <row r="629" spans="4:18" x14ac:dyDescent="0.25">
      <c r="D629" s="43"/>
      <c r="E629" s="55" t="str">
        <f t="shared" si="50"/>
        <v/>
      </c>
      <c r="F629" s="55"/>
      <c r="G629" s="55"/>
      <c r="H629" s="55"/>
      <c r="I629" s="55"/>
      <c r="J629" s="55"/>
      <c r="K629" s="46" t="str">
        <f t="shared" ca="1" si="51"/>
        <v/>
      </c>
      <c r="L629" s="56" t="str">
        <f t="shared" ca="1" si="52"/>
        <v/>
      </c>
      <c r="Q629" s="57" t="str">
        <f t="shared" si="53"/>
        <v/>
      </c>
      <c r="R629" s="57" t="str">
        <f t="shared" si="54"/>
        <v/>
      </c>
    </row>
    <row r="630" spans="4:18" x14ac:dyDescent="0.25">
      <c r="D630" s="43"/>
      <c r="E630" s="55" t="str">
        <f t="shared" si="50"/>
        <v/>
      </c>
      <c r="F630" s="55"/>
      <c r="G630" s="55"/>
      <c r="H630" s="55"/>
      <c r="I630" s="55"/>
      <c r="J630" s="55"/>
      <c r="K630" s="46" t="str">
        <f t="shared" ca="1" si="51"/>
        <v/>
      </c>
      <c r="L630" s="56" t="str">
        <f t="shared" ca="1" si="52"/>
        <v/>
      </c>
      <c r="Q630" s="57" t="str">
        <f t="shared" si="53"/>
        <v/>
      </c>
      <c r="R630" s="57" t="str">
        <f t="shared" si="54"/>
        <v/>
      </c>
    </row>
    <row r="631" spans="4:18" x14ac:dyDescent="0.25">
      <c r="D631" s="43"/>
      <c r="E631" s="55" t="str">
        <f t="shared" si="50"/>
        <v/>
      </c>
      <c r="F631" s="55"/>
      <c r="G631" s="55"/>
      <c r="H631" s="55"/>
      <c r="I631" s="55"/>
      <c r="J631" s="55"/>
      <c r="K631" s="46" t="str">
        <f t="shared" ca="1" si="51"/>
        <v/>
      </c>
      <c r="L631" s="56" t="str">
        <f t="shared" ca="1" si="52"/>
        <v/>
      </c>
      <c r="Q631" s="57" t="str">
        <f t="shared" si="53"/>
        <v/>
      </c>
      <c r="R631" s="57" t="str">
        <f t="shared" si="54"/>
        <v/>
      </c>
    </row>
    <row r="632" spans="4:18" x14ac:dyDescent="0.25">
      <c r="D632" s="43"/>
      <c r="E632" s="55" t="str">
        <f t="shared" si="50"/>
        <v/>
      </c>
      <c r="F632" s="55"/>
      <c r="G632" s="55"/>
      <c r="H632" s="55"/>
      <c r="I632" s="55"/>
      <c r="J632" s="55"/>
      <c r="K632" s="46" t="str">
        <f t="shared" ca="1" si="51"/>
        <v/>
      </c>
      <c r="L632" s="56" t="str">
        <f t="shared" ca="1" si="52"/>
        <v/>
      </c>
      <c r="Q632" s="57" t="str">
        <f t="shared" si="53"/>
        <v/>
      </c>
      <c r="R632" s="57" t="str">
        <f t="shared" si="54"/>
        <v/>
      </c>
    </row>
    <row r="633" spans="4:18" x14ac:dyDescent="0.25">
      <c r="D633" s="43"/>
      <c r="E633" s="55" t="str">
        <f t="shared" si="50"/>
        <v/>
      </c>
      <c r="F633" s="55"/>
      <c r="G633" s="55"/>
      <c r="H633" s="55"/>
      <c r="I633" s="55"/>
      <c r="J633" s="55"/>
      <c r="K633" s="46" t="str">
        <f t="shared" ca="1" si="51"/>
        <v/>
      </c>
      <c r="L633" s="56" t="str">
        <f t="shared" ca="1" si="52"/>
        <v/>
      </c>
      <c r="Q633" s="57" t="str">
        <f t="shared" si="53"/>
        <v/>
      </c>
      <c r="R633" s="57" t="str">
        <f t="shared" si="54"/>
        <v/>
      </c>
    </row>
    <row r="634" spans="4:18" x14ac:dyDescent="0.25">
      <c r="D634" s="43"/>
      <c r="E634" s="55" t="str">
        <f t="shared" si="50"/>
        <v/>
      </c>
      <c r="F634" s="55"/>
      <c r="G634" s="55"/>
      <c r="H634" s="55"/>
      <c r="I634" s="55"/>
      <c r="J634" s="55"/>
      <c r="K634" s="46" t="str">
        <f t="shared" ca="1" si="51"/>
        <v/>
      </c>
      <c r="L634" s="56" t="str">
        <f t="shared" ca="1" si="52"/>
        <v/>
      </c>
      <c r="Q634" s="57" t="str">
        <f t="shared" si="53"/>
        <v/>
      </c>
      <c r="R634" s="57" t="str">
        <f t="shared" si="54"/>
        <v/>
      </c>
    </row>
    <row r="635" spans="4:18" x14ac:dyDescent="0.25">
      <c r="D635" s="43"/>
      <c r="E635" s="55" t="str">
        <f t="shared" si="50"/>
        <v/>
      </c>
      <c r="F635" s="55"/>
      <c r="G635" s="55"/>
      <c r="H635" s="55"/>
      <c r="I635" s="55"/>
      <c r="J635" s="55"/>
      <c r="K635" s="46" t="str">
        <f t="shared" ca="1" si="51"/>
        <v/>
      </c>
      <c r="L635" s="56" t="str">
        <f t="shared" ca="1" si="52"/>
        <v/>
      </c>
      <c r="Q635" s="57" t="str">
        <f t="shared" si="53"/>
        <v/>
      </c>
      <c r="R635" s="57" t="str">
        <f t="shared" si="54"/>
        <v/>
      </c>
    </row>
    <row r="636" spans="4:18" x14ac:dyDescent="0.25">
      <c r="D636" s="43"/>
      <c r="E636" s="55" t="str">
        <f t="shared" si="50"/>
        <v/>
      </c>
      <c r="F636" s="55"/>
      <c r="G636" s="55"/>
      <c r="H636" s="55"/>
      <c r="I636" s="55"/>
      <c r="J636" s="55"/>
      <c r="K636" s="46" t="str">
        <f t="shared" ca="1" si="51"/>
        <v/>
      </c>
      <c r="L636" s="56" t="str">
        <f t="shared" ca="1" si="52"/>
        <v/>
      </c>
      <c r="Q636" s="57" t="str">
        <f t="shared" si="53"/>
        <v/>
      </c>
      <c r="R636" s="57" t="str">
        <f t="shared" si="54"/>
        <v/>
      </c>
    </row>
    <row r="637" spans="4:18" x14ac:dyDescent="0.25">
      <c r="D637" s="43"/>
      <c r="E637" s="55" t="str">
        <f t="shared" si="50"/>
        <v/>
      </c>
      <c r="F637" s="55"/>
      <c r="G637" s="55"/>
      <c r="H637" s="55"/>
      <c r="I637" s="55"/>
      <c r="J637" s="55"/>
      <c r="K637" s="46" t="str">
        <f t="shared" ca="1" si="51"/>
        <v/>
      </c>
      <c r="L637" s="56" t="str">
        <f t="shared" ca="1" si="52"/>
        <v/>
      </c>
      <c r="Q637" s="57" t="str">
        <f t="shared" si="53"/>
        <v/>
      </c>
      <c r="R637" s="57" t="str">
        <f t="shared" si="54"/>
        <v/>
      </c>
    </row>
    <row r="638" spans="4:18" x14ac:dyDescent="0.25">
      <c r="D638" s="43"/>
      <c r="E638" s="55" t="str">
        <f t="shared" si="50"/>
        <v/>
      </c>
      <c r="F638" s="55"/>
      <c r="G638" s="55"/>
      <c r="H638" s="55"/>
      <c r="I638" s="55"/>
      <c r="J638" s="55"/>
      <c r="K638" s="46" t="str">
        <f t="shared" ca="1" si="51"/>
        <v/>
      </c>
      <c r="L638" s="56" t="str">
        <f t="shared" ca="1" si="52"/>
        <v/>
      </c>
      <c r="Q638" s="57" t="str">
        <f t="shared" si="53"/>
        <v/>
      </c>
      <c r="R638" s="57" t="str">
        <f t="shared" si="54"/>
        <v/>
      </c>
    </row>
    <row r="639" spans="4:18" x14ac:dyDescent="0.25">
      <c r="D639" s="43"/>
      <c r="E639" s="55" t="str">
        <f t="shared" si="50"/>
        <v/>
      </c>
      <c r="F639" s="55"/>
      <c r="G639" s="55"/>
      <c r="H639" s="55"/>
      <c r="I639" s="55"/>
      <c r="J639" s="55"/>
      <c r="K639" s="46" t="str">
        <f t="shared" ca="1" si="51"/>
        <v/>
      </c>
      <c r="L639" s="56" t="str">
        <f t="shared" ca="1" si="52"/>
        <v/>
      </c>
      <c r="Q639" s="57" t="str">
        <f t="shared" si="53"/>
        <v/>
      </c>
      <c r="R639" s="57" t="str">
        <f t="shared" si="54"/>
        <v/>
      </c>
    </row>
    <row r="640" spans="4:18" x14ac:dyDescent="0.25">
      <c r="D640" s="43"/>
      <c r="E640" s="55" t="str">
        <f t="shared" si="50"/>
        <v/>
      </c>
      <c r="F640" s="55"/>
      <c r="G640" s="55"/>
      <c r="H640" s="55"/>
      <c r="I640" s="55"/>
      <c r="J640" s="55"/>
      <c r="K640" s="46" t="str">
        <f t="shared" ca="1" si="51"/>
        <v/>
      </c>
      <c r="L640" s="56" t="str">
        <f t="shared" ca="1" si="52"/>
        <v/>
      </c>
      <c r="Q640" s="57" t="str">
        <f t="shared" si="53"/>
        <v/>
      </c>
      <c r="R640" s="57" t="str">
        <f t="shared" si="54"/>
        <v/>
      </c>
    </row>
    <row r="641" spans="4:18" x14ac:dyDescent="0.25">
      <c r="D641" s="43"/>
      <c r="E641" s="55" t="str">
        <f t="shared" si="50"/>
        <v/>
      </c>
      <c r="F641" s="55"/>
      <c r="G641" s="55"/>
      <c r="H641" s="55"/>
      <c r="I641" s="55"/>
      <c r="J641" s="55"/>
      <c r="K641" s="46" t="str">
        <f t="shared" ca="1" si="51"/>
        <v/>
      </c>
      <c r="L641" s="56" t="str">
        <f t="shared" ca="1" si="52"/>
        <v/>
      </c>
      <c r="Q641" s="57" t="str">
        <f t="shared" si="53"/>
        <v/>
      </c>
      <c r="R641" s="57" t="str">
        <f t="shared" si="54"/>
        <v/>
      </c>
    </row>
    <row r="642" spans="4:18" x14ac:dyDescent="0.25">
      <c r="D642" s="43"/>
      <c r="E642" s="55" t="str">
        <f t="shared" si="50"/>
        <v/>
      </c>
      <c r="F642" s="55"/>
      <c r="G642" s="55"/>
      <c r="H642" s="55"/>
      <c r="I642" s="55"/>
      <c r="J642" s="55"/>
      <c r="K642" s="46" t="str">
        <f t="shared" ca="1" si="51"/>
        <v/>
      </c>
      <c r="L642" s="56" t="str">
        <f t="shared" ca="1" si="52"/>
        <v/>
      </c>
      <c r="Q642" s="57" t="str">
        <f t="shared" si="53"/>
        <v/>
      </c>
      <c r="R642" s="57" t="str">
        <f t="shared" si="54"/>
        <v/>
      </c>
    </row>
    <row r="643" spans="4:18" x14ac:dyDescent="0.25">
      <c r="D643" s="43"/>
      <c r="E643" s="55" t="str">
        <f t="shared" si="50"/>
        <v/>
      </c>
      <c r="F643" s="55"/>
      <c r="G643" s="55"/>
      <c r="H643" s="55"/>
      <c r="I643" s="55"/>
      <c r="J643" s="55"/>
      <c r="K643" s="46" t="str">
        <f t="shared" ca="1" si="51"/>
        <v/>
      </c>
      <c r="L643" s="56" t="str">
        <f t="shared" ca="1" si="52"/>
        <v/>
      </c>
      <c r="Q643" s="57" t="str">
        <f t="shared" si="53"/>
        <v/>
      </c>
      <c r="R643" s="57" t="str">
        <f t="shared" si="54"/>
        <v/>
      </c>
    </row>
    <row r="644" spans="4:18" x14ac:dyDescent="0.25">
      <c r="D644" s="43"/>
      <c r="E644" s="55" t="str">
        <f t="shared" si="50"/>
        <v/>
      </c>
      <c r="F644" s="55"/>
      <c r="G644" s="55"/>
      <c r="H644" s="55"/>
      <c r="I644" s="55"/>
      <c r="J644" s="55"/>
      <c r="K644" s="46" t="str">
        <f t="shared" ca="1" si="51"/>
        <v/>
      </c>
      <c r="L644" s="56" t="str">
        <f t="shared" ca="1" si="52"/>
        <v/>
      </c>
      <c r="Q644" s="57" t="str">
        <f t="shared" si="53"/>
        <v/>
      </c>
      <c r="R644" s="57" t="str">
        <f t="shared" si="54"/>
        <v/>
      </c>
    </row>
    <row r="645" spans="4:18" x14ac:dyDescent="0.25">
      <c r="D645" s="43"/>
      <c r="E645" s="55" t="str">
        <f t="shared" si="50"/>
        <v/>
      </c>
      <c r="F645" s="55"/>
      <c r="G645" s="55"/>
      <c r="H645" s="55"/>
      <c r="I645" s="55"/>
      <c r="J645" s="55"/>
      <c r="K645" s="46" t="str">
        <f t="shared" ca="1" si="51"/>
        <v/>
      </c>
      <c r="L645" s="56" t="str">
        <f t="shared" ca="1" si="52"/>
        <v/>
      </c>
      <c r="Q645" s="57" t="str">
        <f t="shared" si="53"/>
        <v/>
      </c>
      <c r="R645" s="57" t="str">
        <f t="shared" si="54"/>
        <v/>
      </c>
    </row>
    <row r="646" spans="4:18" x14ac:dyDescent="0.25">
      <c r="D646" s="43"/>
      <c r="E646" s="55" t="str">
        <f t="shared" si="50"/>
        <v/>
      </c>
      <c r="F646" s="55"/>
      <c r="G646" s="55"/>
      <c r="H646" s="55"/>
      <c r="I646" s="55"/>
      <c r="J646" s="55"/>
      <c r="K646" s="46" t="str">
        <f t="shared" ca="1" si="51"/>
        <v/>
      </c>
      <c r="L646" s="56" t="str">
        <f t="shared" ca="1" si="52"/>
        <v/>
      </c>
      <c r="Q646" s="57" t="str">
        <f t="shared" si="53"/>
        <v/>
      </c>
      <c r="R646" s="57" t="str">
        <f t="shared" si="54"/>
        <v/>
      </c>
    </row>
    <row r="647" spans="4:18" x14ac:dyDescent="0.25">
      <c r="D647" s="43"/>
      <c r="E647" s="55" t="str">
        <f t="shared" si="50"/>
        <v/>
      </c>
      <c r="F647" s="55"/>
      <c r="G647" s="55"/>
      <c r="H647" s="55"/>
      <c r="I647" s="55"/>
      <c r="J647" s="55"/>
      <c r="K647" s="46" t="str">
        <f t="shared" ca="1" si="51"/>
        <v/>
      </c>
      <c r="L647" s="56" t="str">
        <f t="shared" ca="1" si="52"/>
        <v/>
      </c>
      <c r="Q647" s="57" t="str">
        <f t="shared" si="53"/>
        <v/>
      </c>
      <c r="R647" s="57" t="str">
        <f t="shared" si="54"/>
        <v/>
      </c>
    </row>
    <row r="648" spans="4:18" x14ac:dyDescent="0.25">
      <c r="D648" s="43"/>
      <c r="E648" s="55" t="str">
        <f t="shared" si="50"/>
        <v/>
      </c>
      <c r="F648" s="55"/>
      <c r="G648" s="55"/>
      <c r="H648" s="55"/>
      <c r="I648" s="55"/>
      <c r="J648" s="55"/>
      <c r="K648" s="46" t="str">
        <f t="shared" ca="1" si="51"/>
        <v/>
      </c>
      <c r="L648" s="56" t="str">
        <f t="shared" ca="1" si="52"/>
        <v/>
      </c>
      <c r="Q648" s="57" t="str">
        <f t="shared" si="53"/>
        <v/>
      </c>
      <c r="R648" s="57" t="str">
        <f t="shared" si="54"/>
        <v/>
      </c>
    </row>
    <row r="649" spans="4:18" x14ac:dyDescent="0.25">
      <c r="D649" s="43"/>
      <c r="E649" s="55" t="str">
        <f t="shared" si="50"/>
        <v/>
      </c>
      <c r="F649" s="55"/>
      <c r="G649" s="55"/>
      <c r="H649" s="55"/>
      <c r="I649" s="55"/>
      <c r="J649" s="55"/>
      <c r="K649" s="46" t="str">
        <f t="shared" ca="1" si="51"/>
        <v/>
      </c>
      <c r="L649" s="56" t="str">
        <f t="shared" ca="1" si="52"/>
        <v/>
      </c>
      <c r="Q649" s="57" t="str">
        <f t="shared" si="53"/>
        <v/>
      </c>
      <c r="R649" s="57" t="str">
        <f t="shared" si="54"/>
        <v/>
      </c>
    </row>
    <row r="650" spans="4:18" x14ac:dyDescent="0.25">
      <c r="D650" s="43"/>
      <c r="E650" s="55" t="str">
        <f t="shared" si="50"/>
        <v/>
      </c>
      <c r="F650" s="55"/>
      <c r="G650" s="55"/>
      <c r="H650" s="55"/>
      <c r="I650" s="55"/>
      <c r="J650" s="55"/>
      <c r="K650" s="46" t="str">
        <f t="shared" ca="1" si="51"/>
        <v/>
      </c>
      <c r="L650" s="56" t="str">
        <f t="shared" ca="1" si="52"/>
        <v/>
      </c>
      <c r="Q650" s="57" t="str">
        <f t="shared" si="53"/>
        <v/>
      </c>
      <c r="R650" s="57" t="str">
        <f t="shared" si="54"/>
        <v/>
      </c>
    </row>
    <row r="651" spans="4:18" x14ac:dyDescent="0.25">
      <c r="D651" s="43"/>
      <c r="E651" s="55" t="str">
        <f t="shared" si="50"/>
        <v/>
      </c>
      <c r="F651" s="55"/>
      <c r="G651" s="55"/>
      <c r="H651" s="55"/>
      <c r="I651" s="55"/>
      <c r="J651" s="55"/>
      <c r="K651" s="46" t="str">
        <f t="shared" ca="1" si="51"/>
        <v/>
      </c>
      <c r="L651" s="56" t="str">
        <f t="shared" ca="1" si="52"/>
        <v/>
      </c>
      <c r="Q651" s="57" t="str">
        <f t="shared" si="53"/>
        <v/>
      </c>
      <c r="R651" s="57" t="str">
        <f t="shared" si="54"/>
        <v/>
      </c>
    </row>
    <row r="652" spans="4:18" x14ac:dyDescent="0.25">
      <c r="D652" s="43"/>
      <c r="E652" s="55" t="str">
        <f t="shared" si="50"/>
        <v/>
      </c>
      <c r="F652" s="55"/>
      <c r="G652" s="55"/>
      <c r="H652" s="55"/>
      <c r="I652" s="55"/>
      <c r="J652" s="55"/>
      <c r="K652" s="46" t="str">
        <f t="shared" ca="1" si="51"/>
        <v/>
      </c>
      <c r="L652" s="56" t="str">
        <f t="shared" ca="1" si="52"/>
        <v/>
      </c>
      <c r="Q652" s="57" t="str">
        <f t="shared" si="53"/>
        <v/>
      </c>
      <c r="R652" s="57" t="str">
        <f t="shared" si="54"/>
        <v/>
      </c>
    </row>
    <row r="653" spans="4:18" x14ac:dyDescent="0.25">
      <c r="D653" s="43"/>
      <c r="E653" s="55" t="str">
        <f t="shared" si="50"/>
        <v/>
      </c>
      <c r="F653" s="55"/>
      <c r="G653" s="55"/>
      <c r="H653" s="55"/>
      <c r="I653" s="55"/>
      <c r="J653" s="55"/>
      <c r="K653" s="46" t="str">
        <f t="shared" ca="1" si="51"/>
        <v/>
      </c>
      <c r="L653" s="56" t="str">
        <f t="shared" ca="1" si="52"/>
        <v/>
      </c>
      <c r="Q653" s="57" t="str">
        <f t="shared" si="53"/>
        <v/>
      </c>
      <c r="R653" s="57" t="str">
        <f t="shared" si="54"/>
        <v/>
      </c>
    </row>
    <row r="654" spans="4:18" x14ac:dyDescent="0.25">
      <c r="D654" s="43"/>
      <c r="E654" s="55" t="str">
        <f t="shared" si="50"/>
        <v/>
      </c>
      <c r="F654" s="55"/>
      <c r="G654" s="55"/>
      <c r="H654" s="55"/>
      <c r="I654" s="55"/>
      <c r="J654" s="55"/>
      <c r="K654" s="46" t="str">
        <f t="shared" ca="1" si="51"/>
        <v/>
      </c>
      <c r="L654" s="56" t="str">
        <f t="shared" ca="1" si="52"/>
        <v/>
      </c>
      <c r="Q654" s="57" t="str">
        <f t="shared" si="53"/>
        <v/>
      </c>
      <c r="R654" s="57" t="str">
        <f t="shared" si="54"/>
        <v/>
      </c>
    </row>
    <row r="655" spans="4:18" x14ac:dyDescent="0.25">
      <c r="D655" s="43"/>
      <c r="E655" s="55" t="str">
        <f t="shared" si="50"/>
        <v/>
      </c>
      <c r="F655" s="55"/>
      <c r="G655" s="55"/>
      <c r="H655" s="55"/>
      <c r="I655" s="55"/>
      <c r="J655" s="55"/>
      <c r="K655" s="46" t="str">
        <f t="shared" ca="1" si="51"/>
        <v/>
      </c>
      <c r="L655" s="56" t="str">
        <f t="shared" ca="1" si="52"/>
        <v/>
      </c>
      <c r="Q655" s="57" t="str">
        <f t="shared" si="53"/>
        <v/>
      </c>
      <c r="R655" s="57" t="str">
        <f t="shared" si="54"/>
        <v/>
      </c>
    </row>
    <row r="656" spans="4:18" x14ac:dyDescent="0.25">
      <c r="D656" s="43"/>
      <c r="E656" s="55" t="str">
        <f t="shared" si="50"/>
        <v/>
      </c>
      <c r="F656" s="55"/>
      <c r="G656" s="55"/>
      <c r="H656" s="55"/>
      <c r="I656" s="55"/>
      <c r="J656" s="55"/>
      <c r="K656" s="46" t="str">
        <f t="shared" ca="1" si="51"/>
        <v/>
      </c>
      <c r="L656" s="56" t="str">
        <f t="shared" ca="1" si="52"/>
        <v/>
      </c>
      <c r="Q656" s="57" t="str">
        <f t="shared" si="53"/>
        <v/>
      </c>
      <c r="R656" s="57" t="str">
        <f t="shared" si="54"/>
        <v/>
      </c>
    </row>
    <row r="657" spans="4:18" x14ac:dyDescent="0.25">
      <c r="D657" s="43"/>
      <c r="E657" s="55" t="str">
        <f t="shared" si="50"/>
        <v/>
      </c>
      <c r="F657" s="55"/>
      <c r="G657" s="55"/>
      <c r="H657" s="55"/>
      <c r="I657" s="55"/>
      <c r="J657" s="55"/>
      <c r="K657" s="46" t="str">
        <f t="shared" ca="1" si="51"/>
        <v/>
      </c>
      <c r="L657" s="56" t="str">
        <f t="shared" ca="1" si="52"/>
        <v/>
      </c>
      <c r="Q657" s="57" t="str">
        <f t="shared" si="53"/>
        <v/>
      </c>
      <c r="R657" s="57" t="str">
        <f t="shared" si="54"/>
        <v/>
      </c>
    </row>
    <row r="658" spans="4:18" x14ac:dyDescent="0.25">
      <c r="D658" s="43"/>
      <c r="E658" s="55" t="str">
        <f t="shared" si="50"/>
        <v/>
      </c>
      <c r="F658" s="55"/>
      <c r="G658" s="55"/>
      <c r="H658" s="55"/>
      <c r="I658" s="55"/>
      <c r="J658" s="55"/>
      <c r="K658" s="46" t="str">
        <f t="shared" ca="1" si="51"/>
        <v/>
      </c>
      <c r="L658" s="56" t="str">
        <f t="shared" ca="1" si="52"/>
        <v/>
      </c>
      <c r="Q658" s="57" t="str">
        <f t="shared" si="53"/>
        <v/>
      </c>
      <c r="R658" s="57" t="str">
        <f t="shared" si="54"/>
        <v/>
      </c>
    </row>
    <row r="659" spans="4:18" x14ac:dyDescent="0.25">
      <c r="D659" s="43"/>
      <c r="E659" s="55" t="str">
        <f t="shared" si="50"/>
        <v/>
      </c>
      <c r="F659" s="55"/>
      <c r="G659" s="55"/>
      <c r="H659" s="55"/>
      <c r="I659" s="55"/>
      <c r="J659" s="55"/>
      <c r="K659" s="46" t="str">
        <f t="shared" ca="1" si="51"/>
        <v/>
      </c>
      <c r="L659" s="56" t="str">
        <f t="shared" ca="1" si="52"/>
        <v/>
      </c>
      <c r="Q659" s="57" t="str">
        <f t="shared" si="53"/>
        <v/>
      </c>
      <c r="R659" s="57" t="str">
        <f t="shared" si="54"/>
        <v/>
      </c>
    </row>
    <row r="660" spans="4:18" x14ac:dyDescent="0.25">
      <c r="D660" s="43"/>
      <c r="E660" s="55" t="str">
        <f t="shared" ref="E660:E723" si="55">IF(ISNUMBER(SEARCH("v crs",D660))=TRUE,"VC",IF(ISNUMBER(SEARCH("crs",D660))=TRUE,"C",IF(ISNUMBER(SEARCH("med",D660))=TRUE,"M",IF(ISNUMBER(SEARCH("vf",D660))=TRUE,"VF",IF(ISNUMBER(SEARCH("f",D660))=TRUE,"F","")))))</f>
        <v/>
      </c>
      <c r="F660" s="55"/>
      <c r="G660" s="55"/>
      <c r="H660" s="55"/>
      <c r="I660" s="55"/>
      <c r="J660" s="55"/>
      <c r="K660" s="46" t="str">
        <f t="shared" ca="1" si="51"/>
        <v/>
      </c>
      <c r="L660" s="56" t="str">
        <f t="shared" ca="1" si="52"/>
        <v/>
      </c>
      <c r="Q660" s="57" t="str">
        <f t="shared" si="53"/>
        <v/>
      </c>
      <c r="R660" s="57" t="str">
        <f t="shared" si="54"/>
        <v/>
      </c>
    </row>
    <row r="661" spans="4:18" x14ac:dyDescent="0.25">
      <c r="D661" s="43"/>
      <c r="E661" s="55" t="str">
        <f t="shared" si="55"/>
        <v/>
      </c>
      <c r="F661" s="55"/>
      <c r="G661" s="55"/>
      <c r="H661" s="55"/>
      <c r="I661" s="55"/>
      <c r="J661" s="55"/>
      <c r="K661" s="46" t="str">
        <f t="shared" ref="K661:K724" ca="1" si="56">IF(AND(C661&lt;&gt;"",C661&lt;&gt;Q661),TODAY(),IF(C661="","",K661))</f>
        <v/>
      </c>
      <c r="L661" s="56" t="str">
        <f t="shared" ref="L661:L724" ca="1" si="57">IF(AND(C661&lt;&gt;"",C661&lt;&gt;R661),NOW(),IF(C661="","",L661))</f>
        <v/>
      </c>
      <c r="Q661" s="57" t="str">
        <f t="shared" ref="Q661:Q724" si="58">IF(C661="","",IF(OR(K661="",AND(ISNUMBER(Q661),C661=Q661)),Q661,C661))</f>
        <v/>
      </c>
      <c r="R661" s="57" t="str">
        <f t="shared" ref="R661:R724" si="59">IF(C661="","",IF(OR(L661="",AND(ISNUMBER(R661),C661=R661)),R661,C661))</f>
        <v/>
      </c>
    </row>
    <row r="662" spans="4:18" x14ac:dyDescent="0.25">
      <c r="D662" s="43"/>
      <c r="E662" s="55" t="str">
        <f t="shared" si="55"/>
        <v/>
      </c>
      <c r="F662" s="55"/>
      <c r="G662" s="55"/>
      <c r="H662" s="55"/>
      <c r="I662" s="55"/>
      <c r="J662" s="55"/>
      <c r="K662" s="46" t="str">
        <f t="shared" ca="1" si="56"/>
        <v/>
      </c>
      <c r="L662" s="56" t="str">
        <f t="shared" ca="1" si="57"/>
        <v/>
      </c>
      <c r="Q662" s="57" t="str">
        <f t="shared" si="58"/>
        <v/>
      </c>
      <c r="R662" s="57" t="str">
        <f t="shared" si="59"/>
        <v/>
      </c>
    </row>
    <row r="663" spans="4:18" x14ac:dyDescent="0.25">
      <c r="D663" s="43"/>
      <c r="E663" s="55" t="str">
        <f t="shared" si="55"/>
        <v/>
      </c>
      <c r="F663" s="55"/>
      <c r="G663" s="55"/>
      <c r="H663" s="55"/>
      <c r="I663" s="55"/>
      <c r="J663" s="55"/>
      <c r="K663" s="46" t="str">
        <f t="shared" ca="1" si="56"/>
        <v/>
      </c>
      <c r="L663" s="56" t="str">
        <f t="shared" ca="1" si="57"/>
        <v/>
      </c>
      <c r="Q663" s="57" t="str">
        <f t="shared" si="58"/>
        <v/>
      </c>
      <c r="R663" s="57" t="str">
        <f t="shared" si="59"/>
        <v/>
      </c>
    </row>
    <row r="664" spans="4:18" x14ac:dyDescent="0.25">
      <c r="D664" s="43"/>
      <c r="E664" s="55" t="str">
        <f t="shared" si="55"/>
        <v/>
      </c>
      <c r="F664" s="55"/>
      <c r="G664" s="55"/>
      <c r="H664" s="55"/>
      <c r="I664" s="55"/>
      <c r="J664" s="55"/>
      <c r="K664" s="46" t="str">
        <f t="shared" ca="1" si="56"/>
        <v/>
      </c>
      <c r="L664" s="56" t="str">
        <f t="shared" ca="1" si="57"/>
        <v/>
      </c>
      <c r="Q664" s="57" t="str">
        <f t="shared" si="58"/>
        <v/>
      </c>
      <c r="R664" s="57" t="str">
        <f t="shared" si="59"/>
        <v/>
      </c>
    </row>
    <row r="665" spans="4:18" x14ac:dyDescent="0.25">
      <c r="D665" s="43"/>
      <c r="E665" s="55" t="str">
        <f t="shared" si="55"/>
        <v/>
      </c>
      <c r="F665" s="55"/>
      <c r="G665" s="55"/>
      <c r="H665" s="55"/>
      <c r="I665" s="55"/>
      <c r="J665" s="55"/>
      <c r="K665" s="46" t="str">
        <f t="shared" ca="1" si="56"/>
        <v/>
      </c>
      <c r="L665" s="56" t="str">
        <f t="shared" ca="1" si="57"/>
        <v/>
      </c>
      <c r="Q665" s="57" t="str">
        <f t="shared" si="58"/>
        <v/>
      </c>
      <c r="R665" s="57" t="str">
        <f t="shared" si="59"/>
        <v/>
      </c>
    </row>
    <row r="666" spans="4:18" x14ac:dyDescent="0.25">
      <c r="D666" s="43"/>
      <c r="E666" s="55" t="str">
        <f t="shared" si="55"/>
        <v/>
      </c>
      <c r="F666" s="55"/>
      <c r="G666" s="55"/>
      <c r="H666" s="55"/>
      <c r="I666" s="55"/>
      <c r="J666" s="55"/>
      <c r="K666" s="46" t="str">
        <f t="shared" ca="1" si="56"/>
        <v/>
      </c>
      <c r="L666" s="56" t="str">
        <f t="shared" ca="1" si="57"/>
        <v/>
      </c>
      <c r="Q666" s="57" t="str">
        <f t="shared" si="58"/>
        <v/>
      </c>
      <c r="R666" s="57" t="str">
        <f t="shared" si="59"/>
        <v/>
      </c>
    </row>
    <row r="667" spans="4:18" x14ac:dyDescent="0.25">
      <c r="D667" s="43"/>
      <c r="E667" s="55" t="str">
        <f t="shared" si="55"/>
        <v/>
      </c>
      <c r="F667" s="55"/>
      <c r="G667" s="55"/>
      <c r="H667" s="55"/>
      <c r="I667" s="55"/>
      <c r="J667" s="55"/>
      <c r="K667" s="46" t="str">
        <f t="shared" ca="1" si="56"/>
        <v/>
      </c>
      <c r="L667" s="56" t="str">
        <f t="shared" ca="1" si="57"/>
        <v/>
      </c>
      <c r="Q667" s="57" t="str">
        <f t="shared" si="58"/>
        <v/>
      </c>
      <c r="R667" s="57" t="str">
        <f t="shared" si="59"/>
        <v/>
      </c>
    </row>
    <row r="668" spans="4:18" x14ac:dyDescent="0.25">
      <c r="D668" s="43"/>
      <c r="E668" s="55" t="str">
        <f t="shared" si="55"/>
        <v/>
      </c>
      <c r="F668" s="55"/>
      <c r="G668" s="55"/>
      <c r="H668" s="55"/>
      <c r="I668" s="55"/>
      <c r="J668" s="55"/>
      <c r="K668" s="46" t="str">
        <f t="shared" ca="1" si="56"/>
        <v/>
      </c>
      <c r="L668" s="56" t="str">
        <f t="shared" ca="1" si="57"/>
        <v/>
      </c>
      <c r="Q668" s="57" t="str">
        <f t="shared" si="58"/>
        <v/>
      </c>
      <c r="R668" s="57" t="str">
        <f t="shared" si="59"/>
        <v/>
      </c>
    </row>
    <row r="669" spans="4:18" x14ac:dyDescent="0.25">
      <c r="D669" s="43"/>
      <c r="E669" s="55" t="str">
        <f t="shared" si="55"/>
        <v/>
      </c>
      <c r="F669" s="55"/>
      <c r="G669" s="55"/>
      <c r="H669" s="55"/>
      <c r="I669" s="55"/>
      <c r="J669" s="55"/>
      <c r="K669" s="46" t="str">
        <f t="shared" ca="1" si="56"/>
        <v/>
      </c>
      <c r="L669" s="56" t="str">
        <f t="shared" ca="1" si="57"/>
        <v/>
      </c>
      <c r="Q669" s="57" t="str">
        <f t="shared" si="58"/>
        <v/>
      </c>
      <c r="R669" s="57" t="str">
        <f t="shared" si="59"/>
        <v/>
      </c>
    </row>
    <row r="670" spans="4:18" x14ac:dyDescent="0.25">
      <c r="D670" s="43"/>
      <c r="E670" s="55" t="str">
        <f t="shared" si="55"/>
        <v/>
      </c>
      <c r="F670" s="55"/>
      <c r="G670" s="55"/>
      <c r="H670" s="55"/>
      <c r="I670" s="55"/>
      <c r="J670" s="55"/>
      <c r="K670" s="46" t="str">
        <f t="shared" ca="1" si="56"/>
        <v/>
      </c>
      <c r="L670" s="56" t="str">
        <f t="shared" ca="1" si="57"/>
        <v/>
      </c>
      <c r="Q670" s="57" t="str">
        <f t="shared" si="58"/>
        <v/>
      </c>
      <c r="R670" s="57" t="str">
        <f t="shared" si="59"/>
        <v/>
      </c>
    </row>
    <row r="671" spans="4:18" x14ac:dyDescent="0.25">
      <c r="D671" s="43"/>
      <c r="E671" s="55" t="str">
        <f t="shared" si="55"/>
        <v/>
      </c>
      <c r="F671" s="55"/>
      <c r="G671" s="55"/>
      <c r="H671" s="55"/>
      <c r="I671" s="55"/>
      <c r="J671" s="55"/>
      <c r="K671" s="46" t="str">
        <f t="shared" ca="1" si="56"/>
        <v/>
      </c>
      <c r="L671" s="56" t="str">
        <f t="shared" ca="1" si="57"/>
        <v/>
      </c>
      <c r="Q671" s="57" t="str">
        <f t="shared" si="58"/>
        <v/>
      </c>
      <c r="R671" s="57" t="str">
        <f t="shared" si="59"/>
        <v/>
      </c>
    </row>
    <row r="672" spans="4:18" x14ac:dyDescent="0.25">
      <c r="D672" s="43"/>
      <c r="E672" s="55" t="str">
        <f t="shared" si="55"/>
        <v/>
      </c>
      <c r="F672" s="55"/>
      <c r="G672" s="55"/>
      <c r="H672" s="55"/>
      <c r="I672" s="55"/>
      <c r="J672" s="55"/>
      <c r="K672" s="46" t="str">
        <f t="shared" ca="1" si="56"/>
        <v/>
      </c>
      <c r="L672" s="56" t="str">
        <f t="shared" ca="1" si="57"/>
        <v/>
      </c>
      <c r="Q672" s="57" t="str">
        <f t="shared" si="58"/>
        <v/>
      </c>
      <c r="R672" s="57" t="str">
        <f t="shared" si="59"/>
        <v/>
      </c>
    </row>
    <row r="673" spans="4:18" x14ac:dyDescent="0.25">
      <c r="D673" s="43"/>
      <c r="E673" s="55" t="str">
        <f t="shared" si="55"/>
        <v/>
      </c>
      <c r="F673" s="55"/>
      <c r="G673" s="55"/>
      <c r="H673" s="55"/>
      <c r="I673" s="55"/>
      <c r="J673" s="55"/>
      <c r="K673" s="46" t="str">
        <f t="shared" ca="1" si="56"/>
        <v/>
      </c>
      <c r="L673" s="56" t="str">
        <f t="shared" ca="1" si="57"/>
        <v/>
      </c>
      <c r="Q673" s="57" t="str">
        <f t="shared" si="58"/>
        <v/>
      </c>
      <c r="R673" s="57" t="str">
        <f t="shared" si="59"/>
        <v/>
      </c>
    </row>
    <row r="674" spans="4:18" x14ac:dyDescent="0.25">
      <c r="D674" s="43"/>
      <c r="E674" s="55" t="str">
        <f t="shared" si="55"/>
        <v/>
      </c>
      <c r="F674" s="55"/>
      <c r="G674" s="55"/>
      <c r="H674" s="55"/>
      <c r="I674" s="55"/>
      <c r="J674" s="55"/>
      <c r="K674" s="46" t="str">
        <f t="shared" ca="1" si="56"/>
        <v/>
      </c>
      <c r="L674" s="56" t="str">
        <f t="shared" ca="1" si="57"/>
        <v/>
      </c>
      <c r="Q674" s="57" t="str">
        <f t="shared" si="58"/>
        <v/>
      </c>
      <c r="R674" s="57" t="str">
        <f t="shared" si="59"/>
        <v/>
      </c>
    </row>
    <row r="675" spans="4:18" x14ac:dyDescent="0.25">
      <c r="D675" s="43"/>
      <c r="E675" s="55" t="str">
        <f t="shared" si="55"/>
        <v/>
      </c>
      <c r="F675" s="55"/>
      <c r="G675" s="55"/>
      <c r="H675" s="55"/>
      <c r="I675" s="55"/>
      <c r="J675" s="55"/>
      <c r="K675" s="46" t="str">
        <f t="shared" ca="1" si="56"/>
        <v/>
      </c>
      <c r="L675" s="56" t="str">
        <f t="shared" ca="1" si="57"/>
        <v/>
      </c>
      <c r="Q675" s="57" t="str">
        <f t="shared" si="58"/>
        <v/>
      </c>
      <c r="R675" s="57" t="str">
        <f t="shared" si="59"/>
        <v/>
      </c>
    </row>
    <row r="676" spans="4:18" x14ac:dyDescent="0.25">
      <c r="D676" s="43"/>
      <c r="E676" s="55" t="str">
        <f t="shared" si="55"/>
        <v/>
      </c>
      <c r="F676" s="55"/>
      <c r="G676" s="55"/>
      <c r="H676" s="55"/>
      <c r="I676" s="55"/>
      <c r="J676" s="55"/>
      <c r="K676" s="46" t="str">
        <f t="shared" ca="1" si="56"/>
        <v/>
      </c>
      <c r="L676" s="56" t="str">
        <f t="shared" ca="1" si="57"/>
        <v/>
      </c>
      <c r="Q676" s="57" t="str">
        <f t="shared" si="58"/>
        <v/>
      </c>
      <c r="R676" s="57" t="str">
        <f t="shared" si="59"/>
        <v/>
      </c>
    </row>
    <row r="677" spans="4:18" x14ac:dyDescent="0.25">
      <c r="D677" s="43"/>
      <c r="E677" s="55" t="str">
        <f t="shared" si="55"/>
        <v/>
      </c>
      <c r="F677" s="55"/>
      <c r="G677" s="55"/>
      <c r="H677" s="55"/>
      <c r="I677" s="55"/>
      <c r="J677" s="55"/>
      <c r="K677" s="46" t="str">
        <f t="shared" ca="1" si="56"/>
        <v/>
      </c>
      <c r="L677" s="56" t="str">
        <f t="shared" ca="1" si="57"/>
        <v/>
      </c>
      <c r="Q677" s="57" t="str">
        <f t="shared" si="58"/>
        <v/>
      </c>
      <c r="R677" s="57" t="str">
        <f t="shared" si="59"/>
        <v/>
      </c>
    </row>
    <row r="678" spans="4:18" x14ac:dyDescent="0.25">
      <c r="D678" s="43"/>
      <c r="E678" s="55" t="str">
        <f t="shared" si="55"/>
        <v/>
      </c>
      <c r="F678" s="55"/>
      <c r="G678" s="55"/>
      <c r="H678" s="55"/>
      <c r="I678" s="55"/>
      <c r="J678" s="55"/>
      <c r="K678" s="46" t="str">
        <f t="shared" ca="1" si="56"/>
        <v/>
      </c>
      <c r="L678" s="56" t="str">
        <f t="shared" ca="1" si="57"/>
        <v/>
      </c>
      <c r="Q678" s="57" t="str">
        <f t="shared" si="58"/>
        <v/>
      </c>
      <c r="R678" s="57" t="str">
        <f t="shared" si="59"/>
        <v/>
      </c>
    </row>
    <row r="679" spans="4:18" x14ac:dyDescent="0.25">
      <c r="D679" s="43"/>
      <c r="E679" s="55" t="str">
        <f t="shared" si="55"/>
        <v/>
      </c>
      <c r="F679" s="55"/>
      <c r="G679" s="55"/>
      <c r="H679" s="55"/>
      <c r="I679" s="55"/>
      <c r="J679" s="55"/>
      <c r="K679" s="46" t="str">
        <f t="shared" ca="1" si="56"/>
        <v/>
      </c>
      <c r="L679" s="56" t="str">
        <f t="shared" ca="1" si="57"/>
        <v/>
      </c>
      <c r="Q679" s="57" t="str">
        <f t="shared" si="58"/>
        <v/>
      </c>
      <c r="R679" s="57" t="str">
        <f t="shared" si="59"/>
        <v/>
      </c>
    </row>
    <row r="680" spans="4:18" x14ac:dyDescent="0.25">
      <c r="D680" s="43"/>
      <c r="E680" s="55" t="str">
        <f t="shared" si="55"/>
        <v/>
      </c>
      <c r="F680" s="55"/>
      <c r="G680" s="55"/>
      <c r="H680" s="55"/>
      <c r="I680" s="55"/>
      <c r="J680" s="55"/>
      <c r="K680" s="46" t="str">
        <f t="shared" ca="1" si="56"/>
        <v/>
      </c>
      <c r="L680" s="56" t="str">
        <f t="shared" ca="1" si="57"/>
        <v/>
      </c>
      <c r="Q680" s="57" t="str">
        <f t="shared" si="58"/>
        <v/>
      </c>
      <c r="R680" s="57" t="str">
        <f t="shared" si="59"/>
        <v/>
      </c>
    </row>
    <row r="681" spans="4:18" x14ac:dyDescent="0.25">
      <c r="D681" s="43"/>
      <c r="E681" s="55" t="str">
        <f t="shared" si="55"/>
        <v/>
      </c>
      <c r="F681" s="55"/>
      <c r="G681" s="55"/>
      <c r="H681" s="55"/>
      <c r="I681" s="55"/>
      <c r="J681" s="55"/>
      <c r="K681" s="46" t="str">
        <f t="shared" ca="1" si="56"/>
        <v/>
      </c>
      <c r="L681" s="56" t="str">
        <f t="shared" ca="1" si="57"/>
        <v/>
      </c>
      <c r="Q681" s="57" t="str">
        <f t="shared" si="58"/>
        <v/>
      </c>
      <c r="R681" s="57" t="str">
        <f t="shared" si="59"/>
        <v/>
      </c>
    </row>
    <row r="682" spans="4:18" x14ac:dyDescent="0.25">
      <c r="D682" s="43"/>
      <c r="E682" s="55" t="str">
        <f t="shared" si="55"/>
        <v/>
      </c>
      <c r="F682" s="55"/>
      <c r="G682" s="55"/>
      <c r="H682" s="55"/>
      <c r="I682" s="55"/>
      <c r="J682" s="55"/>
      <c r="K682" s="46" t="str">
        <f t="shared" ca="1" si="56"/>
        <v/>
      </c>
      <c r="L682" s="56" t="str">
        <f t="shared" ca="1" si="57"/>
        <v/>
      </c>
      <c r="Q682" s="57" t="str">
        <f t="shared" si="58"/>
        <v/>
      </c>
      <c r="R682" s="57" t="str">
        <f t="shared" si="59"/>
        <v/>
      </c>
    </row>
    <row r="683" spans="4:18" x14ac:dyDescent="0.25">
      <c r="D683" s="43"/>
      <c r="E683" s="55" t="str">
        <f t="shared" si="55"/>
        <v/>
      </c>
      <c r="F683" s="55"/>
      <c r="G683" s="55"/>
      <c r="H683" s="55"/>
      <c r="I683" s="55"/>
      <c r="J683" s="55"/>
      <c r="K683" s="46" t="str">
        <f t="shared" ca="1" si="56"/>
        <v/>
      </c>
      <c r="L683" s="56" t="str">
        <f t="shared" ca="1" si="57"/>
        <v/>
      </c>
      <c r="Q683" s="57" t="str">
        <f t="shared" si="58"/>
        <v/>
      </c>
      <c r="R683" s="57" t="str">
        <f t="shared" si="59"/>
        <v/>
      </c>
    </row>
    <row r="684" spans="4:18" x14ac:dyDescent="0.25">
      <c r="D684" s="43"/>
      <c r="E684" s="55" t="str">
        <f t="shared" si="55"/>
        <v/>
      </c>
      <c r="F684" s="55"/>
      <c r="G684" s="55"/>
      <c r="H684" s="55"/>
      <c r="I684" s="55"/>
      <c r="J684" s="55"/>
      <c r="K684" s="46" t="str">
        <f t="shared" ca="1" si="56"/>
        <v/>
      </c>
      <c r="L684" s="56" t="str">
        <f t="shared" ca="1" si="57"/>
        <v/>
      </c>
      <c r="Q684" s="57" t="str">
        <f t="shared" si="58"/>
        <v/>
      </c>
      <c r="R684" s="57" t="str">
        <f t="shared" si="59"/>
        <v/>
      </c>
    </row>
    <row r="685" spans="4:18" x14ac:dyDescent="0.25">
      <c r="D685" s="43"/>
      <c r="E685" s="55" t="str">
        <f t="shared" si="55"/>
        <v/>
      </c>
      <c r="F685" s="55"/>
      <c r="G685" s="55"/>
      <c r="H685" s="55"/>
      <c r="I685" s="55"/>
      <c r="J685" s="55"/>
      <c r="K685" s="46" t="str">
        <f t="shared" ca="1" si="56"/>
        <v/>
      </c>
      <c r="L685" s="56" t="str">
        <f t="shared" ca="1" si="57"/>
        <v/>
      </c>
      <c r="Q685" s="57" t="str">
        <f t="shared" si="58"/>
        <v/>
      </c>
      <c r="R685" s="57" t="str">
        <f t="shared" si="59"/>
        <v/>
      </c>
    </row>
    <row r="686" spans="4:18" x14ac:dyDescent="0.25">
      <c r="D686" s="43"/>
      <c r="E686" s="55" t="str">
        <f t="shared" si="55"/>
        <v/>
      </c>
      <c r="F686" s="55"/>
      <c r="G686" s="55"/>
      <c r="H686" s="55"/>
      <c r="I686" s="55"/>
      <c r="J686" s="55"/>
      <c r="K686" s="46" t="str">
        <f t="shared" ca="1" si="56"/>
        <v/>
      </c>
      <c r="L686" s="56" t="str">
        <f t="shared" ca="1" si="57"/>
        <v/>
      </c>
      <c r="Q686" s="57" t="str">
        <f t="shared" si="58"/>
        <v/>
      </c>
      <c r="R686" s="57" t="str">
        <f t="shared" si="59"/>
        <v/>
      </c>
    </row>
    <row r="687" spans="4:18" x14ac:dyDescent="0.25">
      <c r="D687" s="43"/>
      <c r="E687" s="55" t="str">
        <f t="shared" si="55"/>
        <v/>
      </c>
      <c r="F687" s="55"/>
      <c r="G687" s="55"/>
      <c r="H687" s="55"/>
      <c r="I687" s="55"/>
      <c r="J687" s="55"/>
      <c r="K687" s="46" t="str">
        <f t="shared" ca="1" si="56"/>
        <v/>
      </c>
      <c r="L687" s="56" t="str">
        <f t="shared" ca="1" si="57"/>
        <v/>
      </c>
      <c r="Q687" s="57" t="str">
        <f t="shared" si="58"/>
        <v/>
      </c>
      <c r="R687" s="57" t="str">
        <f t="shared" si="59"/>
        <v/>
      </c>
    </row>
    <row r="688" spans="4:18" x14ac:dyDescent="0.25">
      <c r="D688" s="43"/>
      <c r="E688" s="55" t="str">
        <f t="shared" si="55"/>
        <v/>
      </c>
      <c r="F688" s="55"/>
      <c r="G688" s="55"/>
      <c r="H688" s="55"/>
      <c r="I688" s="55"/>
      <c r="J688" s="55"/>
      <c r="K688" s="46" t="str">
        <f t="shared" ca="1" si="56"/>
        <v/>
      </c>
      <c r="L688" s="56" t="str">
        <f t="shared" ca="1" si="57"/>
        <v/>
      </c>
      <c r="Q688" s="57" t="str">
        <f t="shared" si="58"/>
        <v/>
      </c>
      <c r="R688" s="57" t="str">
        <f t="shared" si="59"/>
        <v/>
      </c>
    </row>
    <row r="689" spans="4:18" x14ac:dyDescent="0.25">
      <c r="D689" s="43"/>
      <c r="E689" s="55" t="str">
        <f t="shared" si="55"/>
        <v/>
      </c>
      <c r="F689" s="55"/>
      <c r="G689" s="55"/>
      <c r="H689" s="55"/>
      <c r="I689" s="55"/>
      <c r="J689" s="55"/>
      <c r="K689" s="46" t="str">
        <f t="shared" ca="1" si="56"/>
        <v/>
      </c>
      <c r="L689" s="56" t="str">
        <f t="shared" ca="1" si="57"/>
        <v/>
      </c>
      <c r="Q689" s="57" t="str">
        <f t="shared" si="58"/>
        <v/>
      </c>
      <c r="R689" s="57" t="str">
        <f t="shared" si="59"/>
        <v/>
      </c>
    </row>
    <row r="690" spans="4:18" x14ac:dyDescent="0.25">
      <c r="D690" s="43"/>
      <c r="E690" s="55" t="str">
        <f t="shared" si="55"/>
        <v/>
      </c>
      <c r="F690" s="55"/>
      <c r="G690" s="55"/>
      <c r="H690" s="55"/>
      <c r="I690" s="55"/>
      <c r="J690" s="55"/>
      <c r="K690" s="46" t="str">
        <f t="shared" ca="1" si="56"/>
        <v/>
      </c>
      <c r="L690" s="56" t="str">
        <f t="shared" ca="1" si="57"/>
        <v/>
      </c>
      <c r="Q690" s="57" t="str">
        <f t="shared" si="58"/>
        <v/>
      </c>
      <c r="R690" s="57" t="str">
        <f t="shared" si="59"/>
        <v/>
      </c>
    </row>
    <row r="691" spans="4:18" x14ac:dyDescent="0.25">
      <c r="D691" s="43"/>
      <c r="E691" s="55" t="str">
        <f t="shared" si="55"/>
        <v/>
      </c>
      <c r="F691" s="55"/>
      <c r="G691" s="55"/>
      <c r="H691" s="55"/>
      <c r="I691" s="55"/>
      <c r="J691" s="55"/>
      <c r="K691" s="46" t="str">
        <f t="shared" ca="1" si="56"/>
        <v/>
      </c>
      <c r="L691" s="56" t="str">
        <f t="shared" ca="1" si="57"/>
        <v/>
      </c>
      <c r="Q691" s="57" t="str">
        <f t="shared" si="58"/>
        <v/>
      </c>
      <c r="R691" s="57" t="str">
        <f t="shared" si="59"/>
        <v/>
      </c>
    </row>
    <row r="692" spans="4:18" x14ac:dyDescent="0.25">
      <c r="D692" s="43"/>
      <c r="E692" s="55" t="str">
        <f t="shared" si="55"/>
        <v/>
      </c>
      <c r="F692" s="55"/>
      <c r="G692" s="55"/>
      <c r="H692" s="55"/>
      <c r="I692" s="55"/>
      <c r="J692" s="55"/>
      <c r="K692" s="46" t="str">
        <f t="shared" ca="1" si="56"/>
        <v/>
      </c>
      <c r="L692" s="56" t="str">
        <f t="shared" ca="1" si="57"/>
        <v/>
      </c>
      <c r="Q692" s="57" t="str">
        <f t="shared" si="58"/>
        <v/>
      </c>
      <c r="R692" s="57" t="str">
        <f t="shared" si="59"/>
        <v/>
      </c>
    </row>
    <row r="693" spans="4:18" x14ac:dyDescent="0.25">
      <c r="D693" s="43"/>
      <c r="E693" s="55" t="str">
        <f t="shared" si="55"/>
        <v/>
      </c>
      <c r="F693" s="55"/>
      <c r="G693" s="55"/>
      <c r="H693" s="55"/>
      <c r="I693" s="55"/>
      <c r="J693" s="55"/>
      <c r="K693" s="46" t="str">
        <f t="shared" ca="1" si="56"/>
        <v/>
      </c>
      <c r="L693" s="56" t="str">
        <f t="shared" ca="1" si="57"/>
        <v/>
      </c>
      <c r="Q693" s="57" t="str">
        <f t="shared" si="58"/>
        <v/>
      </c>
      <c r="R693" s="57" t="str">
        <f t="shared" si="59"/>
        <v/>
      </c>
    </row>
    <row r="694" spans="4:18" x14ac:dyDescent="0.25">
      <c r="D694" s="43"/>
      <c r="E694" s="55" t="str">
        <f t="shared" si="55"/>
        <v/>
      </c>
      <c r="F694" s="55"/>
      <c r="G694" s="55"/>
      <c r="H694" s="55"/>
      <c r="I694" s="55"/>
      <c r="J694" s="55"/>
      <c r="K694" s="46" t="str">
        <f t="shared" ca="1" si="56"/>
        <v/>
      </c>
      <c r="L694" s="56" t="str">
        <f t="shared" ca="1" si="57"/>
        <v/>
      </c>
      <c r="Q694" s="57" t="str">
        <f t="shared" si="58"/>
        <v/>
      </c>
      <c r="R694" s="57" t="str">
        <f t="shared" si="59"/>
        <v/>
      </c>
    </row>
    <row r="695" spans="4:18" x14ac:dyDescent="0.25">
      <c r="D695" s="43"/>
      <c r="E695" s="55" t="str">
        <f t="shared" si="55"/>
        <v/>
      </c>
      <c r="F695" s="55"/>
      <c r="G695" s="55"/>
      <c r="H695" s="55"/>
      <c r="I695" s="55"/>
      <c r="J695" s="55"/>
      <c r="K695" s="46" t="str">
        <f t="shared" ca="1" si="56"/>
        <v/>
      </c>
      <c r="L695" s="56" t="str">
        <f t="shared" ca="1" si="57"/>
        <v/>
      </c>
      <c r="Q695" s="57" t="str">
        <f t="shared" si="58"/>
        <v/>
      </c>
      <c r="R695" s="57" t="str">
        <f t="shared" si="59"/>
        <v/>
      </c>
    </row>
    <row r="696" spans="4:18" x14ac:dyDescent="0.25">
      <c r="D696" s="43"/>
      <c r="E696" s="55" t="str">
        <f t="shared" si="55"/>
        <v/>
      </c>
      <c r="F696" s="55"/>
      <c r="G696" s="55"/>
      <c r="H696" s="55"/>
      <c r="I696" s="55"/>
      <c r="J696" s="55"/>
      <c r="K696" s="46" t="str">
        <f t="shared" ca="1" si="56"/>
        <v/>
      </c>
      <c r="L696" s="56" t="str">
        <f t="shared" ca="1" si="57"/>
        <v/>
      </c>
      <c r="Q696" s="57" t="str">
        <f t="shared" si="58"/>
        <v/>
      </c>
      <c r="R696" s="57" t="str">
        <f t="shared" si="59"/>
        <v/>
      </c>
    </row>
    <row r="697" spans="4:18" x14ac:dyDescent="0.25">
      <c r="D697" s="43"/>
      <c r="E697" s="55" t="str">
        <f t="shared" si="55"/>
        <v/>
      </c>
      <c r="F697" s="55"/>
      <c r="G697" s="55"/>
      <c r="H697" s="55"/>
      <c r="I697" s="55"/>
      <c r="J697" s="55"/>
      <c r="K697" s="46" t="str">
        <f t="shared" ca="1" si="56"/>
        <v/>
      </c>
      <c r="L697" s="56" t="str">
        <f t="shared" ca="1" si="57"/>
        <v/>
      </c>
      <c r="Q697" s="57" t="str">
        <f t="shared" si="58"/>
        <v/>
      </c>
      <c r="R697" s="57" t="str">
        <f t="shared" si="59"/>
        <v/>
      </c>
    </row>
    <row r="698" spans="4:18" x14ac:dyDescent="0.25">
      <c r="D698" s="43"/>
      <c r="E698" s="55" t="str">
        <f t="shared" si="55"/>
        <v/>
      </c>
      <c r="F698" s="55"/>
      <c r="G698" s="55"/>
      <c r="H698" s="55"/>
      <c r="I698" s="55"/>
      <c r="J698" s="55"/>
      <c r="K698" s="46" t="str">
        <f t="shared" ca="1" si="56"/>
        <v/>
      </c>
      <c r="L698" s="56" t="str">
        <f t="shared" ca="1" si="57"/>
        <v/>
      </c>
      <c r="Q698" s="57" t="str">
        <f t="shared" si="58"/>
        <v/>
      </c>
      <c r="R698" s="57" t="str">
        <f t="shared" si="59"/>
        <v/>
      </c>
    </row>
    <row r="699" spans="4:18" x14ac:dyDescent="0.25">
      <c r="D699" s="43"/>
      <c r="E699" s="55" t="str">
        <f t="shared" si="55"/>
        <v/>
      </c>
      <c r="F699" s="55"/>
      <c r="G699" s="55"/>
      <c r="H699" s="55"/>
      <c r="I699" s="55"/>
      <c r="J699" s="55"/>
      <c r="K699" s="46" t="str">
        <f t="shared" ca="1" si="56"/>
        <v/>
      </c>
      <c r="L699" s="56" t="str">
        <f t="shared" ca="1" si="57"/>
        <v/>
      </c>
      <c r="Q699" s="57" t="str">
        <f t="shared" si="58"/>
        <v/>
      </c>
      <c r="R699" s="57" t="str">
        <f t="shared" si="59"/>
        <v/>
      </c>
    </row>
    <row r="700" spans="4:18" x14ac:dyDescent="0.25">
      <c r="D700" s="43"/>
      <c r="E700" s="55" t="str">
        <f t="shared" si="55"/>
        <v/>
      </c>
      <c r="F700" s="55"/>
      <c r="G700" s="55"/>
      <c r="H700" s="55"/>
      <c r="I700" s="55"/>
      <c r="J700" s="55"/>
      <c r="K700" s="46" t="str">
        <f t="shared" ca="1" si="56"/>
        <v/>
      </c>
      <c r="L700" s="56" t="str">
        <f t="shared" ca="1" si="57"/>
        <v/>
      </c>
      <c r="Q700" s="57" t="str">
        <f t="shared" si="58"/>
        <v/>
      </c>
      <c r="R700" s="57" t="str">
        <f t="shared" si="59"/>
        <v/>
      </c>
    </row>
    <row r="701" spans="4:18" x14ac:dyDescent="0.25">
      <c r="D701" s="43"/>
      <c r="E701" s="55" t="str">
        <f t="shared" si="55"/>
        <v/>
      </c>
      <c r="F701" s="55"/>
      <c r="G701" s="55"/>
      <c r="H701" s="55"/>
      <c r="I701" s="55"/>
      <c r="J701" s="55"/>
      <c r="K701" s="46" t="str">
        <f t="shared" ca="1" si="56"/>
        <v/>
      </c>
      <c r="L701" s="56" t="str">
        <f t="shared" ca="1" si="57"/>
        <v/>
      </c>
      <c r="Q701" s="57" t="str">
        <f t="shared" si="58"/>
        <v/>
      </c>
      <c r="R701" s="57" t="str">
        <f t="shared" si="59"/>
        <v/>
      </c>
    </row>
    <row r="702" spans="4:18" x14ac:dyDescent="0.25">
      <c r="D702" s="43"/>
      <c r="E702" s="55" t="str">
        <f t="shared" si="55"/>
        <v/>
      </c>
      <c r="F702" s="55"/>
      <c r="G702" s="55"/>
      <c r="H702" s="55"/>
      <c r="I702" s="55"/>
      <c r="J702" s="55"/>
      <c r="K702" s="46" t="str">
        <f t="shared" ca="1" si="56"/>
        <v/>
      </c>
      <c r="L702" s="56" t="str">
        <f t="shared" ca="1" si="57"/>
        <v/>
      </c>
      <c r="Q702" s="57" t="str">
        <f t="shared" si="58"/>
        <v/>
      </c>
      <c r="R702" s="57" t="str">
        <f t="shared" si="59"/>
        <v/>
      </c>
    </row>
    <row r="703" spans="4:18" x14ac:dyDescent="0.25">
      <c r="D703" s="43"/>
      <c r="E703" s="55" t="str">
        <f t="shared" si="55"/>
        <v/>
      </c>
      <c r="F703" s="55"/>
      <c r="G703" s="55"/>
      <c r="H703" s="55"/>
      <c r="I703" s="55"/>
      <c r="J703" s="55"/>
      <c r="K703" s="46" t="str">
        <f t="shared" ca="1" si="56"/>
        <v/>
      </c>
      <c r="L703" s="56" t="str">
        <f t="shared" ca="1" si="57"/>
        <v/>
      </c>
      <c r="Q703" s="57" t="str">
        <f t="shared" si="58"/>
        <v/>
      </c>
      <c r="R703" s="57" t="str">
        <f t="shared" si="59"/>
        <v/>
      </c>
    </row>
    <row r="704" spans="4:18" x14ac:dyDescent="0.25">
      <c r="D704" s="43"/>
      <c r="E704" s="55" t="str">
        <f t="shared" si="55"/>
        <v/>
      </c>
      <c r="F704" s="55"/>
      <c r="G704" s="55"/>
      <c r="H704" s="55"/>
      <c r="I704" s="55"/>
      <c r="J704" s="55"/>
      <c r="K704" s="46" t="str">
        <f t="shared" ca="1" si="56"/>
        <v/>
      </c>
      <c r="L704" s="56" t="str">
        <f t="shared" ca="1" si="57"/>
        <v/>
      </c>
      <c r="Q704" s="57" t="str">
        <f t="shared" si="58"/>
        <v/>
      </c>
      <c r="R704" s="57" t="str">
        <f t="shared" si="59"/>
        <v/>
      </c>
    </row>
    <row r="705" spans="4:18" x14ac:dyDescent="0.25">
      <c r="D705" s="43"/>
      <c r="E705" s="55" t="str">
        <f t="shared" si="55"/>
        <v/>
      </c>
      <c r="F705" s="55"/>
      <c r="G705" s="55"/>
      <c r="H705" s="55"/>
      <c r="I705" s="55"/>
      <c r="J705" s="55"/>
      <c r="K705" s="46" t="str">
        <f t="shared" ca="1" si="56"/>
        <v/>
      </c>
      <c r="L705" s="56" t="str">
        <f t="shared" ca="1" si="57"/>
        <v/>
      </c>
      <c r="Q705" s="57" t="str">
        <f t="shared" si="58"/>
        <v/>
      </c>
      <c r="R705" s="57" t="str">
        <f t="shared" si="59"/>
        <v/>
      </c>
    </row>
    <row r="706" spans="4:18" x14ac:dyDescent="0.25">
      <c r="D706" s="43"/>
      <c r="E706" s="55" t="str">
        <f t="shared" si="55"/>
        <v/>
      </c>
      <c r="F706" s="55"/>
      <c r="G706" s="55"/>
      <c r="H706" s="55"/>
      <c r="I706" s="55"/>
      <c r="J706" s="55"/>
      <c r="K706" s="46" t="str">
        <f t="shared" ca="1" si="56"/>
        <v/>
      </c>
      <c r="L706" s="56" t="str">
        <f t="shared" ca="1" si="57"/>
        <v/>
      </c>
      <c r="Q706" s="57" t="str">
        <f t="shared" si="58"/>
        <v/>
      </c>
      <c r="R706" s="57" t="str">
        <f t="shared" si="59"/>
        <v/>
      </c>
    </row>
    <row r="707" spans="4:18" x14ac:dyDescent="0.25">
      <c r="D707" s="43"/>
      <c r="E707" s="55" t="str">
        <f t="shared" si="55"/>
        <v/>
      </c>
      <c r="F707" s="55"/>
      <c r="G707" s="55"/>
      <c r="H707" s="55"/>
      <c r="I707" s="55"/>
      <c r="J707" s="55"/>
      <c r="K707" s="46" t="str">
        <f t="shared" ca="1" si="56"/>
        <v/>
      </c>
      <c r="L707" s="56" t="str">
        <f t="shared" ca="1" si="57"/>
        <v/>
      </c>
      <c r="Q707" s="57" t="str">
        <f t="shared" si="58"/>
        <v/>
      </c>
      <c r="R707" s="57" t="str">
        <f t="shared" si="59"/>
        <v/>
      </c>
    </row>
    <row r="708" spans="4:18" x14ac:dyDescent="0.25">
      <c r="D708" s="43"/>
      <c r="E708" s="55" t="str">
        <f t="shared" si="55"/>
        <v/>
      </c>
      <c r="F708" s="55"/>
      <c r="G708" s="55"/>
      <c r="H708" s="55"/>
      <c r="I708" s="55"/>
      <c r="J708" s="55"/>
      <c r="K708" s="46" t="str">
        <f t="shared" ca="1" si="56"/>
        <v/>
      </c>
      <c r="L708" s="56" t="str">
        <f t="shared" ca="1" si="57"/>
        <v/>
      </c>
      <c r="Q708" s="57" t="str">
        <f t="shared" si="58"/>
        <v/>
      </c>
      <c r="R708" s="57" t="str">
        <f t="shared" si="59"/>
        <v/>
      </c>
    </row>
    <row r="709" spans="4:18" x14ac:dyDescent="0.25">
      <c r="D709" s="43"/>
      <c r="E709" s="55" t="str">
        <f t="shared" si="55"/>
        <v/>
      </c>
      <c r="F709" s="55"/>
      <c r="G709" s="55"/>
      <c r="H709" s="55"/>
      <c r="I709" s="55"/>
      <c r="J709" s="55"/>
      <c r="K709" s="46" t="str">
        <f t="shared" ca="1" si="56"/>
        <v/>
      </c>
      <c r="L709" s="56" t="str">
        <f t="shared" ca="1" si="57"/>
        <v/>
      </c>
      <c r="Q709" s="57" t="str">
        <f t="shared" si="58"/>
        <v/>
      </c>
      <c r="R709" s="57" t="str">
        <f t="shared" si="59"/>
        <v/>
      </c>
    </row>
    <row r="710" spans="4:18" x14ac:dyDescent="0.25">
      <c r="D710" s="43"/>
      <c r="E710" s="55" t="str">
        <f t="shared" si="55"/>
        <v/>
      </c>
      <c r="F710" s="55"/>
      <c r="G710" s="55"/>
      <c r="H710" s="55"/>
      <c r="I710" s="55"/>
      <c r="J710" s="55"/>
      <c r="K710" s="46" t="str">
        <f t="shared" ca="1" si="56"/>
        <v/>
      </c>
      <c r="L710" s="56" t="str">
        <f t="shared" ca="1" si="57"/>
        <v/>
      </c>
      <c r="Q710" s="57" t="str">
        <f t="shared" si="58"/>
        <v/>
      </c>
      <c r="R710" s="57" t="str">
        <f t="shared" si="59"/>
        <v/>
      </c>
    </row>
    <row r="711" spans="4:18" x14ac:dyDescent="0.25">
      <c r="D711" s="43"/>
      <c r="E711" s="55" t="str">
        <f t="shared" si="55"/>
        <v/>
      </c>
      <c r="F711" s="55"/>
      <c r="G711" s="55"/>
      <c r="H711" s="55"/>
      <c r="I711" s="55"/>
      <c r="J711" s="55"/>
      <c r="K711" s="46" t="str">
        <f t="shared" ca="1" si="56"/>
        <v/>
      </c>
      <c r="L711" s="56" t="str">
        <f t="shared" ca="1" si="57"/>
        <v/>
      </c>
      <c r="Q711" s="57" t="str">
        <f t="shared" si="58"/>
        <v/>
      </c>
      <c r="R711" s="57" t="str">
        <f t="shared" si="59"/>
        <v/>
      </c>
    </row>
    <row r="712" spans="4:18" x14ac:dyDescent="0.25">
      <c r="D712" s="43"/>
      <c r="E712" s="55" t="str">
        <f t="shared" si="55"/>
        <v/>
      </c>
      <c r="F712" s="55"/>
      <c r="G712" s="55"/>
      <c r="H712" s="55"/>
      <c r="I712" s="55"/>
      <c r="J712" s="55"/>
      <c r="K712" s="46" t="str">
        <f t="shared" ca="1" si="56"/>
        <v/>
      </c>
      <c r="L712" s="56" t="str">
        <f t="shared" ca="1" si="57"/>
        <v/>
      </c>
      <c r="Q712" s="57" t="str">
        <f t="shared" si="58"/>
        <v/>
      </c>
      <c r="R712" s="57" t="str">
        <f t="shared" si="59"/>
        <v/>
      </c>
    </row>
    <row r="713" spans="4:18" x14ac:dyDescent="0.25">
      <c r="D713" s="43"/>
      <c r="E713" s="55" t="str">
        <f t="shared" si="55"/>
        <v/>
      </c>
      <c r="F713" s="55"/>
      <c r="G713" s="55"/>
      <c r="H713" s="55"/>
      <c r="I713" s="55"/>
      <c r="J713" s="55"/>
      <c r="K713" s="46" t="str">
        <f t="shared" ca="1" si="56"/>
        <v/>
      </c>
      <c r="L713" s="56" t="str">
        <f t="shared" ca="1" si="57"/>
        <v/>
      </c>
      <c r="Q713" s="57" t="str">
        <f t="shared" si="58"/>
        <v/>
      </c>
      <c r="R713" s="57" t="str">
        <f t="shared" si="59"/>
        <v/>
      </c>
    </row>
    <row r="714" spans="4:18" x14ac:dyDescent="0.25">
      <c r="D714" s="43"/>
      <c r="E714" s="55" t="str">
        <f t="shared" si="55"/>
        <v/>
      </c>
      <c r="F714" s="55"/>
      <c r="G714" s="55"/>
      <c r="H714" s="55"/>
      <c r="I714" s="55"/>
      <c r="J714" s="55"/>
      <c r="K714" s="46" t="str">
        <f t="shared" ca="1" si="56"/>
        <v/>
      </c>
      <c r="L714" s="56" t="str">
        <f t="shared" ca="1" si="57"/>
        <v/>
      </c>
      <c r="Q714" s="57" t="str">
        <f t="shared" si="58"/>
        <v/>
      </c>
      <c r="R714" s="57" t="str">
        <f t="shared" si="59"/>
        <v/>
      </c>
    </row>
    <row r="715" spans="4:18" x14ac:dyDescent="0.25">
      <c r="D715" s="43"/>
      <c r="E715" s="55" t="str">
        <f t="shared" si="55"/>
        <v/>
      </c>
      <c r="F715" s="55"/>
      <c r="G715" s="55"/>
      <c r="H715" s="55"/>
      <c r="I715" s="55"/>
      <c r="J715" s="55"/>
      <c r="K715" s="46" t="str">
        <f t="shared" ca="1" si="56"/>
        <v/>
      </c>
      <c r="L715" s="56" t="str">
        <f t="shared" ca="1" si="57"/>
        <v/>
      </c>
      <c r="Q715" s="57" t="str">
        <f t="shared" si="58"/>
        <v/>
      </c>
      <c r="R715" s="57" t="str">
        <f t="shared" si="59"/>
        <v/>
      </c>
    </row>
    <row r="716" spans="4:18" x14ac:dyDescent="0.25">
      <c r="D716" s="43"/>
      <c r="E716" s="55" t="str">
        <f t="shared" si="55"/>
        <v/>
      </c>
      <c r="F716" s="55"/>
      <c r="G716" s="55"/>
      <c r="H716" s="55"/>
      <c r="I716" s="55"/>
      <c r="J716" s="55"/>
      <c r="K716" s="46" t="str">
        <f t="shared" ca="1" si="56"/>
        <v/>
      </c>
      <c r="L716" s="56" t="str">
        <f t="shared" ca="1" si="57"/>
        <v/>
      </c>
      <c r="Q716" s="57" t="str">
        <f t="shared" si="58"/>
        <v/>
      </c>
      <c r="R716" s="57" t="str">
        <f t="shared" si="59"/>
        <v/>
      </c>
    </row>
    <row r="717" spans="4:18" x14ac:dyDescent="0.25">
      <c r="D717" s="43"/>
      <c r="E717" s="55" t="str">
        <f t="shared" si="55"/>
        <v/>
      </c>
      <c r="F717" s="55"/>
      <c r="G717" s="55"/>
      <c r="H717" s="55"/>
      <c r="I717" s="55"/>
      <c r="J717" s="55"/>
      <c r="K717" s="46" t="str">
        <f t="shared" ca="1" si="56"/>
        <v/>
      </c>
      <c r="L717" s="56" t="str">
        <f t="shared" ca="1" si="57"/>
        <v/>
      </c>
      <c r="Q717" s="57" t="str">
        <f t="shared" si="58"/>
        <v/>
      </c>
      <c r="R717" s="57" t="str">
        <f t="shared" si="59"/>
        <v/>
      </c>
    </row>
    <row r="718" spans="4:18" x14ac:dyDescent="0.25">
      <c r="D718" s="43"/>
      <c r="E718" s="55" t="str">
        <f t="shared" si="55"/>
        <v/>
      </c>
      <c r="F718" s="55"/>
      <c r="G718" s="55"/>
      <c r="H718" s="55"/>
      <c r="I718" s="55"/>
      <c r="J718" s="55"/>
      <c r="K718" s="46" t="str">
        <f t="shared" ca="1" si="56"/>
        <v/>
      </c>
      <c r="L718" s="56" t="str">
        <f t="shared" ca="1" si="57"/>
        <v/>
      </c>
      <c r="Q718" s="57" t="str">
        <f t="shared" si="58"/>
        <v/>
      </c>
      <c r="R718" s="57" t="str">
        <f t="shared" si="59"/>
        <v/>
      </c>
    </row>
    <row r="719" spans="4:18" x14ac:dyDescent="0.25">
      <c r="D719" s="43"/>
      <c r="E719" s="55" t="str">
        <f t="shared" si="55"/>
        <v/>
      </c>
      <c r="F719" s="55"/>
      <c r="G719" s="55"/>
      <c r="H719" s="55"/>
      <c r="I719" s="55"/>
      <c r="J719" s="55"/>
      <c r="K719" s="46" t="str">
        <f t="shared" ca="1" si="56"/>
        <v/>
      </c>
      <c r="L719" s="56" t="str">
        <f t="shared" ca="1" si="57"/>
        <v/>
      </c>
      <c r="Q719" s="57" t="str">
        <f t="shared" si="58"/>
        <v/>
      </c>
      <c r="R719" s="57" t="str">
        <f t="shared" si="59"/>
        <v/>
      </c>
    </row>
    <row r="720" spans="4:18" x14ac:dyDescent="0.25">
      <c r="D720" s="43"/>
      <c r="E720" s="55" t="str">
        <f t="shared" si="55"/>
        <v/>
      </c>
      <c r="F720" s="55"/>
      <c r="G720" s="55"/>
      <c r="H720" s="55"/>
      <c r="I720" s="55"/>
      <c r="J720" s="55"/>
      <c r="K720" s="46" t="str">
        <f t="shared" ca="1" si="56"/>
        <v/>
      </c>
      <c r="L720" s="56" t="str">
        <f t="shared" ca="1" si="57"/>
        <v/>
      </c>
      <c r="Q720" s="57" t="str">
        <f t="shared" si="58"/>
        <v/>
      </c>
      <c r="R720" s="57" t="str">
        <f t="shared" si="59"/>
        <v/>
      </c>
    </row>
    <row r="721" spans="4:18" x14ac:dyDescent="0.25">
      <c r="D721" s="43"/>
      <c r="E721" s="55" t="str">
        <f t="shared" si="55"/>
        <v/>
      </c>
      <c r="F721" s="55"/>
      <c r="G721" s="55"/>
      <c r="H721" s="55"/>
      <c r="I721" s="55"/>
      <c r="J721" s="55"/>
      <c r="K721" s="46" t="str">
        <f t="shared" ca="1" si="56"/>
        <v/>
      </c>
      <c r="L721" s="56" t="str">
        <f t="shared" ca="1" si="57"/>
        <v/>
      </c>
      <c r="Q721" s="57" t="str">
        <f t="shared" si="58"/>
        <v/>
      </c>
      <c r="R721" s="57" t="str">
        <f t="shared" si="59"/>
        <v/>
      </c>
    </row>
    <row r="722" spans="4:18" x14ac:dyDescent="0.25">
      <c r="D722" s="43"/>
      <c r="E722" s="55" t="str">
        <f t="shared" si="55"/>
        <v/>
      </c>
      <c r="F722" s="55"/>
      <c r="G722" s="55"/>
      <c r="H722" s="55"/>
      <c r="I722" s="55"/>
      <c r="J722" s="55"/>
      <c r="K722" s="46" t="str">
        <f t="shared" ca="1" si="56"/>
        <v/>
      </c>
      <c r="L722" s="56" t="str">
        <f t="shared" ca="1" si="57"/>
        <v/>
      </c>
      <c r="Q722" s="57" t="str">
        <f t="shared" si="58"/>
        <v/>
      </c>
      <c r="R722" s="57" t="str">
        <f t="shared" si="59"/>
        <v/>
      </c>
    </row>
    <row r="723" spans="4:18" x14ac:dyDescent="0.25">
      <c r="D723" s="43"/>
      <c r="E723" s="55" t="str">
        <f t="shared" si="55"/>
        <v/>
      </c>
      <c r="F723" s="55"/>
      <c r="G723" s="55"/>
      <c r="H723" s="55"/>
      <c r="I723" s="55"/>
      <c r="J723" s="55"/>
      <c r="K723" s="46" t="str">
        <f t="shared" ca="1" si="56"/>
        <v/>
      </c>
      <c r="L723" s="56" t="str">
        <f t="shared" ca="1" si="57"/>
        <v/>
      </c>
      <c r="Q723" s="57" t="str">
        <f t="shared" si="58"/>
        <v/>
      </c>
      <c r="R723" s="57" t="str">
        <f t="shared" si="59"/>
        <v/>
      </c>
    </row>
    <row r="724" spans="4:18" x14ac:dyDescent="0.25">
      <c r="D724" s="43"/>
      <c r="E724" s="55" t="str">
        <f t="shared" ref="E724:E787" si="60">IF(ISNUMBER(SEARCH("v crs",D724))=TRUE,"VC",IF(ISNUMBER(SEARCH("crs",D724))=TRUE,"C",IF(ISNUMBER(SEARCH("med",D724))=TRUE,"M",IF(ISNUMBER(SEARCH("vf",D724))=TRUE,"VF",IF(ISNUMBER(SEARCH("f",D724))=TRUE,"F","")))))</f>
        <v/>
      </c>
      <c r="F724" s="55"/>
      <c r="G724" s="55"/>
      <c r="H724" s="55"/>
      <c r="I724" s="55"/>
      <c r="J724" s="55"/>
      <c r="K724" s="46" t="str">
        <f t="shared" ca="1" si="56"/>
        <v/>
      </c>
      <c r="L724" s="56" t="str">
        <f t="shared" ca="1" si="57"/>
        <v/>
      </c>
      <c r="Q724" s="57" t="str">
        <f t="shared" si="58"/>
        <v/>
      </c>
      <c r="R724" s="57" t="str">
        <f t="shared" si="59"/>
        <v/>
      </c>
    </row>
    <row r="725" spans="4:18" x14ac:dyDescent="0.25">
      <c r="D725" s="43"/>
      <c r="E725" s="55" t="str">
        <f t="shared" si="60"/>
        <v/>
      </c>
      <c r="F725" s="55"/>
      <c r="G725" s="55"/>
      <c r="H725" s="55"/>
      <c r="I725" s="55"/>
      <c r="J725" s="55"/>
      <c r="K725" s="46" t="str">
        <f t="shared" ref="K725:K788" ca="1" si="61">IF(AND(C725&lt;&gt;"",C725&lt;&gt;Q725),TODAY(),IF(C725="","",K725))</f>
        <v/>
      </c>
      <c r="L725" s="56" t="str">
        <f t="shared" ref="L725:L788" ca="1" si="62">IF(AND(C725&lt;&gt;"",C725&lt;&gt;R725),NOW(),IF(C725="","",L725))</f>
        <v/>
      </c>
      <c r="Q725" s="57" t="str">
        <f t="shared" ref="Q725:Q788" si="63">IF(C725="","",IF(OR(K725="",AND(ISNUMBER(Q725),C725=Q725)),Q725,C725))</f>
        <v/>
      </c>
      <c r="R725" s="57" t="str">
        <f t="shared" ref="R725:R788" si="64">IF(C725="","",IF(OR(L725="",AND(ISNUMBER(R725),C725=R725)),R725,C725))</f>
        <v/>
      </c>
    </row>
    <row r="726" spans="4:18" x14ac:dyDescent="0.25">
      <c r="D726" s="43"/>
      <c r="E726" s="55" t="str">
        <f t="shared" si="60"/>
        <v/>
      </c>
      <c r="F726" s="55"/>
      <c r="G726" s="55"/>
      <c r="H726" s="55"/>
      <c r="I726" s="55"/>
      <c r="J726" s="55"/>
      <c r="K726" s="46" t="str">
        <f t="shared" ca="1" si="61"/>
        <v/>
      </c>
      <c r="L726" s="56" t="str">
        <f t="shared" ca="1" si="62"/>
        <v/>
      </c>
      <c r="Q726" s="57" t="str">
        <f t="shared" si="63"/>
        <v/>
      </c>
      <c r="R726" s="57" t="str">
        <f t="shared" si="64"/>
        <v/>
      </c>
    </row>
    <row r="727" spans="4:18" x14ac:dyDescent="0.25">
      <c r="D727" s="43"/>
      <c r="E727" s="55" t="str">
        <f t="shared" si="60"/>
        <v/>
      </c>
      <c r="F727" s="55"/>
      <c r="G727" s="55"/>
      <c r="H727" s="55"/>
      <c r="I727" s="55"/>
      <c r="J727" s="55"/>
      <c r="K727" s="46" t="str">
        <f t="shared" ca="1" si="61"/>
        <v/>
      </c>
      <c r="L727" s="56" t="str">
        <f t="shared" ca="1" si="62"/>
        <v/>
      </c>
      <c r="Q727" s="57" t="str">
        <f t="shared" si="63"/>
        <v/>
      </c>
      <c r="R727" s="57" t="str">
        <f t="shared" si="64"/>
        <v/>
      </c>
    </row>
    <row r="728" spans="4:18" x14ac:dyDescent="0.25">
      <c r="D728" s="43"/>
      <c r="E728" s="55" t="str">
        <f t="shared" si="60"/>
        <v/>
      </c>
      <c r="F728" s="55"/>
      <c r="G728" s="55"/>
      <c r="H728" s="55"/>
      <c r="I728" s="55"/>
      <c r="J728" s="55"/>
      <c r="K728" s="46" t="str">
        <f t="shared" ca="1" si="61"/>
        <v/>
      </c>
      <c r="L728" s="56" t="str">
        <f t="shared" ca="1" si="62"/>
        <v/>
      </c>
      <c r="Q728" s="57" t="str">
        <f t="shared" si="63"/>
        <v/>
      </c>
      <c r="R728" s="57" t="str">
        <f t="shared" si="64"/>
        <v/>
      </c>
    </row>
    <row r="729" spans="4:18" x14ac:dyDescent="0.25">
      <c r="D729" s="43"/>
      <c r="E729" s="55" t="str">
        <f t="shared" si="60"/>
        <v/>
      </c>
      <c r="F729" s="55"/>
      <c r="G729" s="55"/>
      <c r="H729" s="55"/>
      <c r="I729" s="55"/>
      <c r="J729" s="55"/>
      <c r="K729" s="46" t="str">
        <f t="shared" ca="1" si="61"/>
        <v/>
      </c>
      <c r="L729" s="56" t="str">
        <f t="shared" ca="1" si="62"/>
        <v/>
      </c>
      <c r="Q729" s="57" t="str">
        <f t="shared" si="63"/>
        <v/>
      </c>
      <c r="R729" s="57" t="str">
        <f t="shared" si="64"/>
        <v/>
      </c>
    </row>
    <row r="730" spans="4:18" x14ac:dyDescent="0.25">
      <c r="D730" s="43"/>
      <c r="E730" s="55" t="str">
        <f t="shared" si="60"/>
        <v/>
      </c>
      <c r="F730" s="55"/>
      <c r="G730" s="55"/>
      <c r="H730" s="55"/>
      <c r="I730" s="55"/>
      <c r="J730" s="55"/>
      <c r="K730" s="46" t="str">
        <f t="shared" ca="1" si="61"/>
        <v/>
      </c>
      <c r="L730" s="56" t="str">
        <f t="shared" ca="1" si="62"/>
        <v/>
      </c>
      <c r="Q730" s="57" t="str">
        <f t="shared" si="63"/>
        <v/>
      </c>
      <c r="R730" s="57" t="str">
        <f t="shared" si="64"/>
        <v/>
      </c>
    </row>
    <row r="731" spans="4:18" x14ac:dyDescent="0.25">
      <c r="D731" s="43"/>
      <c r="E731" s="55" t="str">
        <f t="shared" si="60"/>
        <v/>
      </c>
      <c r="F731" s="55"/>
      <c r="G731" s="55"/>
      <c r="H731" s="55"/>
      <c r="I731" s="55"/>
      <c r="J731" s="55"/>
      <c r="K731" s="46" t="str">
        <f t="shared" ca="1" si="61"/>
        <v/>
      </c>
      <c r="L731" s="56" t="str">
        <f t="shared" ca="1" si="62"/>
        <v/>
      </c>
      <c r="Q731" s="57" t="str">
        <f t="shared" si="63"/>
        <v/>
      </c>
      <c r="R731" s="57" t="str">
        <f t="shared" si="64"/>
        <v/>
      </c>
    </row>
    <row r="732" spans="4:18" x14ac:dyDescent="0.25">
      <c r="D732" s="43"/>
      <c r="E732" s="55" t="str">
        <f t="shared" si="60"/>
        <v/>
      </c>
      <c r="F732" s="55"/>
      <c r="G732" s="55"/>
      <c r="H732" s="55"/>
      <c r="I732" s="55"/>
      <c r="J732" s="55"/>
      <c r="K732" s="46" t="str">
        <f t="shared" ca="1" si="61"/>
        <v/>
      </c>
      <c r="L732" s="56" t="str">
        <f t="shared" ca="1" si="62"/>
        <v/>
      </c>
      <c r="Q732" s="57" t="str">
        <f t="shared" si="63"/>
        <v/>
      </c>
      <c r="R732" s="57" t="str">
        <f t="shared" si="64"/>
        <v/>
      </c>
    </row>
    <row r="733" spans="4:18" x14ac:dyDescent="0.25">
      <c r="D733" s="43"/>
      <c r="E733" s="55" t="str">
        <f t="shared" si="60"/>
        <v/>
      </c>
      <c r="F733" s="55"/>
      <c r="G733" s="55"/>
      <c r="H733" s="55"/>
      <c r="I733" s="55"/>
      <c r="J733" s="55"/>
      <c r="K733" s="46" t="str">
        <f t="shared" ca="1" si="61"/>
        <v/>
      </c>
      <c r="L733" s="56" t="str">
        <f t="shared" ca="1" si="62"/>
        <v/>
      </c>
      <c r="Q733" s="57" t="str">
        <f t="shared" si="63"/>
        <v/>
      </c>
      <c r="R733" s="57" t="str">
        <f t="shared" si="64"/>
        <v/>
      </c>
    </row>
    <row r="734" spans="4:18" x14ac:dyDescent="0.25">
      <c r="D734" s="43"/>
      <c r="E734" s="55" t="str">
        <f t="shared" si="60"/>
        <v/>
      </c>
      <c r="F734" s="55"/>
      <c r="G734" s="55"/>
      <c r="H734" s="55"/>
      <c r="I734" s="55"/>
      <c r="J734" s="55"/>
      <c r="K734" s="46" t="str">
        <f t="shared" ca="1" si="61"/>
        <v/>
      </c>
      <c r="L734" s="56" t="str">
        <f t="shared" ca="1" si="62"/>
        <v/>
      </c>
      <c r="Q734" s="57" t="str">
        <f t="shared" si="63"/>
        <v/>
      </c>
      <c r="R734" s="57" t="str">
        <f t="shared" si="64"/>
        <v/>
      </c>
    </row>
    <row r="735" spans="4:18" x14ac:dyDescent="0.25">
      <c r="D735" s="43"/>
      <c r="E735" s="55" t="str">
        <f t="shared" si="60"/>
        <v/>
      </c>
      <c r="F735" s="55"/>
      <c r="G735" s="55"/>
      <c r="H735" s="55"/>
      <c r="I735" s="55"/>
      <c r="J735" s="55"/>
      <c r="K735" s="46" t="str">
        <f t="shared" ca="1" si="61"/>
        <v/>
      </c>
      <c r="L735" s="56" t="str">
        <f t="shared" ca="1" si="62"/>
        <v/>
      </c>
      <c r="Q735" s="57" t="str">
        <f t="shared" si="63"/>
        <v/>
      </c>
      <c r="R735" s="57" t="str">
        <f t="shared" si="64"/>
        <v/>
      </c>
    </row>
    <row r="736" spans="4:18" x14ac:dyDescent="0.25">
      <c r="D736" s="43"/>
      <c r="E736" s="55" t="str">
        <f t="shared" si="60"/>
        <v/>
      </c>
      <c r="F736" s="55"/>
      <c r="G736" s="55"/>
      <c r="H736" s="55"/>
      <c r="I736" s="55"/>
      <c r="J736" s="55"/>
      <c r="K736" s="46" t="str">
        <f t="shared" ca="1" si="61"/>
        <v/>
      </c>
      <c r="L736" s="56" t="str">
        <f t="shared" ca="1" si="62"/>
        <v/>
      </c>
      <c r="Q736" s="57" t="str">
        <f t="shared" si="63"/>
        <v/>
      </c>
      <c r="R736" s="57" t="str">
        <f t="shared" si="64"/>
        <v/>
      </c>
    </row>
    <row r="737" spans="4:18" x14ac:dyDescent="0.25">
      <c r="D737" s="43"/>
      <c r="E737" s="55" t="str">
        <f t="shared" si="60"/>
        <v/>
      </c>
      <c r="F737" s="55"/>
      <c r="G737" s="55"/>
      <c r="H737" s="55"/>
      <c r="I737" s="55"/>
      <c r="J737" s="55"/>
      <c r="K737" s="46" t="str">
        <f t="shared" ca="1" si="61"/>
        <v/>
      </c>
      <c r="L737" s="56" t="str">
        <f t="shared" ca="1" si="62"/>
        <v/>
      </c>
      <c r="Q737" s="57" t="str">
        <f t="shared" si="63"/>
        <v/>
      </c>
      <c r="R737" s="57" t="str">
        <f t="shared" si="64"/>
        <v/>
      </c>
    </row>
    <row r="738" spans="4:18" x14ac:dyDescent="0.25">
      <c r="D738" s="43"/>
      <c r="E738" s="55" t="str">
        <f t="shared" si="60"/>
        <v/>
      </c>
      <c r="F738" s="55"/>
      <c r="G738" s="55"/>
      <c r="H738" s="55"/>
      <c r="I738" s="55"/>
      <c r="J738" s="55"/>
      <c r="K738" s="46" t="str">
        <f t="shared" ca="1" si="61"/>
        <v/>
      </c>
      <c r="L738" s="56" t="str">
        <f t="shared" ca="1" si="62"/>
        <v/>
      </c>
      <c r="Q738" s="57" t="str">
        <f t="shared" si="63"/>
        <v/>
      </c>
      <c r="R738" s="57" t="str">
        <f t="shared" si="64"/>
        <v/>
      </c>
    </row>
    <row r="739" spans="4:18" x14ac:dyDescent="0.25">
      <c r="D739" s="43"/>
      <c r="E739" s="55" t="str">
        <f t="shared" si="60"/>
        <v/>
      </c>
      <c r="F739" s="55"/>
      <c r="G739" s="55"/>
      <c r="H739" s="55"/>
      <c r="I739" s="55"/>
      <c r="J739" s="55"/>
      <c r="K739" s="46" t="str">
        <f t="shared" ca="1" si="61"/>
        <v/>
      </c>
      <c r="L739" s="56" t="str">
        <f t="shared" ca="1" si="62"/>
        <v/>
      </c>
      <c r="Q739" s="57" t="str">
        <f t="shared" si="63"/>
        <v/>
      </c>
      <c r="R739" s="57" t="str">
        <f t="shared" si="64"/>
        <v/>
      </c>
    </row>
    <row r="740" spans="4:18" x14ac:dyDescent="0.25">
      <c r="D740" s="43"/>
      <c r="E740" s="55" t="str">
        <f t="shared" si="60"/>
        <v/>
      </c>
      <c r="F740" s="55"/>
      <c r="G740" s="55"/>
      <c r="H740" s="55"/>
      <c r="I740" s="55"/>
      <c r="J740" s="55"/>
      <c r="K740" s="46" t="str">
        <f t="shared" ca="1" si="61"/>
        <v/>
      </c>
      <c r="L740" s="56" t="str">
        <f t="shared" ca="1" si="62"/>
        <v/>
      </c>
      <c r="Q740" s="57" t="str">
        <f t="shared" si="63"/>
        <v/>
      </c>
      <c r="R740" s="57" t="str">
        <f t="shared" si="64"/>
        <v/>
      </c>
    </row>
    <row r="741" spans="4:18" x14ac:dyDescent="0.25">
      <c r="D741" s="43"/>
      <c r="E741" s="55" t="str">
        <f t="shared" si="60"/>
        <v/>
      </c>
      <c r="F741" s="55"/>
      <c r="G741" s="55"/>
      <c r="H741" s="55"/>
      <c r="I741" s="55"/>
      <c r="J741" s="55"/>
      <c r="K741" s="46" t="str">
        <f t="shared" ca="1" si="61"/>
        <v/>
      </c>
      <c r="L741" s="56" t="str">
        <f t="shared" ca="1" si="62"/>
        <v/>
      </c>
      <c r="Q741" s="57" t="str">
        <f t="shared" si="63"/>
        <v/>
      </c>
      <c r="R741" s="57" t="str">
        <f t="shared" si="64"/>
        <v/>
      </c>
    </row>
    <row r="742" spans="4:18" x14ac:dyDescent="0.25">
      <c r="D742" s="43"/>
      <c r="E742" s="55" t="str">
        <f t="shared" si="60"/>
        <v/>
      </c>
      <c r="F742" s="55"/>
      <c r="G742" s="55"/>
      <c r="H742" s="55"/>
      <c r="I742" s="55"/>
      <c r="J742" s="55"/>
      <c r="K742" s="46" t="str">
        <f t="shared" ca="1" si="61"/>
        <v/>
      </c>
      <c r="L742" s="56" t="str">
        <f t="shared" ca="1" si="62"/>
        <v/>
      </c>
      <c r="Q742" s="57" t="str">
        <f t="shared" si="63"/>
        <v/>
      </c>
      <c r="R742" s="57" t="str">
        <f t="shared" si="64"/>
        <v/>
      </c>
    </row>
    <row r="743" spans="4:18" x14ac:dyDescent="0.25">
      <c r="D743" s="43"/>
      <c r="E743" s="55" t="str">
        <f t="shared" si="60"/>
        <v/>
      </c>
      <c r="F743" s="55"/>
      <c r="G743" s="55"/>
      <c r="H743" s="55"/>
      <c r="I743" s="55"/>
      <c r="J743" s="55"/>
      <c r="K743" s="46" t="str">
        <f t="shared" ca="1" si="61"/>
        <v/>
      </c>
      <c r="L743" s="56" t="str">
        <f t="shared" ca="1" si="62"/>
        <v/>
      </c>
      <c r="Q743" s="57" t="str">
        <f t="shared" si="63"/>
        <v/>
      </c>
      <c r="R743" s="57" t="str">
        <f t="shared" si="64"/>
        <v/>
      </c>
    </row>
    <row r="744" spans="4:18" x14ac:dyDescent="0.25">
      <c r="D744" s="43"/>
      <c r="E744" s="55" t="str">
        <f t="shared" si="60"/>
        <v/>
      </c>
      <c r="F744" s="55"/>
      <c r="G744" s="55"/>
      <c r="H744" s="55"/>
      <c r="I744" s="55"/>
      <c r="J744" s="55"/>
      <c r="K744" s="46" t="str">
        <f t="shared" ca="1" si="61"/>
        <v/>
      </c>
      <c r="L744" s="56" t="str">
        <f t="shared" ca="1" si="62"/>
        <v/>
      </c>
      <c r="Q744" s="57" t="str">
        <f t="shared" si="63"/>
        <v/>
      </c>
      <c r="R744" s="57" t="str">
        <f t="shared" si="64"/>
        <v/>
      </c>
    </row>
    <row r="745" spans="4:18" x14ac:dyDescent="0.25">
      <c r="D745" s="43"/>
      <c r="E745" s="55" t="str">
        <f t="shared" si="60"/>
        <v/>
      </c>
      <c r="F745" s="55"/>
      <c r="G745" s="55"/>
      <c r="H745" s="55"/>
      <c r="I745" s="55"/>
      <c r="J745" s="55"/>
      <c r="K745" s="46" t="str">
        <f t="shared" ca="1" si="61"/>
        <v/>
      </c>
      <c r="L745" s="56" t="str">
        <f t="shared" ca="1" si="62"/>
        <v/>
      </c>
      <c r="Q745" s="57" t="str">
        <f t="shared" si="63"/>
        <v/>
      </c>
      <c r="R745" s="57" t="str">
        <f t="shared" si="64"/>
        <v/>
      </c>
    </row>
    <row r="746" spans="4:18" x14ac:dyDescent="0.25">
      <c r="D746" s="43"/>
      <c r="E746" s="55" t="str">
        <f t="shared" si="60"/>
        <v/>
      </c>
      <c r="F746" s="55"/>
      <c r="G746" s="55"/>
      <c r="H746" s="55"/>
      <c r="I746" s="55"/>
      <c r="J746" s="55"/>
      <c r="K746" s="46" t="str">
        <f t="shared" ca="1" si="61"/>
        <v/>
      </c>
      <c r="L746" s="56" t="str">
        <f t="shared" ca="1" si="62"/>
        <v/>
      </c>
      <c r="Q746" s="57" t="str">
        <f t="shared" si="63"/>
        <v/>
      </c>
      <c r="R746" s="57" t="str">
        <f t="shared" si="64"/>
        <v/>
      </c>
    </row>
    <row r="747" spans="4:18" x14ac:dyDescent="0.25">
      <c r="D747" s="43"/>
      <c r="E747" s="55" t="str">
        <f t="shared" si="60"/>
        <v/>
      </c>
      <c r="F747" s="55"/>
      <c r="G747" s="55"/>
      <c r="H747" s="55"/>
      <c r="I747" s="55"/>
      <c r="J747" s="55"/>
      <c r="K747" s="46" t="str">
        <f t="shared" ca="1" si="61"/>
        <v/>
      </c>
      <c r="L747" s="56" t="str">
        <f t="shared" ca="1" si="62"/>
        <v/>
      </c>
      <c r="Q747" s="57" t="str">
        <f t="shared" si="63"/>
        <v/>
      </c>
      <c r="R747" s="57" t="str">
        <f t="shared" si="64"/>
        <v/>
      </c>
    </row>
    <row r="748" spans="4:18" x14ac:dyDescent="0.25">
      <c r="D748" s="43"/>
      <c r="E748" s="55" t="str">
        <f t="shared" si="60"/>
        <v/>
      </c>
      <c r="F748" s="55"/>
      <c r="G748" s="55"/>
      <c r="H748" s="55"/>
      <c r="I748" s="55"/>
      <c r="J748" s="55"/>
      <c r="K748" s="46" t="str">
        <f t="shared" ca="1" si="61"/>
        <v/>
      </c>
      <c r="L748" s="56" t="str">
        <f t="shared" ca="1" si="62"/>
        <v/>
      </c>
      <c r="Q748" s="57" t="str">
        <f t="shared" si="63"/>
        <v/>
      </c>
      <c r="R748" s="57" t="str">
        <f t="shared" si="64"/>
        <v/>
      </c>
    </row>
    <row r="749" spans="4:18" x14ac:dyDescent="0.25">
      <c r="D749" s="43"/>
      <c r="E749" s="55" t="str">
        <f t="shared" si="60"/>
        <v/>
      </c>
      <c r="F749" s="55"/>
      <c r="G749" s="55"/>
      <c r="H749" s="55"/>
      <c r="I749" s="55"/>
      <c r="J749" s="55"/>
      <c r="K749" s="46" t="str">
        <f t="shared" ca="1" si="61"/>
        <v/>
      </c>
      <c r="L749" s="56" t="str">
        <f t="shared" ca="1" si="62"/>
        <v/>
      </c>
      <c r="Q749" s="57" t="str">
        <f t="shared" si="63"/>
        <v/>
      </c>
      <c r="R749" s="57" t="str">
        <f t="shared" si="64"/>
        <v/>
      </c>
    </row>
    <row r="750" spans="4:18" x14ac:dyDescent="0.25">
      <c r="D750" s="43"/>
      <c r="E750" s="55" t="str">
        <f t="shared" si="60"/>
        <v/>
      </c>
      <c r="F750" s="55"/>
      <c r="G750" s="55"/>
      <c r="H750" s="55"/>
      <c r="I750" s="55"/>
      <c r="J750" s="55"/>
      <c r="K750" s="46" t="str">
        <f t="shared" ca="1" si="61"/>
        <v/>
      </c>
      <c r="L750" s="56" t="str">
        <f t="shared" ca="1" si="62"/>
        <v/>
      </c>
      <c r="Q750" s="57" t="str">
        <f t="shared" si="63"/>
        <v/>
      </c>
      <c r="R750" s="57" t="str">
        <f t="shared" si="64"/>
        <v/>
      </c>
    </row>
    <row r="751" spans="4:18" x14ac:dyDescent="0.25">
      <c r="D751" s="43"/>
      <c r="E751" s="55" t="str">
        <f t="shared" si="60"/>
        <v/>
      </c>
      <c r="F751" s="55"/>
      <c r="G751" s="55"/>
      <c r="H751" s="55"/>
      <c r="I751" s="55"/>
      <c r="J751" s="55"/>
      <c r="K751" s="46" t="str">
        <f t="shared" ca="1" si="61"/>
        <v/>
      </c>
      <c r="L751" s="56" t="str">
        <f t="shared" ca="1" si="62"/>
        <v/>
      </c>
      <c r="Q751" s="57" t="str">
        <f t="shared" si="63"/>
        <v/>
      </c>
      <c r="R751" s="57" t="str">
        <f t="shared" si="64"/>
        <v/>
      </c>
    </row>
    <row r="752" spans="4:18" x14ac:dyDescent="0.25">
      <c r="D752" s="43"/>
      <c r="E752" s="55" t="str">
        <f t="shared" si="60"/>
        <v/>
      </c>
      <c r="F752" s="55"/>
      <c r="G752" s="55"/>
      <c r="H752" s="55"/>
      <c r="I752" s="55"/>
      <c r="J752" s="55"/>
      <c r="K752" s="46" t="str">
        <f t="shared" ca="1" si="61"/>
        <v/>
      </c>
      <c r="L752" s="56" t="str">
        <f t="shared" ca="1" si="62"/>
        <v/>
      </c>
      <c r="Q752" s="57" t="str">
        <f t="shared" si="63"/>
        <v/>
      </c>
      <c r="R752" s="57" t="str">
        <f t="shared" si="64"/>
        <v/>
      </c>
    </row>
    <row r="753" spans="4:18" x14ac:dyDescent="0.25">
      <c r="D753" s="43"/>
      <c r="E753" s="55" t="str">
        <f t="shared" si="60"/>
        <v/>
      </c>
      <c r="F753" s="55"/>
      <c r="G753" s="55"/>
      <c r="H753" s="55"/>
      <c r="I753" s="55"/>
      <c r="J753" s="55"/>
      <c r="K753" s="46" t="str">
        <f t="shared" ca="1" si="61"/>
        <v/>
      </c>
      <c r="L753" s="56" t="str">
        <f t="shared" ca="1" si="62"/>
        <v/>
      </c>
      <c r="Q753" s="57" t="str">
        <f t="shared" si="63"/>
        <v/>
      </c>
      <c r="R753" s="57" t="str">
        <f t="shared" si="64"/>
        <v/>
      </c>
    </row>
    <row r="754" spans="4:18" x14ac:dyDescent="0.25">
      <c r="D754" s="43"/>
      <c r="E754" s="55" t="str">
        <f t="shared" si="60"/>
        <v/>
      </c>
      <c r="F754" s="55"/>
      <c r="G754" s="55"/>
      <c r="H754" s="55"/>
      <c r="I754" s="55"/>
      <c r="J754" s="55"/>
      <c r="K754" s="46" t="str">
        <f t="shared" ca="1" si="61"/>
        <v/>
      </c>
      <c r="L754" s="56" t="str">
        <f t="shared" ca="1" si="62"/>
        <v/>
      </c>
      <c r="Q754" s="57" t="str">
        <f t="shared" si="63"/>
        <v/>
      </c>
      <c r="R754" s="57" t="str">
        <f t="shared" si="64"/>
        <v/>
      </c>
    </row>
    <row r="755" spans="4:18" x14ac:dyDescent="0.25">
      <c r="D755" s="43"/>
      <c r="E755" s="55" t="str">
        <f t="shared" si="60"/>
        <v/>
      </c>
      <c r="F755" s="55"/>
      <c r="G755" s="55"/>
      <c r="H755" s="55"/>
      <c r="I755" s="55"/>
      <c r="J755" s="55"/>
      <c r="K755" s="46" t="str">
        <f t="shared" ca="1" si="61"/>
        <v/>
      </c>
      <c r="L755" s="56" t="str">
        <f t="shared" ca="1" si="62"/>
        <v/>
      </c>
      <c r="Q755" s="57" t="str">
        <f t="shared" si="63"/>
        <v/>
      </c>
      <c r="R755" s="57" t="str">
        <f t="shared" si="64"/>
        <v/>
      </c>
    </row>
    <row r="756" spans="4:18" x14ac:dyDescent="0.25">
      <c r="D756" s="43"/>
      <c r="E756" s="55" t="str">
        <f t="shared" si="60"/>
        <v/>
      </c>
      <c r="F756" s="55"/>
      <c r="G756" s="55"/>
      <c r="H756" s="55"/>
      <c r="I756" s="55"/>
      <c r="J756" s="55"/>
      <c r="K756" s="46" t="str">
        <f t="shared" ca="1" si="61"/>
        <v/>
      </c>
      <c r="L756" s="56" t="str">
        <f t="shared" ca="1" si="62"/>
        <v/>
      </c>
      <c r="Q756" s="57" t="str">
        <f t="shared" si="63"/>
        <v/>
      </c>
      <c r="R756" s="57" t="str">
        <f t="shared" si="64"/>
        <v/>
      </c>
    </row>
    <row r="757" spans="4:18" x14ac:dyDescent="0.25">
      <c r="D757" s="43"/>
      <c r="E757" s="55" t="str">
        <f t="shared" si="60"/>
        <v/>
      </c>
      <c r="F757" s="55"/>
      <c r="G757" s="55"/>
      <c r="H757" s="55"/>
      <c r="I757" s="55"/>
      <c r="J757" s="55"/>
      <c r="K757" s="46" t="str">
        <f t="shared" ca="1" si="61"/>
        <v/>
      </c>
      <c r="L757" s="56" t="str">
        <f t="shared" ca="1" si="62"/>
        <v/>
      </c>
      <c r="Q757" s="57" t="str">
        <f t="shared" si="63"/>
        <v/>
      </c>
      <c r="R757" s="57" t="str">
        <f t="shared" si="64"/>
        <v/>
      </c>
    </row>
    <row r="758" spans="4:18" x14ac:dyDescent="0.25">
      <c r="D758" s="43"/>
      <c r="E758" s="55" t="str">
        <f t="shared" si="60"/>
        <v/>
      </c>
      <c r="F758" s="55"/>
      <c r="G758" s="55"/>
      <c r="H758" s="55"/>
      <c r="I758" s="55"/>
      <c r="J758" s="55"/>
      <c r="K758" s="46" t="str">
        <f t="shared" ca="1" si="61"/>
        <v/>
      </c>
      <c r="L758" s="56" t="str">
        <f t="shared" ca="1" si="62"/>
        <v/>
      </c>
      <c r="Q758" s="57" t="str">
        <f t="shared" si="63"/>
        <v/>
      </c>
      <c r="R758" s="57" t="str">
        <f t="shared" si="64"/>
        <v/>
      </c>
    </row>
    <row r="759" spans="4:18" x14ac:dyDescent="0.25">
      <c r="D759" s="43"/>
      <c r="E759" s="55" t="str">
        <f t="shared" si="60"/>
        <v/>
      </c>
      <c r="F759" s="55"/>
      <c r="G759" s="55"/>
      <c r="H759" s="55"/>
      <c r="I759" s="55"/>
      <c r="J759" s="55"/>
      <c r="K759" s="46" t="str">
        <f t="shared" ca="1" si="61"/>
        <v/>
      </c>
      <c r="L759" s="56" t="str">
        <f t="shared" ca="1" si="62"/>
        <v/>
      </c>
      <c r="Q759" s="57" t="str">
        <f t="shared" si="63"/>
        <v/>
      </c>
      <c r="R759" s="57" t="str">
        <f t="shared" si="64"/>
        <v/>
      </c>
    </row>
    <row r="760" spans="4:18" x14ac:dyDescent="0.25">
      <c r="D760" s="43"/>
      <c r="E760" s="55" t="str">
        <f t="shared" si="60"/>
        <v/>
      </c>
      <c r="F760" s="55"/>
      <c r="G760" s="55"/>
      <c r="H760" s="55"/>
      <c r="I760" s="55"/>
      <c r="J760" s="55"/>
      <c r="K760" s="46" t="str">
        <f t="shared" ca="1" si="61"/>
        <v/>
      </c>
      <c r="L760" s="56" t="str">
        <f t="shared" ca="1" si="62"/>
        <v/>
      </c>
      <c r="Q760" s="57" t="str">
        <f t="shared" si="63"/>
        <v/>
      </c>
      <c r="R760" s="57" t="str">
        <f t="shared" si="64"/>
        <v/>
      </c>
    </row>
    <row r="761" spans="4:18" x14ac:dyDescent="0.25">
      <c r="D761" s="43"/>
      <c r="E761" s="55" t="str">
        <f t="shared" si="60"/>
        <v/>
      </c>
      <c r="F761" s="55"/>
      <c r="G761" s="55"/>
      <c r="H761" s="55"/>
      <c r="I761" s="55"/>
      <c r="J761" s="55"/>
      <c r="K761" s="46" t="str">
        <f t="shared" ca="1" si="61"/>
        <v/>
      </c>
      <c r="L761" s="56" t="str">
        <f t="shared" ca="1" si="62"/>
        <v/>
      </c>
      <c r="Q761" s="57" t="str">
        <f t="shared" si="63"/>
        <v/>
      </c>
      <c r="R761" s="57" t="str">
        <f t="shared" si="64"/>
        <v/>
      </c>
    </row>
    <row r="762" spans="4:18" x14ac:dyDescent="0.25">
      <c r="D762" s="43"/>
      <c r="E762" s="55" t="str">
        <f t="shared" si="60"/>
        <v/>
      </c>
      <c r="F762" s="55"/>
      <c r="G762" s="55"/>
      <c r="H762" s="55"/>
      <c r="I762" s="55"/>
      <c r="J762" s="55"/>
      <c r="K762" s="46" t="str">
        <f t="shared" ca="1" si="61"/>
        <v/>
      </c>
      <c r="L762" s="56" t="str">
        <f t="shared" ca="1" si="62"/>
        <v/>
      </c>
      <c r="Q762" s="57" t="str">
        <f t="shared" si="63"/>
        <v/>
      </c>
      <c r="R762" s="57" t="str">
        <f t="shared" si="64"/>
        <v/>
      </c>
    </row>
    <row r="763" spans="4:18" x14ac:dyDescent="0.25">
      <c r="D763" s="43"/>
      <c r="E763" s="55" t="str">
        <f t="shared" si="60"/>
        <v/>
      </c>
      <c r="F763" s="55"/>
      <c r="G763" s="55"/>
      <c r="H763" s="55"/>
      <c r="I763" s="55"/>
      <c r="J763" s="55"/>
      <c r="K763" s="46" t="str">
        <f t="shared" ca="1" si="61"/>
        <v/>
      </c>
      <c r="L763" s="56" t="str">
        <f t="shared" ca="1" si="62"/>
        <v/>
      </c>
      <c r="Q763" s="57" t="str">
        <f t="shared" si="63"/>
        <v/>
      </c>
      <c r="R763" s="57" t="str">
        <f t="shared" si="64"/>
        <v/>
      </c>
    </row>
    <row r="764" spans="4:18" x14ac:dyDescent="0.25">
      <c r="D764" s="43"/>
      <c r="E764" s="55" t="str">
        <f t="shared" si="60"/>
        <v/>
      </c>
      <c r="F764" s="55"/>
      <c r="G764" s="55"/>
      <c r="H764" s="55"/>
      <c r="I764" s="55"/>
      <c r="J764" s="55"/>
      <c r="K764" s="46" t="str">
        <f t="shared" ca="1" si="61"/>
        <v/>
      </c>
      <c r="L764" s="56" t="str">
        <f t="shared" ca="1" si="62"/>
        <v/>
      </c>
      <c r="Q764" s="57" t="str">
        <f t="shared" si="63"/>
        <v/>
      </c>
      <c r="R764" s="57" t="str">
        <f t="shared" si="64"/>
        <v/>
      </c>
    </row>
    <row r="765" spans="4:18" x14ac:dyDescent="0.25">
      <c r="D765" s="43"/>
      <c r="E765" s="55" t="str">
        <f t="shared" si="60"/>
        <v/>
      </c>
      <c r="F765" s="55"/>
      <c r="G765" s="55"/>
      <c r="H765" s="55"/>
      <c r="I765" s="55"/>
      <c r="J765" s="55"/>
      <c r="K765" s="46" t="str">
        <f t="shared" ca="1" si="61"/>
        <v/>
      </c>
      <c r="L765" s="56" t="str">
        <f t="shared" ca="1" si="62"/>
        <v/>
      </c>
      <c r="Q765" s="57" t="str">
        <f t="shared" si="63"/>
        <v/>
      </c>
      <c r="R765" s="57" t="str">
        <f t="shared" si="64"/>
        <v/>
      </c>
    </row>
    <row r="766" spans="4:18" x14ac:dyDescent="0.25">
      <c r="D766" s="43"/>
      <c r="E766" s="55" t="str">
        <f t="shared" si="60"/>
        <v/>
      </c>
      <c r="F766" s="55"/>
      <c r="G766" s="55"/>
      <c r="H766" s="55"/>
      <c r="I766" s="55"/>
      <c r="J766" s="55"/>
      <c r="K766" s="46" t="str">
        <f t="shared" ca="1" si="61"/>
        <v/>
      </c>
      <c r="L766" s="56" t="str">
        <f t="shared" ca="1" si="62"/>
        <v/>
      </c>
      <c r="Q766" s="57" t="str">
        <f t="shared" si="63"/>
        <v/>
      </c>
      <c r="R766" s="57" t="str">
        <f t="shared" si="64"/>
        <v/>
      </c>
    </row>
    <row r="767" spans="4:18" x14ac:dyDescent="0.25">
      <c r="D767" s="43"/>
      <c r="E767" s="55" t="str">
        <f t="shared" si="60"/>
        <v/>
      </c>
      <c r="F767" s="55"/>
      <c r="G767" s="55"/>
      <c r="H767" s="55"/>
      <c r="I767" s="55"/>
      <c r="J767" s="55"/>
      <c r="K767" s="46" t="str">
        <f t="shared" ca="1" si="61"/>
        <v/>
      </c>
      <c r="L767" s="56" t="str">
        <f t="shared" ca="1" si="62"/>
        <v/>
      </c>
      <c r="Q767" s="57" t="str">
        <f t="shared" si="63"/>
        <v/>
      </c>
      <c r="R767" s="57" t="str">
        <f t="shared" si="64"/>
        <v/>
      </c>
    </row>
    <row r="768" spans="4:18" x14ac:dyDescent="0.25">
      <c r="D768" s="43"/>
      <c r="E768" s="55" t="str">
        <f t="shared" si="60"/>
        <v/>
      </c>
      <c r="F768" s="55"/>
      <c r="G768" s="55"/>
      <c r="H768" s="55"/>
      <c r="I768" s="55"/>
      <c r="J768" s="55"/>
      <c r="K768" s="46" t="str">
        <f t="shared" ca="1" si="61"/>
        <v/>
      </c>
      <c r="L768" s="56" t="str">
        <f t="shared" ca="1" si="62"/>
        <v/>
      </c>
      <c r="Q768" s="57" t="str">
        <f t="shared" si="63"/>
        <v/>
      </c>
      <c r="R768" s="57" t="str">
        <f t="shared" si="64"/>
        <v/>
      </c>
    </row>
    <row r="769" spans="4:18" x14ac:dyDescent="0.25">
      <c r="D769" s="43"/>
      <c r="E769" s="55" t="str">
        <f t="shared" si="60"/>
        <v/>
      </c>
      <c r="F769" s="55"/>
      <c r="G769" s="55"/>
      <c r="H769" s="55"/>
      <c r="I769" s="55"/>
      <c r="J769" s="55"/>
      <c r="K769" s="46" t="str">
        <f t="shared" ca="1" si="61"/>
        <v/>
      </c>
      <c r="L769" s="56" t="str">
        <f t="shared" ca="1" si="62"/>
        <v/>
      </c>
      <c r="Q769" s="57" t="str">
        <f t="shared" si="63"/>
        <v/>
      </c>
      <c r="R769" s="57" t="str">
        <f t="shared" si="64"/>
        <v/>
      </c>
    </row>
    <row r="770" spans="4:18" x14ac:dyDescent="0.25">
      <c r="D770" s="43"/>
      <c r="E770" s="55" t="str">
        <f t="shared" si="60"/>
        <v/>
      </c>
      <c r="F770" s="55"/>
      <c r="G770" s="55"/>
      <c r="H770" s="55"/>
      <c r="I770" s="55"/>
      <c r="J770" s="55"/>
      <c r="K770" s="46" t="str">
        <f t="shared" ca="1" si="61"/>
        <v/>
      </c>
      <c r="L770" s="56" t="str">
        <f t="shared" ca="1" si="62"/>
        <v/>
      </c>
      <c r="Q770" s="57" t="str">
        <f t="shared" si="63"/>
        <v/>
      </c>
      <c r="R770" s="57" t="str">
        <f t="shared" si="64"/>
        <v/>
      </c>
    </row>
    <row r="771" spans="4:18" x14ac:dyDescent="0.25">
      <c r="D771" s="43"/>
      <c r="E771" s="55" t="str">
        <f t="shared" si="60"/>
        <v/>
      </c>
      <c r="F771" s="55"/>
      <c r="G771" s="55"/>
      <c r="H771" s="55"/>
      <c r="I771" s="55"/>
      <c r="J771" s="55"/>
      <c r="K771" s="46" t="str">
        <f t="shared" ca="1" si="61"/>
        <v/>
      </c>
      <c r="L771" s="56" t="str">
        <f t="shared" ca="1" si="62"/>
        <v/>
      </c>
      <c r="Q771" s="57" t="str">
        <f t="shared" si="63"/>
        <v/>
      </c>
      <c r="R771" s="57" t="str">
        <f t="shared" si="64"/>
        <v/>
      </c>
    </row>
    <row r="772" spans="4:18" x14ac:dyDescent="0.25">
      <c r="D772" s="43"/>
      <c r="E772" s="55" t="str">
        <f t="shared" si="60"/>
        <v/>
      </c>
      <c r="F772" s="55"/>
      <c r="G772" s="55"/>
      <c r="H772" s="55"/>
      <c r="I772" s="55"/>
      <c r="J772" s="55"/>
      <c r="K772" s="46" t="str">
        <f t="shared" ca="1" si="61"/>
        <v/>
      </c>
      <c r="L772" s="56" t="str">
        <f t="shared" ca="1" si="62"/>
        <v/>
      </c>
      <c r="Q772" s="57" t="str">
        <f t="shared" si="63"/>
        <v/>
      </c>
      <c r="R772" s="57" t="str">
        <f t="shared" si="64"/>
        <v/>
      </c>
    </row>
    <row r="773" spans="4:18" x14ac:dyDescent="0.25">
      <c r="D773" s="43"/>
      <c r="E773" s="55" t="str">
        <f t="shared" si="60"/>
        <v/>
      </c>
      <c r="F773" s="55"/>
      <c r="G773" s="55"/>
      <c r="H773" s="55"/>
      <c r="I773" s="55"/>
      <c r="J773" s="55"/>
      <c r="K773" s="46" t="str">
        <f t="shared" ca="1" si="61"/>
        <v/>
      </c>
      <c r="L773" s="56" t="str">
        <f t="shared" ca="1" si="62"/>
        <v/>
      </c>
      <c r="Q773" s="57" t="str">
        <f t="shared" si="63"/>
        <v/>
      </c>
      <c r="R773" s="57" t="str">
        <f t="shared" si="64"/>
        <v/>
      </c>
    </row>
    <row r="774" spans="4:18" x14ac:dyDescent="0.25">
      <c r="D774" s="43"/>
      <c r="E774" s="55" t="str">
        <f t="shared" si="60"/>
        <v/>
      </c>
      <c r="F774" s="55"/>
      <c r="G774" s="55"/>
      <c r="H774" s="55"/>
      <c r="I774" s="55"/>
      <c r="J774" s="55"/>
      <c r="K774" s="46" t="str">
        <f t="shared" ca="1" si="61"/>
        <v/>
      </c>
      <c r="L774" s="56" t="str">
        <f t="shared" ca="1" si="62"/>
        <v/>
      </c>
      <c r="Q774" s="57" t="str">
        <f t="shared" si="63"/>
        <v/>
      </c>
      <c r="R774" s="57" t="str">
        <f t="shared" si="64"/>
        <v/>
      </c>
    </row>
    <row r="775" spans="4:18" x14ac:dyDescent="0.25">
      <c r="D775" s="43"/>
      <c r="E775" s="55" t="str">
        <f t="shared" si="60"/>
        <v/>
      </c>
      <c r="F775" s="55"/>
      <c r="G775" s="55"/>
      <c r="H775" s="55"/>
      <c r="I775" s="55"/>
      <c r="J775" s="55"/>
      <c r="K775" s="46" t="str">
        <f t="shared" ca="1" si="61"/>
        <v/>
      </c>
      <c r="L775" s="56" t="str">
        <f t="shared" ca="1" si="62"/>
        <v/>
      </c>
      <c r="Q775" s="57" t="str">
        <f t="shared" si="63"/>
        <v/>
      </c>
      <c r="R775" s="57" t="str">
        <f t="shared" si="64"/>
        <v/>
      </c>
    </row>
    <row r="776" spans="4:18" x14ac:dyDescent="0.25">
      <c r="D776" s="43"/>
      <c r="E776" s="55" t="str">
        <f t="shared" si="60"/>
        <v/>
      </c>
      <c r="F776" s="55"/>
      <c r="G776" s="55"/>
      <c r="H776" s="55"/>
      <c r="I776" s="55"/>
      <c r="J776" s="55"/>
      <c r="K776" s="46" t="str">
        <f t="shared" ca="1" si="61"/>
        <v/>
      </c>
      <c r="L776" s="56" t="str">
        <f t="shared" ca="1" si="62"/>
        <v/>
      </c>
      <c r="Q776" s="57" t="str">
        <f t="shared" si="63"/>
        <v/>
      </c>
      <c r="R776" s="57" t="str">
        <f t="shared" si="64"/>
        <v/>
      </c>
    </row>
    <row r="777" spans="4:18" x14ac:dyDescent="0.25">
      <c r="D777" s="43"/>
      <c r="E777" s="55" t="str">
        <f t="shared" si="60"/>
        <v/>
      </c>
      <c r="F777" s="55"/>
      <c r="G777" s="55"/>
      <c r="H777" s="55"/>
      <c r="I777" s="55"/>
      <c r="J777" s="55"/>
      <c r="K777" s="46" t="str">
        <f t="shared" ca="1" si="61"/>
        <v/>
      </c>
      <c r="L777" s="56" t="str">
        <f t="shared" ca="1" si="62"/>
        <v/>
      </c>
      <c r="Q777" s="57" t="str">
        <f t="shared" si="63"/>
        <v/>
      </c>
      <c r="R777" s="57" t="str">
        <f t="shared" si="64"/>
        <v/>
      </c>
    </row>
    <row r="778" spans="4:18" x14ac:dyDescent="0.25">
      <c r="D778" s="43"/>
      <c r="E778" s="55" t="str">
        <f t="shared" si="60"/>
        <v/>
      </c>
      <c r="F778" s="55"/>
      <c r="G778" s="55"/>
      <c r="H778" s="55"/>
      <c r="I778" s="55"/>
      <c r="J778" s="55"/>
      <c r="K778" s="46" t="str">
        <f t="shared" ca="1" si="61"/>
        <v/>
      </c>
      <c r="L778" s="56" t="str">
        <f t="shared" ca="1" si="62"/>
        <v/>
      </c>
      <c r="Q778" s="57" t="str">
        <f t="shared" si="63"/>
        <v/>
      </c>
      <c r="R778" s="57" t="str">
        <f t="shared" si="64"/>
        <v/>
      </c>
    </row>
    <row r="779" spans="4:18" x14ac:dyDescent="0.25">
      <c r="D779" s="43"/>
      <c r="E779" s="55" t="str">
        <f t="shared" si="60"/>
        <v/>
      </c>
      <c r="F779" s="55"/>
      <c r="G779" s="55"/>
      <c r="H779" s="55"/>
      <c r="I779" s="55"/>
      <c r="J779" s="55"/>
      <c r="K779" s="46" t="str">
        <f t="shared" ca="1" si="61"/>
        <v/>
      </c>
      <c r="L779" s="56" t="str">
        <f t="shared" ca="1" si="62"/>
        <v/>
      </c>
      <c r="Q779" s="57" t="str">
        <f t="shared" si="63"/>
        <v/>
      </c>
      <c r="R779" s="57" t="str">
        <f t="shared" si="64"/>
        <v/>
      </c>
    </row>
    <row r="780" spans="4:18" x14ac:dyDescent="0.25">
      <c r="D780" s="43"/>
      <c r="E780" s="55" t="str">
        <f t="shared" si="60"/>
        <v/>
      </c>
      <c r="F780" s="55"/>
      <c r="G780" s="55"/>
      <c r="H780" s="55"/>
      <c r="I780" s="55"/>
      <c r="J780" s="55"/>
      <c r="K780" s="46" t="str">
        <f t="shared" ca="1" si="61"/>
        <v/>
      </c>
      <c r="L780" s="56" t="str">
        <f t="shared" ca="1" si="62"/>
        <v/>
      </c>
      <c r="Q780" s="57" t="str">
        <f t="shared" si="63"/>
        <v/>
      </c>
      <c r="R780" s="57" t="str">
        <f t="shared" si="64"/>
        <v/>
      </c>
    </row>
    <row r="781" spans="4:18" x14ac:dyDescent="0.25">
      <c r="D781" s="43"/>
      <c r="E781" s="55" t="str">
        <f t="shared" si="60"/>
        <v/>
      </c>
      <c r="F781" s="55"/>
      <c r="G781" s="55"/>
      <c r="H781" s="55"/>
      <c r="I781" s="55"/>
      <c r="J781" s="55"/>
      <c r="K781" s="46" t="str">
        <f t="shared" ca="1" si="61"/>
        <v/>
      </c>
      <c r="L781" s="56" t="str">
        <f t="shared" ca="1" si="62"/>
        <v/>
      </c>
      <c r="Q781" s="57" t="str">
        <f t="shared" si="63"/>
        <v/>
      </c>
      <c r="R781" s="57" t="str">
        <f t="shared" si="64"/>
        <v/>
      </c>
    </row>
    <row r="782" spans="4:18" x14ac:dyDescent="0.25">
      <c r="D782" s="43"/>
      <c r="E782" s="55" t="str">
        <f t="shared" si="60"/>
        <v/>
      </c>
      <c r="F782" s="55"/>
      <c r="G782" s="55"/>
      <c r="H782" s="55"/>
      <c r="I782" s="55"/>
      <c r="J782" s="55"/>
      <c r="K782" s="46" t="str">
        <f t="shared" ca="1" si="61"/>
        <v/>
      </c>
      <c r="L782" s="56" t="str">
        <f t="shared" ca="1" si="62"/>
        <v/>
      </c>
      <c r="Q782" s="57" t="str">
        <f t="shared" si="63"/>
        <v/>
      </c>
      <c r="R782" s="57" t="str">
        <f t="shared" si="64"/>
        <v/>
      </c>
    </row>
    <row r="783" spans="4:18" x14ac:dyDescent="0.25">
      <c r="D783" s="43"/>
      <c r="E783" s="55" t="str">
        <f t="shared" si="60"/>
        <v/>
      </c>
      <c r="F783" s="55"/>
      <c r="G783" s="55"/>
      <c r="H783" s="55"/>
      <c r="I783" s="55"/>
      <c r="J783" s="55"/>
      <c r="K783" s="46" t="str">
        <f t="shared" ca="1" si="61"/>
        <v/>
      </c>
      <c r="L783" s="56" t="str">
        <f t="shared" ca="1" si="62"/>
        <v/>
      </c>
      <c r="Q783" s="57" t="str">
        <f t="shared" si="63"/>
        <v/>
      </c>
      <c r="R783" s="57" t="str">
        <f t="shared" si="64"/>
        <v/>
      </c>
    </row>
    <row r="784" spans="4:18" x14ac:dyDescent="0.25">
      <c r="D784" s="43"/>
      <c r="E784" s="55" t="str">
        <f t="shared" si="60"/>
        <v/>
      </c>
      <c r="F784" s="55"/>
      <c r="G784" s="55"/>
      <c r="H784" s="55"/>
      <c r="I784" s="55"/>
      <c r="J784" s="55"/>
      <c r="K784" s="46" t="str">
        <f t="shared" ca="1" si="61"/>
        <v/>
      </c>
      <c r="L784" s="56" t="str">
        <f t="shared" ca="1" si="62"/>
        <v/>
      </c>
      <c r="Q784" s="57" t="str">
        <f t="shared" si="63"/>
        <v/>
      </c>
      <c r="R784" s="57" t="str">
        <f t="shared" si="64"/>
        <v/>
      </c>
    </row>
    <row r="785" spans="4:18" x14ac:dyDescent="0.25">
      <c r="D785" s="43"/>
      <c r="E785" s="55" t="str">
        <f t="shared" si="60"/>
        <v/>
      </c>
      <c r="F785" s="55"/>
      <c r="G785" s="55"/>
      <c r="H785" s="55"/>
      <c r="I785" s="55"/>
      <c r="J785" s="55"/>
      <c r="K785" s="46" t="str">
        <f t="shared" ca="1" si="61"/>
        <v/>
      </c>
      <c r="L785" s="56" t="str">
        <f t="shared" ca="1" si="62"/>
        <v/>
      </c>
      <c r="Q785" s="57" t="str">
        <f t="shared" si="63"/>
        <v/>
      </c>
      <c r="R785" s="57" t="str">
        <f t="shared" si="64"/>
        <v/>
      </c>
    </row>
    <row r="786" spans="4:18" x14ac:dyDescent="0.25">
      <c r="D786" s="43"/>
      <c r="E786" s="55" t="str">
        <f t="shared" si="60"/>
        <v/>
      </c>
      <c r="F786" s="55"/>
      <c r="G786" s="55"/>
      <c r="H786" s="55"/>
      <c r="I786" s="55"/>
      <c r="J786" s="55"/>
      <c r="K786" s="46" t="str">
        <f t="shared" ca="1" si="61"/>
        <v/>
      </c>
      <c r="L786" s="56" t="str">
        <f t="shared" ca="1" si="62"/>
        <v/>
      </c>
      <c r="Q786" s="57" t="str">
        <f t="shared" si="63"/>
        <v/>
      </c>
      <c r="R786" s="57" t="str">
        <f t="shared" si="64"/>
        <v/>
      </c>
    </row>
    <row r="787" spans="4:18" x14ac:dyDescent="0.25">
      <c r="D787" s="43"/>
      <c r="E787" s="55" t="str">
        <f t="shared" si="60"/>
        <v/>
      </c>
      <c r="F787" s="55"/>
      <c r="G787" s="55"/>
      <c r="H787" s="55"/>
      <c r="I787" s="55"/>
      <c r="J787" s="55"/>
      <c r="K787" s="46" t="str">
        <f t="shared" ca="1" si="61"/>
        <v/>
      </c>
      <c r="L787" s="56" t="str">
        <f t="shared" ca="1" si="62"/>
        <v/>
      </c>
      <c r="Q787" s="57" t="str">
        <f t="shared" si="63"/>
        <v/>
      </c>
      <c r="R787" s="57" t="str">
        <f t="shared" si="64"/>
        <v/>
      </c>
    </row>
    <row r="788" spans="4:18" x14ac:dyDescent="0.25">
      <c r="D788" s="43"/>
      <c r="E788" s="55" t="str">
        <f t="shared" ref="E788:E851" si="65">IF(ISNUMBER(SEARCH("v crs",D788))=TRUE,"VC",IF(ISNUMBER(SEARCH("crs",D788))=TRUE,"C",IF(ISNUMBER(SEARCH("med",D788))=TRUE,"M",IF(ISNUMBER(SEARCH("vf",D788))=TRUE,"VF",IF(ISNUMBER(SEARCH("f",D788))=TRUE,"F","")))))</f>
        <v/>
      </c>
      <c r="F788" s="55"/>
      <c r="G788" s="55"/>
      <c r="H788" s="55"/>
      <c r="I788" s="55"/>
      <c r="J788" s="55"/>
      <c r="K788" s="46" t="str">
        <f t="shared" ca="1" si="61"/>
        <v/>
      </c>
      <c r="L788" s="56" t="str">
        <f t="shared" ca="1" si="62"/>
        <v/>
      </c>
      <c r="Q788" s="57" t="str">
        <f t="shared" si="63"/>
        <v/>
      </c>
      <c r="R788" s="57" t="str">
        <f t="shared" si="64"/>
        <v/>
      </c>
    </row>
    <row r="789" spans="4:18" x14ac:dyDescent="0.25">
      <c r="D789" s="43"/>
      <c r="E789" s="55" t="str">
        <f t="shared" si="65"/>
        <v/>
      </c>
      <c r="F789" s="55"/>
      <c r="G789" s="55"/>
      <c r="H789" s="55"/>
      <c r="I789" s="55"/>
      <c r="J789" s="55"/>
      <c r="K789" s="46" t="str">
        <f t="shared" ref="K789:K852" ca="1" si="66">IF(AND(C789&lt;&gt;"",C789&lt;&gt;Q789),TODAY(),IF(C789="","",K789))</f>
        <v/>
      </c>
      <c r="L789" s="56" t="str">
        <f t="shared" ref="L789:L852" ca="1" si="67">IF(AND(C789&lt;&gt;"",C789&lt;&gt;R789),NOW(),IF(C789="","",L789))</f>
        <v/>
      </c>
      <c r="Q789" s="57" t="str">
        <f t="shared" ref="Q789:Q852" si="68">IF(C789="","",IF(OR(K789="",AND(ISNUMBER(Q789),C789=Q789)),Q789,C789))</f>
        <v/>
      </c>
      <c r="R789" s="57" t="str">
        <f t="shared" ref="R789:R852" si="69">IF(C789="","",IF(OR(L789="",AND(ISNUMBER(R789),C789=R789)),R789,C789))</f>
        <v/>
      </c>
    </row>
    <row r="790" spans="4:18" x14ac:dyDescent="0.25">
      <c r="D790" s="43"/>
      <c r="E790" s="55" t="str">
        <f t="shared" si="65"/>
        <v/>
      </c>
      <c r="F790" s="55"/>
      <c r="G790" s="55"/>
      <c r="H790" s="55"/>
      <c r="I790" s="55"/>
      <c r="J790" s="55"/>
      <c r="K790" s="46" t="str">
        <f t="shared" ca="1" si="66"/>
        <v/>
      </c>
      <c r="L790" s="56" t="str">
        <f t="shared" ca="1" si="67"/>
        <v/>
      </c>
      <c r="Q790" s="57" t="str">
        <f t="shared" si="68"/>
        <v/>
      </c>
      <c r="R790" s="57" t="str">
        <f t="shared" si="69"/>
        <v/>
      </c>
    </row>
    <row r="791" spans="4:18" x14ac:dyDescent="0.25">
      <c r="D791" s="43"/>
      <c r="E791" s="55" t="str">
        <f t="shared" si="65"/>
        <v/>
      </c>
      <c r="F791" s="55"/>
      <c r="G791" s="55"/>
      <c r="H791" s="55"/>
      <c r="I791" s="55"/>
      <c r="J791" s="55"/>
      <c r="K791" s="46" t="str">
        <f t="shared" ca="1" si="66"/>
        <v/>
      </c>
      <c r="L791" s="56" t="str">
        <f t="shared" ca="1" si="67"/>
        <v/>
      </c>
      <c r="Q791" s="57" t="str">
        <f t="shared" si="68"/>
        <v/>
      </c>
      <c r="R791" s="57" t="str">
        <f t="shared" si="69"/>
        <v/>
      </c>
    </row>
    <row r="792" spans="4:18" x14ac:dyDescent="0.25">
      <c r="D792" s="43"/>
      <c r="E792" s="55" t="str">
        <f t="shared" si="65"/>
        <v/>
      </c>
      <c r="F792" s="55"/>
      <c r="G792" s="55"/>
      <c r="H792" s="55"/>
      <c r="I792" s="55"/>
      <c r="J792" s="55"/>
      <c r="K792" s="46" t="str">
        <f t="shared" ca="1" si="66"/>
        <v/>
      </c>
      <c r="L792" s="56" t="str">
        <f t="shared" ca="1" si="67"/>
        <v/>
      </c>
      <c r="Q792" s="57" t="str">
        <f t="shared" si="68"/>
        <v/>
      </c>
      <c r="R792" s="57" t="str">
        <f t="shared" si="69"/>
        <v/>
      </c>
    </row>
    <row r="793" spans="4:18" x14ac:dyDescent="0.25">
      <c r="D793" s="43"/>
      <c r="E793" s="55" t="str">
        <f t="shared" si="65"/>
        <v/>
      </c>
      <c r="F793" s="55"/>
      <c r="G793" s="55"/>
      <c r="H793" s="55"/>
      <c r="I793" s="55"/>
      <c r="J793" s="55"/>
      <c r="K793" s="46" t="str">
        <f t="shared" ca="1" si="66"/>
        <v/>
      </c>
      <c r="L793" s="56" t="str">
        <f t="shared" ca="1" si="67"/>
        <v/>
      </c>
      <c r="Q793" s="57" t="str">
        <f t="shared" si="68"/>
        <v/>
      </c>
      <c r="R793" s="57" t="str">
        <f t="shared" si="69"/>
        <v/>
      </c>
    </row>
    <row r="794" spans="4:18" x14ac:dyDescent="0.25">
      <c r="D794" s="43"/>
      <c r="E794" s="55" t="str">
        <f t="shared" si="65"/>
        <v/>
      </c>
      <c r="F794" s="55"/>
      <c r="G794" s="55"/>
      <c r="H794" s="55"/>
      <c r="I794" s="55"/>
      <c r="J794" s="55"/>
      <c r="K794" s="46" t="str">
        <f t="shared" ca="1" si="66"/>
        <v/>
      </c>
      <c r="L794" s="56" t="str">
        <f t="shared" ca="1" si="67"/>
        <v/>
      </c>
      <c r="Q794" s="57" t="str">
        <f t="shared" si="68"/>
        <v/>
      </c>
      <c r="R794" s="57" t="str">
        <f t="shared" si="69"/>
        <v/>
      </c>
    </row>
    <row r="795" spans="4:18" x14ac:dyDescent="0.25">
      <c r="D795" s="43"/>
      <c r="E795" s="55" t="str">
        <f t="shared" si="65"/>
        <v/>
      </c>
      <c r="F795" s="55"/>
      <c r="G795" s="55"/>
      <c r="H795" s="55"/>
      <c r="I795" s="55"/>
      <c r="J795" s="55"/>
      <c r="K795" s="46" t="str">
        <f t="shared" ca="1" si="66"/>
        <v/>
      </c>
      <c r="L795" s="56" t="str">
        <f t="shared" ca="1" si="67"/>
        <v/>
      </c>
      <c r="Q795" s="57" t="str">
        <f t="shared" si="68"/>
        <v/>
      </c>
      <c r="R795" s="57" t="str">
        <f t="shared" si="69"/>
        <v/>
      </c>
    </row>
    <row r="796" spans="4:18" x14ac:dyDescent="0.25">
      <c r="D796" s="43"/>
      <c r="E796" s="55" t="str">
        <f t="shared" si="65"/>
        <v/>
      </c>
      <c r="F796" s="55"/>
      <c r="G796" s="55"/>
      <c r="H796" s="55"/>
      <c r="I796" s="55"/>
      <c r="J796" s="55"/>
      <c r="K796" s="46" t="str">
        <f t="shared" ca="1" si="66"/>
        <v/>
      </c>
      <c r="L796" s="56" t="str">
        <f t="shared" ca="1" si="67"/>
        <v/>
      </c>
      <c r="Q796" s="57" t="str">
        <f t="shared" si="68"/>
        <v/>
      </c>
      <c r="R796" s="57" t="str">
        <f t="shared" si="69"/>
        <v/>
      </c>
    </row>
    <row r="797" spans="4:18" x14ac:dyDescent="0.25">
      <c r="D797" s="43"/>
      <c r="E797" s="55" t="str">
        <f t="shared" si="65"/>
        <v/>
      </c>
      <c r="F797" s="55"/>
      <c r="G797" s="55"/>
      <c r="H797" s="55"/>
      <c r="I797" s="55"/>
      <c r="J797" s="55"/>
      <c r="K797" s="46" t="str">
        <f t="shared" ca="1" si="66"/>
        <v/>
      </c>
      <c r="L797" s="56" t="str">
        <f t="shared" ca="1" si="67"/>
        <v/>
      </c>
      <c r="Q797" s="57" t="str">
        <f t="shared" si="68"/>
        <v/>
      </c>
      <c r="R797" s="57" t="str">
        <f t="shared" si="69"/>
        <v/>
      </c>
    </row>
    <row r="798" spans="4:18" x14ac:dyDescent="0.25">
      <c r="D798" s="43"/>
      <c r="E798" s="55" t="str">
        <f t="shared" si="65"/>
        <v/>
      </c>
      <c r="F798" s="55"/>
      <c r="G798" s="55"/>
      <c r="H798" s="55"/>
      <c r="I798" s="55"/>
      <c r="J798" s="55"/>
      <c r="K798" s="46" t="str">
        <f t="shared" ca="1" si="66"/>
        <v/>
      </c>
      <c r="L798" s="56" t="str">
        <f t="shared" ca="1" si="67"/>
        <v/>
      </c>
      <c r="Q798" s="57" t="str">
        <f t="shared" si="68"/>
        <v/>
      </c>
      <c r="R798" s="57" t="str">
        <f t="shared" si="69"/>
        <v/>
      </c>
    </row>
    <row r="799" spans="4:18" x14ac:dyDescent="0.25">
      <c r="D799" s="43"/>
      <c r="E799" s="55" t="str">
        <f t="shared" si="65"/>
        <v/>
      </c>
      <c r="F799" s="55"/>
      <c r="G799" s="55"/>
      <c r="H799" s="55"/>
      <c r="I799" s="55"/>
      <c r="J799" s="55"/>
      <c r="K799" s="46" t="str">
        <f t="shared" ca="1" si="66"/>
        <v/>
      </c>
      <c r="L799" s="56" t="str">
        <f t="shared" ca="1" si="67"/>
        <v/>
      </c>
      <c r="Q799" s="57" t="str">
        <f t="shared" si="68"/>
        <v/>
      </c>
      <c r="R799" s="57" t="str">
        <f t="shared" si="69"/>
        <v/>
      </c>
    </row>
    <row r="800" spans="4:18" x14ac:dyDescent="0.25">
      <c r="D800" s="43"/>
      <c r="E800" s="55" t="str">
        <f t="shared" si="65"/>
        <v/>
      </c>
      <c r="F800" s="55"/>
      <c r="G800" s="55"/>
      <c r="H800" s="55"/>
      <c r="I800" s="55"/>
      <c r="J800" s="55"/>
      <c r="K800" s="46" t="str">
        <f t="shared" ca="1" si="66"/>
        <v/>
      </c>
      <c r="L800" s="56" t="str">
        <f t="shared" ca="1" si="67"/>
        <v/>
      </c>
      <c r="Q800" s="57" t="str">
        <f t="shared" si="68"/>
        <v/>
      </c>
      <c r="R800" s="57" t="str">
        <f t="shared" si="69"/>
        <v/>
      </c>
    </row>
    <row r="801" spans="4:18" x14ac:dyDescent="0.25">
      <c r="D801" s="43"/>
      <c r="E801" s="55" t="str">
        <f t="shared" si="65"/>
        <v/>
      </c>
      <c r="F801" s="55"/>
      <c r="G801" s="55"/>
      <c r="H801" s="55"/>
      <c r="I801" s="55"/>
      <c r="J801" s="55"/>
      <c r="K801" s="46" t="str">
        <f t="shared" ca="1" si="66"/>
        <v/>
      </c>
      <c r="L801" s="56" t="str">
        <f t="shared" ca="1" si="67"/>
        <v/>
      </c>
      <c r="Q801" s="57" t="str">
        <f t="shared" si="68"/>
        <v/>
      </c>
      <c r="R801" s="57" t="str">
        <f t="shared" si="69"/>
        <v/>
      </c>
    </row>
    <row r="802" spans="4:18" x14ac:dyDescent="0.25">
      <c r="D802" s="43"/>
      <c r="E802" s="55" t="str">
        <f t="shared" si="65"/>
        <v/>
      </c>
      <c r="F802" s="55"/>
      <c r="G802" s="55"/>
      <c r="H802" s="55"/>
      <c r="I802" s="55"/>
      <c r="J802" s="55"/>
      <c r="K802" s="46" t="str">
        <f t="shared" ca="1" si="66"/>
        <v/>
      </c>
      <c r="L802" s="56" t="str">
        <f t="shared" ca="1" si="67"/>
        <v/>
      </c>
      <c r="Q802" s="57" t="str">
        <f t="shared" si="68"/>
        <v/>
      </c>
      <c r="R802" s="57" t="str">
        <f t="shared" si="69"/>
        <v/>
      </c>
    </row>
    <row r="803" spans="4:18" x14ac:dyDescent="0.25">
      <c r="D803" s="43"/>
      <c r="E803" s="55" t="str">
        <f t="shared" si="65"/>
        <v/>
      </c>
      <c r="F803" s="55"/>
      <c r="G803" s="55"/>
      <c r="H803" s="55"/>
      <c r="I803" s="55"/>
      <c r="J803" s="55"/>
      <c r="K803" s="46" t="str">
        <f t="shared" ca="1" si="66"/>
        <v/>
      </c>
      <c r="L803" s="56" t="str">
        <f t="shared" ca="1" si="67"/>
        <v/>
      </c>
      <c r="Q803" s="57" t="str">
        <f t="shared" si="68"/>
        <v/>
      </c>
      <c r="R803" s="57" t="str">
        <f t="shared" si="69"/>
        <v/>
      </c>
    </row>
    <row r="804" spans="4:18" x14ac:dyDescent="0.25">
      <c r="D804" s="43"/>
      <c r="E804" s="55" t="str">
        <f t="shared" si="65"/>
        <v/>
      </c>
      <c r="F804" s="55"/>
      <c r="G804" s="55"/>
      <c r="H804" s="55"/>
      <c r="I804" s="55"/>
      <c r="J804" s="55"/>
      <c r="K804" s="46" t="str">
        <f t="shared" ca="1" si="66"/>
        <v/>
      </c>
      <c r="L804" s="56" t="str">
        <f t="shared" ca="1" si="67"/>
        <v/>
      </c>
      <c r="Q804" s="57" t="str">
        <f t="shared" si="68"/>
        <v/>
      </c>
      <c r="R804" s="57" t="str">
        <f t="shared" si="69"/>
        <v/>
      </c>
    </row>
    <row r="805" spans="4:18" x14ac:dyDescent="0.25">
      <c r="D805" s="43"/>
      <c r="E805" s="55" t="str">
        <f t="shared" si="65"/>
        <v/>
      </c>
      <c r="F805" s="55"/>
      <c r="G805" s="55"/>
      <c r="H805" s="55"/>
      <c r="I805" s="55"/>
      <c r="J805" s="55"/>
      <c r="K805" s="46" t="str">
        <f t="shared" ca="1" si="66"/>
        <v/>
      </c>
      <c r="L805" s="56" t="str">
        <f t="shared" ca="1" si="67"/>
        <v/>
      </c>
      <c r="Q805" s="57" t="str">
        <f t="shared" si="68"/>
        <v/>
      </c>
      <c r="R805" s="57" t="str">
        <f t="shared" si="69"/>
        <v/>
      </c>
    </row>
    <row r="806" spans="4:18" x14ac:dyDescent="0.25">
      <c r="D806" s="43"/>
      <c r="E806" s="55" t="str">
        <f t="shared" si="65"/>
        <v/>
      </c>
      <c r="F806" s="55"/>
      <c r="G806" s="55"/>
      <c r="H806" s="55"/>
      <c r="I806" s="55"/>
      <c r="J806" s="55"/>
      <c r="K806" s="46" t="str">
        <f t="shared" ca="1" si="66"/>
        <v/>
      </c>
      <c r="L806" s="56" t="str">
        <f t="shared" ca="1" si="67"/>
        <v/>
      </c>
      <c r="Q806" s="57" t="str">
        <f t="shared" si="68"/>
        <v/>
      </c>
      <c r="R806" s="57" t="str">
        <f t="shared" si="69"/>
        <v/>
      </c>
    </row>
    <row r="807" spans="4:18" x14ac:dyDescent="0.25">
      <c r="D807" s="43"/>
      <c r="E807" s="55" t="str">
        <f t="shared" si="65"/>
        <v/>
      </c>
      <c r="F807" s="55"/>
      <c r="G807" s="55"/>
      <c r="H807" s="55"/>
      <c r="I807" s="55"/>
      <c r="J807" s="55"/>
      <c r="K807" s="46" t="str">
        <f t="shared" ca="1" si="66"/>
        <v/>
      </c>
      <c r="L807" s="56" t="str">
        <f t="shared" ca="1" si="67"/>
        <v/>
      </c>
      <c r="Q807" s="57" t="str">
        <f t="shared" si="68"/>
        <v/>
      </c>
      <c r="R807" s="57" t="str">
        <f t="shared" si="69"/>
        <v/>
      </c>
    </row>
    <row r="808" spans="4:18" x14ac:dyDescent="0.25">
      <c r="D808" s="43"/>
      <c r="E808" s="55" t="str">
        <f t="shared" si="65"/>
        <v/>
      </c>
      <c r="F808" s="55"/>
      <c r="G808" s="55"/>
      <c r="H808" s="55"/>
      <c r="I808" s="55"/>
      <c r="J808" s="55"/>
      <c r="K808" s="46" t="str">
        <f t="shared" ca="1" si="66"/>
        <v/>
      </c>
      <c r="L808" s="56" t="str">
        <f t="shared" ca="1" si="67"/>
        <v/>
      </c>
      <c r="Q808" s="57" t="str">
        <f t="shared" si="68"/>
        <v/>
      </c>
      <c r="R808" s="57" t="str">
        <f t="shared" si="69"/>
        <v/>
      </c>
    </row>
    <row r="809" spans="4:18" x14ac:dyDescent="0.25">
      <c r="D809" s="43"/>
      <c r="E809" s="55" t="str">
        <f t="shared" si="65"/>
        <v/>
      </c>
      <c r="F809" s="55"/>
      <c r="G809" s="55"/>
      <c r="H809" s="55"/>
      <c r="I809" s="55"/>
      <c r="J809" s="55"/>
      <c r="K809" s="46" t="str">
        <f t="shared" ca="1" si="66"/>
        <v/>
      </c>
      <c r="L809" s="56" t="str">
        <f t="shared" ca="1" si="67"/>
        <v/>
      </c>
      <c r="Q809" s="57" t="str">
        <f t="shared" si="68"/>
        <v/>
      </c>
      <c r="R809" s="57" t="str">
        <f t="shared" si="69"/>
        <v/>
      </c>
    </row>
    <row r="810" spans="4:18" x14ac:dyDescent="0.25">
      <c r="D810" s="43"/>
      <c r="E810" s="55" t="str">
        <f t="shared" si="65"/>
        <v/>
      </c>
      <c r="F810" s="55"/>
      <c r="G810" s="55"/>
      <c r="H810" s="55"/>
      <c r="I810" s="55"/>
      <c r="J810" s="55"/>
      <c r="K810" s="46" t="str">
        <f t="shared" ca="1" si="66"/>
        <v/>
      </c>
      <c r="L810" s="56" t="str">
        <f t="shared" ca="1" si="67"/>
        <v/>
      </c>
      <c r="Q810" s="57" t="str">
        <f t="shared" si="68"/>
        <v/>
      </c>
      <c r="R810" s="57" t="str">
        <f t="shared" si="69"/>
        <v/>
      </c>
    </row>
    <row r="811" spans="4:18" x14ac:dyDescent="0.25">
      <c r="D811" s="43"/>
      <c r="E811" s="55" t="str">
        <f t="shared" si="65"/>
        <v/>
      </c>
      <c r="F811" s="55"/>
      <c r="G811" s="55"/>
      <c r="H811" s="55"/>
      <c r="I811" s="55"/>
      <c r="J811" s="55"/>
      <c r="K811" s="46" t="str">
        <f t="shared" ca="1" si="66"/>
        <v/>
      </c>
      <c r="L811" s="56" t="str">
        <f t="shared" ca="1" si="67"/>
        <v/>
      </c>
      <c r="Q811" s="57" t="str">
        <f t="shared" si="68"/>
        <v/>
      </c>
      <c r="R811" s="57" t="str">
        <f t="shared" si="69"/>
        <v/>
      </c>
    </row>
    <row r="812" spans="4:18" x14ac:dyDescent="0.25">
      <c r="D812" s="43"/>
      <c r="E812" s="55" t="str">
        <f t="shared" si="65"/>
        <v/>
      </c>
      <c r="F812" s="55"/>
      <c r="G812" s="55"/>
      <c r="H812" s="55"/>
      <c r="I812" s="55"/>
      <c r="J812" s="55"/>
      <c r="K812" s="46" t="str">
        <f t="shared" ca="1" si="66"/>
        <v/>
      </c>
      <c r="L812" s="56" t="str">
        <f t="shared" ca="1" si="67"/>
        <v/>
      </c>
      <c r="Q812" s="57" t="str">
        <f t="shared" si="68"/>
        <v/>
      </c>
      <c r="R812" s="57" t="str">
        <f t="shared" si="69"/>
        <v/>
      </c>
    </row>
    <row r="813" spans="4:18" x14ac:dyDescent="0.25">
      <c r="D813" s="43"/>
      <c r="E813" s="55" t="str">
        <f t="shared" si="65"/>
        <v/>
      </c>
      <c r="F813" s="55"/>
      <c r="G813" s="55"/>
      <c r="H813" s="55"/>
      <c r="I813" s="55"/>
      <c r="J813" s="55"/>
      <c r="K813" s="46" t="str">
        <f t="shared" ca="1" si="66"/>
        <v/>
      </c>
      <c r="L813" s="56" t="str">
        <f t="shared" ca="1" si="67"/>
        <v/>
      </c>
      <c r="Q813" s="57" t="str">
        <f t="shared" si="68"/>
        <v/>
      </c>
      <c r="R813" s="57" t="str">
        <f t="shared" si="69"/>
        <v/>
      </c>
    </row>
    <row r="814" spans="4:18" x14ac:dyDescent="0.25">
      <c r="D814" s="43"/>
      <c r="E814" s="55" t="str">
        <f t="shared" si="65"/>
        <v/>
      </c>
      <c r="F814" s="55"/>
      <c r="G814" s="55"/>
      <c r="H814" s="55"/>
      <c r="I814" s="55"/>
      <c r="J814" s="55"/>
      <c r="K814" s="46" t="str">
        <f t="shared" ca="1" si="66"/>
        <v/>
      </c>
      <c r="L814" s="56" t="str">
        <f t="shared" ca="1" si="67"/>
        <v/>
      </c>
      <c r="Q814" s="57" t="str">
        <f t="shared" si="68"/>
        <v/>
      </c>
      <c r="R814" s="57" t="str">
        <f t="shared" si="69"/>
        <v/>
      </c>
    </row>
    <row r="815" spans="4:18" x14ac:dyDescent="0.25">
      <c r="D815" s="43"/>
      <c r="E815" s="55" t="str">
        <f t="shared" si="65"/>
        <v/>
      </c>
      <c r="F815" s="55"/>
      <c r="G815" s="55"/>
      <c r="H815" s="55"/>
      <c r="I815" s="55"/>
      <c r="J815" s="55"/>
      <c r="K815" s="46" t="str">
        <f t="shared" ca="1" si="66"/>
        <v/>
      </c>
      <c r="L815" s="56" t="str">
        <f t="shared" ca="1" si="67"/>
        <v/>
      </c>
      <c r="Q815" s="57" t="str">
        <f t="shared" si="68"/>
        <v/>
      </c>
      <c r="R815" s="57" t="str">
        <f t="shared" si="69"/>
        <v/>
      </c>
    </row>
    <row r="816" spans="4:18" x14ac:dyDescent="0.25">
      <c r="D816" s="43"/>
      <c r="E816" s="55" t="str">
        <f t="shared" si="65"/>
        <v/>
      </c>
      <c r="F816" s="55"/>
      <c r="G816" s="55"/>
      <c r="H816" s="55"/>
      <c r="I816" s="55"/>
      <c r="J816" s="55"/>
      <c r="K816" s="46" t="str">
        <f t="shared" ca="1" si="66"/>
        <v/>
      </c>
      <c r="L816" s="56" t="str">
        <f t="shared" ca="1" si="67"/>
        <v/>
      </c>
      <c r="Q816" s="57" t="str">
        <f t="shared" si="68"/>
        <v/>
      </c>
      <c r="R816" s="57" t="str">
        <f t="shared" si="69"/>
        <v/>
      </c>
    </row>
    <row r="817" spans="4:18" x14ac:dyDescent="0.25">
      <c r="D817" s="43"/>
      <c r="E817" s="55" t="str">
        <f t="shared" si="65"/>
        <v/>
      </c>
      <c r="F817" s="55"/>
      <c r="G817" s="55"/>
      <c r="H817" s="55"/>
      <c r="I817" s="55"/>
      <c r="J817" s="55"/>
      <c r="K817" s="46" t="str">
        <f t="shared" ca="1" si="66"/>
        <v/>
      </c>
      <c r="L817" s="56" t="str">
        <f t="shared" ca="1" si="67"/>
        <v/>
      </c>
      <c r="Q817" s="57" t="str">
        <f t="shared" si="68"/>
        <v/>
      </c>
      <c r="R817" s="57" t="str">
        <f t="shared" si="69"/>
        <v/>
      </c>
    </row>
    <row r="818" spans="4:18" x14ac:dyDescent="0.25">
      <c r="D818" s="43"/>
      <c r="E818" s="55" t="str">
        <f t="shared" si="65"/>
        <v/>
      </c>
      <c r="F818" s="55"/>
      <c r="G818" s="55"/>
      <c r="H818" s="55"/>
      <c r="I818" s="55"/>
      <c r="J818" s="55"/>
      <c r="K818" s="46" t="str">
        <f t="shared" ca="1" si="66"/>
        <v/>
      </c>
      <c r="L818" s="56" t="str">
        <f t="shared" ca="1" si="67"/>
        <v/>
      </c>
      <c r="Q818" s="57" t="str">
        <f t="shared" si="68"/>
        <v/>
      </c>
      <c r="R818" s="57" t="str">
        <f t="shared" si="69"/>
        <v/>
      </c>
    </row>
    <row r="819" spans="4:18" x14ac:dyDescent="0.25">
      <c r="D819" s="43"/>
      <c r="E819" s="55" t="str">
        <f t="shared" si="65"/>
        <v/>
      </c>
      <c r="F819" s="55"/>
      <c r="G819" s="55"/>
      <c r="H819" s="55"/>
      <c r="I819" s="55"/>
      <c r="J819" s="55"/>
      <c r="K819" s="46" t="str">
        <f t="shared" ca="1" si="66"/>
        <v/>
      </c>
      <c r="L819" s="56" t="str">
        <f t="shared" ca="1" si="67"/>
        <v/>
      </c>
      <c r="Q819" s="57" t="str">
        <f t="shared" si="68"/>
        <v/>
      </c>
      <c r="R819" s="57" t="str">
        <f t="shared" si="69"/>
        <v/>
      </c>
    </row>
    <row r="820" spans="4:18" x14ac:dyDescent="0.25">
      <c r="D820" s="43"/>
      <c r="E820" s="55" t="str">
        <f t="shared" si="65"/>
        <v/>
      </c>
      <c r="F820" s="55"/>
      <c r="G820" s="55"/>
      <c r="H820" s="55"/>
      <c r="I820" s="55"/>
      <c r="J820" s="55"/>
      <c r="K820" s="46" t="str">
        <f t="shared" ca="1" si="66"/>
        <v/>
      </c>
      <c r="L820" s="56" t="str">
        <f t="shared" ca="1" si="67"/>
        <v/>
      </c>
      <c r="Q820" s="57" t="str">
        <f t="shared" si="68"/>
        <v/>
      </c>
      <c r="R820" s="57" t="str">
        <f t="shared" si="69"/>
        <v/>
      </c>
    </row>
    <row r="821" spans="4:18" x14ac:dyDescent="0.25">
      <c r="D821" s="43"/>
      <c r="E821" s="55" t="str">
        <f t="shared" si="65"/>
        <v/>
      </c>
      <c r="F821" s="55"/>
      <c r="G821" s="55"/>
      <c r="H821" s="55"/>
      <c r="I821" s="55"/>
      <c r="J821" s="55"/>
      <c r="K821" s="46" t="str">
        <f t="shared" ca="1" si="66"/>
        <v/>
      </c>
      <c r="L821" s="56" t="str">
        <f t="shared" ca="1" si="67"/>
        <v/>
      </c>
      <c r="Q821" s="57" t="str">
        <f t="shared" si="68"/>
        <v/>
      </c>
      <c r="R821" s="57" t="str">
        <f t="shared" si="69"/>
        <v/>
      </c>
    </row>
    <row r="822" spans="4:18" x14ac:dyDescent="0.25">
      <c r="D822" s="43"/>
      <c r="E822" s="55" t="str">
        <f t="shared" si="65"/>
        <v/>
      </c>
      <c r="F822" s="55"/>
      <c r="G822" s="55"/>
      <c r="H822" s="55"/>
      <c r="I822" s="55"/>
      <c r="J822" s="55"/>
      <c r="K822" s="46" t="str">
        <f t="shared" ca="1" si="66"/>
        <v/>
      </c>
      <c r="L822" s="56" t="str">
        <f t="shared" ca="1" si="67"/>
        <v/>
      </c>
      <c r="Q822" s="57" t="str">
        <f t="shared" si="68"/>
        <v/>
      </c>
      <c r="R822" s="57" t="str">
        <f t="shared" si="69"/>
        <v/>
      </c>
    </row>
    <row r="823" spans="4:18" x14ac:dyDescent="0.25">
      <c r="D823" s="43"/>
      <c r="E823" s="55" t="str">
        <f t="shared" si="65"/>
        <v/>
      </c>
      <c r="F823" s="55"/>
      <c r="G823" s="55"/>
      <c r="H823" s="55"/>
      <c r="I823" s="55"/>
      <c r="J823" s="55"/>
      <c r="K823" s="46" t="str">
        <f t="shared" ca="1" si="66"/>
        <v/>
      </c>
      <c r="L823" s="56" t="str">
        <f t="shared" ca="1" si="67"/>
        <v/>
      </c>
      <c r="Q823" s="57" t="str">
        <f t="shared" si="68"/>
        <v/>
      </c>
      <c r="R823" s="57" t="str">
        <f t="shared" si="69"/>
        <v/>
      </c>
    </row>
    <row r="824" spans="4:18" x14ac:dyDescent="0.25">
      <c r="D824" s="43"/>
      <c r="E824" s="55" t="str">
        <f t="shared" si="65"/>
        <v/>
      </c>
      <c r="F824" s="55"/>
      <c r="G824" s="55"/>
      <c r="H824" s="55"/>
      <c r="I824" s="55"/>
      <c r="J824" s="55"/>
      <c r="K824" s="46" t="str">
        <f t="shared" ca="1" si="66"/>
        <v/>
      </c>
      <c r="L824" s="56" t="str">
        <f t="shared" ca="1" si="67"/>
        <v/>
      </c>
      <c r="Q824" s="57" t="str">
        <f t="shared" si="68"/>
        <v/>
      </c>
      <c r="R824" s="57" t="str">
        <f t="shared" si="69"/>
        <v/>
      </c>
    </row>
    <row r="825" spans="4:18" x14ac:dyDescent="0.25">
      <c r="D825" s="43"/>
      <c r="E825" s="55" t="str">
        <f t="shared" si="65"/>
        <v/>
      </c>
      <c r="F825" s="55"/>
      <c r="G825" s="55"/>
      <c r="H825" s="55"/>
      <c r="I825" s="55"/>
      <c r="J825" s="55"/>
      <c r="K825" s="46" t="str">
        <f t="shared" ca="1" si="66"/>
        <v/>
      </c>
      <c r="L825" s="56" t="str">
        <f t="shared" ca="1" si="67"/>
        <v/>
      </c>
      <c r="Q825" s="57" t="str">
        <f t="shared" si="68"/>
        <v/>
      </c>
      <c r="R825" s="57" t="str">
        <f t="shared" si="69"/>
        <v/>
      </c>
    </row>
    <row r="826" spans="4:18" x14ac:dyDescent="0.25">
      <c r="D826" s="43"/>
      <c r="E826" s="55" t="str">
        <f t="shared" si="65"/>
        <v/>
      </c>
      <c r="F826" s="55"/>
      <c r="G826" s="55"/>
      <c r="H826" s="55"/>
      <c r="I826" s="55"/>
      <c r="J826" s="55"/>
      <c r="K826" s="46" t="str">
        <f t="shared" ca="1" si="66"/>
        <v/>
      </c>
      <c r="L826" s="56" t="str">
        <f t="shared" ca="1" si="67"/>
        <v/>
      </c>
      <c r="Q826" s="57" t="str">
        <f t="shared" si="68"/>
        <v/>
      </c>
      <c r="R826" s="57" t="str">
        <f t="shared" si="69"/>
        <v/>
      </c>
    </row>
    <row r="827" spans="4:18" x14ac:dyDescent="0.25">
      <c r="D827" s="43"/>
      <c r="E827" s="55" t="str">
        <f t="shared" si="65"/>
        <v/>
      </c>
      <c r="F827" s="55"/>
      <c r="G827" s="55"/>
      <c r="H827" s="55"/>
      <c r="I827" s="55"/>
      <c r="J827" s="55"/>
      <c r="K827" s="46" t="str">
        <f t="shared" ca="1" si="66"/>
        <v/>
      </c>
      <c r="L827" s="56" t="str">
        <f t="shared" ca="1" si="67"/>
        <v/>
      </c>
      <c r="Q827" s="57" t="str">
        <f t="shared" si="68"/>
        <v/>
      </c>
      <c r="R827" s="57" t="str">
        <f t="shared" si="69"/>
        <v/>
      </c>
    </row>
    <row r="828" spans="4:18" x14ac:dyDescent="0.25">
      <c r="D828" s="43"/>
      <c r="E828" s="55" t="str">
        <f t="shared" si="65"/>
        <v/>
      </c>
      <c r="F828" s="55"/>
      <c r="G828" s="55"/>
      <c r="H828" s="55"/>
      <c r="I828" s="55"/>
      <c r="J828" s="55"/>
      <c r="K828" s="46" t="str">
        <f t="shared" ca="1" si="66"/>
        <v/>
      </c>
      <c r="L828" s="56" t="str">
        <f t="shared" ca="1" si="67"/>
        <v/>
      </c>
      <c r="Q828" s="57" t="str">
        <f t="shared" si="68"/>
        <v/>
      </c>
      <c r="R828" s="57" t="str">
        <f t="shared" si="69"/>
        <v/>
      </c>
    </row>
    <row r="829" spans="4:18" x14ac:dyDescent="0.25">
      <c r="D829" s="43"/>
      <c r="E829" s="55" t="str">
        <f t="shared" si="65"/>
        <v/>
      </c>
      <c r="F829" s="55"/>
      <c r="G829" s="55"/>
      <c r="H829" s="55"/>
      <c r="I829" s="55"/>
      <c r="J829" s="55"/>
      <c r="K829" s="46" t="str">
        <f t="shared" ca="1" si="66"/>
        <v/>
      </c>
      <c r="L829" s="56" t="str">
        <f t="shared" ca="1" si="67"/>
        <v/>
      </c>
      <c r="Q829" s="57" t="str">
        <f t="shared" si="68"/>
        <v/>
      </c>
      <c r="R829" s="57" t="str">
        <f t="shared" si="69"/>
        <v/>
      </c>
    </row>
    <row r="830" spans="4:18" x14ac:dyDescent="0.25">
      <c r="D830" s="43"/>
      <c r="E830" s="55" t="str">
        <f t="shared" si="65"/>
        <v/>
      </c>
      <c r="F830" s="55"/>
      <c r="G830" s="55"/>
      <c r="H830" s="55"/>
      <c r="I830" s="55"/>
      <c r="J830" s="55"/>
      <c r="K830" s="46" t="str">
        <f t="shared" ca="1" si="66"/>
        <v/>
      </c>
      <c r="L830" s="56" t="str">
        <f t="shared" ca="1" si="67"/>
        <v/>
      </c>
      <c r="Q830" s="57" t="str">
        <f t="shared" si="68"/>
        <v/>
      </c>
      <c r="R830" s="57" t="str">
        <f t="shared" si="69"/>
        <v/>
      </c>
    </row>
    <row r="831" spans="4:18" x14ac:dyDescent="0.25">
      <c r="D831" s="43"/>
      <c r="E831" s="55" t="str">
        <f t="shared" si="65"/>
        <v/>
      </c>
      <c r="F831" s="55"/>
      <c r="G831" s="55"/>
      <c r="H831" s="55"/>
      <c r="I831" s="55"/>
      <c r="J831" s="55"/>
      <c r="K831" s="46" t="str">
        <f t="shared" ca="1" si="66"/>
        <v/>
      </c>
      <c r="L831" s="56" t="str">
        <f t="shared" ca="1" si="67"/>
        <v/>
      </c>
      <c r="Q831" s="57" t="str">
        <f t="shared" si="68"/>
        <v/>
      </c>
      <c r="R831" s="57" t="str">
        <f t="shared" si="69"/>
        <v/>
      </c>
    </row>
    <row r="832" spans="4:18" x14ac:dyDescent="0.25">
      <c r="D832" s="43"/>
      <c r="E832" s="55" t="str">
        <f t="shared" si="65"/>
        <v/>
      </c>
      <c r="F832" s="55"/>
      <c r="G832" s="55"/>
      <c r="H832" s="55"/>
      <c r="I832" s="55"/>
      <c r="J832" s="55"/>
      <c r="K832" s="46" t="str">
        <f t="shared" ca="1" si="66"/>
        <v/>
      </c>
      <c r="L832" s="56" t="str">
        <f t="shared" ca="1" si="67"/>
        <v/>
      </c>
      <c r="Q832" s="57" t="str">
        <f t="shared" si="68"/>
        <v/>
      </c>
      <c r="R832" s="57" t="str">
        <f t="shared" si="69"/>
        <v/>
      </c>
    </row>
    <row r="833" spans="4:18" x14ac:dyDescent="0.25">
      <c r="D833" s="43"/>
      <c r="E833" s="55" t="str">
        <f t="shared" si="65"/>
        <v/>
      </c>
      <c r="F833" s="55"/>
      <c r="G833" s="55"/>
      <c r="H833" s="55"/>
      <c r="I833" s="55"/>
      <c r="J833" s="55"/>
      <c r="K833" s="46" t="str">
        <f t="shared" ca="1" si="66"/>
        <v/>
      </c>
      <c r="L833" s="56" t="str">
        <f t="shared" ca="1" si="67"/>
        <v/>
      </c>
      <c r="Q833" s="57" t="str">
        <f t="shared" si="68"/>
        <v/>
      </c>
      <c r="R833" s="57" t="str">
        <f t="shared" si="69"/>
        <v/>
      </c>
    </row>
    <row r="834" spans="4:18" x14ac:dyDescent="0.25">
      <c r="D834" s="43"/>
      <c r="E834" s="55" t="str">
        <f t="shared" si="65"/>
        <v/>
      </c>
      <c r="F834" s="55"/>
      <c r="G834" s="55"/>
      <c r="H834" s="55"/>
      <c r="I834" s="55"/>
      <c r="J834" s="55"/>
      <c r="K834" s="46" t="str">
        <f t="shared" ca="1" si="66"/>
        <v/>
      </c>
      <c r="L834" s="56" t="str">
        <f t="shared" ca="1" si="67"/>
        <v/>
      </c>
      <c r="Q834" s="57" t="str">
        <f t="shared" si="68"/>
        <v/>
      </c>
      <c r="R834" s="57" t="str">
        <f t="shared" si="69"/>
        <v/>
      </c>
    </row>
    <row r="835" spans="4:18" x14ac:dyDescent="0.25">
      <c r="D835" s="43"/>
      <c r="E835" s="55" t="str">
        <f t="shared" si="65"/>
        <v/>
      </c>
      <c r="F835" s="55"/>
      <c r="G835" s="55"/>
      <c r="H835" s="55"/>
      <c r="I835" s="55"/>
      <c r="J835" s="55"/>
      <c r="K835" s="46" t="str">
        <f t="shared" ca="1" si="66"/>
        <v/>
      </c>
      <c r="L835" s="56" t="str">
        <f t="shared" ca="1" si="67"/>
        <v/>
      </c>
      <c r="Q835" s="57" t="str">
        <f t="shared" si="68"/>
        <v/>
      </c>
      <c r="R835" s="57" t="str">
        <f t="shared" si="69"/>
        <v/>
      </c>
    </row>
    <row r="836" spans="4:18" x14ac:dyDescent="0.25">
      <c r="D836" s="43"/>
      <c r="E836" s="55" t="str">
        <f t="shared" si="65"/>
        <v/>
      </c>
      <c r="F836" s="55"/>
      <c r="G836" s="55"/>
      <c r="H836" s="55"/>
      <c r="I836" s="55"/>
      <c r="J836" s="55"/>
      <c r="K836" s="46" t="str">
        <f t="shared" ca="1" si="66"/>
        <v/>
      </c>
      <c r="L836" s="56" t="str">
        <f t="shared" ca="1" si="67"/>
        <v/>
      </c>
      <c r="Q836" s="57" t="str">
        <f t="shared" si="68"/>
        <v/>
      </c>
      <c r="R836" s="57" t="str">
        <f t="shared" si="69"/>
        <v/>
      </c>
    </row>
    <row r="837" spans="4:18" x14ac:dyDescent="0.25">
      <c r="D837" s="43"/>
      <c r="E837" s="55" t="str">
        <f t="shared" si="65"/>
        <v/>
      </c>
      <c r="F837" s="55"/>
      <c r="G837" s="55"/>
      <c r="H837" s="55"/>
      <c r="I837" s="55"/>
      <c r="J837" s="55"/>
      <c r="K837" s="46" t="str">
        <f t="shared" ca="1" si="66"/>
        <v/>
      </c>
      <c r="L837" s="56" t="str">
        <f t="shared" ca="1" si="67"/>
        <v/>
      </c>
      <c r="Q837" s="57" t="str">
        <f t="shared" si="68"/>
        <v/>
      </c>
      <c r="R837" s="57" t="str">
        <f t="shared" si="69"/>
        <v/>
      </c>
    </row>
    <row r="838" spans="4:18" x14ac:dyDescent="0.25">
      <c r="D838" s="43"/>
      <c r="E838" s="55" t="str">
        <f t="shared" si="65"/>
        <v/>
      </c>
      <c r="F838" s="55"/>
      <c r="G838" s="55"/>
      <c r="H838" s="55"/>
      <c r="I838" s="55"/>
      <c r="J838" s="55"/>
      <c r="K838" s="46" t="str">
        <f t="shared" ca="1" si="66"/>
        <v/>
      </c>
      <c r="L838" s="56" t="str">
        <f t="shared" ca="1" si="67"/>
        <v/>
      </c>
      <c r="Q838" s="57" t="str">
        <f t="shared" si="68"/>
        <v/>
      </c>
      <c r="R838" s="57" t="str">
        <f t="shared" si="69"/>
        <v/>
      </c>
    </row>
    <row r="839" spans="4:18" x14ac:dyDescent="0.25">
      <c r="D839" s="43"/>
      <c r="E839" s="55" t="str">
        <f t="shared" si="65"/>
        <v/>
      </c>
      <c r="F839" s="55"/>
      <c r="G839" s="55"/>
      <c r="H839" s="55"/>
      <c r="I839" s="55"/>
      <c r="J839" s="55"/>
      <c r="K839" s="46" t="str">
        <f t="shared" ca="1" si="66"/>
        <v/>
      </c>
      <c r="L839" s="56" t="str">
        <f t="shared" ca="1" si="67"/>
        <v/>
      </c>
      <c r="Q839" s="57" t="str">
        <f t="shared" si="68"/>
        <v/>
      </c>
      <c r="R839" s="57" t="str">
        <f t="shared" si="69"/>
        <v/>
      </c>
    </row>
    <row r="840" spans="4:18" x14ac:dyDescent="0.25">
      <c r="D840" s="43"/>
      <c r="E840" s="55" t="str">
        <f t="shared" si="65"/>
        <v/>
      </c>
      <c r="F840" s="55"/>
      <c r="G840" s="55"/>
      <c r="H840" s="55"/>
      <c r="I840" s="55"/>
      <c r="J840" s="55"/>
      <c r="K840" s="46" t="str">
        <f t="shared" ca="1" si="66"/>
        <v/>
      </c>
      <c r="L840" s="56" t="str">
        <f t="shared" ca="1" si="67"/>
        <v/>
      </c>
      <c r="Q840" s="57" t="str">
        <f t="shared" si="68"/>
        <v/>
      </c>
      <c r="R840" s="57" t="str">
        <f t="shared" si="69"/>
        <v/>
      </c>
    </row>
    <row r="841" spans="4:18" x14ac:dyDescent="0.25">
      <c r="D841" s="43"/>
      <c r="E841" s="55" t="str">
        <f t="shared" si="65"/>
        <v/>
      </c>
      <c r="F841" s="55"/>
      <c r="G841" s="55"/>
      <c r="H841" s="55"/>
      <c r="I841" s="55"/>
      <c r="J841" s="55"/>
      <c r="K841" s="46" t="str">
        <f t="shared" ca="1" si="66"/>
        <v/>
      </c>
      <c r="L841" s="56" t="str">
        <f t="shared" ca="1" si="67"/>
        <v/>
      </c>
      <c r="Q841" s="57" t="str">
        <f t="shared" si="68"/>
        <v/>
      </c>
      <c r="R841" s="57" t="str">
        <f t="shared" si="69"/>
        <v/>
      </c>
    </row>
    <row r="842" spans="4:18" x14ac:dyDescent="0.25">
      <c r="D842" s="43"/>
      <c r="E842" s="55" t="str">
        <f t="shared" si="65"/>
        <v/>
      </c>
      <c r="F842" s="55"/>
      <c r="G842" s="55"/>
      <c r="H842" s="55"/>
      <c r="I842" s="55"/>
      <c r="J842" s="55"/>
      <c r="K842" s="46" t="str">
        <f t="shared" ca="1" si="66"/>
        <v/>
      </c>
      <c r="L842" s="56" t="str">
        <f t="shared" ca="1" si="67"/>
        <v/>
      </c>
      <c r="Q842" s="57" t="str">
        <f t="shared" si="68"/>
        <v/>
      </c>
      <c r="R842" s="57" t="str">
        <f t="shared" si="69"/>
        <v/>
      </c>
    </row>
    <row r="843" spans="4:18" x14ac:dyDescent="0.25">
      <c r="D843" s="43"/>
      <c r="E843" s="55" t="str">
        <f t="shared" si="65"/>
        <v/>
      </c>
      <c r="F843" s="55"/>
      <c r="G843" s="55"/>
      <c r="H843" s="55"/>
      <c r="I843" s="55"/>
      <c r="J843" s="55"/>
      <c r="K843" s="46" t="str">
        <f t="shared" ca="1" si="66"/>
        <v/>
      </c>
      <c r="L843" s="56" t="str">
        <f t="shared" ca="1" si="67"/>
        <v/>
      </c>
      <c r="Q843" s="57" t="str">
        <f t="shared" si="68"/>
        <v/>
      </c>
      <c r="R843" s="57" t="str">
        <f t="shared" si="69"/>
        <v/>
      </c>
    </row>
    <row r="844" spans="4:18" x14ac:dyDescent="0.25">
      <c r="D844" s="43"/>
      <c r="E844" s="55" t="str">
        <f t="shared" si="65"/>
        <v/>
      </c>
      <c r="F844" s="55"/>
      <c r="G844" s="55"/>
      <c r="H844" s="55"/>
      <c r="I844" s="55"/>
      <c r="J844" s="55"/>
      <c r="K844" s="46" t="str">
        <f t="shared" ca="1" si="66"/>
        <v/>
      </c>
      <c r="L844" s="56" t="str">
        <f t="shared" ca="1" si="67"/>
        <v/>
      </c>
      <c r="Q844" s="57" t="str">
        <f t="shared" si="68"/>
        <v/>
      </c>
      <c r="R844" s="57" t="str">
        <f t="shared" si="69"/>
        <v/>
      </c>
    </row>
    <row r="845" spans="4:18" x14ac:dyDescent="0.25">
      <c r="D845" s="43"/>
      <c r="E845" s="55" t="str">
        <f t="shared" si="65"/>
        <v/>
      </c>
      <c r="F845" s="55"/>
      <c r="G845" s="55"/>
      <c r="H845" s="55"/>
      <c r="I845" s="55"/>
      <c r="J845" s="55"/>
      <c r="K845" s="46" t="str">
        <f t="shared" ca="1" si="66"/>
        <v/>
      </c>
      <c r="L845" s="56" t="str">
        <f t="shared" ca="1" si="67"/>
        <v/>
      </c>
      <c r="Q845" s="57" t="str">
        <f t="shared" si="68"/>
        <v/>
      </c>
      <c r="R845" s="57" t="str">
        <f t="shared" si="69"/>
        <v/>
      </c>
    </row>
    <row r="846" spans="4:18" x14ac:dyDescent="0.25">
      <c r="D846" s="43"/>
      <c r="E846" s="55" t="str">
        <f t="shared" si="65"/>
        <v/>
      </c>
      <c r="F846" s="55"/>
      <c r="G846" s="55"/>
      <c r="H846" s="55"/>
      <c r="I846" s="55"/>
      <c r="J846" s="55"/>
      <c r="K846" s="46" t="str">
        <f t="shared" ca="1" si="66"/>
        <v/>
      </c>
      <c r="L846" s="56" t="str">
        <f t="shared" ca="1" si="67"/>
        <v/>
      </c>
      <c r="Q846" s="57" t="str">
        <f t="shared" si="68"/>
        <v/>
      </c>
      <c r="R846" s="57" t="str">
        <f t="shared" si="69"/>
        <v/>
      </c>
    </row>
    <row r="847" spans="4:18" x14ac:dyDescent="0.25">
      <c r="D847" s="43"/>
      <c r="E847" s="55" t="str">
        <f t="shared" si="65"/>
        <v/>
      </c>
      <c r="F847" s="55"/>
      <c r="G847" s="55"/>
      <c r="H847" s="55"/>
      <c r="I847" s="55"/>
      <c r="J847" s="55"/>
      <c r="K847" s="46" t="str">
        <f t="shared" ca="1" si="66"/>
        <v/>
      </c>
      <c r="L847" s="56" t="str">
        <f t="shared" ca="1" si="67"/>
        <v/>
      </c>
      <c r="Q847" s="57" t="str">
        <f t="shared" si="68"/>
        <v/>
      </c>
      <c r="R847" s="57" t="str">
        <f t="shared" si="69"/>
        <v/>
      </c>
    </row>
    <row r="848" spans="4:18" x14ac:dyDescent="0.25">
      <c r="D848" s="43"/>
      <c r="E848" s="55" t="str">
        <f t="shared" si="65"/>
        <v/>
      </c>
      <c r="F848" s="55"/>
      <c r="G848" s="55"/>
      <c r="H848" s="55"/>
      <c r="I848" s="55"/>
      <c r="J848" s="55"/>
      <c r="K848" s="46" t="str">
        <f t="shared" ca="1" si="66"/>
        <v/>
      </c>
      <c r="L848" s="56" t="str">
        <f t="shared" ca="1" si="67"/>
        <v/>
      </c>
      <c r="Q848" s="57" t="str">
        <f t="shared" si="68"/>
        <v/>
      </c>
      <c r="R848" s="57" t="str">
        <f t="shared" si="69"/>
        <v/>
      </c>
    </row>
    <row r="849" spans="4:18" x14ac:dyDescent="0.25">
      <c r="D849" s="43"/>
      <c r="E849" s="55" t="str">
        <f t="shared" si="65"/>
        <v/>
      </c>
      <c r="F849" s="55"/>
      <c r="G849" s="55"/>
      <c r="H849" s="55"/>
      <c r="I849" s="55"/>
      <c r="J849" s="55"/>
      <c r="K849" s="46" t="str">
        <f t="shared" ca="1" si="66"/>
        <v/>
      </c>
      <c r="L849" s="56" t="str">
        <f t="shared" ca="1" si="67"/>
        <v/>
      </c>
      <c r="Q849" s="57" t="str">
        <f t="shared" si="68"/>
        <v/>
      </c>
      <c r="R849" s="57" t="str">
        <f t="shared" si="69"/>
        <v/>
      </c>
    </row>
    <row r="850" spans="4:18" x14ac:dyDescent="0.25">
      <c r="D850" s="43"/>
      <c r="E850" s="55" t="str">
        <f t="shared" si="65"/>
        <v/>
      </c>
      <c r="F850" s="55"/>
      <c r="G850" s="55"/>
      <c r="H850" s="55"/>
      <c r="I850" s="55"/>
      <c r="J850" s="55"/>
      <c r="K850" s="46" t="str">
        <f t="shared" ca="1" si="66"/>
        <v/>
      </c>
      <c r="L850" s="56" t="str">
        <f t="shared" ca="1" si="67"/>
        <v/>
      </c>
      <c r="Q850" s="57" t="str">
        <f t="shared" si="68"/>
        <v/>
      </c>
      <c r="R850" s="57" t="str">
        <f t="shared" si="69"/>
        <v/>
      </c>
    </row>
    <row r="851" spans="4:18" x14ac:dyDescent="0.25">
      <c r="D851" s="43"/>
      <c r="E851" s="55" t="str">
        <f t="shared" si="65"/>
        <v/>
      </c>
      <c r="F851" s="55"/>
      <c r="G851" s="55"/>
      <c r="H851" s="55"/>
      <c r="I851" s="55"/>
      <c r="J851" s="55"/>
      <c r="K851" s="46" t="str">
        <f t="shared" ca="1" si="66"/>
        <v/>
      </c>
      <c r="L851" s="56" t="str">
        <f t="shared" ca="1" si="67"/>
        <v/>
      </c>
      <c r="Q851" s="57" t="str">
        <f t="shared" si="68"/>
        <v/>
      </c>
      <c r="R851" s="57" t="str">
        <f t="shared" si="69"/>
        <v/>
      </c>
    </row>
    <row r="852" spans="4:18" x14ac:dyDescent="0.25">
      <c r="D852" s="43"/>
      <c r="E852" s="55" t="str">
        <f t="shared" ref="E852:E915" si="70">IF(ISNUMBER(SEARCH("v crs",D852))=TRUE,"VC",IF(ISNUMBER(SEARCH("crs",D852))=TRUE,"C",IF(ISNUMBER(SEARCH("med",D852))=TRUE,"M",IF(ISNUMBER(SEARCH("vf",D852))=TRUE,"VF",IF(ISNUMBER(SEARCH("f",D852))=TRUE,"F","")))))</f>
        <v/>
      </c>
      <c r="F852" s="55"/>
      <c r="G852" s="55"/>
      <c r="H852" s="55"/>
      <c r="I852" s="55"/>
      <c r="J852" s="55"/>
      <c r="K852" s="46" t="str">
        <f t="shared" ca="1" si="66"/>
        <v/>
      </c>
      <c r="L852" s="56" t="str">
        <f t="shared" ca="1" si="67"/>
        <v/>
      </c>
      <c r="Q852" s="57" t="str">
        <f t="shared" si="68"/>
        <v/>
      </c>
      <c r="R852" s="57" t="str">
        <f t="shared" si="69"/>
        <v/>
      </c>
    </row>
    <row r="853" spans="4:18" x14ac:dyDescent="0.25">
      <c r="D853" s="43"/>
      <c r="E853" s="55" t="str">
        <f t="shared" si="70"/>
        <v/>
      </c>
      <c r="F853" s="55"/>
      <c r="G853" s="55"/>
      <c r="H853" s="55"/>
      <c r="I853" s="55"/>
      <c r="J853" s="55"/>
      <c r="K853" s="46" t="str">
        <f t="shared" ref="K853:K916" ca="1" si="71">IF(AND(C853&lt;&gt;"",C853&lt;&gt;Q853),TODAY(),IF(C853="","",K853))</f>
        <v/>
      </c>
      <c r="L853" s="56" t="str">
        <f t="shared" ref="L853:L916" ca="1" si="72">IF(AND(C853&lt;&gt;"",C853&lt;&gt;R853),NOW(),IF(C853="","",L853))</f>
        <v/>
      </c>
      <c r="Q853" s="57" t="str">
        <f t="shared" ref="Q853:Q916" si="73">IF(C853="","",IF(OR(K853="",AND(ISNUMBER(Q853),C853=Q853)),Q853,C853))</f>
        <v/>
      </c>
      <c r="R853" s="57" t="str">
        <f t="shared" ref="R853:R916" si="74">IF(C853="","",IF(OR(L853="",AND(ISNUMBER(R853),C853=R853)),R853,C853))</f>
        <v/>
      </c>
    </row>
    <row r="854" spans="4:18" x14ac:dyDescent="0.25">
      <c r="D854" s="43"/>
      <c r="E854" s="55" t="str">
        <f t="shared" si="70"/>
        <v/>
      </c>
      <c r="F854" s="55"/>
      <c r="G854" s="55"/>
      <c r="H854" s="55"/>
      <c r="I854" s="55"/>
      <c r="J854" s="55"/>
      <c r="K854" s="46" t="str">
        <f t="shared" ca="1" si="71"/>
        <v/>
      </c>
      <c r="L854" s="56" t="str">
        <f t="shared" ca="1" si="72"/>
        <v/>
      </c>
      <c r="Q854" s="57" t="str">
        <f t="shared" si="73"/>
        <v/>
      </c>
      <c r="R854" s="57" t="str">
        <f t="shared" si="74"/>
        <v/>
      </c>
    </row>
    <row r="855" spans="4:18" x14ac:dyDescent="0.25">
      <c r="D855" s="43"/>
      <c r="E855" s="55" t="str">
        <f t="shared" si="70"/>
        <v/>
      </c>
      <c r="F855" s="55"/>
      <c r="G855" s="55"/>
      <c r="H855" s="55"/>
      <c r="I855" s="55"/>
      <c r="J855" s="55"/>
      <c r="K855" s="46" t="str">
        <f t="shared" ca="1" si="71"/>
        <v/>
      </c>
      <c r="L855" s="56" t="str">
        <f t="shared" ca="1" si="72"/>
        <v/>
      </c>
      <c r="Q855" s="57" t="str">
        <f t="shared" si="73"/>
        <v/>
      </c>
      <c r="R855" s="57" t="str">
        <f t="shared" si="74"/>
        <v/>
      </c>
    </row>
    <row r="856" spans="4:18" x14ac:dyDescent="0.25">
      <c r="D856" s="43"/>
      <c r="E856" s="55" t="str">
        <f t="shared" si="70"/>
        <v/>
      </c>
      <c r="F856" s="55"/>
      <c r="G856" s="55"/>
      <c r="H856" s="55"/>
      <c r="I856" s="55"/>
      <c r="J856" s="55"/>
      <c r="K856" s="46" t="str">
        <f t="shared" ca="1" si="71"/>
        <v/>
      </c>
      <c r="L856" s="56" t="str">
        <f t="shared" ca="1" si="72"/>
        <v/>
      </c>
      <c r="Q856" s="57" t="str">
        <f t="shared" si="73"/>
        <v/>
      </c>
      <c r="R856" s="57" t="str">
        <f t="shared" si="74"/>
        <v/>
      </c>
    </row>
    <row r="857" spans="4:18" x14ac:dyDescent="0.25">
      <c r="D857" s="43"/>
      <c r="E857" s="55" t="str">
        <f t="shared" si="70"/>
        <v/>
      </c>
      <c r="F857" s="55"/>
      <c r="G857" s="55"/>
      <c r="H857" s="55"/>
      <c r="I857" s="55"/>
      <c r="J857" s="55"/>
      <c r="K857" s="46" t="str">
        <f t="shared" ca="1" si="71"/>
        <v/>
      </c>
      <c r="L857" s="56" t="str">
        <f t="shared" ca="1" si="72"/>
        <v/>
      </c>
      <c r="Q857" s="57" t="str">
        <f t="shared" si="73"/>
        <v/>
      </c>
      <c r="R857" s="57" t="str">
        <f t="shared" si="74"/>
        <v/>
      </c>
    </row>
    <row r="858" spans="4:18" x14ac:dyDescent="0.25">
      <c r="D858" s="43"/>
      <c r="E858" s="55" t="str">
        <f t="shared" si="70"/>
        <v/>
      </c>
      <c r="F858" s="55"/>
      <c r="G858" s="55"/>
      <c r="H858" s="55"/>
      <c r="I858" s="55"/>
      <c r="J858" s="55"/>
      <c r="K858" s="46" t="str">
        <f t="shared" ca="1" si="71"/>
        <v/>
      </c>
      <c r="L858" s="56" t="str">
        <f t="shared" ca="1" si="72"/>
        <v/>
      </c>
      <c r="Q858" s="57" t="str">
        <f t="shared" si="73"/>
        <v/>
      </c>
      <c r="R858" s="57" t="str">
        <f t="shared" si="74"/>
        <v/>
      </c>
    </row>
    <row r="859" spans="4:18" x14ac:dyDescent="0.25">
      <c r="D859" s="43"/>
      <c r="E859" s="55" t="str">
        <f t="shared" si="70"/>
        <v/>
      </c>
      <c r="F859" s="55"/>
      <c r="G859" s="55"/>
      <c r="H859" s="55"/>
      <c r="I859" s="55"/>
      <c r="J859" s="55"/>
      <c r="K859" s="46" t="str">
        <f t="shared" ca="1" si="71"/>
        <v/>
      </c>
      <c r="L859" s="56" t="str">
        <f t="shared" ca="1" si="72"/>
        <v/>
      </c>
      <c r="Q859" s="57" t="str">
        <f t="shared" si="73"/>
        <v/>
      </c>
      <c r="R859" s="57" t="str">
        <f t="shared" si="74"/>
        <v/>
      </c>
    </row>
    <row r="860" spans="4:18" x14ac:dyDescent="0.25">
      <c r="D860" s="43"/>
      <c r="E860" s="55" t="str">
        <f t="shared" si="70"/>
        <v/>
      </c>
      <c r="F860" s="55"/>
      <c r="G860" s="55"/>
      <c r="H860" s="55"/>
      <c r="I860" s="55"/>
      <c r="J860" s="55"/>
      <c r="K860" s="46" t="str">
        <f t="shared" ca="1" si="71"/>
        <v/>
      </c>
      <c r="L860" s="56" t="str">
        <f t="shared" ca="1" si="72"/>
        <v/>
      </c>
      <c r="Q860" s="57" t="str">
        <f t="shared" si="73"/>
        <v/>
      </c>
      <c r="R860" s="57" t="str">
        <f t="shared" si="74"/>
        <v/>
      </c>
    </row>
    <row r="861" spans="4:18" x14ac:dyDescent="0.25">
      <c r="D861" s="43"/>
      <c r="E861" s="55" t="str">
        <f t="shared" si="70"/>
        <v/>
      </c>
      <c r="F861" s="55"/>
      <c r="G861" s="55"/>
      <c r="H861" s="55"/>
      <c r="I861" s="55"/>
      <c r="J861" s="55"/>
      <c r="K861" s="46" t="str">
        <f t="shared" ca="1" si="71"/>
        <v/>
      </c>
      <c r="L861" s="56" t="str">
        <f t="shared" ca="1" si="72"/>
        <v/>
      </c>
      <c r="Q861" s="57" t="str">
        <f t="shared" si="73"/>
        <v/>
      </c>
      <c r="R861" s="57" t="str">
        <f t="shared" si="74"/>
        <v/>
      </c>
    </row>
    <row r="862" spans="4:18" x14ac:dyDescent="0.25">
      <c r="D862" s="43"/>
      <c r="E862" s="55" t="str">
        <f t="shared" si="70"/>
        <v/>
      </c>
      <c r="F862" s="55"/>
      <c r="G862" s="55"/>
      <c r="H862" s="55"/>
      <c r="I862" s="55"/>
      <c r="J862" s="55"/>
      <c r="K862" s="46" t="str">
        <f t="shared" ca="1" si="71"/>
        <v/>
      </c>
      <c r="L862" s="56" t="str">
        <f t="shared" ca="1" si="72"/>
        <v/>
      </c>
      <c r="Q862" s="57" t="str">
        <f t="shared" si="73"/>
        <v/>
      </c>
      <c r="R862" s="57" t="str">
        <f t="shared" si="74"/>
        <v/>
      </c>
    </row>
    <row r="863" spans="4:18" x14ac:dyDescent="0.25">
      <c r="D863" s="43"/>
      <c r="E863" s="55" t="str">
        <f t="shared" si="70"/>
        <v/>
      </c>
      <c r="F863" s="55"/>
      <c r="G863" s="55"/>
      <c r="H863" s="55"/>
      <c r="I863" s="55"/>
      <c r="J863" s="55"/>
      <c r="K863" s="46" t="str">
        <f t="shared" ca="1" si="71"/>
        <v/>
      </c>
      <c r="L863" s="56" t="str">
        <f t="shared" ca="1" si="72"/>
        <v/>
      </c>
      <c r="Q863" s="57" t="str">
        <f t="shared" si="73"/>
        <v/>
      </c>
      <c r="R863" s="57" t="str">
        <f t="shared" si="74"/>
        <v/>
      </c>
    </row>
    <row r="864" spans="4:18" x14ac:dyDescent="0.25">
      <c r="D864" s="43"/>
      <c r="E864" s="55" t="str">
        <f t="shared" si="70"/>
        <v/>
      </c>
      <c r="F864" s="55"/>
      <c r="G864" s="55"/>
      <c r="H864" s="55"/>
      <c r="I864" s="55"/>
      <c r="J864" s="55"/>
      <c r="K864" s="46" t="str">
        <f t="shared" ca="1" si="71"/>
        <v/>
      </c>
      <c r="L864" s="56" t="str">
        <f t="shared" ca="1" si="72"/>
        <v/>
      </c>
      <c r="Q864" s="57" t="str">
        <f t="shared" si="73"/>
        <v/>
      </c>
      <c r="R864" s="57" t="str">
        <f t="shared" si="74"/>
        <v/>
      </c>
    </row>
    <row r="865" spans="4:18" x14ac:dyDescent="0.25">
      <c r="D865" s="43"/>
      <c r="E865" s="55" t="str">
        <f t="shared" si="70"/>
        <v/>
      </c>
      <c r="F865" s="55"/>
      <c r="G865" s="55"/>
      <c r="H865" s="55"/>
      <c r="I865" s="55"/>
      <c r="J865" s="55"/>
      <c r="K865" s="46" t="str">
        <f t="shared" ca="1" si="71"/>
        <v/>
      </c>
      <c r="L865" s="56" t="str">
        <f t="shared" ca="1" si="72"/>
        <v/>
      </c>
      <c r="Q865" s="57" t="str">
        <f t="shared" si="73"/>
        <v/>
      </c>
      <c r="R865" s="57" t="str">
        <f t="shared" si="74"/>
        <v/>
      </c>
    </row>
    <row r="866" spans="4:18" x14ac:dyDescent="0.25">
      <c r="D866" s="43"/>
      <c r="E866" s="55" t="str">
        <f t="shared" si="70"/>
        <v/>
      </c>
      <c r="F866" s="55"/>
      <c r="G866" s="55"/>
      <c r="H866" s="55"/>
      <c r="I866" s="55"/>
      <c r="J866" s="55"/>
      <c r="K866" s="46" t="str">
        <f t="shared" ca="1" si="71"/>
        <v/>
      </c>
      <c r="L866" s="56" t="str">
        <f t="shared" ca="1" si="72"/>
        <v/>
      </c>
      <c r="Q866" s="57" t="str">
        <f t="shared" si="73"/>
        <v/>
      </c>
      <c r="R866" s="57" t="str">
        <f t="shared" si="74"/>
        <v/>
      </c>
    </row>
    <row r="867" spans="4:18" x14ac:dyDescent="0.25">
      <c r="D867" s="43"/>
      <c r="E867" s="55" t="str">
        <f t="shared" si="70"/>
        <v/>
      </c>
      <c r="F867" s="55"/>
      <c r="G867" s="55"/>
      <c r="H867" s="55"/>
      <c r="I867" s="55"/>
      <c r="J867" s="55"/>
      <c r="K867" s="46" t="str">
        <f t="shared" ca="1" si="71"/>
        <v/>
      </c>
      <c r="L867" s="56" t="str">
        <f t="shared" ca="1" si="72"/>
        <v/>
      </c>
      <c r="Q867" s="57" t="str">
        <f t="shared" si="73"/>
        <v/>
      </c>
      <c r="R867" s="57" t="str">
        <f t="shared" si="74"/>
        <v/>
      </c>
    </row>
    <row r="868" spans="4:18" x14ac:dyDescent="0.25">
      <c r="D868" s="43"/>
      <c r="E868" s="55" t="str">
        <f t="shared" si="70"/>
        <v/>
      </c>
      <c r="F868" s="55"/>
      <c r="G868" s="55"/>
      <c r="H868" s="55"/>
      <c r="I868" s="55"/>
      <c r="J868" s="55"/>
      <c r="K868" s="46" t="str">
        <f t="shared" ca="1" si="71"/>
        <v/>
      </c>
      <c r="L868" s="56" t="str">
        <f t="shared" ca="1" si="72"/>
        <v/>
      </c>
      <c r="Q868" s="57" t="str">
        <f t="shared" si="73"/>
        <v/>
      </c>
      <c r="R868" s="57" t="str">
        <f t="shared" si="74"/>
        <v/>
      </c>
    </row>
    <row r="869" spans="4:18" x14ac:dyDescent="0.25">
      <c r="D869" s="43"/>
      <c r="E869" s="55" t="str">
        <f t="shared" si="70"/>
        <v/>
      </c>
      <c r="F869" s="55"/>
      <c r="G869" s="55"/>
      <c r="H869" s="55"/>
      <c r="I869" s="55"/>
      <c r="J869" s="55"/>
      <c r="K869" s="46" t="str">
        <f t="shared" ca="1" si="71"/>
        <v/>
      </c>
      <c r="L869" s="56" t="str">
        <f t="shared" ca="1" si="72"/>
        <v/>
      </c>
      <c r="Q869" s="57" t="str">
        <f t="shared" si="73"/>
        <v/>
      </c>
      <c r="R869" s="57" t="str">
        <f t="shared" si="74"/>
        <v/>
      </c>
    </row>
    <row r="870" spans="4:18" x14ac:dyDescent="0.25">
      <c r="D870" s="43"/>
      <c r="E870" s="55" t="str">
        <f t="shared" si="70"/>
        <v/>
      </c>
      <c r="F870" s="55"/>
      <c r="G870" s="55"/>
      <c r="H870" s="55"/>
      <c r="I870" s="55"/>
      <c r="J870" s="55"/>
      <c r="K870" s="46" t="str">
        <f t="shared" ca="1" si="71"/>
        <v/>
      </c>
      <c r="L870" s="56" t="str">
        <f t="shared" ca="1" si="72"/>
        <v/>
      </c>
      <c r="Q870" s="57" t="str">
        <f t="shared" si="73"/>
        <v/>
      </c>
      <c r="R870" s="57" t="str">
        <f t="shared" si="74"/>
        <v/>
      </c>
    </row>
    <row r="871" spans="4:18" x14ac:dyDescent="0.25">
      <c r="D871" s="43"/>
      <c r="E871" s="55" t="str">
        <f t="shared" si="70"/>
        <v/>
      </c>
      <c r="F871" s="55"/>
      <c r="G871" s="55"/>
      <c r="H871" s="55"/>
      <c r="I871" s="55"/>
      <c r="J871" s="55"/>
      <c r="K871" s="46" t="str">
        <f t="shared" ca="1" si="71"/>
        <v/>
      </c>
      <c r="L871" s="56" t="str">
        <f t="shared" ca="1" si="72"/>
        <v/>
      </c>
      <c r="Q871" s="57" t="str">
        <f t="shared" si="73"/>
        <v/>
      </c>
      <c r="R871" s="57" t="str">
        <f t="shared" si="74"/>
        <v/>
      </c>
    </row>
    <row r="872" spans="4:18" x14ac:dyDescent="0.25">
      <c r="D872" s="43"/>
      <c r="E872" s="55" t="str">
        <f t="shared" si="70"/>
        <v/>
      </c>
      <c r="F872" s="55"/>
      <c r="G872" s="55"/>
      <c r="H872" s="55"/>
      <c r="I872" s="55"/>
      <c r="J872" s="55"/>
      <c r="K872" s="46" t="str">
        <f t="shared" ca="1" si="71"/>
        <v/>
      </c>
      <c r="L872" s="56" t="str">
        <f t="shared" ca="1" si="72"/>
        <v/>
      </c>
      <c r="Q872" s="57" t="str">
        <f t="shared" si="73"/>
        <v/>
      </c>
      <c r="R872" s="57" t="str">
        <f t="shared" si="74"/>
        <v/>
      </c>
    </row>
    <row r="873" spans="4:18" x14ac:dyDescent="0.25">
      <c r="D873" s="43"/>
      <c r="E873" s="55" t="str">
        <f t="shared" si="70"/>
        <v/>
      </c>
      <c r="F873" s="55"/>
      <c r="G873" s="55"/>
      <c r="H873" s="55"/>
      <c r="I873" s="55"/>
      <c r="J873" s="55"/>
      <c r="K873" s="46" t="str">
        <f t="shared" ca="1" si="71"/>
        <v/>
      </c>
      <c r="L873" s="56" t="str">
        <f t="shared" ca="1" si="72"/>
        <v/>
      </c>
      <c r="Q873" s="57" t="str">
        <f t="shared" si="73"/>
        <v/>
      </c>
      <c r="R873" s="57" t="str">
        <f t="shared" si="74"/>
        <v/>
      </c>
    </row>
    <row r="874" spans="4:18" x14ac:dyDescent="0.25">
      <c r="D874" s="43"/>
      <c r="E874" s="55" t="str">
        <f t="shared" si="70"/>
        <v/>
      </c>
      <c r="F874" s="55"/>
      <c r="G874" s="55"/>
      <c r="H874" s="55"/>
      <c r="I874" s="55"/>
      <c r="J874" s="55"/>
      <c r="K874" s="46" t="str">
        <f t="shared" ca="1" si="71"/>
        <v/>
      </c>
      <c r="L874" s="56" t="str">
        <f t="shared" ca="1" si="72"/>
        <v/>
      </c>
      <c r="Q874" s="57" t="str">
        <f t="shared" si="73"/>
        <v/>
      </c>
      <c r="R874" s="57" t="str">
        <f t="shared" si="74"/>
        <v/>
      </c>
    </row>
    <row r="875" spans="4:18" x14ac:dyDescent="0.25">
      <c r="D875" s="43"/>
      <c r="E875" s="55" t="str">
        <f t="shared" si="70"/>
        <v/>
      </c>
      <c r="F875" s="55"/>
      <c r="G875" s="55"/>
      <c r="H875" s="55"/>
      <c r="I875" s="55"/>
      <c r="J875" s="55"/>
      <c r="K875" s="46" t="str">
        <f t="shared" ca="1" si="71"/>
        <v/>
      </c>
      <c r="L875" s="56" t="str">
        <f t="shared" ca="1" si="72"/>
        <v/>
      </c>
      <c r="Q875" s="57" t="str">
        <f t="shared" si="73"/>
        <v/>
      </c>
      <c r="R875" s="57" t="str">
        <f t="shared" si="74"/>
        <v/>
      </c>
    </row>
    <row r="876" spans="4:18" x14ac:dyDescent="0.25">
      <c r="D876" s="43"/>
      <c r="E876" s="55" t="str">
        <f t="shared" si="70"/>
        <v/>
      </c>
      <c r="F876" s="55"/>
      <c r="G876" s="55"/>
      <c r="H876" s="55"/>
      <c r="I876" s="55"/>
      <c r="J876" s="55"/>
      <c r="K876" s="46" t="str">
        <f t="shared" ca="1" si="71"/>
        <v/>
      </c>
      <c r="L876" s="56" t="str">
        <f t="shared" ca="1" si="72"/>
        <v/>
      </c>
      <c r="Q876" s="57" t="str">
        <f t="shared" si="73"/>
        <v/>
      </c>
      <c r="R876" s="57" t="str">
        <f t="shared" si="74"/>
        <v/>
      </c>
    </row>
    <row r="877" spans="4:18" x14ac:dyDescent="0.25">
      <c r="D877" s="43"/>
      <c r="E877" s="55" t="str">
        <f t="shared" si="70"/>
        <v/>
      </c>
      <c r="F877" s="55"/>
      <c r="G877" s="55"/>
      <c r="H877" s="55"/>
      <c r="I877" s="55"/>
      <c r="J877" s="55"/>
      <c r="K877" s="46" t="str">
        <f t="shared" ca="1" si="71"/>
        <v/>
      </c>
      <c r="L877" s="56" t="str">
        <f t="shared" ca="1" si="72"/>
        <v/>
      </c>
      <c r="Q877" s="57" t="str">
        <f t="shared" si="73"/>
        <v/>
      </c>
      <c r="R877" s="57" t="str">
        <f t="shared" si="74"/>
        <v/>
      </c>
    </row>
    <row r="878" spans="4:18" x14ac:dyDescent="0.25">
      <c r="D878" s="43"/>
      <c r="E878" s="55" t="str">
        <f t="shared" si="70"/>
        <v/>
      </c>
      <c r="F878" s="55"/>
      <c r="G878" s="55"/>
      <c r="H878" s="55"/>
      <c r="I878" s="55"/>
      <c r="J878" s="55"/>
      <c r="K878" s="46" t="str">
        <f t="shared" ca="1" si="71"/>
        <v/>
      </c>
      <c r="L878" s="56" t="str">
        <f t="shared" ca="1" si="72"/>
        <v/>
      </c>
      <c r="Q878" s="57" t="str">
        <f t="shared" si="73"/>
        <v/>
      </c>
      <c r="R878" s="57" t="str">
        <f t="shared" si="74"/>
        <v/>
      </c>
    </row>
    <row r="879" spans="4:18" x14ac:dyDescent="0.25">
      <c r="D879" s="43"/>
      <c r="E879" s="55" t="str">
        <f t="shared" si="70"/>
        <v/>
      </c>
      <c r="F879" s="55"/>
      <c r="G879" s="55"/>
      <c r="H879" s="55"/>
      <c r="I879" s="55"/>
      <c r="J879" s="55"/>
      <c r="K879" s="46" t="str">
        <f t="shared" ca="1" si="71"/>
        <v/>
      </c>
      <c r="L879" s="56" t="str">
        <f t="shared" ca="1" si="72"/>
        <v/>
      </c>
      <c r="Q879" s="57" t="str">
        <f t="shared" si="73"/>
        <v/>
      </c>
      <c r="R879" s="57" t="str">
        <f t="shared" si="74"/>
        <v/>
      </c>
    </row>
    <row r="880" spans="4:18" x14ac:dyDescent="0.25">
      <c r="D880" s="43"/>
      <c r="E880" s="55" t="str">
        <f t="shared" si="70"/>
        <v/>
      </c>
      <c r="F880" s="55"/>
      <c r="G880" s="55"/>
      <c r="H880" s="55"/>
      <c r="I880" s="55"/>
      <c r="J880" s="55"/>
      <c r="K880" s="46" t="str">
        <f t="shared" ca="1" si="71"/>
        <v/>
      </c>
      <c r="L880" s="56" t="str">
        <f t="shared" ca="1" si="72"/>
        <v/>
      </c>
      <c r="Q880" s="57" t="str">
        <f t="shared" si="73"/>
        <v/>
      </c>
      <c r="R880" s="57" t="str">
        <f t="shared" si="74"/>
        <v/>
      </c>
    </row>
    <row r="881" spans="4:18" x14ac:dyDescent="0.25">
      <c r="D881" s="43"/>
      <c r="E881" s="55" t="str">
        <f t="shared" si="70"/>
        <v/>
      </c>
      <c r="F881" s="55"/>
      <c r="G881" s="55"/>
      <c r="H881" s="55"/>
      <c r="I881" s="55"/>
      <c r="J881" s="55"/>
      <c r="K881" s="46" t="str">
        <f t="shared" ca="1" si="71"/>
        <v/>
      </c>
      <c r="L881" s="56" t="str">
        <f t="shared" ca="1" si="72"/>
        <v/>
      </c>
      <c r="Q881" s="57" t="str">
        <f t="shared" si="73"/>
        <v/>
      </c>
      <c r="R881" s="57" t="str">
        <f t="shared" si="74"/>
        <v/>
      </c>
    </row>
    <row r="882" spans="4:18" x14ac:dyDescent="0.25">
      <c r="D882" s="43"/>
      <c r="E882" s="55" t="str">
        <f t="shared" si="70"/>
        <v/>
      </c>
      <c r="F882" s="55"/>
      <c r="G882" s="55"/>
      <c r="H882" s="55"/>
      <c r="I882" s="55"/>
      <c r="J882" s="55"/>
      <c r="K882" s="46" t="str">
        <f t="shared" ca="1" si="71"/>
        <v/>
      </c>
      <c r="L882" s="56" t="str">
        <f t="shared" ca="1" si="72"/>
        <v/>
      </c>
      <c r="Q882" s="57" t="str">
        <f t="shared" si="73"/>
        <v/>
      </c>
      <c r="R882" s="57" t="str">
        <f t="shared" si="74"/>
        <v/>
      </c>
    </row>
    <row r="883" spans="4:18" x14ac:dyDescent="0.25">
      <c r="D883" s="43"/>
      <c r="E883" s="55" t="str">
        <f t="shared" si="70"/>
        <v/>
      </c>
      <c r="F883" s="55"/>
      <c r="G883" s="55"/>
      <c r="H883" s="55"/>
      <c r="I883" s="55"/>
      <c r="J883" s="55"/>
      <c r="K883" s="46" t="str">
        <f t="shared" ca="1" si="71"/>
        <v/>
      </c>
      <c r="L883" s="56" t="str">
        <f t="shared" ca="1" si="72"/>
        <v/>
      </c>
      <c r="Q883" s="57" t="str">
        <f t="shared" si="73"/>
        <v/>
      </c>
      <c r="R883" s="57" t="str">
        <f t="shared" si="74"/>
        <v/>
      </c>
    </row>
    <row r="884" spans="4:18" x14ac:dyDescent="0.25">
      <c r="D884" s="43"/>
      <c r="E884" s="55" t="str">
        <f t="shared" si="70"/>
        <v/>
      </c>
      <c r="F884" s="55"/>
      <c r="G884" s="55"/>
      <c r="H884" s="55"/>
      <c r="I884" s="55"/>
      <c r="J884" s="55"/>
      <c r="K884" s="46" t="str">
        <f t="shared" ca="1" si="71"/>
        <v/>
      </c>
      <c r="L884" s="56" t="str">
        <f t="shared" ca="1" si="72"/>
        <v/>
      </c>
      <c r="Q884" s="57" t="str">
        <f t="shared" si="73"/>
        <v/>
      </c>
      <c r="R884" s="57" t="str">
        <f t="shared" si="74"/>
        <v/>
      </c>
    </row>
    <row r="885" spans="4:18" x14ac:dyDescent="0.25">
      <c r="D885" s="43"/>
      <c r="E885" s="55" t="str">
        <f t="shared" si="70"/>
        <v/>
      </c>
      <c r="F885" s="55"/>
      <c r="G885" s="55"/>
      <c r="H885" s="55"/>
      <c r="I885" s="55"/>
      <c r="J885" s="55"/>
      <c r="K885" s="46" t="str">
        <f t="shared" ca="1" si="71"/>
        <v/>
      </c>
      <c r="L885" s="56" t="str">
        <f t="shared" ca="1" si="72"/>
        <v/>
      </c>
      <c r="Q885" s="57" t="str">
        <f t="shared" si="73"/>
        <v/>
      </c>
      <c r="R885" s="57" t="str">
        <f t="shared" si="74"/>
        <v/>
      </c>
    </row>
    <row r="886" spans="4:18" x14ac:dyDescent="0.25">
      <c r="D886" s="43"/>
      <c r="E886" s="55" t="str">
        <f t="shared" si="70"/>
        <v/>
      </c>
      <c r="F886" s="55"/>
      <c r="G886" s="55"/>
      <c r="H886" s="55"/>
      <c r="I886" s="55"/>
      <c r="J886" s="55"/>
      <c r="K886" s="46" t="str">
        <f t="shared" ca="1" si="71"/>
        <v/>
      </c>
      <c r="L886" s="56" t="str">
        <f t="shared" ca="1" si="72"/>
        <v/>
      </c>
      <c r="Q886" s="57" t="str">
        <f t="shared" si="73"/>
        <v/>
      </c>
      <c r="R886" s="57" t="str">
        <f t="shared" si="74"/>
        <v/>
      </c>
    </row>
    <row r="887" spans="4:18" x14ac:dyDescent="0.25">
      <c r="D887" s="43"/>
      <c r="E887" s="55" t="str">
        <f t="shared" si="70"/>
        <v/>
      </c>
      <c r="F887" s="55"/>
      <c r="G887" s="55"/>
      <c r="H887" s="55"/>
      <c r="I887" s="55"/>
      <c r="J887" s="55"/>
      <c r="K887" s="46" t="str">
        <f t="shared" ca="1" si="71"/>
        <v/>
      </c>
      <c r="L887" s="56" t="str">
        <f t="shared" ca="1" si="72"/>
        <v/>
      </c>
      <c r="Q887" s="57" t="str">
        <f t="shared" si="73"/>
        <v/>
      </c>
      <c r="R887" s="57" t="str">
        <f t="shared" si="74"/>
        <v/>
      </c>
    </row>
    <row r="888" spans="4:18" x14ac:dyDescent="0.25">
      <c r="D888" s="43"/>
      <c r="E888" s="55" t="str">
        <f t="shared" si="70"/>
        <v/>
      </c>
      <c r="F888" s="55"/>
      <c r="G888" s="55"/>
      <c r="H888" s="55"/>
      <c r="I888" s="55"/>
      <c r="J888" s="55"/>
      <c r="K888" s="46" t="str">
        <f t="shared" ca="1" si="71"/>
        <v/>
      </c>
      <c r="L888" s="56" t="str">
        <f t="shared" ca="1" si="72"/>
        <v/>
      </c>
      <c r="Q888" s="57" t="str">
        <f t="shared" si="73"/>
        <v/>
      </c>
      <c r="R888" s="57" t="str">
        <f t="shared" si="74"/>
        <v/>
      </c>
    </row>
    <row r="889" spans="4:18" x14ac:dyDescent="0.25">
      <c r="D889" s="43"/>
      <c r="E889" s="55" t="str">
        <f t="shared" si="70"/>
        <v/>
      </c>
      <c r="F889" s="55"/>
      <c r="G889" s="55"/>
      <c r="H889" s="55"/>
      <c r="I889" s="55"/>
      <c r="J889" s="55"/>
      <c r="K889" s="46" t="str">
        <f t="shared" ca="1" si="71"/>
        <v/>
      </c>
      <c r="L889" s="56" t="str">
        <f t="shared" ca="1" si="72"/>
        <v/>
      </c>
      <c r="Q889" s="57" t="str">
        <f t="shared" si="73"/>
        <v/>
      </c>
      <c r="R889" s="57" t="str">
        <f t="shared" si="74"/>
        <v/>
      </c>
    </row>
    <row r="890" spans="4:18" x14ac:dyDescent="0.25">
      <c r="D890" s="43"/>
      <c r="E890" s="55" t="str">
        <f t="shared" si="70"/>
        <v/>
      </c>
      <c r="F890" s="55"/>
      <c r="G890" s="55"/>
      <c r="H890" s="55"/>
      <c r="I890" s="55"/>
      <c r="J890" s="55"/>
      <c r="K890" s="46" t="str">
        <f t="shared" ca="1" si="71"/>
        <v/>
      </c>
      <c r="L890" s="56" t="str">
        <f t="shared" ca="1" si="72"/>
        <v/>
      </c>
      <c r="Q890" s="57" t="str">
        <f t="shared" si="73"/>
        <v/>
      </c>
      <c r="R890" s="57" t="str">
        <f t="shared" si="74"/>
        <v/>
      </c>
    </row>
    <row r="891" spans="4:18" x14ac:dyDescent="0.25">
      <c r="D891" s="43"/>
      <c r="E891" s="55" t="str">
        <f t="shared" si="70"/>
        <v/>
      </c>
      <c r="F891" s="55"/>
      <c r="G891" s="55"/>
      <c r="H891" s="55"/>
      <c r="I891" s="55"/>
      <c r="J891" s="55"/>
      <c r="K891" s="46" t="str">
        <f t="shared" ca="1" si="71"/>
        <v/>
      </c>
      <c r="L891" s="56" t="str">
        <f t="shared" ca="1" si="72"/>
        <v/>
      </c>
      <c r="Q891" s="57" t="str">
        <f t="shared" si="73"/>
        <v/>
      </c>
      <c r="R891" s="57" t="str">
        <f t="shared" si="74"/>
        <v/>
      </c>
    </row>
    <row r="892" spans="4:18" x14ac:dyDescent="0.25">
      <c r="D892" s="43"/>
      <c r="E892" s="55" t="str">
        <f t="shared" si="70"/>
        <v/>
      </c>
      <c r="F892" s="55"/>
      <c r="G892" s="55"/>
      <c r="H892" s="55"/>
      <c r="I892" s="55"/>
      <c r="J892" s="55"/>
      <c r="K892" s="46" t="str">
        <f t="shared" ca="1" si="71"/>
        <v/>
      </c>
      <c r="L892" s="56" t="str">
        <f t="shared" ca="1" si="72"/>
        <v/>
      </c>
      <c r="Q892" s="57" t="str">
        <f t="shared" si="73"/>
        <v/>
      </c>
      <c r="R892" s="57" t="str">
        <f t="shared" si="74"/>
        <v/>
      </c>
    </row>
    <row r="893" spans="4:18" x14ac:dyDescent="0.25">
      <c r="D893" s="43"/>
      <c r="E893" s="55" t="str">
        <f t="shared" si="70"/>
        <v/>
      </c>
      <c r="F893" s="55"/>
      <c r="G893" s="55"/>
      <c r="H893" s="55"/>
      <c r="I893" s="55"/>
      <c r="J893" s="55"/>
      <c r="K893" s="46" t="str">
        <f t="shared" ca="1" si="71"/>
        <v/>
      </c>
      <c r="L893" s="56" t="str">
        <f t="shared" ca="1" si="72"/>
        <v/>
      </c>
      <c r="Q893" s="57" t="str">
        <f t="shared" si="73"/>
        <v/>
      </c>
      <c r="R893" s="57" t="str">
        <f t="shared" si="74"/>
        <v/>
      </c>
    </row>
    <row r="894" spans="4:18" x14ac:dyDescent="0.25">
      <c r="D894" s="43"/>
      <c r="E894" s="55" t="str">
        <f t="shared" si="70"/>
        <v/>
      </c>
      <c r="F894" s="55"/>
      <c r="G894" s="55"/>
      <c r="H894" s="55"/>
      <c r="I894" s="55"/>
      <c r="J894" s="55"/>
      <c r="K894" s="46" t="str">
        <f t="shared" ca="1" si="71"/>
        <v/>
      </c>
      <c r="L894" s="56" t="str">
        <f t="shared" ca="1" si="72"/>
        <v/>
      </c>
      <c r="Q894" s="57" t="str">
        <f t="shared" si="73"/>
        <v/>
      </c>
      <c r="R894" s="57" t="str">
        <f t="shared" si="74"/>
        <v/>
      </c>
    </row>
    <row r="895" spans="4:18" x14ac:dyDescent="0.25">
      <c r="D895" s="43"/>
      <c r="E895" s="55" t="str">
        <f t="shared" si="70"/>
        <v/>
      </c>
      <c r="F895" s="55"/>
      <c r="G895" s="55"/>
      <c r="H895" s="55"/>
      <c r="I895" s="55"/>
      <c r="J895" s="55"/>
      <c r="K895" s="46" t="str">
        <f t="shared" ca="1" si="71"/>
        <v/>
      </c>
      <c r="L895" s="56" t="str">
        <f t="shared" ca="1" si="72"/>
        <v/>
      </c>
      <c r="Q895" s="57" t="str">
        <f t="shared" si="73"/>
        <v/>
      </c>
      <c r="R895" s="57" t="str">
        <f t="shared" si="74"/>
        <v/>
      </c>
    </row>
    <row r="896" spans="4:18" x14ac:dyDescent="0.25">
      <c r="D896" s="43"/>
      <c r="E896" s="55" t="str">
        <f t="shared" si="70"/>
        <v/>
      </c>
      <c r="F896" s="55"/>
      <c r="G896" s="55"/>
      <c r="H896" s="55"/>
      <c r="I896" s="55"/>
      <c r="J896" s="55"/>
      <c r="K896" s="46" t="str">
        <f t="shared" ca="1" si="71"/>
        <v/>
      </c>
      <c r="L896" s="56" t="str">
        <f t="shared" ca="1" si="72"/>
        <v/>
      </c>
      <c r="Q896" s="57" t="str">
        <f t="shared" si="73"/>
        <v/>
      </c>
      <c r="R896" s="57" t="str">
        <f t="shared" si="74"/>
        <v/>
      </c>
    </row>
    <row r="897" spans="4:18" x14ac:dyDescent="0.25">
      <c r="D897" s="43"/>
      <c r="E897" s="55" t="str">
        <f t="shared" si="70"/>
        <v/>
      </c>
      <c r="F897" s="55"/>
      <c r="G897" s="55"/>
      <c r="H897" s="55"/>
      <c r="I897" s="55"/>
      <c r="J897" s="55"/>
      <c r="K897" s="46" t="str">
        <f t="shared" ca="1" si="71"/>
        <v/>
      </c>
      <c r="L897" s="56" t="str">
        <f t="shared" ca="1" si="72"/>
        <v/>
      </c>
      <c r="Q897" s="57" t="str">
        <f t="shared" si="73"/>
        <v/>
      </c>
      <c r="R897" s="57" t="str">
        <f t="shared" si="74"/>
        <v/>
      </c>
    </row>
    <row r="898" spans="4:18" x14ac:dyDescent="0.25">
      <c r="D898" s="43"/>
      <c r="E898" s="55" t="str">
        <f t="shared" si="70"/>
        <v/>
      </c>
      <c r="F898" s="55"/>
      <c r="G898" s="55"/>
      <c r="H898" s="55"/>
      <c r="I898" s="55"/>
      <c r="J898" s="55"/>
      <c r="K898" s="46" t="str">
        <f t="shared" ca="1" si="71"/>
        <v/>
      </c>
      <c r="L898" s="56" t="str">
        <f t="shared" ca="1" si="72"/>
        <v/>
      </c>
      <c r="Q898" s="57" t="str">
        <f t="shared" si="73"/>
        <v/>
      </c>
      <c r="R898" s="57" t="str">
        <f t="shared" si="74"/>
        <v/>
      </c>
    </row>
    <row r="899" spans="4:18" x14ac:dyDescent="0.25">
      <c r="D899" s="43"/>
      <c r="E899" s="55" t="str">
        <f t="shared" si="70"/>
        <v/>
      </c>
      <c r="F899" s="55"/>
      <c r="G899" s="55"/>
      <c r="H899" s="55"/>
      <c r="I899" s="55"/>
      <c r="J899" s="55"/>
      <c r="K899" s="46" t="str">
        <f t="shared" ca="1" si="71"/>
        <v/>
      </c>
      <c r="L899" s="56" t="str">
        <f t="shared" ca="1" si="72"/>
        <v/>
      </c>
      <c r="Q899" s="57" t="str">
        <f t="shared" si="73"/>
        <v/>
      </c>
      <c r="R899" s="57" t="str">
        <f t="shared" si="74"/>
        <v/>
      </c>
    </row>
    <row r="900" spans="4:18" x14ac:dyDescent="0.25">
      <c r="D900" s="43"/>
      <c r="E900" s="55" t="str">
        <f t="shared" si="70"/>
        <v/>
      </c>
      <c r="F900" s="55"/>
      <c r="G900" s="55"/>
      <c r="H900" s="55"/>
      <c r="I900" s="55"/>
      <c r="J900" s="55"/>
      <c r="K900" s="46" t="str">
        <f t="shared" ca="1" si="71"/>
        <v/>
      </c>
      <c r="L900" s="56" t="str">
        <f t="shared" ca="1" si="72"/>
        <v/>
      </c>
      <c r="Q900" s="57" t="str">
        <f t="shared" si="73"/>
        <v/>
      </c>
      <c r="R900" s="57" t="str">
        <f t="shared" si="74"/>
        <v/>
      </c>
    </row>
    <row r="901" spans="4:18" x14ac:dyDescent="0.25">
      <c r="D901" s="43"/>
      <c r="E901" s="55" t="str">
        <f t="shared" si="70"/>
        <v/>
      </c>
      <c r="F901" s="55"/>
      <c r="G901" s="55"/>
      <c r="H901" s="55"/>
      <c r="I901" s="55"/>
      <c r="J901" s="55"/>
      <c r="K901" s="46" t="str">
        <f t="shared" ca="1" si="71"/>
        <v/>
      </c>
      <c r="L901" s="56" t="str">
        <f t="shared" ca="1" si="72"/>
        <v/>
      </c>
      <c r="Q901" s="57" t="str">
        <f t="shared" si="73"/>
        <v/>
      </c>
      <c r="R901" s="57" t="str">
        <f t="shared" si="74"/>
        <v/>
      </c>
    </row>
    <row r="902" spans="4:18" x14ac:dyDescent="0.25">
      <c r="D902" s="43"/>
      <c r="E902" s="55" t="str">
        <f t="shared" si="70"/>
        <v/>
      </c>
      <c r="F902" s="55"/>
      <c r="G902" s="55"/>
      <c r="H902" s="55"/>
      <c r="I902" s="55"/>
      <c r="J902" s="55"/>
      <c r="K902" s="46" t="str">
        <f t="shared" ca="1" si="71"/>
        <v/>
      </c>
      <c r="L902" s="56" t="str">
        <f t="shared" ca="1" si="72"/>
        <v/>
      </c>
      <c r="Q902" s="57" t="str">
        <f t="shared" si="73"/>
        <v/>
      </c>
      <c r="R902" s="57" t="str">
        <f t="shared" si="74"/>
        <v/>
      </c>
    </row>
    <row r="903" spans="4:18" x14ac:dyDescent="0.25">
      <c r="D903" s="43"/>
      <c r="E903" s="55" t="str">
        <f t="shared" si="70"/>
        <v/>
      </c>
      <c r="F903" s="55"/>
      <c r="G903" s="55"/>
      <c r="H903" s="55"/>
      <c r="I903" s="55"/>
      <c r="J903" s="55"/>
      <c r="K903" s="46" t="str">
        <f t="shared" ca="1" si="71"/>
        <v/>
      </c>
      <c r="L903" s="56" t="str">
        <f t="shared" ca="1" si="72"/>
        <v/>
      </c>
      <c r="Q903" s="57" t="str">
        <f t="shared" si="73"/>
        <v/>
      </c>
      <c r="R903" s="57" t="str">
        <f t="shared" si="74"/>
        <v/>
      </c>
    </row>
    <row r="904" spans="4:18" x14ac:dyDescent="0.25">
      <c r="D904" s="43"/>
      <c r="E904" s="55" t="str">
        <f t="shared" si="70"/>
        <v/>
      </c>
      <c r="F904" s="55"/>
      <c r="G904" s="55"/>
      <c r="H904" s="55"/>
      <c r="I904" s="55"/>
      <c r="J904" s="55"/>
      <c r="K904" s="46" t="str">
        <f t="shared" ca="1" si="71"/>
        <v/>
      </c>
      <c r="L904" s="56" t="str">
        <f t="shared" ca="1" si="72"/>
        <v/>
      </c>
      <c r="Q904" s="57" t="str">
        <f t="shared" si="73"/>
        <v/>
      </c>
      <c r="R904" s="57" t="str">
        <f t="shared" si="74"/>
        <v/>
      </c>
    </row>
    <row r="905" spans="4:18" x14ac:dyDescent="0.25">
      <c r="D905" s="43"/>
      <c r="E905" s="55" t="str">
        <f t="shared" si="70"/>
        <v/>
      </c>
      <c r="F905" s="55"/>
      <c r="G905" s="55"/>
      <c r="H905" s="55"/>
      <c r="I905" s="55"/>
      <c r="J905" s="55"/>
      <c r="K905" s="46" t="str">
        <f t="shared" ca="1" si="71"/>
        <v/>
      </c>
      <c r="L905" s="56" t="str">
        <f t="shared" ca="1" si="72"/>
        <v/>
      </c>
      <c r="Q905" s="57" t="str">
        <f t="shared" si="73"/>
        <v/>
      </c>
      <c r="R905" s="57" t="str">
        <f t="shared" si="74"/>
        <v/>
      </c>
    </row>
    <row r="906" spans="4:18" x14ac:dyDescent="0.25">
      <c r="D906" s="43"/>
      <c r="E906" s="55" t="str">
        <f t="shared" si="70"/>
        <v/>
      </c>
      <c r="F906" s="55"/>
      <c r="G906" s="55"/>
      <c r="H906" s="55"/>
      <c r="I906" s="55"/>
      <c r="J906" s="55"/>
      <c r="K906" s="46" t="str">
        <f t="shared" ca="1" si="71"/>
        <v/>
      </c>
      <c r="L906" s="56" t="str">
        <f t="shared" ca="1" si="72"/>
        <v/>
      </c>
      <c r="Q906" s="57" t="str">
        <f t="shared" si="73"/>
        <v/>
      </c>
      <c r="R906" s="57" t="str">
        <f t="shared" si="74"/>
        <v/>
      </c>
    </row>
    <row r="907" spans="4:18" x14ac:dyDescent="0.25">
      <c r="D907" s="43"/>
      <c r="E907" s="55" t="str">
        <f t="shared" si="70"/>
        <v/>
      </c>
      <c r="F907" s="55"/>
      <c r="G907" s="55"/>
      <c r="H907" s="55"/>
      <c r="I907" s="55"/>
      <c r="J907" s="55"/>
      <c r="K907" s="46" t="str">
        <f t="shared" ca="1" si="71"/>
        <v/>
      </c>
      <c r="L907" s="56" t="str">
        <f t="shared" ca="1" si="72"/>
        <v/>
      </c>
      <c r="Q907" s="57" t="str">
        <f t="shared" si="73"/>
        <v/>
      </c>
      <c r="R907" s="57" t="str">
        <f t="shared" si="74"/>
        <v/>
      </c>
    </row>
    <row r="908" spans="4:18" x14ac:dyDescent="0.25">
      <c r="D908" s="43"/>
      <c r="E908" s="55" t="str">
        <f t="shared" si="70"/>
        <v/>
      </c>
      <c r="F908" s="55"/>
      <c r="G908" s="55"/>
      <c r="H908" s="55"/>
      <c r="I908" s="55"/>
      <c r="J908" s="55"/>
      <c r="K908" s="46" t="str">
        <f t="shared" ca="1" si="71"/>
        <v/>
      </c>
      <c r="L908" s="56" t="str">
        <f t="shared" ca="1" si="72"/>
        <v/>
      </c>
      <c r="Q908" s="57" t="str">
        <f t="shared" si="73"/>
        <v/>
      </c>
      <c r="R908" s="57" t="str">
        <f t="shared" si="74"/>
        <v/>
      </c>
    </row>
    <row r="909" spans="4:18" x14ac:dyDescent="0.25">
      <c r="D909" s="43"/>
      <c r="E909" s="55" t="str">
        <f t="shared" si="70"/>
        <v/>
      </c>
      <c r="F909" s="55"/>
      <c r="G909" s="55"/>
      <c r="H909" s="55"/>
      <c r="I909" s="55"/>
      <c r="J909" s="55"/>
      <c r="K909" s="46" t="str">
        <f t="shared" ca="1" si="71"/>
        <v/>
      </c>
      <c r="L909" s="56" t="str">
        <f t="shared" ca="1" si="72"/>
        <v/>
      </c>
      <c r="Q909" s="57" t="str">
        <f t="shared" si="73"/>
        <v/>
      </c>
      <c r="R909" s="57" t="str">
        <f t="shared" si="74"/>
        <v/>
      </c>
    </row>
    <row r="910" spans="4:18" x14ac:dyDescent="0.25">
      <c r="D910" s="43"/>
      <c r="E910" s="55" t="str">
        <f t="shared" si="70"/>
        <v/>
      </c>
      <c r="F910" s="55"/>
      <c r="G910" s="55"/>
      <c r="H910" s="55"/>
      <c r="I910" s="55"/>
      <c r="J910" s="55"/>
      <c r="K910" s="46" t="str">
        <f t="shared" ca="1" si="71"/>
        <v/>
      </c>
      <c r="L910" s="56" t="str">
        <f t="shared" ca="1" si="72"/>
        <v/>
      </c>
      <c r="Q910" s="57" t="str">
        <f t="shared" si="73"/>
        <v/>
      </c>
      <c r="R910" s="57" t="str">
        <f t="shared" si="74"/>
        <v/>
      </c>
    </row>
    <row r="911" spans="4:18" x14ac:dyDescent="0.25">
      <c r="D911" s="43"/>
      <c r="E911" s="55" t="str">
        <f t="shared" si="70"/>
        <v/>
      </c>
      <c r="F911" s="55"/>
      <c r="G911" s="55"/>
      <c r="H911" s="55"/>
      <c r="I911" s="55"/>
      <c r="J911" s="55"/>
      <c r="K911" s="46" t="str">
        <f t="shared" ca="1" si="71"/>
        <v/>
      </c>
      <c r="L911" s="56" t="str">
        <f t="shared" ca="1" si="72"/>
        <v/>
      </c>
      <c r="Q911" s="57" t="str">
        <f t="shared" si="73"/>
        <v/>
      </c>
      <c r="R911" s="57" t="str">
        <f t="shared" si="74"/>
        <v/>
      </c>
    </row>
    <row r="912" spans="4:18" x14ac:dyDescent="0.25">
      <c r="D912" s="43"/>
      <c r="E912" s="55" t="str">
        <f t="shared" si="70"/>
        <v/>
      </c>
      <c r="F912" s="55"/>
      <c r="G912" s="55"/>
      <c r="H912" s="55"/>
      <c r="I912" s="55"/>
      <c r="J912" s="55"/>
      <c r="K912" s="46" t="str">
        <f t="shared" ca="1" si="71"/>
        <v/>
      </c>
      <c r="L912" s="56" t="str">
        <f t="shared" ca="1" si="72"/>
        <v/>
      </c>
      <c r="Q912" s="57" t="str">
        <f t="shared" si="73"/>
        <v/>
      </c>
      <c r="R912" s="57" t="str">
        <f t="shared" si="74"/>
        <v/>
      </c>
    </row>
    <row r="913" spans="4:18" x14ac:dyDescent="0.25">
      <c r="D913" s="43"/>
      <c r="E913" s="55" t="str">
        <f t="shared" si="70"/>
        <v/>
      </c>
      <c r="F913" s="55"/>
      <c r="G913" s="55"/>
      <c r="H913" s="55"/>
      <c r="I913" s="55"/>
      <c r="J913" s="55"/>
      <c r="K913" s="46" t="str">
        <f t="shared" ca="1" si="71"/>
        <v/>
      </c>
      <c r="L913" s="56" t="str">
        <f t="shared" ca="1" si="72"/>
        <v/>
      </c>
      <c r="Q913" s="57" t="str">
        <f t="shared" si="73"/>
        <v/>
      </c>
      <c r="R913" s="57" t="str">
        <f t="shared" si="74"/>
        <v/>
      </c>
    </row>
    <row r="914" spans="4:18" x14ac:dyDescent="0.25">
      <c r="D914" s="43"/>
      <c r="E914" s="55" t="str">
        <f t="shared" si="70"/>
        <v/>
      </c>
      <c r="F914" s="55"/>
      <c r="G914" s="55"/>
      <c r="H914" s="55"/>
      <c r="I914" s="55"/>
      <c r="J914" s="55"/>
      <c r="K914" s="46" t="str">
        <f t="shared" ca="1" si="71"/>
        <v/>
      </c>
      <c r="L914" s="56" t="str">
        <f t="shared" ca="1" si="72"/>
        <v/>
      </c>
      <c r="Q914" s="57" t="str">
        <f t="shared" si="73"/>
        <v/>
      </c>
      <c r="R914" s="57" t="str">
        <f t="shared" si="74"/>
        <v/>
      </c>
    </row>
    <row r="915" spans="4:18" x14ac:dyDescent="0.25">
      <c r="D915" s="43"/>
      <c r="E915" s="55" t="str">
        <f t="shared" si="70"/>
        <v/>
      </c>
      <c r="F915" s="55"/>
      <c r="G915" s="55"/>
      <c r="H915" s="55"/>
      <c r="I915" s="55"/>
      <c r="J915" s="55"/>
      <c r="K915" s="46" t="str">
        <f t="shared" ca="1" si="71"/>
        <v/>
      </c>
      <c r="L915" s="56" t="str">
        <f t="shared" ca="1" si="72"/>
        <v/>
      </c>
      <c r="Q915" s="57" t="str">
        <f t="shared" si="73"/>
        <v/>
      </c>
      <c r="R915" s="57" t="str">
        <f t="shared" si="74"/>
        <v/>
      </c>
    </row>
    <row r="916" spans="4:18" x14ac:dyDescent="0.25">
      <c r="D916" s="43"/>
      <c r="E916" s="55" t="str">
        <f t="shared" ref="E916:E979" si="75">IF(ISNUMBER(SEARCH("v crs",D916))=TRUE,"VC",IF(ISNUMBER(SEARCH("crs",D916))=TRUE,"C",IF(ISNUMBER(SEARCH("med",D916))=TRUE,"M",IF(ISNUMBER(SEARCH("vf",D916))=TRUE,"VF",IF(ISNUMBER(SEARCH("f",D916))=TRUE,"F","")))))</f>
        <v/>
      </c>
      <c r="F916" s="55"/>
      <c r="G916" s="55"/>
      <c r="H916" s="55"/>
      <c r="I916" s="55"/>
      <c r="J916" s="55"/>
      <c r="K916" s="46" t="str">
        <f t="shared" ca="1" si="71"/>
        <v/>
      </c>
      <c r="L916" s="56" t="str">
        <f t="shared" ca="1" si="72"/>
        <v/>
      </c>
      <c r="Q916" s="57" t="str">
        <f t="shared" si="73"/>
        <v/>
      </c>
      <c r="R916" s="57" t="str">
        <f t="shared" si="74"/>
        <v/>
      </c>
    </row>
    <row r="917" spans="4:18" x14ac:dyDescent="0.25">
      <c r="D917" s="43"/>
      <c r="E917" s="55" t="str">
        <f t="shared" si="75"/>
        <v/>
      </c>
      <c r="F917" s="55"/>
      <c r="G917" s="55"/>
      <c r="H917" s="55"/>
      <c r="I917" s="55"/>
      <c r="J917" s="55"/>
      <c r="K917" s="46" t="str">
        <f t="shared" ref="K917:K980" ca="1" si="76">IF(AND(C917&lt;&gt;"",C917&lt;&gt;Q917),TODAY(),IF(C917="","",K917))</f>
        <v/>
      </c>
      <c r="L917" s="56" t="str">
        <f t="shared" ref="L917:L980" ca="1" si="77">IF(AND(C917&lt;&gt;"",C917&lt;&gt;R917),NOW(),IF(C917="","",L917))</f>
        <v/>
      </c>
      <c r="Q917" s="57" t="str">
        <f t="shared" ref="Q917:Q980" si="78">IF(C917="","",IF(OR(K917="",AND(ISNUMBER(Q917),C917=Q917)),Q917,C917))</f>
        <v/>
      </c>
      <c r="R917" s="57" t="str">
        <f t="shared" ref="R917:R980" si="79">IF(C917="","",IF(OR(L917="",AND(ISNUMBER(R917),C917=R917)),R917,C917))</f>
        <v/>
      </c>
    </row>
    <row r="918" spans="4:18" x14ac:dyDescent="0.25">
      <c r="D918" s="43"/>
      <c r="E918" s="55" t="str">
        <f t="shared" si="75"/>
        <v/>
      </c>
      <c r="F918" s="55"/>
      <c r="G918" s="55"/>
      <c r="H918" s="55"/>
      <c r="I918" s="55"/>
      <c r="J918" s="55"/>
      <c r="K918" s="46" t="str">
        <f t="shared" ca="1" si="76"/>
        <v/>
      </c>
      <c r="L918" s="56" t="str">
        <f t="shared" ca="1" si="77"/>
        <v/>
      </c>
      <c r="Q918" s="57" t="str">
        <f t="shared" si="78"/>
        <v/>
      </c>
      <c r="R918" s="57" t="str">
        <f t="shared" si="79"/>
        <v/>
      </c>
    </row>
    <row r="919" spans="4:18" x14ac:dyDescent="0.25">
      <c r="D919" s="43"/>
      <c r="E919" s="55" t="str">
        <f t="shared" si="75"/>
        <v/>
      </c>
      <c r="F919" s="55"/>
      <c r="G919" s="55"/>
      <c r="H919" s="55"/>
      <c r="I919" s="55"/>
      <c r="J919" s="55"/>
      <c r="K919" s="46" t="str">
        <f t="shared" ca="1" si="76"/>
        <v/>
      </c>
      <c r="L919" s="56" t="str">
        <f t="shared" ca="1" si="77"/>
        <v/>
      </c>
      <c r="Q919" s="57" t="str">
        <f t="shared" si="78"/>
        <v/>
      </c>
      <c r="R919" s="57" t="str">
        <f t="shared" si="79"/>
        <v/>
      </c>
    </row>
    <row r="920" spans="4:18" x14ac:dyDescent="0.25">
      <c r="D920" s="43"/>
      <c r="E920" s="55" t="str">
        <f t="shared" si="75"/>
        <v/>
      </c>
      <c r="F920" s="55"/>
      <c r="G920" s="55"/>
      <c r="H920" s="55"/>
      <c r="I920" s="55"/>
      <c r="J920" s="55"/>
      <c r="K920" s="46" t="str">
        <f t="shared" ca="1" si="76"/>
        <v/>
      </c>
      <c r="L920" s="56" t="str">
        <f t="shared" ca="1" si="77"/>
        <v/>
      </c>
      <c r="Q920" s="57" t="str">
        <f t="shared" si="78"/>
        <v/>
      </c>
      <c r="R920" s="57" t="str">
        <f t="shared" si="79"/>
        <v/>
      </c>
    </row>
    <row r="921" spans="4:18" x14ac:dyDescent="0.25">
      <c r="D921" s="43"/>
      <c r="E921" s="55" t="str">
        <f t="shared" si="75"/>
        <v/>
      </c>
      <c r="F921" s="55"/>
      <c r="G921" s="55"/>
      <c r="H921" s="55"/>
      <c r="I921" s="55"/>
      <c r="J921" s="55"/>
      <c r="K921" s="46" t="str">
        <f t="shared" ca="1" si="76"/>
        <v/>
      </c>
      <c r="L921" s="56" t="str">
        <f t="shared" ca="1" si="77"/>
        <v/>
      </c>
      <c r="Q921" s="57" t="str">
        <f t="shared" si="78"/>
        <v/>
      </c>
      <c r="R921" s="57" t="str">
        <f t="shared" si="79"/>
        <v/>
      </c>
    </row>
    <row r="922" spans="4:18" x14ac:dyDescent="0.25">
      <c r="D922" s="43"/>
      <c r="E922" s="55" t="str">
        <f t="shared" si="75"/>
        <v/>
      </c>
      <c r="F922" s="55"/>
      <c r="G922" s="55"/>
      <c r="H922" s="55"/>
      <c r="I922" s="55"/>
      <c r="J922" s="55"/>
      <c r="K922" s="46" t="str">
        <f t="shared" ca="1" si="76"/>
        <v/>
      </c>
      <c r="L922" s="56" t="str">
        <f t="shared" ca="1" si="77"/>
        <v/>
      </c>
      <c r="Q922" s="57" t="str">
        <f t="shared" si="78"/>
        <v/>
      </c>
      <c r="R922" s="57" t="str">
        <f t="shared" si="79"/>
        <v/>
      </c>
    </row>
    <row r="923" spans="4:18" x14ac:dyDescent="0.25">
      <c r="D923" s="43"/>
      <c r="E923" s="55" t="str">
        <f t="shared" si="75"/>
        <v/>
      </c>
      <c r="F923" s="55"/>
      <c r="G923" s="55"/>
      <c r="H923" s="55"/>
      <c r="I923" s="55"/>
      <c r="J923" s="55"/>
      <c r="K923" s="46" t="str">
        <f t="shared" ca="1" si="76"/>
        <v/>
      </c>
      <c r="L923" s="56" t="str">
        <f t="shared" ca="1" si="77"/>
        <v/>
      </c>
      <c r="Q923" s="57" t="str">
        <f t="shared" si="78"/>
        <v/>
      </c>
      <c r="R923" s="57" t="str">
        <f t="shared" si="79"/>
        <v/>
      </c>
    </row>
    <row r="924" spans="4:18" x14ac:dyDescent="0.25">
      <c r="D924" s="43"/>
      <c r="E924" s="55" t="str">
        <f t="shared" si="75"/>
        <v/>
      </c>
      <c r="F924" s="55"/>
      <c r="G924" s="55"/>
      <c r="H924" s="55"/>
      <c r="I924" s="55"/>
      <c r="J924" s="55"/>
      <c r="K924" s="46" t="str">
        <f t="shared" ca="1" si="76"/>
        <v/>
      </c>
      <c r="L924" s="56" t="str">
        <f t="shared" ca="1" si="77"/>
        <v/>
      </c>
      <c r="Q924" s="57" t="str">
        <f t="shared" si="78"/>
        <v/>
      </c>
      <c r="R924" s="57" t="str">
        <f t="shared" si="79"/>
        <v/>
      </c>
    </row>
    <row r="925" spans="4:18" x14ac:dyDescent="0.25">
      <c r="D925" s="43"/>
      <c r="E925" s="55" t="str">
        <f t="shared" si="75"/>
        <v/>
      </c>
      <c r="F925" s="55"/>
      <c r="G925" s="55"/>
      <c r="H925" s="55"/>
      <c r="I925" s="55"/>
      <c r="J925" s="55"/>
      <c r="K925" s="46" t="str">
        <f t="shared" ca="1" si="76"/>
        <v/>
      </c>
      <c r="L925" s="56" t="str">
        <f t="shared" ca="1" si="77"/>
        <v/>
      </c>
      <c r="Q925" s="57" t="str">
        <f t="shared" si="78"/>
        <v/>
      </c>
      <c r="R925" s="57" t="str">
        <f t="shared" si="79"/>
        <v/>
      </c>
    </row>
    <row r="926" spans="4:18" x14ac:dyDescent="0.25">
      <c r="D926" s="43"/>
      <c r="E926" s="55" t="str">
        <f t="shared" si="75"/>
        <v/>
      </c>
      <c r="F926" s="55"/>
      <c r="G926" s="55"/>
      <c r="H926" s="55"/>
      <c r="I926" s="55"/>
      <c r="J926" s="55"/>
      <c r="K926" s="46" t="str">
        <f t="shared" ca="1" si="76"/>
        <v/>
      </c>
      <c r="L926" s="56" t="str">
        <f t="shared" ca="1" si="77"/>
        <v/>
      </c>
      <c r="Q926" s="57" t="str">
        <f t="shared" si="78"/>
        <v/>
      </c>
      <c r="R926" s="57" t="str">
        <f t="shared" si="79"/>
        <v/>
      </c>
    </row>
    <row r="927" spans="4:18" x14ac:dyDescent="0.25">
      <c r="D927" s="43"/>
      <c r="E927" s="55" t="str">
        <f t="shared" si="75"/>
        <v/>
      </c>
      <c r="F927" s="55"/>
      <c r="G927" s="55"/>
      <c r="H927" s="55"/>
      <c r="I927" s="55"/>
      <c r="J927" s="55"/>
      <c r="K927" s="46" t="str">
        <f t="shared" ca="1" si="76"/>
        <v/>
      </c>
      <c r="L927" s="56" t="str">
        <f t="shared" ca="1" si="77"/>
        <v/>
      </c>
      <c r="Q927" s="57" t="str">
        <f t="shared" si="78"/>
        <v/>
      </c>
      <c r="R927" s="57" t="str">
        <f t="shared" si="79"/>
        <v/>
      </c>
    </row>
    <row r="928" spans="4:18" x14ac:dyDescent="0.25">
      <c r="D928" s="43"/>
      <c r="E928" s="55" t="str">
        <f t="shared" si="75"/>
        <v/>
      </c>
      <c r="F928" s="55"/>
      <c r="G928" s="55"/>
      <c r="H928" s="55"/>
      <c r="I928" s="55"/>
      <c r="J928" s="55"/>
      <c r="K928" s="46" t="str">
        <f t="shared" ca="1" si="76"/>
        <v/>
      </c>
      <c r="L928" s="56" t="str">
        <f t="shared" ca="1" si="77"/>
        <v/>
      </c>
      <c r="Q928" s="57" t="str">
        <f t="shared" si="78"/>
        <v/>
      </c>
      <c r="R928" s="57" t="str">
        <f t="shared" si="79"/>
        <v/>
      </c>
    </row>
    <row r="929" spans="4:18" x14ac:dyDescent="0.25">
      <c r="D929" s="43"/>
      <c r="E929" s="55" t="str">
        <f t="shared" si="75"/>
        <v/>
      </c>
      <c r="F929" s="55"/>
      <c r="G929" s="55"/>
      <c r="H929" s="55"/>
      <c r="I929" s="55"/>
      <c r="J929" s="55"/>
      <c r="K929" s="46" t="str">
        <f t="shared" ca="1" si="76"/>
        <v/>
      </c>
      <c r="L929" s="56" t="str">
        <f t="shared" ca="1" si="77"/>
        <v/>
      </c>
      <c r="Q929" s="57" t="str">
        <f t="shared" si="78"/>
        <v/>
      </c>
      <c r="R929" s="57" t="str">
        <f t="shared" si="79"/>
        <v/>
      </c>
    </row>
    <row r="930" spans="4:18" x14ac:dyDescent="0.25">
      <c r="D930" s="43"/>
      <c r="E930" s="55" t="str">
        <f t="shared" si="75"/>
        <v/>
      </c>
      <c r="F930" s="55"/>
      <c r="G930" s="55"/>
      <c r="H930" s="55"/>
      <c r="I930" s="55"/>
      <c r="J930" s="55"/>
      <c r="K930" s="46" t="str">
        <f t="shared" ca="1" si="76"/>
        <v/>
      </c>
      <c r="L930" s="56" t="str">
        <f t="shared" ca="1" si="77"/>
        <v/>
      </c>
      <c r="Q930" s="57" t="str">
        <f t="shared" si="78"/>
        <v/>
      </c>
      <c r="R930" s="57" t="str">
        <f t="shared" si="79"/>
        <v/>
      </c>
    </row>
    <row r="931" spans="4:18" x14ac:dyDescent="0.25">
      <c r="D931" s="43"/>
      <c r="E931" s="55" t="str">
        <f t="shared" si="75"/>
        <v/>
      </c>
      <c r="F931" s="55"/>
      <c r="G931" s="55"/>
      <c r="H931" s="55"/>
      <c r="I931" s="55"/>
      <c r="J931" s="55"/>
      <c r="K931" s="46" t="str">
        <f t="shared" ca="1" si="76"/>
        <v/>
      </c>
      <c r="L931" s="56" t="str">
        <f t="shared" ca="1" si="77"/>
        <v/>
      </c>
      <c r="Q931" s="57" t="str">
        <f t="shared" si="78"/>
        <v/>
      </c>
      <c r="R931" s="57" t="str">
        <f t="shared" si="79"/>
        <v/>
      </c>
    </row>
    <row r="932" spans="4:18" x14ac:dyDescent="0.25">
      <c r="D932" s="43"/>
      <c r="E932" s="55" t="str">
        <f t="shared" si="75"/>
        <v/>
      </c>
      <c r="F932" s="55"/>
      <c r="G932" s="55"/>
      <c r="H932" s="55"/>
      <c r="I932" s="55"/>
      <c r="J932" s="55"/>
      <c r="K932" s="46" t="str">
        <f t="shared" ca="1" si="76"/>
        <v/>
      </c>
      <c r="L932" s="56" t="str">
        <f t="shared" ca="1" si="77"/>
        <v/>
      </c>
      <c r="Q932" s="57" t="str">
        <f t="shared" si="78"/>
        <v/>
      </c>
      <c r="R932" s="57" t="str">
        <f t="shared" si="79"/>
        <v/>
      </c>
    </row>
    <row r="933" spans="4:18" x14ac:dyDescent="0.25">
      <c r="D933" s="43"/>
      <c r="E933" s="55" t="str">
        <f t="shared" si="75"/>
        <v/>
      </c>
      <c r="F933" s="55"/>
      <c r="G933" s="55"/>
      <c r="H933" s="55"/>
      <c r="I933" s="55"/>
      <c r="J933" s="55"/>
      <c r="K933" s="46" t="str">
        <f t="shared" ca="1" si="76"/>
        <v/>
      </c>
      <c r="L933" s="56" t="str">
        <f t="shared" ca="1" si="77"/>
        <v/>
      </c>
      <c r="Q933" s="57" t="str">
        <f t="shared" si="78"/>
        <v/>
      </c>
      <c r="R933" s="57" t="str">
        <f t="shared" si="79"/>
        <v/>
      </c>
    </row>
    <row r="934" spans="4:18" x14ac:dyDescent="0.25">
      <c r="D934" s="43"/>
      <c r="E934" s="55" t="str">
        <f t="shared" si="75"/>
        <v/>
      </c>
      <c r="F934" s="55"/>
      <c r="G934" s="55"/>
      <c r="H934" s="55"/>
      <c r="I934" s="55"/>
      <c r="J934" s="55"/>
      <c r="K934" s="46" t="str">
        <f t="shared" ca="1" si="76"/>
        <v/>
      </c>
      <c r="L934" s="56" t="str">
        <f t="shared" ca="1" si="77"/>
        <v/>
      </c>
      <c r="Q934" s="57" t="str">
        <f t="shared" si="78"/>
        <v/>
      </c>
      <c r="R934" s="57" t="str">
        <f t="shared" si="79"/>
        <v/>
      </c>
    </row>
    <row r="935" spans="4:18" x14ac:dyDescent="0.25">
      <c r="D935" s="43"/>
      <c r="E935" s="55" t="str">
        <f t="shared" si="75"/>
        <v/>
      </c>
      <c r="F935" s="55"/>
      <c r="G935" s="55"/>
      <c r="H935" s="55"/>
      <c r="I935" s="55"/>
      <c r="J935" s="55"/>
      <c r="K935" s="46" t="str">
        <f t="shared" ca="1" si="76"/>
        <v/>
      </c>
      <c r="L935" s="56" t="str">
        <f t="shared" ca="1" si="77"/>
        <v/>
      </c>
      <c r="Q935" s="57" t="str">
        <f t="shared" si="78"/>
        <v/>
      </c>
      <c r="R935" s="57" t="str">
        <f t="shared" si="79"/>
        <v/>
      </c>
    </row>
    <row r="936" spans="4:18" x14ac:dyDescent="0.25">
      <c r="D936" s="43"/>
      <c r="E936" s="55" t="str">
        <f t="shared" si="75"/>
        <v/>
      </c>
      <c r="F936" s="55"/>
      <c r="G936" s="55"/>
      <c r="H936" s="55"/>
      <c r="I936" s="55"/>
      <c r="J936" s="55"/>
      <c r="K936" s="46" t="str">
        <f t="shared" ca="1" si="76"/>
        <v/>
      </c>
      <c r="L936" s="56" t="str">
        <f t="shared" ca="1" si="77"/>
        <v/>
      </c>
      <c r="Q936" s="57" t="str">
        <f t="shared" si="78"/>
        <v/>
      </c>
      <c r="R936" s="57" t="str">
        <f t="shared" si="79"/>
        <v/>
      </c>
    </row>
    <row r="937" spans="4:18" x14ac:dyDescent="0.25">
      <c r="D937" s="43"/>
      <c r="E937" s="55" t="str">
        <f t="shared" si="75"/>
        <v/>
      </c>
      <c r="F937" s="55"/>
      <c r="G937" s="55"/>
      <c r="H937" s="55"/>
      <c r="I937" s="55"/>
      <c r="J937" s="55"/>
      <c r="K937" s="46" t="str">
        <f t="shared" ca="1" si="76"/>
        <v/>
      </c>
      <c r="L937" s="56" t="str">
        <f t="shared" ca="1" si="77"/>
        <v/>
      </c>
      <c r="Q937" s="57" t="str">
        <f t="shared" si="78"/>
        <v/>
      </c>
      <c r="R937" s="57" t="str">
        <f t="shared" si="79"/>
        <v/>
      </c>
    </row>
    <row r="938" spans="4:18" x14ac:dyDescent="0.25">
      <c r="D938" s="43"/>
      <c r="E938" s="55" t="str">
        <f t="shared" si="75"/>
        <v/>
      </c>
      <c r="F938" s="55"/>
      <c r="G938" s="55"/>
      <c r="H938" s="55"/>
      <c r="I938" s="55"/>
      <c r="J938" s="55"/>
      <c r="K938" s="46" t="str">
        <f t="shared" ca="1" si="76"/>
        <v/>
      </c>
      <c r="L938" s="56" t="str">
        <f t="shared" ca="1" si="77"/>
        <v/>
      </c>
      <c r="Q938" s="57" t="str">
        <f t="shared" si="78"/>
        <v/>
      </c>
      <c r="R938" s="57" t="str">
        <f t="shared" si="79"/>
        <v/>
      </c>
    </row>
    <row r="939" spans="4:18" x14ac:dyDescent="0.25">
      <c r="D939" s="43"/>
      <c r="E939" s="55" t="str">
        <f t="shared" si="75"/>
        <v/>
      </c>
      <c r="F939" s="55"/>
      <c r="G939" s="55"/>
      <c r="H939" s="55"/>
      <c r="I939" s="55"/>
      <c r="J939" s="55"/>
      <c r="K939" s="46" t="str">
        <f t="shared" ca="1" si="76"/>
        <v/>
      </c>
      <c r="L939" s="56" t="str">
        <f t="shared" ca="1" si="77"/>
        <v/>
      </c>
      <c r="Q939" s="57" t="str">
        <f t="shared" si="78"/>
        <v/>
      </c>
      <c r="R939" s="57" t="str">
        <f t="shared" si="79"/>
        <v/>
      </c>
    </row>
    <row r="940" spans="4:18" x14ac:dyDescent="0.25">
      <c r="D940" s="43"/>
      <c r="E940" s="55" t="str">
        <f t="shared" si="75"/>
        <v/>
      </c>
      <c r="F940" s="55"/>
      <c r="G940" s="55"/>
      <c r="H940" s="55"/>
      <c r="I940" s="55"/>
      <c r="J940" s="55"/>
      <c r="K940" s="46" t="str">
        <f t="shared" ca="1" si="76"/>
        <v/>
      </c>
      <c r="L940" s="56" t="str">
        <f t="shared" ca="1" si="77"/>
        <v/>
      </c>
      <c r="Q940" s="57" t="str">
        <f t="shared" si="78"/>
        <v/>
      </c>
      <c r="R940" s="57" t="str">
        <f t="shared" si="79"/>
        <v/>
      </c>
    </row>
    <row r="941" spans="4:18" x14ac:dyDescent="0.25">
      <c r="D941" s="43"/>
      <c r="E941" s="55" t="str">
        <f t="shared" si="75"/>
        <v/>
      </c>
      <c r="F941" s="55"/>
      <c r="G941" s="55"/>
      <c r="H941" s="55"/>
      <c r="I941" s="55"/>
      <c r="J941" s="55"/>
      <c r="K941" s="46" t="str">
        <f t="shared" ca="1" si="76"/>
        <v/>
      </c>
      <c r="L941" s="56" t="str">
        <f t="shared" ca="1" si="77"/>
        <v/>
      </c>
      <c r="Q941" s="57" t="str">
        <f t="shared" si="78"/>
        <v/>
      </c>
      <c r="R941" s="57" t="str">
        <f t="shared" si="79"/>
        <v/>
      </c>
    </row>
    <row r="942" spans="4:18" x14ac:dyDescent="0.25">
      <c r="D942" s="43"/>
      <c r="E942" s="55" t="str">
        <f t="shared" si="75"/>
        <v/>
      </c>
      <c r="F942" s="55"/>
      <c r="G942" s="55"/>
      <c r="H942" s="55"/>
      <c r="I942" s="55"/>
      <c r="J942" s="55"/>
      <c r="K942" s="46" t="str">
        <f t="shared" ca="1" si="76"/>
        <v/>
      </c>
      <c r="L942" s="56" t="str">
        <f t="shared" ca="1" si="77"/>
        <v/>
      </c>
      <c r="Q942" s="57" t="str">
        <f t="shared" si="78"/>
        <v/>
      </c>
      <c r="R942" s="57" t="str">
        <f t="shared" si="79"/>
        <v/>
      </c>
    </row>
    <row r="943" spans="4:18" x14ac:dyDescent="0.25">
      <c r="D943" s="43"/>
      <c r="E943" s="55" t="str">
        <f t="shared" si="75"/>
        <v/>
      </c>
      <c r="F943" s="55"/>
      <c r="G943" s="55"/>
      <c r="H943" s="55"/>
      <c r="I943" s="55"/>
      <c r="J943" s="55"/>
      <c r="K943" s="46" t="str">
        <f t="shared" ca="1" si="76"/>
        <v/>
      </c>
      <c r="L943" s="56" t="str">
        <f t="shared" ca="1" si="77"/>
        <v/>
      </c>
      <c r="Q943" s="57" t="str">
        <f t="shared" si="78"/>
        <v/>
      </c>
      <c r="R943" s="57" t="str">
        <f t="shared" si="79"/>
        <v/>
      </c>
    </row>
    <row r="944" spans="4:18" x14ac:dyDescent="0.25">
      <c r="D944" s="43"/>
      <c r="E944" s="55" t="str">
        <f t="shared" si="75"/>
        <v/>
      </c>
      <c r="F944" s="55"/>
      <c r="G944" s="55"/>
      <c r="H944" s="55"/>
      <c r="I944" s="55"/>
      <c r="J944" s="55"/>
      <c r="K944" s="46" t="str">
        <f t="shared" ca="1" si="76"/>
        <v/>
      </c>
      <c r="L944" s="56" t="str">
        <f t="shared" ca="1" si="77"/>
        <v/>
      </c>
      <c r="Q944" s="57" t="str">
        <f t="shared" si="78"/>
        <v/>
      </c>
      <c r="R944" s="57" t="str">
        <f t="shared" si="79"/>
        <v/>
      </c>
    </row>
    <row r="945" spans="4:18" x14ac:dyDescent="0.25">
      <c r="D945" s="43"/>
      <c r="E945" s="55" t="str">
        <f t="shared" si="75"/>
        <v/>
      </c>
      <c r="F945" s="55"/>
      <c r="G945" s="55"/>
      <c r="H945" s="55"/>
      <c r="I945" s="55"/>
      <c r="J945" s="55"/>
      <c r="K945" s="46" t="str">
        <f t="shared" ca="1" si="76"/>
        <v/>
      </c>
      <c r="L945" s="56" t="str">
        <f t="shared" ca="1" si="77"/>
        <v/>
      </c>
      <c r="Q945" s="57" t="str">
        <f t="shared" si="78"/>
        <v/>
      </c>
      <c r="R945" s="57" t="str">
        <f t="shared" si="79"/>
        <v/>
      </c>
    </row>
    <row r="946" spans="4:18" x14ac:dyDescent="0.25">
      <c r="D946" s="43"/>
      <c r="E946" s="55" t="str">
        <f t="shared" si="75"/>
        <v/>
      </c>
      <c r="F946" s="55"/>
      <c r="G946" s="55"/>
      <c r="H946" s="55"/>
      <c r="I946" s="55"/>
      <c r="J946" s="55"/>
      <c r="K946" s="46" t="str">
        <f t="shared" ca="1" si="76"/>
        <v/>
      </c>
      <c r="L946" s="56" t="str">
        <f t="shared" ca="1" si="77"/>
        <v/>
      </c>
      <c r="Q946" s="57" t="str">
        <f t="shared" si="78"/>
        <v/>
      </c>
      <c r="R946" s="57" t="str">
        <f t="shared" si="79"/>
        <v/>
      </c>
    </row>
    <row r="947" spans="4:18" x14ac:dyDescent="0.25">
      <c r="D947" s="43"/>
      <c r="E947" s="55" t="str">
        <f t="shared" si="75"/>
        <v/>
      </c>
      <c r="F947" s="55"/>
      <c r="G947" s="55"/>
      <c r="H947" s="55"/>
      <c r="I947" s="55"/>
      <c r="J947" s="55"/>
      <c r="K947" s="46" t="str">
        <f t="shared" ca="1" si="76"/>
        <v/>
      </c>
      <c r="L947" s="56" t="str">
        <f t="shared" ca="1" si="77"/>
        <v/>
      </c>
      <c r="Q947" s="57" t="str">
        <f t="shared" si="78"/>
        <v/>
      </c>
      <c r="R947" s="57" t="str">
        <f t="shared" si="79"/>
        <v/>
      </c>
    </row>
    <row r="948" spans="4:18" x14ac:dyDescent="0.25">
      <c r="D948" s="43"/>
      <c r="E948" s="55" t="str">
        <f t="shared" si="75"/>
        <v/>
      </c>
      <c r="F948" s="55"/>
      <c r="G948" s="55"/>
      <c r="H948" s="55"/>
      <c r="I948" s="55"/>
      <c r="J948" s="55"/>
      <c r="K948" s="46" t="str">
        <f t="shared" ca="1" si="76"/>
        <v/>
      </c>
      <c r="L948" s="56" t="str">
        <f t="shared" ca="1" si="77"/>
        <v/>
      </c>
      <c r="Q948" s="57" t="str">
        <f t="shared" si="78"/>
        <v/>
      </c>
      <c r="R948" s="57" t="str">
        <f t="shared" si="79"/>
        <v/>
      </c>
    </row>
    <row r="949" spans="4:18" x14ac:dyDescent="0.25">
      <c r="D949" s="43"/>
      <c r="E949" s="55" t="str">
        <f t="shared" si="75"/>
        <v/>
      </c>
      <c r="F949" s="55"/>
      <c r="G949" s="55"/>
      <c r="H949" s="55"/>
      <c r="I949" s="55"/>
      <c r="J949" s="55"/>
      <c r="K949" s="46" t="str">
        <f t="shared" ca="1" si="76"/>
        <v/>
      </c>
      <c r="L949" s="56" t="str">
        <f t="shared" ca="1" si="77"/>
        <v/>
      </c>
      <c r="Q949" s="57" t="str">
        <f t="shared" si="78"/>
        <v/>
      </c>
      <c r="R949" s="57" t="str">
        <f t="shared" si="79"/>
        <v/>
      </c>
    </row>
    <row r="950" spans="4:18" x14ac:dyDescent="0.25">
      <c r="D950" s="43"/>
      <c r="E950" s="55" t="str">
        <f t="shared" si="75"/>
        <v/>
      </c>
      <c r="F950" s="55"/>
      <c r="G950" s="55"/>
      <c r="H950" s="55"/>
      <c r="I950" s="55"/>
      <c r="J950" s="55"/>
      <c r="K950" s="46" t="str">
        <f t="shared" ca="1" si="76"/>
        <v/>
      </c>
      <c r="L950" s="56" t="str">
        <f t="shared" ca="1" si="77"/>
        <v/>
      </c>
      <c r="Q950" s="57" t="str">
        <f t="shared" si="78"/>
        <v/>
      </c>
      <c r="R950" s="57" t="str">
        <f t="shared" si="79"/>
        <v/>
      </c>
    </row>
    <row r="951" spans="4:18" x14ac:dyDescent="0.25">
      <c r="D951" s="43"/>
      <c r="E951" s="55" t="str">
        <f t="shared" si="75"/>
        <v/>
      </c>
      <c r="F951" s="55"/>
      <c r="G951" s="55"/>
      <c r="H951" s="55"/>
      <c r="I951" s="55"/>
      <c r="J951" s="55"/>
      <c r="K951" s="46" t="str">
        <f t="shared" ca="1" si="76"/>
        <v/>
      </c>
      <c r="L951" s="56" t="str">
        <f t="shared" ca="1" si="77"/>
        <v/>
      </c>
      <c r="Q951" s="57" t="str">
        <f t="shared" si="78"/>
        <v/>
      </c>
      <c r="R951" s="57" t="str">
        <f t="shared" si="79"/>
        <v/>
      </c>
    </row>
    <row r="952" spans="4:18" x14ac:dyDescent="0.25">
      <c r="D952" s="43"/>
      <c r="E952" s="55" t="str">
        <f t="shared" si="75"/>
        <v/>
      </c>
      <c r="F952" s="55"/>
      <c r="G952" s="55"/>
      <c r="H952" s="55"/>
      <c r="I952" s="55"/>
      <c r="J952" s="55"/>
      <c r="K952" s="46" t="str">
        <f t="shared" ca="1" si="76"/>
        <v/>
      </c>
      <c r="L952" s="56" t="str">
        <f t="shared" ca="1" si="77"/>
        <v/>
      </c>
      <c r="Q952" s="57" t="str">
        <f t="shared" si="78"/>
        <v/>
      </c>
      <c r="R952" s="57" t="str">
        <f t="shared" si="79"/>
        <v/>
      </c>
    </row>
    <row r="953" spans="4:18" x14ac:dyDescent="0.25">
      <c r="D953" s="43"/>
      <c r="E953" s="55" t="str">
        <f t="shared" si="75"/>
        <v/>
      </c>
      <c r="F953" s="55"/>
      <c r="G953" s="55"/>
      <c r="H953" s="55"/>
      <c r="I953" s="55"/>
      <c r="J953" s="55"/>
      <c r="K953" s="46" t="str">
        <f t="shared" ca="1" si="76"/>
        <v/>
      </c>
      <c r="L953" s="56" t="str">
        <f t="shared" ca="1" si="77"/>
        <v/>
      </c>
      <c r="Q953" s="57" t="str">
        <f t="shared" si="78"/>
        <v/>
      </c>
      <c r="R953" s="57" t="str">
        <f t="shared" si="79"/>
        <v/>
      </c>
    </row>
    <row r="954" spans="4:18" x14ac:dyDescent="0.25">
      <c r="D954" s="43"/>
      <c r="E954" s="55" t="str">
        <f t="shared" si="75"/>
        <v/>
      </c>
      <c r="F954" s="55"/>
      <c r="G954" s="55"/>
      <c r="H954" s="55"/>
      <c r="I954" s="55"/>
      <c r="J954" s="55"/>
      <c r="K954" s="46" t="str">
        <f t="shared" ca="1" si="76"/>
        <v/>
      </c>
      <c r="L954" s="56" t="str">
        <f t="shared" ca="1" si="77"/>
        <v/>
      </c>
      <c r="Q954" s="57" t="str">
        <f t="shared" si="78"/>
        <v/>
      </c>
      <c r="R954" s="57" t="str">
        <f t="shared" si="79"/>
        <v/>
      </c>
    </row>
    <row r="955" spans="4:18" x14ac:dyDescent="0.25">
      <c r="D955" s="43"/>
      <c r="E955" s="55" t="str">
        <f t="shared" si="75"/>
        <v/>
      </c>
      <c r="F955" s="55"/>
      <c r="G955" s="55"/>
      <c r="H955" s="55"/>
      <c r="I955" s="55"/>
      <c r="J955" s="55"/>
      <c r="K955" s="46" t="str">
        <f t="shared" ca="1" si="76"/>
        <v/>
      </c>
      <c r="L955" s="56" t="str">
        <f t="shared" ca="1" si="77"/>
        <v/>
      </c>
      <c r="Q955" s="57" t="str">
        <f t="shared" si="78"/>
        <v/>
      </c>
      <c r="R955" s="57" t="str">
        <f t="shared" si="79"/>
        <v/>
      </c>
    </row>
    <row r="956" spans="4:18" x14ac:dyDescent="0.25">
      <c r="D956" s="43"/>
      <c r="E956" s="55" t="str">
        <f t="shared" si="75"/>
        <v/>
      </c>
      <c r="F956" s="55"/>
      <c r="G956" s="55"/>
      <c r="H956" s="55"/>
      <c r="I956" s="55"/>
      <c r="J956" s="55"/>
      <c r="K956" s="46" t="str">
        <f t="shared" ca="1" si="76"/>
        <v/>
      </c>
      <c r="L956" s="56" t="str">
        <f t="shared" ca="1" si="77"/>
        <v/>
      </c>
      <c r="Q956" s="57" t="str">
        <f t="shared" si="78"/>
        <v/>
      </c>
      <c r="R956" s="57" t="str">
        <f t="shared" si="79"/>
        <v/>
      </c>
    </row>
    <row r="957" spans="4:18" x14ac:dyDescent="0.25">
      <c r="D957" s="43"/>
      <c r="E957" s="55" t="str">
        <f t="shared" si="75"/>
        <v/>
      </c>
      <c r="F957" s="55"/>
      <c r="G957" s="55"/>
      <c r="H957" s="55"/>
      <c r="I957" s="55"/>
      <c r="J957" s="55"/>
      <c r="K957" s="46" t="str">
        <f t="shared" ca="1" si="76"/>
        <v/>
      </c>
      <c r="L957" s="56" t="str">
        <f t="shared" ca="1" si="77"/>
        <v/>
      </c>
      <c r="Q957" s="57" t="str">
        <f t="shared" si="78"/>
        <v/>
      </c>
      <c r="R957" s="57" t="str">
        <f t="shared" si="79"/>
        <v/>
      </c>
    </row>
    <row r="958" spans="4:18" x14ac:dyDescent="0.25">
      <c r="D958" s="43"/>
      <c r="E958" s="55" t="str">
        <f t="shared" si="75"/>
        <v/>
      </c>
      <c r="F958" s="55"/>
      <c r="G958" s="55"/>
      <c r="H958" s="55"/>
      <c r="I958" s="55"/>
      <c r="J958" s="55"/>
      <c r="K958" s="46" t="str">
        <f t="shared" ca="1" si="76"/>
        <v/>
      </c>
      <c r="L958" s="56" t="str">
        <f t="shared" ca="1" si="77"/>
        <v/>
      </c>
      <c r="Q958" s="57" t="str">
        <f t="shared" si="78"/>
        <v/>
      </c>
      <c r="R958" s="57" t="str">
        <f t="shared" si="79"/>
        <v/>
      </c>
    </row>
    <row r="959" spans="4:18" x14ac:dyDescent="0.25">
      <c r="D959" s="43"/>
      <c r="E959" s="55" t="str">
        <f t="shared" si="75"/>
        <v/>
      </c>
      <c r="F959" s="55"/>
      <c r="G959" s="55"/>
      <c r="H959" s="55"/>
      <c r="I959" s="55"/>
      <c r="J959" s="55"/>
      <c r="K959" s="46" t="str">
        <f t="shared" ca="1" si="76"/>
        <v/>
      </c>
      <c r="L959" s="56" t="str">
        <f t="shared" ca="1" si="77"/>
        <v/>
      </c>
      <c r="Q959" s="57" t="str">
        <f t="shared" si="78"/>
        <v/>
      </c>
      <c r="R959" s="57" t="str">
        <f t="shared" si="79"/>
        <v/>
      </c>
    </row>
    <row r="960" spans="4:18" x14ac:dyDescent="0.25">
      <c r="D960" s="43"/>
      <c r="E960" s="55" t="str">
        <f t="shared" si="75"/>
        <v/>
      </c>
      <c r="F960" s="55"/>
      <c r="G960" s="55"/>
      <c r="H960" s="55"/>
      <c r="I960" s="55"/>
      <c r="J960" s="55"/>
      <c r="K960" s="46" t="str">
        <f t="shared" ca="1" si="76"/>
        <v/>
      </c>
      <c r="L960" s="56" t="str">
        <f t="shared" ca="1" si="77"/>
        <v/>
      </c>
      <c r="Q960" s="57" t="str">
        <f t="shared" si="78"/>
        <v/>
      </c>
      <c r="R960" s="57" t="str">
        <f t="shared" si="79"/>
        <v/>
      </c>
    </row>
    <row r="961" spans="4:18" x14ac:dyDescent="0.25">
      <c r="D961" s="43"/>
      <c r="E961" s="55" t="str">
        <f t="shared" si="75"/>
        <v/>
      </c>
      <c r="F961" s="55"/>
      <c r="G961" s="55"/>
      <c r="H961" s="55"/>
      <c r="I961" s="55"/>
      <c r="J961" s="55"/>
      <c r="K961" s="46" t="str">
        <f t="shared" ca="1" si="76"/>
        <v/>
      </c>
      <c r="L961" s="56" t="str">
        <f t="shared" ca="1" si="77"/>
        <v/>
      </c>
      <c r="Q961" s="57" t="str">
        <f t="shared" si="78"/>
        <v/>
      </c>
      <c r="R961" s="57" t="str">
        <f t="shared" si="79"/>
        <v/>
      </c>
    </row>
    <row r="962" spans="4:18" x14ac:dyDescent="0.25">
      <c r="D962" s="43"/>
      <c r="E962" s="55" t="str">
        <f t="shared" si="75"/>
        <v/>
      </c>
      <c r="F962" s="55"/>
      <c r="G962" s="55"/>
      <c r="H962" s="55"/>
      <c r="I962" s="55"/>
      <c r="J962" s="55"/>
      <c r="K962" s="46" t="str">
        <f t="shared" ca="1" si="76"/>
        <v/>
      </c>
      <c r="L962" s="56" t="str">
        <f t="shared" ca="1" si="77"/>
        <v/>
      </c>
      <c r="Q962" s="57" t="str">
        <f t="shared" si="78"/>
        <v/>
      </c>
      <c r="R962" s="57" t="str">
        <f t="shared" si="79"/>
        <v/>
      </c>
    </row>
    <row r="963" spans="4:18" x14ac:dyDescent="0.25">
      <c r="D963" s="43"/>
      <c r="E963" s="55" t="str">
        <f t="shared" si="75"/>
        <v/>
      </c>
      <c r="F963" s="55"/>
      <c r="G963" s="55"/>
      <c r="H963" s="55"/>
      <c r="I963" s="55"/>
      <c r="J963" s="55"/>
      <c r="K963" s="46" t="str">
        <f t="shared" ca="1" si="76"/>
        <v/>
      </c>
      <c r="L963" s="56" t="str">
        <f t="shared" ca="1" si="77"/>
        <v/>
      </c>
      <c r="Q963" s="57" t="str">
        <f t="shared" si="78"/>
        <v/>
      </c>
      <c r="R963" s="57" t="str">
        <f t="shared" si="79"/>
        <v/>
      </c>
    </row>
    <row r="964" spans="4:18" x14ac:dyDescent="0.25">
      <c r="D964" s="43"/>
      <c r="E964" s="55" t="str">
        <f t="shared" si="75"/>
        <v/>
      </c>
      <c r="F964" s="55"/>
      <c r="G964" s="55"/>
      <c r="H964" s="55"/>
      <c r="I964" s="55"/>
      <c r="J964" s="55"/>
      <c r="K964" s="46" t="str">
        <f t="shared" ca="1" si="76"/>
        <v/>
      </c>
      <c r="L964" s="56" t="str">
        <f t="shared" ca="1" si="77"/>
        <v/>
      </c>
      <c r="Q964" s="57" t="str">
        <f t="shared" si="78"/>
        <v/>
      </c>
      <c r="R964" s="57" t="str">
        <f t="shared" si="79"/>
        <v/>
      </c>
    </row>
    <row r="965" spans="4:18" x14ac:dyDescent="0.25">
      <c r="D965" s="43"/>
      <c r="E965" s="55" t="str">
        <f t="shared" si="75"/>
        <v/>
      </c>
      <c r="F965" s="55"/>
      <c r="G965" s="55"/>
      <c r="H965" s="55"/>
      <c r="I965" s="55"/>
      <c r="J965" s="55"/>
      <c r="K965" s="46" t="str">
        <f t="shared" ca="1" si="76"/>
        <v/>
      </c>
      <c r="L965" s="56" t="str">
        <f t="shared" ca="1" si="77"/>
        <v/>
      </c>
      <c r="Q965" s="57" t="str">
        <f t="shared" si="78"/>
        <v/>
      </c>
      <c r="R965" s="57" t="str">
        <f t="shared" si="79"/>
        <v/>
      </c>
    </row>
    <row r="966" spans="4:18" x14ac:dyDescent="0.25">
      <c r="D966" s="43"/>
      <c r="E966" s="55" t="str">
        <f t="shared" si="75"/>
        <v/>
      </c>
      <c r="F966" s="55"/>
      <c r="G966" s="55"/>
      <c r="H966" s="55"/>
      <c r="I966" s="55"/>
      <c r="J966" s="55"/>
      <c r="K966" s="46" t="str">
        <f t="shared" ca="1" si="76"/>
        <v/>
      </c>
      <c r="L966" s="56" t="str">
        <f t="shared" ca="1" si="77"/>
        <v/>
      </c>
      <c r="Q966" s="57" t="str">
        <f t="shared" si="78"/>
        <v/>
      </c>
      <c r="R966" s="57" t="str">
        <f t="shared" si="79"/>
        <v/>
      </c>
    </row>
    <row r="967" spans="4:18" x14ac:dyDescent="0.25">
      <c r="D967" s="43"/>
      <c r="E967" s="55" t="str">
        <f t="shared" si="75"/>
        <v/>
      </c>
      <c r="F967" s="55"/>
      <c r="G967" s="55"/>
      <c r="H967" s="55"/>
      <c r="I967" s="55"/>
      <c r="J967" s="55"/>
      <c r="K967" s="46" t="str">
        <f t="shared" ca="1" si="76"/>
        <v/>
      </c>
      <c r="L967" s="56" t="str">
        <f t="shared" ca="1" si="77"/>
        <v/>
      </c>
      <c r="Q967" s="57" t="str">
        <f t="shared" si="78"/>
        <v/>
      </c>
      <c r="R967" s="57" t="str">
        <f t="shared" si="79"/>
        <v/>
      </c>
    </row>
    <row r="968" spans="4:18" x14ac:dyDescent="0.25">
      <c r="D968" s="43"/>
      <c r="E968" s="55" t="str">
        <f t="shared" si="75"/>
        <v/>
      </c>
      <c r="F968" s="55"/>
      <c r="G968" s="55"/>
      <c r="H968" s="55"/>
      <c r="I968" s="55"/>
      <c r="J968" s="55"/>
      <c r="K968" s="46" t="str">
        <f t="shared" ca="1" si="76"/>
        <v/>
      </c>
      <c r="L968" s="56" t="str">
        <f t="shared" ca="1" si="77"/>
        <v/>
      </c>
      <c r="Q968" s="57" t="str">
        <f t="shared" si="78"/>
        <v/>
      </c>
      <c r="R968" s="57" t="str">
        <f t="shared" si="79"/>
        <v/>
      </c>
    </row>
    <row r="969" spans="4:18" x14ac:dyDescent="0.25">
      <c r="D969" s="43"/>
      <c r="E969" s="55" t="str">
        <f t="shared" si="75"/>
        <v/>
      </c>
      <c r="F969" s="55"/>
      <c r="G969" s="55"/>
      <c r="H969" s="55"/>
      <c r="I969" s="55"/>
      <c r="J969" s="55"/>
      <c r="K969" s="46" t="str">
        <f t="shared" ca="1" si="76"/>
        <v/>
      </c>
      <c r="L969" s="56" t="str">
        <f t="shared" ca="1" si="77"/>
        <v/>
      </c>
      <c r="Q969" s="57" t="str">
        <f t="shared" si="78"/>
        <v/>
      </c>
      <c r="R969" s="57" t="str">
        <f t="shared" si="79"/>
        <v/>
      </c>
    </row>
    <row r="970" spans="4:18" x14ac:dyDescent="0.25">
      <c r="D970" s="43"/>
      <c r="E970" s="55" t="str">
        <f t="shared" si="75"/>
        <v/>
      </c>
      <c r="F970" s="55"/>
      <c r="G970" s="55"/>
      <c r="H970" s="55"/>
      <c r="I970" s="55"/>
      <c r="J970" s="55"/>
      <c r="K970" s="46" t="str">
        <f t="shared" ca="1" si="76"/>
        <v/>
      </c>
      <c r="L970" s="56" t="str">
        <f t="shared" ca="1" si="77"/>
        <v/>
      </c>
      <c r="Q970" s="57" t="str">
        <f t="shared" si="78"/>
        <v/>
      </c>
      <c r="R970" s="57" t="str">
        <f t="shared" si="79"/>
        <v/>
      </c>
    </row>
    <row r="971" spans="4:18" x14ac:dyDescent="0.25">
      <c r="D971" s="43"/>
      <c r="E971" s="55" t="str">
        <f t="shared" si="75"/>
        <v/>
      </c>
      <c r="F971" s="55"/>
      <c r="G971" s="55"/>
      <c r="H971" s="55"/>
      <c r="I971" s="55"/>
      <c r="J971" s="55"/>
      <c r="K971" s="46" t="str">
        <f t="shared" ca="1" si="76"/>
        <v/>
      </c>
      <c r="L971" s="56" t="str">
        <f t="shared" ca="1" si="77"/>
        <v/>
      </c>
      <c r="Q971" s="57" t="str">
        <f t="shared" si="78"/>
        <v/>
      </c>
      <c r="R971" s="57" t="str">
        <f t="shared" si="79"/>
        <v/>
      </c>
    </row>
    <row r="972" spans="4:18" x14ac:dyDescent="0.25">
      <c r="D972" s="43"/>
      <c r="E972" s="55" t="str">
        <f t="shared" si="75"/>
        <v/>
      </c>
      <c r="F972" s="55"/>
      <c r="G972" s="55"/>
      <c r="H972" s="55"/>
      <c r="I972" s="55"/>
      <c r="J972" s="55"/>
      <c r="K972" s="46" t="str">
        <f t="shared" ca="1" si="76"/>
        <v/>
      </c>
      <c r="L972" s="56" t="str">
        <f t="shared" ca="1" si="77"/>
        <v/>
      </c>
      <c r="Q972" s="57" t="str">
        <f t="shared" si="78"/>
        <v/>
      </c>
      <c r="R972" s="57" t="str">
        <f t="shared" si="79"/>
        <v/>
      </c>
    </row>
    <row r="973" spans="4:18" x14ac:dyDescent="0.25">
      <c r="D973" s="43"/>
      <c r="E973" s="55" t="str">
        <f t="shared" si="75"/>
        <v/>
      </c>
      <c r="F973" s="55"/>
      <c r="G973" s="55"/>
      <c r="H973" s="55"/>
      <c r="I973" s="55"/>
      <c r="J973" s="55"/>
      <c r="K973" s="46" t="str">
        <f t="shared" ca="1" si="76"/>
        <v/>
      </c>
      <c r="L973" s="56" t="str">
        <f t="shared" ca="1" si="77"/>
        <v/>
      </c>
      <c r="Q973" s="57" t="str">
        <f t="shared" si="78"/>
        <v/>
      </c>
      <c r="R973" s="57" t="str">
        <f t="shared" si="79"/>
        <v/>
      </c>
    </row>
    <row r="974" spans="4:18" x14ac:dyDescent="0.25">
      <c r="D974" s="43"/>
      <c r="E974" s="55" t="str">
        <f t="shared" si="75"/>
        <v/>
      </c>
      <c r="F974" s="55"/>
      <c r="G974" s="55"/>
      <c r="H974" s="55"/>
      <c r="I974" s="55"/>
      <c r="J974" s="55"/>
      <c r="K974" s="46" t="str">
        <f t="shared" ca="1" si="76"/>
        <v/>
      </c>
      <c r="L974" s="56" t="str">
        <f t="shared" ca="1" si="77"/>
        <v/>
      </c>
      <c r="Q974" s="57" t="str">
        <f t="shared" si="78"/>
        <v/>
      </c>
      <c r="R974" s="57" t="str">
        <f t="shared" si="79"/>
        <v/>
      </c>
    </row>
    <row r="975" spans="4:18" x14ac:dyDescent="0.25">
      <c r="D975" s="43"/>
      <c r="E975" s="55" t="str">
        <f t="shared" si="75"/>
        <v/>
      </c>
      <c r="F975" s="55"/>
      <c r="G975" s="55"/>
      <c r="H975" s="55"/>
      <c r="I975" s="55"/>
      <c r="J975" s="55"/>
      <c r="K975" s="46" t="str">
        <f t="shared" ca="1" si="76"/>
        <v/>
      </c>
      <c r="L975" s="56" t="str">
        <f t="shared" ca="1" si="77"/>
        <v/>
      </c>
      <c r="Q975" s="57" t="str">
        <f t="shared" si="78"/>
        <v/>
      </c>
      <c r="R975" s="57" t="str">
        <f t="shared" si="79"/>
        <v/>
      </c>
    </row>
    <row r="976" spans="4:18" x14ac:dyDescent="0.25">
      <c r="D976" s="43"/>
      <c r="E976" s="55" t="str">
        <f t="shared" si="75"/>
        <v/>
      </c>
      <c r="F976" s="55"/>
      <c r="G976" s="55"/>
      <c r="H976" s="55"/>
      <c r="I976" s="55"/>
      <c r="J976" s="55"/>
      <c r="K976" s="46" t="str">
        <f t="shared" ca="1" si="76"/>
        <v/>
      </c>
      <c r="L976" s="56" t="str">
        <f t="shared" ca="1" si="77"/>
        <v/>
      </c>
      <c r="Q976" s="57" t="str">
        <f t="shared" si="78"/>
        <v/>
      </c>
      <c r="R976" s="57" t="str">
        <f t="shared" si="79"/>
        <v/>
      </c>
    </row>
    <row r="977" spans="4:18" x14ac:dyDescent="0.25">
      <c r="D977" s="43"/>
      <c r="E977" s="55" t="str">
        <f t="shared" si="75"/>
        <v/>
      </c>
      <c r="F977" s="55"/>
      <c r="G977" s="55"/>
      <c r="H977" s="55"/>
      <c r="I977" s="55"/>
      <c r="J977" s="55"/>
      <c r="K977" s="46" t="str">
        <f t="shared" ca="1" si="76"/>
        <v/>
      </c>
      <c r="L977" s="56" t="str">
        <f t="shared" ca="1" si="77"/>
        <v/>
      </c>
      <c r="Q977" s="57" t="str">
        <f t="shared" si="78"/>
        <v/>
      </c>
      <c r="R977" s="57" t="str">
        <f t="shared" si="79"/>
        <v/>
      </c>
    </row>
    <row r="978" spans="4:18" x14ac:dyDescent="0.25">
      <c r="D978" s="43"/>
      <c r="E978" s="55" t="str">
        <f t="shared" si="75"/>
        <v/>
      </c>
      <c r="F978" s="55"/>
      <c r="G978" s="55"/>
      <c r="H978" s="55"/>
      <c r="I978" s="55"/>
      <c r="J978" s="55"/>
      <c r="K978" s="46" t="str">
        <f t="shared" ca="1" si="76"/>
        <v/>
      </c>
      <c r="L978" s="56" t="str">
        <f t="shared" ca="1" si="77"/>
        <v/>
      </c>
      <c r="Q978" s="57" t="str">
        <f t="shared" si="78"/>
        <v/>
      </c>
      <c r="R978" s="57" t="str">
        <f t="shared" si="79"/>
        <v/>
      </c>
    </row>
    <row r="979" spans="4:18" x14ac:dyDescent="0.25">
      <c r="D979" s="43"/>
      <c r="E979" s="55" t="str">
        <f t="shared" si="75"/>
        <v/>
      </c>
      <c r="F979" s="55"/>
      <c r="G979" s="55"/>
      <c r="H979" s="55"/>
      <c r="I979" s="55"/>
      <c r="J979" s="55"/>
      <c r="K979" s="46" t="str">
        <f t="shared" ca="1" si="76"/>
        <v/>
      </c>
      <c r="L979" s="56" t="str">
        <f t="shared" ca="1" si="77"/>
        <v/>
      </c>
      <c r="Q979" s="57" t="str">
        <f t="shared" si="78"/>
        <v/>
      </c>
      <c r="R979" s="57" t="str">
        <f t="shared" si="79"/>
        <v/>
      </c>
    </row>
    <row r="980" spans="4:18" x14ac:dyDescent="0.25">
      <c r="D980" s="43"/>
      <c r="E980" s="55" t="str">
        <f t="shared" ref="E980:E1043" si="80">IF(ISNUMBER(SEARCH("v crs",D980))=TRUE,"VC",IF(ISNUMBER(SEARCH("crs",D980))=TRUE,"C",IF(ISNUMBER(SEARCH("med",D980))=TRUE,"M",IF(ISNUMBER(SEARCH("vf",D980))=TRUE,"VF",IF(ISNUMBER(SEARCH("f",D980))=TRUE,"F","")))))</f>
        <v/>
      </c>
      <c r="F980" s="55"/>
      <c r="G980" s="55"/>
      <c r="H980" s="55"/>
      <c r="I980" s="55"/>
      <c r="J980" s="55"/>
      <c r="K980" s="46" t="str">
        <f t="shared" ca="1" si="76"/>
        <v/>
      </c>
      <c r="L980" s="56" t="str">
        <f t="shared" ca="1" si="77"/>
        <v/>
      </c>
      <c r="Q980" s="57" t="str">
        <f t="shared" si="78"/>
        <v/>
      </c>
      <c r="R980" s="57" t="str">
        <f t="shared" si="79"/>
        <v/>
      </c>
    </row>
    <row r="981" spans="4:18" x14ac:dyDescent="0.25">
      <c r="D981" s="43"/>
      <c r="E981" s="55" t="str">
        <f t="shared" si="80"/>
        <v/>
      </c>
      <c r="F981" s="55"/>
      <c r="G981" s="55"/>
      <c r="H981" s="55"/>
      <c r="I981" s="55"/>
      <c r="J981" s="55"/>
      <c r="K981" s="46" t="str">
        <f t="shared" ref="K981:K1044" ca="1" si="81">IF(AND(C981&lt;&gt;"",C981&lt;&gt;Q981),TODAY(),IF(C981="","",K981))</f>
        <v/>
      </c>
      <c r="L981" s="56" t="str">
        <f t="shared" ref="L981:L1044" ca="1" si="82">IF(AND(C981&lt;&gt;"",C981&lt;&gt;R981),NOW(),IF(C981="","",L981))</f>
        <v/>
      </c>
      <c r="Q981" s="57" t="str">
        <f t="shared" ref="Q981:Q1044" si="83">IF(C981="","",IF(OR(K981="",AND(ISNUMBER(Q981),C981=Q981)),Q981,C981))</f>
        <v/>
      </c>
      <c r="R981" s="57" t="str">
        <f t="shared" ref="R981:R1044" si="84">IF(C981="","",IF(OR(L981="",AND(ISNUMBER(R981),C981=R981)),R981,C981))</f>
        <v/>
      </c>
    </row>
    <row r="982" spans="4:18" x14ac:dyDescent="0.25">
      <c r="D982" s="43"/>
      <c r="E982" s="55" t="str">
        <f t="shared" si="80"/>
        <v/>
      </c>
      <c r="F982" s="55"/>
      <c r="G982" s="55"/>
      <c r="H982" s="55"/>
      <c r="I982" s="55"/>
      <c r="J982" s="55"/>
      <c r="K982" s="46" t="str">
        <f t="shared" ca="1" si="81"/>
        <v/>
      </c>
      <c r="L982" s="56" t="str">
        <f t="shared" ca="1" si="82"/>
        <v/>
      </c>
      <c r="Q982" s="57" t="str">
        <f t="shared" si="83"/>
        <v/>
      </c>
      <c r="R982" s="57" t="str">
        <f t="shared" si="84"/>
        <v/>
      </c>
    </row>
    <row r="983" spans="4:18" x14ac:dyDescent="0.25">
      <c r="D983" s="43"/>
      <c r="E983" s="55" t="str">
        <f t="shared" si="80"/>
        <v/>
      </c>
      <c r="F983" s="55"/>
      <c r="G983" s="55"/>
      <c r="H983" s="55"/>
      <c r="I983" s="55"/>
      <c r="J983" s="55"/>
      <c r="K983" s="46" t="str">
        <f t="shared" ca="1" si="81"/>
        <v/>
      </c>
      <c r="L983" s="56" t="str">
        <f t="shared" ca="1" si="82"/>
        <v/>
      </c>
      <c r="Q983" s="57" t="str">
        <f t="shared" si="83"/>
        <v/>
      </c>
      <c r="R983" s="57" t="str">
        <f t="shared" si="84"/>
        <v/>
      </c>
    </row>
    <row r="984" spans="4:18" x14ac:dyDescent="0.25">
      <c r="D984" s="43"/>
      <c r="E984" s="55" t="str">
        <f t="shared" si="80"/>
        <v/>
      </c>
      <c r="F984" s="55"/>
      <c r="G984" s="55"/>
      <c r="H984" s="55"/>
      <c r="I984" s="55"/>
      <c r="J984" s="55"/>
      <c r="K984" s="46" t="str">
        <f t="shared" ca="1" si="81"/>
        <v/>
      </c>
      <c r="L984" s="56" t="str">
        <f t="shared" ca="1" si="82"/>
        <v/>
      </c>
      <c r="Q984" s="57" t="str">
        <f t="shared" si="83"/>
        <v/>
      </c>
      <c r="R984" s="57" t="str">
        <f t="shared" si="84"/>
        <v/>
      </c>
    </row>
    <row r="985" spans="4:18" x14ac:dyDescent="0.25">
      <c r="D985" s="43"/>
      <c r="E985" s="55" t="str">
        <f t="shared" si="80"/>
        <v/>
      </c>
      <c r="F985" s="55"/>
      <c r="G985" s="55"/>
      <c r="H985" s="55"/>
      <c r="I985" s="55"/>
      <c r="J985" s="55"/>
      <c r="K985" s="46" t="str">
        <f t="shared" ca="1" si="81"/>
        <v/>
      </c>
      <c r="L985" s="56" t="str">
        <f t="shared" ca="1" si="82"/>
        <v/>
      </c>
      <c r="Q985" s="57" t="str">
        <f t="shared" si="83"/>
        <v/>
      </c>
      <c r="R985" s="57" t="str">
        <f t="shared" si="84"/>
        <v/>
      </c>
    </row>
    <row r="986" spans="4:18" x14ac:dyDescent="0.25">
      <c r="D986" s="43"/>
      <c r="E986" s="55" t="str">
        <f t="shared" si="80"/>
        <v/>
      </c>
      <c r="F986" s="55"/>
      <c r="G986" s="55"/>
      <c r="H986" s="55"/>
      <c r="I986" s="55"/>
      <c r="J986" s="55"/>
      <c r="K986" s="46" t="str">
        <f t="shared" ca="1" si="81"/>
        <v/>
      </c>
      <c r="L986" s="56" t="str">
        <f t="shared" ca="1" si="82"/>
        <v/>
      </c>
      <c r="Q986" s="57" t="str">
        <f t="shared" si="83"/>
        <v/>
      </c>
      <c r="R986" s="57" t="str">
        <f t="shared" si="84"/>
        <v/>
      </c>
    </row>
    <row r="987" spans="4:18" x14ac:dyDescent="0.25">
      <c r="D987" s="43"/>
      <c r="E987" s="55" t="str">
        <f t="shared" si="80"/>
        <v/>
      </c>
      <c r="F987" s="55"/>
      <c r="G987" s="55"/>
      <c r="H987" s="55"/>
      <c r="I987" s="55"/>
      <c r="J987" s="55"/>
      <c r="K987" s="46" t="str">
        <f t="shared" ca="1" si="81"/>
        <v/>
      </c>
      <c r="L987" s="56" t="str">
        <f t="shared" ca="1" si="82"/>
        <v/>
      </c>
      <c r="Q987" s="57" t="str">
        <f t="shared" si="83"/>
        <v/>
      </c>
      <c r="R987" s="57" t="str">
        <f t="shared" si="84"/>
        <v/>
      </c>
    </row>
    <row r="988" spans="4:18" x14ac:dyDescent="0.25">
      <c r="D988" s="43"/>
      <c r="E988" s="55" t="str">
        <f t="shared" si="80"/>
        <v/>
      </c>
      <c r="F988" s="55"/>
      <c r="G988" s="55"/>
      <c r="H988" s="55"/>
      <c r="I988" s="55"/>
      <c r="J988" s="55"/>
      <c r="K988" s="46" t="str">
        <f t="shared" ca="1" si="81"/>
        <v/>
      </c>
      <c r="L988" s="56" t="str">
        <f t="shared" ca="1" si="82"/>
        <v/>
      </c>
      <c r="Q988" s="57" t="str">
        <f t="shared" si="83"/>
        <v/>
      </c>
      <c r="R988" s="57" t="str">
        <f t="shared" si="84"/>
        <v/>
      </c>
    </row>
    <row r="989" spans="4:18" x14ac:dyDescent="0.25">
      <c r="D989" s="43"/>
      <c r="E989" s="55" t="str">
        <f t="shared" si="80"/>
        <v/>
      </c>
      <c r="F989" s="55"/>
      <c r="G989" s="55"/>
      <c r="H989" s="55"/>
      <c r="I989" s="55"/>
      <c r="J989" s="55"/>
      <c r="K989" s="46" t="str">
        <f t="shared" ca="1" si="81"/>
        <v/>
      </c>
      <c r="L989" s="56" t="str">
        <f t="shared" ca="1" si="82"/>
        <v/>
      </c>
      <c r="Q989" s="57" t="str">
        <f t="shared" si="83"/>
        <v/>
      </c>
      <c r="R989" s="57" t="str">
        <f t="shared" si="84"/>
        <v/>
      </c>
    </row>
    <row r="990" spans="4:18" x14ac:dyDescent="0.25">
      <c r="D990" s="43"/>
      <c r="E990" s="55" t="str">
        <f t="shared" si="80"/>
        <v/>
      </c>
      <c r="F990" s="55"/>
      <c r="G990" s="55"/>
      <c r="H990" s="55"/>
      <c r="I990" s="55"/>
      <c r="J990" s="55"/>
      <c r="K990" s="46" t="str">
        <f t="shared" ca="1" si="81"/>
        <v/>
      </c>
      <c r="L990" s="56" t="str">
        <f t="shared" ca="1" si="82"/>
        <v/>
      </c>
      <c r="Q990" s="57" t="str">
        <f t="shared" si="83"/>
        <v/>
      </c>
      <c r="R990" s="57" t="str">
        <f t="shared" si="84"/>
        <v/>
      </c>
    </row>
    <row r="991" spans="4:18" x14ac:dyDescent="0.25">
      <c r="D991" s="43"/>
      <c r="E991" s="55" t="str">
        <f t="shared" si="80"/>
        <v/>
      </c>
      <c r="F991" s="55"/>
      <c r="G991" s="55"/>
      <c r="H991" s="55"/>
      <c r="I991" s="55"/>
      <c r="J991" s="55"/>
      <c r="K991" s="46" t="str">
        <f t="shared" ca="1" si="81"/>
        <v/>
      </c>
      <c r="L991" s="56" t="str">
        <f t="shared" ca="1" si="82"/>
        <v/>
      </c>
      <c r="Q991" s="57" t="str">
        <f t="shared" si="83"/>
        <v/>
      </c>
      <c r="R991" s="57" t="str">
        <f t="shared" si="84"/>
        <v/>
      </c>
    </row>
    <row r="992" spans="4:18" x14ac:dyDescent="0.25">
      <c r="D992" s="43"/>
      <c r="E992" s="55" t="str">
        <f t="shared" si="80"/>
        <v/>
      </c>
      <c r="F992" s="55"/>
      <c r="G992" s="55"/>
      <c r="H992" s="55"/>
      <c r="I992" s="55"/>
      <c r="J992" s="55"/>
      <c r="K992" s="46" t="str">
        <f t="shared" ca="1" si="81"/>
        <v/>
      </c>
      <c r="L992" s="56" t="str">
        <f t="shared" ca="1" si="82"/>
        <v/>
      </c>
      <c r="Q992" s="57" t="str">
        <f t="shared" si="83"/>
        <v/>
      </c>
      <c r="R992" s="57" t="str">
        <f t="shared" si="84"/>
        <v/>
      </c>
    </row>
    <row r="993" spans="4:18" x14ac:dyDescent="0.25">
      <c r="D993" s="43"/>
      <c r="E993" s="55" t="str">
        <f t="shared" si="80"/>
        <v/>
      </c>
      <c r="F993" s="55"/>
      <c r="G993" s="55"/>
      <c r="H993" s="55"/>
      <c r="I993" s="55"/>
      <c r="J993" s="55"/>
      <c r="K993" s="46" t="str">
        <f t="shared" ca="1" si="81"/>
        <v/>
      </c>
      <c r="L993" s="56" t="str">
        <f t="shared" ca="1" si="82"/>
        <v/>
      </c>
      <c r="Q993" s="57" t="str">
        <f t="shared" si="83"/>
        <v/>
      </c>
      <c r="R993" s="57" t="str">
        <f t="shared" si="84"/>
        <v/>
      </c>
    </row>
    <row r="994" spans="4:18" x14ac:dyDescent="0.25">
      <c r="D994" s="43"/>
      <c r="E994" s="55" t="str">
        <f t="shared" si="80"/>
        <v/>
      </c>
      <c r="F994" s="55"/>
      <c r="G994" s="55"/>
      <c r="H994" s="55"/>
      <c r="I994" s="55"/>
      <c r="J994" s="55"/>
      <c r="K994" s="46" t="str">
        <f t="shared" ca="1" si="81"/>
        <v/>
      </c>
      <c r="L994" s="56" t="str">
        <f t="shared" ca="1" si="82"/>
        <v/>
      </c>
      <c r="Q994" s="57" t="str">
        <f t="shared" si="83"/>
        <v/>
      </c>
      <c r="R994" s="57" t="str">
        <f t="shared" si="84"/>
        <v/>
      </c>
    </row>
    <row r="995" spans="4:18" x14ac:dyDescent="0.25">
      <c r="D995" s="43"/>
      <c r="E995" s="55" t="str">
        <f t="shared" si="80"/>
        <v/>
      </c>
      <c r="F995" s="55"/>
      <c r="G995" s="55"/>
      <c r="H995" s="55"/>
      <c r="I995" s="55"/>
      <c r="J995" s="55"/>
      <c r="K995" s="46" t="str">
        <f t="shared" ca="1" si="81"/>
        <v/>
      </c>
      <c r="L995" s="56" t="str">
        <f t="shared" ca="1" si="82"/>
        <v/>
      </c>
      <c r="Q995" s="57" t="str">
        <f t="shared" si="83"/>
        <v/>
      </c>
      <c r="R995" s="57" t="str">
        <f t="shared" si="84"/>
        <v/>
      </c>
    </row>
    <row r="996" spans="4:18" x14ac:dyDescent="0.25">
      <c r="D996" s="43"/>
      <c r="E996" s="55" t="str">
        <f t="shared" si="80"/>
        <v/>
      </c>
      <c r="F996" s="55"/>
      <c r="G996" s="55"/>
      <c r="H996" s="55"/>
      <c r="I996" s="55"/>
      <c r="J996" s="55"/>
      <c r="K996" s="46" t="str">
        <f t="shared" ca="1" si="81"/>
        <v/>
      </c>
      <c r="L996" s="56" t="str">
        <f t="shared" ca="1" si="82"/>
        <v/>
      </c>
      <c r="Q996" s="57" t="str">
        <f t="shared" si="83"/>
        <v/>
      </c>
      <c r="R996" s="57" t="str">
        <f t="shared" si="84"/>
        <v/>
      </c>
    </row>
    <row r="997" spans="4:18" x14ac:dyDescent="0.25">
      <c r="D997" s="43"/>
      <c r="E997" s="55" t="str">
        <f t="shared" si="80"/>
        <v/>
      </c>
      <c r="F997" s="55"/>
      <c r="G997" s="55"/>
      <c r="H997" s="55"/>
      <c r="I997" s="55"/>
      <c r="J997" s="55"/>
      <c r="K997" s="46" t="str">
        <f t="shared" ca="1" si="81"/>
        <v/>
      </c>
      <c r="L997" s="56" t="str">
        <f t="shared" ca="1" si="82"/>
        <v/>
      </c>
      <c r="Q997" s="57" t="str">
        <f t="shared" si="83"/>
        <v/>
      </c>
      <c r="R997" s="57" t="str">
        <f t="shared" si="84"/>
        <v/>
      </c>
    </row>
    <row r="998" spans="4:18" x14ac:dyDescent="0.25">
      <c r="D998" s="43"/>
      <c r="E998" s="55" t="str">
        <f t="shared" si="80"/>
        <v/>
      </c>
      <c r="F998" s="55"/>
      <c r="G998" s="55"/>
      <c r="H998" s="55"/>
      <c r="I998" s="55"/>
      <c r="J998" s="55"/>
      <c r="K998" s="46" t="str">
        <f t="shared" ca="1" si="81"/>
        <v/>
      </c>
      <c r="L998" s="56" t="str">
        <f t="shared" ca="1" si="82"/>
        <v/>
      </c>
      <c r="Q998" s="57" t="str">
        <f t="shared" si="83"/>
        <v/>
      </c>
      <c r="R998" s="57" t="str">
        <f t="shared" si="84"/>
        <v/>
      </c>
    </row>
    <row r="999" spans="4:18" x14ac:dyDescent="0.25">
      <c r="D999" s="43"/>
      <c r="E999" s="55" t="str">
        <f t="shared" si="80"/>
        <v/>
      </c>
      <c r="F999" s="55"/>
      <c r="G999" s="55"/>
      <c r="H999" s="55"/>
      <c r="I999" s="55"/>
      <c r="J999" s="55"/>
      <c r="K999" s="46" t="str">
        <f t="shared" ca="1" si="81"/>
        <v/>
      </c>
      <c r="L999" s="56" t="str">
        <f t="shared" ca="1" si="82"/>
        <v/>
      </c>
      <c r="Q999" s="57" t="str">
        <f t="shared" si="83"/>
        <v/>
      </c>
      <c r="R999" s="57" t="str">
        <f t="shared" si="84"/>
        <v/>
      </c>
    </row>
    <row r="1000" spans="4:18" x14ac:dyDescent="0.25">
      <c r="D1000" s="43"/>
      <c r="E1000" s="55" t="str">
        <f t="shared" si="80"/>
        <v/>
      </c>
      <c r="F1000" s="55"/>
      <c r="G1000" s="55"/>
      <c r="H1000" s="55"/>
      <c r="I1000" s="55"/>
      <c r="J1000" s="55"/>
      <c r="K1000" s="46" t="str">
        <f t="shared" ca="1" si="81"/>
        <v/>
      </c>
      <c r="L1000" s="56" t="str">
        <f t="shared" ca="1" si="82"/>
        <v/>
      </c>
      <c r="Q1000" s="57" t="str">
        <f t="shared" si="83"/>
        <v/>
      </c>
      <c r="R1000" s="57" t="str">
        <f t="shared" si="84"/>
        <v/>
      </c>
    </row>
    <row r="1001" spans="4:18" x14ac:dyDescent="0.25">
      <c r="D1001" s="43"/>
      <c r="E1001" s="55" t="str">
        <f t="shared" si="80"/>
        <v/>
      </c>
      <c r="F1001" s="55"/>
      <c r="G1001" s="55"/>
      <c r="H1001" s="55"/>
      <c r="I1001" s="55"/>
      <c r="J1001" s="55"/>
      <c r="K1001" s="46" t="str">
        <f t="shared" ca="1" si="81"/>
        <v/>
      </c>
      <c r="L1001" s="56" t="str">
        <f t="shared" ca="1" si="82"/>
        <v/>
      </c>
      <c r="Q1001" s="57" t="str">
        <f t="shared" si="83"/>
        <v/>
      </c>
      <c r="R1001" s="57" t="str">
        <f t="shared" si="84"/>
        <v/>
      </c>
    </row>
    <row r="1002" spans="4:18" x14ac:dyDescent="0.25">
      <c r="D1002" s="43"/>
      <c r="E1002" s="55" t="str">
        <f t="shared" si="80"/>
        <v/>
      </c>
      <c r="F1002" s="55"/>
      <c r="G1002" s="55"/>
      <c r="H1002" s="55"/>
      <c r="I1002" s="55"/>
      <c r="J1002" s="55"/>
      <c r="K1002" s="46" t="str">
        <f t="shared" ca="1" si="81"/>
        <v/>
      </c>
      <c r="L1002" s="56" t="str">
        <f t="shared" ca="1" si="82"/>
        <v/>
      </c>
      <c r="Q1002" s="57" t="str">
        <f t="shared" si="83"/>
        <v/>
      </c>
      <c r="R1002" s="57" t="str">
        <f t="shared" si="84"/>
        <v/>
      </c>
    </row>
    <row r="1003" spans="4:18" x14ac:dyDescent="0.25">
      <c r="D1003" s="43"/>
      <c r="E1003" s="55" t="str">
        <f t="shared" si="80"/>
        <v/>
      </c>
      <c r="F1003" s="55"/>
      <c r="G1003" s="55"/>
      <c r="H1003" s="55"/>
      <c r="I1003" s="55"/>
      <c r="J1003" s="55"/>
      <c r="K1003" s="46" t="str">
        <f t="shared" ca="1" si="81"/>
        <v/>
      </c>
      <c r="L1003" s="56" t="str">
        <f t="shared" ca="1" si="82"/>
        <v/>
      </c>
      <c r="Q1003" s="57" t="str">
        <f t="shared" si="83"/>
        <v/>
      </c>
      <c r="R1003" s="57" t="str">
        <f t="shared" si="84"/>
        <v/>
      </c>
    </row>
    <row r="1004" spans="4:18" x14ac:dyDescent="0.25">
      <c r="D1004" s="43"/>
      <c r="E1004" s="55" t="str">
        <f t="shared" si="80"/>
        <v/>
      </c>
      <c r="F1004" s="55"/>
      <c r="G1004" s="55"/>
      <c r="H1004" s="55"/>
      <c r="I1004" s="55"/>
      <c r="J1004" s="55"/>
      <c r="K1004" s="46" t="str">
        <f t="shared" ca="1" si="81"/>
        <v/>
      </c>
      <c r="L1004" s="56" t="str">
        <f t="shared" ca="1" si="82"/>
        <v/>
      </c>
      <c r="Q1004" s="57" t="str">
        <f t="shared" si="83"/>
        <v/>
      </c>
      <c r="R1004" s="57" t="str">
        <f t="shared" si="84"/>
        <v/>
      </c>
    </row>
    <row r="1005" spans="4:18" x14ac:dyDescent="0.25">
      <c r="D1005" s="43"/>
      <c r="E1005" s="55" t="str">
        <f t="shared" si="80"/>
        <v/>
      </c>
      <c r="F1005" s="55"/>
      <c r="G1005" s="55"/>
      <c r="H1005" s="55"/>
      <c r="I1005" s="55"/>
      <c r="J1005" s="55"/>
      <c r="K1005" s="46" t="str">
        <f t="shared" ca="1" si="81"/>
        <v/>
      </c>
      <c r="L1005" s="56" t="str">
        <f t="shared" ca="1" si="82"/>
        <v/>
      </c>
      <c r="Q1005" s="57" t="str">
        <f t="shared" si="83"/>
        <v/>
      </c>
      <c r="R1005" s="57" t="str">
        <f t="shared" si="84"/>
        <v/>
      </c>
    </row>
    <row r="1006" spans="4:18" x14ac:dyDescent="0.25">
      <c r="D1006" s="43"/>
      <c r="E1006" s="55" t="str">
        <f t="shared" si="80"/>
        <v/>
      </c>
      <c r="F1006" s="55"/>
      <c r="G1006" s="55"/>
      <c r="H1006" s="55"/>
      <c r="I1006" s="55"/>
      <c r="J1006" s="55"/>
      <c r="K1006" s="46" t="str">
        <f t="shared" ca="1" si="81"/>
        <v/>
      </c>
      <c r="L1006" s="56" t="str">
        <f t="shared" ca="1" si="82"/>
        <v/>
      </c>
      <c r="Q1006" s="57" t="str">
        <f t="shared" si="83"/>
        <v/>
      </c>
      <c r="R1006" s="57" t="str">
        <f t="shared" si="84"/>
        <v/>
      </c>
    </row>
    <row r="1007" spans="4:18" x14ac:dyDescent="0.25">
      <c r="D1007" s="43"/>
      <c r="E1007" s="55" t="str">
        <f t="shared" si="80"/>
        <v/>
      </c>
      <c r="F1007" s="55"/>
      <c r="G1007" s="55"/>
      <c r="H1007" s="55"/>
      <c r="I1007" s="55"/>
      <c r="J1007" s="55"/>
      <c r="K1007" s="46" t="str">
        <f t="shared" ca="1" si="81"/>
        <v/>
      </c>
      <c r="L1007" s="56" t="str">
        <f t="shared" ca="1" si="82"/>
        <v/>
      </c>
      <c r="Q1007" s="57" t="str">
        <f t="shared" si="83"/>
        <v/>
      </c>
      <c r="R1007" s="57" t="str">
        <f t="shared" si="84"/>
        <v/>
      </c>
    </row>
    <row r="1008" spans="4:18" x14ac:dyDescent="0.25">
      <c r="D1008" s="43"/>
      <c r="E1008" s="55" t="str">
        <f t="shared" si="80"/>
        <v/>
      </c>
      <c r="F1008" s="55"/>
      <c r="G1008" s="55"/>
      <c r="H1008" s="55"/>
      <c r="I1008" s="55"/>
      <c r="J1008" s="55"/>
      <c r="K1008" s="46" t="str">
        <f t="shared" ca="1" si="81"/>
        <v/>
      </c>
      <c r="L1008" s="56" t="str">
        <f t="shared" ca="1" si="82"/>
        <v/>
      </c>
      <c r="Q1008" s="57" t="str">
        <f t="shared" si="83"/>
        <v/>
      </c>
      <c r="R1008" s="57" t="str">
        <f t="shared" si="84"/>
        <v/>
      </c>
    </row>
    <row r="1009" spans="4:18" x14ac:dyDescent="0.25">
      <c r="D1009" s="43"/>
      <c r="E1009" s="55" t="str">
        <f t="shared" si="80"/>
        <v/>
      </c>
      <c r="F1009" s="55"/>
      <c r="G1009" s="55"/>
      <c r="H1009" s="55"/>
      <c r="I1009" s="55"/>
      <c r="J1009" s="55"/>
      <c r="K1009" s="46" t="str">
        <f t="shared" ca="1" si="81"/>
        <v/>
      </c>
      <c r="L1009" s="56" t="str">
        <f t="shared" ca="1" si="82"/>
        <v/>
      </c>
      <c r="Q1009" s="57" t="str">
        <f t="shared" si="83"/>
        <v/>
      </c>
      <c r="R1009" s="57" t="str">
        <f t="shared" si="84"/>
        <v/>
      </c>
    </row>
    <row r="1010" spans="4:18" x14ac:dyDescent="0.25">
      <c r="D1010" s="43"/>
      <c r="E1010" s="55" t="str">
        <f t="shared" si="80"/>
        <v/>
      </c>
      <c r="F1010" s="55"/>
      <c r="G1010" s="55"/>
      <c r="H1010" s="55"/>
      <c r="I1010" s="55"/>
      <c r="J1010" s="55"/>
      <c r="K1010" s="46" t="str">
        <f t="shared" ca="1" si="81"/>
        <v/>
      </c>
      <c r="L1010" s="56" t="str">
        <f t="shared" ca="1" si="82"/>
        <v/>
      </c>
      <c r="Q1010" s="57" t="str">
        <f t="shared" si="83"/>
        <v/>
      </c>
      <c r="R1010" s="57" t="str">
        <f t="shared" si="84"/>
        <v/>
      </c>
    </row>
    <row r="1011" spans="4:18" x14ac:dyDescent="0.25">
      <c r="D1011" s="43"/>
      <c r="E1011" s="55" t="str">
        <f t="shared" si="80"/>
        <v/>
      </c>
      <c r="F1011" s="55"/>
      <c r="G1011" s="55"/>
      <c r="H1011" s="55"/>
      <c r="I1011" s="55"/>
      <c r="J1011" s="55"/>
      <c r="K1011" s="46" t="str">
        <f t="shared" ca="1" si="81"/>
        <v/>
      </c>
      <c r="L1011" s="56" t="str">
        <f t="shared" ca="1" si="82"/>
        <v/>
      </c>
      <c r="Q1011" s="57" t="str">
        <f t="shared" si="83"/>
        <v/>
      </c>
      <c r="R1011" s="57" t="str">
        <f t="shared" si="84"/>
        <v/>
      </c>
    </row>
    <row r="1012" spans="4:18" x14ac:dyDescent="0.25">
      <c r="D1012" s="43"/>
      <c r="E1012" s="55" t="str">
        <f t="shared" si="80"/>
        <v/>
      </c>
      <c r="F1012" s="55"/>
      <c r="G1012" s="55"/>
      <c r="H1012" s="55"/>
      <c r="I1012" s="55"/>
      <c r="J1012" s="55"/>
      <c r="K1012" s="46" t="str">
        <f t="shared" ca="1" si="81"/>
        <v/>
      </c>
      <c r="L1012" s="56" t="str">
        <f t="shared" ca="1" si="82"/>
        <v/>
      </c>
      <c r="Q1012" s="57" t="str">
        <f t="shared" si="83"/>
        <v/>
      </c>
      <c r="R1012" s="57" t="str">
        <f t="shared" si="84"/>
        <v/>
      </c>
    </row>
    <row r="1013" spans="4:18" x14ac:dyDescent="0.25">
      <c r="D1013" s="43"/>
      <c r="E1013" s="55" t="str">
        <f t="shared" si="80"/>
        <v/>
      </c>
      <c r="F1013" s="55"/>
      <c r="G1013" s="55"/>
      <c r="H1013" s="55"/>
      <c r="I1013" s="55"/>
      <c r="J1013" s="55"/>
      <c r="K1013" s="46" t="str">
        <f t="shared" ca="1" si="81"/>
        <v/>
      </c>
      <c r="L1013" s="56" t="str">
        <f t="shared" ca="1" si="82"/>
        <v/>
      </c>
      <c r="Q1013" s="57" t="str">
        <f t="shared" si="83"/>
        <v/>
      </c>
      <c r="R1013" s="57" t="str">
        <f t="shared" si="84"/>
        <v/>
      </c>
    </row>
    <row r="1014" spans="4:18" x14ac:dyDescent="0.25">
      <c r="D1014" s="43"/>
      <c r="E1014" s="55" t="str">
        <f t="shared" si="80"/>
        <v/>
      </c>
      <c r="F1014" s="55"/>
      <c r="G1014" s="55"/>
      <c r="H1014" s="55"/>
      <c r="I1014" s="55"/>
      <c r="J1014" s="55"/>
      <c r="K1014" s="46" t="str">
        <f t="shared" ca="1" si="81"/>
        <v/>
      </c>
      <c r="L1014" s="56" t="str">
        <f t="shared" ca="1" si="82"/>
        <v/>
      </c>
      <c r="Q1014" s="57" t="str">
        <f t="shared" si="83"/>
        <v/>
      </c>
      <c r="R1014" s="57" t="str">
        <f t="shared" si="84"/>
        <v/>
      </c>
    </row>
    <row r="1015" spans="4:18" x14ac:dyDescent="0.25">
      <c r="D1015" s="43"/>
      <c r="E1015" s="55" t="str">
        <f t="shared" si="80"/>
        <v/>
      </c>
      <c r="F1015" s="55"/>
      <c r="G1015" s="55"/>
      <c r="H1015" s="55"/>
      <c r="I1015" s="55"/>
      <c r="J1015" s="55"/>
      <c r="K1015" s="46" t="str">
        <f t="shared" ca="1" si="81"/>
        <v/>
      </c>
      <c r="L1015" s="56" t="str">
        <f t="shared" ca="1" si="82"/>
        <v/>
      </c>
      <c r="Q1015" s="57" t="str">
        <f t="shared" si="83"/>
        <v/>
      </c>
      <c r="R1015" s="57" t="str">
        <f t="shared" si="84"/>
        <v/>
      </c>
    </row>
    <row r="1016" spans="4:18" x14ac:dyDescent="0.25">
      <c r="D1016" s="43"/>
      <c r="E1016" s="55" t="str">
        <f t="shared" si="80"/>
        <v/>
      </c>
      <c r="F1016" s="55"/>
      <c r="G1016" s="55"/>
      <c r="H1016" s="55"/>
      <c r="I1016" s="55"/>
      <c r="J1016" s="55"/>
      <c r="K1016" s="46" t="str">
        <f t="shared" ca="1" si="81"/>
        <v/>
      </c>
      <c r="L1016" s="56" t="str">
        <f t="shared" ca="1" si="82"/>
        <v/>
      </c>
      <c r="Q1016" s="57" t="str">
        <f t="shared" si="83"/>
        <v/>
      </c>
      <c r="R1016" s="57" t="str">
        <f t="shared" si="84"/>
        <v/>
      </c>
    </row>
    <row r="1017" spans="4:18" x14ac:dyDescent="0.25">
      <c r="D1017" s="43"/>
      <c r="E1017" s="55" t="str">
        <f t="shared" si="80"/>
        <v/>
      </c>
      <c r="F1017" s="55"/>
      <c r="G1017" s="55"/>
      <c r="H1017" s="55"/>
      <c r="I1017" s="55"/>
      <c r="J1017" s="55"/>
      <c r="K1017" s="46" t="str">
        <f t="shared" ca="1" si="81"/>
        <v/>
      </c>
      <c r="L1017" s="56" t="str">
        <f t="shared" ca="1" si="82"/>
        <v/>
      </c>
      <c r="Q1017" s="57" t="str">
        <f t="shared" si="83"/>
        <v/>
      </c>
      <c r="R1017" s="57" t="str">
        <f t="shared" si="84"/>
        <v/>
      </c>
    </row>
    <row r="1018" spans="4:18" x14ac:dyDescent="0.25">
      <c r="D1018" s="43"/>
      <c r="E1018" s="55" t="str">
        <f t="shared" si="80"/>
        <v/>
      </c>
      <c r="F1018" s="55"/>
      <c r="G1018" s="55"/>
      <c r="H1018" s="55"/>
      <c r="I1018" s="55"/>
      <c r="J1018" s="55"/>
      <c r="K1018" s="46" t="str">
        <f t="shared" ca="1" si="81"/>
        <v/>
      </c>
      <c r="L1018" s="56" t="str">
        <f t="shared" ca="1" si="82"/>
        <v/>
      </c>
      <c r="Q1018" s="57" t="str">
        <f t="shared" si="83"/>
        <v/>
      </c>
      <c r="R1018" s="57" t="str">
        <f t="shared" si="84"/>
        <v/>
      </c>
    </row>
    <row r="1019" spans="4:18" x14ac:dyDescent="0.25">
      <c r="D1019" s="43"/>
      <c r="E1019" s="55" t="str">
        <f t="shared" si="80"/>
        <v/>
      </c>
      <c r="F1019" s="55"/>
      <c r="G1019" s="55"/>
      <c r="H1019" s="55"/>
      <c r="I1019" s="55"/>
      <c r="J1019" s="55"/>
      <c r="K1019" s="46" t="str">
        <f t="shared" ca="1" si="81"/>
        <v/>
      </c>
      <c r="L1019" s="56" t="str">
        <f t="shared" ca="1" si="82"/>
        <v/>
      </c>
      <c r="Q1019" s="57" t="str">
        <f t="shared" si="83"/>
        <v/>
      </c>
      <c r="R1019" s="57" t="str">
        <f t="shared" si="84"/>
        <v/>
      </c>
    </row>
    <row r="1020" spans="4:18" x14ac:dyDescent="0.25">
      <c r="D1020" s="43"/>
      <c r="E1020" s="55" t="str">
        <f t="shared" si="80"/>
        <v/>
      </c>
      <c r="F1020" s="55"/>
      <c r="G1020" s="55"/>
      <c r="H1020" s="55"/>
      <c r="I1020" s="55"/>
      <c r="J1020" s="55"/>
      <c r="K1020" s="46" t="str">
        <f t="shared" ca="1" si="81"/>
        <v/>
      </c>
      <c r="L1020" s="56" t="str">
        <f t="shared" ca="1" si="82"/>
        <v/>
      </c>
      <c r="Q1020" s="57" t="str">
        <f t="shared" si="83"/>
        <v/>
      </c>
      <c r="R1020" s="57" t="str">
        <f t="shared" si="84"/>
        <v/>
      </c>
    </row>
    <row r="1021" spans="4:18" x14ac:dyDescent="0.25">
      <c r="D1021" s="43"/>
      <c r="E1021" s="55" t="str">
        <f t="shared" si="80"/>
        <v/>
      </c>
      <c r="F1021" s="55"/>
      <c r="G1021" s="55"/>
      <c r="H1021" s="55"/>
      <c r="I1021" s="55"/>
      <c r="J1021" s="55"/>
      <c r="K1021" s="46" t="str">
        <f t="shared" ca="1" si="81"/>
        <v/>
      </c>
      <c r="L1021" s="56" t="str">
        <f t="shared" ca="1" si="82"/>
        <v/>
      </c>
      <c r="Q1021" s="57" t="str">
        <f t="shared" si="83"/>
        <v/>
      </c>
      <c r="R1021" s="57" t="str">
        <f t="shared" si="84"/>
        <v/>
      </c>
    </row>
    <row r="1022" spans="4:18" x14ac:dyDescent="0.25">
      <c r="D1022" s="43"/>
      <c r="E1022" s="55" t="str">
        <f t="shared" si="80"/>
        <v/>
      </c>
      <c r="F1022" s="55"/>
      <c r="G1022" s="55"/>
      <c r="H1022" s="55"/>
      <c r="I1022" s="55"/>
      <c r="J1022" s="55"/>
      <c r="K1022" s="46" t="str">
        <f t="shared" ca="1" si="81"/>
        <v/>
      </c>
      <c r="L1022" s="56" t="str">
        <f t="shared" ca="1" si="82"/>
        <v/>
      </c>
      <c r="Q1022" s="57" t="str">
        <f t="shared" si="83"/>
        <v/>
      </c>
      <c r="R1022" s="57" t="str">
        <f t="shared" si="84"/>
        <v/>
      </c>
    </row>
    <row r="1023" spans="4:18" x14ac:dyDescent="0.25">
      <c r="D1023" s="43"/>
      <c r="E1023" s="55" t="str">
        <f t="shared" si="80"/>
        <v/>
      </c>
      <c r="F1023" s="55"/>
      <c r="G1023" s="55"/>
      <c r="H1023" s="55"/>
      <c r="I1023" s="55"/>
      <c r="J1023" s="55"/>
      <c r="K1023" s="46" t="str">
        <f t="shared" ca="1" si="81"/>
        <v/>
      </c>
      <c r="L1023" s="56" t="str">
        <f t="shared" ca="1" si="82"/>
        <v/>
      </c>
      <c r="Q1023" s="57" t="str">
        <f t="shared" si="83"/>
        <v/>
      </c>
      <c r="R1023" s="57" t="str">
        <f t="shared" si="84"/>
        <v/>
      </c>
    </row>
    <row r="1024" spans="4:18" x14ac:dyDescent="0.25">
      <c r="D1024" s="43"/>
      <c r="E1024" s="55" t="str">
        <f t="shared" si="80"/>
        <v/>
      </c>
      <c r="F1024" s="55"/>
      <c r="G1024" s="55"/>
      <c r="H1024" s="55"/>
      <c r="I1024" s="55"/>
      <c r="J1024" s="55"/>
      <c r="K1024" s="46" t="str">
        <f t="shared" ca="1" si="81"/>
        <v/>
      </c>
      <c r="L1024" s="56" t="str">
        <f t="shared" ca="1" si="82"/>
        <v/>
      </c>
      <c r="Q1024" s="57" t="str">
        <f t="shared" si="83"/>
        <v/>
      </c>
      <c r="R1024" s="57" t="str">
        <f t="shared" si="84"/>
        <v/>
      </c>
    </row>
    <row r="1025" spans="4:18" x14ac:dyDescent="0.25">
      <c r="D1025" s="43"/>
      <c r="E1025" s="55" t="str">
        <f t="shared" si="80"/>
        <v/>
      </c>
      <c r="F1025" s="55"/>
      <c r="G1025" s="55"/>
      <c r="H1025" s="55"/>
      <c r="I1025" s="55"/>
      <c r="J1025" s="55"/>
      <c r="K1025" s="46" t="str">
        <f t="shared" ca="1" si="81"/>
        <v/>
      </c>
      <c r="L1025" s="56" t="str">
        <f t="shared" ca="1" si="82"/>
        <v/>
      </c>
      <c r="Q1025" s="57" t="str">
        <f t="shared" si="83"/>
        <v/>
      </c>
      <c r="R1025" s="57" t="str">
        <f t="shared" si="84"/>
        <v/>
      </c>
    </row>
    <row r="1026" spans="4:18" x14ac:dyDescent="0.25">
      <c r="D1026" s="43"/>
      <c r="E1026" s="55" t="str">
        <f t="shared" si="80"/>
        <v/>
      </c>
      <c r="F1026" s="55"/>
      <c r="G1026" s="55"/>
      <c r="H1026" s="55"/>
      <c r="I1026" s="55"/>
      <c r="J1026" s="55"/>
      <c r="K1026" s="46" t="str">
        <f t="shared" ca="1" si="81"/>
        <v/>
      </c>
      <c r="L1026" s="56" t="str">
        <f t="shared" ca="1" si="82"/>
        <v/>
      </c>
      <c r="Q1026" s="57" t="str">
        <f t="shared" si="83"/>
        <v/>
      </c>
      <c r="R1026" s="57" t="str">
        <f t="shared" si="84"/>
        <v/>
      </c>
    </row>
    <row r="1027" spans="4:18" x14ac:dyDescent="0.25">
      <c r="D1027" s="43"/>
      <c r="E1027" s="55" t="str">
        <f t="shared" si="80"/>
        <v/>
      </c>
      <c r="F1027" s="55"/>
      <c r="G1027" s="55"/>
      <c r="H1027" s="55"/>
      <c r="I1027" s="55"/>
      <c r="J1027" s="55"/>
      <c r="K1027" s="46" t="str">
        <f t="shared" ca="1" si="81"/>
        <v/>
      </c>
      <c r="L1027" s="56" t="str">
        <f t="shared" ca="1" si="82"/>
        <v/>
      </c>
      <c r="Q1027" s="57" t="str">
        <f t="shared" si="83"/>
        <v/>
      </c>
      <c r="R1027" s="57" t="str">
        <f t="shared" si="84"/>
        <v/>
      </c>
    </row>
    <row r="1028" spans="4:18" x14ac:dyDescent="0.25">
      <c r="D1028" s="43"/>
      <c r="E1028" s="55" t="str">
        <f t="shared" si="80"/>
        <v/>
      </c>
      <c r="F1028" s="55"/>
      <c r="G1028" s="55"/>
      <c r="H1028" s="55"/>
      <c r="I1028" s="55"/>
      <c r="J1028" s="55"/>
      <c r="K1028" s="46" t="str">
        <f t="shared" ca="1" si="81"/>
        <v/>
      </c>
      <c r="L1028" s="56" t="str">
        <f t="shared" ca="1" si="82"/>
        <v/>
      </c>
      <c r="Q1028" s="57" t="str">
        <f t="shared" si="83"/>
        <v/>
      </c>
      <c r="R1028" s="57" t="str">
        <f t="shared" si="84"/>
        <v/>
      </c>
    </row>
    <row r="1029" spans="4:18" x14ac:dyDescent="0.25">
      <c r="D1029" s="43"/>
      <c r="E1029" s="55" t="str">
        <f t="shared" si="80"/>
        <v/>
      </c>
      <c r="F1029" s="55"/>
      <c r="G1029" s="55"/>
      <c r="H1029" s="55"/>
      <c r="I1029" s="55"/>
      <c r="J1029" s="55"/>
      <c r="K1029" s="46" t="str">
        <f t="shared" ca="1" si="81"/>
        <v/>
      </c>
      <c r="L1029" s="56" t="str">
        <f t="shared" ca="1" si="82"/>
        <v/>
      </c>
      <c r="Q1029" s="57" t="str">
        <f t="shared" si="83"/>
        <v/>
      </c>
      <c r="R1029" s="57" t="str">
        <f t="shared" si="84"/>
        <v/>
      </c>
    </row>
    <row r="1030" spans="4:18" x14ac:dyDescent="0.25">
      <c r="D1030" s="43"/>
      <c r="E1030" s="55" t="str">
        <f t="shared" si="80"/>
        <v/>
      </c>
      <c r="F1030" s="55"/>
      <c r="G1030" s="55"/>
      <c r="H1030" s="55"/>
      <c r="I1030" s="55"/>
      <c r="J1030" s="55"/>
      <c r="K1030" s="46" t="str">
        <f t="shared" ca="1" si="81"/>
        <v/>
      </c>
      <c r="L1030" s="56" t="str">
        <f t="shared" ca="1" si="82"/>
        <v/>
      </c>
      <c r="Q1030" s="57" t="str">
        <f t="shared" si="83"/>
        <v/>
      </c>
      <c r="R1030" s="57" t="str">
        <f t="shared" si="84"/>
        <v/>
      </c>
    </row>
    <row r="1031" spans="4:18" x14ac:dyDescent="0.25">
      <c r="D1031" s="43"/>
      <c r="E1031" s="55" t="str">
        <f t="shared" si="80"/>
        <v/>
      </c>
      <c r="F1031" s="55"/>
      <c r="G1031" s="55"/>
      <c r="H1031" s="55"/>
      <c r="I1031" s="55"/>
      <c r="J1031" s="55"/>
      <c r="K1031" s="46" t="str">
        <f t="shared" ca="1" si="81"/>
        <v/>
      </c>
      <c r="L1031" s="56" t="str">
        <f t="shared" ca="1" si="82"/>
        <v/>
      </c>
      <c r="Q1031" s="57" t="str">
        <f t="shared" si="83"/>
        <v/>
      </c>
      <c r="R1031" s="57" t="str">
        <f t="shared" si="84"/>
        <v/>
      </c>
    </row>
    <row r="1032" spans="4:18" x14ac:dyDescent="0.25">
      <c r="D1032" s="43"/>
      <c r="E1032" s="55" t="str">
        <f t="shared" si="80"/>
        <v/>
      </c>
      <c r="F1032" s="55"/>
      <c r="G1032" s="55"/>
      <c r="H1032" s="55"/>
      <c r="I1032" s="55"/>
      <c r="J1032" s="55"/>
      <c r="K1032" s="46" t="str">
        <f t="shared" ca="1" si="81"/>
        <v/>
      </c>
      <c r="L1032" s="56" t="str">
        <f t="shared" ca="1" si="82"/>
        <v/>
      </c>
      <c r="Q1032" s="57" t="str">
        <f t="shared" si="83"/>
        <v/>
      </c>
      <c r="R1032" s="57" t="str">
        <f t="shared" si="84"/>
        <v/>
      </c>
    </row>
    <row r="1033" spans="4:18" x14ac:dyDescent="0.25">
      <c r="D1033" s="43"/>
      <c r="E1033" s="55" t="str">
        <f t="shared" si="80"/>
        <v/>
      </c>
      <c r="F1033" s="55"/>
      <c r="G1033" s="55"/>
      <c r="H1033" s="55"/>
      <c r="I1033" s="55"/>
      <c r="J1033" s="55"/>
      <c r="K1033" s="46" t="str">
        <f t="shared" ca="1" si="81"/>
        <v/>
      </c>
      <c r="L1033" s="56" t="str">
        <f t="shared" ca="1" si="82"/>
        <v/>
      </c>
      <c r="Q1033" s="57" t="str">
        <f t="shared" si="83"/>
        <v/>
      </c>
      <c r="R1033" s="57" t="str">
        <f t="shared" si="84"/>
        <v/>
      </c>
    </row>
    <row r="1034" spans="4:18" x14ac:dyDescent="0.25">
      <c r="D1034" s="43"/>
      <c r="E1034" s="55" t="str">
        <f t="shared" si="80"/>
        <v/>
      </c>
      <c r="F1034" s="55"/>
      <c r="G1034" s="55"/>
      <c r="H1034" s="55"/>
      <c r="I1034" s="55"/>
      <c r="J1034" s="55"/>
      <c r="K1034" s="46" t="str">
        <f t="shared" ca="1" si="81"/>
        <v/>
      </c>
      <c r="L1034" s="56" t="str">
        <f t="shared" ca="1" si="82"/>
        <v/>
      </c>
      <c r="Q1034" s="57" t="str">
        <f t="shared" si="83"/>
        <v/>
      </c>
      <c r="R1034" s="57" t="str">
        <f t="shared" si="84"/>
        <v/>
      </c>
    </row>
    <row r="1035" spans="4:18" x14ac:dyDescent="0.25">
      <c r="D1035" s="43"/>
      <c r="E1035" s="55" t="str">
        <f t="shared" si="80"/>
        <v/>
      </c>
      <c r="F1035" s="55"/>
      <c r="G1035" s="55"/>
      <c r="H1035" s="55"/>
      <c r="I1035" s="55"/>
      <c r="J1035" s="55"/>
      <c r="K1035" s="46" t="str">
        <f t="shared" ca="1" si="81"/>
        <v/>
      </c>
      <c r="L1035" s="56" t="str">
        <f t="shared" ca="1" si="82"/>
        <v/>
      </c>
      <c r="Q1035" s="57" t="str">
        <f t="shared" si="83"/>
        <v/>
      </c>
      <c r="R1035" s="57" t="str">
        <f t="shared" si="84"/>
        <v/>
      </c>
    </row>
    <row r="1036" spans="4:18" x14ac:dyDescent="0.25">
      <c r="D1036" s="43"/>
      <c r="E1036" s="55" t="str">
        <f t="shared" si="80"/>
        <v/>
      </c>
      <c r="F1036" s="55"/>
      <c r="G1036" s="55"/>
      <c r="H1036" s="55"/>
      <c r="I1036" s="55"/>
      <c r="J1036" s="55"/>
      <c r="K1036" s="46" t="str">
        <f t="shared" ca="1" si="81"/>
        <v/>
      </c>
      <c r="L1036" s="56" t="str">
        <f t="shared" ca="1" si="82"/>
        <v/>
      </c>
      <c r="Q1036" s="57" t="str">
        <f t="shared" si="83"/>
        <v/>
      </c>
      <c r="R1036" s="57" t="str">
        <f t="shared" si="84"/>
        <v/>
      </c>
    </row>
    <row r="1037" spans="4:18" x14ac:dyDescent="0.25">
      <c r="D1037" s="43"/>
      <c r="E1037" s="55" t="str">
        <f t="shared" si="80"/>
        <v/>
      </c>
      <c r="F1037" s="55"/>
      <c r="G1037" s="55"/>
      <c r="H1037" s="55"/>
      <c r="I1037" s="55"/>
      <c r="J1037" s="55"/>
      <c r="K1037" s="46" t="str">
        <f t="shared" ca="1" si="81"/>
        <v/>
      </c>
      <c r="L1037" s="56" t="str">
        <f t="shared" ca="1" si="82"/>
        <v/>
      </c>
      <c r="Q1037" s="57" t="str">
        <f t="shared" si="83"/>
        <v/>
      </c>
      <c r="R1037" s="57" t="str">
        <f t="shared" si="84"/>
        <v/>
      </c>
    </row>
    <row r="1038" spans="4:18" x14ac:dyDescent="0.25">
      <c r="D1038" s="43"/>
      <c r="E1038" s="55" t="str">
        <f t="shared" si="80"/>
        <v/>
      </c>
      <c r="F1038" s="55"/>
      <c r="G1038" s="55"/>
      <c r="H1038" s="55"/>
      <c r="I1038" s="55"/>
      <c r="J1038" s="55"/>
      <c r="K1038" s="46" t="str">
        <f t="shared" ca="1" si="81"/>
        <v/>
      </c>
      <c r="L1038" s="56" t="str">
        <f t="shared" ca="1" si="82"/>
        <v/>
      </c>
      <c r="Q1038" s="57" t="str">
        <f t="shared" si="83"/>
        <v/>
      </c>
      <c r="R1038" s="57" t="str">
        <f t="shared" si="84"/>
        <v/>
      </c>
    </row>
    <row r="1039" spans="4:18" x14ac:dyDescent="0.25">
      <c r="D1039" s="43"/>
      <c r="E1039" s="55" t="str">
        <f t="shared" si="80"/>
        <v/>
      </c>
      <c r="F1039" s="55"/>
      <c r="G1039" s="55"/>
      <c r="H1039" s="55"/>
      <c r="I1039" s="55"/>
      <c r="J1039" s="55"/>
      <c r="K1039" s="46" t="str">
        <f t="shared" ca="1" si="81"/>
        <v/>
      </c>
      <c r="L1039" s="56" t="str">
        <f t="shared" ca="1" si="82"/>
        <v/>
      </c>
      <c r="Q1039" s="57" t="str">
        <f t="shared" si="83"/>
        <v/>
      </c>
      <c r="R1039" s="57" t="str">
        <f t="shared" si="84"/>
        <v/>
      </c>
    </row>
    <row r="1040" spans="4:18" x14ac:dyDescent="0.25">
      <c r="D1040" s="43"/>
      <c r="E1040" s="55" t="str">
        <f t="shared" si="80"/>
        <v/>
      </c>
      <c r="F1040" s="55"/>
      <c r="G1040" s="55"/>
      <c r="H1040" s="55"/>
      <c r="I1040" s="55"/>
      <c r="J1040" s="55"/>
      <c r="K1040" s="46" t="str">
        <f t="shared" ca="1" si="81"/>
        <v/>
      </c>
      <c r="L1040" s="56" t="str">
        <f t="shared" ca="1" si="82"/>
        <v/>
      </c>
      <c r="Q1040" s="57" t="str">
        <f t="shared" si="83"/>
        <v/>
      </c>
      <c r="R1040" s="57" t="str">
        <f t="shared" si="84"/>
        <v/>
      </c>
    </row>
    <row r="1041" spans="4:18" x14ac:dyDescent="0.25">
      <c r="D1041" s="43"/>
      <c r="E1041" s="55" t="str">
        <f t="shared" si="80"/>
        <v/>
      </c>
      <c r="F1041" s="55"/>
      <c r="G1041" s="55"/>
      <c r="H1041" s="55"/>
      <c r="I1041" s="55"/>
      <c r="J1041" s="55"/>
      <c r="K1041" s="46" t="str">
        <f t="shared" ca="1" si="81"/>
        <v/>
      </c>
      <c r="L1041" s="56" t="str">
        <f t="shared" ca="1" si="82"/>
        <v/>
      </c>
      <c r="Q1041" s="57" t="str">
        <f t="shared" si="83"/>
        <v/>
      </c>
      <c r="R1041" s="57" t="str">
        <f t="shared" si="84"/>
        <v/>
      </c>
    </row>
    <row r="1042" spans="4:18" x14ac:dyDescent="0.25">
      <c r="D1042" s="43"/>
      <c r="E1042" s="55" t="str">
        <f t="shared" si="80"/>
        <v/>
      </c>
      <c r="F1042" s="55"/>
      <c r="G1042" s="55"/>
      <c r="H1042" s="55"/>
      <c r="I1042" s="55"/>
      <c r="J1042" s="55"/>
      <c r="K1042" s="46" t="str">
        <f t="shared" ca="1" si="81"/>
        <v/>
      </c>
      <c r="L1042" s="56" t="str">
        <f t="shared" ca="1" si="82"/>
        <v/>
      </c>
      <c r="Q1042" s="57" t="str">
        <f t="shared" si="83"/>
        <v/>
      </c>
      <c r="R1042" s="57" t="str">
        <f t="shared" si="84"/>
        <v/>
      </c>
    </row>
    <row r="1043" spans="4:18" x14ac:dyDescent="0.25">
      <c r="D1043" s="43"/>
      <c r="E1043" s="55" t="str">
        <f t="shared" si="80"/>
        <v/>
      </c>
      <c r="F1043" s="55"/>
      <c r="G1043" s="55"/>
      <c r="H1043" s="55"/>
      <c r="I1043" s="55"/>
      <c r="J1043" s="55"/>
      <c r="K1043" s="46" t="str">
        <f t="shared" ca="1" si="81"/>
        <v/>
      </c>
      <c r="L1043" s="56" t="str">
        <f t="shared" ca="1" si="82"/>
        <v/>
      </c>
      <c r="Q1043" s="57" t="str">
        <f t="shared" si="83"/>
        <v/>
      </c>
      <c r="R1043" s="57" t="str">
        <f t="shared" si="84"/>
        <v/>
      </c>
    </row>
    <row r="1044" spans="4:18" x14ac:dyDescent="0.25">
      <c r="D1044" s="43"/>
      <c r="E1044" s="55" t="str">
        <f t="shared" ref="E1044:E1107" si="85">IF(ISNUMBER(SEARCH("v crs",D1044))=TRUE,"VC",IF(ISNUMBER(SEARCH("crs",D1044))=TRUE,"C",IF(ISNUMBER(SEARCH("med",D1044))=TRUE,"M",IF(ISNUMBER(SEARCH("vf",D1044))=TRUE,"VF",IF(ISNUMBER(SEARCH("f",D1044))=TRUE,"F","")))))</f>
        <v/>
      </c>
      <c r="F1044" s="55"/>
      <c r="G1044" s="55"/>
      <c r="H1044" s="55"/>
      <c r="I1044" s="55"/>
      <c r="J1044" s="55"/>
      <c r="K1044" s="46" t="str">
        <f t="shared" ca="1" si="81"/>
        <v/>
      </c>
      <c r="L1044" s="56" t="str">
        <f t="shared" ca="1" si="82"/>
        <v/>
      </c>
      <c r="Q1044" s="57" t="str">
        <f t="shared" si="83"/>
        <v/>
      </c>
      <c r="R1044" s="57" t="str">
        <f t="shared" si="84"/>
        <v/>
      </c>
    </row>
    <row r="1045" spans="4:18" x14ac:dyDescent="0.25">
      <c r="D1045" s="43"/>
      <c r="E1045" s="55" t="str">
        <f t="shared" si="85"/>
        <v/>
      </c>
      <c r="F1045" s="55"/>
      <c r="G1045" s="55"/>
      <c r="H1045" s="55"/>
      <c r="I1045" s="55"/>
      <c r="J1045" s="55"/>
      <c r="K1045" s="46" t="str">
        <f t="shared" ref="K1045:K1108" ca="1" si="86">IF(AND(C1045&lt;&gt;"",C1045&lt;&gt;Q1045),TODAY(),IF(C1045="","",K1045))</f>
        <v/>
      </c>
      <c r="L1045" s="56" t="str">
        <f t="shared" ref="L1045:L1108" ca="1" si="87">IF(AND(C1045&lt;&gt;"",C1045&lt;&gt;R1045),NOW(),IF(C1045="","",L1045))</f>
        <v/>
      </c>
      <c r="Q1045" s="57" t="str">
        <f t="shared" ref="Q1045:Q1108" si="88">IF(C1045="","",IF(OR(K1045="",AND(ISNUMBER(Q1045),C1045=Q1045)),Q1045,C1045))</f>
        <v/>
      </c>
      <c r="R1045" s="57" t="str">
        <f t="shared" ref="R1045:R1108" si="89">IF(C1045="","",IF(OR(L1045="",AND(ISNUMBER(R1045),C1045=R1045)),R1045,C1045))</f>
        <v/>
      </c>
    </row>
    <row r="1046" spans="4:18" x14ac:dyDescent="0.25">
      <c r="D1046" s="43"/>
      <c r="E1046" s="55" t="str">
        <f t="shared" si="85"/>
        <v/>
      </c>
      <c r="F1046" s="55"/>
      <c r="G1046" s="55"/>
      <c r="H1046" s="55"/>
      <c r="I1046" s="55"/>
      <c r="J1046" s="55"/>
      <c r="K1046" s="46" t="str">
        <f t="shared" ca="1" si="86"/>
        <v/>
      </c>
      <c r="L1046" s="56" t="str">
        <f t="shared" ca="1" si="87"/>
        <v/>
      </c>
      <c r="Q1046" s="57" t="str">
        <f t="shared" si="88"/>
        <v/>
      </c>
      <c r="R1046" s="57" t="str">
        <f t="shared" si="89"/>
        <v/>
      </c>
    </row>
    <row r="1047" spans="4:18" x14ac:dyDescent="0.25">
      <c r="D1047" s="43"/>
      <c r="E1047" s="55" t="str">
        <f t="shared" si="85"/>
        <v/>
      </c>
      <c r="F1047" s="55"/>
      <c r="G1047" s="55"/>
      <c r="H1047" s="55"/>
      <c r="I1047" s="55"/>
      <c r="J1047" s="55"/>
      <c r="K1047" s="46" t="str">
        <f t="shared" ca="1" si="86"/>
        <v/>
      </c>
      <c r="L1047" s="56" t="str">
        <f t="shared" ca="1" si="87"/>
        <v/>
      </c>
      <c r="Q1047" s="57" t="str">
        <f t="shared" si="88"/>
        <v/>
      </c>
      <c r="R1047" s="57" t="str">
        <f t="shared" si="89"/>
        <v/>
      </c>
    </row>
    <row r="1048" spans="4:18" x14ac:dyDescent="0.25">
      <c r="D1048" s="43"/>
      <c r="E1048" s="55" t="str">
        <f t="shared" si="85"/>
        <v/>
      </c>
      <c r="F1048" s="55"/>
      <c r="G1048" s="55"/>
      <c r="H1048" s="55"/>
      <c r="I1048" s="55"/>
      <c r="J1048" s="55"/>
      <c r="K1048" s="46" t="str">
        <f t="shared" ca="1" si="86"/>
        <v/>
      </c>
      <c r="L1048" s="56" t="str">
        <f t="shared" ca="1" si="87"/>
        <v/>
      </c>
      <c r="Q1048" s="57" t="str">
        <f t="shared" si="88"/>
        <v/>
      </c>
      <c r="R1048" s="57" t="str">
        <f t="shared" si="89"/>
        <v/>
      </c>
    </row>
    <row r="1049" spans="4:18" x14ac:dyDescent="0.25">
      <c r="D1049" s="43"/>
      <c r="E1049" s="55" t="str">
        <f t="shared" si="85"/>
        <v/>
      </c>
      <c r="F1049" s="55"/>
      <c r="G1049" s="55"/>
      <c r="H1049" s="55"/>
      <c r="I1049" s="55"/>
      <c r="J1049" s="55"/>
      <c r="K1049" s="46" t="str">
        <f t="shared" ca="1" si="86"/>
        <v/>
      </c>
      <c r="L1049" s="56" t="str">
        <f t="shared" ca="1" si="87"/>
        <v/>
      </c>
      <c r="Q1049" s="57" t="str">
        <f t="shared" si="88"/>
        <v/>
      </c>
      <c r="R1049" s="57" t="str">
        <f t="shared" si="89"/>
        <v/>
      </c>
    </row>
    <row r="1050" spans="4:18" x14ac:dyDescent="0.25">
      <c r="D1050" s="43"/>
      <c r="E1050" s="55" t="str">
        <f t="shared" si="85"/>
        <v/>
      </c>
      <c r="F1050" s="55"/>
      <c r="G1050" s="55"/>
      <c r="H1050" s="55"/>
      <c r="I1050" s="55"/>
      <c r="J1050" s="55"/>
      <c r="K1050" s="46" t="str">
        <f t="shared" ca="1" si="86"/>
        <v/>
      </c>
      <c r="L1050" s="56" t="str">
        <f t="shared" ca="1" si="87"/>
        <v/>
      </c>
      <c r="Q1050" s="57" t="str">
        <f t="shared" si="88"/>
        <v/>
      </c>
      <c r="R1050" s="57" t="str">
        <f t="shared" si="89"/>
        <v/>
      </c>
    </row>
    <row r="1051" spans="4:18" x14ac:dyDescent="0.25">
      <c r="D1051" s="43"/>
      <c r="E1051" s="55" t="str">
        <f t="shared" si="85"/>
        <v/>
      </c>
      <c r="F1051" s="55"/>
      <c r="G1051" s="55"/>
      <c r="H1051" s="55"/>
      <c r="I1051" s="55"/>
      <c r="J1051" s="55"/>
      <c r="K1051" s="46" t="str">
        <f t="shared" ca="1" si="86"/>
        <v/>
      </c>
      <c r="L1051" s="56" t="str">
        <f t="shared" ca="1" si="87"/>
        <v/>
      </c>
      <c r="Q1051" s="57" t="str">
        <f t="shared" si="88"/>
        <v/>
      </c>
      <c r="R1051" s="57" t="str">
        <f t="shared" si="89"/>
        <v/>
      </c>
    </row>
    <row r="1052" spans="4:18" x14ac:dyDescent="0.25">
      <c r="D1052" s="43"/>
      <c r="E1052" s="55" t="str">
        <f t="shared" si="85"/>
        <v/>
      </c>
      <c r="F1052" s="55"/>
      <c r="G1052" s="55"/>
      <c r="H1052" s="55"/>
      <c r="I1052" s="55"/>
      <c r="J1052" s="55"/>
      <c r="K1052" s="46" t="str">
        <f t="shared" ca="1" si="86"/>
        <v/>
      </c>
      <c r="L1052" s="56" t="str">
        <f t="shared" ca="1" si="87"/>
        <v/>
      </c>
      <c r="Q1052" s="57" t="str">
        <f t="shared" si="88"/>
        <v/>
      </c>
      <c r="R1052" s="57" t="str">
        <f t="shared" si="89"/>
        <v/>
      </c>
    </row>
    <row r="1053" spans="4:18" x14ac:dyDescent="0.25">
      <c r="D1053" s="43"/>
      <c r="E1053" s="55" t="str">
        <f t="shared" si="85"/>
        <v/>
      </c>
      <c r="F1053" s="55"/>
      <c r="G1053" s="55"/>
      <c r="H1053" s="55"/>
      <c r="I1053" s="55"/>
      <c r="J1053" s="55"/>
      <c r="K1053" s="46" t="str">
        <f t="shared" ca="1" si="86"/>
        <v/>
      </c>
      <c r="L1053" s="56" t="str">
        <f t="shared" ca="1" si="87"/>
        <v/>
      </c>
      <c r="Q1053" s="57" t="str">
        <f t="shared" si="88"/>
        <v/>
      </c>
      <c r="R1053" s="57" t="str">
        <f t="shared" si="89"/>
        <v/>
      </c>
    </row>
    <row r="1054" spans="4:18" x14ac:dyDescent="0.25">
      <c r="D1054" s="43"/>
      <c r="E1054" s="55" t="str">
        <f t="shared" si="85"/>
        <v/>
      </c>
      <c r="F1054" s="55"/>
      <c r="G1054" s="55"/>
      <c r="H1054" s="55"/>
      <c r="I1054" s="55"/>
      <c r="J1054" s="55"/>
      <c r="K1054" s="46" t="str">
        <f t="shared" ca="1" si="86"/>
        <v/>
      </c>
      <c r="L1054" s="56" t="str">
        <f t="shared" ca="1" si="87"/>
        <v/>
      </c>
      <c r="Q1054" s="57" t="str">
        <f t="shared" si="88"/>
        <v/>
      </c>
      <c r="R1054" s="57" t="str">
        <f t="shared" si="89"/>
        <v/>
      </c>
    </row>
    <row r="1055" spans="4:18" x14ac:dyDescent="0.25">
      <c r="D1055" s="43"/>
      <c r="E1055" s="55" t="str">
        <f t="shared" si="85"/>
        <v/>
      </c>
      <c r="F1055" s="55"/>
      <c r="G1055" s="55"/>
      <c r="H1055" s="55"/>
      <c r="I1055" s="55"/>
      <c r="J1055" s="55"/>
      <c r="K1055" s="46" t="str">
        <f t="shared" ca="1" si="86"/>
        <v/>
      </c>
      <c r="L1055" s="56" t="str">
        <f t="shared" ca="1" si="87"/>
        <v/>
      </c>
      <c r="Q1055" s="57" t="str">
        <f t="shared" si="88"/>
        <v/>
      </c>
      <c r="R1055" s="57" t="str">
        <f t="shared" si="89"/>
        <v/>
      </c>
    </row>
    <row r="1056" spans="4:18" x14ac:dyDescent="0.25">
      <c r="D1056" s="43"/>
      <c r="E1056" s="55" t="str">
        <f t="shared" si="85"/>
        <v/>
      </c>
      <c r="F1056" s="55"/>
      <c r="G1056" s="55"/>
      <c r="H1056" s="55"/>
      <c r="I1056" s="55"/>
      <c r="J1056" s="55"/>
      <c r="K1056" s="46" t="str">
        <f t="shared" ca="1" si="86"/>
        <v/>
      </c>
      <c r="L1056" s="56" t="str">
        <f t="shared" ca="1" si="87"/>
        <v/>
      </c>
      <c r="Q1056" s="57" t="str">
        <f t="shared" si="88"/>
        <v/>
      </c>
      <c r="R1056" s="57" t="str">
        <f t="shared" si="89"/>
        <v/>
      </c>
    </row>
    <row r="1057" spans="4:18" x14ac:dyDescent="0.25">
      <c r="D1057" s="43"/>
      <c r="E1057" s="55" t="str">
        <f t="shared" si="85"/>
        <v/>
      </c>
      <c r="F1057" s="55"/>
      <c r="G1057" s="55"/>
      <c r="H1057" s="55"/>
      <c r="I1057" s="55"/>
      <c r="J1057" s="55"/>
      <c r="K1057" s="46" t="str">
        <f t="shared" ca="1" si="86"/>
        <v/>
      </c>
      <c r="L1057" s="56" t="str">
        <f t="shared" ca="1" si="87"/>
        <v/>
      </c>
      <c r="Q1057" s="57" t="str">
        <f t="shared" si="88"/>
        <v/>
      </c>
      <c r="R1057" s="57" t="str">
        <f t="shared" si="89"/>
        <v/>
      </c>
    </row>
    <row r="1058" spans="4:18" x14ac:dyDescent="0.25">
      <c r="D1058" s="43"/>
      <c r="E1058" s="55" t="str">
        <f t="shared" si="85"/>
        <v/>
      </c>
      <c r="F1058" s="55"/>
      <c r="G1058" s="55"/>
      <c r="H1058" s="55"/>
      <c r="I1058" s="55"/>
      <c r="J1058" s="55"/>
      <c r="K1058" s="46" t="str">
        <f t="shared" ca="1" si="86"/>
        <v/>
      </c>
      <c r="L1058" s="56" t="str">
        <f t="shared" ca="1" si="87"/>
        <v/>
      </c>
      <c r="Q1058" s="57" t="str">
        <f t="shared" si="88"/>
        <v/>
      </c>
      <c r="R1058" s="57" t="str">
        <f t="shared" si="89"/>
        <v/>
      </c>
    </row>
    <row r="1059" spans="4:18" x14ac:dyDescent="0.25">
      <c r="D1059" s="43"/>
      <c r="E1059" s="55" t="str">
        <f t="shared" si="85"/>
        <v/>
      </c>
      <c r="F1059" s="55"/>
      <c r="G1059" s="55"/>
      <c r="H1059" s="55"/>
      <c r="I1059" s="55"/>
      <c r="J1059" s="55"/>
      <c r="K1059" s="46" t="str">
        <f t="shared" ca="1" si="86"/>
        <v/>
      </c>
      <c r="L1059" s="56" t="str">
        <f t="shared" ca="1" si="87"/>
        <v/>
      </c>
      <c r="Q1059" s="57" t="str">
        <f t="shared" si="88"/>
        <v/>
      </c>
      <c r="R1059" s="57" t="str">
        <f t="shared" si="89"/>
        <v/>
      </c>
    </row>
    <row r="1060" spans="4:18" x14ac:dyDescent="0.25">
      <c r="D1060" s="43"/>
      <c r="E1060" s="55" t="str">
        <f t="shared" si="85"/>
        <v/>
      </c>
      <c r="F1060" s="55"/>
      <c r="G1060" s="55"/>
      <c r="H1060" s="55"/>
      <c r="I1060" s="55"/>
      <c r="J1060" s="55"/>
      <c r="K1060" s="46" t="str">
        <f t="shared" ca="1" si="86"/>
        <v/>
      </c>
      <c r="L1060" s="56" t="str">
        <f t="shared" ca="1" si="87"/>
        <v/>
      </c>
      <c r="Q1060" s="57" t="str">
        <f t="shared" si="88"/>
        <v/>
      </c>
      <c r="R1060" s="57" t="str">
        <f t="shared" si="89"/>
        <v/>
      </c>
    </row>
    <row r="1061" spans="4:18" x14ac:dyDescent="0.25">
      <c r="D1061" s="43"/>
      <c r="E1061" s="55" t="str">
        <f t="shared" si="85"/>
        <v/>
      </c>
      <c r="F1061" s="55"/>
      <c r="G1061" s="55"/>
      <c r="H1061" s="55"/>
      <c r="I1061" s="55"/>
      <c r="J1061" s="55"/>
      <c r="K1061" s="46" t="str">
        <f t="shared" ca="1" si="86"/>
        <v/>
      </c>
      <c r="L1061" s="56" t="str">
        <f t="shared" ca="1" si="87"/>
        <v/>
      </c>
      <c r="Q1061" s="57" t="str">
        <f t="shared" si="88"/>
        <v/>
      </c>
      <c r="R1061" s="57" t="str">
        <f t="shared" si="89"/>
        <v/>
      </c>
    </row>
    <row r="1062" spans="4:18" x14ac:dyDescent="0.25">
      <c r="D1062" s="43"/>
      <c r="E1062" s="55" t="str">
        <f t="shared" si="85"/>
        <v/>
      </c>
      <c r="F1062" s="55"/>
      <c r="G1062" s="55"/>
      <c r="H1062" s="55"/>
      <c r="I1062" s="55"/>
      <c r="J1062" s="55"/>
      <c r="K1062" s="46" t="str">
        <f t="shared" ca="1" si="86"/>
        <v/>
      </c>
      <c r="L1062" s="56" t="str">
        <f t="shared" ca="1" si="87"/>
        <v/>
      </c>
      <c r="Q1062" s="57" t="str">
        <f t="shared" si="88"/>
        <v/>
      </c>
      <c r="R1062" s="57" t="str">
        <f t="shared" si="89"/>
        <v/>
      </c>
    </row>
    <row r="1063" spans="4:18" x14ac:dyDescent="0.25">
      <c r="D1063" s="43"/>
      <c r="E1063" s="55" t="str">
        <f t="shared" si="85"/>
        <v/>
      </c>
      <c r="F1063" s="55"/>
      <c r="G1063" s="55"/>
      <c r="H1063" s="55"/>
      <c r="I1063" s="55"/>
      <c r="J1063" s="55"/>
      <c r="K1063" s="46" t="str">
        <f t="shared" ca="1" si="86"/>
        <v/>
      </c>
      <c r="L1063" s="56" t="str">
        <f t="shared" ca="1" si="87"/>
        <v/>
      </c>
      <c r="Q1063" s="57" t="str">
        <f t="shared" si="88"/>
        <v/>
      </c>
      <c r="R1063" s="57" t="str">
        <f t="shared" si="89"/>
        <v/>
      </c>
    </row>
    <row r="1064" spans="4:18" x14ac:dyDescent="0.25">
      <c r="D1064" s="43"/>
      <c r="E1064" s="55" t="str">
        <f t="shared" si="85"/>
        <v/>
      </c>
      <c r="F1064" s="55"/>
      <c r="G1064" s="55"/>
      <c r="H1064" s="55"/>
      <c r="I1064" s="55"/>
      <c r="J1064" s="55"/>
      <c r="K1064" s="46" t="str">
        <f t="shared" ca="1" si="86"/>
        <v/>
      </c>
      <c r="L1064" s="56" t="str">
        <f t="shared" ca="1" si="87"/>
        <v/>
      </c>
      <c r="Q1064" s="57" t="str">
        <f t="shared" si="88"/>
        <v/>
      </c>
      <c r="R1064" s="57" t="str">
        <f t="shared" si="89"/>
        <v/>
      </c>
    </row>
    <row r="1065" spans="4:18" x14ac:dyDescent="0.25">
      <c r="D1065" s="43"/>
      <c r="E1065" s="55" t="str">
        <f t="shared" si="85"/>
        <v/>
      </c>
      <c r="F1065" s="55"/>
      <c r="G1065" s="55"/>
      <c r="H1065" s="55"/>
      <c r="I1065" s="55"/>
      <c r="J1065" s="55"/>
      <c r="K1065" s="46" t="str">
        <f t="shared" ca="1" si="86"/>
        <v/>
      </c>
      <c r="L1065" s="56" t="str">
        <f t="shared" ca="1" si="87"/>
        <v/>
      </c>
      <c r="Q1065" s="57" t="str">
        <f t="shared" si="88"/>
        <v/>
      </c>
      <c r="R1065" s="57" t="str">
        <f t="shared" si="89"/>
        <v/>
      </c>
    </row>
    <row r="1066" spans="4:18" x14ac:dyDescent="0.25">
      <c r="D1066" s="43"/>
      <c r="E1066" s="55" t="str">
        <f t="shared" si="85"/>
        <v/>
      </c>
      <c r="F1066" s="55"/>
      <c r="G1066" s="55"/>
      <c r="H1066" s="55"/>
      <c r="I1066" s="55"/>
      <c r="J1066" s="55"/>
      <c r="K1066" s="46" t="str">
        <f t="shared" ca="1" si="86"/>
        <v/>
      </c>
      <c r="L1066" s="56" t="str">
        <f t="shared" ca="1" si="87"/>
        <v/>
      </c>
      <c r="Q1066" s="57" t="str">
        <f t="shared" si="88"/>
        <v/>
      </c>
      <c r="R1066" s="57" t="str">
        <f t="shared" si="89"/>
        <v/>
      </c>
    </row>
    <row r="1067" spans="4:18" x14ac:dyDescent="0.25">
      <c r="D1067" s="43"/>
      <c r="E1067" s="55" t="str">
        <f t="shared" si="85"/>
        <v/>
      </c>
      <c r="F1067" s="55"/>
      <c r="G1067" s="55"/>
      <c r="H1067" s="55"/>
      <c r="I1067" s="55"/>
      <c r="J1067" s="55"/>
      <c r="K1067" s="46" t="str">
        <f t="shared" ca="1" si="86"/>
        <v/>
      </c>
      <c r="L1067" s="56" t="str">
        <f t="shared" ca="1" si="87"/>
        <v/>
      </c>
      <c r="Q1067" s="57" t="str">
        <f t="shared" si="88"/>
        <v/>
      </c>
      <c r="R1067" s="57" t="str">
        <f t="shared" si="89"/>
        <v/>
      </c>
    </row>
    <row r="1068" spans="4:18" x14ac:dyDescent="0.25">
      <c r="D1068" s="43"/>
      <c r="E1068" s="55" t="str">
        <f t="shared" si="85"/>
        <v/>
      </c>
      <c r="F1068" s="55"/>
      <c r="G1068" s="55"/>
      <c r="H1068" s="55"/>
      <c r="I1068" s="55"/>
      <c r="J1068" s="55"/>
      <c r="K1068" s="46" t="str">
        <f t="shared" ca="1" si="86"/>
        <v/>
      </c>
      <c r="L1068" s="56" t="str">
        <f t="shared" ca="1" si="87"/>
        <v/>
      </c>
      <c r="Q1068" s="57" t="str">
        <f t="shared" si="88"/>
        <v/>
      </c>
      <c r="R1068" s="57" t="str">
        <f t="shared" si="89"/>
        <v/>
      </c>
    </row>
    <row r="1069" spans="4:18" x14ac:dyDescent="0.25">
      <c r="D1069" s="43"/>
      <c r="E1069" s="55" t="str">
        <f t="shared" si="85"/>
        <v/>
      </c>
      <c r="F1069" s="55"/>
      <c r="G1069" s="55"/>
      <c r="H1069" s="55"/>
      <c r="I1069" s="55"/>
      <c r="J1069" s="55"/>
      <c r="K1069" s="46" t="str">
        <f t="shared" ca="1" si="86"/>
        <v/>
      </c>
      <c r="L1069" s="56" t="str">
        <f t="shared" ca="1" si="87"/>
        <v/>
      </c>
      <c r="Q1069" s="57" t="str">
        <f t="shared" si="88"/>
        <v/>
      </c>
      <c r="R1069" s="57" t="str">
        <f t="shared" si="89"/>
        <v/>
      </c>
    </row>
    <row r="1070" spans="4:18" x14ac:dyDescent="0.25">
      <c r="D1070" s="43"/>
      <c r="E1070" s="55" t="str">
        <f t="shared" si="85"/>
        <v/>
      </c>
      <c r="F1070" s="55"/>
      <c r="G1070" s="55"/>
      <c r="H1070" s="55"/>
      <c r="I1070" s="55"/>
      <c r="J1070" s="55"/>
      <c r="K1070" s="46" t="str">
        <f t="shared" ca="1" si="86"/>
        <v/>
      </c>
      <c r="L1070" s="56" t="str">
        <f t="shared" ca="1" si="87"/>
        <v/>
      </c>
      <c r="Q1070" s="57" t="str">
        <f t="shared" si="88"/>
        <v/>
      </c>
      <c r="R1070" s="57" t="str">
        <f t="shared" si="89"/>
        <v/>
      </c>
    </row>
    <row r="1071" spans="4:18" x14ac:dyDescent="0.25">
      <c r="D1071" s="43"/>
      <c r="E1071" s="55" t="str">
        <f t="shared" si="85"/>
        <v/>
      </c>
      <c r="F1071" s="55"/>
      <c r="G1071" s="55"/>
      <c r="H1071" s="55"/>
      <c r="I1071" s="55"/>
      <c r="J1071" s="55"/>
      <c r="K1071" s="46" t="str">
        <f t="shared" ca="1" si="86"/>
        <v/>
      </c>
      <c r="L1071" s="56" t="str">
        <f t="shared" ca="1" si="87"/>
        <v/>
      </c>
      <c r="Q1071" s="57" t="str">
        <f t="shared" si="88"/>
        <v/>
      </c>
      <c r="R1071" s="57" t="str">
        <f t="shared" si="89"/>
        <v/>
      </c>
    </row>
    <row r="1072" spans="4:18" x14ac:dyDescent="0.25">
      <c r="D1072" s="43"/>
      <c r="E1072" s="55" t="str">
        <f t="shared" si="85"/>
        <v/>
      </c>
      <c r="F1072" s="55"/>
      <c r="G1072" s="55"/>
      <c r="H1072" s="55"/>
      <c r="I1072" s="55"/>
      <c r="J1072" s="55"/>
      <c r="K1072" s="46" t="str">
        <f t="shared" ca="1" si="86"/>
        <v/>
      </c>
      <c r="L1072" s="56" t="str">
        <f t="shared" ca="1" si="87"/>
        <v/>
      </c>
      <c r="Q1072" s="57" t="str">
        <f t="shared" si="88"/>
        <v/>
      </c>
      <c r="R1072" s="57" t="str">
        <f t="shared" si="89"/>
        <v/>
      </c>
    </row>
    <row r="1073" spans="4:18" x14ac:dyDescent="0.25">
      <c r="D1073" s="43"/>
      <c r="E1073" s="55" t="str">
        <f t="shared" si="85"/>
        <v/>
      </c>
      <c r="F1073" s="55"/>
      <c r="G1073" s="55"/>
      <c r="H1073" s="55"/>
      <c r="I1073" s="55"/>
      <c r="J1073" s="55"/>
      <c r="K1073" s="46" t="str">
        <f t="shared" ca="1" si="86"/>
        <v/>
      </c>
      <c r="L1073" s="56" t="str">
        <f t="shared" ca="1" si="87"/>
        <v/>
      </c>
      <c r="Q1073" s="57" t="str">
        <f t="shared" si="88"/>
        <v/>
      </c>
      <c r="R1073" s="57" t="str">
        <f t="shared" si="89"/>
        <v/>
      </c>
    </row>
    <row r="1074" spans="4:18" x14ac:dyDescent="0.25">
      <c r="D1074" s="43"/>
      <c r="E1074" s="55" t="str">
        <f t="shared" si="85"/>
        <v/>
      </c>
      <c r="F1074" s="55"/>
      <c r="G1074" s="55"/>
      <c r="H1074" s="55"/>
      <c r="I1074" s="55"/>
      <c r="J1074" s="55"/>
      <c r="K1074" s="46" t="str">
        <f t="shared" ca="1" si="86"/>
        <v/>
      </c>
      <c r="L1074" s="56" t="str">
        <f t="shared" ca="1" si="87"/>
        <v/>
      </c>
      <c r="Q1074" s="57" t="str">
        <f t="shared" si="88"/>
        <v/>
      </c>
      <c r="R1074" s="57" t="str">
        <f t="shared" si="89"/>
        <v/>
      </c>
    </row>
    <row r="1075" spans="4:18" x14ac:dyDescent="0.25">
      <c r="D1075" s="43"/>
      <c r="E1075" s="55" t="str">
        <f t="shared" si="85"/>
        <v/>
      </c>
      <c r="F1075" s="55"/>
      <c r="G1075" s="55"/>
      <c r="H1075" s="55"/>
      <c r="I1075" s="55"/>
      <c r="J1075" s="55"/>
      <c r="K1075" s="46" t="str">
        <f t="shared" ca="1" si="86"/>
        <v/>
      </c>
      <c r="L1075" s="56" t="str">
        <f t="shared" ca="1" si="87"/>
        <v/>
      </c>
      <c r="Q1075" s="57" t="str">
        <f t="shared" si="88"/>
        <v/>
      </c>
      <c r="R1075" s="57" t="str">
        <f t="shared" si="89"/>
        <v/>
      </c>
    </row>
    <row r="1076" spans="4:18" x14ac:dyDescent="0.25">
      <c r="D1076" s="43"/>
      <c r="E1076" s="55" t="str">
        <f t="shared" si="85"/>
        <v/>
      </c>
      <c r="F1076" s="55"/>
      <c r="G1076" s="55"/>
      <c r="H1076" s="55"/>
      <c r="I1076" s="55"/>
      <c r="J1076" s="55"/>
      <c r="K1076" s="46" t="str">
        <f t="shared" ca="1" si="86"/>
        <v/>
      </c>
      <c r="L1076" s="56" t="str">
        <f t="shared" ca="1" si="87"/>
        <v/>
      </c>
      <c r="Q1076" s="57" t="str">
        <f t="shared" si="88"/>
        <v/>
      </c>
      <c r="R1076" s="57" t="str">
        <f t="shared" si="89"/>
        <v/>
      </c>
    </row>
    <row r="1077" spans="4:18" x14ac:dyDescent="0.25">
      <c r="D1077" s="43"/>
      <c r="E1077" s="55" t="str">
        <f t="shared" si="85"/>
        <v/>
      </c>
      <c r="F1077" s="55"/>
      <c r="G1077" s="55"/>
      <c r="H1077" s="55"/>
      <c r="I1077" s="55"/>
      <c r="J1077" s="55"/>
      <c r="K1077" s="46" t="str">
        <f t="shared" ca="1" si="86"/>
        <v/>
      </c>
      <c r="L1077" s="56" t="str">
        <f t="shared" ca="1" si="87"/>
        <v/>
      </c>
      <c r="Q1077" s="57" t="str">
        <f t="shared" si="88"/>
        <v/>
      </c>
      <c r="R1077" s="57" t="str">
        <f t="shared" si="89"/>
        <v/>
      </c>
    </row>
    <row r="1078" spans="4:18" x14ac:dyDescent="0.25">
      <c r="D1078" s="43"/>
      <c r="E1078" s="55" t="str">
        <f t="shared" si="85"/>
        <v/>
      </c>
      <c r="F1078" s="55"/>
      <c r="G1078" s="55"/>
      <c r="H1078" s="55"/>
      <c r="I1078" s="55"/>
      <c r="J1078" s="55"/>
      <c r="K1078" s="46" t="str">
        <f t="shared" ca="1" si="86"/>
        <v/>
      </c>
      <c r="L1078" s="56" t="str">
        <f t="shared" ca="1" si="87"/>
        <v/>
      </c>
      <c r="Q1078" s="57" t="str">
        <f t="shared" si="88"/>
        <v/>
      </c>
      <c r="R1078" s="57" t="str">
        <f t="shared" si="89"/>
        <v/>
      </c>
    </row>
    <row r="1079" spans="4:18" x14ac:dyDescent="0.25">
      <c r="D1079" s="43"/>
      <c r="E1079" s="55" t="str">
        <f t="shared" si="85"/>
        <v/>
      </c>
      <c r="F1079" s="55"/>
      <c r="G1079" s="55"/>
      <c r="H1079" s="55"/>
      <c r="I1079" s="55"/>
      <c r="J1079" s="55"/>
      <c r="K1079" s="46" t="str">
        <f t="shared" ca="1" si="86"/>
        <v/>
      </c>
      <c r="L1079" s="56" t="str">
        <f t="shared" ca="1" si="87"/>
        <v/>
      </c>
      <c r="Q1079" s="57" t="str">
        <f t="shared" si="88"/>
        <v/>
      </c>
      <c r="R1079" s="57" t="str">
        <f t="shared" si="89"/>
        <v/>
      </c>
    </row>
    <row r="1080" spans="4:18" x14ac:dyDescent="0.25">
      <c r="D1080" s="43"/>
      <c r="E1080" s="55" t="str">
        <f t="shared" si="85"/>
        <v/>
      </c>
      <c r="F1080" s="55"/>
      <c r="G1080" s="55"/>
      <c r="H1080" s="55"/>
      <c r="I1080" s="55"/>
      <c r="J1080" s="55"/>
      <c r="K1080" s="46" t="str">
        <f t="shared" ca="1" si="86"/>
        <v/>
      </c>
      <c r="L1080" s="56" t="str">
        <f t="shared" ca="1" si="87"/>
        <v/>
      </c>
      <c r="Q1080" s="57" t="str">
        <f t="shared" si="88"/>
        <v/>
      </c>
      <c r="R1080" s="57" t="str">
        <f t="shared" si="89"/>
        <v/>
      </c>
    </row>
    <row r="1081" spans="4:18" x14ac:dyDescent="0.25">
      <c r="D1081" s="43"/>
      <c r="E1081" s="55" t="str">
        <f t="shared" si="85"/>
        <v/>
      </c>
      <c r="F1081" s="55"/>
      <c r="G1081" s="55"/>
      <c r="H1081" s="55"/>
      <c r="I1081" s="55"/>
      <c r="J1081" s="55"/>
      <c r="K1081" s="46" t="str">
        <f t="shared" ca="1" si="86"/>
        <v/>
      </c>
      <c r="L1081" s="56" t="str">
        <f t="shared" ca="1" si="87"/>
        <v/>
      </c>
      <c r="Q1081" s="57" t="str">
        <f t="shared" si="88"/>
        <v/>
      </c>
      <c r="R1081" s="57" t="str">
        <f t="shared" si="89"/>
        <v/>
      </c>
    </row>
    <row r="1082" spans="4:18" x14ac:dyDescent="0.25">
      <c r="D1082" s="43"/>
      <c r="E1082" s="55" t="str">
        <f t="shared" si="85"/>
        <v/>
      </c>
      <c r="F1082" s="55"/>
      <c r="G1082" s="55"/>
      <c r="H1082" s="55"/>
      <c r="I1082" s="55"/>
      <c r="J1082" s="55"/>
      <c r="K1082" s="46" t="str">
        <f t="shared" ca="1" si="86"/>
        <v/>
      </c>
      <c r="L1082" s="56" t="str">
        <f t="shared" ca="1" si="87"/>
        <v/>
      </c>
      <c r="Q1082" s="57" t="str">
        <f t="shared" si="88"/>
        <v/>
      </c>
      <c r="R1082" s="57" t="str">
        <f t="shared" si="89"/>
        <v/>
      </c>
    </row>
    <row r="1083" spans="4:18" x14ac:dyDescent="0.25">
      <c r="D1083" s="43"/>
      <c r="E1083" s="55" t="str">
        <f t="shared" si="85"/>
        <v/>
      </c>
      <c r="F1083" s="55"/>
      <c r="G1083" s="55"/>
      <c r="H1083" s="55"/>
      <c r="I1083" s="55"/>
      <c r="J1083" s="55"/>
      <c r="K1083" s="46" t="str">
        <f t="shared" ca="1" si="86"/>
        <v/>
      </c>
      <c r="L1083" s="56" t="str">
        <f t="shared" ca="1" si="87"/>
        <v/>
      </c>
      <c r="Q1083" s="57" t="str">
        <f t="shared" si="88"/>
        <v/>
      </c>
      <c r="R1083" s="57" t="str">
        <f t="shared" si="89"/>
        <v/>
      </c>
    </row>
    <row r="1084" spans="4:18" x14ac:dyDescent="0.25">
      <c r="D1084" s="43"/>
      <c r="E1084" s="55" t="str">
        <f t="shared" si="85"/>
        <v/>
      </c>
      <c r="F1084" s="55"/>
      <c r="G1084" s="55"/>
      <c r="H1084" s="55"/>
      <c r="I1084" s="55"/>
      <c r="J1084" s="55"/>
      <c r="K1084" s="46" t="str">
        <f t="shared" ca="1" si="86"/>
        <v/>
      </c>
      <c r="L1084" s="56" t="str">
        <f t="shared" ca="1" si="87"/>
        <v/>
      </c>
      <c r="Q1084" s="57" t="str">
        <f t="shared" si="88"/>
        <v/>
      </c>
      <c r="R1084" s="57" t="str">
        <f t="shared" si="89"/>
        <v/>
      </c>
    </row>
    <row r="1085" spans="4:18" x14ac:dyDescent="0.25">
      <c r="D1085" s="43"/>
      <c r="E1085" s="55" t="str">
        <f t="shared" si="85"/>
        <v/>
      </c>
      <c r="F1085" s="55"/>
      <c r="G1085" s="55"/>
      <c r="H1085" s="55"/>
      <c r="I1085" s="55"/>
      <c r="J1085" s="55"/>
      <c r="K1085" s="46" t="str">
        <f t="shared" ca="1" si="86"/>
        <v/>
      </c>
      <c r="L1085" s="56" t="str">
        <f t="shared" ca="1" si="87"/>
        <v/>
      </c>
      <c r="Q1085" s="57" t="str">
        <f t="shared" si="88"/>
        <v/>
      </c>
      <c r="R1085" s="57" t="str">
        <f t="shared" si="89"/>
        <v/>
      </c>
    </row>
    <row r="1086" spans="4:18" x14ac:dyDescent="0.25">
      <c r="D1086" s="43"/>
      <c r="E1086" s="55" t="str">
        <f t="shared" si="85"/>
        <v/>
      </c>
      <c r="F1086" s="55"/>
      <c r="G1086" s="55"/>
      <c r="H1086" s="55"/>
      <c r="I1086" s="55"/>
      <c r="J1086" s="55"/>
      <c r="K1086" s="46" t="str">
        <f t="shared" ca="1" si="86"/>
        <v/>
      </c>
      <c r="L1086" s="56" t="str">
        <f t="shared" ca="1" si="87"/>
        <v/>
      </c>
      <c r="Q1086" s="57" t="str">
        <f t="shared" si="88"/>
        <v/>
      </c>
      <c r="R1086" s="57" t="str">
        <f t="shared" si="89"/>
        <v/>
      </c>
    </row>
    <row r="1087" spans="4:18" x14ac:dyDescent="0.25">
      <c r="D1087" s="43"/>
      <c r="E1087" s="55" t="str">
        <f t="shared" si="85"/>
        <v/>
      </c>
      <c r="F1087" s="55"/>
      <c r="G1087" s="55"/>
      <c r="H1087" s="55"/>
      <c r="I1087" s="55"/>
      <c r="J1087" s="55"/>
      <c r="K1087" s="46" t="str">
        <f t="shared" ca="1" si="86"/>
        <v/>
      </c>
      <c r="L1087" s="56" t="str">
        <f t="shared" ca="1" si="87"/>
        <v/>
      </c>
      <c r="Q1087" s="57" t="str">
        <f t="shared" si="88"/>
        <v/>
      </c>
      <c r="R1087" s="57" t="str">
        <f t="shared" si="89"/>
        <v/>
      </c>
    </row>
    <row r="1088" spans="4:18" x14ac:dyDescent="0.25">
      <c r="D1088" s="43"/>
      <c r="E1088" s="55" t="str">
        <f t="shared" si="85"/>
        <v/>
      </c>
      <c r="F1088" s="55"/>
      <c r="G1088" s="55"/>
      <c r="H1088" s="55"/>
      <c r="I1088" s="55"/>
      <c r="J1088" s="55"/>
      <c r="K1088" s="46" t="str">
        <f t="shared" ca="1" si="86"/>
        <v/>
      </c>
      <c r="L1088" s="56" t="str">
        <f t="shared" ca="1" si="87"/>
        <v/>
      </c>
      <c r="Q1088" s="57" t="str">
        <f t="shared" si="88"/>
        <v/>
      </c>
      <c r="R1088" s="57" t="str">
        <f t="shared" si="89"/>
        <v/>
      </c>
    </row>
    <row r="1089" spans="4:18" x14ac:dyDescent="0.25">
      <c r="D1089" s="43"/>
      <c r="E1089" s="55" t="str">
        <f t="shared" si="85"/>
        <v/>
      </c>
      <c r="F1089" s="55"/>
      <c r="G1089" s="55"/>
      <c r="H1089" s="55"/>
      <c r="I1089" s="55"/>
      <c r="J1089" s="55"/>
      <c r="K1089" s="46" t="str">
        <f t="shared" ca="1" si="86"/>
        <v/>
      </c>
      <c r="L1089" s="56" t="str">
        <f t="shared" ca="1" si="87"/>
        <v/>
      </c>
      <c r="Q1089" s="57" t="str">
        <f t="shared" si="88"/>
        <v/>
      </c>
      <c r="R1089" s="57" t="str">
        <f t="shared" si="89"/>
        <v/>
      </c>
    </row>
    <row r="1090" spans="4:18" x14ac:dyDescent="0.25">
      <c r="D1090" s="43"/>
      <c r="E1090" s="55" t="str">
        <f t="shared" si="85"/>
        <v/>
      </c>
      <c r="F1090" s="55"/>
      <c r="G1090" s="55"/>
      <c r="H1090" s="55"/>
      <c r="I1090" s="55"/>
      <c r="J1090" s="55"/>
      <c r="K1090" s="46" t="str">
        <f t="shared" ca="1" si="86"/>
        <v/>
      </c>
      <c r="L1090" s="56" t="str">
        <f t="shared" ca="1" si="87"/>
        <v/>
      </c>
      <c r="Q1090" s="57" t="str">
        <f t="shared" si="88"/>
        <v/>
      </c>
      <c r="R1090" s="57" t="str">
        <f t="shared" si="89"/>
        <v/>
      </c>
    </row>
    <row r="1091" spans="4:18" x14ac:dyDescent="0.25">
      <c r="D1091" s="43"/>
      <c r="E1091" s="55" t="str">
        <f t="shared" si="85"/>
        <v/>
      </c>
      <c r="F1091" s="55"/>
      <c r="G1091" s="55"/>
      <c r="H1091" s="55"/>
      <c r="I1091" s="55"/>
      <c r="J1091" s="55"/>
      <c r="K1091" s="46" t="str">
        <f t="shared" ca="1" si="86"/>
        <v/>
      </c>
      <c r="L1091" s="56" t="str">
        <f t="shared" ca="1" si="87"/>
        <v/>
      </c>
      <c r="Q1091" s="57" t="str">
        <f t="shared" si="88"/>
        <v/>
      </c>
      <c r="R1091" s="57" t="str">
        <f t="shared" si="89"/>
        <v/>
      </c>
    </row>
    <row r="1092" spans="4:18" x14ac:dyDescent="0.25">
      <c r="D1092" s="43"/>
      <c r="E1092" s="55" t="str">
        <f t="shared" si="85"/>
        <v/>
      </c>
      <c r="F1092" s="55"/>
      <c r="G1092" s="55"/>
      <c r="H1092" s="55"/>
      <c r="I1092" s="55"/>
      <c r="J1092" s="55"/>
      <c r="K1092" s="46" t="str">
        <f t="shared" ca="1" si="86"/>
        <v/>
      </c>
      <c r="L1092" s="56" t="str">
        <f t="shared" ca="1" si="87"/>
        <v/>
      </c>
      <c r="Q1092" s="57" t="str">
        <f t="shared" si="88"/>
        <v/>
      </c>
      <c r="R1092" s="57" t="str">
        <f t="shared" si="89"/>
        <v/>
      </c>
    </row>
    <row r="1093" spans="4:18" x14ac:dyDescent="0.25">
      <c r="D1093" s="43"/>
      <c r="E1093" s="55" t="str">
        <f t="shared" si="85"/>
        <v/>
      </c>
      <c r="F1093" s="55"/>
      <c r="G1093" s="55"/>
      <c r="H1093" s="55"/>
      <c r="I1093" s="55"/>
      <c r="J1093" s="55"/>
      <c r="K1093" s="46" t="str">
        <f t="shared" ca="1" si="86"/>
        <v/>
      </c>
      <c r="L1093" s="56" t="str">
        <f t="shared" ca="1" si="87"/>
        <v/>
      </c>
      <c r="Q1093" s="57" t="str">
        <f t="shared" si="88"/>
        <v/>
      </c>
      <c r="R1093" s="57" t="str">
        <f t="shared" si="89"/>
        <v/>
      </c>
    </row>
    <row r="1094" spans="4:18" x14ac:dyDescent="0.25">
      <c r="D1094" s="43"/>
      <c r="E1094" s="55" t="str">
        <f t="shared" si="85"/>
        <v/>
      </c>
      <c r="F1094" s="55"/>
      <c r="G1094" s="55"/>
      <c r="H1094" s="55"/>
      <c r="I1094" s="55"/>
      <c r="J1094" s="55"/>
      <c r="K1094" s="46" t="str">
        <f t="shared" ca="1" si="86"/>
        <v/>
      </c>
      <c r="L1094" s="56" t="str">
        <f t="shared" ca="1" si="87"/>
        <v/>
      </c>
      <c r="Q1094" s="57" t="str">
        <f t="shared" si="88"/>
        <v/>
      </c>
      <c r="R1094" s="57" t="str">
        <f t="shared" si="89"/>
        <v/>
      </c>
    </row>
    <row r="1095" spans="4:18" x14ac:dyDescent="0.25">
      <c r="D1095" s="43"/>
      <c r="E1095" s="55" t="str">
        <f t="shared" si="85"/>
        <v/>
      </c>
      <c r="F1095" s="55"/>
      <c r="G1095" s="55"/>
      <c r="H1095" s="55"/>
      <c r="I1095" s="55"/>
      <c r="J1095" s="55"/>
      <c r="K1095" s="46" t="str">
        <f t="shared" ca="1" si="86"/>
        <v/>
      </c>
      <c r="L1095" s="56" t="str">
        <f t="shared" ca="1" si="87"/>
        <v/>
      </c>
      <c r="Q1095" s="57" t="str">
        <f t="shared" si="88"/>
        <v/>
      </c>
      <c r="R1095" s="57" t="str">
        <f t="shared" si="89"/>
        <v/>
      </c>
    </row>
    <row r="1096" spans="4:18" x14ac:dyDescent="0.25">
      <c r="D1096" s="43"/>
      <c r="E1096" s="55" t="str">
        <f t="shared" si="85"/>
        <v/>
      </c>
      <c r="F1096" s="55"/>
      <c r="G1096" s="55"/>
      <c r="H1096" s="55"/>
      <c r="I1096" s="55"/>
      <c r="J1096" s="55"/>
      <c r="K1096" s="46" t="str">
        <f t="shared" ca="1" si="86"/>
        <v/>
      </c>
      <c r="L1096" s="56" t="str">
        <f t="shared" ca="1" si="87"/>
        <v/>
      </c>
      <c r="Q1096" s="57" t="str">
        <f t="shared" si="88"/>
        <v/>
      </c>
      <c r="R1096" s="57" t="str">
        <f t="shared" si="89"/>
        <v/>
      </c>
    </row>
    <row r="1097" spans="4:18" x14ac:dyDescent="0.25">
      <c r="D1097" s="43"/>
      <c r="E1097" s="55" t="str">
        <f t="shared" si="85"/>
        <v/>
      </c>
      <c r="F1097" s="55"/>
      <c r="G1097" s="55"/>
      <c r="H1097" s="55"/>
      <c r="I1097" s="55"/>
      <c r="J1097" s="55"/>
      <c r="K1097" s="46" t="str">
        <f t="shared" ca="1" si="86"/>
        <v/>
      </c>
      <c r="L1097" s="56" t="str">
        <f t="shared" ca="1" si="87"/>
        <v/>
      </c>
      <c r="Q1097" s="57" t="str">
        <f t="shared" si="88"/>
        <v/>
      </c>
      <c r="R1097" s="57" t="str">
        <f t="shared" si="89"/>
        <v/>
      </c>
    </row>
    <row r="1098" spans="4:18" x14ac:dyDescent="0.25">
      <c r="D1098" s="43"/>
      <c r="E1098" s="55" t="str">
        <f t="shared" si="85"/>
        <v/>
      </c>
      <c r="F1098" s="55"/>
      <c r="G1098" s="55"/>
      <c r="H1098" s="55"/>
      <c r="I1098" s="55"/>
      <c r="J1098" s="55"/>
      <c r="K1098" s="46" t="str">
        <f t="shared" ca="1" si="86"/>
        <v/>
      </c>
      <c r="L1098" s="56" t="str">
        <f t="shared" ca="1" si="87"/>
        <v/>
      </c>
      <c r="Q1098" s="57" t="str">
        <f t="shared" si="88"/>
        <v/>
      </c>
      <c r="R1098" s="57" t="str">
        <f t="shared" si="89"/>
        <v/>
      </c>
    </row>
    <row r="1099" spans="4:18" x14ac:dyDescent="0.25">
      <c r="D1099" s="43"/>
      <c r="E1099" s="55" t="str">
        <f t="shared" si="85"/>
        <v/>
      </c>
      <c r="F1099" s="55"/>
      <c r="G1099" s="55"/>
      <c r="H1099" s="55"/>
      <c r="I1099" s="55"/>
      <c r="J1099" s="55"/>
      <c r="K1099" s="46" t="str">
        <f t="shared" ca="1" si="86"/>
        <v/>
      </c>
      <c r="L1099" s="56" t="str">
        <f t="shared" ca="1" si="87"/>
        <v/>
      </c>
      <c r="Q1099" s="57" t="str">
        <f t="shared" si="88"/>
        <v/>
      </c>
      <c r="R1099" s="57" t="str">
        <f t="shared" si="89"/>
        <v/>
      </c>
    </row>
    <row r="1100" spans="4:18" x14ac:dyDescent="0.25">
      <c r="D1100" s="43"/>
      <c r="E1100" s="55" t="str">
        <f t="shared" si="85"/>
        <v/>
      </c>
      <c r="F1100" s="55"/>
      <c r="G1100" s="55"/>
      <c r="H1100" s="55"/>
      <c r="I1100" s="55"/>
      <c r="J1100" s="55"/>
      <c r="K1100" s="46" t="str">
        <f t="shared" ca="1" si="86"/>
        <v/>
      </c>
      <c r="L1100" s="56" t="str">
        <f t="shared" ca="1" si="87"/>
        <v/>
      </c>
      <c r="Q1100" s="57" t="str">
        <f t="shared" si="88"/>
        <v/>
      </c>
      <c r="R1100" s="57" t="str">
        <f t="shared" si="89"/>
        <v/>
      </c>
    </row>
    <row r="1101" spans="4:18" x14ac:dyDescent="0.25">
      <c r="D1101" s="43"/>
      <c r="E1101" s="55" t="str">
        <f t="shared" si="85"/>
        <v/>
      </c>
      <c r="F1101" s="55"/>
      <c r="G1101" s="55"/>
      <c r="H1101" s="55"/>
      <c r="I1101" s="55"/>
      <c r="J1101" s="55"/>
      <c r="K1101" s="46" t="str">
        <f t="shared" ca="1" si="86"/>
        <v/>
      </c>
      <c r="L1101" s="56" t="str">
        <f t="shared" ca="1" si="87"/>
        <v/>
      </c>
      <c r="Q1101" s="57" t="str">
        <f t="shared" si="88"/>
        <v/>
      </c>
      <c r="R1101" s="57" t="str">
        <f t="shared" si="89"/>
        <v/>
      </c>
    </row>
    <row r="1102" spans="4:18" x14ac:dyDescent="0.25">
      <c r="D1102" s="43"/>
      <c r="E1102" s="55" t="str">
        <f t="shared" si="85"/>
        <v/>
      </c>
      <c r="F1102" s="55"/>
      <c r="G1102" s="55"/>
      <c r="H1102" s="55"/>
      <c r="I1102" s="55"/>
      <c r="J1102" s="55"/>
      <c r="K1102" s="46" t="str">
        <f t="shared" ca="1" si="86"/>
        <v/>
      </c>
      <c r="L1102" s="56" t="str">
        <f t="shared" ca="1" si="87"/>
        <v/>
      </c>
      <c r="Q1102" s="57" t="str">
        <f t="shared" si="88"/>
        <v/>
      </c>
      <c r="R1102" s="57" t="str">
        <f t="shared" si="89"/>
        <v/>
      </c>
    </row>
    <row r="1103" spans="4:18" x14ac:dyDescent="0.25">
      <c r="D1103" s="43"/>
      <c r="E1103" s="55" t="str">
        <f t="shared" si="85"/>
        <v/>
      </c>
      <c r="F1103" s="55"/>
      <c r="G1103" s="55"/>
      <c r="H1103" s="55"/>
      <c r="I1103" s="55"/>
      <c r="J1103" s="55"/>
      <c r="K1103" s="46" t="str">
        <f t="shared" ca="1" si="86"/>
        <v/>
      </c>
      <c r="L1103" s="56" t="str">
        <f t="shared" ca="1" si="87"/>
        <v/>
      </c>
      <c r="Q1103" s="57" t="str">
        <f t="shared" si="88"/>
        <v/>
      </c>
      <c r="R1103" s="57" t="str">
        <f t="shared" si="89"/>
        <v/>
      </c>
    </row>
    <row r="1104" spans="4:18" x14ac:dyDescent="0.25">
      <c r="D1104" s="43"/>
      <c r="E1104" s="55" t="str">
        <f t="shared" si="85"/>
        <v/>
      </c>
      <c r="F1104" s="55"/>
      <c r="G1104" s="55"/>
      <c r="H1104" s="55"/>
      <c r="I1104" s="55"/>
      <c r="J1104" s="55"/>
      <c r="K1104" s="46" t="str">
        <f t="shared" ca="1" si="86"/>
        <v/>
      </c>
      <c r="L1104" s="56" t="str">
        <f t="shared" ca="1" si="87"/>
        <v/>
      </c>
      <c r="Q1104" s="57" t="str">
        <f t="shared" si="88"/>
        <v/>
      </c>
      <c r="R1104" s="57" t="str">
        <f t="shared" si="89"/>
        <v/>
      </c>
    </row>
    <row r="1105" spans="4:18" x14ac:dyDescent="0.25">
      <c r="D1105" s="43"/>
      <c r="E1105" s="55" t="str">
        <f t="shared" si="85"/>
        <v/>
      </c>
      <c r="F1105" s="55"/>
      <c r="G1105" s="55"/>
      <c r="H1105" s="55"/>
      <c r="I1105" s="55"/>
      <c r="J1105" s="55"/>
      <c r="K1105" s="46" t="str">
        <f t="shared" ca="1" si="86"/>
        <v/>
      </c>
      <c r="L1105" s="56" t="str">
        <f t="shared" ca="1" si="87"/>
        <v/>
      </c>
      <c r="Q1105" s="57" t="str">
        <f t="shared" si="88"/>
        <v/>
      </c>
      <c r="R1105" s="57" t="str">
        <f t="shared" si="89"/>
        <v/>
      </c>
    </row>
    <row r="1106" spans="4:18" x14ac:dyDescent="0.25">
      <c r="D1106" s="43"/>
      <c r="E1106" s="55" t="str">
        <f t="shared" si="85"/>
        <v/>
      </c>
      <c r="F1106" s="55"/>
      <c r="G1106" s="55"/>
      <c r="H1106" s="55"/>
      <c r="I1106" s="55"/>
      <c r="J1106" s="55"/>
      <c r="K1106" s="46" t="str">
        <f t="shared" ca="1" si="86"/>
        <v/>
      </c>
      <c r="L1106" s="56" t="str">
        <f t="shared" ca="1" si="87"/>
        <v/>
      </c>
      <c r="Q1106" s="57" t="str">
        <f t="shared" si="88"/>
        <v/>
      </c>
      <c r="R1106" s="57" t="str">
        <f t="shared" si="89"/>
        <v/>
      </c>
    </row>
    <row r="1107" spans="4:18" x14ac:dyDescent="0.25">
      <c r="D1107" s="43"/>
      <c r="E1107" s="55" t="str">
        <f t="shared" si="85"/>
        <v/>
      </c>
      <c r="F1107" s="55"/>
      <c r="G1107" s="55"/>
      <c r="H1107" s="55"/>
      <c r="I1107" s="55"/>
      <c r="J1107" s="55"/>
      <c r="K1107" s="46" t="str">
        <f t="shared" ca="1" si="86"/>
        <v/>
      </c>
      <c r="L1107" s="56" t="str">
        <f t="shared" ca="1" si="87"/>
        <v/>
      </c>
      <c r="Q1107" s="57" t="str">
        <f t="shared" si="88"/>
        <v/>
      </c>
      <c r="R1107" s="57" t="str">
        <f t="shared" si="89"/>
        <v/>
      </c>
    </row>
    <row r="1108" spans="4:18" x14ac:dyDescent="0.25">
      <c r="D1108" s="43"/>
      <c r="E1108" s="55" t="str">
        <f t="shared" ref="E1108:E1171" si="90">IF(ISNUMBER(SEARCH("v crs",D1108))=TRUE,"VC",IF(ISNUMBER(SEARCH("crs",D1108))=TRUE,"C",IF(ISNUMBER(SEARCH("med",D1108))=TRUE,"M",IF(ISNUMBER(SEARCH("vf",D1108))=TRUE,"VF",IF(ISNUMBER(SEARCH("f",D1108))=TRUE,"F","")))))</f>
        <v/>
      </c>
      <c r="F1108" s="55"/>
      <c r="G1108" s="55"/>
      <c r="H1108" s="55"/>
      <c r="I1108" s="55"/>
      <c r="J1108" s="55"/>
      <c r="K1108" s="46" t="str">
        <f t="shared" ca="1" si="86"/>
        <v/>
      </c>
      <c r="L1108" s="56" t="str">
        <f t="shared" ca="1" si="87"/>
        <v/>
      </c>
      <c r="Q1108" s="57" t="str">
        <f t="shared" si="88"/>
        <v/>
      </c>
      <c r="R1108" s="57" t="str">
        <f t="shared" si="89"/>
        <v/>
      </c>
    </row>
    <row r="1109" spans="4:18" x14ac:dyDescent="0.25">
      <c r="D1109" s="43"/>
      <c r="E1109" s="55" t="str">
        <f t="shared" si="90"/>
        <v/>
      </c>
      <c r="F1109" s="55"/>
      <c r="G1109" s="55"/>
      <c r="H1109" s="55"/>
      <c r="I1109" s="55"/>
      <c r="J1109" s="55"/>
      <c r="K1109" s="46" t="str">
        <f t="shared" ref="K1109:K1172" ca="1" si="91">IF(AND(C1109&lt;&gt;"",C1109&lt;&gt;Q1109),TODAY(),IF(C1109="","",K1109))</f>
        <v/>
      </c>
      <c r="L1109" s="56" t="str">
        <f t="shared" ref="L1109:L1172" ca="1" si="92">IF(AND(C1109&lt;&gt;"",C1109&lt;&gt;R1109),NOW(),IF(C1109="","",L1109))</f>
        <v/>
      </c>
      <c r="Q1109" s="57" t="str">
        <f t="shared" ref="Q1109:Q1172" si="93">IF(C1109="","",IF(OR(K1109="",AND(ISNUMBER(Q1109),C1109=Q1109)),Q1109,C1109))</f>
        <v/>
      </c>
      <c r="R1109" s="57" t="str">
        <f t="shared" ref="R1109:R1172" si="94">IF(C1109="","",IF(OR(L1109="",AND(ISNUMBER(R1109),C1109=R1109)),R1109,C1109))</f>
        <v/>
      </c>
    </row>
    <row r="1110" spans="4:18" x14ac:dyDescent="0.25">
      <c r="D1110" s="43"/>
      <c r="E1110" s="55" t="str">
        <f t="shared" si="90"/>
        <v/>
      </c>
      <c r="F1110" s="55"/>
      <c r="G1110" s="55"/>
      <c r="H1110" s="55"/>
      <c r="I1110" s="55"/>
      <c r="J1110" s="55"/>
      <c r="K1110" s="46" t="str">
        <f t="shared" ca="1" si="91"/>
        <v/>
      </c>
      <c r="L1110" s="56" t="str">
        <f t="shared" ca="1" si="92"/>
        <v/>
      </c>
      <c r="Q1110" s="57" t="str">
        <f t="shared" si="93"/>
        <v/>
      </c>
      <c r="R1110" s="57" t="str">
        <f t="shared" si="94"/>
        <v/>
      </c>
    </row>
    <row r="1111" spans="4:18" x14ac:dyDescent="0.25">
      <c r="D1111" s="43"/>
      <c r="E1111" s="55" t="str">
        <f t="shared" si="90"/>
        <v/>
      </c>
      <c r="F1111" s="55"/>
      <c r="G1111" s="55"/>
      <c r="H1111" s="55"/>
      <c r="I1111" s="55"/>
      <c r="J1111" s="55"/>
      <c r="K1111" s="46" t="str">
        <f t="shared" ca="1" si="91"/>
        <v/>
      </c>
      <c r="L1111" s="56" t="str">
        <f t="shared" ca="1" si="92"/>
        <v/>
      </c>
      <c r="Q1111" s="57" t="str">
        <f t="shared" si="93"/>
        <v/>
      </c>
      <c r="R1111" s="57" t="str">
        <f t="shared" si="94"/>
        <v/>
      </c>
    </row>
    <row r="1112" spans="4:18" x14ac:dyDescent="0.25">
      <c r="D1112" s="43"/>
      <c r="E1112" s="55" t="str">
        <f t="shared" si="90"/>
        <v/>
      </c>
      <c r="F1112" s="55"/>
      <c r="G1112" s="55"/>
      <c r="H1112" s="55"/>
      <c r="I1112" s="55"/>
      <c r="J1112" s="55"/>
      <c r="K1112" s="46" t="str">
        <f t="shared" ca="1" si="91"/>
        <v/>
      </c>
      <c r="L1112" s="56" t="str">
        <f t="shared" ca="1" si="92"/>
        <v/>
      </c>
      <c r="Q1112" s="57" t="str">
        <f t="shared" si="93"/>
        <v/>
      </c>
      <c r="R1112" s="57" t="str">
        <f t="shared" si="94"/>
        <v/>
      </c>
    </row>
    <row r="1113" spans="4:18" x14ac:dyDescent="0.25">
      <c r="D1113" s="43"/>
      <c r="E1113" s="55" t="str">
        <f t="shared" si="90"/>
        <v/>
      </c>
      <c r="F1113" s="55"/>
      <c r="G1113" s="55"/>
      <c r="H1113" s="55"/>
      <c r="I1113" s="55"/>
      <c r="J1113" s="55"/>
      <c r="K1113" s="46" t="str">
        <f t="shared" ca="1" si="91"/>
        <v/>
      </c>
      <c r="L1113" s="56" t="str">
        <f t="shared" ca="1" si="92"/>
        <v/>
      </c>
      <c r="Q1113" s="57" t="str">
        <f t="shared" si="93"/>
        <v/>
      </c>
      <c r="R1113" s="57" t="str">
        <f t="shared" si="94"/>
        <v/>
      </c>
    </row>
    <row r="1114" spans="4:18" x14ac:dyDescent="0.25">
      <c r="D1114" s="43"/>
      <c r="E1114" s="55" t="str">
        <f t="shared" si="90"/>
        <v/>
      </c>
      <c r="F1114" s="55"/>
      <c r="G1114" s="55"/>
      <c r="H1114" s="55"/>
      <c r="I1114" s="55"/>
      <c r="J1114" s="55"/>
      <c r="K1114" s="46" t="str">
        <f t="shared" ca="1" si="91"/>
        <v/>
      </c>
      <c r="L1114" s="56" t="str">
        <f t="shared" ca="1" si="92"/>
        <v/>
      </c>
      <c r="Q1114" s="57" t="str">
        <f t="shared" si="93"/>
        <v/>
      </c>
      <c r="R1114" s="57" t="str">
        <f t="shared" si="94"/>
        <v/>
      </c>
    </row>
    <row r="1115" spans="4:18" x14ac:dyDescent="0.25">
      <c r="D1115" s="43"/>
      <c r="E1115" s="55" t="str">
        <f t="shared" si="90"/>
        <v/>
      </c>
      <c r="F1115" s="55"/>
      <c r="G1115" s="55"/>
      <c r="H1115" s="55"/>
      <c r="I1115" s="55"/>
      <c r="J1115" s="55"/>
      <c r="K1115" s="46" t="str">
        <f t="shared" ca="1" si="91"/>
        <v/>
      </c>
      <c r="L1115" s="56" t="str">
        <f t="shared" ca="1" si="92"/>
        <v/>
      </c>
      <c r="Q1115" s="57" t="str">
        <f t="shared" si="93"/>
        <v/>
      </c>
      <c r="R1115" s="57" t="str">
        <f t="shared" si="94"/>
        <v/>
      </c>
    </row>
    <row r="1116" spans="4:18" x14ac:dyDescent="0.25">
      <c r="D1116" s="43"/>
      <c r="E1116" s="55" t="str">
        <f t="shared" si="90"/>
        <v/>
      </c>
      <c r="F1116" s="55"/>
      <c r="G1116" s="55"/>
      <c r="H1116" s="55"/>
      <c r="I1116" s="55"/>
      <c r="J1116" s="55"/>
      <c r="K1116" s="46" t="str">
        <f t="shared" ca="1" si="91"/>
        <v/>
      </c>
      <c r="L1116" s="56" t="str">
        <f t="shared" ca="1" si="92"/>
        <v/>
      </c>
      <c r="Q1116" s="57" t="str">
        <f t="shared" si="93"/>
        <v/>
      </c>
      <c r="R1116" s="57" t="str">
        <f t="shared" si="94"/>
        <v/>
      </c>
    </row>
    <row r="1117" spans="4:18" x14ac:dyDescent="0.25">
      <c r="D1117" s="43"/>
      <c r="E1117" s="55" t="str">
        <f t="shared" si="90"/>
        <v/>
      </c>
      <c r="F1117" s="55"/>
      <c r="G1117" s="55"/>
      <c r="H1117" s="55"/>
      <c r="I1117" s="55"/>
      <c r="J1117" s="55"/>
      <c r="K1117" s="46" t="str">
        <f t="shared" ca="1" si="91"/>
        <v/>
      </c>
      <c r="L1117" s="56" t="str">
        <f t="shared" ca="1" si="92"/>
        <v/>
      </c>
      <c r="Q1117" s="57" t="str">
        <f t="shared" si="93"/>
        <v/>
      </c>
      <c r="R1117" s="57" t="str">
        <f t="shared" si="94"/>
        <v/>
      </c>
    </row>
    <row r="1118" spans="4:18" x14ac:dyDescent="0.25">
      <c r="D1118" s="43"/>
      <c r="E1118" s="55" t="str">
        <f t="shared" si="90"/>
        <v/>
      </c>
      <c r="F1118" s="55"/>
      <c r="G1118" s="55"/>
      <c r="H1118" s="55"/>
      <c r="I1118" s="55"/>
      <c r="J1118" s="55"/>
      <c r="K1118" s="46" t="str">
        <f t="shared" ca="1" si="91"/>
        <v/>
      </c>
      <c r="L1118" s="56" t="str">
        <f t="shared" ca="1" si="92"/>
        <v/>
      </c>
      <c r="Q1118" s="57" t="str">
        <f t="shared" si="93"/>
        <v/>
      </c>
      <c r="R1118" s="57" t="str">
        <f t="shared" si="94"/>
        <v/>
      </c>
    </row>
    <row r="1119" spans="4:18" x14ac:dyDescent="0.25">
      <c r="D1119" s="43"/>
      <c r="E1119" s="55" t="str">
        <f t="shared" si="90"/>
        <v/>
      </c>
      <c r="F1119" s="55"/>
      <c r="G1119" s="55"/>
      <c r="H1119" s="55"/>
      <c r="I1119" s="55"/>
      <c r="J1119" s="55"/>
      <c r="K1119" s="46" t="str">
        <f t="shared" ca="1" si="91"/>
        <v/>
      </c>
      <c r="L1119" s="56" t="str">
        <f t="shared" ca="1" si="92"/>
        <v/>
      </c>
      <c r="Q1119" s="57" t="str">
        <f t="shared" si="93"/>
        <v/>
      </c>
      <c r="R1119" s="57" t="str">
        <f t="shared" si="94"/>
        <v/>
      </c>
    </row>
    <row r="1120" spans="4:18" x14ac:dyDescent="0.25">
      <c r="D1120" s="43"/>
      <c r="E1120" s="55" t="str">
        <f t="shared" si="90"/>
        <v/>
      </c>
      <c r="F1120" s="55"/>
      <c r="G1120" s="55"/>
      <c r="H1120" s="55"/>
      <c r="I1120" s="55"/>
      <c r="J1120" s="55"/>
      <c r="K1120" s="46" t="str">
        <f t="shared" ca="1" si="91"/>
        <v/>
      </c>
      <c r="L1120" s="56" t="str">
        <f t="shared" ca="1" si="92"/>
        <v/>
      </c>
      <c r="Q1120" s="57" t="str">
        <f t="shared" si="93"/>
        <v/>
      </c>
      <c r="R1120" s="57" t="str">
        <f t="shared" si="94"/>
        <v/>
      </c>
    </row>
    <row r="1121" spans="4:18" x14ac:dyDescent="0.25">
      <c r="D1121" s="43"/>
      <c r="E1121" s="55" t="str">
        <f t="shared" si="90"/>
        <v/>
      </c>
      <c r="F1121" s="55"/>
      <c r="G1121" s="55"/>
      <c r="H1121" s="55"/>
      <c r="I1121" s="55"/>
      <c r="J1121" s="55"/>
      <c r="K1121" s="46" t="str">
        <f t="shared" ca="1" si="91"/>
        <v/>
      </c>
      <c r="L1121" s="56" t="str">
        <f t="shared" ca="1" si="92"/>
        <v/>
      </c>
      <c r="Q1121" s="57" t="str">
        <f t="shared" si="93"/>
        <v/>
      </c>
      <c r="R1121" s="57" t="str">
        <f t="shared" si="94"/>
        <v/>
      </c>
    </row>
    <row r="1122" spans="4:18" x14ac:dyDescent="0.25">
      <c r="D1122" s="43"/>
      <c r="E1122" s="55" t="str">
        <f t="shared" si="90"/>
        <v/>
      </c>
      <c r="F1122" s="55"/>
      <c r="G1122" s="55"/>
      <c r="H1122" s="55"/>
      <c r="I1122" s="55"/>
      <c r="J1122" s="55"/>
      <c r="K1122" s="46" t="str">
        <f t="shared" ca="1" si="91"/>
        <v/>
      </c>
      <c r="L1122" s="56" t="str">
        <f t="shared" ca="1" si="92"/>
        <v/>
      </c>
      <c r="Q1122" s="57" t="str">
        <f t="shared" si="93"/>
        <v/>
      </c>
      <c r="R1122" s="57" t="str">
        <f t="shared" si="94"/>
        <v/>
      </c>
    </row>
    <row r="1123" spans="4:18" x14ac:dyDescent="0.25">
      <c r="D1123" s="43"/>
      <c r="E1123" s="55" t="str">
        <f t="shared" si="90"/>
        <v/>
      </c>
      <c r="F1123" s="55"/>
      <c r="G1123" s="55"/>
      <c r="H1123" s="55"/>
      <c r="I1123" s="55"/>
      <c r="J1123" s="55"/>
      <c r="K1123" s="46" t="str">
        <f t="shared" ca="1" si="91"/>
        <v/>
      </c>
      <c r="L1123" s="56" t="str">
        <f t="shared" ca="1" si="92"/>
        <v/>
      </c>
      <c r="Q1123" s="57" t="str">
        <f t="shared" si="93"/>
        <v/>
      </c>
      <c r="R1123" s="57" t="str">
        <f t="shared" si="94"/>
        <v/>
      </c>
    </row>
    <row r="1124" spans="4:18" x14ac:dyDescent="0.25">
      <c r="D1124" s="43"/>
      <c r="E1124" s="55" t="str">
        <f t="shared" si="90"/>
        <v/>
      </c>
      <c r="F1124" s="55"/>
      <c r="G1124" s="55"/>
      <c r="H1124" s="55"/>
      <c r="I1124" s="55"/>
      <c r="J1124" s="55"/>
      <c r="K1124" s="46" t="str">
        <f t="shared" ca="1" si="91"/>
        <v/>
      </c>
      <c r="L1124" s="56" t="str">
        <f t="shared" ca="1" si="92"/>
        <v/>
      </c>
      <c r="Q1124" s="57" t="str">
        <f t="shared" si="93"/>
        <v/>
      </c>
      <c r="R1124" s="57" t="str">
        <f t="shared" si="94"/>
        <v/>
      </c>
    </row>
    <row r="1125" spans="4:18" x14ac:dyDescent="0.25">
      <c r="D1125" s="43"/>
      <c r="E1125" s="55" t="str">
        <f t="shared" si="90"/>
        <v/>
      </c>
      <c r="F1125" s="55"/>
      <c r="G1125" s="55"/>
      <c r="H1125" s="55"/>
      <c r="I1125" s="55"/>
      <c r="J1125" s="55"/>
      <c r="K1125" s="46" t="str">
        <f t="shared" ca="1" si="91"/>
        <v/>
      </c>
      <c r="L1125" s="56" t="str">
        <f t="shared" ca="1" si="92"/>
        <v/>
      </c>
      <c r="Q1125" s="57" t="str">
        <f t="shared" si="93"/>
        <v/>
      </c>
      <c r="R1125" s="57" t="str">
        <f t="shared" si="94"/>
        <v/>
      </c>
    </row>
    <row r="1126" spans="4:18" x14ac:dyDescent="0.25">
      <c r="D1126" s="43"/>
      <c r="E1126" s="55" t="str">
        <f t="shared" si="90"/>
        <v/>
      </c>
      <c r="F1126" s="55"/>
      <c r="G1126" s="55"/>
      <c r="H1126" s="55"/>
      <c r="I1126" s="55"/>
      <c r="J1126" s="55"/>
      <c r="K1126" s="46" t="str">
        <f t="shared" ca="1" si="91"/>
        <v/>
      </c>
      <c r="L1126" s="56" t="str">
        <f t="shared" ca="1" si="92"/>
        <v/>
      </c>
      <c r="Q1126" s="57" t="str">
        <f t="shared" si="93"/>
        <v/>
      </c>
      <c r="R1126" s="57" t="str">
        <f t="shared" si="94"/>
        <v/>
      </c>
    </row>
    <row r="1127" spans="4:18" x14ac:dyDescent="0.25">
      <c r="D1127" s="43"/>
      <c r="E1127" s="55" t="str">
        <f t="shared" si="90"/>
        <v/>
      </c>
      <c r="F1127" s="55"/>
      <c r="G1127" s="55"/>
      <c r="H1127" s="55"/>
      <c r="I1127" s="55"/>
      <c r="J1127" s="55"/>
      <c r="K1127" s="46" t="str">
        <f t="shared" ca="1" si="91"/>
        <v/>
      </c>
      <c r="L1127" s="56" t="str">
        <f t="shared" ca="1" si="92"/>
        <v/>
      </c>
      <c r="Q1127" s="57" t="str">
        <f t="shared" si="93"/>
        <v/>
      </c>
      <c r="R1127" s="57" t="str">
        <f t="shared" si="94"/>
        <v/>
      </c>
    </row>
    <row r="1128" spans="4:18" x14ac:dyDescent="0.25">
      <c r="D1128" s="43"/>
      <c r="E1128" s="55" t="str">
        <f t="shared" si="90"/>
        <v/>
      </c>
      <c r="F1128" s="55"/>
      <c r="G1128" s="55"/>
      <c r="H1128" s="55"/>
      <c r="I1128" s="55"/>
      <c r="J1128" s="55"/>
      <c r="K1128" s="46" t="str">
        <f t="shared" ca="1" si="91"/>
        <v/>
      </c>
      <c r="L1128" s="56" t="str">
        <f t="shared" ca="1" si="92"/>
        <v/>
      </c>
      <c r="Q1128" s="57" t="str">
        <f t="shared" si="93"/>
        <v/>
      </c>
      <c r="R1128" s="57" t="str">
        <f t="shared" si="94"/>
        <v/>
      </c>
    </row>
    <row r="1129" spans="4:18" x14ac:dyDescent="0.25">
      <c r="D1129" s="43"/>
      <c r="E1129" s="55" t="str">
        <f t="shared" si="90"/>
        <v/>
      </c>
      <c r="F1129" s="55"/>
      <c r="G1129" s="55"/>
      <c r="H1129" s="55"/>
      <c r="I1129" s="55"/>
      <c r="J1129" s="55"/>
      <c r="K1129" s="46" t="str">
        <f t="shared" ca="1" si="91"/>
        <v/>
      </c>
      <c r="L1129" s="56" t="str">
        <f t="shared" ca="1" si="92"/>
        <v/>
      </c>
      <c r="Q1129" s="57" t="str">
        <f t="shared" si="93"/>
        <v/>
      </c>
      <c r="R1129" s="57" t="str">
        <f t="shared" si="94"/>
        <v/>
      </c>
    </row>
    <row r="1130" spans="4:18" x14ac:dyDescent="0.25">
      <c r="D1130" s="43"/>
      <c r="E1130" s="55" t="str">
        <f t="shared" si="90"/>
        <v/>
      </c>
      <c r="F1130" s="55"/>
      <c r="G1130" s="55"/>
      <c r="H1130" s="55"/>
      <c r="I1130" s="55"/>
      <c r="J1130" s="55"/>
      <c r="K1130" s="46" t="str">
        <f t="shared" ca="1" si="91"/>
        <v/>
      </c>
      <c r="L1130" s="56" t="str">
        <f t="shared" ca="1" si="92"/>
        <v/>
      </c>
      <c r="Q1130" s="57" t="str">
        <f t="shared" si="93"/>
        <v/>
      </c>
      <c r="R1130" s="57" t="str">
        <f t="shared" si="94"/>
        <v/>
      </c>
    </row>
    <row r="1131" spans="4:18" x14ac:dyDescent="0.25">
      <c r="D1131" s="43"/>
      <c r="E1131" s="55" t="str">
        <f t="shared" si="90"/>
        <v/>
      </c>
      <c r="F1131" s="55"/>
      <c r="G1131" s="55"/>
      <c r="H1131" s="55"/>
      <c r="I1131" s="55"/>
      <c r="J1131" s="55"/>
      <c r="K1131" s="46" t="str">
        <f t="shared" ca="1" si="91"/>
        <v/>
      </c>
      <c r="L1131" s="56" t="str">
        <f t="shared" ca="1" si="92"/>
        <v/>
      </c>
      <c r="Q1131" s="57" t="str">
        <f t="shared" si="93"/>
        <v/>
      </c>
      <c r="R1131" s="57" t="str">
        <f t="shared" si="94"/>
        <v/>
      </c>
    </row>
    <row r="1132" spans="4:18" x14ac:dyDescent="0.25">
      <c r="D1132" s="43"/>
      <c r="E1132" s="55" t="str">
        <f t="shared" si="90"/>
        <v/>
      </c>
      <c r="F1132" s="55"/>
      <c r="G1132" s="55"/>
      <c r="H1132" s="55"/>
      <c r="I1132" s="55"/>
      <c r="J1132" s="55"/>
      <c r="K1132" s="46" t="str">
        <f t="shared" ca="1" si="91"/>
        <v/>
      </c>
      <c r="L1132" s="56" t="str">
        <f t="shared" ca="1" si="92"/>
        <v/>
      </c>
      <c r="Q1132" s="57" t="str">
        <f t="shared" si="93"/>
        <v/>
      </c>
      <c r="R1132" s="57" t="str">
        <f t="shared" si="94"/>
        <v/>
      </c>
    </row>
    <row r="1133" spans="4:18" x14ac:dyDescent="0.25">
      <c r="D1133" s="43"/>
      <c r="E1133" s="55" t="str">
        <f t="shared" si="90"/>
        <v/>
      </c>
      <c r="F1133" s="55"/>
      <c r="G1133" s="55"/>
      <c r="H1133" s="55"/>
      <c r="I1133" s="55"/>
      <c r="J1133" s="55"/>
      <c r="K1133" s="46" t="str">
        <f t="shared" ca="1" si="91"/>
        <v/>
      </c>
      <c r="L1133" s="56" t="str">
        <f t="shared" ca="1" si="92"/>
        <v/>
      </c>
      <c r="Q1133" s="57" t="str">
        <f t="shared" si="93"/>
        <v/>
      </c>
      <c r="R1133" s="57" t="str">
        <f t="shared" si="94"/>
        <v/>
      </c>
    </row>
    <row r="1134" spans="4:18" x14ac:dyDescent="0.25">
      <c r="D1134" s="43"/>
      <c r="E1134" s="55" t="str">
        <f t="shared" si="90"/>
        <v/>
      </c>
      <c r="F1134" s="55"/>
      <c r="G1134" s="55"/>
      <c r="H1134" s="55"/>
      <c r="I1134" s="55"/>
      <c r="J1134" s="55"/>
      <c r="K1134" s="46" t="str">
        <f t="shared" ca="1" si="91"/>
        <v/>
      </c>
      <c r="L1134" s="56" t="str">
        <f t="shared" ca="1" si="92"/>
        <v/>
      </c>
      <c r="Q1134" s="57" t="str">
        <f t="shared" si="93"/>
        <v/>
      </c>
      <c r="R1134" s="57" t="str">
        <f t="shared" si="94"/>
        <v/>
      </c>
    </row>
    <row r="1135" spans="4:18" x14ac:dyDescent="0.25">
      <c r="D1135" s="43"/>
      <c r="E1135" s="55" t="str">
        <f t="shared" si="90"/>
        <v/>
      </c>
      <c r="F1135" s="55"/>
      <c r="G1135" s="55"/>
      <c r="H1135" s="55"/>
      <c r="I1135" s="55"/>
      <c r="J1135" s="55"/>
      <c r="K1135" s="46" t="str">
        <f t="shared" ca="1" si="91"/>
        <v/>
      </c>
      <c r="L1135" s="56" t="str">
        <f t="shared" ca="1" si="92"/>
        <v/>
      </c>
      <c r="Q1135" s="57" t="str">
        <f t="shared" si="93"/>
        <v/>
      </c>
      <c r="R1135" s="57" t="str">
        <f t="shared" si="94"/>
        <v/>
      </c>
    </row>
    <row r="1136" spans="4:18" x14ac:dyDescent="0.25">
      <c r="D1136" s="43"/>
      <c r="E1136" s="55" t="str">
        <f t="shared" si="90"/>
        <v/>
      </c>
      <c r="F1136" s="55"/>
      <c r="G1136" s="55"/>
      <c r="H1136" s="55"/>
      <c r="I1136" s="55"/>
      <c r="J1136" s="55"/>
      <c r="K1136" s="46" t="str">
        <f t="shared" ca="1" si="91"/>
        <v/>
      </c>
      <c r="L1136" s="56" t="str">
        <f t="shared" ca="1" si="92"/>
        <v/>
      </c>
      <c r="Q1136" s="57" t="str">
        <f t="shared" si="93"/>
        <v/>
      </c>
      <c r="R1136" s="57" t="str">
        <f t="shared" si="94"/>
        <v/>
      </c>
    </row>
    <row r="1137" spans="4:18" x14ac:dyDescent="0.25">
      <c r="D1137" s="43"/>
      <c r="E1137" s="55" t="str">
        <f t="shared" si="90"/>
        <v/>
      </c>
      <c r="F1137" s="55"/>
      <c r="G1137" s="55"/>
      <c r="H1137" s="55"/>
      <c r="I1137" s="55"/>
      <c r="J1137" s="55"/>
      <c r="K1137" s="46" t="str">
        <f t="shared" ca="1" si="91"/>
        <v/>
      </c>
      <c r="L1137" s="56" t="str">
        <f t="shared" ca="1" si="92"/>
        <v/>
      </c>
      <c r="Q1137" s="57" t="str">
        <f t="shared" si="93"/>
        <v/>
      </c>
      <c r="R1137" s="57" t="str">
        <f t="shared" si="94"/>
        <v/>
      </c>
    </row>
    <row r="1138" spans="4:18" x14ac:dyDescent="0.25">
      <c r="D1138" s="43"/>
      <c r="E1138" s="55" t="str">
        <f t="shared" si="90"/>
        <v/>
      </c>
      <c r="F1138" s="55"/>
      <c r="G1138" s="55"/>
      <c r="H1138" s="55"/>
      <c r="I1138" s="55"/>
      <c r="J1138" s="55"/>
      <c r="K1138" s="46" t="str">
        <f t="shared" ca="1" si="91"/>
        <v/>
      </c>
      <c r="L1138" s="56" t="str">
        <f t="shared" ca="1" si="92"/>
        <v/>
      </c>
      <c r="Q1138" s="57" t="str">
        <f t="shared" si="93"/>
        <v/>
      </c>
      <c r="R1138" s="57" t="str">
        <f t="shared" si="94"/>
        <v/>
      </c>
    </row>
    <row r="1139" spans="4:18" x14ac:dyDescent="0.25">
      <c r="D1139" s="43"/>
      <c r="E1139" s="55" t="str">
        <f t="shared" si="90"/>
        <v/>
      </c>
      <c r="F1139" s="55"/>
      <c r="G1139" s="55"/>
      <c r="H1139" s="55"/>
      <c r="I1139" s="55"/>
      <c r="J1139" s="55"/>
      <c r="K1139" s="46" t="str">
        <f t="shared" ca="1" si="91"/>
        <v/>
      </c>
      <c r="L1139" s="56" t="str">
        <f t="shared" ca="1" si="92"/>
        <v/>
      </c>
      <c r="Q1139" s="57" t="str">
        <f t="shared" si="93"/>
        <v/>
      </c>
      <c r="R1139" s="57" t="str">
        <f t="shared" si="94"/>
        <v/>
      </c>
    </row>
    <row r="1140" spans="4:18" x14ac:dyDescent="0.25">
      <c r="D1140" s="43"/>
      <c r="E1140" s="55" t="str">
        <f t="shared" si="90"/>
        <v/>
      </c>
      <c r="F1140" s="55"/>
      <c r="G1140" s="55"/>
      <c r="H1140" s="55"/>
      <c r="I1140" s="55"/>
      <c r="J1140" s="55"/>
      <c r="K1140" s="46" t="str">
        <f t="shared" ca="1" si="91"/>
        <v/>
      </c>
      <c r="L1140" s="56" t="str">
        <f t="shared" ca="1" si="92"/>
        <v/>
      </c>
      <c r="Q1140" s="57" t="str">
        <f t="shared" si="93"/>
        <v/>
      </c>
      <c r="R1140" s="57" t="str">
        <f t="shared" si="94"/>
        <v/>
      </c>
    </row>
    <row r="1141" spans="4:18" x14ac:dyDescent="0.25">
      <c r="D1141" s="43"/>
      <c r="E1141" s="55" t="str">
        <f t="shared" si="90"/>
        <v/>
      </c>
      <c r="F1141" s="55"/>
      <c r="G1141" s="55"/>
      <c r="H1141" s="55"/>
      <c r="I1141" s="55"/>
      <c r="J1141" s="55"/>
      <c r="K1141" s="46" t="str">
        <f t="shared" ca="1" si="91"/>
        <v/>
      </c>
      <c r="L1141" s="56" t="str">
        <f t="shared" ca="1" si="92"/>
        <v/>
      </c>
      <c r="Q1141" s="57" t="str">
        <f t="shared" si="93"/>
        <v/>
      </c>
      <c r="R1141" s="57" t="str">
        <f t="shared" si="94"/>
        <v/>
      </c>
    </row>
    <row r="1142" spans="4:18" x14ac:dyDescent="0.25">
      <c r="D1142" s="43"/>
      <c r="E1142" s="55" t="str">
        <f t="shared" si="90"/>
        <v/>
      </c>
      <c r="F1142" s="55"/>
      <c r="G1142" s="55"/>
      <c r="H1142" s="55"/>
      <c r="I1142" s="55"/>
      <c r="J1142" s="55"/>
      <c r="K1142" s="46" t="str">
        <f t="shared" ca="1" si="91"/>
        <v/>
      </c>
      <c r="L1142" s="56" t="str">
        <f t="shared" ca="1" si="92"/>
        <v/>
      </c>
      <c r="Q1142" s="57" t="str">
        <f t="shared" si="93"/>
        <v/>
      </c>
      <c r="R1142" s="57" t="str">
        <f t="shared" si="94"/>
        <v/>
      </c>
    </row>
    <row r="1143" spans="4:18" x14ac:dyDescent="0.25">
      <c r="D1143" s="43"/>
      <c r="E1143" s="55" t="str">
        <f t="shared" si="90"/>
        <v/>
      </c>
      <c r="F1143" s="55"/>
      <c r="G1143" s="55"/>
      <c r="H1143" s="55"/>
      <c r="I1143" s="55"/>
      <c r="J1143" s="55"/>
      <c r="K1143" s="46" t="str">
        <f t="shared" ca="1" si="91"/>
        <v/>
      </c>
      <c r="L1143" s="56" t="str">
        <f t="shared" ca="1" si="92"/>
        <v/>
      </c>
      <c r="Q1143" s="57" t="str">
        <f t="shared" si="93"/>
        <v/>
      </c>
      <c r="R1143" s="57" t="str">
        <f t="shared" si="94"/>
        <v/>
      </c>
    </row>
    <row r="1144" spans="4:18" x14ac:dyDescent="0.25">
      <c r="D1144" s="43"/>
      <c r="E1144" s="55" t="str">
        <f t="shared" si="90"/>
        <v/>
      </c>
      <c r="F1144" s="55"/>
      <c r="G1144" s="55"/>
      <c r="H1144" s="55"/>
      <c r="I1144" s="55"/>
      <c r="J1144" s="55"/>
      <c r="K1144" s="46" t="str">
        <f t="shared" ca="1" si="91"/>
        <v/>
      </c>
      <c r="L1144" s="56" t="str">
        <f t="shared" ca="1" si="92"/>
        <v/>
      </c>
      <c r="Q1144" s="57" t="str">
        <f t="shared" si="93"/>
        <v/>
      </c>
      <c r="R1144" s="57" t="str">
        <f t="shared" si="94"/>
        <v/>
      </c>
    </row>
    <row r="1145" spans="4:18" x14ac:dyDescent="0.25">
      <c r="D1145" s="43"/>
      <c r="E1145" s="55" t="str">
        <f t="shared" si="90"/>
        <v/>
      </c>
      <c r="F1145" s="55"/>
      <c r="G1145" s="55"/>
      <c r="H1145" s="55"/>
      <c r="I1145" s="55"/>
      <c r="J1145" s="55"/>
      <c r="K1145" s="46" t="str">
        <f t="shared" ca="1" si="91"/>
        <v/>
      </c>
      <c r="L1145" s="56" t="str">
        <f t="shared" ca="1" si="92"/>
        <v/>
      </c>
      <c r="Q1145" s="57" t="str">
        <f t="shared" si="93"/>
        <v/>
      </c>
      <c r="R1145" s="57" t="str">
        <f t="shared" si="94"/>
        <v/>
      </c>
    </row>
    <row r="1146" spans="4:18" x14ac:dyDescent="0.25">
      <c r="D1146" s="43"/>
      <c r="E1146" s="55" t="str">
        <f t="shared" si="90"/>
        <v/>
      </c>
      <c r="F1146" s="55"/>
      <c r="G1146" s="55"/>
      <c r="H1146" s="55"/>
      <c r="I1146" s="55"/>
      <c r="J1146" s="55"/>
      <c r="K1146" s="46" t="str">
        <f t="shared" ca="1" si="91"/>
        <v/>
      </c>
      <c r="L1146" s="56" t="str">
        <f t="shared" ca="1" si="92"/>
        <v/>
      </c>
      <c r="Q1146" s="57" t="str">
        <f t="shared" si="93"/>
        <v/>
      </c>
      <c r="R1146" s="57" t="str">
        <f t="shared" si="94"/>
        <v/>
      </c>
    </row>
    <row r="1147" spans="4:18" x14ac:dyDescent="0.25">
      <c r="D1147" s="43"/>
      <c r="E1147" s="55" t="str">
        <f t="shared" si="90"/>
        <v/>
      </c>
      <c r="F1147" s="55"/>
      <c r="G1147" s="55"/>
      <c r="H1147" s="55"/>
      <c r="I1147" s="55"/>
      <c r="J1147" s="55"/>
      <c r="K1147" s="46" t="str">
        <f t="shared" ca="1" si="91"/>
        <v/>
      </c>
      <c r="L1147" s="56" t="str">
        <f t="shared" ca="1" si="92"/>
        <v/>
      </c>
      <c r="Q1147" s="57" t="str">
        <f t="shared" si="93"/>
        <v/>
      </c>
      <c r="R1147" s="57" t="str">
        <f t="shared" si="94"/>
        <v/>
      </c>
    </row>
    <row r="1148" spans="4:18" x14ac:dyDescent="0.25">
      <c r="D1148" s="43"/>
      <c r="E1148" s="55" t="str">
        <f t="shared" si="90"/>
        <v/>
      </c>
      <c r="F1148" s="55"/>
      <c r="G1148" s="55"/>
      <c r="H1148" s="55"/>
      <c r="I1148" s="55"/>
      <c r="J1148" s="55"/>
      <c r="K1148" s="46" t="str">
        <f t="shared" ca="1" si="91"/>
        <v/>
      </c>
      <c r="L1148" s="56" t="str">
        <f t="shared" ca="1" si="92"/>
        <v/>
      </c>
      <c r="Q1148" s="57" t="str">
        <f t="shared" si="93"/>
        <v/>
      </c>
      <c r="R1148" s="57" t="str">
        <f t="shared" si="94"/>
        <v/>
      </c>
    </row>
    <row r="1149" spans="4:18" x14ac:dyDescent="0.25">
      <c r="D1149" s="43"/>
      <c r="E1149" s="55" t="str">
        <f t="shared" si="90"/>
        <v/>
      </c>
      <c r="F1149" s="55"/>
      <c r="G1149" s="55"/>
      <c r="H1149" s="55"/>
      <c r="I1149" s="55"/>
      <c r="J1149" s="55"/>
      <c r="K1149" s="46" t="str">
        <f t="shared" ca="1" si="91"/>
        <v/>
      </c>
      <c r="L1149" s="56" t="str">
        <f t="shared" ca="1" si="92"/>
        <v/>
      </c>
      <c r="Q1149" s="57" t="str">
        <f t="shared" si="93"/>
        <v/>
      </c>
      <c r="R1149" s="57" t="str">
        <f t="shared" si="94"/>
        <v/>
      </c>
    </row>
    <row r="1150" spans="4:18" x14ac:dyDescent="0.25">
      <c r="D1150" s="43"/>
      <c r="E1150" s="55" t="str">
        <f t="shared" si="90"/>
        <v/>
      </c>
      <c r="F1150" s="55"/>
      <c r="G1150" s="55"/>
      <c r="H1150" s="55"/>
      <c r="I1150" s="55"/>
      <c r="J1150" s="55"/>
      <c r="K1150" s="46" t="str">
        <f t="shared" ca="1" si="91"/>
        <v/>
      </c>
      <c r="L1150" s="56" t="str">
        <f t="shared" ca="1" si="92"/>
        <v/>
      </c>
      <c r="Q1150" s="57" t="str">
        <f t="shared" si="93"/>
        <v/>
      </c>
      <c r="R1150" s="57" t="str">
        <f t="shared" si="94"/>
        <v/>
      </c>
    </row>
    <row r="1151" spans="4:18" x14ac:dyDescent="0.25">
      <c r="D1151" s="43"/>
      <c r="E1151" s="55" t="str">
        <f t="shared" si="90"/>
        <v/>
      </c>
      <c r="F1151" s="55"/>
      <c r="G1151" s="55"/>
      <c r="H1151" s="55"/>
      <c r="I1151" s="55"/>
      <c r="J1151" s="55"/>
      <c r="K1151" s="46" t="str">
        <f t="shared" ca="1" si="91"/>
        <v/>
      </c>
      <c r="L1151" s="56" t="str">
        <f t="shared" ca="1" si="92"/>
        <v/>
      </c>
      <c r="Q1151" s="57" t="str">
        <f t="shared" si="93"/>
        <v/>
      </c>
      <c r="R1151" s="57" t="str">
        <f t="shared" si="94"/>
        <v/>
      </c>
    </row>
    <row r="1152" spans="4:18" x14ac:dyDescent="0.25">
      <c r="D1152" s="43"/>
      <c r="E1152" s="55" t="str">
        <f t="shared" si="90"/>
        <v/>
      </c>
      <c r="F1152" s="55"/>
      <c r="G1152" s="55"/>
      <c r="H1152" s="55"/>
      <c r="I1152" s="55"/>
      <c r="J1152" s="55"/>
      <c r="K1152" s="46" t="str">
        <f t="shared" ca="1" si="91"/>
        <v/>
      </c>
      <c r="L1152" s="56" t="str">
        <f t="shared" ca="1" si="92"/>
        <v/>
      </c>
      <c r="Q1152" s="57" t="str">
        <f t="shared" si="93"/>
        <v/>
      </c>
      <c r="R1152" s="57" t="str">
        <f t="shared" si="94"/>
        <v/>
      </c>
    </row>
    <row r="1153" spans="4:18" x14ac:dyDescent="0.25">
      <c r="D1153" s="43"/>
      <c r="E1153" s="55" t="str">
        <f t="shared" si="90"/>
        <v/>
      </c>
      <c r="F1153" s="55"/>
      <c r="G1153" s="55"/>
      <c r="H1153" s="55"/>
      <c r="I1153" s="55"/>
      <c r="J1153" s="55"/>
      <c r="K1153" s="46" t="str">
        <f t="shared" ca="1" si="91"/>
        <v/>
      </c>
      <c r="L1153" s="56" t="str">
        <f t="shared" ca="1" si="92"/>
        <v/>
      </c>
      <c r="Q1153" s="57" t="str">
        <f t="shared" si="93"/>
        <v/>
      </c>
      <c r="R1153" s="57" t="str">
        <f t="shared" si="94"/>
        <v/>
      </c>
    </row>
    <row r="1154" spans="4:18" x14ac:dyDescent="0.25">
      <c r="D1154" s="43"/>
      <c r="E1154" s="55" t="str">
        <f t="shared" si="90"/>
        <v/>
      </c>
      <c r="F1154" s="55"/>
      <c r="G1154" s="55"/>
      <c r="H1154" s="55"/>
      <c r="I1154" s="55"/>
      <c r="J1154" s="55"/>
      <c r="K1154" s="46" t="str">
        <f t="shared" ca="1" si="91"/>
        <v/>
      </c>
      <c r="L1154" s="56" t="str">
        <f t="shared" ca="1" si="92"/>
        <v/>
      </c>
      <c r="Q1154" s="57" t="str">
        <f t="shared" si="93"/>
        <v/>
      </c>
      <c r="R1154" s="57" t="str">
        <f t="shared" si="94"/>
        <v/>
      </c>
    </row>
    <row r="1155" spans="4:18" x14ac:dyDescent="0.25">
      <c r="D1155" s="43"/>
      <c r="E1155" s="55" t="str">
        <f t="shared" si="90"/>
        <v/>
      </c>
      <c r="F1155" s="55"/>
      <c r="G1155" s="55"/>
      <c r="H1155" s="55"/>
      <c r="I1155" s="55"/>
      <c r="J1155" s="55"/>
      <c r="K1155" s="46" t="str">
        <f t="shared" ca="1" si="91"/>
        <v/>
      </c>
      <c r="L1155" s="56" t="str">
        <f t="shared" ca="1" si="92"/>
        <v/>
      </c>
      <c r="Q1155" s="57" t="str">
        <f t="shared" si="93"/>
        <v/>
      </c>
      <c r="R1155" s="57" t="str">
        <f t="shared" si="94"/>
        <v/>
      </c>
    </row>
    <row r="1156" spans="4:18" x14ac:dyDescent="0.25">
      <c r="D1156" s="43"/>
      <c r="E1156" s="55" t="str">
        <f t="shared" si="90"/>
        <v/>
      </c>
      <c r="F1156" s="55"/>
      <c r="G1156" s="55"/>
      <c r="H1156" s="55"/>
      <c r="I1156" s="55"/>
      <c r="J1156" s="55"/>
      <c r="K1156" s="46" t="str">
        <f t="shared" ca="1" si="91"/>
        <v/>
      </c>
      <c r="L1156" s="56" t="str">
        <f t="shared" ca="1" si="92"/>
        <v/>
      </c>
      <c r="Q1156" s="57" t="str">
        <f t="shared" si="93"/>
        <v/>
      </c>
      <c r="R1156" s="57" t="str">
        <f t="shared" si="94"/>
        <v/>
      </c>
    </row>
    <row r="1157" spans="4:18" x14ac:dyDescent="0.25">
      <c r="D1157" s="43"/>
      <c r="E1157" s="55" t="str">
        <f t="shared" si="90"/>
        <v/>
      </c>
      <c r="F1157" s="55"/>
      <c r="G1157" s="55"/>
      <c r="H1157" s="55"/>
      <c r="I1157" s="55"/>
      <c r="J1157" s="55"/>
      <c r="K1157" s="46" t="str">
        <f t="shared" ca="1" si="91"/>
        <v/>
      </c>
      <c r="L1157" s="56" t="str">
        <f t="shared" ca="1" si="92"/>
        <v/>
      </c>
      <c r="Q1157" s="57" t="str">
        <f t="shared" si="93"/>
        <v/>
      </c>
      <c r="R1157" s="57" t="str">
        <f t="shared" si="94"/>
        <v/>
      </c>
    </row>
    <row r="1158" spans="4:18" x14ac:dyDescent="0.25">
      <c r="D1158" s="43"/>
      <c r="E1158" s="55" t="str">
        <f t="shared" si="90"/>
        <v/>
      </c>
      <c r="F1158" s="55"/>
      <c r="G1158" s="55"/>
      <c r="H1158" s="55"/>
      <c r="I1158" s="55"/>
      <c r="J1158" s="55"/>
      <c r="K1158" s="46" t="str">
        <f t="shared" ca="1" si="91"/>
        <v/>
      </c>
      <c r="L1158" s="56" t="str">
        <f t="shared" ca="1" si="92"/>
        <v/>
      </c>
      <c r="Q1158" s="57" t="str">
        <f t="shared" si="93"/>
        <v/>
      </c>
      <c r="R1158" s="57" t="str">
        <f t="shared" si="94"/>
        <v/>
      </c>
    </row>
    <row r="1159" spans="4:18" x14ac:dyDescent="0.25">
      <c r="D1159" s="43"/>
      <c r="E1159" s="55" t="str">
        <f t="shared" si="90"/>
        <v/>
      </c>
      <c r="F1159" s="55"/>
      <c r="G1159" s="55"/>
      <c r="H1159" s="55"/>
      <c r="I1159" s="55"/>
      <c r="J1159" s="55"/>
      <c r="K1159" s="46" t="str">
        <f t="shared" ca="1" si="91"/>
        <v/>
      </c>
      <c r="L1159" s="56" t="str">
        <f t="shared" ca="1" si="92"/>
        <v/>
      </c>
      <c r="Q1159" s="57" t="str">
        <f t="shared" si="93"/>
        <v/>
      </c>
      <c r="R1159" s="57" t="str">
        <f t="shared" si="94"/>
        <v/>
      </c>
    </row>
    <row r="1160" spans="4:18" x14ac:dyDescent="0.25">
      <c r="D1160" s="43"/>
      <c r="E1160" s="55" t="str">
        <f t="shared" si="90"/>
        <v/>
      </c>
      <c r="F1160" s="55"/>
      <c r="G1160" s="55"/>
      <c r="H1160" s="55"/>
      <c r="I1160" s="55"/>
      <c r="J1160" s="55"/>
      <c r="K1160" s="46" t="str">
        <f t="shared" ca="1" si="91"/>
        <v/>
      </c>
      <c r="L1160" s="56" t="str">
        <f t="shared" ca="1" si="92"/>
        <v/>
      </c>
      <c r="Q1160" s="57" t="str">
        <f t="shared" si="93"/>
        <v/>
      </c>
      <c r="R1160" s="57" t="str">
        <f t="shared" si="94"/>
        <v/>
      </c>
    </row>
    <row r="1161" spans="4:18" x14ac:dyDescent="0.25">
      <c r="D1161" s="43"/>
      <c r="E1161" s="55" t="str">
        <f t="shared" si="90"/>
        <v/>
      </c>
      <c r="F1161" s="55"/>
      <c r="G1161" s="55"/>
      <c r="H1161" s="55"/>
      <c r="I1161" s="55"/>
      <c r="J1161" s="55"/>
      <c r="K1161" s="46" t="str">
        <f t="shared" ca="1" si="91"/>
        <v/>
      </c>
      <c r="L1161" s="56" t="str">
        <f t="shared" ca="1" si="92"/>
        <v/>
      </c>
      <c r="Q1161" s="57" t="str">
        <f t="shared" si="93"/>
        <v/>
      </c>
      <c r="R1161" s="57" t="str">
        <f t="shared" si="94"/>
        <v/>
      </c>
    </row>
    <row r="1162" spans="4:18" x14ac:dyDescent="0.25">
      <c r="D1162" s="43"/>
      <c r="E1162" s="55" t="str">
        <f t="shared" si="90"/>
        <v/>
      </c>
      <c r="F1162" s="55"/>
      <c r="G1162" s="55"/>
      <c r="H1162" s="55"/>
      <c r="I1162" s="55"/>
      <c r="J1162" s="55"/>
      <c r="K1162" s="46" t="str">
        <f t="shared" ca="1" si="91"/>
        <v/>
      </c>
      <c r="L1162" s="56" t="str">
        <f t="shared" ca="1" si="92"/>
        <v/>
      </c>
      <c r="Q1162" s="57" t="str">
        <f t="shared" si="93"/>
        <v/>
      </c>
      <c r="R1162" s="57" t="str">
        <f t="shared" si="94"/>
        <v/>
      </c>
    </row>
    <row r="1163" spans="4:18" x14ac:dyDescent="0.25">
      <c r="D1163" s="43"/>
      <c r="E1163" s="55" t="str">
        <f t="shared" si="90"/>
        <v/>
      </c>
      <c r="F1163" s="55"/>
      <c r="G1163" s="55"/>
      <c r="H1163" s="55"/>
      <c r="I1163" s="55"/>
      <c r="J1163" s="55"/>
      <c r="K1163" s="46" t="str">
        <f t="shared" ca="1" si="91"/>
        <v/>
      </c>
      <c r="L1163" s="56" t="str">
        <f t="shared" ca="1" si="92"/>
        <v/>
      </c>
      <c r="Q1163" s="57" t="str">
        <f t="shared" si="93"/>
        <v/>
      </c>
      <c r="R1163" s="57" t="str">
        <f t="shared" si="94"/>
        <v/>
      </c>
    </row>
    <row r="1164" spans="4:18" x14ac:dyDescent="0.25">
      <c r="D1164" s="43"/>
      <c r="E1164" s="55" t="str">
        <f t="shared" si="90"/>
        <v/>
      </c>
      <c r="F1164" s="55"/>
      <c r="G1164" s="55"/>
      <c r="H1164" s="55"/>
      <c r="I1164" s="55"/>
      <c r="J1164" s="55"/>
      <c r="K1164" s="46" t="str">
        <f t="shared" ca="1" si="91"/>
        <v/>
      </c>
      <c r="L1164" s="56" t="str">
        <f t="shared" ca="1" si="92"/>
        <v/>
      </c>
      <c r="Q1164" s="57" t="str">
        <f t="shared" si="93"/>
        <v/>
      </c>
      <c r="R1164" s="57" t="str">
        <f t="shared" si="94"/>
        <v/>
      </c>
    </row>
    <row r="1165" spans="4:18" x14ac:dyDescent="0.25">
      <c r="D1165" s="43"/>
      <c r="E1165" s="55" t="str">
        <f t="shared" si="90"/>
        <v/>
      </c>
      <c r="F1165" s="55"/>
      <c r="G1165" s="55"/>
      <c r="H1165" s="55"/>
      <c r="I1165" s="55"/>
      <c r="J1165" s="55"/>
      <c r="K1165" s="46" t="str">
        <f t="shared" ca="1" si="91"/>
        <v/>
      </c>
      <c r="L1165" s="56" t="str">
        <f t="shared" ca="1" si="92"/>
        <v/>
      </c>
      <c r="Q1165" s="57" t="str">
        <f t="shared" si="93"/>
        <v/>
      </c>
      <c r="R1165" s="57" t="str">
        <f t="shared" si="94"/>
        <v/>
      </c>
    </row>
    <row r="1166" spans="4:18" x14ac:dyDescent="0.25">
      <c r="D1166" s="43"/>
      <c r="E1166" s="55" t="str">
        <f t="shared" si="90"/>
        <v/>
      </c>
      <c r="F1166" s="55"/>
      <c r="G1166" s="55"/>
      <c r="H1166" s="55"/>
      <c r="I1166" s="55"/>
      <c r="J1166" s="55"/>
      <c r="K1166" s="46" t="str">
        <f t="shared" ca="1" si="91"/>
        <v/>
      </c>
      <c r="L1166" s="56" t="str">
        <f t="shared" ca="1" si="92"/>
        <v/>
      </c>
      <c r="Q1166" s="57" t="str">
        <f t="shared" si="93"/>
        <v/>
      </c>
      <c r="R1166" s="57" t="str">
        <f t="shared" si="94"/>
        <v/>
      </c>
    </row>
    <row r="1167" spans="4:18" x14ac:dyDescent="0.25">
      <c r="D1167" s="43"/>
      <c r="E1167" s="55" t="str">
        <f t="shared" si="90"/>
        <v/>
      </c>
      <c r="F1167" s="55"/>
      <c r="G1167" s="55"/>
      <c r="H1167" s="55"/>
      <c r="I1167" s="55"/>
      <c r="J1167" s="55"/>
      <c r="K1167" s="46" t="str">
        <f t="shared" ca="1" si="91"/>
        <v/>
      </c>
      <c r="L1167" s="56" t="str">
        <f t="shared" ca="1" si="92"/>
        <v/>
      </c>
      <c r="Q1167" s="57" t="str">
        <f t="shared" si="93"/>
        <v/>
      </c>
      <c r="R1167" s="57" t="str">
        <f t="shared" si="94"/>
        <v/>
      </c>
    </row>
    <row r="1168" spans="4:18" x14ac:dyDescent="0.25">
      <c r="D1168" s="43"/>
      <c r="E1168" s="55" t="str">
        <f t="shared" si="90"/>
        <v/>
      </c>
      <c r="F1168" s="55"/>
      <c r="G1168" s="55"/>
      <c r="H1168" s="55"/>
      <c r="I1168" s="55"/>
      <c r="J1168" s="55"/>
      <c r="K1168" s="46" t="str">
        <f t="shared" ca="1" si="91"/>
        <v/>
      </c>
      <c r="L1168" s="56" t="str">
        <f t="shared" ca="1" si="92"/>
        <v/>
      </c>
      <c r="Q1168" s="57" t="str">
        <f t="shared" si="93"/>
        <v/>
      </c>
      <c r="R1168" s="57" t="str">
        <f t="shared" si="94"/>
        <v/>
      </c>
    </row>
    <row r="1169" spans="4:18" x14ac:dyDescent="0.25">
      <c r="D1169" s="43"/>
      <c r="E1169" s="55" t="str">
        <f t="shared" si="90"/>
        <v/>
      </c>
      <c r="F1169" s="55"/>
      <c r="G1169" s="55"/>
      <c r="H1169" s="55"/>
      <c r="I1169" s="55"/>
      <c r="J1169" s="55"/>
      <c r="K1169" s="46" t="str">
        <f t="shared" ca="1" si="91"/>
        <v/>
      </c>
      <c r="L1169" s="56" t="str">
        <f t="shared" ca="1" si="92"/>
        <v/>
      </c>
      <c r="Q1169" s="57" t="str">
        <f t="shared" si="93"/>
        <v/>
      </c>
      <c r="R1169" s="57" t="str">
        <f t="shared" si="94"/>
        <v/>
      </c>
    </row>
    <row r="1170" spans="4:18" x14ac:dyDescent="0.25">
      <c r="D1170" s="43"/>
      <c r="E1170" s="55" t="str">
        <f t="shared" si="90"/>
        <v/>
      </c>
      <c r="F1170" s="55"/>
      <c r="G1170" s="55"/>
      <c r="H1170" s="55"/>
      <c r="I1170" s="55"/>
      <c r="J1170" s="55"/>
      <c r="K1170" s="46" t="str">
        <f t="shared" ca="1" si="91"/>
        <v/>
      </c>
      <c r="L1170" s="56" t="str">
        <f t="shared" ca="1" si="92"/>
        <v/>
      </c>
      <c r="Q1170" s="57" t="str">
        <f t="shared" si="93"/>
        <v/>
      </c>
      <c r="R1170" s="57" t="str">
        <f t="shared" si="94"/>
        <v/>
      </c>
    </row>
    <row r="1171" spans="4:18" x14ac:dyDescent="0.25">
      <c r="D1171" s="43"/>
      <c r="E1171" s="55" t="str">
        <f t="shared" si="90"/>
        <v/>
      </c>
      <c r="F1171" s="55"/>
      <c r="G1171" s="55"/>
      <c r="H1171" s="55"/>
      <c r="I1171" s="55"/>
      <c r="J1171" s="55"/>
      <c r="K1171" s="46" t="str">
        <f t="shared" ca="1" si="91"/>
        <v/>
      </c>
      <c r="L1171" s="56" t="str">
        <f t="shared" ca="1" si="92"/>
        <v/>
      </c>
      <c r="Q1171" s="57" t="str">
        <f t="shared" si="93"/>
        <v/>
      </c>
      <c r="R1171" s="57" t="str">
        <f t="shared" si="94"/>
        <v/>
      </c>
    </row>
    <row r="1172" spans="4:18" x14ac:dyDescent="0.25">
      <c r="D1172" s="43"/>
      <c r="E1172" s="55" t="str">
        <f t="shared" ref="E1172:E1235" si="95">IF(ISNUMBER(SEARCH("v crs",D1172))=TRUE,"VC",IF(ISNUMBER(SEARCH("crs",D1172))=TRUE,"C",IF(ISNUMBER(SEARCH("med",D1172))=TRUE,"M",IF(ISNUMBER(SEARCH("vf",D1172))=TRUE,"VF",IF(ISNUMBER(SEARCH("f",D1172))=TRUE,"F","")))))</f>
        <v/>
      </c>
      <c r="F1172" s="55"/>
      <c r="G1172" s="55"/>
      <c r="H1172" s="55"/>
      <c r="I1172" s="55"/>
      <c r="J1172" s="55"/>
      <c r="K1172" s="46" t="str">
        <f t="shared" ca="1" si="91"/>
        <v/>
      </c>
      <c r="L1172" s="56" t="str">
        <f t="shared" ca="1" si="92"/>
        <v/>
      </c>
      <c r="Q1172" s="57" t="str">
        <f t="shared" si="93"/>
        <v/>
      </c>
      <c r="R1172" s="57" t="str">
        <f t="shared" si="94"/>
        <v/>
      </c>
    </row>
    <row r="1173" spans="4:18" x14ac:dyDescent="0.25">
      <c r="D1173" s="43"/>
      <c r="E1173" s="55" t="str">
        <f t="shared" si="95"/>
        <v/>
      </c>
      <c r="F1173" s="55"/>
      <c r="G1173" s="55"/>
      <c r="H1173" s="55"/>
      <c r="I1173" s="55"/>
      <c r="J1173" s="55"/>
      <c r="K1173" s="46" t="str">
        <f t="shared" ref="K1173:K1236" ca="1" si="96">IF(AND(C1173&lt;&gt;"",C1173&lt;&gt;Q1173),TODAY(),IF(C1173="","",K1173))</f>
        <v/>
      </c>
      <c r="L1173" s="56" t="str">
        <f t="shared" ref="L1173:L1236" ca="1" si="97">IF(AND(C1173&lt;&gt;"",C1173&lt;&gt;R1173),NOW(),IF(C1173="","",L1173))</f>
        <v/>
      </c>
      <c r="Q1173" s="57" t="str">
        <f t="shared" ref="Q1173:Q1236" si="98">IF(C1173="","",IF(OR(K1173="",AND(ISNUMBER(Q1173),C1173=Q1173)),Q1173,C1173))</f>
        <v/>
      </c>
      <c r="R1173" s="57" t="str">
        <f t="shared" ref="R1173:R1236" si="99">IF(C1173="","",IF(OR(L1173="",AND(ISNUMBER(R1173),C1173=R1173)),R1173,C1173))</f>
        <v/>
      </c>
    </row>
    <row r="1174" spans="4:18" x14ac:dyDescent="0.25">
      <c r="D1174" s="43"/>
      <c r="E1174" s="55" t="str">
        <f t="shared" si="95"/>
        <v/>
      </c>
      <c r="F1174" s="55"/>
      <c r="G1174" s="55"/>
      <c r="H1174" s="55"/>
      <c r="I1174" s="55"/>
      <c r="J1174" s="55"/>
      <c r="K1174" s="46" t="str">
        <f t="shared" ca="1" si="96"/>
        <v/>
      </c>
      <c r="L1174" s="56" t="str">
        <f t="shared" ca="1" si="97"/>
        <v/>
      </c>
      <c r="Q1174" s="57" t="str">
        <f t="shared" si="98"/>
        <v/>
      </c>
      <c r="R1174" s="57" t="str">
        <f t="shared" si="99"/>
        <v/>
      </c>
    </row>
    <row r="1175" spans="4:18" x14ac:dyDescent="0.25">
      <c r="D1175" s="43"/>
      <c r="E1175" s="55" t="str">
        <f t="shared" si="95"/>
        <v/>
      </c>
      <c r="F1175" s="55"/>
      <c r="G1175" s="55"/>
      <c r="H1175" s="55"/>
      <c r="I1175" s="55"/>
      <c r="J1175" s="55"/>
      <c r="K1175" s="46" t="str">
        <f t="shared" ca="1" si="96"/>
        <v/>
      </c>
      <c r="L1175" s="56" t="str">
        <f t="shared" ca="1" si="97"/>
        <v/>
      </c>
      <c r="Q1175" s="57" t="str">
        <f t="shared" si="98"/>
        <v/>
      </c>
      <c r="R1175" s="57" t="str">
        <f t="shared" si="99"/>
        <v/>
      </c>
    </row>
    <row r="1176" spans="4:18" x14ac:dyDescent="0.25">
      <c r="D1176" s="43"/>
      <c r="E1176" s="55" t="str">
        <f t="shared" si="95"/>
        <v/>
      </c>
      <c r="F1176" s="55"/>
      <c r="G1176" s="55"/>
      <c r="H1176" s="55"/>
      <c r="I1176" s="55"/>
      <c r="J1176" s="55"/>
      <c r="K1176" s="46" t="str">
        <f t="shared" ca="1" si="96"/>
        <v/>
      </c>
      <c r="L1176" s="56" t="str">
        <f t="shared" ca="1" si="97"/>
        <v/>
      </c>
      <c r="Q1176" s="57" t="str">
        <f t="shared" si="98"/>
        <v/>
      </c>
      <c r="R1176" s="57" t="str">
        <f t="shared" si="99"/>
        <v/>
      </c>
    </row>
    <row r="1177" spans="4:18" x14ac:dyDescent="0.25">
      <c r="D1177" s="43"/>
      <c r="E1177" s="55" t="str">
        <f t="shared" si="95"/>
        <v/>
      </c>
      <c r="F1177" s="55"/>
      <c r="G1177" s="55"/>
      <c r="H1177" s="55"/>
      <c r="I1177" s="55"/>
      <c r="J1177" s="55"/>
      <c r="K1177" s="46" t="str">
        <f t="shared" ca="1" si="96"/>
        <v/>
      </c>
      <c r="L1177" s="56" t="str">
        <f t="shared" ca="1" si="97"/>
        <v/>
      </c>
      <c r="Q1177" s="57" t="str">
        <f t="shared" si="98"/>
        <v/>
      </c>
      <c r="R1177" s="57" t="str">
        <f t="shared" si="99"/>
        <v/>
      </c>
    </row>
    <row r="1178" spans="4:18" x14ac:dyDescent="0.25">
      <c r="D1178" s="43"/>
      <c r="E1178" s="55" t="str">
        <f t="shared" si="95"/>
        <v/>
      </c>
      <c r="F1178" s="55"/>
      <c r="G1178" s="55"/>
      <c r="H1178" s="55"/>
      <c r="I1178" s="55"/>
      <c r="J1178" s="55"/>
      <c r="K1178" s="46" t="str">
        <f t="shared" ca="1" si="96"/>
        <v/>
      </c>
      <c r="L1178" s="56" t="str">
        <f t="shared" ca="1" si="97"/>
        <v/>
      </c>
      <c r="Q1178" s="57" t="str">
        <f t="shared" si="98"/>
        <v/>
      </c>
      <c r="R1178" s="57" t="str">
        <f t="shared" si="99"/>
        <v/>
      </c>
    </row>
    <row r="1179" spans="4:18" x14ac:dyDescent="0.25">
      <c r="D1179" s="43"/>
      <c r="E1179" s="55" t="str">
        <f t="shared" si="95"/>
        <v/>
      </c>
      <c r="F1179" s="55"/>
      <c r="G1179" s="55"/>
      <c r="H1179" s="55"/>
      <c r="I1179" s="55"/>
      <c r="J1179" s="55"/>
      <c r="K1179" s="46" t="str">
        <f t="shared" ca="1" si="96"/>
        <v/>
      </c>
      <c r="L1179" s="56" t="str">
        <f t="shared" ca="1" si="97"/>
        <v/>
      </c>
      <c r="Q1179" s="57" t="str">
        <f t="shared" si="98"/>
        <v/>
      </c>
      <c r="R1179" s="57" t="str">
        <f t="shared" si="99"/>
        <v/>
      </c>
    </row>
    <row r="1180" spans="4:18" x14ac:dyDescent="0.25">
      <c r="D1180" s="43"/>
      <c r="E1180" s="55" t="str">
        <f t="shared" si="95"/>
        <v/>
      </c>
      <c r="F1180" s="55"/>
      <c r="G1180" s="55"/>
      <c r="H1180" s="55"/>
      <c r="I1180" s="55"/>
      <c r="J1180" s="55"/>
      <c r="K1180" s="46" t="str">
        <f t="shared" ca="1" si="96"/>
        <v/>
      </c>
      <c r="L1180" s="56" t="str">
        <f t="shared" ca="1" si="97"/>
        <v/>
      </c>
      <c r="Q1180" s="57" t="str">
        <f t="shared" si="98"/>
        <v/>
      </c>
      <c r="R1180" s="57" t="str">
        <f t="shared" si="99"/>
        <v/>
      </c>
    </row>
    <row r="1181" spans="4:18" x14ac:dyDescent="0.25">
      <c r="D1181" s="43"/>
      <c r="E1181" s="55" t="str">
        <f t="shared" si="95"/>
        <v/>
      </c>
      <c r="F1181" s="55"/>
      <c r="G1181" s="55"/>
      <c r="H1181" s="55"/>
      <c r="I1181" s="55"/>
      <c r="J1181" s="55"/>
      <c r="K1181" s="46" t="str">
        <f t="shared" ca="1" si="96"/>
        <v/>
      </c>
      <c r="L1181" s="56" t="str">
        <f t="shared" ca="1" si="97"/>
        <v/>
      </c>
      <c r="Q1181" s="57" t="str">
        <f t="shared" si="98"/>
        <v/>
      </c>
      <c r="R1181" s="57" t="str">
        <f t="shared" si="99"/>
        <v/>
      </c>
    </row>
    <row r="1182" spans="4:18" x14ac:dyDescent="0.25">
      <c r="D1182" s="43"/>
      <c r="E1182" s="55" t="str">
        <f t="shared" si="95"/>
        <v/>
      </c>
      <c r="F1182" s="55"/>
      <c r="G1182" s="55"/>
      <c r="H1182" s="55"/>
      <c r="I1182" s="55"/>
      <c r="J1182" s="55"/>
      <c r="K1182" s="46" t="str">
        <f t="shared" ca="1" si="96"/>
        <v/>
      </c>
      <c r="L1182" s="56" t="str">
        <f t="shared" ca="1" si="97"/>
        <v/>
      </c>
      <c r="Q1182" s="57" t="str">
        <f t="shared" si="98"/>
        <v/>
      </c>
      <c r="R1182" s="57" t="str">
        <f t="shared" si="99"/>
        <v/>
      </c>
    </row>
    <row r="1183" spans="4:18" x14ac:dyDescent="0.25">
      <c r="D1183" s="43"/>
      <c r="E1183" s="55" t="str">
        <f t="shared" si="95"/>
        <v/>
      </c>
      <c r="F1183" s="55"/>
      <c r="G1183" s="55"/>
      <c r="H1183" s="55"/>
      <c r="I1183" s="55"/>
      <c r="J1183" s="55"/>
      <c r="K1183" s="46" t="str">
        <f t="shared" ca="1" si="96"/>
        <v/>
      </c>
      <c r="L1183" s="56" t="str">
        <f t="shared" ca="1" si="97"/>
        <v/>
      </c>
      <c r="Q1183" s="57" t="str">
        <f t="shared" si="98"/>
        <v/>
      </c>
      <c r="R1183" s="57" t="str">
        <f t="shared" si="99"/>
        <v/>
      </c>
    </row>
    <row r="1184" spans="4:18" x14ac:dyDescent="0.25">
      <c r="D1184" s="43"/>
      <c r="E1184" s="55" t="str">
        <f t="shared" si="95"/>
        <v/>
      </c>
      <c r="F1184" s="55"/>
      <c r="G1184" s="55"/>
      <c r="H1184" s="55"/>
      <c r="I1184" s="55"/>
      <c r="J1184" s="55"/>
      <c r="K1184" s="46" t="str">
        <f t="shared" ca="1" si="96"/>
        <v/>
      </c>
      <c r="L1184" s="56" t="str">
        <f t="shared" ca="1" si="97"/>
        <v/>
      </c>
      <c r="Q1184" s="57" t="str">
        <f t="shared" si="98"/>
        <v/>
      </c>
      <c r="R1184" s="57" t="str">
        <f t="shared" si="99"/>
        <v/>
      </c>
    </row>
    <row r="1185" spans="4:18" x14ac:dyDescent="0.25">
      <c r="D1185" s="43"/>
      <c r="E1185" s="55" t="str">
        <f t="shared" si="95"/>
        <v/>
      </c>
      <c r="F1185" s="55"/>
      <c r="G1185" s="55"/>
      <c r="H1185" s="55"/>
      <c r="I1185" s="55"/>
      <c r="J1185" s="55"/>
      <c r="K1185" s="46" t="str">
        <f t="shared" ca="1" si="96"/>
        <v/>
      </c>
      <c r="L1185" s="56" t="str">
        <f t="shared" ca="1" si="97"/>
        <v/>
      </c>
      <c r="Q1185" s="57" t="str">
        <f t="shared" si="98"/>
        <v/>
      </c>
      <c r="R1185" s="57" t="str">
        <f t="shared" si="99"/>
        <v/>
      </c>
    </row>
    <row r="1186" spans="4:18" x14ac:dyDescent="0.25">
      <c r="D1186" s="43"/>
      <c r="E1186" s="55" t="str">
        <f t="shared" si="95"/>
        <v/>
      </c>
      <c r="F1186" s="55"/>
      <c r="G1186" s="55"/>
      <c r="H1186" s="55"/>
      <c r="I1186" s="55"/>
      <c r="J1186" s="55"/>
      <c r="K1186" s="46" t="str">
        <f t="shared" ca="1" si="96"/>
        <v/>
      </c>
      <c r="L1186" s="56" t="str">
        <f t="shared" ca="1" si="97"/>
        <v/>
      </c>
      <c r="Q1186" s="57" t="str">
        <f t="shared" si="98"/>
        <v/>
      </c>
      <c r="R1186" s="57" t="str">
        <f t="shared" si="99"/>
        <v/>
      </c>
    </row>
    <row r="1187" spans="4:18" x14ac:dyDescent="0.25">
      <c r="D1187" s="43"/>
      <c r="E1187" s="55" t="str">
        <f t="shared" si="95"/>
        <v/>
      </c>
      <c r="F1187" s="55"/>
      <c r="G1187" s="55"/>
      <c r="H1187" s="55"/>
      <c r="I1187" s="55"/>
      <c r="J1187" s="55"/>
      <c r="K1187" s="46" t="str">
        <f t="shared" ca="1" si="96"/>
        <v/>
      </c>
      <c r="L1187" s="56" t="str">
        <f t="shared" ca="1" si="97"/>
        <v/>
      </c>
      <c r="Q1187" s="57" t="str">
        <f t="shared" si="98"/>
        <v/>
      </c>
      <c r="R1187" s="57" t="str">
        <f t="shared" si="99"/>
        <v/>
      </c>
    </row>
    <row r="1188" spans="4:18" x14ac:dyDescent="0.25">
      <c r="D1188" s="43"/>
      <c r="E1188" s="55" t="str">
        <f t="shared" si="95"/>
        <v/>
      </c>
      <c r="F1188" s="55"/>
      <c r="G1188" s="55"/>
      <c r="H1188" s="55"/>
      <c r="I1188" s="55"/>
      <c r="J1188" s="55"/>
      <c r="K1188" s="46" t="str">
        <f t="shared" ca="1" si="96"/>
        <v/>
      </c>
      <c r="L1188" s="56" t="str">
        <f t="shared" ca="1" si="97"/>
        <v/>
      </c>
      <c r="Q1188" s="57" t="str">
        <f t="shared" si="98"/>
        <v/>
      </c>
      <c r="R1188" s="57" t="str">
        <f t="shared" si="99"/>
        <v/>
      </c>
    </row>
    <row r="1189" spans="4:18" x14ac:dyDescent="0.25">
      <c r="D1189" s="43"/>
      <c r="E1189" s="55" t="str">
        <f t="shared" si="95"/>
        <v/>
      </c>
      <c r="F1189" s="55"/>
      <c r="G1189" s="55"/>
      <c r="H1189" s="55"/>
      <c r="I1189" s="55"/>
      <c r="J1189" s="55"/>
      <c r="K1189" s="46" t="str">
        <f t="shared" ca="1" si="96"/>
        <v/>
      </c>
      <c r="L1189" s="56" t="str">
        <f t="shared" ca="1" si="97"/>
        <v/>
      </c>
      <c r="Q1189" s="57" t="str">
        <f t="shared" si="98"/>
        <v/>
      </c>
      <c r="R1189" s="57" t="str">
        <f t="shared" si="99"/>
        <v/>
      </c>
    </row>
    <row r="1190" spans="4:18" x14ac:dyDescent="0.25">
      <c r="D1190" s="43"/>
      <c r="E1190" s="55" t="str">
        <f t="shared" si="95"/>
        <v/>
      </c>
      <c r="F1190" s="55"/>
      <c r="G1190" s="55"/>
      <c r="H1190" s="55"/>
      <c r="I1190" s="55"/>
      <c r="J1190" s="55"/>
      <c r="K1190" s="46" t="str">
        <f t="shared" ca="1" si="96"/>
        <v/>
      </c>
      <c r="L1190" s="56" t="str">
        <f t="shared" ca="1" si="97"/>
        <v/>
      </c>
      <c r="Q1190" s="57" t="str">
        <f t="shared" si="98"/>
        <v/>
      </c>
      <c r="R1190" s="57" t="str">
        <f t="shared" si="99"/>
        <v/>
      </c>
    </row>
    <row r="1191" spans="4:18" x14ac:dyDescent="0.25">
      <c r="D1191" s="43"/>
      <c r="E1191" s="55" t="str">
        <f t="shared" si="95"/>
        <v/>
      </c>
      <c r="F1191" s="55"/>
      <c r="G1191" s="55"/>
      <c r="H1191" s="55"/>
      <c r="I1191" s="55"/>
      <c r="J1191" s="55"/>
      <c r="K1191" s="46" t="str">
        <f t="shared" ca="1" si="96"/>
        <v/>
      </c>
      <c r="L1191" s="56" t="str">
        <f t="shared" ca="1" si="97"/>
        <v/>
      </c>
      <c r="Q1191" s="57" t="str">
        <f t="shared" si="98"/>
        <v/>
      </c>
      <c r="R1191" s="57" t="str">
        <f t="shared" si="99"/>
        <v/>
      </c>
    </row>
    <row r="1192" spans="4:18" x14ac:dyDescent="0.25">
      <c r="D1192" s="43"/>
      <c r="E1192" s="55" t="str">
        <f t="shared" si="95"/>
        <v/>
      </c>
      <c r="F1192" s="55"/>
      <c r="G1192" s="55"/>
      <c r="H1192" s="55"/>
      <c r="I1192" s="55"/>
      <c r="J1192" s="55"/>
      <c r="K1192" s="46" t="str">
        <f t="shared" ca="1" si="96"/>
        <v/>
      </c>
      <c r="L1192" s="56" t="str">
        <f t="shared" ca="1" si="97"/>
        <v/>
      </c>
      <c r="Q1192" s="57" t="str">
        <f t="shared" si="98"/>
        <v/>
      </c>
      <c r="R1192" s="57" t="str">
        <f t="shared" si="99"/>
        <v/>
      </c>
    </row>
    <row r="1193" spans="4:18" x14ac:dyDescent="0.25">
      <c r="D1193" s="43"/>
      <c r="E1193" s="55" t="str">
        <f t="shared" si="95"/>
        <v/>
      </c>
      <c r="F1193" s="55"/>
      <c r="G1193" s="55"/>
      <c r="H1193" s="55"/>
      <c r="I1193" s="55"/>
      <c r="J1193" s="55"/>
      <c r="K1193" s="46" t="str">
        <f t="shared" ca="1" si="96"/>
        <v/>
      </c>
      <c r="L1193" s="56" t="str">
        <f t="shared" ca="1" si="97"/>
        <v/>
      </c>
      <c r="Q1193" s="57" t="str">
        <f t="shared" si="98"/>
        <v/>
      </c>
      <c r="R1193" s="57" t="str">
        <f t="shared" si="99"/>
        <v/>
      </c>
    </row>
    <row r="1194" spans="4:18" x14ac:dyDescent="0.25">
      <c r="D1194" s="43"/>
      <c r="E1194" s="55" t="str">
        <f t="shared" si="95"/>
        <v/>
      </c>
      <c r="F1194" s="55"/>
      <c r="G1194" s="55"/>
      <c r="H1194" s="55"/>
      <c r="I1194" s="55"/>
      <c r="J1194" s="55"/>
      <c r="K1194" s="46" t="str">
        <f t="shared" ca="1" si="96"/>
        <v/>
      </c>
      <c r="L1194" s="56" t="str">
        <f t="shared" ca="1" si="97"/>
        <v/>
      </c>
      <c r="Q1194" s="57" t="str">
        <f t="shared" si="98"/>
        <v/>
      </c>
      <c r="R1194" s="57" t="str">
        <f t="shared" si="99"/>
        <v/>
      </c>
    </row>
    <row r="1195" spans="4:18" x14ac:dyDescent="0.25">
      <c r="D1195" s="43"/>
      <c r="E1195" s="55" t="str">
        <f t="shared" si="95"/>
        <v/>
      </c>
      <c r="F1195" s="55"/>
      <c r="G1195" s="55"/>
      <c r="H1195" s="55"/>
      <c r="I1195" s="55"/>
      <c r="J1195" s="55"/>
      <c r="K1195" s="46" t="str">
        <f t="shared" ca="1" si="96"/>
        <v/>
      </c>
      <c r="L1195" s="56" t="str">
        <f t="shared" ca="1" si="97"/>
        <v/>
      </c>
      <c r="Q1195" s="57" t="str">
        <f t="shared" si="98"/>
        <v/>
      </c>
      <c r="R1195" s="57" t="str">
        <f t="shared" si="99"/>
        <v/>
      </c>
    </row>
    <row r="1196" spans="4:18" x14ac:dyDescent="0.25">
      <c r="D1196" s="43"/>
      <c r="E1196" s="55" t="str">
        <f t="shared" si="95"/>
        <v/>
      </c>
      <c r="F1196" s="55"/>
      <c r="G1196" s="55"/>
      <c r="H1196" s="55"/>
      <c r="I1196" s="55"/>
      <c r="J1196" s="55"/>
      <c r="K1196" s="46" t="str">
        <f t="shared" ca="1" si="96"/>
        <v/>
      </c>
      <c r="L1196" s="56" t="str">
        <f t="shared" ca="1" si="97"/>
        <v/>
      </c>
      <c r="Q1196" s="57" t="str">
        <f t="shared" si="98"/>
        <v/>
      </c>
      <c r="R1196" s="57" t="str">
        <f t="shared" si="99"/>
        <v/>
      </c>
    </row>
    <row r="1197" spans="4:18" x14ac:dyDescent="0.25">
      <c r="D1197" s="43"/>
      <c r="E1197" s="55" t="str">
        <f t="shared" si="95"/>
        <v/>
      </c>
      <c r="F1197" s="55"/>
      <c r="G1197" s="55"/>
      <c r="H1197" s="55"/>
      <c r="I1197" s="55"/>
      <c r="J1197" s="55"/>
      <c r="K1197" s="46" t="str">
        <f t="shared" ca="1" si="96"/>
        <v/>
      </c>
      <c r="L1197" s="56" t="str">
        <f t="shared" ca="1" si="97"/>
        <v/>
      </c>
      <c r="Q1197" s="57" t="str">
        <f t="shared" si="98"/>
        <v/>
      </c>
      <c r="R1197" s="57" t="str">
        <f t="shared" si="99"/>
        <v/>
      </c>
    </row>
    <row r="1198" spans="4:18" x14ac:dyDescent="0.25">
      <c r="D1198" s="43"/>
      <c r="E1198" s="55" t="str">
        <f t="shared" si="95"/>
        <v/>
      </c>
      <c r="F1198" s="55"/>
      <c r="G1198" s="55"/>
      <c r="H1198" s="55"/>
      <c r="I1198" s="55"/>
      <c r="J1198" s="55"/>
      <c r="K1198" s="46" t="str">
        <f t="shared" ca="1" si="96"/>
        <v/>
      </c>
      <c r="L1198" s="56" t="str">
        <f t="shared" ca="1" si="97"/>
        <v/>
      </c>
      <c r="Q1198" s="57" t="str">
        <f t="shared" si="98"/>
        <v/>
      </c>
      <c r="R1198" s="57" t="str">
        <f t="shared" si="99"/>
        <v/>
      </c>
    </row>
    <row r="1199" spans="4:18" x14ac:dyDescent="0.25">
      <c r="D1199" s="43"/>
      <c r="E1199" s="55" t="str">
        <f t="shared" si="95"/>
        <v/>
      </c>
      <c r="F1199" s="55"/>
      <c r="G1199" s="55"/>
      <c r="H1199" s="55"/>
      <c r="I1199" s="55"/>
      <c r="J1199" s="55"/>
      <c r="K1199" s="46" t="str">
        <f t="shared" ca="1" si="96"/>
        <v/>
      </c>
      <c r="L1199" s="56" t="str">
        <f t="shared" ca="1" si="97"/>
        <v/>
      </c>
      <c r="Q1199" s="57" t="str">
        <f t="shared" si="98"/>
        <v/>
      </c>
      <c r="R1199" s="57" t="str">
        <f t="shared" si="99"/>
        <v/>
      </c>
    </row>
    <row r="1200" spans="4:18" x14ac:dyDescent="0.25">
      <c r="D1200" s="43"/>
      <c r="E1200" s="55" t="str">
        <f t="shared" si="95"/>
        <v/>
      </c>
      <c r="F1200" s="55"/>
      <c r="G1200" s="55"/>
      <c r="H1200" s="55"/>
      <c r="I1200" s="55"/>
      <c r="J1200" s="55"/>
      <c r="K1200" s="46" t="str">
        <f t="shared" ca="1" si="96"/>
        <v/>
      </c>
      <c r="L1200" s="56" t="str">
        <f t="shared" ca="1" si="97"/>
        <v/>
      </c>
      <c r="Q1200" s="57" t="str">
        <f t="shared" si="98"/>
        <v/>
      </c>
      <c r="R1200" s="57" t="str">
        <f t="shared" si="99"/>
        <v/>
      </c>
    </row>
    <row r="1201" spans="4:18" x14ac:dyDescent="0.25">
      <c r="D1201" s="43"/>
      <c r="E1201" s="55" t="str">
        <f t="shared" si="95"/>
        <v/>
      </c>
      <c r="F1201" s="55"/>
      <c r="G1201" s="55"/>
      <c r="H1201" s="55"/>
      <c r="I1201" s="55"/>
      <c r="J1201" s="55"/>
      <c r="K1201" s="46" t="str">
        <f t="shared" ca="1" si="96"/>
        <v/>
      </c>
      <c r="L1201" s="56" t="str">
        <f t="shared" ca="1" si="97"/>
        <v/>
      </c>
      <c r="Q1201" s="57" t="str">
        <f t="shared" si="98"/>
        <v/>
      </c>
      <c r="R1201" s="57" t="str">
        <f t="shared" si="99"/>
        <v/>
      </c>
    </row>
    <row r="1202" spans="4:18" x14ac:dyDescent="0.25">
      <c r="D1202" s="43"/>
      <c r="E1202" s="55" t="str">
        <f t="shared" si="95"/>
        <v/>
      </c>
      <c r="F1202" s="55"/>
      <c r="G1202" s="55"/>
      <c r="H1202" s="55"/>
      <c r="I1202" s="55"/>
      <c r="J1202" s="55"/>
      <c r="K1202" s="46" t="str">
        <f t="shared" ca="1" si="96"/>
        <v/>
      </c>
      <c r="L1202" s="56" t="str">
        <f t="shared" ca="1" si="97"/>
        <v/>
      </c>
      <c r="Q1202" s="57" t="str">
        <f t="shared" si="98"/>
        <v/>
      </c>
      <c r="R1202" s="57" t="str">
        <f t="shared" si="99"/>
        <v/>
      </c>
    </row>
    <row r="1203" spans="4:18" x14ac:dyDescent="0.25">
      <c r="D1203" s="43"/>
      <c r="E1203" s="55" t="str">
        <f t="shared" si="95"/>
        <v/>
      </c>
      <c r="F1203" s="55"/>
      <c r="G1203" s="55"/>
      <c r="H1203" s="55"/>
      <c r="I1203" s="55"/>
      <c r="J1203" s="55"/>
      <c r="K1203" s="46" t="str">
        <f t="shared" ca="1" si="96"/>
        <v/>
      </c>
      <c r="L1203" s="56" t="str">
        <f t="shared" ca="1" si="97"/>
        <v/>
      </c>
      <c r="Q1203" s="57" t="str">
        <f t="shared" si="98"/>
        <v/>
      </c>
      <c r="R1203" s="57" t="str">
        <f t="shared" si="99"/>
        <v/>
      </c>
    </row>
    <row r="1204" spans="4:18" x14ac:dyDescent="0.25">
      <c r="D1204" s="43"/>
      <c r="E1204" s="55" t="str">
        <f t="shared" si="95"/>
        <v/>
      </c>
      <c r="F1204" s="55"/>
      <c r="G1204" s="55"/>
      <c r="H1204" s="55"/>
      <c r="I1204" s="55"/>
      <c r="J1204" s="55"/>
      <c r="K1204" s="46" t="str">
        <f t="shared" ca="1" si="96"/>
        <v/>
      </c>
      <c r="L1204" s="56" t="str">
        <f t="shared" ca="1" si="97"/>
        <v/>
      </c>
      <c r="Q1204" s="57" t="str">
        <f t="shared" si="98"/>
        <v/>
      </c>
      <c r="R1204" s="57" t="str">
        <f t="shared" si="99"/>
        <v/>
      </c>
    </row>
    <row r="1205" spans="4:18" x14ac:dyDescent="0.25">
      <c r="D1205" s="43"/>
      <c r="E1205" s="55" t="str">
        <f t="shared" si="95"/>
        <v/>
      </c>
      <c r="F1205" s="55"/>
      <c r="G1205" s="55"/>
      <c r="H1205" s="55"/>
      <c r="I1205" s="55"/>
      <c r="J1205" s="55"/>
      <c r="K1205" s="46" t="str">
        <f t="shared" ca="1" si="96"/>
        <v/>
      </c>
      <c r="L1205" s="56" t="str">
        <f t="shared" ca="1" si="97"/>
        <v/>
      </c>
      <c r="Q1205" s="57" t="str">
        <f t="shared" si="98"/>
        <v/>
      </c>
      <c r="R1205" s="57" t="str">
        <f t="shared" si="99"/>
        <v/>
      </c>
    </row>
    <row r="1206" spans="4:18" x14ac:dyDescent="0.25">
      <c r="D1206" s="43"/>
      <c r="E1206" s="55" t="str">
        <f t="shared" si="95"/>
        <v/>
      </c>
      <c r="F1206" s="55"/>
      <c r="G1206" s="55"/>
      <c r="H1206" s="55"/>
      <c r="I1206" s="55"/>
      <c r="J1206" s="55"/>
      <c r="K1206" s="46" t="str">
        <f t="shared" ca="1" si="96"/>
        <v/>
      </c>
      <c r="L1206" s="56" t="str">
        <f t="shared" ca="1" si="97"/>
        <v/>
      </c>
      <c r="Q1206" s="57" t="str">
        <f t="shared" si="98"/>
        <v/>
      </c>
      <c r="R1206" s="57" t="str">
        <f t="shared" si="99"/>
        <v/>
      </c>
    </row>
    <row r="1207" spans="4:18" x14ac:dyDescent="0.25">
      <c r="D1207" s="43"/>
      <c r="E1207" s="55" t="str">
        <f t="shared" si="95"/>
        <v/>
      </c>
      <c r="F1207" s="55"/>
      <c r="G1207" s="55"/>
      <c r="H1207" s="55"/>
      <c r="I1207" s="55"/>
      <c r="J1207" s="55"/>
      <c r="K1207" s="46" t="str">
        <f t="shared" ca="1" si="96"/>
        <v/>
      </c>
      <c r="L1207" s="56" t="str">
        <f t="shared" ca="1" si="97"/>
        <v/>
      </c>
      <c r="Q1207" s="57" t="str">
        <f t="shared" si="98"/>
        <v/>
      </c>
      <c r="R1207" s="57" t="str">
        <f t="shared" si="99"/>
        <v/>
      </c>
    </row>
    <row r="1208" spans="4:18" x14ac:dyDescent="0.25">
      <c r="D1208" s="43"/>
      <c r="E1208" s="55" t="str">
        <f t="shared" si="95"/>
        <v/>
      </c>
      <c r="F1208" s="55"/>
      <c r="G1208" s="55"/>
      <c r="H1208" s="55"/>
      <c r="I1208" s="55"/>
      <c r="J1208" s="55"/>
      <c r="K1208" s="46" t="str">
        <f t="shared" ca="1" si="96"/>
        <v/>
      </c>
      <c r="L1208" s="56" t="str">
        <f t="shared" ca="1" si="97"/>
        <v/>
      </c>
      <c r="Q1208" s="57" t="str">
        <f t="shared" si="98"/>
        <v/>
      </c>
      <c r="R1208" s="57" t="str">
        <f t="shared" si="99"/>
        <v/>
      </c>
    </row>
    <row r="1209" spans="4:18" x14ac:dyDescent="0.25">
      <c r="D1209" s="43"/>
      <c r="E1209" s="55" t="str">
        <f t="shared" si="95"/>
        <v/>
      </c>
      <c r="F1209" s="55"/>
      <c r="G1209" s="55"/>
      <c r="H1209" s="55"/>
      <c r="I1209" s="55"/>
      <c r="J1209" s="55"/>
      <c r="K1209" s="46" t="str">
        <f t="shared" ca="1" si="96"/>
        <v/>
      </c>
      <c r="L1209" s="56" t="str">
        <f t="shared" ca="1" si="97"/>
        <v/>
      </c>
      <c r="Q1209" s="57" t="str">
        <f t="shared" si="98"/>
        <v/>
      </c>
      <c r="R1209" s="57" t="str">
        <f t="shared" si="99"/>
        <v/>
      </c>
    </row>
    <row r="1210" spans="4:18" x14ac:dyDescent="0.25">
      <c r="D1210" s="43"/>
      <c r="E1210" s="55" t="str">
        <f t="shared" si="95"/>
        <v/>
      </c>
      <c r="F1210" s="55"/>
      <c r="G1210" s="55"/>
      <c r="H1210" s="55"/>
      <c r="I1210" s="55"/>
      <c r="J1210" s="55"/>
      <c r="K1210" s="46" t="str">
        <f t="shared" ca="1" si="96"/>
        <v/>
      </c>
      <c r="L1210" s="56" t="str">
        <f t="shared" ca="1" si="97"/>
        <v/>
      </c>
      <c r="Q1210" s="57" t="str">
        <f t="shared" si="98"/>
        <v/>
      </c>
      <c r="R1210" s="57" t="str">
        <f t="shared" si="99"/>
        <v/>
      </c>
    </row>
    <row r="1211" spans="4:18" x14ac:dyDescent="0.25">
      <c r="D1211" s="43"/>
      <c r="E1211" s="55" t="str">
        <f t="shared" si="95"/>
        <v/>
      </c>
      <c r="F1211" s="55"/>
      <c r="G1211" s="55"/>
      <c r="H1211" s="55"/>
      <c r="I1211" s="55"/>
      <c r="J1211" s="55"/>
      <c r="K1211" s="46" t="str">
        <f t="shared" ca="1" si="96"/>
        <v/>
      </c>
      <c r="L1211" s="56" t="str">
        <f t="shared" ca="1" si="97"/>
        <v/>
      </c>
      <c r="Q1211" s="57" t="str">
        <f t="shared" si="98"/>
        <v/>
      </c>
      <c r="R1211" s="57" t="str">
        <f t="shared" si="99"/>
        <v/>
      </c>
    </row>
    <row r="1212" spans="4:18" x14ac:dyDescent="0.25">
      <c r="D1212" s="43"/>
      <c r="E1212" s="55" t="str">
        <f t="shared" si="95"/>
        <v/>
      </c>
      <c r="F1212" s="55"/>
      <c r="G1212" s="55"/>
      <c r="H1212" s="55"/>
      <c r="I1212" s="55"/>
      <c r="J1212" s="55"/>
      <c r="K1212" s="46" t="str">
        <f t="shared" ca="1" si="96"/>
        <v/>
      </c>
      <c r="L1212" s="56" t="str">
        <f t="shared" ca="1" si="97"/>
        <v/>
      </c>
      <c r="Q1212" s="57" t="str">
        <f t="shared" si="98"/>
        <v/>
      </c>
      <c r="R1212" s="57" t="str">
        <f t="shared" si="99"/>
        <v/>
      </c>
    </row>
    <row r="1213" spans="4:18" x14ac:dyDescent="0.25">
      <c r="D1213" s="43"/>
      <c r="E1213" s="55" t="str">
        <f t="shared" si="95"/>
        <v/>
      </c>
      <c r="F1213" s="55"/>
      <c r="G1213" s="55"/>
      <c r="H1213" s="55"/>
      <c r="I1213" s="55"/>
      <c r="J1213" s="55"/>
      <c r="K1213" s="46" t="str">
        <f t="shared" ca="1" si="96"/>
        <v/>
      </c>
      <c r="L1213" s="56" t="str">
        <f t="shared" ca="1" si="97"/>
        <v/>
      </c>
      <c r="Q1213" s="57" t="str">
        <f t="shared" si="98"/>
        <v/>
      </c>
      <c r="R1213" s="57" t="str">
        <f t="shared" si="99"/>
        <v/>
      </c>
    </row>
    <row r="1214" spans="4:18" x14ac:dyDescent="0.25">
      <c r="D1214" s="43"/>
      <c r="E1214" s="55" t="str">
        <f t="shared" si="95"/>
        <v/>
      </c>
      <c r="F1214" s="55"/>
      <c r="G1214" s="55"/>
      <c r="H1214" s="55"/>
      <c r="I1214" s="55"/>
      <c r="J1214" s="55"/>
      <c r="K1214" s="46" t="str">
        <f t="shared" ca="1" si="96"/>
        <v/>
      </c>
      <c r="L1214" s="56" t="str">
        <f t="shared" ca="1" si="97"/>
        <v/>
      </c>
      <c r="Q1214" s="57" t="str">
        <f t="shared" si="98"/>
        <v/>
      </c>
      <c r="R1214" s="57" t="str">
        <f t="shared" si="99"/>
        <v/>
      </c>
    </row>
    <row r="1215" spans="4:18" x14ac:dyDescent="0.25">
      <c r="D1215" s="43"/>
      <c r="E1215" s="55" t="str">
        <f t="shared" si="95"/>
        <v/>
      </c>
      <c r="F1215" s="55"/>
      <c r="G1215" s="55"/>
      <c r="H1215" s="55"/>
      <c r="I1215" s="55"/>
      <c r="J1215" s="55"/>
      <c r="K1215" s="46" t="str">
        <f t="shared" ca="1" si="96"/>
        <v/>
      </c>
      <c r="L1215" s="56" t="str">
        <f t="shared" ca="1" si="97"/>
        <v/>
      </c>
      <c r="Q1215" s="57" t="str">
        <f t="shared" si="98"/>
        <v/>
      </c>
      <c r="R1215" s="57" t="str">
        <f t="shared" si="99"/>
        <v/>
      </c>
    </row>
    <row r="1216" spans="4:18" x14ac:dyDescent="0.25">
      <c r="D1216" s="43"/>
      <c r="E1216" s="55" t="str">
        <f t="shared" si="95"/>
        <v/>
      </c>
      <c r="F1216" s="55"/>
      <c r="G1216" s="55"/>
      <c r="H1216" s="55"/>
      <c r="I1216" s="55"/>
      <c r="J1216" s="55"/>
      <c r="K1216" s="46" t="str">
        <f t="shared" ca="1" si="96"/>
        <v/>
      </c>
      <c r="L1216" s="56" t="str">
        <f t="shared" ca="1" si="97"/>
        <v/>
      </c>
      <c r="Q1216" s="57" t="str">
        <f t="shared" si="98"/>
        <v/>
      </c>
      <c r="R1216" s="57" t="str">
        <f t="shared" si="99"/>
        <v/>
      </c>
    </row>
    <row r="1217" spans="4:18" x14ac:dyDescent="0.25">
      <c r="D1217" s="43"/>
      <c r="E1217" s="55" t="str">
        <f t="shared" si="95"/>
        <v/>
      </c>
      <c r="F1217" s="55"/>
      <c r="G1217" s="55"/>
      <c r="H1217" s="55"/>
      <c r="I1217" s="55"/>
      <c r="J1217" s="55"/>
      <c r="K1217" s="46" t="str">
        <f t="shared" ca="1" si="96"/>
        <v/>
      </c>
      <c r="L1217" s="56" t="str">
        <f t="shared" ca="1" si="97"/>
        <v/>
      </c>
      <c r="Q1217" s="57" t="str">
        <f t="shared" si="98"/>
        <v/>
      </c>
      <c r="R1217" s="57" t="str">
        <f t="shared" si="99"/>
        <v/>
      </c>
    </row>
    <row r="1218" spans="4:18" x14ac:dyDescent="0.25">
      <c r="D1218" s="43"/>
      <c r="E1218" s="55" t="str">
        <f t="shared" si="95"/>
        <v/>
      </c>
      <c r="F1218" s="55"/>
      <c r="G1218" s="55"/>
      <c r="H1218" s="55"/>
      <c r="I1218" s="55"/>
      <c r="J1218" s="55"/>
      <c r="K1218" s="46" t="str">
        <f t="shared" ca="1" si="96"/>
        <v/>
      </c>
      <c r="L1218" s="56" t="str">
        <f t="shared" ca="1" si="97"/>
        <v/>
      </c>
      <c r="Q1218" s="57" t="str">
        <f t="shared" si="98"/>
        <v/>
      </c>
      <c r="R1218" s="57" t="str">
        <f t="shared" si="99"/>
        <v/>
      </c>
    </row>
    <row r="1219" spans="4:18" x14ac:dyDescent="0.25">
      <c r="D1219" s="43"/>
      <c r="E1219" s="55" t="str">
        <f t="shared" si="95"/>
        <v/>
      </c>
      <c r="F1219" s="55"/>
      <c r="G1219" s="55"/>
      <c r="H1219" s="55"/>
      <c r="I1219" s="55"/>
      <c r="J1219" s="55"/>
      <c r="K1219" s="46" t="str">
        <f t="shared" ca="1" si="96"/>
        <v/>
      </c>
      <c r="L1219" s="56" t="str">
        <f t="shared" ca="1" si="97"/>
        <v/>
      </c>
      <c r="Q1219" s="57" t="str">
        <f t="shared" si="98"/>
        <v/>
      </c>
      <c r="R1219" s="57" t="str">
        <f t="shared" si="99"/>
        <v/>
      </c>
    </row>
    <row r="1220" spans="4:18" x14ac:dyDescent="0.25">
      <c r="D1220" s="43"/>
      <c r="E1220" s="55" t="str">
        <f t="shared" si="95"/>
        <v/>
      </c>
      <c r="F1220" s="55"/>
      <c r="G1220" s="55"/>
      <c r="H1220" s="55"/>
      <c r="I1220" s="55"/>
      <c r="J1220" s="55"/>
      <c r="K1220" s="46" t="str">
        <f t="shared" ca="1" si="96"/>
        <v/>
      </c>
      <c r="L1220" s="56" t="str">
        <f t="shared" ca="1" si="97"/>
        <v/>
      </c>
      <c r="Q1220" s="57" t="str">
        <f t="shared" si="98"/>
        <v/>
      </c>
      <c r="R1220" s="57" t="str">
        <f t="shared" si="99"/>
        <v/>
      </c>
    </row>
    <row r="1221" spans="4:18" x14ac:dyDescent="0.25">
      <c r="D1221" s="43"/>
      <c r="E1221" s="55" t="str">
        <f t="shared" si="95"/>
        <v/>
      </c>
      <c r="F1221" s="55"/>
      <c r="G1221" s="55"/>
      <c r="H1221" s="55"/>
      <c r="I1221" s="55"/>
      <c r="J1221" s="55"/>
      <c r="K1221" s="46" t="str">
        <f t="shared" ca="1" si="96"/>
        <v/>
      </c>
      <c r="L1221" s="56" t="str">
        <f t="shared" ca="1" si="97"/>
        <v/>
      </c>
      <c r="Q1221" s="57" t="str">
        <f t="shared" si="98"/>
        <v/>
      </c>
      <c r="R1221" s="57" t="str">
        <f t="shared" si="99"/>
        <v/>
      </c>
    </row>
    <row r="1222" spans="4:18" x14ac:dyDescent="0.25">
      <c r="D1222" s="43"/>
      <c r="E1222" s="55" t="str">
        <f t="shared" si="95"/>
        <v/>
      </c>
      <c r="F1222" s="55"/>
      <c r="G1222" s="55"/>
      <c r="H1222" s="55"/>
      <c r="I1222" s="55"/>
      <c r="J1222" s="55"/>
      <c r="K1222" s="46" t="str">
        <f t="shared" ca="1" si="96"/>
        <v/>
      </c>
      <c r="L1222" s="56" t="str">
        <f t="shared" ca="1" si="97"/>
        <v/>
      </c>
      <c r="Q1222" s="57" t="str">
        <f t="shared" si="98"/>
        <v/>
      </c>
      <c r="R1222" s="57" t="str">
        <f t="shared" si="99"/>
        <v/>
      </c>
    </row>
    <row r="1223" spans="4:18" x14ac:dyDescent="0.25">
      <c r="D1223" s="43"/>
      <c r="E1223" s="55" t="str">
        <f t="shared" si="95"/>
        <v/>
      </c>
      <c r="F1223" s="55"/>
      <c r="G1223" s="55"/>
      <c r="H1223" s="55"/>
      <c r="I1223" s="55"/>
      <c r="J1223" s="55"/>
      <c r="K1223" s="46" t="str">
        <f t="shared" ca="1" si="96"/>
        <v/>
      </c>
      <c r="L1223" s="56" t="str">
        <f t="shared" ca="1" si="97"/>
        <v/>
      </c>
      <c r="Q1223" s="57" t="str">
        <f t="shared" si="98"/>
        <v/>
      </c>
      <c r="R1223" s="57" t="str">
        <f t="shared" si="99"/>
        <v/>
      </c>
    </row>
    <row r="1224" spans="4:18" x14ac:dyDescent="0.25">
      <c r="D1224" s="43"/>
      <c r="E1224" s="55" t="str">
        <f t="shared" si="95"/>
        <v/>
      </c>
      <c r="F1224" s="55"/>
      <c r="G1224" s="55"/>
      <c r="H1224" s="55"/>
      <c r="I1224" s="55"/>
      <c r="J1224" s="55"/>
      <c r="K1224" s="46" t="str">
        <f t="shared" ca="1" si="96"/>
        <v/>
      </c>
      <c r="L1224" s="56" t="str">
        <f t="shared" ca="1" si="97"/>
        <v/>
      </c>
      <c r="Q1224" s="57" t="str">
        <f t="shared" si="98"/>
        <v/>
      </c>
      <c r="R1224" s="57" t="str">
        <f t="shared" si="99"/>
        <v/>
      </c>
    </row>
    <row r="1225" spans="4:18" x14ac:dyDescent="0.25">
      <c r="D1225" s="43"/>
      <c r="E1225" s="55" t="str">
        <f t="shared" si="95"/>
        <v/>
      </c>
      <c r="F1225" s="55"/>
      <c r="G1225" s="55"/>
      <c r="H1225" s="55"/>
      <c r="I1225" s="55"/>
      <c r="J1225" s="55"/>
      <c r="K1225" s="46" t="str">
        <f t="shared" ca="1" si="96"/>
        <v/>
      </c>
      <c r="L1225" s="56" t="str">
        <f t="shared" ca="1" si="97"/>
        <v/>
      </c>
      <c r="Q1225" s="57" t="str">
        <f t="shared" si="98"/>
        <v/>
      </c>
      <c r="R1225" s="57" t="str">
        <f t="shared" si="99"/>
        <v/>
      </c>
    </row>
    <row r="1226" spans="4:18" x14ac:dyDescent="0.25">
      <c r="D1226" s="43"/>
      <c r="E1226" s="55" t="str">
        <f t="shared" si="95"/>
        <v/>
      </c>
      <c r="F1226" s="55"/>
      <c r="G1226" s="55"/>
      <c r="H1226" s="55"/>
      <c r="I1226" s="55"/>
      <c r="J1226" s="55"/>
      <c r="K1226" s="46" t="str">
        <f t="shared" ca="1" si="96"/>
        <v/>
      </c>
      <c r="L1226" s="56" t="str">
        <f t="shared" ca="1" si="97"/>
        <v/>
      </c>
      <c r="Q1226" s="57" t="str">
        <f t="shared" si="98"/>
        <v/>
      </c>
      <c r="R1226" s="57" t="str">
        <f t="shared" si="99"/>
        <v/>
      </c>
    </row>
    <row r="1227" spans="4:18" x14ac:dyDescent="0.25">
      <c r="D1227" s="43"/>
      <c r="E1227" s="55" t="str">
        <f t="shared" si="95"/>
        <v/>
      </c>
      <c r="F1227" s="55"/>
      <c r="G1227" s="55"/>
      <c r="H1227" s="55"/>
      <c r="I1227" s="55"/>
      <c r="J1227" s="55"/>
      <c r="K1227" s="46" t="str">
        <f t="shared" ca="1" si="96"/>
        <v/>
      </c>
      <c r="L1227" s="56" t="str">
        <f t="shared" ca="1" si="97"/>
        <v/>
      </c>
      <c r="Q1227" s="57" t="str">
        <f t="shared" si="98"/>
        <v/>
      </c>
      <c r="R1227" s="57" t="str">
        <f t="shared" si="99"/>
        <v/>
      </c>
    </row>
    <row r="1228" spans="4:18" x14ac:dyDescent="0.25">
      <c r="D1228" s="43"/>
      <c r="E1228" s="55" t="str">
        <f t="shared" si="95"/>
        <v/>
      </c>
      <c r="F1228" s="55"/>
      <c r="G1228" s="55"/>
      <c r="H1228" s="55"/>
      <c r="I1228" s="55"/>
      <c r="J1228" s="55"/>
      <c r="K1228" s="46" t="str">
        <f t="shared" ca="1" si="96"/>
        <v/>
      </c>
      <c r="L1228" s="56" t="str">
        <f t="shared" ca="1" si="97"/>
        <v/>
      </c>
      <c r="Q1228" s="57" t="str">
        <f t="shared" si="98"/>
        <v/>
      </c>
      <c r="R1228" s="57" t="str">
        <f t="shared" si="99"/>
        <v/>
      </c>
    </row>
    <row r="1229" spans="4:18" x14ac:dyDescent="0.25">
      <c r="D1229" s="43"/>
      <c r="E1229" s="55" t="str">
        <f t="shared" si="95"/>
        <v/>
      </c>
      <c r="F1229" s="55"/>
      <c r="G1229" s="55"/>
      <c r="H1229" s="55"/>
      <c r="I1229" s="55"/>
      <c r="J1229" s="55"/>
      <c r="K1229" s="46" t="str">
        <f t="shared" ca="1" si="96"/>
        <v/>
      </c>
      <c r="L1229" s="56" t="str">
        <f t="shared" ca="1" si="97"/>
        <v/>
      </c>
      <c r="Q1229" s="57" t="str">
        <f t="shared" si="98"/>
        <v/>
      </c>
      <c r="R1229" s="57" t="str">
        <f t="shared" si="99"/>
        <v/>
      </c>
    </row>
    <row r="1230" spans="4:18" x14ac:dyDescent="0.25">
      <c r="D1230" s="43"/>
      <c r="E1230" s="55" t="str">
        <f t="shared" si="95"/>
        <v/>
      </c>
      <c r="F1230" s="55"/>
      <c r="G1230" s="55"/>
      <c r="H1230" s="55"/>
      <c r="I1230" s="55"/>
      <c r="J1230" s="55"/>
      <c r="K1230" s="46" t="str">
        <f t="shared" ca="1" si="96"/>
        <v/>
      </c>
      <c r="L1230" s="56" t="str">
        <f t="shared" ca="1" si="97"/>
        <v/>
      </c>
      <c r="Q1230" s="57" t="str">
        <f t="shared" si="98"/>
        <v/>
      </c>
      <c r="R1230" s="57" t="str">
        <f t="shared" si="99"/>
        <v/>
      </c>
    </row>
    <row r="1231" spans="4:18" x14ac:dyDescent="0.25">
      <c r="D1231" s="43"/>
      <c r="E1231" s="55" t="str">
        <f t="shared" si="95"/>
        <v/>
      </c>
      <c r="F1231" s="55"/>
      <c r="G1231" s="55"/>
      <c r="H1231" s="55"/>
      <c r="I1231" s="55"/>
      <c r="J1231" s="55"/>
      <c r="K1231" s="46" t="str">
        <f t="shared" ca="1" si="96"/>
        <v/>
      </c>
      <c r="L1231" s="56" t="str">
        <f t="shared" ca="1" si="97"/>
        <v/>
      </c>
      <c r="Q1231" s="57" t="str">
        <f t="shared" si="98"/>
        <v/>
      </c>
      <c r="R1231" s="57" t="str">
        <f t="shared" si="99"/>
        <v/>
      </c>
    </row>
    <row r="1232" spans="4:18" x14ac:dyDescent="0.25">
      <c r="D1232" s="43"/>
      <c r="E1232" s="55" t="str">
        <f t="shared" si="95"/>
        <v/>
      </c>
      <c r="F1232" s="55"/>
      <c r="G1232" s="55"/>
      <c r="H1232" s="55"/>
      <c r="I1232" s="55"/>
      <c r="J1232" s="55"/>
      <c r="K1232" s="46" t="str">
        <f t="shared" ca="1" si="96"/>
        <v/>
      </c>
      <c r="L1232" s="56" t="str">
        <f t="shared" ca="1" si="97"/>
        <v/>
      </c>
      <c r="Q1232" s="57" t="str">
        <f t="shared" si="98"/>
        <v/>
      </c>
      <c r="R1232" s="57" t="str">
        <f t="shared" si="99"/>
        <v/>
      </c>
    </row>
    <row r="1233" spans="4:18" x14ac:dyDescent="0.25">
      <c r="D1233" s="43"/>
      <c r="E1233" s="55" t="str">
        <f t="shared" si="95"/>
        <v/>
      </c>
      <c r="F1233" s="55"/>
      <c r="G1233" s="55"/>
      <c r="H1233" s="55"/>
      <c r="I1233" s="55"/>
      <c r="J1233" s="55"/>
      <c r="K1233" s="46" t="str">
        <f t="shared" ca="1" si="96"/>
        <v/>
      </c>
      <c r="L1233" s="56" t="str">
        <f t="shared" ca="1" si="97"/>
        <v/>
      </c>
      <c r="Q1233" s="57" t="str">
        <f t="shared" si="98"/>
        <v/>
      </c>
      <c r="R1233" s="57" t="str">
        <f t="shared" si="99"/>
        <v/>
      </c>
    </row>
    <row r="1234" spans="4:18" x14ac:dyDescent="0.25">
      <c r="D1234" s="43"/>
      <c r="E1234" s="55" t="str">
        <f t="shared" si="95"/>
        <v/>
      </c>
      <c r="F1234" s="55"/>
      <c r="G1234" s="55"/>
      <c r="H1234" s="55"/>
      <c r="I1234" s="55"/>
      <c r="J1234" s="55"/>
      <c r="K1234" s="46" t="str">
        <f t="shared" ca="1" si="96"/>
        <v/>
      </c>
      <c r="L1234" s="56" t="str">
        <f t="shared" ca="1" si="97"/>
        <v/>
      </c>
      <c r="Q1234" s="57" t="str">
        <f t="shared" si="98"/>
        <v/>
      </c>
      <c r="R1234" s="57" t="str">
        <f t="shared" si="99"/>
        <v/>
      </c>
    </row>
    <row r="1235" spans="4:18" x14ac:dyDescent="0.25">
      <c r="D1235" s="43"/>
      <c r="E1235" s="55" t="str">
        <f t="shared" si="95"/>
        <v/>
      </c>
      <c r="F1235" s="55"/>
      <c r="G1235" s="55"/>
      <c r="H1235" s="55"/>
      <c r="I1235" s="55"/>
      <c r="J1235" s="55"/>
      <c r="K1235" s="46" t="str">
        <f t="shared" ca="1" si="96"/>
        <v/>
      </c>
      <c r="L1235" s="56" t="str">
        <f t="shared" ca="1" si="97"/>
        <v/>
      </c>
      <c r="Q1235" s="57" t="str">
        <f t="shared" si="98"/>
        <v/>
      </c>
      <c r="R1235" s="57" t="str">
        <f t="shared" si="99"/>
        <v/>
      </c>
    </row>
    <row r="1236" spans="4:18" x14ac:dyDescent="0.25">
      <c r="D1236" s="43"/>
      <c r="E1236" s="55" t="str">
        <f t="shared" ref="E1236:E1299" si="100">IF(ISNUMBER(SEARCH("v crs",D1236))=TRUE,"VC",IF(ISNUMBER(SEARCH("crs",D1236))=TRUE,"C",IF(ISNUMBER(SEARCH("med",D1236))=TRUE,"M",IF(ISNUMBER(SEARCH("vf",D1236))=TRUE,"VF",IF(ISNUMBER(SEARCH("f",D1236))=TRUE,"F","")))))</f>
        <v/>
      </c>
      <c r="F1236" s="55"/>
      <c r="G1236" s="55"/>
      <c r="H1236" s="55"/>
      <c r="I1236" s="55"/>
      <c r="J1236" s="55"/>
      <c r="K1236" s="46" t="str">
        <f t="shared" ca="1" si="96"/>
        <v/>
      </c>
      <c r="L1236" s="56" t="str">
        <f t="shared" ca="1" si="97"/>
        <v/>
      </c>
      <c r="Q1236" s="57" t="str">
        <f t="shared" si="98"/>
        <v/>
      </c>
      <c r="R1236" s="57" t="str">
        <f t="shared" si="99"/>
        <v/>
      </c>
    </row>
    <row r="1237" spans="4:18" x14ac:dyDescent="0.25">
      <c r="D1237" s="43"/>
      <c r="E1237" s="55" t="str">
        <f t="shared" si="100"/>
        <v/>
      </c>
      <c r="F1237" s="55"/>
      <c r="G1237" s="55"/>
      <c r="H1237" s="55"/>
      <c r="I1237" s="55"/>
      <c r="J1237" s="55"/>
      <c r="K1237" s="46" t="str">
        <f t="shared" ref="K1237:K1300" ca="1" si="101">IF(AND(C1237&lt;&gt;"",C1237&lt;&gt;Q1237),TODAY(),IF(C1237="","",K1237))</f>
        <v/>
      </c>
      <c r="L1237" s="56" t="str">
        <f t="shared" ref="L1237:L1300" ca="1" si="102">IF(AND(C1237&lt;&gt;"",C1237&lt;&gt;R1237),NOW(),IF(C1237="","",L1237))</f>
        <v/>
      </c>
      <c r="Q1237" s="57" t="str">
        <f t="shared" ref="Q1237:Q1300" si="103">IF(C1237="","",IF(OR(K1237="",AND(ISNUMBER(Q1237),C1237=Q1237)),Q1237,C1237))</f>
        <v/>
      </c>
      <c r="R1237" s="57" t="str">
        <f t="shared" ref="R1237:R1300" si="104">IF(C1237="","",IF(OR(L1237="",AND(ISNUMBER(R1237),C1237=R1237)),R1237,C1237))</f>
        <v/>
      </c>
    </row>
    <row r="1238" spans="4:18" x14ac:dyDescent="0.25">
      <c r="D1238" s="43"/>
      <c r="E1238" s="55" t="str">
        <f t="shared" si="100"/>
        <v/>
      </c>
      <c r="F1238" s="55"/>
      <c r="G1238" s="55"/>
      <c r="H1238" s="55"/>
      <c r="I1238" s="55"/>
      <c r="J1238" s="55"/>
      <c r="K1238" s="46" t="str">
        <f t="shared" ca="1" si="101"/>
        <v/>
      </c>
      <c r="L1238" s="56" t="str">
        <f t="shared" ca="1" si="102"/>
        <v/>
      </c>
      <c r="Q1238" s="57" t="str">
        <f t="shared" si="103"/>
        <v/>
      </c>
      <c r="R1238" s="57" t="str">
        <f t="shared" si="104"/>
        <v/>
      </c>
    </row>
    <row r="1239" spans="4:18" x14ac:dyDescent="0.25">
      <c r="D1239" s="43"/>
      <c r="E1239" s="55" t="str">
        <f t="shared" si="100"/>
        <v/>
      </c>
      <c r="F1239" s="55"/>
      <c r="G1239" s="55"/>
      <c r="H1239" s="55"/>
      <c r="I1239" s="55"/>
      <c r="J1239" s="55"/>
      <c r="K1239" s="46" t="str">
        <f t="shared" ca="1" si="101"/>
        <v/>
      </c>
      <c r="L1239" s="56" t="str">
        <f t="shared" ca="1" si="102"/>
        <v/>
      </c>
      <c r="Q1239" s="57" t="str">
        <f t="shared" si="103"/>
        <v/>
      </c>
      <c r="R1239" s="57" t="str">
        <f t="shared" si="104"/>
        <v/>
      </c>
    </row>
    <row r="1240" spans="4:18" x14ac:dyDescent="0.25">
      <c r="D1240" s="43"/>
      <c r="E1240" s="55" t="str">
        <f t="shared" si="100"/>
        <v/>
      </c>
      <c r="F1240" s="55"/>
      <c r="G1240" s="55"/>
      <c r="H1240" s="55"/>
      <c r="I1240" s="55"/>
      <c r="J1240" s="55"/>
      <c r="K1240" s="46" t="str">
        <f t="shared" ca="1" si="101"/>
        <v/>
      </c>
      <c r="L1240" s="56" t="str">
        <f t="shared" ca="1" si="102"/>
        <v/>
      </c>
      <c r="Q1240" s="57" t="str">
        <f t="shared" si="103"/>
        <v/>
      </c>
      <c r="R1240" s="57" t="str">
        <f t="shared" si="104"/>
        <v/>
      </c>
    </row>
    <row r="1241" spans="4:18" x14ac:dyDescent="0.25">
      <c r="D1241" s="43"/>
      <c r="E1241" s="55" t="str">
        <f t="shared" si="100"/>
        <v/>
      </c>
      <c r="F1241" s="55"/>
      <c r="G1241" s="55"/>
      <c r="H1241" s="55"/>
      <c r="I1241" s="55"/>
      <c r="J1241" s="55"/>
      <c r="K1241" s="46" t="str">
        <f t="shared" ca="1" si="101"/>
        <v/>
      </c>
      <c r="L1241" s="56" t="str">
        <f t="shared" ca="1" si="102"/>
        <v/>
      </c>
      <c r="Q1241" s="57" t="str">
        <f t="shared" si="103"/>
        <v/>
      </c>
      <c r="R1241" s="57" t="str">
        <f t="shared" si="104"/>
        <v/>
      </c>
    </row>
    <row r="1242" spans="4:18" x14ac:dyDescent="0.25">
      <c r="D1242" s="43"/>
      <c r="E1242" s="55" t="str">
        <f t="shared" si="100"/>
        <v/>
      </c>
      <c r="F1242" s="55"/>
      <c r="G1242" s="55"/>
      <c r="H1242" s="55"/>
      <c r="I1242" s="55"/>
      <c r="J1242" s="55"/>
      <c r="K1242" s="46" t="str">
        <f t="shared" ca="1" si="101"/>
        <v/>
      </c>
      <c r="L1242" s="56" t="str">
        <f t="shared" ca="1" si="102"/>
        <v/>
      </c>
      <c r="Q1242" s="57" t="str">
        <f t="shared" si="103"/>
        <v/>
      </c>
      <c r="R1242" s="57" t="str">
        <f t="shared" si="104"/>
        <v/>
      </c>
    </row>
    <row r="1243" spans="4:18" x14ac:dyDescent="0.25">
      <c r="D1243" s="43"/>
      <c r="E1243" s="55" t="str">
        <f t="shared" si="100"/>
        <v/>
      </c>
      <c r="F1243" s="55"/>
      <c r="G1243" s="55"/>
      <c r="H1243" s="55"/>
      <c r="I1243" s="55"/>
      <c r="J1243" s="55"/>
      <c r="K1243" s="46" t="str">
        <f t="shared" ca="1" si="101"/>
        <v/>
      </c>
      <c r="L1243" s="56" t="str">
        <f t="shared" ca="1" si="102"/>
        <v/>
      </c>
      <c r="Q1243" s="57" t="str">
        <f t="shared" si="103"/>
        <v/>
      </c>
      <c r="R1243" s="57" t="str">
        <f t="shared" si="104"/>
        <v/>
      </c>
    </row>
    <row r="1244" spans="4:18" x14ac:dyDescent="0.25">
      <c r="D1244" s="43"/>
      <c r="E1244" s="55" t="str">
        <f t="shared" si="100"/>
        <v/>
      </c>
      <c r="F1244" s="55"/>
      <c r="G1244" s="55"/>
      <c r="H1244" s="55"/>
      <c r="I1244" s="55"/>
      <c r="J1244" s="55"/>
      <c r="K1244" s="46" t="str">
        <f t="shared" ca="1" si="101"/>
        <v/>
      </c>
      <c r="L1244" s="56" t="str">
        <f t="shared" ca="1" si="102"/>
        <v/>
      </c>
      <c r="Q1244" s="57" t="str">
        <f t="shared" si="103"/>
        <v/>
      </c>
      <c r="R1244" s="57" t="str">
        <f t="shared" si="104"/>
        <v/>
      </c>
    </row>
    <row r="1245" spans="4:18" x14ac:dyDescent="0.25">
      <c r="D1245" s="43"/>
      <c r="E1245" s="55" t="str">
        <f t="shared" si="100"/>
        <v/>
      </c>
      <c r="F1245" s="55"/>
      <c r="G1245" s="55"/>
      <c r="H1245" s="55"/>
      <c r="I1245" s="55"/>
      <c r="J1245" s="55"/>
      <c r="K1245" s="46" t="str">
        <f t="shared" ca="1" si="101"/>
        <v/>
      </c>
      <c r="L1245" s="56" t="str">
        <f t="shared" ca="1" si="102"/>
        <v/>
      </c>
      <c r="Q1245" s="57" t="str">
        <f t="shared" si="103"/>
        <v/>
      </c>
      <c r="R1245" s="57" t="str">
        <f t="shared" si="104"/>
        <v/>
      </c>
    </row>
    <row r="1246" spans="4:18" x14ac:dyDescent="0.25">
      <c r="D1246" s="43"/>
      <c r="E1246" s="55" t="str">
        <f t="shared" si="100"/>
        <v/>
      </c>
      <c r="F1246" s="55"/>
      <c r="G1246" s="55"/>
      <c r="H1246" s="55"/>
      <c r="I1246" s="55"/>
      <c r="J1246" s="55"/>
      <c r="K1246" s="46" t="str">
        <f t="shared" ca="1" si="101"/>
        <v/>
      </c>
      <c r="L1246" s="56" t="str">
        <f t="shared" ca="1" si="102"/>
        <v/>
      </c>
      <c r="Q1246" s="57" t="str">
        <f t="shared" si="103"/>
        <v/>
      </c>
      <c r="R1246" s="57" t="str">
        <f t="shared" si="104"/>
        <v/>
      </c>
    </row>
    <row r="1247" spans="4:18" x14ac:dyDescent="0.25">
      <c r="D1247" s="43"/>
      <c r="E1247" s="55" t="str">
        <f t="shared" si="100"/>
        <v/>
      </c>
      <c r="F1247" s="55"/>
      <c r="G1247" s="55"/>
      <c r="H1247" s="55"/>
      <c r="I1247" s="55"/>
      <c r="J1247" s="55"/>
      <c r="K1247" s="46" t="str">
        <f t="shared" ca="1" si="101"/>
        <v/>
      </c>
      <c r="L1247" s="56" t="str">
        <f t="shared" ca="1" si="102"/>
        <v/>
      </c>
      <c r="Q1247" s="57" t="str">
        <f t="shared" si="103"/>
        <v/>
      </c>
      <c r="R1247" s="57" t="str">
        <f t="shared" si="104"/>
        <v/>
      </c>
    </row>
    <row r="1248" spans="4:18" x14ac:dyDescent="0.25">
      <c r="D1248" s="43"/>
      <c r="E1248" s="55" t="str">
        <f t="shared" si="100"/>
        <v/>
      </c>
      <c r="F1248" s="55"/>
      <c r="G1248" s="55"/>
      <c r="H1248" s="55"/>
      <c r="I1248" s="55"/>
      <c r="J1248" s="55"/>
      <c r="K1248" s="46" t="str">
        <f t="shared" ca="1" si="101"/>
        <v/>
      </c>
      <c r="L1248" s="56" t="str">
        <f t="shared" ca="1" si="102"/>
        <v/>
      </c>
      <c r="Q1248" s="57" t="str">
        <f t="shared" si="103"/>
        <v/>
      </c>
      <c r="R1248" s="57" t="str">
        <f t="shared" si="104"/>
        <v/>
      </c>
    </row>
    <row r="1249" spans="4:18" x14ac:dyDescent="0.25">
      <c r="D1249" s="43"/>
      <c r="E1249" s="55" t="str">
        <f t="shared" si="100"/>
        <v/>
      </c>
      <c r="F1249" s="55"/>
      <c r="G1249" s="55"/>
      <c r="H1249" s="55"/>
      <c r="I1249" s="55"/>
      <c r="J1249" s="55"/>
      <c r="K1249" s="46" t="str">
        <f t="shared" ca="1" si="101"/>
        <v/>
      </c>
      <c r="L1249" s="56" t="str">
        <f t="shared" ca="1" si="102"/>
        <v/>
      </c>
      <c r="Q1249" s="57" t="str">
        <f t="shared" si="103"/>
        <v/>
      </c>
      <c r="R1249" s="57" t="str">
        <f t="shared" si="104"/>
        <v/>
      </c>
    </row>
    <row r="1250" spans="4:18" x14ac:dyDescent="0.25">
      <c r="D1250" s="43"/>
      <c r="E1250" s="55" t="str">
        <f t="shared" si="100"/>
        <v/>
      </c>
      <c r="F1250" s="55"/>
      <c r="G1250" s="55"/>
      <c r="H1250" s="55"/>
      <c r="I1250" s="55"/>
      <c r="J1250" s="55"/>
      <c r="K1250" s="46" t="str">
        <f t="shared" ca="1" si="101"/>
        <v/>
      </c>
      <c r="L1250" s="56" t="str">
        <f t="shared" ca="1" si="102"/>
        <v/>
      </c>
      <c r="Q1250" s="57" t="str">
        <f t="shared" si="103"/>
        <v/>
      </c>
      <c r="R1250" s="57" t="str">
        <f t="shared" si="104"/>
        <v/>
      </c>
    </row>
    <row r="1251" spans="4:18" x14ac:dyDescent="0.25">
      <c r="D1251" s="43"/>
      <c r="E1251" s="55" t="str">
        <f t="shared" si="100"/>
        <v/>
      </c>
      <c r="F1251" s="55"/>
      <c r="G1251" s="55"/>
      <c r="H1251" s="55"/>
      <c r="I1251" s="55"/>
      <c r="J1251" s="55"/>
      <c r="K1251" s="46" t="str">
        <f t="shared" ca="1" si="101"/>
        <v/>
      </c>
      <c r="L1251" s="56" t="str">
        <f t="shared" ca="1" si="102"/>
        <v/>
      </c>
      <c r="Q1251" s="57" t="str">
        <f t="shared" si="103"/>
        <v/>
      </c>
      <c r="R1251" s="57" t="str">
        <f t="shared" si="104"/>
        <v/>
      </c>
    </row>
    <row r="1252" spans="4:18" x14ac:dyDescent="0.25">
      <c r="D1252" s="43"/>
      <c r="E1252" s="55" t="str">
        <f t="shared" si="100"/>
        <v/>
      </c>
      <c r="F1252" s="55"/>
      <c r="G1252" s="55"/>
      <c r="H1252" s="55"/>
      <c r="I1252" s="55"/>
      <c r="J1252" s="55"/>
      <c r="K1252" s="46" t="str">
        <f t="shared" ca="1" si="101"/>
        <v/>
      </c>
      <c r="L1252" s="56" t="str">
        <f t="shared" ca="1" si="102"/>
        <v/>
      </c>
      <c r="Q1252" s="57" t="str">
        <f t="shared" si="103"/>
        <v/>
      </c>
      <c r="R1252" s="57" t="str">
        <f t="shared" si="104"/>
        <v/>
      </c>
    </row>
    <row r="1253" spans="4:18" x14ac:dyDescent="0.25">
      <c r="D1253" s="43"/>
      <c r="E1253" s="55" t="str">
        <f t="shared" si="100"/>
        <v/>
      </c>
      <c r="F1253" s="55"/>
      <c r="G1253" s="55"/>
      <c r="H1253" s="55"/>
      <c r="I1253" s="55"/>
      <c r="J1253" s="55"/>
      <c r="K1253" s="46" t="str">
        <f t="shared" ca="1" si="101"/>
        <v/>
      </c>
      <c r="L1253" s="56" t="str">
        <f t="shared" ca="1" si="102"/>
        <v/>
      </c>
      <c r="Q1253" s="57" t="str">
        <f t="shared" si="103"/>
        <v/>
      </c>
      <c r="R1253" s="57" t="str">
        <f t="shared" si="104"/>
        <v/>
      </c>
    </row>
    <row r="1254" spans="4:18" x14ac:dyDescent="0.25">
      <c r="D1254" s="43"/>
      <c r="E1254" s="55" t="str">
        <f t="shared" si="100"/>
        <v/>
      </c>
      <c r="F1254" s="55"/>
      <c r="G1254" s="55"/>
      <c r="H1254" s="55"/>
      <c r="I1254" s="55"/>
      <c r="J1254" s="55"/>
      <c r="K1254" s="46" t="str">
        <f t="shared" ca="1" si="101"/>
        <v/>
      </c>
      <c r="L1254" s="56" t="str">
        <f t="shared" ca="1" si="102"/>
        <v/>
      </c>
      <c r="Q1254" s="57" t="str">
        <f t="shared" si="103"/>
        <v/>
      </c>
      <c r="R1254" s="57" t="str">
        <f t="shared" si="104"/>
        <v/>
      </c>
    </row>
    <row r="1255" spans="4:18" x14ac:dyDescent="0.25">
      <c r="D1255" s="43"/>
      <c r="E1255" s="55" t="str">
        <f t="shared" si="100"/>
        <v/>
      </c>
      <c r="F1255" s="55"/>
      <c r="G1255" s="55"/>
      <c r="H1255" s="55"/>
      <c r="I1255" s="55"/>
      <c r="J1255" s="55"/>
      <c r="K1255" s="46" t="str">
        <f t="shared" ca="1" si="101"/>
        <v/>
      </c>
      <c r="L1255" s="56" t="str">
        <f t="shared" ca="1" si="102"/>
        <v/>
      </c>
      <c r="Q1255" s="57" t="str">
        <f t="shared" si="103"/>
        <v/>
      </c>
      <c r="R1255" s="57" t="str">
        <f t="shared" si="104"/>
        <v/>
      </c>
    </row>
    <row r="1256" spans="4:18" x14ac:dyDescent="0.25">
      <c r="D1256" s="43"/>
      <c r="E1256" s="55" t="str">
        <f t="shared" si="100"/>
        <v/>
      </c>
      <c r="F1256" s="55"/>
      <c r="G1256" s="55"/>
      <c r="H1256" s="55"/>
      <c r="I1256" s="55"/>
      <c r="J1256" s="55"/>
      <c r="K1256" s="46" t="str">
        <f t="shared" ca="1" si="101"/>
        <v/>
      </c>
      <c r="L1256" s="56" t="str">
        <f t="shared" ca="1" si="102"/>
        <v/>
      </c>
      <c r="Q1256" s="57" t="str">
        <f t="shared" si="103"/>
        <v/>
      </c>
      <c r="R1256" s="57" t="str">
        <f t="shared" si="104"/>
        <v/>
      </c>
    </row>
    <row r="1257" spans="4:18" x14ac:dyDescent="0.25">
      <c r="D1257" s="43"/>
      <c r="E1257" s="55" t="str">
        <f t="shared" si="100"/>
        <v/>
      </c>
      <c r="F1257" s="55"/>
      <c r="G1257" s="55"/>
      <c r="H1257" s="55"/>
      <c r="I1257" s="55"/>
      <c r="J1257" s="55"/>
      <c r="K1257" s="46" t="str">
        <f t="shared" ca="1" si="101"/>
        <v/>
      </c>
      <c r="L1257" s="56" t="str">
        <f t="shared" ca="1" si="102"/>
        <v/>
      </c>
      <c r="Q1257" s="57" t="str">
        <f t="shared" si="103"/>
        <v/>
      </c>
      <c r="R1257" s="57" t="str">
        <f t="shared" si="104"/>
        <v/>
      </c>
    </row>
    <row r="1258" spans="4:18" x14ac:dyDescent="0.25">
      <c r="D1258" s="43"/>
      <c r="E1258" s="55" t="str">
        <f t="shared" si="100"/>
        <v/>
      </c>
      <c r="F1258" s="55"/>
      <c r="G1258" s="55"/>
      <c r="H1258" s="55"/>
      <c r="I1258" s="55"/>
      <c r="J1258" s="55"/>
      <c r="K1258" s="46" t="str">
        <f t="shared" ca="1" si="101"/>
        <v/>
      </c>
      <c r="L1258" s="56" t="str">
        <f t="shared" ca="1" si="102"/>
        <v/>
      </c>
      <c r="Q1258" s="57" t="str">
        <f t="shared" si="103"/>
        <v/>
      </c>
      <c r="R1258" s="57" t="str">
        <f t="shared" si="104"/>
        <v/>
      </c>
    </row>
    <row r="1259" spans="4:18" x14ac:dyDescent="0.25">
      <c r="D1259" s="43"/>
      <c r="E1259" s="55" t="str">
        <f t="shared" si="100"/>
        <v/>
      </c>
      <c r="F1259" s="55"/>
      <c r="G1259" s="55"/>
      <c r="H1259" s="55"/>
      <c r="I1259" s="55"/>
      <c r="J1259" s="55"/>
      <c r="K1259" s="46" t="str">
        <f t="shared" ca="1" si="101"/>
        <v/>
      </c>
      <c r="L1259" s="56" t="str">
        <f t="shared" ca="1" si="102"/>
        <v/>
      </c>
      <c r="Q1259" s="57" t="str">
        <f t="shared" si="103"/>
        <v/>
      </c>
      <c r="R1259" s="57" t="str">
        <f t="shared" si="104"/>
        <v/>
      </c>
    </row>
    <row r="1260" spans="4:18" x14ac:dyDescent="0.25">
      <c r="D1260" s="43"/>
      <c r="E1260" s="55" t="str">
        <f t="shared" si="100"/>
        <v/>
      </c>
      <c r="F1260" s="55"/>
      <c r="G1260" s="55"/>
      <c r="H1260" s="55"/>
      <c r="I1260" s="55"/>
      <c r="J1260" s="55"/>
      <c r="K1260" s="46" t="str">
        <f t="shared" ca="1" si="101"/>
        <v/>
      </c>
      <c r="L1260" s="56" t="str">
        <f t="shared" ca="1" si="102"/>
        <v/>
      </c>
      <c r="Q1260" s="57" t="str">
        <f t="shared" si="103"/>
        <v/>
      </c>
      <c r="R1260" s="57" t="str">
        <f t="shared" si="104"/>
        <v/>
      </c>
    </row>
    <row r="1261" spans="4:18" x14ac:dyDescent="0.25">
      <c r="D1261" s="43"/>
      <c r="E1261" s="55" t="str">
        <f t="shared" si="100"/>
        <v/>
      </c>
      <c r="F1261" s="55"/>
      <c r="G1261" s="55"/>
      <c r="H1261" s="55"/>
      <c r="I1261" s="55"/>
      <c r="J1261" s="55"/>
      <c r="K1261" s="46" t="str">
        <f t="shared" ca="1" si="101"/>
        <v/>
      </c>
      <c r="L1261" s="56" t="str">
        <f t="shared" ca="1" si="102"/>
        <v/>
      </c>
      <c r="Q1261" s="57" t="str">
        <f t="shared" si="103"/>
        <v/>
      </c>
      <c r="R1261" s="57" t="str">
        <f t="shared" si="104"/>
        <v/>
      </c>
    </row>
    <row r="1262" spans="4:18" x14ac:dyDescent="0.25">
      <c r="D1262" s="43"/>
      <c r="E1262" s="55" t="str">
        <f t="shared" si="100"/>
        <v/>
      </c>
      <c r="F1262" s="55"/>
      <c r="G1262" s="55"/>
      <c r="H1262" s="55"/>
      <c r="I1262" s="55"/>
      <c r="J1262" s="55"/>
      <c r="K1262" s="46" t="str">
        <f t="shared" ca="1" si="101"/>
        <v/>
      </c>
      <c r="L1262" s="56" t="str">
        <f t="shared" ca="1" si="102"/>
        <v/>
      </c>
      <c r="Q1262" s="57" t="str">
        <f t="shared" si="103"/>
        <v/>
      </c>
      <c r="R1262" s="57" t="str">
        <f t="shared" si="104"/>
        <v/>
      </c>
    </row>
    <row r="1263" spans="4:18" x14ac:dyDescent="0.25">
      <c r="D1263" s="43"/>
      <c r="E1263" s="55" t="str">
        <f t="shared" si="100"/>
        <v/>
      </c>
      <c r="F1263" s="55"/>
      <c r="G1263" s="55"/>
      <c r="H1263" s="55"/>
      <c r="I1263" s="55"/>
      <c r="J1263" s="55"/>
      <c r="K1263" s="46" t="str">
        <f t="shared" ca="1" si="101"/>
        <v/>
      </c>
      <c r="L1263" s="56" t="str">
        <f t="shared" ca="1" si="102"/>
        <v/>
      </c>
      <c r="Q1263" s="57" t="str">
        <f t="shared" si="103"/>
        <v/>
      </c>
      <c r="R1263" s="57" t="str">
        <f t="shared" si="104"/>
        <v/>
      </c>
    </row>
    <row r="1264" spans="4:18" x14ac:dyDescent="0.25">
      <c r="D1264" s="43"/>
      <c r="E1264" s="55" t="str">
        <f t="shared" si="100"/>
        <v/>
      </c>
      <c r="F1264" s="55"/>
      <c r="G1264" s="55"/>
      <c r="H1264" s="55"/>
      <c r="I1264" s="55"/>
      <c r="J1264" s="55"/>
      <c r="K1264" s="46" t="str">
        <f t="shared" ca="1" si="101"/>
        <v/>
      </c>
      <c r="L1264" s="56" t="str">
        <f t="shared" ca="1" si="102"/>
        <v/>
      </c>
      <c r="Q1264" s="57" t="str">
        <f t="shared" si="103"/>
        <v/>
      </c>
      <c r="R1264" s="57" t="str">
        <f t="shared" si="104"/>
        <v/>
      </c>
    </row>
    <row r="1265" spans="4:18" x14ac:dyDescent="0.25">
      <c r="D1265" s="43"/>
      <c r="E1265" s="55" t="str">
        <f t="shared" si="100"/>
        <v/>
      </c>
      <c r="F1265" s="55"/>
      <c r="G1265" s="55"/>
      <c r="H1265" s="55"/>
      <c r="I1265" s="55"/>
      <c r="J1265" s="55"/>
      <c r="K1265" s="46" t="str">
        <f t="shared" ca="1" si="101"/>
        <v/>
      </c>
      <c r="L1265" s="56" t="str">
        <f t="shared" ca="1" si="102"/>
        <v/>
      </c>
      <c r="Q1265" s="57" t="str">
        <f t="shared" si="103"/>
        <v/>
      </c>
      <c r="R1265" s="57" t="str">
        <f t="shared" si="104"/>
        <v/>
      </c>
    </row>
    <row r="1266" spans="4:18" x14ac:dyDescent="0.25">
      <c r="D1266" s="43"/>
      <c r="E1266" s="55" t="str">
        <f t="shared" si="100"/>
        <v/>
      </c>
      <c r="F1266" s="55"/>
      <c r="G1266" s="55"/>
      <c r="H1266" s="55"/>
      <c r="I1266" s="55"/>
      <c r="J1266" s="55"/>
      <c r="K1266" s="46" t="str">
        <f t="shared" ca="1" si="101"/>
        <v/>
      </c>
      <c r="L1266" s="56" t="str">
        <f t="shared" ca="1" si="102"/>
        <v/>
      </c>
      <c r="Q1266" s="57" t="str">
        <f t="shared" si="103"/>
        <v/>
      </c>
      <c r="R1266" s="57" t="str">
        <f t="shared" si="104"/>
        <v/>
      </c>
    </row>
    <row r="1267" spans="4:18" x14ac:dyDescent="0.25">
      <c r="D1267" s="43"/>
      <c r="E1267" s="55" t="str">
        <f t="shared" si="100"/>
        <v/>
      </c>
      <c r="F1267" s="55"/>
      <c r="G1267" s="55"/>
      <c r="H1267" s="55"/>
      <c r="I1267" s="55"/>
      <c r="J1267" s="55"/>
      <c r="K1267" s="46" t="str">
        <f t="shared" ca="1" si="101"/>
        <v/>
      </c>
      <c r="L1267" s="56" t="str">
        <f t="shared" ca="1" si="102"/>
        <v/>
      </c>
      <c r="Q1267" s="57" t="str">
        <f t="shared" si="103"/>
        <v/>
      </c>
      <c r="R1267" s="57" t="str">
        <f t="shared" si="104"/>
        <v/>
      </c>
    </row>
    <row r="1268" spans="4:18" x14ac:dyDescent="0.25">
      <c r="D1268" s="43"/>
      <c r="E1268" s="55" t="str">
        <f t="shared" si="100"/>
        <v/>
      </c>
      <c r="F1268" s="55"/>
      <c r="G1268" s="55"/>
      <c r="H1268" s="55"/>
      <c r="I1268" s="55"/>
      <c r="J1268" s="55"/>
      <c r="K1268" s="46" t="str">
        <f t="shared" ca="1" si="101"/>
        <v/>
      </c>
      <c r="L1268" s="56" t="str">
        <f t="shared" ca="1" si="102"/>
        <v/>
      </c>
      <c r="Q1268" s="57" t="str">
        <f t="shared" si="103"/>
        <v/>
      </c>
      <c r="R1268" s="57" t="str">
        <f t="shared" si="104"/>
        <v/>
      </c>
    </row>
    <row r="1269" spans="4:18" x14ac:dyDescent="0.25">
      <c r="D1269" s="43"/>
      <c r="E1269" s="55" t="str">
        <f t="shared" si="100"/>
        <v/>
      </c>
      <c r="F1269" s="55"/>
      <c r="G1269" s="55"/>
      <c r="H1269" s="55"/>
      <c r="I1269" s="55"/>
      <c r="J1269" s="55"/>
      <c r="K1269" s="46" t="str">
        <f t="shared" ca="1" si="101"/>
        <v/>
      </c>
      <c r="L1269" s="56" t="str">
        <f t="shared" ca="1" si="102"/>
        <v/>
      </c>
      <c r="Q1269" s="57" t="str">
        <f t="shared" si="103"/>
        <v/>
      </c>
      <c r="R1269" s="57" t="str">
        <f t="shared" si="104"/>
        <v/>
      </c>
    </row>
    <row r="1270" spans="4:18" x14ac:dyDescent="0.25">
      <c r="D1270" s="43"/>
      <c r="E1270" s="55" t="str">
        <f t="shared" si="100"/>
        <v/>
      </c>
      <c r="F1270" s="55"/>
      <c r="G1270" s="55"/>
      <c r="H1270" s="55"/>
      <c r="I1270" s="55"/>
      <c r="J1270" s="55"/>
      <c r="K1270" s="46" t="str">
        <f t="shared" ca="1" si="101"/>
        <v/>
      </c>
      <c r="L1270" s="56" t="str">
        <f t="shared" ca="1" si="102"/>
        <v/>
      </c>
      <c r="Q1270" s="57" t="str">
        <f t="shared" si="103"/>
        <v/>
      </c>
      <c r="R1270" s="57" t="str">
        <f t="shared" si="104"/>
        <v/>
      </c>
    </row>
    <row r="1271" spans="4:18" x14ac:dyDescent="0.25">
      <c r="D1271" s="43"/>
      <c r="E1271" s="55" t="str">
        <f t="shared" si="100"/>
        <v/>
      </c>
      <c r="F1271" s="55"/>
      <c r="G1271" s="55"/>
      <c r="H1271" s="55"/>
      <c r="I1271" s="55"/>
      <c r="J1271" s="55"/>
      <c r="K1271" s="46" t="str">
        <f t="shared" ca="1" si="101"/>
        <v/>
      </c>
      <c r="L1271" s="56" t="str">
        <f t="shared" ca="1" si="102"/>
        <v/>
      </c>
      <c r="Q1271" s="57" t="str">
        <f t="shared" si="103"/>
        <v/>
      </c>
      <c r="R1271" s="57" t="str">
        <f t="shared" si="104"/>
        <v/>
      </c>
    </row>
    <row r="1272" spans="4:18" x14ac:dyDescent="0.25">
      <c r="D1272" s="43"/>
      <c r="E1272" s="55" t="str">
        <f t="shared" si="100"/>
        <v/>
      </c>
      <c r="F1272" s="55"/>
      <c r="G1272" s="55"/>
      <c r="H1272" s="55"/>
      <c r="I1272" s="55"/>
      <c r="J1272" s="55"/>
      <c r="K1272" s="46" t="str">
        <f t="shared" ca="1" si="101"/>
        <v/>
      </c>
      <c r="L1272" s="56" t="str">
        <f t="shared" ca="1" si="102"/>
        <v/>
      </c>
      <c r="Q1272" s="57" t="str">
        <f t="shared" si="103"/>
        <v/>
      </c>
      <c r="R1272" s="57" t="str">
        <f t="shared" si="104"/>
        <v/>
      </c>
    </row>
    <row r="1273" spans="4:18" x14ac:dyDescent="0.25">
      <c r="D1273" s="43"/>
      <c r="E1273" s="55" t="str">
        <f t="shared" si="100"/>
        <v/>
      </c>
      <c r="F1273" s="55"/>
      <c r="G1273" s="55"/>
      <c r="H1273" s="55"/>
      <c r="I1273" s="55"/>
      <c r="J1273" s="55"/>
      <c r="K1273" s="46" t="str">
        <f t="shared" ca="1" si="101"/>
        <v/>
      </c>
      <c r="L1273" s="56" t="str">
        <f t="shared" ca="1" si="102"/>
        <v/>
      </c>
      <c r="Q1273" s="57" t="str">
        <f t="shared" si="103"/>
        <v/>
      </c>
      <c r="R1273" s="57" t="str">
        <f t="shared" si="104"/>
        <v/>
      </c>
    </row>
    <row r="1274" spans="4:18" x14ac:dyDescent="0.25">
      <c r="D1274" s="43"/>
      <c r="E1274" s="55" t="str">
        <f t="shared" si="100"/>
        <v/>
      </c>
      <c r="F1274" s="55"/>
      <c r="G1274" s="55"/>
      <c r="H1274" s="55"/>
      <c r="I1274" s="55"/>
      <c r="J1274" s="55"/>
      <c r="K1274" s="46" t="str">
        <f t="shared" ca="1" si="101"/>
        <v/>
      </c>
      <c r="L1274" s="56" t="str">
        <f t="shared" ca="1" si="102"/>
        <v/>
      </c>
      <c r="Q1274" s="57" t="str">
        <f t="shared" si="103"/>
        <v/>
      </c>
      <c r="R1274" s="57" t="str">
        <f t="shared" si="104"/>
        <v/>
      </c>
    </row>
    <row r="1275" spans="4:18" x14ac:dyDescent="0.25">
      <c r="D1275" s="43"/>
      <c r="E1275" s="55" t="str">
        <f t="shared" si="100"/>
        <v/>
      </c>
      <c r="F1275" s="55"/>
      <c r="G1275" s="55"/>
      <c r="H1275" s="55"/>
      <c r="I1275" s="55"/>
      <c r="J1275" s="55"/>
      <c r="K1275" s="46" t="str">
        <f t="shared" ca="1" si="101"/>
        <v/>
      </c>
      <c r="L1275" s="56" t="str">
        <f t="shared" ca="1" si="102"/>
        <v/>
      </c>
      <c r="Q1275" s="57" t="str">
        <f t="shared" si="103"/>
        <v/>
      </c>
      <c r="R1275" s="57" t="str">
        <f t="shared" si="104"/>
        <v/>
      </c>
    </row>
    <row r="1276" spans="4:18" x14ac:dyDescent="0.25">
      <c r="D1276" s="43"/>
      <c r="E1276" s="55" t="str">
        <f t="shared" si="100"/>
        <v/>
      </c>
      <c r="F1276" s="55"/>
      <c r="G1276" s="55"/>
      <c r="H1276" s="55"/>
      <c r="I1276" s="55"/>
      <c r="J1276" s="55"/>
      <c r="K1276" s="46" t="str">
        <f t="shared" ca="1" si="101"/>
        <v/>
      </c>
      <c r="L1276" s="56" t="str">
        <f t="shared" ca="1" si="102"/>
        <v/>
      </c>
      <c r="Q1276" s="57" t="str">
        <f t="shared" si="103"/>
        <v/>
      </c>
      <c r="R1276" s="57" t="str">
        <f t="shared" si="104"/>
        <v/>
      </c>
    </row>
    <row r="1277" spans="4:18" x14ac:dyDescent="0.25">
      <c r="D1277" s="43"/>
      <c r="E1277" s="55" t="str">
        <f t="shared" si="100"/>
        <v/>
      </c>
      <c r="F1277" s="55"/>
      <c r="G1277" s="55"/>
      <c r="H1277" s="55"/>
      <c r="I1277" s="55"/>
      <c r="J1277" s="55"/>
      <c r="K1277" s="46" t="str">
        <f t="shared" ca="1" si="101"/>
        <v/>
      </c>
      <c r="L1277" s="56" t="str">
        <f t="shared" ca="1" si="102"/>
        <v/>
      </c>
      <c r="Q1277" s="57" t="str">
        <f t="shared" si="103"/>
        <v/>
      </c>
      <c r="R1277" s="57" t="str">
        <f t="shared" si="104"/>
        <v/>
      </c>
    </row>
    <row r="1278" spans="4:18" x14ac:dyDescent="0.25">
      <c r="D1278" s="43"/>
      <c r="E1278" s="55" t="str">
        <f t="shared" si="100"/>
        <v/>
      </c>
      <c r="F1278" s="55"/>
      <c r="G1278" s="55"/>
      <c r="H1278" s="55"/>
      <c r="I1278" s="55"/>
      <c r="J1278" s="55"/>
      <c r="K1278" s="46" t="str">
        <f t="shared" ca="1" si="101"/>
        <v/>
      </c>
      <c r="L1278" s="56" t="str">
        <f t="shared" ca="1" si="102"/>
        <v/>
      </c>
      <c r="Q1278" s="57" t="str">
        <f t="shared" si="103"/>
        <v/>
      </c>
      <c r="R1278" s="57" t="str">
        <f t="shared" si="104"/>
        <v/>
      </c>
    </row>
    <row r="1279" spans="4:18" x14ac:dyDescent="0.25">
      <c r="D1279" s="43"/>
      <c r="E1279" s="55" t="str">
        <f t="shared" si="100"/>
        <v/>
      </c>
      <c r="F1279" s="55"/>
      <c r="G1279" s="55"/>
      <c r="H1279" s="55"/>
      <c r="I1279" s="55"/>
      <c r="J1279" s="55"/>
      <c r="K1279" s="46" t="str">
        <f t="shared" ca="1" si="101"/>
        <v/>
      </c>
      <c r="L1279" s="56" t="str">
        <f t="shared" ca="1" si="102"/>
        <v/>
      </c>
      <c r="Q1279" s="57" t="str">
        <f t="shared" si="103"/>
        <v/>
      </c>
      <c r="R1279" s="57" t="str">
        <f t="shared" si="104"/>
        <v/>
      </c>
    </row>
    <row r="1280" spans="4:18" x14ac:dyDescent="0.25">
      <c r="D1280" s="43"/>
      <c r="E1280" s="55" t="str">
        <f t="shared" si="100"/>
        <v/>
      </c>
      <c r="F1280" s="55"/>
      <c r="G1280" s="55"/>
      <c r="H1280" s="55"/>
      <c r="I1280" s="55"/>
      <c r="J1280" s="55"/>
      <c r="K1280" s="46" t="str">
        <f t="shared" ca="1" si="101"/>
        <v/>
      </c>
      <c r="L1280" s="56" t="str">
        <f t="shared" ca="1" si="102"/>
        <v/>
      </c>
      <c r="Q1280" s="57" t="str">
        <f t="shared" si="103"/>
        <v/>
      </c>
      <c r="R1280" s="57" t="str">
        <f t="shared" si="104"/>
        <v/>
      </c>
    </row>
    <row r="1281" spans="4:18" x14ac:dyDescent="0.25">
      <c r="D1281" s="43"/>
      <c r="E1281" s="55" t="str">
        <f t="shared" si="100"/>
        <v/>
      </c>
      <c r="F1281" s="55"/>
      <c r="G1281" s="55"/>
      <c r="H1281" s="55"/>
      <c r="I1281" s="55"/>
      <c r="J1281" s="55"/>
      <c r="K1281" s="46" t="str">
        <f t="shared" ca="1" si="101"/>
        <v/>
      </c>
      <c r="L1281" s="56" t="str">
        <f t="shared" ca="1" si="102"/>
        <v/>
      </c>
      <c r="Q1281" s="57" t="str">
        <f t="shared" si="103"/>
        <v/>
      </c>
      <c r="R1281" s="57" t="str">
        <f t="shared" si="104"/>
        <v/>
      </c>
    </row>
    <row r="1282" spans="4:18" x14ac:dyDescent="0.25">
      <c r="D1282" s="43"/>
      <c r="E1282" s="55" t="str">
        <f t="shared" si="100"/>
        <v/>
      </c>
      <c r="F1282" s="55"/>
      <c r="G1282" s="55"/>
      <c r="H1282" s="55"/>
      <c r="I1282" s="55"/>
      <c r="J1282" s="55"/>
      <c r="K1282" s="46" t="str">
        <f t="shared" ca="1" si="101"/>
        <v/>
      </c>
      <c r="L1282" s="56" t="str">
        <f t="shared" ca="1" si="102"/>
        <v/>
      </c>
      <c r="Q1282" s="57" t="str">
        <f t="shared" si="103"/>
        <v/>
      </c>
      <c r="R1282" s="57" t="str">
        <f t="shared" si="104"/>
        <v/>
      </c>
    </row>
    <row r="1283" spans="4:18" x14ac:dyDescent="0.25">
      <c r="D1283" s="43"/>
      <c r="E1283" s="55" t="str">
        <f t="shared" si="100"/>
        <v/>
      </c>
      <c r="F1283" s="55"/>
      <c r="G1283" s="55"/>
      <c r="H1283" s="55"/>
      <c r="I1283" s="55"/>
      <c r="J1283" s="55"/>
      <c r="K1283" s="46" t="str">
        <f t="shared" ca="1" si="101"/>
        <v/>
      </c>
      <c r="L1283" s="56" t="str">
        <f t="shared" ca="1" si="102"/>
        <v/>
      </c>
      <c r="Q1283" s="57" t="str">
        <f t="shared" si="103"/>
        <v/>
      </c>
      <c r="R1283" s="57" t="str">
        <f t="shared" si="104"/>
        <v/>
      </c>
    </row>
    <row r="1284" spans="4:18" x14ac:dyDescent="0.25">
      <c r="D1284" s="43"/>
      <c r="E1284" s="55" t="str">
        <f t="shared" si="100"/>
        <v/>
      </c>
      <c r="F1284" s="55"/>
      <c r="G1284" s="55"/>
      <c r="H1284" s="55"/>
      <c r="I1284" s="55"/>
      <c r="J1284" s="55"/>
      <c r="K1284" s="46" t="str">
        <f t="shared" ca="1" si="101"/>
        <v/>
      </c>
      <c r="L1284" s="56" t="str">
        <f t="shared" ca="1" si="102"/>
        <v/>
      </c>
      <c r="Q1284" s="57" t="str">
        <f t="shared" si="103"/>
        <v/>
      </c>
      <c r="R1284" s="57" t="str">
        <f t="shared" si="104"/>
        <v/>
      </c>
    </row>
    <row r="1285" spans="4:18" x14ac:dyDescent="0.25">
      <c r="D1285" s="43"/>
      <c r="E1285" s="55" t="str">
        <f t="shared" si="100"/>
        <v/>
      </c>
      <c r="F1285" s="55"/>
      <c r="G1285" s="55"/>
      <c r="H1285" s="55"/>
      <c r="I1285" s="55"/>
      <c r="J1285" s="55"/>
      <c r="K1285" s="46" t="str">
        <f t="shared" ca="1" si="101"/>
        <v/>
      </c>
      <c r="L1285" s="56" t="str">
        <f t="shared" ca="1" si="102"/>
        <v/>
      </c>
      <c r="Q1285" s="57" t="str">
        <f t="shared" si="103"/>
        <v/>
      </c>
      <c r="R1285" s="57" t="str">
        <f t="shared" si="104"/>
        <v/>
      </c>
    </row>
    <row r="1286" spans="4:18" x14ac:dyDescent="0.25">
      <c r="D1286" s="43"/>
      <c r="E1286" s="55" t="str">
        <f t="shared" si="100"/>
        <v/>
      </c>
      <c r="F1286" s="55"/>
      <c r="G1286" s="55"/>
      <c r="H1286" s="55"/>
      <c r="I1286" s="55"/>
      <c r="J1286" s="55"/>
      <c r="K1286" s="46" t="str">
        <f t="shared" ca="1" si="101"/>
        <v/>
      </c>
      <c r="L1286" s="56" t="str">
        <f t="shared" ca="1" si="102"/>
        <v/>
      </c>
      <c r="Q1286" s="57" t="str">
        <f t="shared" si="103"/>
        <v/>
      </c>
      <c r="R1286" s="57" t="str">
        <f t="shared" si="104"/>
        <v/>
      </c>
    </row>
    <row r="1287" spans="4:18" x14ac:dyDescent="0.25">
      <c r="D1287" s="43"/>
      <c r="E1287" s="55" t="str">
        <f t="shared" si="100"/>
        <v/>
      </c>
      <c r="F1287" s="55"/>
      <c r="G1287" s="55"/>
      <c r="H1287" s="55"/>
      <c r="I1287" s="55"/>
      <c r="J1287" s="55"/>
      <c r="K1287" s="46" t="str">
        <f t="shared" ca="1" si="101"/>
        <v/>
      </c>
      <c r="L1287" s="56" t="str">
        <f t="shared" ca="1" si="102"/>
        <v/>
      </c>
      <c r="Q1287" s="57" t="str">
        <f t="shared" si="103"/>
        <v/>
      </c>
      <c r="R1287" s="57" t="str">
        <f t="shared" si="104"/>
        <v/>
      </c>
    </row>
    <row r="1288" spans="4:18" x14ac:dyDescent="0.25">
      <c r="D1288" s="43"/>
      <c r="E1288" s="55" t="str">
        <f t="shared" si="100"/>
        <v/>
      </c>
      <c r="F1288" s="55"/>
      <c r="G1288" s="55"/>
      <c r="H1288" s="55"/>
      <c r="I1288" s="55"/>
      <c r="J1288" s="55"/>
      <c r="K1288" s="46" t="str">
        <f t="shared" ca="1" si="101"/>
        <v/>
      </c>
      <c r="L1288" s="56" t="str">
        <f t="shared" ca="1" si="102"/>
        <v/>
      </c>
      <c r="Q1288" s="57" t="str">
        <f t="shared" si="103"/>
        <v/>
      </c>
      <c r="R1288" s="57" t="str">
        <f t="shared" si="104"/>
        <v/>
      </c>
    </row>
    <row r="1289" spans="4:18" x14ac:dyDescent="0.25">
      <c r="D1289" s="43"/>
      <c r="E1289" s="55" t="str">
        <f t="shared" si="100"/>
        <v/>
      </c>
      <c r="F1289" s="55"/>
      <c r="G1289" s="55"/>
      <c r="H1289" s="55"/>
      <c r="I1289" s="55"/>
      <c r="J1289" s="55"/>
      <c r="K1289" s="46" t="str">
        <f t="shared" ca="1" si="101"/>
        <v/>
      </c>
      <c r="L1289" s="56" t="str">
        <f t="shared" ca="1" si="102"/>
        <v/>
      </c>
      <c r="Q1289" s="57" t="str">
        <f t="shared" si="103"/>
        <v/>
      </c>
      <c r="R1289" s="57" t="str">
        <f t="shared" si="104"/>
        <v/>
      </c>
    </row>
    <row r="1290" spans="4:18" x14ac:dyDescent="0.25">
      <c r="D1290" s="43"/>
      <c r="E1290" s="55" t="str">
        <f t="shared" si="100"/>
        <v/>
      </c>
      <c r="F1290" s="55"/>
      <c r="G1290" s="55"/>
      <c r="H1290" s="55"/>
      <c r="I1290" s="55"/>
      <c r="J1290" s="55"/>
      <c r="K1290" s="46" t="str">
        <f t="shared" ca="1" si="101"/>
        <v/>
      </c>
      <c r="L1290" s="56" t="str">
        <f t="shared" ca="1" si="102"/>
        <v/>
      </c>
      <c r="Q1290" s="57" t="str">
        <f t="shared" si="103"/>
        <v/>
      </c>
      <c r="R1290" s="57" t="str">
        <f t="shared" si="104"/>
        <v/>
      </c>
    </row>
    <row r="1291" spans="4:18" x14ac:dyDescent="0.25">
      <c r="D1291" s="43"/>
      <c r="E1291" s="55" t="str">
        <f t="shared" si="100"/>
        <v/>
      </c>
      <c r="F1291" s="55"/>
      <c r="G1291" s="55"/>
      <c r="H1291" s="55"/>
      <c r="I1291" s="55"/>
      <c r="J1291" s="55"/>
      <c r="K1291" s="46" t="str">
        <f t="shared" ca="1" si="101"/>
        <v/>
      </c>
      <c r="L1291" s="56" t="str">
        <f t="shared" ca="1" si="102"/>
        <v/>
      </c>
      <c r="Q1291" s="57" t="str">
        <f t="shared" si="103"/>
        <v/>
      </c>
      <c r="R1291" s="57" t="str">
        <f t="shared" si="104"/>
        <v/>
      </c>
    </row>
    <row r="1292" spans="4:18" x14ac:dyDescent="0.25">
      <c r="D1292" s="43"/>
      <c r="E1292" s="55" t="str">
        <f t="shared" si="100"/>
        <v/>
      </c>
      <c r="F1292" s="55"/>
      <c r="G1292" s="55"/>
      <c r="H1292" s="55"/>
      <c r="I1292" s="55"/>
      <c r="J1292" s="55"/>
      <c r="K1292" s="46" t="str">
        <f t="shared" ca="1" si="101"/>
        <v/>
      </c>
      <c r="L1292" s="56" t="str">
        <f t="shared" ca="1" si="102"/>
        <v/>
      </c>
      <c r="Q1292" s="57" t="str">
        <f t="shared" si="103"/>
        <v/>
      </c>
      <c r="R1292" s="57" t="str">
        <f t="shared" si="104"/>
        <v/>
      </c>
    </row>
    <row r="1293" spans="4:18" x14ac:dyDescent="0.25">
      <c r="D1293" s="43"/>
      <c r="E1293" s="55" t="str">
        <f t="shared" si="100"/>
        <v/>
      </c>
      <c r="F1293" s="55"/>
      <c r="G1293" s="55"/>
      <c r="H1293" s="55"/>
      <c r="I1293" s="55"/>
      <c r="J1293" s="55"/>
      <c r="K1293" s="46" t="str">
        <f t="shared" ca="1" si="101"/>
        <v/>
      </c>
      <c r="L1293" s="56" t="str">
        <f t="shared" ca="1" si="102"/>
        <v/>
      </c>
      <c r="Q1293" s="57" t="str">
        <f t="shared" si="103"/>
        <v/>
      </c>
      <c r="R1293" s="57" t="str">
        <f t="shared" si="104"/>
        <v/>
      </c>
    </row>
    <row r="1294" spans="4:18" x14ac:dyDescent="0.25">
      <c r="D1294" s="43"/>
      <c r="E1294" s="55" t="str">
        <f t="shared" si="100"/>
        <v/>
      </c>
      <c r="F1294" s="55"/>
      <c r="G1294" s="55"/>
      <c r="H1294" s="55"/>
      <c r="I1294" s="55"/>
      <c r="J1294" s="55"/>
      <c r="K1294" s="46" t="str">
        <f t="shared" ca="1" si="101"/>
        <v/>
      </c>
      <c r="L1294" s="56" t="str">
        <f t="shared" ca="1" si="102"/>
        <v/>
      </c>
      <c r="Q1294" s="57" t="str">
        <f t="shared" si="103"/>
        <v/>
      </c>
      <c r="R1294" s="57" t="str">
        <f t="shared" si="104"/>
        <v/>
      </c>
    </row>
    <row r="1295" spans="4:18" x14ac:dyDescent="0.25">
      <c r="D1295" s="43"/>
      <c r="E1295" s="55" t="str">
        <f t="shared" si="100"/>
        <v/>
      </c>
      <c r="F1295" s="55"/>
      <c r="G1295" s="55"/>
      <c r="H1295" s="55"/>
      <c r="I1295" s="55"/>
      <c r="J1295" s="55"/>
      <c r="K1295" s="46" t="str">
        <f t="shared" ca="1" si="101"/>
        <v/>
      </c>
      <c r="L1295" s="56" t="str">
        <f t="shared" ca="1" si="102"/>
        <v/>
      </c>
      <c r="Q1295" s="57" t="str">
        <f t="shared" si="103"/>
        <v/>
      </c>
      <c r="R1295" s="57" t="str">
        <f t="shared" si="104"/>
        <v/>
      </c>
    </row>
    <row r="1296" spans="4:18" x14ac:dyDescent="0.25">
      <c r="D1296" s="43"/>
      <c r="E1296" s="55" t="str">
        <f t="shared" si="100"/>
        <v/>
      </c>
      <c r="F1296" s="55"/>
      <c r="G1296" s="55"/>
      <c r="H1296" s="55"/>
      <c r="I1296" s="55"/>
      <c r="J1296" s="55"/>
      <c r="K1296" s="46" t="str">
        <f t="shared" ca="1" si="101"/>
        <v/>
      </c>
      <c r="L1296" s="56" t="str">
        <f t="shared" ca="1" si="102"/>
        <v/>
      </c>
      <c r="Q1296" s="57" t="str">
        <f t="shared" si="103"/>
        <v/>
      </c>
      <c r="R1296" s="57" t="str">
        <f t="shared" si="104"/>
        <v/>
      </c>
    </row>
    <row r="1297" spans="4:18" x14ac:dyDescent="0.25">
      <c r="D1297" s="43"/>
      <c r="E1297" s="55" t="str">
        <f t="shared" si="100"/>
        <v/>
      </c>
      <c r="F1297" s="55"/>
      <c r="G1297" s="55"/>
      <c r="H1297" s="55"/>
      <c r="I1297" s="55"/>
      <c r="J1297" s="55"/>
      <c r="K1297" s="46" t="str">
        <f t="shared" ca="1" si="101"/>
        <v/>
      </c>
      <c r="L1297" s="56" t="str">
        <f t="shared" ca="1" si="102"/>
        <v/>
      </c>
      <c r="Q1297" s="57" t="str">
        <f t="shared" si="103"/>
        <v/>
      </c>
      <c r="R1297" s="57" t="str">
        <f t="shared" si="104"/>
        <v/>
      </c>
    </row>
    <row r="1298" spans="4:18" x14ac:dyDescent="0.25">
      <c r="D1298" s="43"/>
      <c r="E1298" s="55" t="str">
        <f t="shared" si="100"/>
        <v/>
      </c>
      <c r="F1298" s="55"/>
      <c r="G1298" s="55"/>
      <c r="H1298" s="55"/>
      <c r="I1298" s="55"/>
      <c r="J1298" s="55"/>
      <c r="K1298" s="46" t="str">
        <f t="shared" ca="1" si="101"/>
        <v/>
      </c>
      <c r="L1298" s="56" t="str">
        <f t="shared" ca="1" si="102"/>
        <v/>
      </c>
      <c r="Q1298" s="57" t="str">
        <f t="shared" si="103"/>
        <v/>
      </c>
      <c r="R1298" s="57" t="str">
        <f t="shared" si="104"/>
        <v/>
      </c>
    </row>
    <row r="1299" spans="4:18" x14ac:dyDescent="0.25">
      <c r="D1299" s="43"/>
      <c r="E1299" s="55" t="str">
        <f t="shared" si="100"/>
        <v/>
      </c>
      <c r="F1299" s="55"/>
      <c r="G1299" s="55"/>
      <c r="H1299" s="55"/>
      <c r="I1299" s="55"/>
      <c r="J1299" s="55"/>
      <c r="K1299" s="46" t="str">
        <f t="shared" ca="1" si="101"/>
        <v/>
      </c>
      <c r="L1299" s="56" t="str">
        <f t="shared" ca="1" si="102"/>
        <v/>
      </c>
      <c r="Q1299" s="57" t="str">
        <f t="shared" si="103"/>
        <v/>
      </c>
      <c r="R1299" s="57" t="str">
        <f t="shared" si="104"/>
        <v/>
      </c>
    </row>
    <row r="1300" spans="4:18" x14ac:dyDescent="0.25">
      <c r="D1300" s="43"/>
      <c r="E1300" s="55" t="str">
        <f t="shared" ref="E1300:E1363" si="105">IF(ISNUMBER(SEARCH("v crs",D1300))=TRUE,"VC",IF(ISNUMBER(SEARCH("crs",D1300))=TRUE,"C",IF(ISNUMBER(SEARCH("med",D1300))=TRUE,"M",IF(ISNUMBER(SEARCH("vf",D1300))=TRUE,"VF",IF(ISNUMBER(SEARCH("f",D1300))=TRUE,"F","")))))</f>
        <v/>
      </c>
      <c r="F1300" s="55"/>
      <c r="G1300" s="55"/>
      <c r="H1300" s="55"/>
      <c r="I1300" s="55"/>
      <c r="J1300" s="55"/>
      <c r="K1300" s="46" t="str">
        <f t="shared" ca="1" si="101"/>
        <v/>
      </c>
      <c r="L1300" s="56" t="str">
        <f t="shared" ca="1" si="102"/>
        <v/>
      </c>
      <c r="Q1300" s="57" t="str">
        <f t="shared" si="103"/>
        <v/>
      </c>
      <c r="R1300" s="57" t="str">
        <f t="shared" si="104"/>
        <v/>
      </c>
    </row>
    <row r="1301" spans="4:18" x14ac:dyDescent="0.25">
      <c r="D1301" s="43"/>
      <c r="E1301" s="55" t="str">
        <f t="shared" si="105"/>
        <v/>
      </c>
      <c r="F1301" s="55"/>
      <c r="G1301" s="55"/>
      <c r="H1301" s="55"/>
      <c r="I1301" s="55"/>
      <c r="J1301" s="55"/>
      <c r="K1301" s="46" t="str">
        <f t="shared" ref="K1301:K1364" ca="1" si="106">IF(AND(C1301&lt;&gt;"",C1301&lt;&gt;Q1301),TODAY(),IF(C1301="","",K1301))</f>
        <v/>
      </c>
      <c r="L1301" s="56" t="str">
        <f t="shared" ref="L1301:L1364" ca="1" si="107">IF(AND(C1301&lt;&gt;"",C1301&lt;&gt;R1301),NOW(),IF(C1301="","",L1301))</f>
        <v/>
      </c>
      <c r="Q1301" s="57" t="str">
        <f t="shared" ref="Q1301:Q1364" si="108">IF(C1301="","",IF(OR(K1301="",AND(ISNUMBER(Q1301),C1301=Q1301)),Q1301,C1301))</f>
        <v/>
      </c>
      <c r="R1301" s="57" t="str">
        <f t="shared" ref="R1301:R1364" si="109">IF(C1301="","",IF(OR(L1301="",AND(ISNUMBER(R1301),C1301=R1301)),R1301,C1301))</f>
        <v/>
      </c>
    </row>
    <row r="1302" spans="4:18" x14ac:dyDescent="0.25">
      <c r="D1302" s="43"/>
      <c r="E1302" s="55" t="str">
        <f t="shared" si="105"/>
        <v/>
      </c>
      <c r="F1302" s="55"/>
      <c r="G1302" s="55"/>
      <c r="H1302" s="55"/>
      <c r="I1302" s="55"/>
      <c r="J1302" s="55"/>
      <c r="K1302" s="46" t="str">
        <f t="shared" ca="1" si="106"/>
        <v/>
      </c>
      <c r="L1302" s="56" t="str">
        <f t="shared" ca="1" si="107"/>
        <v/>
      </c>
      <c r="Q1302" s="57" t="str">
        <f t="shared" si="108"/>
        <v/>
      </c>
      <c r="R1302" s="57" t="str">
        <f t="shared" si="109"/>
        <v/>
      </c>
    </row>
    <row r="1303" spans="4:18" x14ac:dyDescent="0.25">
      <c r="D1303" s="43"/>
      <c r="E1303" s="55" t="str">
        <f t="shared" si="105"/>
        <v/>
      </c>
      <c r="F1303" s="55"/>
      <c r="G1303" s="55"/>
      <c r="H1303" s="55"/>
      <c r="I1303" s="55"/>
      <c r="J1303" s="55"/>
      <c r="K1303" s="46" t="str">
        <f t="shared" ca="1" si="106"/>
        <v/>
      </c>
      <c r="L1303" s="56" t="str">
        <f t="shared" ca="1" si="107"/>
        <v/>
      </c>
      <c r="Q1303" s="57" t="str">
        <f t="shared" si="108"/>
        <v/>
      </c>
      <c r="R1303" s="57" t="str">
        <f t="shared" si="109"/>
        <v/>
      </c>
    </row>
    <row r="1304" spans="4:18" x14ac:dyDescent="0.25">
      <c r="D1304" s="43"/>
      <c r="E1304" s="55" t="str">
        <f t="shared" si="105"/>
        <v/>
      </c>
      <c r="F1304" s="55"/>
      <c r="G1304" s="55"/>
      <c r="H1304" s="55"/>
      <c r="I1304" s="55"/>
      <c r="J1304" s="55"/>
      <c r="K1304" s="46" t="str">
        <f t="shared" ca="1" si="106"/>
        <v/>
      </c>
      <c r="L1304" s="56" t="str">
        <f t="shared" ca="1" si="107"/>
        <v/>
      </c>
      <c r="Q1304" s="57" t="str">
        <f t="shared" si="108"/>
        <v/>
      </c>
      <c r="R1304" s="57" t="str">
        <f t="shared" si="109"/>
        <v/>
      </c>
    </row>
    <row r="1305" spans="4:18" x14ac:dyDescent="0.25">
      <c r="D1305" s="43"/>
      <c r="E1305" s="55" t="str">
        <f t="shared" si="105"/>
        <v/>
      </c>
      <c r="F1305" s="55"/>
      <c r="G1305" s="55"/>
      <c r="H1305" s="55"/>
      <c r="I1305" s="55"/>
      <c r="J1305" s="55"/>
      <c r="K1305" s="46" t="str">
        <f t="shared" ca="1" si="106"/>
        <v/>
      </c>
      <c r="L1305" s="56" t="str">
        <f t="shared" ca="1" si="107"/>
        <v/>
      </c>
      <c r="Q1305" s="57" t="str">
        <f t="shared" si="108"/>
        <v/>
      </c>
      <c r="R1305" s="57" t="str">
        <f t="shared" si="109"/>
        <v/>
      </c>
    </row>
    <row r="1306" spans="4:18" x14ac:dyDescent="0.25">
      <c r="D1306" s="43"/>
      <c r="E1306" s="55" t="str">
        <f t="shared" si="105"/>
        <v/>
      </c>
      <c r="F1306" s="55"/>
      <c r="G1306" s="55"/>
      <c r="H1306" s="55"/>
      <c r="I1306" s="55"/>
      <c r="J1306" s="55"/>
      <c r="K1306" s="46" t="str">
        <f t="shared" ca="1" si="106"/>
        <v/>
      </c>
      <c r="L1306" s="56" t="str">
        <f t="shared" ca="1" si="107"/>
        <v/>
      </c>
      <c r="Q1306" s="57" t="str">
        <f t="shared" si="108"/>
        <v/>
      </c>
      <c r="R1306" s="57" t="str">
        <f t="shared" si="109"/>
        <v/>
      </c>
    </row>
    <row r="1307" spans="4:18" x14ac:dyDescent="0.25">
      <c r="D1307" s="43"/>
      <c r="E1307" s="55" t="str">
        <f t="shared" si="105"/>
        <v/>
      </c>
      <c r="F1307" s="55"/>
      <c r="G1307" s="55"/>
      <c r="H1307" s="55"/>
      <c r="I1307" s="55"/>
      <c r="J1307" s="55"/>
      <c r="K1307" s="46" t="str">
        <f t="shared" ca="1" si="106"/>
        <v/>
      </c>
      <c r="L1307" s="56" t="str">
        <f t="shared" ca="1" si="107"/>
        <v/>
      </c>
      <c r="Q1307" s="57" t="str">
        <f t="shared" si="108"/>
        <v/>
      </c>
      <c r="R1307" s="57" t="str">
        <f t="shared" si="109"/>
        <v/>
      </c>
    </row>
    <row r="1308" spans="4:18" x14ac:dyDescent="0.25">
      <c r="D1308" s="43"/>
      <c r="E1308" s="55" t="str">
        <f t="shared" si="105"/>
        <v/>
      </c>
      <c r="F1308" s="55"/>
      <c r="G1308" s="55"/>
      <c r="H1308" s="55"/>
      <c r="I1308" s="55"/>
      <c r="J1308" s="55"/>
      <c r="K1308" s="46" t="str">
        <f t="shared" ca="1" si="106"/>
        <v/>
      </c>
      <c r="L1308" s="56" t="str">
        <f t="shared" ca="1" si="107"/>
        <v/>
      </c>
      <c r="Q1308" s="57" t="str">
        <f t="shared" si="108"/>
        <v/>
      </c>
      <c r="R1308" s="57" t="str">
        <f t="shared" si="109"/>
        <v/>
      </c>
    </row>
    <row r="1309" spans="4:18" x14ac:dyDescent="0.25">
      <c r="D1309" s="43"/>
      <c r="E1309" s="55" t="str">
        <f t="shared" si="105"/>
        <v/>
      </c>
      <c r="F1309" s="55"/>
      <c r="G1309" s="55"/>
      <c r="H1309" s="55"/>
      <c r="I1309" s="55"/>
      <c r="J1309" s="55"/>
      <c r="K1309" s="46" t="str">
        <f t="shared" ca="1" si="106"/>
        <v/>
      </c>
      <c r="L1309" s="56" t="str">
        <f t="shared" ca="1" si="107"/>
        <v/>
      </c>
      <c r="Q1309" s="57" t="str">
        <f t="shared" si="108"/>
        <v/>
      </c>
      <c r="R1309" s="57" t="str">
        <f t="shared" si="109"/>
        <v/>
      </c>
    </row>
    <row r="1310" spans="4:18" x14ac:dyDescent="0.25">
      <c r="D1310" s="43"/>
      <c r="E1310" s="55" t="str">
        <f t="shared" si="105"/>
        <v/>
      </c>
      <c r="F1310" s="55"/>
      <c r="G1310" s="55"/>
      <c r="H1310" s="55"/>
      <c r="I1310" s="55"/>
      <c r="J1310" s="55"/>
      <c r="K1310" s="46" t="str">
        <f t="shared" ca="1" si="106"/>
        <v/>
      </c>
      <c r="L1310" s="56" t="str">
        <f t="shared" ca="1" si="107"/>
        <v/>
      </c>
      <c r="Q1310" s="57" t="str">
        <f t="shared" si="108"/>
        <v/>
      </c>
      <c r="R1310" s="57" t="str">
        <f t="shared" si="109"/>
        <v/>
      </c>
    </row>
    <row r="1311" spans="4:18" x14ac:dyDescent="0.25">
      <c r="D1311" s="43"/>
      <c r="E1311" s="55" t="str">
        <f t="shared" si="105"/>
        <v/>
      </c>
      <c r="F1311" s="55"/>
      <c r="G1311" s="55"/>
      <c r="H1311" s="55"/>
      <c r="I1311" s="55"/>
      <c r="J1311" s="55"/>
      <c r="K1311" s="46" t="str">
        <f t="shared" ca="1" si="106"/>
        <v/>
      </c>
      <c r="L1311" s="56" t="str">
        <f t="shared" ca="1" si="107"/>
        <v/>
      </c>
      <c r="Q1311" s="57" t="str">
        <f t="shared" si="108"/>
        <v/>
      </c>
      <c r="R1311" s="57" t="str">
        <f t="shared" si="109"/>
        <v/>
      </c>
    </row>
    <row r="1312" spans="4:18" x14ac:dyDescent="0.25">
      <c r="D1312" s="43"/>
      <c r="E1312" s="55" t="str">
        <f t="shared" si="105"/>
        <v/>
      </c>
      <c r="F1312" s="55"/>
      <c r="G1312" s="55"/>
      <c r="H1312" s="55"/>
      <c r="I1312" s="55"/>
      <c r="J1312" s="55"/>
      <c r="K1312" s="46" t="str">
        <f t="shared" ca="1" si="106"/>
        <v/>
      </c>
      <c r="L1312" s="56" t="str">
        <f t="shared" ca="1" si="107"/>
        <v/>
      </c>
      <c r="Q1312" s="57" t="str">
        <f t="shared" si="108"/>
        <v/>
      </c>
      <c r="R1312" s="57" t="str">
        <f t="shared" si="109"/>
        <v/>
      </c>
    </row>
    <row r="1313" spans="4:18" x14ac:dyDescent="0.25">
      <c r="D1313" s="43"/>
      <c r="E1313" s="55" t="str">
        <f t="shared" si="105"/>
        <v/>
      </c>
      <c r="F1313" s="55"/>
      <c r="G1313" s="55"/>
      <c r="H1313" s="55"/>
      <c r="I1313" s="55"/>
      <c r="J1313" s="55"/>
      <c r="K1313" s="46" t="str">
        <f t="shared" ca="1" si="106"/>
        <v/>
      </c>
      <c r="L1313" s="56" t="str">
        <f t="shared" ca="1" si="107"/>
        <v/>
      </c>
      <c r="Q1313" s="57" t="str">
        <f t="shared" si="108"/>
        <v/>
      </c>
      <c r="R1313" s="57" t="str">
        <f t="shared" si="109"/>
        <v/>
      </c>
    </row>
    <row r="1314" spans="4:18" x14ac:dyDescent="0.25">
      <c r="D1314" s="43"/>
      <c r="E1314" s="55" t="str">
        <f t="shared" si="105"/>
        <v/>
      </c>
      <c r="F1314" s="55"/>
      <c r="G1314" s="55"/>
      <c r="H1314" s="55"/>
      <c r="I1314" s="55"/>
      <c r="J1314" s="55"/>
      <c r="K1314" s="46" t="str">
        <f t="shared" ca="1" si="106"/>
        <v/>
      </c>
      <c r="L1314" s="56" t="str">
        <f t="shared" ca="1" si="107"/>
        <v/>
      </c>
      <c r="Q1314" s="57" t="str">
        <f t="shared" si="108"/>
        <v/>
      </c>
      <c r="R1314" s="57" t="str">
        <f t="shared" si="109"/>
        <v/>
      </c>
    </row>
    <row r="1315" spans="4:18" x14ac:dyDescent="0.25">
      <c r="D1315" s="43"/>
      <c r="E1315" s="55" t="str">
        <f t="shared" si="105"/>
        <v/>
      </c>
      <c r="F1315" s="55"/>
      <c r="G1315" s="55"/>
      <c r="H1315" s="55"/>
      <c r="I1315" s="55"/>
      <c r="J1315" s="55"/>
      <c r="K1315" s="46" t="str">
        <f t="shared" ca="1" si="106"/>
        <v/>
      </c>
      <c r="L1315" s="56" t="str">
        <f t="shared" ca="1" si="107"/>
        <v/>
      </c>
      <c r="Q1315" s="57" t="str">
        <f t="shared" si="108"/>
        <v/>
      </c>
      <c r="R1315" s="57" t="str">
        <f t="shared" si="109"/>
        <v/>
      </c>
    </row>
    <row r="1316" spans="4:18" x14ac:dyDescent="0.25">
      <c r="D1316" s="43"/>
      <c r="E1316" s="55" t="str">
        <f t="shared" si="105"/>
        <v/>
      </c>
      <c r="F1316" s="55"/>
      <c r="G1316" s="55"/>
      <c r="H1316" s="55"/>
      <c r="I1316" s="55"/>
      <c r="J1316" s="55"/>
      <c r="K1316" s="46" t="str">
        <f t="shared" ca="1" si="106"/>
        <v/>
      </c>
      <c r="L1316" s="56" t="str">
        <f t="shared" ca="1" si="107"/>
        <v/>
      </c>
      <c r="Q1316" s="57" t="str">
        <f t="shared" si="108"/>
        <v/>
      </c>
      <c r="R1316" s="57" t="str">
        <f t="shared" si="109"/>
        <v/>
      </c>
    </row>
    <row r="1317" spans="4:18" x14ac:dyDescent="0.25">
      <c r="D1317" s="43"/>
      <c r="E1317" s="55" t="str">
        <f t="shared" si="105"/>
        <v/>
      </c>
      <c r="F1317" s="55"/>
      <c r="G1317" s="55"/>
      <c r="H1317" s="55"/>
      <c r="I1317" s="55"/>
      <c r="J1317" s="55"/>
      <c r="K1317" s="46" t="str">
        <f t="shared" ca="1" si="106"/>
        <v/>
      </c>
      <c r="L1317" s="56" t="str">
        <f t="shared" ca="1" si="107"/>
        <v/>
      </c>
      <c r="Q1317" s="57" t="str">
        <f t="shared" si="108"/>
        <v/>
      </c>
      <c r="R1317" s="57" t="str">
        <f t="shared" si="109"/>
        <v/>
      </c>
    </row>
    <row r="1318" spans="4:18" x14ac:dyDescent="0.25">
      <c r="D1318" s="43"/>
      <c r="E1318" s="55" t="str">
        <f t="shared" si="105"/>
        <v/>
      </c>
      <c r="F1318" s="55"/>
      <c r="G1318" s="55"/>
      <c r="H1318" s="55"/>
      <c r="I1318" s="55"/>
      <c r="J1318" s="55"/>
      <c r="K1318" s="46" t="str">
        <f t="shared" ca="1" si="106"/>
        <v/>
      </c>
      <c r="L1318" s="56" t="str">
        <f t="shared" ca="1" si="107"/>
        <v/>
      </c>
      <c r="Q1318" s="57" t="str">
        <f t="shared" si="108"/>
        <v/>
      </c>
      <c r="R1318" s="57" t="str">
        <f t="shared" si="109"/>
        <v/>
      </c>
    </row>
    <row r="1319" spans="4:18" x14ac:dyDescent="0.25">
      <c r="D1319" s="43"/>
      <c r="E1319" s="55" t="str">
        <f t="shared" si="105"/>
        <v/>
      </c>
      <c r="F1319" s="55"/>
      <c r="G1319" s="55"/>
      <c r="H1319" s="55"/>
      <c r="I1319" s="55"/>
      <c r="J1319" s="55"/>
      <c r="K1319" s="46" t="str">
        <f t="shared" ca="1" si="106"/>
        <v/>
      </c>
      <c r="L1319" s="56" t="str">
        <f t="shared" ca="1" si="107"/>
        <v/>
      </c>
      <c r="Q1319" s="57" t="str">
        <f t="shared" si="108"/>
        <v/>
      </c>
      <c r="R1319" s="57" t="str">
        <f t="shared" si="109"/>
        <v/>
      </c>
    </row>
    <row r="1320" spans="4:18" x14ac:dyDescent="0.25">
      <c r="D1320" s="43"/>
      <c r="E1320" s="55" t="str">
        <f t="shared" si="105"/>
        <v/>
      </c>
      <c r="F1320" s="55"/>
      <c r="G1320" s="55"/>
      <c r="H1320" s="55"/>
      <c r="I1320" s="55"/>
      <c r="J1320" s="55"/>
      <c r="K1320" s="46" t="str">
        <f t="shared" ca="1" si="106"/>
        <v/>
      </c>
      <c r="L1320" s="56" t="str">
        <f t="shared" ca="1" si="107"/>
        <v/>
      </c>
      <c r="Q1320" s="57" t="str">
        <f t="shared" si="108"/>
        <v/>
      </c>
      <c r="R1320" s="57" t="str">
        <f t="shared" si="109"/>
        <v/>
      </c>
    </row>
    <row r="1321" spans="4:18" x14ac:dyDescent="0.25">
      <c r="D1321" s="43"/>
      <c r="E1321" s="55" t="str">
        <f t="shared" si="105"/>
        <v/>
      </c>
      <c r="F1321" s="55"/>
      <c r="G1321" s="55"/>
      <c r="H1321" s="55"/>
      <c r="I1321" s="55"/>
      <c r="J1321" s="55"/>
      <c r="K1321" s="46" t="str">
        <f t="shared" ca="1" si="106"/>
        <v/>
      </c>
      <c r="L1321" s="56" t="str">
        <f t="shared" ca="1" si="107"/>
        <v/>
      </c>
      <c r="Q1321" s="57" t="str">
        <f t="shared" si="108"/>
        <v/>
      </c>
      <c r="R1321" s="57" t="str">
        <f t="shared" si="109"/>
        <v/>
      </c>
    </row>
    <row r="1322" spans="4:18" x14ac:dyDescent="0.25">
      <c r="D1322" s="43"/>
      <c r="E1322" s="55" t="str">
        <f t="shared" si="105"/>
        <v/>
      </c>
      <c r="F1322" s="55"/>
      <c r="G1322" s="55"/>
      <c r="H1322" s="55"/>
      <c r="I1322" s="55"/>
      <c r="J1322" s="55"/>
      <c r="K1322" s="46" t="str">
        <f t="shared" ca="1" si="106"/>
        <v/>
      </c>
      <c r="L1322" s="56" t="str">
        <f t="shared" ca="1" si="107"/>
        <v/>
      </c>
      <c r="Q1322" s="57" t="str">
        <f t="shared" si="108"/>
        <v/>
      </c>
      <c r="R1322" s="57" t="str">
        <f t="shared" si="109"/>
        <v/>
      </c>
    </row>
    <row r="1323" spans="4:18" x14ac:dyDescent="0.25">
      <c r="D1323" s="43"/>
      <c r="E1323" s="55" t="str">
        <f t="shared" si="105"/>
        <v/>
      </c>
      <c r="F1323" s="55"/>
      <c r="G1323" s="55"/>
      <c r="H1323" s="55"/>
      <c r="I1323" s="55"/>
      <c r="J1323" s="55"/>
      <c r="K1323" s="46" t="str">
        <f t="shared" ca="1" si="106"/>
        <v/>
      </c>
      <c r="L1323" s="56" t="str">
        <f t="shared" ca="1" si="107"/>
        <v/>
      </c>
      <c r="Q1323" s="57" t="str">
        <f t="shared" si="108"/>
        <v/>
      </c>
      <c r="R1323" s="57" t="str">
        <f t="shared" si="109"/>
        <v/>
      </c>
    </row>
    <row r="1324" spans="4:18" x14ac:dyDescent="0.25">
      <c r="D1324" s="43"/>
      <c r="E1324" s="55" t="str">
        <f t="shared" si="105"/>
        <v/>
      </c>
      <c r="F1324" s="55"/>
      <c r="G1324" s="55"/>
      <c r="H1324" s="55"/>
      <c r="I1324" s="55"/>
      <c r="J1324" s="55"/>
      <c r="K1324" s="46" t="str">
        <f t="shared" ca="1" si="106"/>
        <v/>
      </c>
      <c r="L1324" s="56" t="str">
        <f t="shared" ca="1" si="107"/>
        <v/>
      </c>
      <c r="Q1324" s="57" t="str">
        <f t="shared" si="108"/>
        <v/>
      </c>
      <c r="R1324" s="57" t="str">
        <f t="shared" si="109"/>
        <v/>
      </c>
    </row>
    <row r="1325" spans="4:18" x14ac:dyDescent="0.25">
      <c r="D1325" s="43"/>
      <c r="E1325" s="55" t="str">
        <f t="shared" si="105"/>
        <v/>
      </c>
      <c r="F1325" s="55"/>
      <c r="G1325" s="55"/>
      <c r="H1325" s="55"/>
      <c r="I1325" s="55"/>
      <c r="J1325" s="55"/>
      <c r="K1325" s="46" t="str">
        <f t="shared" ca="1" si="106"/>
        <v/>
      </c>
      <c r="L1325" s="56" t="str">
        <f t="shared" ca="1" si="107"/>
        <v/>
      </c>
      <c r="Q1325" s="57" t="str">
        <f t="shared" si="108"/>
        <v/>
      </c>
      <c r="R1325" s="57" t="str">
        <f t="shared" si="109"/>
        <v/>
      </c>
    </row>
    <row r="1326" spans="4:18" x14ac:dyDescent="0.25">
      <c r="D1326" s="43"/>
      <c r="E1326" s="55" t="str">
        <f t="shared" si="105"/>
        <v/>
      </c>
      <c r="F1326" s="55"/>
      <c r="G1326" s="55"/>
      <c r="H1326" s="55"/>
      <c r="I1326" s="55"/>
      <c r="J1326" s="55"/>
      <c r="K1326" s="46" t="str">
        <f t="shared" ca="1" si="106"/>
        <v/>
      </c>
      <c r="L1326" s="56" t="str">
        <f t="shared" ca="1" si="107"/>
        <v/>
      </c>
      <c r="Q1326" s="57" t="str">
        <f t="shared" si="108"/>
        <v/>
      </c>
      <c r="R1326" s="57" t="str">
        <f t="shared" si="109"/>
        <v/>
      </c>
    </row>
    <row r="1327" spans="4:18" x14ac:dyDescent="0.25">
      <c r="D1327" s="43"/>
      <c r="E1327" s="55" t="str">
        <f t="shared" si="105"/>
        <v/>
      </c>
      <c r="F1327" s="55"/>
      <c r="G1327" s="55"/>
      <c r="H1327" s="55"/>
      <c r="I1327" s="55"/>
      <c r="J1327" s="55"/>
      <c r="K1327" s="46" t="str">
        <f t="shared" ca="1" si="106"/>
        <v/>
      </c>
      <c r="L1327" s="56" t="str">
        <f t="shared" ca="1" si="107"/>
        <v/>
      </c>
      <c r="Q1327" s="57" t="str">
        <f t="shared" si="108"/>
        <v/>
      </c>
      <c r="R1327" s="57" t="str">
        <f t="shared" si="109"/>
        <v/>
      </c>
    </row>
    <row r="1328" spans="4:18" x14ac:dyDescent="0.25">
      <c r="D1328" s="43"/>
      <c r="E1328" s="55" t="str">
        <f t="shared" si="105"/>
        <v/>
      </c>
      <c r="F1328" s="55"/>
      <c r="G1328" s="55"/>
      <c r="H1328" s="55"/>
      <c r="I1328" s="55"/>
      <c r="J1328" s="55"/>
      <c r="K1328" s="46" t="str">
        <f t="shared" ca="1" si="106"/>
        <v/>
      </c>
      <c r="L1328" s="56" t="str">
        <f t="shared" ca="1" si="107"/>
        <v/>
      </c>
      <c r="Q1328" s="57" t="str">
        <f t="shared" si="108"/>
        <v/>
      </c>
      <c r="R1328" s="57" t="str">
        <f t="shared" si="109"/>
        <v/>
      </c>
    </row>
    <row r="1329" spans="4:18" x14ac:dyDescent="0.25">
      <c r="D1329" s="43"/>
      <c r="E1329" s="55" t="str">
        <f t="shared" si="105"/>
        <v/>
      </c>
      <c r="F1329" s="55"/>
      <c r="G1329" s="55"/>
      <c r="H1329" s="55"/>
      <c r="I1329" s="55"/>
      <c r="J1329" s="55"/>
      <c r="K1329" s="46" t="str">
        <f t="shared" ca="1" si="106"/>
        <v/>
      </c>
      <c r="L1329" s="56" t="str">
        <f t="shared" ca="1" si="107"/>
        <v/>
      </c>
      <c r="Q1329" s="57" t="str">
        <f t="shared" si="108"/>
        <v/>
      </c>
      <c r="R1329" s="57" t="str">
        <f t="shared" si="109"/>
        <v/>
      </c>
    </row>
    <row r="1330" spans="4:18" x14ac:dyDescent="0.25">
      <c r="D1330" s="43"/>
      <c r="E1330" s="55" t="str">
        <f t="shared" si="105"/>
        <v/>
      </c>
      <c r="F1330" s="55"/>
      <c r="G1330" s="55"/>
      <c r="H1330" s="55"/>
      <c r="I1330" s="55"/>
      <c r="J1330" s="55"/>
      <c r="K1330" s="46" t="str">
        <f t="shared" ca="1" si="106"/>
        <v/>
      </c>
      <c r="L1330" s="56" t="str">
        <f t="shared" ca="1" si="107"/>
        <v/>
      </c>
      <c r="Q1330" s="57" t="str">
        <f t="shared" si="108"/>
        <v/>
      </c>
      <c r="R1330" s="57" t="str">
        <f t="shared" si="109"/>
        <v/>
      </c>
    </row>
    <row r="1331" spans="4:18" x14ac:dyDescent="0.25">
      <c r="D1331" s="43"/>
      <c r="E1331" s="55" t="str">
        <f t="shared" si="105"/>
        <v/>
      </c>
      <c r="F1331" s="55"/>
      <c r="G1331" s="55"/>
      <c r="H1331" s="55"/>
      <c r="I1331" s="55"/>
      <c r="J1331" s="55"/>
      <c r="K1331" s="46" t="str">
        <f t="shared" ca="1" si="106"/>
        <v/>
      </c>
      <c r="L1331" s="56" t="str">
        <f t="shared" ca="1" si="107"/>
        <v/>
      </c>
      <c r="Q1331" s="57" t="str">
        <f t="shared" si="108"/>
        <v/>
      </c>
      <c r="R1331" s="57" t="str">
        <f t="shared" si="109"/>
        <v/>
      </c>
    </row>
    <row r="1332" spans="4:18" x14ac:dyDescent="0.25">
      <c r="D1332" s="43"/>
      <c r="E1332" s="55" t="str">
        <f t="shared" si="105"/>
        <v/>
      </c>
      <c r="F1332" s="55"/>
      <c r="G1332" s="55"/>
      <c r="H1332" s="55"/>
      <c r="I1332" s="55"/>
      <c r="J1332" s="55"/>
      <c r="K1332" s="46" t="str">
        <f t="shared" ca="1" si="106"/>
        <v/>
      </c>
      <c r="L1332" s="56" t="str">
        <f t="shared" ca="1" si="107"/>
        <v/>
      </c>
      <c r="Q1332" s="57" t="str">
        <f t="shared" si="108"/>
        <v/>
      </c>
      <c r="R1332" s="57" t="str">
        <f t="shared" si="109"/>
        <v/>
      </c>
    </row>
    <row r="1333" spans="4:18" x14ac:dyDescent="0.25">
      <c r="D1333" s="43"/>
      <c r="E1333" s="55" t="str">
        <f t="shared" si="105"/>
        <v/>
      </c>
      <c r="F1333" s="55"/>
      <c r="G1333" s="55"/>
      <c r="H1333" s="55"/>
      <c r="I1333" s="55"/>
      <c r="J1333" s="55"/>
      <c r="K1333" s="46" t="str">
        <f t="shared" ca="1" si="106"/>
        <v/>
      </c>
      <c r="L1333" s="56" t="str">
        <f t="shared" ca="1" si="107"/>
        <v/>
      </c>
      <c r="Q1333" s="57" t="str">
        <f t="shared" si="108"/>
        <v/>
      </c>
      <c r="R1333" s="57" t="str">
        <f t="shared" si="109"/>
        <v/>
      </c>
    </row>
    <row r="1334" spans="4:18" x14ac:dyDescent="0.25">
      <c r="D1334" s="43"/>
      <c r="E1334" s="55" t="str">
        <f t="shared" si="105"/>
        <v/>
      </c>
      <c r="F1334" s="55"/>
      <c r="G1334" s="55"/>
      <c r="H1334" s="55"/>
      <c r="I1334" s="55"/>
      <c r="J1334" s="55"/>
      <c r="K1334" s="46" t="str">
        <f t="shared" ca="1" si="106"/>
        <v/>
      </c>
      <c r="L1334" s="56" t="str">
        <f t="shared" ca="1" si="107"/>
        <v/>
      </c>
      <c r="Q1334" s="57" t="str">
        <f t="shared" si="108"/>
        <v/>
      </c>
      <c r="R1334" s="57" t="str">
        <f t="shared" si="109"/>
        <v/>
      </c>
    </row>
    <row r="1335" spans="4:18" x14ac:dyDescent="0.25">
      <c r="D1335" s="43"/>
      <c r="E1335" s="55" t="str">
        <f t="shared" si="105"/>
        <v/>
      </c>
      <c r="F1335" s="55"/>
      <c r="G1335" s="55"/>
      <c r="H1335" s="55"/>
      <c r="I1335" s="55"/>
      <c r="J1335" s="55"/>
      <c r="K1335" s="46" t="str">
        <f t="shared" ca="1" si="106"/>
        <v/>
      </c>
      <c r="L1335" s="56" t="str">
        <f t="shared" ca="1" si="107"/>
        <v/>
      </c>
      <c r="Q1335" s="57" t="str">
        <f t="shared" si="108"/>
        <v/>
      </c>
      <c r="R1335" s="57" t="str">
        <f t="shared" si="109"/>
        <v/>
      </c>
    </row>
    <row r="1336" spans="4:18" x14ac:dyDescent="0.25">
      <c r="D1336" s="43"/>
      <c r="E1336" s="55" t="str">
        <f t="shared" si="105"/>
        <v/>
      </c>
      <c r="F1336" s="55"/>
      <c r="G1336" s="55"/>
      <c r="H1336" s="55"/>
      <c r="I1336" s="55"/>
      <c r="J1336" s="55"/>
      <c r="K1336" s="46" t="str">
        <f t="shared" ca="1" si="106"/>
        <v/>
      </c>
      <c r="L1336" s="56" t="str">
        <f t="shared" ca="1" si="107"/>
        <v/>
      </c>
      <c r="Q1336" s="57" t="str">
        <f t="shared" si="108"/>
        <v/>
      </c>
      <c r="R1336" s="57" t="str">
        <f t="shared" si="109"/>
        <v/>
      </c>
    </row>
    <row r="1337" spans="4:18" x14ac:dyDescent="0.25">
      <c r="D1337" s="43"/>
      <c r="E1337" s="55" t="str">
        <f t="shared" si="105"/>
        <v/>
      </c>
      <c r="F1337" s="55"/>
      <c r="G1337" s="55"/>
      <c r="H1337" s="55"/>
      <c r="I1337" s="55"/>
      <c r="J1337" s="55"/>
      <c r="K1337" s="46" t="str">
        <f t="shared" ca="1" si="106"/>
        <v/>
      </c>
      <c r="L1337" s="56" t="str">
        <f t="shared" ca="1" si="107"/>
        <v/>
      </c>
      <c r="Q1337" s="57" t="str">
        <f t="shared" si="108"/>
        <v/>
      </c>
      <c r="R1337" s="57" t="str">
        <f t="shared" si="109"/>
        <v/>
      </c>
    </row>
    <row r="1338" spans="4:18" x14ac:dyDescent="0.25">
      <c r="D1338" s="43"/>
      <c r="E1338" s="55" t="str">
        <f t="shared" si="105"/>
        <v/>
      </c>
      <c r="F1338" s="55"/>
      <c r="G1338" s="55"/>
      <c r="H1338" s="55"/>
      <c r="I1338" s="55"/>
      <c r="J1338" s="55"/>
      <c r="K1338" s="46" t="str">
        <f t="shared" ca="1" si="106"/>
        <v/>
      </c>
      <c r="L1338" s="56" t="str">
        <f t="shared" ca="1" si="107"/>
        <v/>
      </c>
      <c r="Q1338" s="57" t="str">
        <f t="shared" si="108"/>
        <v/>
      </c>
      <c r="R1338" s="57" t="str">
        <f t="shared" si="109"/>
        <v/>
      </c>
    </row>
    <row r="1339" spans="4:18" x14ac:dyDescent="0.25">
      <c r="D1339" s="43"/>
      <c r="E1339" s="55" t="str">
        <f t="shared" si="105"/>
        <v/>
      </c>
      <c r="F1339" s="55"/>
      <c r="G1339" s="55"/>
      <c r="H1339" s="55"/>
      <c r="I1339" s="55"/>
      <c r="J1339" s="55"/>
      <c r="K1339" s="46" t="str">
        <f t="shared" ca="1" si="106"/>
        <v/>
      </c>
      <c r="L1339" s="56" t="str">
        <f t="shared" ca="1" si="107"/>
        <v/>
      </c>
      <c r="Q1339" s="57" t="str">
        <f t="shared" si="108"/>
        <v/>
      </c>
      <c r="R1339" s="57" t="str">
        <f t="shared" si="109"/>
        <v/>
      </c>
    </row>
    <row r="1340" spans="4:18" x14ac:dyDescent="0.25">
      <c r="D1340" s="43"/>
      <c r="E1340" s="55" t="str">
        <f t="shared" si="105"/>
        <v/>
      </c>
      <c r="F1340" s="55"/>
      <c r="G1340" s="55"/>
      <c r="H1340" s="55"/>
      <c r="I1340" s="55"/>
      <c r="J1340" s="55"/>
      <c r="K1340" s="46" t="str">
        <f t="shared" ca="1" si="106"/>
        <v/>
      </c>
      <c r="L1340" s="56" t="str">
        <f t="shared" ca="1" si="107"/>
        <v/>
      </c>
      <c r="Q1340" s="57" t="str">
        <f t="shared" si="108"/>
        <v/>
      </c>
      <c r="R1340" s="57" t="str">
        <f t="shared" si="109"/>
        <v/>
      </c>
    </row>
    <row r="1341" spans="4:18" x14ac:dyDescent="0.25">
      <c r="D1341" s="43"/>
      <c r="E1341" s="55" t="str">
        <f t="shared" si="105"/>
        <v/>
      </c>
      <c r="F1341" s="55"/>
      <c r="G1341" s="55"/>
      <c r="H1341" s="55"/>
      <c r="I1341" s="55"/>
      <c r="J1341" s="55"/>
      <c r="K1341" s="46" t="str">
        <f t="shared" ca="1" si="106"/>
        <v/>
      </c>
      <c r="L1341" s="56" t="str">
        <f t="shared" ca="1" si="107"/>
        <v/>
      </c>
      <c r="Q1341" s="57" t="str">
        <f t="shared" si="108"/>
        <v/>
      </c>
      <c r="R1341" s="57" t="str">
        <f t="shared" si="109"/>
        <v/>
      </c>
    </row>
    <row r="1342" spans="4:18" x14ac:dyDescent="0.25">
      <c r="D1342" s="43"/>
      <c r="E1342" s="55" t="str">
        <f t="shared" si="105"/>
        <v/>
      </c>
      <c r="F1342" s="55"/>
      <c r="G1342" s="55"/>
      <c r="H1342" s="55"/>
      <c r="I1342" s="55"/>
      <c r="J1342" s="55"/>
      <c r="K1342" s="46" t="str">
        <f t="shared" ca="1" si="106"/>
        <v/>
      </c>
      <c r="L1342" s="56" t="str">
        <f t="shared" ca="1" si="107"/>
        <v/>
      </c>
      <c r="Q1342" s="57" t="str">
        <f t="shared" si="108"/>
        <v/>
      </c>
      <c r="R1342" s="57" t="str">
        <f t="shared" si="109"/>
        <v/>
      </c>
    </row>
    <row r="1343" spans="4:18" x14ac:dyDescent="0.25">
      <c r="D1343" s="43"/>
      <c r="E1343" s="55" t="str">
        <f t="shared" si="105"/>
        <v/>
      </c>
      <c r="F1343" s="55"/>
      <c r="G1343" s="55"/>
      <c r="H1343" s="55"/>
      <c r="I1343" s="55"/>
      <c r="J1343" s="55"/>
      <c r="K1343" s="46" t="str">
        <f t="shared" ca="1" si="106"/>
        <v/>
      </c>
      <c r="L1343" s="56" t="str">
        <f t="shared" ca="1" si="107"/>
        <v/>
      </c>
      <c r="Q1343" s="57" t="str">
        <f t="shared" si="108"/>
        <v/>
      </c>
      <c r="R1343" s="57" t="str">
        <f t="shared" si="109"/>
        <v/>
      </c>
    </row>
    <row r="1344" spans="4:18" x14ac:dyDescent="0.25">
      <c r="D1344" s="43"/>
      <c r="E1344" s="55" t="str">
        <f t="shared" si="105"/>
        <v/>
      </c>
      <c r="F1344" s="55"/>
      <c r="G1344" s="55"/>
      <c r="H1344" s="55"/>
      <c r="I1344" s="55"/>
      <c r="J1344" s="55"/>
      <c r="K1344" s="46" t="str">
        <f t="shared" ca="1" si="106"/>
        <v/>
      </c>
      <c r="L1344" s="56" t="str">
        <f t="shared" ca="1" si="107"/>
        <v/>
      </c>
      <c r="Q1344" s="57" t="str">
        <f t="shared" si="108"/>
        <v/>
      </c>
      <c r="R1344" s="57" t="str">
        <f t="shared" si="109"/>
        <v/>
      </c>
    </row>
    <row r="1345" spans="4:18" x14ac:dyDescent="0.25">
      <c r="D1345" s="43"/>
      <c r="E1345" s="55" t="str">
        <f t="shared" si="105"/>
        <v/>
      </c>
      <c r="F1345" s="55"/>
      <c r="G1345" s="55"/>
      <c r="H1345" s="55"/>
      <c r="I1345" s="55"/>
      <c r="J1345" s="55"/>
      <c r="K1345" s="46" t="str">
        <f t="shared" ca="1" si="106"/>
        <v/>
      </c>
      <c r="L1345" s="56" t="str">
        <f t="shared" ca="1" si="107"/>
        <v/>
      </c>
      <c r="Q1345" s="57" t="str">
        <f t="shared" si="108"/>
        <v/>
      </c>
      <c r="R1345" s="57" t="str">
        <f t="shared" si="109"/>
        <v/>
      </c>
    </row>
    <row r="1346" spans="4:18" x14ac:dyDescent="0.25">
      <c r="D1346" s="43"/>
      <c r="E1346" s="55" t="str">
        <f t="shared" si="105"/>
        <v/>
      </c>
      <c r="F1346" s="55"/>
      <c r="G1346" s="55"/>
      <c r="H1346" s="55"/>
      <c r="I1346" s="55"/>
      <c r="J1346" s="55"/>
      <c r="K1346" s="46" t="str">
        <f t="shared" ca="1" si="106"/>
        <v/>
      </c>
      <c r="L1346" s="56" t="str">
        <f t="shared" ca="1" si="107"/>
        <v/>
      </c>
      <c r="Q1346" s="57" t="str">
        <f t="shared" si="108"/>
        <v/>
      </c>
      <c r="R1346" s="57" t="str">
        <f t="shared" si="109"/>
        <v/>
      </c>
    </row>
    <row r="1347" spans="4:18" x14ac:dyDescent="0.25">
      <c r="D1347" s="43"/>
      <c r="E1347" s="55" t="str">
        <f t="shared" si="105"/>
        <v/>
      </c>
      <c r="F1347" s="55"/>
      <c r="G1347" s="55"/>
      <c r="H1347" s="55"/>
      <c r="I1347" s="55"/>
      <c r="J1347" s="55"/>
      <c r="K1347" s="46" t="str">
        <f t="shared" ca="1" si="106"/>
        <v/>
      </c>
      <c r="L1347" s="56" t="str">
        <f t="shared" ca="1" si="107"/>
        <v/>
      </c>
      <c r="Q1347" s="57" t="str">
        <f t="shared" si="108"/>
        <v/>
      </c>
      <c r="R1347" s="57" t="str">
        <f t="shared" si="109"/>
        <v/>
      </c>
    </row>
    <row r="1348" spans="4:18" x14ac:dyDescent="0.25">
      <c r="D1348" s="43"/>
      <c r="E1348" s="55" t="str">
        <f t="shared" si="105"/>
        <v/>
      </c>
      <c r="F1348" s="55"/>
      <c r="G1348" s="55"/>
      <c r="H1348" s="55"/>
      <c r="I1348" s="55"/>
      <c r="J1348" s="55"/>
      <c r="K1348" s="46" t="str">
        <f t="shared" ca="1" si="106"/>
        <v/>
      </c>
      <c r="L1348" s="56" t="str">
        <f t="shared" ca="1" si="107"/>
        <v/>
      </c>
      <c r="Q1348" s="57" t="str">
        <f t="shared" si="108"/>
        <v/>
      </c>
      <c r="R1348" s="57" t="str">
        <f t="shared" si="109"/>
        <v/>
      </c>
    </row>
    <row r="1349" spans="4:18" x14ac:dyDescent="0.25">
      <c r="D1349" s="43"/>
      <c r="E1349" s="55" t="str">
        <f t="shared" si="105"/>
        <v/>
      </c>
      <c r="F1349" s="55"/>
      <c r="G1349" s="55"/>
      <c r="H1349" s="55"/>
      <c r="I1349" s="55"/>
      <c r="J1349" s="55"/>
      <c r="K1349" s="46" t="str">
        <f t="shared" ca="1" si="106"/>
        <v/>
      </c>
      <c r="L1349" s="56" t="str">
        <f t="shared" ca="1" si="107"/>
        <v/>
      </c>
      <c r="Q1349" s="57" t="str">
        <f t="shared" si="108"/>
        <v/>
      </c>
      <c r="R1349" s="57" t="str">
        <f t="shared" si="109"/>
        <v/>
      </c>
    </row>
    <row r="1350" spans="4:18" x14ac:dyDescent="0.25">
      <c r="D1350" s="43"/>
      <c r="E1350" s="55" t="str">
        <f t="shared" si="105"/>
        <v/>
      </c>
      <c r="F1350" s="55"/>
      <c r="G1350" s="55"/>
      <c r="H1350" s="55"/>
      <c r="I1350" s="55"/>
      <c r="J1350" s="55"/>
      <c r="K1350" s="46" t="str">
        <f t="shared" ca="1" si="106"/>
        <v/>
      </c>
      <c r="L1350" s="56" t="str">
        <f t="shared" ca="1" si="107"/>
        <v/>
      </c>
      <c r="Q1350" s="57" t="str">
        <f t="shared" si="108"/>
        <v/>
      </c>
      <c r="R1350" s="57" t="str">
        <f t="shared" si="109"/>
        <v/>
      </c>
    </row>
    <row r="1351" spans="4:18" x14ac:dyDescent="0.25">
      <c r="D1351" s="43"/>
      <c r="E1351" s="55" t="str">
        <f t="shared" si="105"/>
        <v/>
      </c>
      <c r="F1351" s="55"/>
      <c r="G1351" s="55"/>
      <c r="H1351" s="55"/>
      <c r="I1351" s="55"/>
      <c r="J1351" s="55"/>
      <c r="K1351" s="46" t="str">
        <f t="shared" ca="1" si="106"/>
        <v/>
      </c>
      <c r="L1351" s="56" t="str">
        <f t="shared" ca="1" si="107"/>
        <v/>
      </c>
      <c r="Q1351" s="57" t="str">
        <f t="shared" si="108"/>
        <v/>
      </c>
      <c r="R1351" s="57" t="str">
        <f t="shared" si="109"/>
        <v/>
      </c>
    </row>
    <row r="1352" spans="4:18" x14ac:dyDescent="0.25">
      <c r="D1352" s="43"/>
      <c r="E1352" s="55" t="str">
        <f t="shared" si="105"/>
        <v/>
      </c>
      <c r="F1352" s="55"/>
      <c r="G1352" s="55"/>
      <c r="H1352" s="55"/>
      <c r="I1352" s="55"/>
      <c r="J1352" s="55"/>
      <c r="K1352" s="46" t="str">
        <f t="shared" ca="1" si="106"/>
        <v/>
      </c>
      <c r="L1352" s="56" t="str">
        <f t="shared" ca="1" si="107"/>
        <v/>
      </c>
      <c r="Q1352" s="57" t="str">
        <f t="shared" si="108"/>
        <v/>
      </c>
      <c r="R1352" s="57" t="str">
        <f t="shared" si="109"/>
        <v/>
      </c>
    </row>
    <row r="1353" spans="4:18" x14ac:dyDescent="0.25">
      <c r="D1353" s="43"/>
      <c r="E1353" s="55" t="str">
        <f t="shared" si="105"/>
        <v/>
      </c>
      <c r="F1353" s="55"/>
      <c r="G1353" s="55"/>
      <c r="H1353" s="55"/>
      <c r="I1353" s="55"/>
      <c r="J1353" s="55"/>
      <c r="K1353" s="46" t="str">
        <f t="shared" ca="1" si="106"/>
        <v/>
      </c>
      <c r="L1353" s="56" t="str">
        <f t="shared" ca="1" si="107"/>
        <v/>
      </c>
      <c r="Q1353" s="57" t="str">
        <f t="shared" si="108"/>
        <v/>
      </c>
      <c r="R1353" s="57" t="str">
        <f t="shared" si="109"/>
        <v/>
      </c>
    </row>
    <row r="1354" spans="4:18" x14ac:dyDescent="0.25">
      <c r="D1354" s="43"/>
      <c r="E1354" s="55" t="str">
        <f t="shared" si="105"/>
        <v/>
      </c>
      <c r="F1354" s="55"/>
      <c r="G1354" s="55"/>
      <c r="H1354" s="55"/>
      <c r="I1354" s="55"/>
      <c r="J1354" s="55"/>
      <c r="K1354" s="46" t="str">
        <f t="shared" ca="1" si="106"/>
        <v/>
      </c>
      <c r="L1354" s="56" t="str">
        <f t="shared" ca="1" si="107"/>
        <v/>
      </c>
      <c r="Q1354" s="57" t="str">
        <f t="shared" si="108"/>
        <v/>
      </c>
      <c r="R1354" s="57" t="str">
        <f t="shared" si="109"/>
        <v/>
      </c>
    </row>
    <row r="1355" spans="4:18" x14ac:dyDescent="0.25">
      <c r="D1355" s="43"/>
      <c r="E1355" s="55" t="str">
        <f t="shared" si="105"/>
        <v/>
      </c>
      <c r="F1355" s="55"/>
      <c r="G1355" s="55"/>
      <c r="H1355" s="55"/>
      <c r="I1355" s="55"/>
      <c r="J1355" s="55"/>
      <c r="K1355" s="46" t="str">
        <f t="shared" ca="1" si="106"/>
        <v/>
      </c>
      <c r="L1355" s="56" t="str">
        <f t="shared" ca="1" si="107"/>
        <v/>
      </c>
      <c r="Q1355" s="57" t="str">
        <f t="shared" si="108"/>
        <v/>
      </c>
      <c r="R1355" s="57" t="str">
        <f t="shared" si="109"/>
        <v/>
      </c>
    </row>
    <row r="1356" spans="4:18" x14ac:dyDescent="0.25">
      <c r="D1356" s="43"/>
      <c r="E1356" s="55" t="str">
        <f t="shared" si="105"/>
        <v/>
      </c>
      <c r="F1356" s="55"/>
      <c r="G1356" s="55"/>
      <c r="H1356" s="55"/>
      <c r="I1356" s="55"/>
      <c r="J1356" s="55"/>
      <c r="K1356" s="46" t="str">
        <f t="shared" ca="1" si="106"/>
        <v/>
      </c>
      <c r="L1356" s="56" t="str">
        <f t="shared" ca="1" si="107"/>
        <v/>
      </c>
      <c r="Q1356" s="57" t="str">
        <f t="shared" si="108"/>
        <v/>
      </c>
      <c r="R1356" s="57" t="str">
        <f t="shared" si="109"/>
        <v/>
      </c>
    </row>
    <row r="1357" spans="4:18" x14ac:dyDescent="0.25">
      <c r="D1357" s="43"/>
      <c r="E1357" s="55" t="str">
        <f t="shared" si="105"/>
        <v/>
      </c>
      <c r="F1357" s="55"/>
      <c r="G1357" s="55"/>
      <c r="H1357" s="55"/>
      <c r="I1357" s="55"/>
      <c r="J1357" s="55"/>
      <c r="K1357" s="46" t="str">
        <f t="shared" ca="1" si="106"/>
        <v/>
      </c>
      <c r="L1357" s="56" t="str">
        <f t="shared" ca="1" si="107"/>
        <v/>
      </c>
      <c r="Q1357" s="57" t="str">
        <f t="shared" si="108"/>
        <v/>
      </c>
      <c r="R1357" s="57" t="str">
        <f t="shared" si="109"/>
        <v/>
      </c>
    </row>
    <row r="1358" spans="4:18" x14ac:dyDescent="0.25">
      <c r="D1358" s="43"/>
      <c r="E1358" s="55" t="str">
        <f t="shared" si="105"/>
        <v/>
      </c>
      <c r="F1358" s="55"/>
      <c r="G1358" s="55"/>
      <c r="H1358" s="55"/>
      <c r="I1358" s="55"/>
      <c r="J1358" s="55"/>
      <c r="K1358" s="46" t="str">
        <f t="shared" ca="1" si="106"/>
        <v/>
      </c>
      <c r="L1358" s="56" t="str">
        <f t="shared" ca="1" si="107"/>
        <v/>
      </c>
      <c r="Q1358" s="57" t="str">
        <f t="shared" si="108"/>
        <v/>
      </c>
      <c r="R1358" s="57" t="str">
        <f t="shared" si="109"/>
        <v/>
      </c>
    </row>
    <row r="1359" spans="4:18" x14ac:dyDescent="0.25">
      <c r="D1359" s="43"/>
      <c r="E1359" s="55" t="str">
        <f t="shared" si="105"/>
        <v/>
      </c>
      <c r="F1359" s="55"/>
      <c r="G1359" s="55"/>
      <c r="H1359" s="55"/>
      <c r="I1359" s="55"/>
      <c r="J1359" s="55"/>
      <c r="K1359" s="46" t="str">
        <f t="shared" ca="1" si="106"/>
        <v/>
      </c>
      <c r="L1359" s="56" t="str">
        <f t="shared" ca="1" si="107"/>
        <v/>
      </c>
      <c r="Q1359" s="57" t="str">
        <f t="shared" si="108"/>
        <v/>
      </c>
      <c r="R1359" s="57" t="str">
        <f t="shared" si="109"/>
        <v/>
      </c>
    </row>
    <row r="1360" spans="4:18" x14ac:dyDescent="0.25">
      <c r="D1360" s="43"/>
      <c r="E1360" s="55" t="str">
        <f t="shared" si="105"/>
        <v/>
      </c>
      <c r="F1360" s="55"/>
      <c r="G1360" s="55"/>
      <c r="H1360" s="55"/>
      <c r="I1360" s="55"/>
      <c r="J1360" s="55"/>
      <c r="K1360" s="46" t="str">
        <f t="shared" ca="1" si="106"/>
        <v/>
      </c>
      <c r="L1360" s="56" t="str">
        <f t="shared" ca="1" si="107"/>
        <v/>
      </c>
      <c r="Q1360" s="57" t="str">
        <f t="shared" si="108"/>
        <v/>
      </c>
      <c r="R1360" s="57" t="str">
        <f t="shared" si="109"/>
        <v/>
      </c>
    </row>
    <row r="1361" spans="4:18" x14ac:dyDescent="0.25">
      <c r="D1361" s="43"/>
      <c r="E1361" s="55" t="str">
        <f t="shared" si="105"/>
        <v/>
      </c>
      <c r="F1361" s="55"/>
      <c r="G1361" s="55"/>
      <c r="H1361" s="55"/>
      <c r="I1361" s="55"/>
      <c r="J1361" s="55"/>
      <c r="K1361" s="46" t="str">
        <f t="shared" ca="1" si="106"/>
        <v/>
      </c>
      <c r="L1361" s="56" t="str">
        <f t="shared" ca="1" si="107"/>
        <v/>
      </c>
      <c r="Q1361" s="57" t="str">
        <f t="shared" si="108"/>
        <v/>
      </c>
      <c r="R1361" s="57" t="str">
        <f t="shared" si="109"/>
        <v/>
      </c>
    </row>
    <row r="1362" spans="4:18" x14ac:dyDescent="0.25">
      <c r="D1362" s="43"/>
      <c r="E1362" s="55" t="str">
        <f t="shared" si="105"/>
        <v/>
      </c>
      <c r="F1362" s="55"/>
      <c r="G1362" s="55"/>
      <c r="H1362" s="55"/>
      <c r="I1362" s="55"/>
      <c r="J1362" s="55"/>
      <c r="K1362" s="46" t="str">
        <f t="shared" ca="1" si="106"/>
        <v/>
      </c>
      <c r="L1362" s="56" t="str">
        <f t="shared" ca="1" si="107"/>
        <v/>
      </c>
      <c r="Q1362" s="57" t="str">
        <f t="shared" si="108"/>
        <v/>
      </c>
      <c r="R1362" s="57" t="str">
        <f t="shared" si="109"/>
        <v/>
      </c>
    </row>
    <row r="1363" spans="4:18" x14ac:dyDescent="0.25">
      <c r="D1363" s="43"/>
      <c r="E1363" s="55" t="str">
        <f t="shared" si="105"/>
        <v/>
      </c>
      <c r="F1363" s="55"/>
      <c r="G1363" s="55"/>
      <c r="H1363" s="55"/>
      <c r="I1363" s="55"/>
      <c r="J1363" s="55"/>
      <c r="K1363" s="46" t="str">
        <f t="shared" ca="1" si="106"/>
        <v/>
      </c>
      <c r="L1363" s="56" t="str">
        <f t="shared" ca="1" si="107"/>
        <v/>
      </c>
      <c r="Q1363" s="57" t="str">
        <f t="shared" si="108"/>
        <v/>
      </c>
      <c r="R1363" s="57" t="str">
        <f t="shared" si="109"/>
        <v/>
      </c>
    </row>
    <row r="1364" spans="4:18" x14ac:dyDescent="0.25">
      <c r="D1364" s="43"/>
      <c r="E1364" s="55" t="str">
        <f t="shared" ref="E1364:E1427" si="110">IF(ISNUMBER(SEARCH("v crs",D1364))=TRUE,"VC",IF(ISNUMBER(SEARCH("crs",D1364))=TRUE,"C",IF(ISNUMBER(SEARCH("med",D1364))=TRUE,"M",IF(ISNUMBER(SEARCH("vf",D1364))=TRUE,"VF",IF(ISNUMBER(SEARCH("f",D1364))=TRUE,"F","")))))</f>
        <v/>
      </c>
      <c r="F1364" s="55"/>
      <c r="G1364" s="55"/>
      <c r="H1364" s="55"/>
      <c r="I1364" s="55"/>
      <c r="J1364" s="55"/>
      <c r="K1364" s="46" t="str">
        <f t="shared" ca="1" si="106"/>
        <v/>
      </c>
      <c r="L1364" s="56" t="str">
        <f t="shared" ca="1" si="107"/>
        <v/>
      </c>
      <c r="Q1364" s="57" t="str">
        <f t="shared" si="108"/>
        <v/>
      </c>
      <c r="R1364" s="57" t="str">
        <f t="shared" si="109"/>
        <v/>
      </c>
    </row>
    <row r="1365" spans="4:18" x14ac:dyDescent="0.25">
      <c r="D1365" s="43"/>
      <c r="E1365" s="55" t="str">
        <f t="shared" si="110"/>
        <v/>
      </c>
      <c r="F1365" s="55"/>
      <c r="G1365" s="55"/>
      <c r="H1365" s="55"/>
      <c r="I1365" s="55"/>
      <c r="J1365" s="55"/>
      <c r="K1365" s="46" t="str">
        <f t="shared" ref="K1365:K1428" ca="1" si="111">IF(AND(C1365&lt;&gt;"",C1365&lt;&gt;Q1365),TODAY(),IF(C1365="","",K1365))</f>
        <v/>
      </c>
      <c r="L1365" s="56" t="str">
        <f t="shared" ref="L1365:L1428" ca="1" si="112">IF(AND(C1365&lt;&gt;"",C1365&lt;&gt;R1365),NOW(),IF(C1365="","",L1365))</f>
        <v/>
      </c>
      <c r="Q1365" s="57" t="str">
        <f t="shared" ref="Q1365:Q1428" si="113">IF(C1365="","",IF(OR(K1365="",AND(ISNUMBER(Q1365),C1365=Q1365)),Q1365,C1365))</f>
        <v/>
      </c>
      <c r="R1365" s="57" t="str">
        <f t="shared" ref="R1365:R1428" si="114">IF(C1365="","",IF(OR(L1365="",AND(ISNUMBER(R1365),C1365=R1365)),R1365,C1365))</f>
        <v/>
      </c>
    </row>
    <row r="1366" spans="4:18" x14ac:dyDescent="0.25">
      <c r="D1366" s="43"/>
      <c r="E1366" s="55" t="str">
        <f t="shared" si="110"/>
        <v/>
      </c>
      <c r="F1366" s="55"/>
      <c r="G1366" s="55"/>
      <c r="H1366" s="55"/>
      <c r="I1366" s="55"/>
      <c r="J1366" s="55"/>
      <c r="K1366" s="46" t="str">
        <f t="shared" ca="1" si="111"/>
        <v/>
      </c>
      <c r="L1366" s="56" t="str">
        <f t="shared" ca="1" si="112"/>
        <v/>
      </c>
      <c r="Q1366" s="57" t="str">
        <f t="shared" si="113"/>
        <v/>
      </c>
      <c r="R1366" s="57" t="str">
        <f t="shared" si="114"/>
        <v/>
      </c>
    </row>
    <row r="1367" spans="4:18" x14ac:dyDescent="0.25">
      <c r="D1367" s="43"/>
      <c r="E1367" s="55" t="str">
        <f t="shared" si="110"/>
        <v/>
      </c>
      <c r="F1367" s="55"/>
      <c r="G1367" s="55"/>
      <c r="H1367" s="55"/>
      <c r="I1367" s="55"/>
      <c r="J1367" s="55"/>
      <c r="K1367" s="46" t="str">
        <f t="shared" ca="1" si="111"/>
        <v/>
      </c>
      <c r="L1367" s="56" t="str">
        <f t="shared" ca="1" si="112"/>
        <v/>
      </c>
      <c r="Q1367" s="57" t="str">
        <f t="shared" si="113"/>
        <v/>
      </c>
      <c r="R1367" s="57" t="str">
        <f t="shared" si="114"/>
        <v/>
      </c>
    </row>
    <row r="1368" spans="4:18" x14ac:dyDescent="0.25">
      <c r="D1368" s="43"/>
      <c r="E1368" s="55" t="str">
        <f t="shared" si="110"/>
        <v/>
      </c>
      <c r="F1368" s="55"/>
      <c r="G1368" s="55"/>
      <c r="H1368" s="55"/>
      <c r="I1368" s="55"/>
      <c r="J1368" s="55"/>
      <c r="K1368" s="46" t="str">
        <f t="shared" ca="1" si="111"/>
        <v/>
      </c>
      <c r="L1368" s="56" t="str">
        <f t="shared" ca="1" si="112"/>
        <v/>
      </c>
      <c r="Q1368" s="57" t="str">
        <f t="shared" si="113"/>
        <v/>
      </c>
      <c r="R1368" s="57" t="str">
        <f t="shared" si="114"/>
        <v/>
      </c>
    </row>
    <row r="1369" spans="4:18" x14ac:dyDescent="0.25">
      <c r="D1369" s="43"/>
      <c r="E1369" s="55" t="str">
        <f t="shared" si="110"/>
        <v/>
      </c>
      <c r="F1369" s="55"/>
      <c r="G1369" s="55"/>
      <c r="H1369" s="55"/>
      <c r="I1369" s="55"/>
      <c r="J1369" s="55"/>
      <c r="K1369" s="46" t="str">
        <f t="shared" ca="1" si="111"/>
        <v/>
      </c>
      <c r="L1369" s="56" t="str">
        <f t="shared" ca="1" si="112"/>
        <v/>
      </c>
      <c r="Q1369" s="57" t="str">
        <f t="shared" si="113"/>
        <v/>
      </c>
      <c r="R1369" s="57" t="str">
        <f t="shared" si="114"/>
        <v/>
      </c>
    </row>
    <row r="1370" spans="4:18" x14ac:dyDescent="0.25">
      <c r="D1370" s="43"/>
      <c r="E1370" s="55" t="str">
        <f t="shared" si="110"/>
        <v/>
      </c>
      <c r="F1370" s="55"/>
      <c r="G1370" s="55"/>
      <c r="H1370" s="55"/>
      <c r="I1370" s="55"/>
      <c r="J1370" s="55"/>
      <c r="K1370" s="46" t="str">
        <f t="shared" ca="1" si="111"/>
        <v/>
      </c>
      <c r="L1370" s="56" t="str">
        <f t="shared" ca="1" si="112"/>
        <v/>
      </c>
      <c r="Q1370" s="57" t="str">
        <f t="shared" si="113"/>
        <v/>
      </c>
      <c r="R1370" s="57" t="str">
        <f t="shared" si="114"/>
        <v/>
      </c>
    </row>
    <row r="1371" spans="4:18" x14ac:dyDescent="0.25">
      <c r="D1371" s="43"/>
      <c r="E1371" s="55" t="str">
        <f t="shared" si="110"/>
        <v/>
      </c>
      <c r="F1371" s="55"/>
      <c r="G1371" s="55"/>
      <c r="H1371" s="55"/>
      <c r="I1371" s="55"/>
      <c r="J1371" s="55"/>
      <c r="K1371" s="46" t="str">
        <f t="shared" ca="1" si="111"/>
        <v/>
      </c>
      <c r="L1371" s="56" t="str">
        <f t="shared" ca="1" si="112"/>
        <v/>
      </c>
      <c r="Q1371" s="57" t="str">
        <f t="shared" si="113"/>
        <v/>
      </c>
      <c r="R1371" s="57" t="str">
        <f t="shared" si="114"/>
        <v/>
      </c>
    </row>
    <row r="1372" spans="4:18" x14ac:dyDescent="0.25">
      <c r="D1372" s="43"/>
      <c r="E1372" s="55" t="str">
        <f t="shared" si="110"/>
        <v/>
      </c>
      <c r="F1372" s="55"/>
      <c r="G1372" s="55"/>
      <c r="H1372" s="55"/>
      <c r="I1372" s="55"/>
      <c r="J1372" s="55"/>
      <c r="K1372" s="46" t="str">
        <f t="shared" ca="1" si="111"/>
        <v/>
      </c>
      <c r="L1372" s="56" t="str">
        <f t="shared" ca="1" si="112"/>
        <v/>
      </c>
      <c r="Q1372" s="57" t="str">
        <f t="shared" si="113"/>
        <v/>
      </c>
      <c r="R1372" s="57" t="str">
        <f t="shared" si="114"/>
        <v/>
      </c>
    </row>
    <row r="1373" spans="4:18" x14ac:dyDescent="0.25">
      <c r="D1373" s="43"/>
      <c r="E1373" s="55" t="str">
        <f t="shared" si="110"/>
        <v/>
      </c>
      <c r="F1373" s="55"/>
      <c r="G1373" s="55"/>
      <c r="H1373" s="55"/>
      <c r="I1373" s="55"/>
      <c r="J1373" s="55"/>
      <c r="K1373" s="46" t="str">
        <f t="shared" ca="1" si="111"/>
        <v/>
      </c>
      <c r="L1373" s="56" t="str">
        <f t="shared" ca="1" si="112"/>
        <v/>
      </c>
      <c r="Q1373" s="57" t="str">
        <f t="shared" si="113"/>
        <v/>
      </c>
      <c r="R1373" s="57" t="str">
        <f t="shared" si="114"/>
        <v/>
      </c>
    </row>
    <row r="1374" spans="4:18" x14ac:dyDescent="0.25">
      <c r="D1374" s="43"/>
      <c r="E1374" s="55" t="str">
        <f t="shared" si="110"/>
        <v/>
      </c>
      <c r="F1374" s="55"/>
      <c r="G1374" s="55"/>
      <c r="H1374" s="55"/>
      <c r="I1374" s="55"/>
      <c r="J1374" s="55"/>
      <c r="K1374" s="46" t="str">
        <f t="shared" ca="1" si="111"/>
        <v/>
      </c>
      <c r="L1374" s="56" t="str">
        <f t="shared" ca="1" si="112"/>
        <v/>
      </c>
      <c r="Q1374" s="57" t="str">
        <f t="shared" si="113"/>
        <v/>
      </c>
      <c r="R1374" s="57" t="str">
        <f t="shared" si="114"/>
        <v/>
      </c>
    </row>
    <row r="1375" spans="4:18" x14ac:dyDescent="0.25">
      <c r="D1375" s="43"/>
      <c r="E1375" s="55" t="str">
        <f t="shared" si="110"/>
        <v/>
      </c>
      <c r="F1375" s="55"/>
      <c r="G1375" s="55"/>
      <c r="H1375" s="55"/>
      <c r="I1375" s="55"/>
      <c r="J1375" s="55"/>
      <c r="K1375" s="46" t="str">
        <f t="shared" ca="1" si="111"/>
        <v/>
      </c>
      <c r="L1375" s="56" t="str">
        <f t="shared" ca="1" si="112"/>
        <v/>
      </c>
      <c r="Q1375" s="57" t="str">
        <f t="shared" si="113"/>
        <v/>
      </c>
      <c r="R1375" s="57" t="str">
        <f t="shared" si="114"/>
        <v/>
      </c>
    </row>
    <row r="1376" spans="4:18" x14ac:dyDescent="0.25">
      <c r="D1376" s="43"/>
      <c r="E1376" s="55" t="str">
        <f t="shared" si="110"/>
        <v/>
      </c>
      <c r="F1376" s="55"/>
      <c r="G1376" s="55"/>
      <c r="H1376" s="55"/>
      <c r="I1376" s="55"/>
      <c r="J1376" s="55"/>
      <c r="K1376" s="46" t="str">
        <f t="shared" ca="1" si="111"/>
        <v/>
      </c>
      <c r="L1376" s="56" t="str">
        <f t="shared" ca="1" si="112"/>
        <v/>
      </c>
      <c r="Q1376" s="57" t="str">
        <f t="shared" si="113"/>
        <v/>
      </c>
      <c r="R1376" s="57" t="str">
        <f t="shared" si="114"/>
        <v/>
      </c>
    </row>
    <row r="1377" spans="4:18" x14ac:dyDescent="0.25">
      <c r="D1377" s="43"/>
      <c r="E1377" s="55" t="str">
        <f t="shared" si="110"/>
        <v/>
      </c>
      <c r="F1377" s="55"/>
      <c r="G1377" s="55"/>
      <c r="H1377" s="55"/>
      <c r="I1377" s="55"/>
      <c r="J1377" s="55"/>
      <c r="K1377" s="46" t="str">
        <f t="shared" ca="1" si="111"/>
        <v/>
      </c>
      <c r="L1377" s="56" t="str">
        <f t="shared" ca="1" si="112"/>
        <v/>
      </c>
      <c r="Q1377" s="57" t="str">
        <f t="shared" si="113"/>
        <v/>
      </c>
      <c r="R1377" s="57" t="str">
        <f t="shared" si="114"/>
        <v/>
      </c>
    </row>
    <row r="1378" spans="4:18" x14ac:dyDescent="0.25">
      <c r="D1378" s="43"/>
      <c r="E1378" s="55" t="str">
        <f t="shared" si="110"/>
        <v/>
      </c>
      <c r="F1378" s="55"/>
      <c r="G1378" s="55"/>
      <c r="H1378" s="55"/>
      <c r="I1378" s="55"/>
      <c r="J1378" s="55"/>
      <c r="K1378" s="46" t="str">
        <f t="shared" ca="1" si="111"/>
        <v/>
      </c>
      <c r="L1378" s="56" t="str">
        <f t="shared" ca="1" si="112"/>
        <v/>
      </c>
      <c r="Q1378" s="57" t="str">
        <f t="shared" si="113"/>
        <v/>
      </c>
      <c r="R1378" s="57" t="str">
        <f t="shared" si="114"/>
        <v/>
      </c>
    </row>
    <row r="1379" spans="4:18" x14ac:dyDescent="0.25">
      <c r="D1379" s="43"/>
      <c r="E1379" s="55" t="str">
        <f t="shared" si="110"/>
        <v/>
      </c>
      <c r="F1379" s="55"/>
      <c r="G1379" s="55"/>
      <c r="H1379" s="55"/>
      <c r="I1379" s="55"/>
      <c r="J1379" s="55"/>
      <c r="K1379" s="46" t="str">
        <f t="shared" ca="1" si="111"/>
        <v/>
      </c>
      <c r="L1379" s="56" t="str">
        <f t="shared" ca="1" si="112"/>
        <v/>
      </c>
      <c r="Q1379" s="57" t="str">
        <f t="shared" si="113"/>
        <v/>
      </c>
      <c r="R1379" s="57" t="str">
        <f t="shared" si="114"/>
        <v/>
      </c>
    </row>
    <row r="1380" spans="4:18" x14ac:dyDescent="0.25">
      <c r="D1380" s="43"/>
      <c r="E1380" s="55" t="str">
        <f t="shared" si="110"/>
        <v/>
      </c>
      <c r="F1380" s="55"/>
      <c r="G1380" s="55"/>
      <c r="H1380" s="55"/>
      <c r="I1380" s="55"/>
      <c r="J1380" s="55"/>
      <c r="K1380" s="46" t="str">
        <f t="shared" ca="1" si="111"/>
        <v/>
      </c>
      <c r="L1380" s="56" t="str">
        <f t="shared" ca="1" si="112"/>
        <v/>
      </c>
      <c r="Q1380" s="57" t="str">
        <f t="shared" si="113"/>
        <v/>
      </c>
      <c r="R1380" s="57" t="str">
        <f t="shared" si="114"/>
        <v/>
      </c>
    </row>
    <row r="1381" spans="4:18" x14ac:dyDescent="0.25">
      <c r="D1381" s="43"/>
      <c r="E1381" s="55" t="str">
        <f t="shared" si="110"/>
        <v/>
      </c>
      <c r="F1381" s="55"/>
      <c r="G1381" s="55"/>
      <c r="H1381" s="55"/>
      <c r="I1381" s="55"/>
      <c r="J1381" s="55"/>
      <c r="K1381" s="46" t="str">
        <f t="shared" ca="1" si="111"/>
        <v/>
      </c>
      <c r="L1381" s="56" t="str">
        <f t="shared" ca="1" si="112"/>
        <v/>
      </c>
      <c r="Q1381" s="57" t="str">
        <f t="shared" si="113"/>
        <v/>
      </c>
      <c r="R1381" s="57" t="str">
        <f t="shared" si="114"/>
        <v/>
      </c>
    </row>
    <row r="1382" spans="4:18" x14ac:dyDescent="0.25">
      <c r="D1382" s="43"/>
      <c r="E1382" s="55" t="str">
        <f t="shared" si="110"/>
        <v/>
      </c>
      <c r="F1382" s="55"/>
      <c r="G1382" s="55"/>
      <c r="H1382" s="55"/>
      <c r="I1382" s="55"/>
      <c r="J1382" s="55"/>
      <c r="K1382" s="46" t="str">
        <f t="shared" ca="1" si="111"/>
        <v/>
      </c>
      <c r="L1382" s="56" t="str">
        <f t="shared" ca="1" si="112"/>
        <v/>
      </c>
      <c r="Q1382" s="57" t="str">
        <f t="shared" si="113"/>
        <v/>
      </c>
      <c r="R1382" s="57" t="str">
        <f t="shared" si="114"/>
        <v/>
      </c>
    </row>
    <row r="1383" spans="4:18" x14ac:dyDescent="0.25">
      <c r="D1383" s="43"/>
      <c r="E1383" s="55" t="str">
        <f t="shared" si="110"/>
        <v/>
      </c>
      <c r="F1383" s="55"/>
      <c r="G1383" s="55"/>
      <c r="H1383" s="55"/>
      <c r="I1383" s="55"/>
      <c r="J1383" s="55"/>
      <c r="K1383" s="46" t="str">
        <f t="shared" ca="1" si="111"/>
        <v/>
      </c>
      <c r="L1383" s="56" t="str">
        <f t="shared" ca="1" si="112"/>
        <v/>
      </c>
      <c r="Q1383" s="57" t="str">
        <f t="shared" si="113"/>
        <v/>
      </c>
      <c r="R1383" s="57" t="str">
        <f t="shared" si="114"/>
        <v/>
      </c>
    </row>
    <row r="1384" spans="4:18" x14ac:dyDescent="0.25">
      <c r="D1384" s="43"/>
      <c r="E1384" s="55" t="str">
        <f t="shared" si="110"/>
        <v/>
      </c>
      <c r="F1384" s="55"/>
      <c r="G1384" s="55"/>
      <c r="H1384" s="55"/>
      <c r="I1384" s="55"/>
      <c r="J1384" s="55"/>
      <c r="K1384" s="46" t="str">
        <f t="shared" ca="1" si="111"/>
        <v/>
      </c>
      <c r="L1384" s="56" t="str">
        <f t="shared" ca="1" si="112"/>
        <v/>
      </c>
      <c r="Q1384" s="57" t="str">
        <f t="shared" si="113"/>
        <v/>
      </c>
      <c r="R1384" s="57" t="str">
        <f t="shared" si="114"/>
        <v/>
      </c>
    </row>
    <row r="1385" spans="4:18" x14ac:dyDescent="0.25">
      <c r="D1385" s="43"/>
      <c r="E1385" s="55" t="str">
        <f t="shared" si="110"/>
        <v/>
      </c>
      <c r="F1385" s="55"/>
      <c r="G1385" s="55"/>
      <c r="H1385" s="55"/>
      <c r="I1385" s="55"/>
      <c r="J1385" s="55"/>
      <c r="K1385" s="46" t="str">
        <f t="shared" ca="1" si="111"/>
        <v/>
      </c>
      <c r="L1385" s="56" t="str">
        <f t="shared" ca="1" si="112"/>
        <v/>
      </c>
      <c r="Q1385" s="57" t="str">
        <f t="shared" si="113"/>
        <v/>
      </c>
      <c r="R1385" s="57" t="str">
        <f t="shared" si="114"/>
        <v/>
      </c>
    </row>
    <row r="1386" spans="4:18" x14ac:dyDescent="0.25">
      <c r="D1386" s="43"/>
      <c r="E1386" s="55" t="str">
        <f t="shared" si="110"/>
        <v/>
      </c>
      <c r="F1386" s="55"/>
      <c r="G1386" s="55"/>
      <c r="H1386" s="55"/>
      <c r="I1386" s="55"/>
      <c r="J1386" s="55"/>
      <c r="K1386" s="46" t="str">
        <f t="shared" ca="1" si="111"/>
        <v/>
      </c>
      <c r="L1386" s="56" t="str">
        <f t="shared" ca="1" si="112"/>
        <v/>
      </c>
      <c r="Q1386" s="57" t="str">
        <f t="shared" si="113"/>
        <v/>
      </c>
      <c r="R1386" s="57" t="str">
        <f t="shared" si="114"/>
        <v/>
      </c>
    </row>
    <row r="1387" spans="4:18" x14ac:dyDescent="0.25">
      <c r="D1387" s="43"/>
      <c r="E1387" s="55" t="str">
        <f t="shared" si="110"/>
        <v/>
      </c>
      <c r="F1387" s="55"/>
      <c r="G1387" s="55"/>
      <c r="H1387" s="55"/>
      <c r="I1387" s="55"/>
      <c r="J1387" s="55"/>
      <c r="K1387" s="46" t="str">
        <f t="shared" ca="1" si="111"/>
        <v/>
      </c>
      <c r="L1387" s="56" t="str">
        <f t="shared" ca="1" si="112"/>
        <v/>
      </c>
      <c r="Q1387" s="57" t="str">
        <f t="shared" si="113"/>
        <v/>
      </c>
      <c r="R1387" s="57" t="str">
        <f t="shared" si="114"/>
        <v/>
      </c>
    </row>
    <row r="1388" spans="4:18" x14ac:dyDescent="0.25">
      <c r="D1388" s="43"/>
      <c r="E1388" s="55" t="str">
        <f t="shared" si="110"/>
        <v/>
      </c>
      <c r="F1388" s="55"/>
      <c r="G1388" s="55"/>
      <c r="H1388" s="55"/>
      <c r="I1388" s="55"/>
      <c r="J1388" s="55"/>
      <c r="K1388" s="46" t="str">
        <f t="shared" ca="1" si="111"/>
        <v/>
      </c>
      <c r="L1388" s="56" t="str">
        <f t="shared" ca="1" si="112"/>
        <v/>
      </c>
      <c r="Q1388" s="57" t="str">
        <f t="shared" si="113"/>
        <v/>
      </c>
      <c r="R1388" s="57" t="str">
        <f t="shared" si="114"/>
        <v/>
      </c>
    </row>
    <row r="1389" spans="4:18" x14ac:dyDescent="0.25">
      <c r="D1389" s="43"/>
      <c r="E1389" s="55" t="str">
        <f t="shared" si="110"/>
        <v/>
      </c>
      <c r="F1389" s="55"/>
      <c r="G1389" s="55"/>
      <c r="H1389" s="55"/>
      <c r="I1389" s="55"/>
      <c r="J1389" s="55"/>
      <c r="K1389" s="46" t="str">
        <f t="shared" ca="1" si="111"/>
        <v/>
      </c>
      <c r="L1389" s="56" t="str">
        <f t="shared" ca="1" si="112"/>
        <v/>
      </c>
      <c r="Q1389" s="57" t="str">
        <f t="shared" si="113"/>
        <v/>
      </c>
      <c r="R1389" s="57" t="str">
        <f t="shared" si="114"/>
        <v/>
      </c>
    </row>
    <row r="1390" spans="4:18" x14ac:dyDescent="0.25">
      <c r="D1390" s="43"/>
      <c r="E1390" s="55" t="str">
        <f t="shared" si="110"/>
        <v/>
      </c>
      <c r="F1390" s="55"/>
      <c r="G1390" s="55"/>
      <c r="H1390" s="55"/>
      <c r="I1390" s="55"/>
      <c r="J1390" s="55"/>
      <c r="K1390" s="46" t="str">
        <f t="shared" ca="1" si="111"/>
        <v/>
      </c>
      <c r="L1390" s="56" t="str">
        <f t="shared" ca="1" si="112"/>
        <v/>
      </c>
      <c r="Q1390" s="57" t="str">
        <f t="shared" si="113"/>
        <v/>
      </c>
      <c r="R1390" s="57" t="str">
        <f t="shared" si="114"/>
        <v/>
      </c>
    </row>
    <row r="1391" spans="4:18" x14ac:dyDescent="0.25">
      <c r="D1391" s="43"/>
      <c r="E1391" s="55" t="str">
        <f t="shared" si="110"/>
        <v/>
      </c>
      <c r="F1391" s="55"/>
      <c r="G1391" s="55"/>
      <c r="H1391" s="55"/>
      <c r="I1391" s="55"/>
      <c r="J1391" s="55"/>
      <c r="K1391" s="46" t="str">
        <f t="shared" ca="1" si="111"/>
        <v/>
      </c>
      <c r="L1391" s="56" t="str">
        <f t="shared" ca="1" si="112"/>
        <v/>
      </c>
      <c r="Q1391" s="57" t="str">
        <f t="shared" si="113"/>
        <v/>
      </c>
      <c r="R1391" s="57" t="str">
        <f t="shared" si="114"/>
        <v/>
      </c>
    </row>
    <row r="1392" spans="4:18" x14ac:dyDescent="0.25">
      <c r="D1392" s="43"/>
      <c r="E1392" s="55" t="str">
        <f t="shared" si="110"/>
        <v/>
      </c>
      <c r="F1392" s="55"/>
      <c r="G1392" s="55"/>
      <c r="H1392" s="55"/>
      <c r="I1392" s="55"/>
      <c r="J1392" s="55"/>
      <c r="K1392" s="46" t="str">
        <f t="shared" ca="1" si="111"/>
        <v/>
      </c>
      <c r="L1392" s="56" t="str">
        <f t="shared" ca="1" si="112"/>
        <v/>
      </c>
      <c r="Q1392" s="57" t="str">
        <f t="shared" si="113"/>
        <v/>
      </c>
      <c r="R1392" s="57" t="str">
        <f t="shared" si="114"/>
        <v/>
      </c>
    </row>
    <row r="1393" spans="4:18" x14ac:dyDescent="0.25">
      <c r="D1393" s="43"/>
      <c r="E1393" s="55" t="str">
        <f t="shared" si="110"/>
        <v/>
      </c>
      <c r="F1393" s="55"/>
      <c r="G1393" s="55"/>
      <c r="H1393" s="55"/>
      <c r="I1393" s="55"/>
      <c r="J1393" s="55"/>
      <c r="K1393" s="46" t="str">
        <f t="shared" ca="1" si="111"/>
        <v/>
      </c>
      <c r="L1393" s="56" t="str">
        <f t="shared" ca="1" si="112"/>
        <v/>
      </c>
      <c r="Q1393" s="57" t="str">
        <f t="shared" si="113"/>
        <v/>
      </c>
      <c r="R1393" s="57" t="str">
        <f t="shared" si="114"/>
        <v/>
      </c>
    </row>
    <row r="1394" spans="4:18" x14ac:dyDescent="0.25">
      <c r="D1394" s="43"/>
      <c r="E1394" s="55" t="str">
        <f t="shared" si="110"/>
        <v/>
      </c>
      <c r="F1394" s="55"/>
      <c r="G1394" s="55"/>
      <c r="H1394" s="55"/>
      <c r="I1394" s="55"/>
      <c r="J1394" s="55"/>
      <c r="K1394" s="46" t="str">
        <f t="shared" ca="1" si="111"/>
        <v/>
      </c>
      <c r="L1394" s="56" t="str">
        <f t="shared" ca="1" si="112"/>
        <v/>
      </c>
      <c r="Q1394" s="57" t="str">
        <f t="shared" si="113"/>
        <v/>
      </c>
      <c r="R1394" s="57" t="str">
        <f t="shared" si="114"/>
        <v/>
      </c>
    </row>
    <row r="1395" spans="4:18" x14ac:dyDescent="0.25">
      <c r="D1395" s="43"/>
      <c r="E1395" s="55" t="str">
        <f t="shared" si="110"/>
        <v/>
      </c>
      <c r="F1395" s="55"/>
      <c r="G1395" s="55"/>
      <c r="H1395" s="55"/>
      <c r="I1395" s="55"/>
      <c r="J1395" s="55"/>
      <c r="K1395" s="46" t="str">
        <f t="shared" ca="1" si="111"/>
        <v/>
      </c>
      <c r="L1395" s="56" t="str">
        <f t="shared" ca="1" si="112"/>
        <v/>
      </c>
      <c r="Q1395" s="57" t="str">
        <f t="shared" si="113"/>
        <v/>
      </c>
      <c r="R1395" s="57" t="str">
        <f t="shared" si="114"/>
        <v/>
      </c>
    </row>
    <row r="1396" spans="4:18" x14ac:dyDescent="0.25">
      <c r="D1396" s="43"/>
      <c r="E1396" s="55" t="str">
        <f t="shared" si="110"/>
        <v/>
      </c>
      <c r="F1396" s="55"/>
      <c r="G1396" s="55"/>
      <c r="H1396" s="55"/>
      <c r="I1396" s="55"/>
      <c r="J1396" s="55"/>
      <c r="K1396" s="46" t="str">
        <f t="shared" ca="1" si="111"/>
        <v/>
      </c>
      <c r="L1396" s="56" t="str">
        <f t="shared" ca="1" si="112"/>
        <v/>
      </c>
      <c r="Q1396" s="57" t="str">
        <f t="shared" si="113"/>
        <v/>
      </c>
      <c r="R1396" s="57" t="str">
        <f t="shared" si="114"/>
        <v/>
      </c>
    </row>
    <row r="1397" spans="4:18" x14ac:dyDescent="0.25">
      <c r="D1397" s="43"/>
      <c r="E1397" s="55" t="str">
        <f t="shared" si="110"/>
        <v/>
      </c>
      <c r="F1397" s="55"/>
      <c r="G1397" s="55"/>
      <c r="H1397" s="55"/>
      <c r="I1397" s="55"/>
      <c r="J1397" s="55"/>
      <c r="K1397" s="46" t="str">
        <f t="shared" ca="1" si="111"/>
        <v/>
      </c>
      <c r="L1397" s="56" t="str">
        <f t="shared" ca="1" si="112"/>
        <v/>
      </c>
      <c r="Q1397" s="57" t="str">
        <f t="shared" si="113"/>
        <v/>
      </c>
      <c r="R1397" s="57" t="str">
        <f t="shared" si="114"/>
        <v/>
      </c>
    </row>
    <row r="1398" spans="4:18" x14ac:dyDescent="0.25">
      <c r="D1398" s="43"/>
      <c r="E1398" s="55" t="str">
        <f t="shared" si="110"/>
        <v/>
      </c>
      <c r="F1398" s="55"/>
      <c r="G1398" s="55"/>
      <c r="H1398" s="55"/>
      <c r="I1398" s="55"/>
      <c r="J1398" s="55"/>
      <c r="K1398" s="46" t="str">
        <f t="shared" ca="1" si="111"/>
        <v/>
      </c>
      <c r="L1398" s="56" t="str">
        <f t="shared" ca="1" si="112"/>
        <v/>
      </c>
      <c r="Q1398" s="57" t="str">
        <f t="shared" si="113"/>
        <v/>
      </c>
      <c r="R1398" s="57" t="str">
        <f t="shared" si="114"/>
        <v/>
      </c>
    </row>
    <row r="1399" spans="4:18" x14ac:dyDescent="0.25">
      <c r="D1399" s="43"/>
      <c r="E1399" s="55" t="str">
        <f t="shared" si="110"/>
        <v/>
      </c>
      <c r="F1399" s="55"/>
      <c r="G1399" s="55"/>
      <c r="H1399" s="55"/>
      <c r="I1399" s="55"/>
      <c r="J1399" s="55"/>
      <c r="K1399" s="46" t="str">
        <f t="shared" ca="1" si="111"/>
        <v/>
      </c>
      <c r="L1399" s="56" t="str">
        <f t="shared" ca="1" si="112"/>
        <v/>
      </c>
      <c r="Q1399" s="57" t="str">
        <f t="shared" si="113"/>
        <v/>
      </c>
      <c r="R1399" s="57" t="str">
        <f t="shared" si="114"/>
        <v/>
      </c>
    </row>
    <row r="1400" spans="4:18" x14ac:dyDescent="0.25">
      <c r="D1400" s="43"/>
      <c r="E1400" s="55" t="str">
        <f t="shared" si="110"/>
        <v/>
      </c>
      <c r="F1400" s="55"/>
      <c r="G1400" s="55"/>
      <c r="H1400" s="55"/>
      <c r="I1400" s="55"/>
      <c r="J1400" s="55"/>
      <c r="K1400" s="46" t="str">
        <f t="shared" ca="1" si="111"/>
        <v/>
      </c>
      <c r="L1400" s="56" t="str">
        <f t="shared" ca="1" si="112"/>
        <v/>
      </c>
      <c r="Q1400" s="57" t="str">
        <f t="shared" si="113"/>
        <v/>
      </c>
      <c r="R1400" s="57" t="str">
        <f t="shared" si="114"/>
        <v/>
      </c>
    </row>
    <row r="1401" spans="4:18" x14ac:dyDescent="0.25">
      <c r="D1401" s="43"/>
      <c r="E1401" s="55" t="str">
        <f t="shared" si="110"/>
        <v/>
      </c>
      <c r="F1401" s="55"/>
      <c r="G1401" s="55"/>
      <c r="H1401" s="55"/>
      <c r="I1401" s="55"/>
      <c r="J1401" s="55"/>
      <c r="K1401" s="46" t="str">
        <f t="shared" ca="1" si="111"/>
        <v/>
      </c>
      <c r="L1401" s="56" t="str">
        <f t="shared" ca="1" si="112"/>
        <v/>
      </c>
      <c r="Q1401" s="57" t="str">
        <f t="shared" si="113"/>
        <v/>
      </c>
      <c r="R1401" s="57" t="str">
        <f t="shared" si="114"/>
        <v/>
      </c>
    </row>
    <row r="1402" spans="4:18" x14ac:dyDescent="0.25">
      <c r="D1402" s="43"/>
      <c r="E1402" s="55" t="str">
        <f t="shared" si="110"/>
        <v/>
      </c>
      <c r="F1402" s="55"/>
      <c r="G1402" s="55"/>
      <c r="H1402" s="55"/>
      <c r="I1402" s="55"/>
      <c r="J1402" s="55"/>
      <c r="K1402" s="46" t="str">
        <f t="shared" ca="1" si="111"/>
        <v/>
      </c>
      <c r="L1402" s="56" t="str">
        <f t="shared" ca="1" si="112"/>
        <v/>
      </c>
      <c r="Q1402" s="57" t="str">
        <f t="shared" si="113"/>
        <v/>
      </c>
      <c r="R1402" s="57" t="str">
        <f t="shared" si="114"/>
        <v/>
      </c>
    </row>
    <row r="1403" spans="4:18" x14ac:dyDescent="0.25">
      <c r="D1403" s="43"/>
      <c r="E1403" s="55" t="str">
        <f t="shared" si="110"/>
        <v/>
      </c>
      <c r="F1403" s="55"/>
      <c r="G1403" s="55"/>
      <c r="H1403" s="55"/>
      <c r="I1403" s="55"/>
      <c r="J1403" s="55"/>
      <c r="K1403" s="46" t="str">
        <f t="shared" ca="1" si="111"/>
        <v/>
      </c>
      <c r="L1403" s="56" t="str">
        <f t="shared" ca="1" si="112"/>
        <v/>
      </c>
      <c r="Q1403" s="57" t="str">
        <f t="shared" si="113"/>
        <v/>
      </c>
      <c r="R1403" s="57" t="str">
        <f t="shared" si="114"/>
        <v/>
      </c>
    </row>
    <row r="1404" spans="4:18" x14ac:dyDescent="0.25">
      <c r="D1404" s="43"/>
      <c r="E1404" s="55" t="str">
        <f t="shared" si="110"/>
        <v/>
      </c>
      <c r="F1404" s="55"/>
      <c r="G1404" s="55"/>
      <c r="H1404" s="55"/>
      <c r="I1404" s="55"/>
      <c r="J1404" s="55"/>
      <c r="K1404" s="46" t="str">
        <f t="shared" ca="1" si="111"/>
        <v/>
      </c>
      <c r="L1404" s="56" t="str">
        <f t="shared" ca="1" si="112"/>
        <v/>
      </c>
      <c r="Q1404" s="57" t="str">
        <f t="shared" si="113"/>
        <v/>
      </c>
      <c r="R1404" s="57" t="str">
        <f t="shared" si="114"/>
        <v/>
      </c>
    </row>
    <row r="1405" spans="4:18" x14ac:dyDescent="0.25">
      <c r="D1405" s="43"/>
      <c r="E1405" s="55" t="str">
        <f t="shared" si="110"/>
        <v/>
      </c>
      <c r="F1405" s="55"/>
      <c r="G1405" s="55"/>
      <c r="H1405" s="55"/>
      <c r="I1405" s="55"/>
      <c r="J1405" s="55"/>
      <c r="K1405" s="46" t="str">
        <f t="shared" ca="1" si="111"/>
        <v/>
      </c>
      <c r="L1405" s="56" t="str">
        <f t="shared" ca="1" si="112"/>
        <v/>
      </c>
      <c r="Q1405" s="57" t="str">
        <f t="shared" si="113"/>
        <v/>
      </c>
      <c r="R1405" s="57" t="str">
        <f t="shared" si="114"/>
        <v/>
      </c>
    </row>
    <row r="1406" spans="4:18" x14ac:dyDescent="0.25">
      <c r="D1406" s="43"/>
      <c r="E1406" s="55" t="str">
        <f t="shared" si="110"/>
        <v/>
      </c>
      <c r="F1406" s="55"/>
      <c r="G1406" s="55"/>
      <c r="H1406" s="55"/>
      <c r="I1406" s="55"/>
      <c r="J1406" s="55"/>
      <c r="K1406" s="46" t="str">
        <f t="shared" ca="1" si="111"/>
        <v/>
      </c>
      <c r="L1406" s="56" t="str">
        <f t="shared" ca="1" si="112"/>
        <v/>
      </c>
      <c r="Q1406" s="57" t="str">
        <f t="shared" si="113"/>
        <v/>
      </c>
      <c r="R1406" s="57" t="str">
        <f t="shared" si="114"/>
        <v/>
      </c>
    </row>
    <row r="1407" spans="4:18" x14ac:dyDescent="0.25">
      <c r="D1407" s="43"/>
      <c r="E1407" s="55" t="str">
        <f t="shared" si="110"/>
        <v/>
      </c>
      <c r="F1407" s="55"/>
      <c r="G1407" s="55"/>
      <c r="H1407" s="55"/>
      <c r="I1407" s="55"/>
      <c r="J1407" s="55"/>
      <c r="K1407" s="46" t="str">
        <f t="shared" ca="1" si="111"/>
        <v/>
      </c>
      <c r="L1407" s="56" t="str">
        <f t="shared" ca="1" si="112"/>
        <v/>
      </c>
      <c r="Q1407" s="57" t="str">
        <f t="shared" si="113"/>
        <v/>
      </c>
      <c r="R1407" s="57" t="str">
        <f t="shared" si="114"/>
        <v/>
      </c>
    </row>
    <row r="1408" spans="4:18" x14ac:dyDescent="0.25">
      <c r="D1408" s="43"/>
      <c r="E1408" s="55" t="str">
        <f t="shared" si="110"/>
        <v/>
      </c>
      <c r="F1408" s="55"/>
      <c r="G1408" s="55"/>
      <c r="H1408" s="55"/>
      <c r="I1408" s="55"/>
      <c r="J1408" s="55"/>
      <c r="K1408" s="46" t="str">
        <f t="shared" ca="1" si="111"/>
        <v/>
      </c>
      <c r="L1408" s="56" t="str">
        <f t="shared" ca="1" si="112"/>
        <v/>
      </c>
      <c r="Q1408" s="57" t="str">
        <f t="shared" si="113"/>
        <v/>
      </c>
      <c r="R1408" s="57" t="str">
        <f t="shared" si="114"/>
        <v/>
      </c>
    </row>
    <row r="1409" spans="4:18" x14ac:dyDescent="0.25">
      <c r="D1409" s="43"/>
      <c r="E1409" s="55" t="str">
        <f t="shared" si="110"/>
        <v/>
      </c>
      <c r="F1409" s="55"/>
      <c r="G1409" s="55"/>
      <c r="H1409" s="55"/>
      <c r="I1409" s="55"/>
      <c r="J1409" s="55"/>
      <c r="K1409" s="46" t="str">
        <f t="shared" ca="1" si="111"/>
        <v/>
      </c>
      <c r="L1409" s="56" t="str">
        <f t="shared" ca="1" si="112"/>
        <v/>
      </c>
      <c r="Q1409" s="57" t="str">
        <f t="shared" si="113"/>
        <v/>
      </c>
      <c r="R1409" s="57" t="str">
        <f t="shared" si="114"/>
        <v/>
      </c>
    </row>
    <row r="1410" spans="4:18" x14ac:dyDescent="0.25">
      <c r="D1410" s="43"/>
      <c r="E1410" s="55" t="str">
        <f t="shared" si="110"/>
        <v/>
      </c>
      <c r="F1410" s="55"/>
      <c r="G1410" s="55"/>
      <c r="H1410" s="55"/>
      <c r="I1410" s="55"/>
      <c r="J1410" s="55"/>
      <c r="K1410" s="46" t="str">
        <f t="shared" ca="1" si="111"/>
        <v/>
      </c>
      <c r="L1410" s="56" t="str">
        <f t="shared" ca="1" si="112"/>
        <v/>
      </c>
      <c r="Q1410" s="57" t="str">
        <f t="shared" si="113"/>
        <v/>
      </c>
      <c r="R1410" s="57" t="str">
        <f t="shared" si="114"/>
        <v/>
      </c>
    </row>
    <row r="1411" spans="4:18" x14ac:dyDescent="0.25">
      <c r="D1411" s="43"/>
      <c r="E1411" s="55" t="str">
        <f t="shared" si="110"/>
        <v/>
      </c>
      <c r="F1411" s="55"/>
      <c r="G1411" s="55"/>
      <c r="H1411" s="55"/>
      <c r="I1411" s="55"/>
      <c r="J1411" s="55"/>
      <c r="K1411" s="46" t="str">
        <f t="shared" ca="1" si="111"/>
        <v/>
      </c>
      <c r="L1411" s="56" t="str">
        <f t="shared" ca="1" si="112"/>
        <v/>
      </c>
      <c r="Q1411" s="57" t="str">
        <f t="shared" si="113"/>
        <v/>
      </c>
      <c r="R1411" s="57" t="str">
        <f t="shared" si="114"/>
        <v/>
      </c>
    </row>
    <row r="1412" spans="4:18" x14ac:dyDescent="0.25">
      <c r="D1412" s="43"/>
      <c r="E1412" s="55" t="str">
        <f t="shared" si="110"/>
        <v/>
      </c>
      <c r="F1412" s="55"/>
      <c r="G1412" s="55"/>
      <c r="H1412" s="55"/>
      <c r="I1412" s="55"/>
      <c r="J1412" s="55"/>
      <c r="K1412" s="46" t="str">
        <f t="shared" ca="1" si="111"/>
        <v/>
      </c>
      <c r="L1412" s="56" t="str">
        <f t="shared" ca="1" si="112"/>
        <v/>
      </c>
      <c r="Q1412" s="57" t="str">
        <f t="shared" si="113"/>
        <v/>
      </c>
      <c r="R1412" s="57" t="str">
        <f t="shared" si="114"/>
        <v/>
      </c>
    </row>
    <row r="1413" spans="4:18" x14ac:dyDescent="0.25">
      <c r="D1413" s="43"/>
      <c r="E1413" s="55" t="str">
        <f t="shared" si="110"/>
        <v/>
      </c>
      <c r="F1413" s="55"/>
      <c r="G1413" s="55"/>
      <c r="H1413" s="55"/>
      <c r="I1413" s="55"/>
      <c r="J1413" s="55"/>
      <c r="K1413" s="46" t="str">
        <f t="shared" ca="1" si="111"/>
        <v/>
      </c>
      <c r="L1413" s="56" t="str">
        <f t="shared" ca="1" si="112"/>
        <v/>
      </c>
      <c r="Q1413" s="57" t="str">
        <f t="shared" si="113"/>
        <v/>
      </c>
      <c r="R1413" s="57" t="str">
        <f t="shared" si="114"/>
        <v/>
      </c>
    </row>
    <row r="1414" spans="4:18" x14ac:dyDescent="0.25">
      <c r="D1414" s="43"/>
      <c r="E1414" s="55" t="str">
        <f t="shared" si="110"/>
        <v/>
      </c>
      <c r="F1414" s="55"/>
      <c r="G1414" s="55"/>
      <c r="H1414" s="55"/>
      <c r="I1414" s="55"/>
      <c r="J1414" s="55"/>
      <c r="K1414" s="46" t="str">
        <f t="shared" ca="1" si="111"/>
        <v/>
      </c>
      <c r="L1414" s="56" t="str">
        <f t="shared" ca="1" si="112"/>
        <v/>
      </c>
      <c r="Q1414" s="57" t="str">
        <f t="shared" si="113"/>
        <v/>
      </c>
      <c r="R1414" s="57" t="str">
        <f t="shared" si="114"/>
        <v/>
      </c>
    </row>
    <row r="1415" spans="4:18" x14ac:dyDescent="0.25">
      <c r="D1415" s="43"/>
      <c r="E1415" s="55" t="str">
        <f t="shared" si="110"/>
        <v/>
      </c>
      <c r="F1415" s="55"/>
      <c r="G1415" s="55"/>
      <c r="H1415" s="55"/>
      <c r="I1415" s="55"/>
      <c r="J1415" s="55"/>
      <c r="K1415" s="46" t="str">
        <f t="shared" ca="1" si="111"/>
        <v/>
      </c>
      <c r="L1415" s="56" t="str">
        <f t="shared" ca="1" si="112"/>
        <v/>
      </c>
      <c r="Q1415" s="57" t="str">
        <f t="shared" si="113"/>
        <v/>
      </c>
      <c r="R1415" s="57" t="str">
        <f t="shared" si="114"/>
        <v/>
      </c>
    </row>
    <row r="1416" spans="4:18" x14ac:dyDescent="0.25">
      <c r="D1416" s="43"/>
      <c r="E1416" s="55" t="str">
        <f t="shared" si="110"/>
        <v/>
      </c>
      <c r="F1416" s="55"/>
      <c r="G1416" s="55"/>
      <c r="H1416" s="55"/>
      <c r="I1416" s="55"/>
      <c r="J1416" s="55"/>
      <c r="K1416" s="46" t="str">
        <f t="shared" ca="1" si="111"/>
        <v/>
      </c>
      <c r="L1416" s="56" t="str">
        <f t="shared" ca="1" si="112"/>
        <v/>
      </c>
      <c r="Q1416" s="57" t="str">
        <f t="shared" si="113"/>
        <v/>
      </c>
      <c r="R1416" s="57" t="str">
        <f t="shared" si="114"/>
        <v/>
      </c>
    </row>
    <row r="1417" spans="4:18" x14ac:dyDescent="0.25">
      <c r="D1417" s="43"/>
      <c r="E1417" s="55" t="str">
        <f t="shared" si="110"/>
        <v/>
      </c>
      <c r="F1417" s="55"/>
      <c r="G1417" s="55"/>
      <c r="H1417" s="55"/>
      <c r="I1417" s="55"/>
      <c r="J1417" s="55"/>
      <c r="K1417" s="46" t="str">
        <f t="shared" ca="1" si="111"/>
        <v/>
      </c>
      <c r="L1417" s="56" t="str">
        <f t="shared" ca="1" si="112"/>
        <v/>
      </c>
      <c r="Q1417" s="57" t="str">
        <f t="shared" si="113"/>
        <v/>
      </c>
      <c r="R1417" s="57" t="str">
        <f t="shared" si="114"/>
        <v/>
      </c>
    </row>
    <row r="1418" spans="4:18" x14ac:dyDescent="0.25">
      <c r="D1418" s="43"/>
      <c r="E1418" s="55" t="str">
        <f t="shared" si="110"/>
        <v/>
      </c>
      <c r="F1418" s="55"/>
      <c r="G1418" s="55"/>
      <c r="H1418" s="55"/>
      <c r="I1418" s="55"/>
      <c r="J1418" s="55"/>
      <c r="K1418" s="46" t="str">
        <f t="shared" ca="1" si="111"/>
        <v/>
      </c>
      <c r="L1418" s="56" t="str">
        <f t="shared" ca="1" si="112"/>
        <v/>
      </c>
      <c r="Q1418" s="57" t="str">
        <f t="shared" si="113"/>
        <v/>
      </c>
      <c r="R1418" s="57" t="str">
        <f t="shared" si="114"/>
        <v/>
      </c>
    </row>
    <row r="1419" spans="4:18" x14ac:dyDescent="0.25">
      <c r="D1419" s="43"/>
      <c r="E1419" s="55" t="str">
        <f t="shared" si="110"/>
        <v/>
      </c>
      <c r="F1419" s="55"/>
      <c r="G1419" s="55"/>
      <c r="H1419" s="55"/>
      <c r="I1419" s="55"/>
      <c r="J1419" s="55"/>
      <c r="K1419" s="46" t="str">
        <f t="shared" ca="1" si="111"/>
        <v/>
      </c>
      <c r="L1419" s="56" t="str">
        <f t="shared" ca="1" si="112"/>
        <v/>
      </c>
      <c r="Q1419" s="57" t="str">
        <f t="shared" si="113"/>
        <v/>
      </c>
      <c r="R1419" s="57" t="str">
        <f t="shared" si="114"/>
        <v/>
      </c>
    </row>
    <row r="1420" spans="4:18" x14ac:dyDescent="0.25">
      <c r="D1420" s="43"/>
      <c r="E1420" s="55" t="str">
        <f t="shared" si="110"/>
        <v/>
      </c>
      <c r="F1420" s="55"/>
      <c r="G1420" s="55"/>
      <c r="H1420" s="55"/>
      <c r="I1420" s="55"/>
      <c r="J1420" s="55"/>
      <c r="K1420" s="46" t="str">
        <f t="shared" ca="1" si="111"/>
        <v/>
      </c>
      <c r="L1420" s="56" t="str">
        <f t="shared" ca="1" si="112"/>
        <v/>
      </c>
      <c r="Q1420" s="57" t="str">
        <f t="shared" si="113"/>
        <v/>
      </c>
      <c r="R1420" s="57" t="str">
        <f t="shared" si="114"/>
        <v/>
      </c>
    </row>
    <row r="1421" spans="4:18" x14ac:dyDescent="0.25">
      <c r="D1421" s="43"/>
      <c r="E1421" s="55" t="str">
        <f t="shared" si="110"/>
        <v/>
      </c>
      <c r="F1421" s="55"/>
      <c r="G1421" s="55"/>
      <c r="H1421" s="55"/>
      <c r="I1421" s="55"/>
      <c r="J1421" s="55"/>
      <c r="K1421" s="46" t="str">
        <f t="shared" ca="1" si="111"/>
        <v/>
      </c>
      <c r="L1421" s="56" t="str">
        <f t="shared" ca="1" si="112"/>
        <v/>
      </c>
      <c r="Q1421" s="57" t="str">
        <f t="shared" si="113"/>
        <v/>
      </c>
      <c r="R1421" s="57" t="str">
        <f t="shared" si="114"/>
        <v/>
      </c>
    </row>
    <row r="1422" spans="4:18" x14ac:dyDescent="0.25">
      <c r="D1422" s="43"/>
      <c r="E1422" s="55" t="str">
        <f t="shared" si="110"/>
        <v/>
      </c>
      <c r="F1422" s="55"/>
      <c r="G1422" s="55"/>
      <c r="H1422" s="55"/>
      <c r="I1422" s="55"/>
      <c r="J1422" s="55"/>
      <c r="K1422" s="46" t="str">
        <f t="shared" ca="1" si="111"/>
        <v/>
      </c>
      <c r="L1422" s="56" t="str">
        <f t="shared" ca="1" si="112"/>
        <v/>
      </c>
      <c r="Q1422" s="57" t="str">
        <f t="shared" si="113"/>
        <v/>
      </c>
      <c r="R1422" s="57" t="str">
        <f t="shared" si="114"/>
        <v/>
      </c>
    </row>
    <row r="1423" spans="4:18" x14ac:dyDescent="0.25">
      <c r="D1423" s="43"/>
      <c r="E1423" s="55" t="str">
        <f t="shared" si="110"/>
        <v/>
      </c>
      <c r="F1423" s="55"/>
      <c r="G1423" s="55"/>
      <c r="H1423" s="55"/>
      <c r="I1423" s="55"/>
      <c r="J1423" s="55"/>
      <c r="K1423" s="46" t="str">
        <f t="shared" ca="1" si="111"/>
        <v/>
      </c>
      <c r="L1423" s="56" t="str">
        <f t="shared" ca="1" si="112"/>
        <v/>
      </c>
      <c r="Q1423" s="57" t="str">
        <f t="shared" si="113"/>
        <v/>
      </c>
      <c r="R1423" s="57" t="str">
        <f t="shared" si="114"/>
        <v/>
      </c>
    </row>
    <row r="1424" spans="4:18" x14ac:dyDescent="0.25">
      <c r="D1424" s="43"/>
      <c r="E1424" s="55" t="str">
        <f t="shared" si="110"/>
        <v/>
      </c>
      <c r="F1424" s="55"/>
      <c r="G1424" s="55"/>
      <c r="H1424" s="55"/>
      <c r="I1424" s="55"/>
      <c r="J1424" s="55"/>
      <c r="K1424" s="46" t="str">
        <f t="shared" ca="1" si="111"/>
        <v/>
      </c>
      <c r="L1424" s="56" t="str">
        <f t="shared" ca="1" si="112"/>
        <v/>
      </c>
      <c r="Q1424" s="57" t="str">
        <f t="shared" si="113"/>
        <v/>
      </c>
      <c r="R1424" s="57" t="str">
        <f t="shared" si="114"/>
        <v/>
      </c>
    </row>
    <row r="1425" spans="4:18" x14ac:dyDescent="0.25">
      <c r="D1425" s="43"/>
      <c r="E1425" s="55" t="str">
        <f t="shared" si="110"/>
        <v/>
      </c>
      <c r="F1425" s="55"/>
      <c r="G1425" s="55"/>
      <c r="H1425" s="55"/>
      <c r="I1425" s="55"/>
      <c r="J1425" s="55"/>
      <c r="K1425" s="46" t="str">
        <f t="shared" ca="1" si="111"/>
        <v/>
      </c>
      <c r="L1425" s="56" t="str">
        <f t="shared" ca="1" si="112"/>
        <v/>
      </c>
      <c r="Q1425" s="57" t="str">
        <f t="shared" si="113"/>
        <v/>
      </c>
      <c r="R1425" s="57" t="str">
        <f t="shared" si="114"/>
        <v/>
      </c>
    </row>
    <row r="1426" spans="4:18" x14ac:dyDescent="0.25">
      <c r="D1426" s="43"/>
      <c r="E1426" s="55" t="str">
        <f t="shared" si="110"/>
        <v/>
      </c>
      <c r="F1426" s="55"/>
      <c r="G1426" s="55"/>
      <c r="H1426" s="55"/>
      <c r="I1426" s="55"/>
      <c r="J1426" s="55"/>
      <c r="K1426" s="46" t="str">
        <f t="shared" ca="1" si="111"/>
        <v/>
      </c>
      <c r="L1426" s="56" t="str">
        <f t="shared" ca="1" si="112"/>
        <v/>
      </c>
      <c r="Q1426" s="57" t="str">
        <f t="shared" si="113"/>
        <v/>
      </c>
      <c r="R1426" s="57" t="str">
        <f t="shared" si="114"/>
        <v/>
      </c>
    </row>
    <row r="1427" spans="4:18" x14ac:dyDescent="0.25">
      <c r="D1427" s="43"/>
      <c r="E1427" s="55" t="str">
        <f t="shared" si="110"/>
        <v/>
      </c>
      <c r="F1427" s="55"/>
      <c r="G1427" s="55"/>
      <c r="H1427" s="55"/>
      <c r="I1427" s="55"/>
      <c r="J1427" s="55"/>
      <c r="K1427" s="46" t="str">
        <f t="shared" ca="1" si="111"/>
        <v/>
      </c>
      <c r="L1427" s="56" t="str">
        <f t="shared" ca="1" si="112"/>
        <v/>
      </c>
      <c r="Q1427" s="57" t="str">
        <f t="shared" si="113"/>
        <v/>
      </c>
      <c r="R1427" s="57" t="str">
        <f t="shared" si="114"/>
        <v/>
      </c>
    </row>
    <row r="1428" spans="4:18" x14ac:dyDescent="0.25">
      <c r="D1428" s="43"/>
      <c r="E1428" s="55" t="str">
        <f t="shared" ref="E1428:E1491" si="115">IF(ISNUMBER(SEARCH("v crs",D1428))=TRUE,"VC",IF(ISNUMBER(SEARCH("crs",D1428))=TRUE,"C",IF(ISNUMBER(SEARCH("med",D1428))=TRUE,"M",IF(ISNUMBER(SEARCH("vf",D1428))=TRUE,"VF",IF(ISNUMBER(SEARCH("f",D1428))=TRUE,"F","")))))</f>
        <v/>
      </c>
      <c r="F1428" s="55"/>
      <c r="G1428" s="55"/>
      <c r="H1428" s="55"/>
      <c r="I1428" s="55"/>
      <c r="J1428" s="55"/>
      <c r="K1428" s="46" t="str">
        <f t="shared" ca="1" si="111"/>
        <v/>
      </c>
      <c r="L1428" s="56" t="str">
        <f t="shared" ca="1" si="112"/>
        <v/>
      </c>
      <c r="Q1428" s="57" t="str">
        <f t="shared" si="113"/>
        <v/>
      </c>
      <c r="R1428" s="57" t="str">
        <f t="shared" si="114"/>
        <v/>
      </c>
    </row>
    <row r="1429" spans="4:18" x14ac:dyDescent="0.25">
      <c r="D1429" s="43"/>
      <c r="E1429" s="55" t="str">
        <f t="shared" si="115"/>
        <v/>
      </c>
      <c r="F1429" s="55"/>
      <c r="G1429" s="55"/>
      <c r="H1429" s="55"/>
      <c r="I1429" s="55"/>
      <c r="J1429" s="55"/>
      <c r="K1429" s="46" t="str">
        <f t="shared" ref="K1429:K1492" ca="1" si="116">IF(AND(C1429&lt;&gt;"",C1429&lt;&gt;Q1429),TODAY(),IF(C1429="","",K1429))</f>
        <v/>
      </c>
      <c r="L1429" s="56" t="str">
        <f t="shared" ref="L1429:L1492" ca="1" si="117">IF(AND(C1429&lt;&gt;"",C1429&lt;&gt;R1429),NOW(),IF(C1429="","",L1429))</f>
        <v/>
      </c>
      <c r="Q1429" s="57" t="str">
        <f t="shared" ref="Q1429:Q1492" si="118">IF(C1429="","",IF(OR(K1429="",AND(ISNUMBER(Q1429),C1429=Q1429)),Q1429,C1429))</f>
        <v/>
      </c>
      <c r="R1429" s="57" t="str">
        <f t="shared" ref="R1429:R1492" si="119">IF(C1429="","",IF(OR(L1429="",AND(ISNUMBER(R1429),C1429=R1429)),R1429,C1429))</f>
        <v/>
      </c>
    </row>
    <row r="1430" spans="4:18" x14ac:dyDescent="0.25">
      <c r="D1430" s="43"/>
      <c r="E1430" s="55" t="str">
        <f t="shared" si="115"/>
        <v/>
      </c>
      <c r="F1430" s="55"/>
      <c r="G1430" s="55"/>
      <c r="H1430" s="55"/>
      <c r="I1430" s="55"/>
      <c r="J1430" s="55"/>
      <c r="K1430" s="46" t="str">
        <f t="shared" ca="1" si="116"/>
        <v/>
      </c>
      <c r="L1430" s="56" t="str">
        <f t="shared" ca="1" si="117"/>
        <v/>
      </c>
      <c r="Q1430" s="57" t="str">
        <f t="shared" si="118"/>
        <v/>
      </c>
      <c r="R1430" s="57" t="str">
        <f t="shared" si="119"/>
        <v/>
      </c>
    </row>
    <row r="1431" spans="4:18" x14ac:dyDescent="0.25">
      <c r="D1431" s="43"/>
      <c r="E1431" s="55" t="str">
        <f t="shared" si="115"/>
        <v/>
      </c>
      <c r="F1431" s="55"/>
      <c r="G1431" s="55"/>
      <c r="H1431" s="55"/>
      <c r="I1431" s="55"/>
      <c r="J1431" s="55"/>
      <c r="K1431" s="46" t="str">
        <f t="shared" ca="1" si="116"/>
        <v/>
      </c>
      <c r="L1431" s="56" t="str">
        <f t="shared" ca="1" si="117"/>
        <v/>
      </c>
      <c r="Q1431" s="57" t="str">
        <f t="shared" si="118"/>
        <v/>
      </c>
      <c r="R1431" s="57" t="str">
        <f t="shared" si="119"/>
        <v/>
      </c>
    </row>
    <row r="1432" spans="4:18" x14ac:dyDescent="0.25">
      <c r="D1432" s="43"/>
      <c r="E1432" s="55" t="str">
        <f t="shared" si="115"/>
        <v/>
      </c>
      <c r="F1432" s="55"/>
      <c r="G1432" s="55"/>
      <c r="H1432" s="55"/>
      <c r="I1432" s="55"/>
      <c r="J1432" s="55"/>
      <c r="K1432" s="46" t="str">
        <f t="shared" ca="1" si="116"/>
        <v/>
      </c>
      <c r="L1432" s="56" t="str">
        <f t="shared" ca="1" si="117"/>
        <v/>
      </c>
      <c r="Q1432" s="57" t="str">
        <f t="shared" si="118"/>
        <v/>
      </c>
      <c r="R1432" s="57" t="str">
        <f t="shared" si="119"/>
        <v/>
      </c>
    </row>
    <row r="1433" spans="4:18" x14ac:dyDescent="0.25">
      <c r="D1433" s="43"/>
      <c r="E1433" s="55" t="str">
        <f t="shared" si="115"/>
        <v/>
      </c>
      <c r="F1433" s="55"/>
      <c r="G1433" s="55"/>
      <c r="H1433" s="55"/>
      <c r="I1433" s="55"/>
      <c r="J1433" s="55"/>
      <c r="K1433" s="46" t="str">
        <f t="shared" ca="1" si="116"/>
        <v/>
      </c>
      <c r="L1433" s="56" t="str">
        <f t="shared" ca="1" si="117"/>
        <v/>
      </c>
      <c r="Q1433" s="57" t="str">
        <f t="shared" si="118"/>
        <v/>
      </c>
      <c r="R1433" s="57" t="str">
        <f t="shared" si="119"/>
        <v/>
      </c>
    </row>
    <row r="1434" spans="4:18" x14ac:dyDescent="0.25">
      <c r="D1434" s="43"/>
      <c r="E1434" s="55" t="str">
        <f t="shared" si="115"/>
        <v/>
      </c>
      <c r="F1434" s="55"/>
      <c r="G1434" s="55"/>
      <c r="H1434" s="55"/>
      <c r="I1434" s="55"/>
      <c r="J1434" s="55"/>
      <c r="K1434" s="46" t="str">
        <f t="shared" ca="1" si="116"/>
        <v/>
      </c>
      <c r="L1434" s="56" t="str">
        <f t="shared" ca="1" si="117"/>
        <v/>
      </c>
      <c r="Q1434" s="57" t="str">
        <f t="shared" si="118"/>
        <v/>
      </c>
      <c r="R1434" s="57" t="str">
        <f t="shared" si="119"/>
        <v/>
      </c>
    </row>
    <row r="1435" spans="4:18" x14ac:dyDescent="0.25">
      <c r="D1435" s="43"/>
      <c r="E1435" s="55" t="str">
        <f t="shared" si="115"/>
        <v/>
      </c>
      <c r="F1435" s="55"/>
      <c r="G1435" s="55"/>
      <c r="H1435" s="55"/>
      <c r="I1435" s="55"/>
      <c r="J1435" s="55"/>
      <c r="K1435" s="46" t="str">
        <f t="shared" ca="1" si="116"/>
        <v/>
      </c>
      <c r="L1435" s="56" t="str">
        <f t="shared" ca="1" si="117"/>
        <v/>
      </c>
      <c r="Q1435" s="57" t="str">
        <f t="shared" si="118"/>
        <v/>
      </c>
      <c r="R1435" s="57" t="str">
        <f t="shared" si="119"/>
        <v/>
      </c>
    </row>
    <row r="1436" spans="4:18" x14ac:dyDescent="0.25">
      <c r="D1436" s="43"/>
      <c r="E1436" s="55" t="str">
        <f t="shared" si="115"/>
        <v/>
      </c>
      <c r="F1436" s="55"/>
      <c r="G1436" s="55"/>
      <c r="H1436" s="55"/>
      <c r="I1436" s="55"/>
      <c r="J1436" s="55"/>
      <c r="K1436" s="46" t="str">
        <f t="shared" ca="1" si="116"/>
        <v/>
      </c>
      <c r="L1436" s="56" t="str">
        <f t="shared" ca="1" si="117"/>
        <v/>
      </c>
      <c r="Q1436" s="57" t="str">
        <f t="shared" si="118"/>
        <v/>
      </c>
      <c r="R1436" s="57" t="str">
        <f t="shared" si="119"/>
        <v/>
      </c>
    </row>
    <row r="1437" spans="4:18" x14ac:dyDescent="0.25">
      <c r="D1437" s="43"/>
      <c r="E1437" s="55" t="str">
        <f t="shared" si="115"/>
        <v/>
      </c>
      <c r="F1437" s="55"/>
      <c r="G1437" s="55"/>
      <c r="H1437" s="55"/>
      <c r="I1437" s="55"/>
      <c r="J1437" s="55"/>
      <c r="K1437" s="46" t="str">
        <f t="shared" ca="1" si="116"/>
        <v/>
      </c>
      <c r="L1437" s="56" t="str">
        <f t="shared" ca="1" si="117"/>
        <v/>
      </c>
      <c r="Q1437" s="57" t="str">
        <f t="shared" si="118"/>
        <v/>
      </c>
      <c r="R1437" s="57" t="str">
        <f t="shared" si="119"/>
        <v/>
      </c>
    </row>
    <row r="1438" spans="4:18" x14ac:dyDescent="0.25">
      <c r="D1438" s="43"/>
      <c r="E1438" s="55" t="str">
        <f t="shared" si="115"/>
        <v/>
      </c>
      <c r="F1438" s="55"/>
      <c r="G1438" s="55"/>
      <c r="H1438" s="55"/>
      <c r="I1438" s="55"/>
      <c r="J1438" s="55"/>
      <c r="K1438" s="46" t="str">
        <f t="shared" ca="1" si="116"/>
        <v/>
      </c>
      <c r="L1438" s="56" t="str">
        <f t="shared" ca="1" si="117"/>
        <v/>
      </c>
      <c r="Q1438" s="57" t="str">
        <f t="shared" si="118"/>
        <v/>
      </c>
      <c r="R1438" s="57" t="str">
        <f t="shared" si="119"/>
        <v/>
      </c>
    </row>
    <row r="1439" spans="4:18" x14ac:dyDescent="0.25">
      <c r="D1439" s="43"/>
      <c r="E1439" s="55" t="str">
        <f t="shared" si="115"/>
        <v/>
      </c>
      <c r="F1439" s="55"/>
      <c r="G1439" s="55"/>
      <c r="H1439" s="55"/>
      <c r="I1439" s="55"/>
      <c r="J1439" s="55"/>
      <c r="K1439" s="46" t="str">
        <f t="shared" ca="1" si="116"/>
        <v/>
      </c>
      <c r="L1439" s="56" t="str">
        <f t="shared" ca="1" si="117"/>
        <v/>
      </c>
      <c r="Q1439" s="57" t="str">
        <f t="shared" si="118"/>
        <v/>
      </c>
      <c r="R1439" s="57" t="str">
        <f t="shared" si="119"/>
        <v/>
      </c>
    </row>
    <row r="1440" spans="4:18" x14ac:dyDescent="0.25">
      <c r="D1440" s="43"/>
      <c r="E1440" s="55" t="str">
        <f t="shared" si="115"/>
        <v/>
      </c>
      <c r="F1440" s="55"/>
      <c r="G1440" s="55"/>
      <c r="H1440" s="55"/>
      <c r="I1440" s="55"/>
      <c r="J1440" s="55"/>
      <c r="K1440" s="46" t="str">
        <f t="shared" ca="1" si="116"/>
        <v/>
      </c>
      <c r="L1440" s="56" t="str">
        <f t="shared" ca="1" si="117"/>
        <v/>
      </c>
      <c r="Q1440" s="57" t="str">
        <f t="shared" si="118"/>
        <v/>
      </c>
      <c r="R1440" s="57" t="str">
        <f t="shared" si="119"/>
        <v/>
      </c>
    </row>
    <row r="1441" spans="4:18" x14ac:dyDescent="0.25">
      <c r="D1441" s="43"/>
      <c r="E1441" s="55" t="str">
        <f t="shared" si="115"/>
        <v/>
      </c>
      <c r="F1441" s="55"/>
      <c r="G1441" s="55"/>
      <c r="H1441" s="55"/>
      <c r="I1441" s="55"/>
      <c r="J1441" s="55"/>
      <c r="K1441" s="46" t="str">
        <f t="shared" ca="1" si="116"/>
        <v/>
      </c>
      <c r="L1441" s="56" t="str">
        <f t="shared" ca="1" si="117"/>
        <v/>
      </c>
      <c r="Q1441" s="57" t="str">
        <f t="shared" si="118"/>
        <v/>
      </c>
      <c r="R1441" s="57" t="str">
        <f t="shared" si="119"/>
        <v/>
      </c>
    </row>
    <row r="1442" spans="4:18" x14ac:dyDescent="0.25">
      <c r="D1442" s="43"/>
      <c r="E1442" s="55" t="str">
        <f t="shared" si="115"/>
        <v/>
      </c>
      <c r="F1442" s="55"/>
      <c r="G1442" s="55"/>
      <c r="H1442" s="55"/>
      <c r="I1442" s="55"/>
      <c r="J1442" s="55"/>
      <c r="K1442" s="46" t="str">
        <f t="shared" ca="1" si="116"/>
        <v/>
      </c>
      <c r="L1442" s="56" t="str">
        <f t="shared" ca="1" si="117"/>
        <v/>
      </c>
      <c r="Q1442" s="57" t="str">
        <f t="shared" si="118"/>
        <v/>
      </c>
      <c r="R1442" s="57" t="str">
        <f t="shared" si="119"/>
        <v/>
      </c>
    </row>
    <row r="1443" spans="4:18" x14ac:dyDescent="0.25">
      <c r="D1443" s="43"/>
      <c r="E1443" s="55" t="str">
        <f t="shared" si="115"/>
        <v/>
      </c>
      <c r="F1443" s="55"/>
      <c r="G1443" s="55"/>
      <c r="H1443" s="55"/>
      <c r="I1443" s="55"/>
      <c r="J1443" s="55"/>
      <c r="K1443" s="46" t="str">
        <f t="shared" ca="1" si="116"/>
        <v/>
      </c>
      <c r="L1443" s="56" t="str">
        <f t="shared" ca="1" si="117"/>
        <v/>
      </c>
      <c r="Q1443" s="57" t="str">
        <f t="shared" si="118"/>
        <v/>
      </c>
      <c r="R1443" s="57" t="str">
        <f t="shared" si="119"/>
        <v/>
      </c>
    </row>
    <row r="1444" spans="4:18" x14ac:dyDescent="0.25">
      <c r="D1444" s="43"/>
      <c r="E1444" s="55" t="str">
        <f t="shared" si="115"/>
        <v/>
      </c>
      <c r="F1444" s="55"/>
      <c r="G1444" s="55"/>
      <c r="H1444" s="55"/>
      <c r="I1444" s="55"/>
      <c r="J1444" s="55"/>
      <c r="K1444" s="46" t="str">
        <f t="shared" ca="1" si="116"/>
        <v/>
      </c>
      <c r="L1444" s="56" t="str">
        <f t="shared" ca="1" si="117"/>
        <v/>
      </c>
      <c r="Q1444" s="57" t="str">
        <f t="shared" si="118"/>
        <v/>
      </c>
      <c r="R1444" s="57" t="str">
        <f t="shared" si="119"/>
        <v/>
      </c>
    </row>
    <row r="1445" spans="4:18" x14ac:dyDescent="0.25">
      <c r="D1445" s="43"/>
      <c r="E1445" s="55" t="str">
        <f t="shared" si="115"/>
        <v/>
      </c>
      <c r="F1445" s="55"/>
      <c r="G1445" s="55"/>
      <c r="H1445" s="55"/>
      <c r="I1445" s="55"/>
      <c r="J1445" s="55"/>
      <c r="K1445" s="46" t="str">
        <f t="shared" ca="1" si="116"/>
        <v/>
      </c>
      <c r="L1445" s="56" t="str">
        <f t="shared" ca="1" si="117"/>
        <v/>
      </c>
      <c r="Q1445" s="57" t="str">
        <f t="shared" si="118"/>
        <v/>
      </c>
      <c r="R1445" s="57" t="str">
        <f t="shared" si="119"/>
        <v/>
      </c>
    </row>
    <row r="1446" spans="4:18" x14ac:dyDescent="0.25">
      <c r="D1446" s="43"/>
      <c r="E1446" s="55" t="str">
        <f t="shared" si="115"/>
        <v/>
      </c>
      <c r="F1446" s="55"/>
      <c r="G1446" s="55"/>
      <c r="H1446" s="55"/>
      <c r="I1446" s="55"/>
      <c r="J1446" s="55"/>
      <c r="K1446" s="46" t="str">
        <f t="shared" ca="1" si="116"/>
        <v/>
      </c>
      <c r="L1446" s="56" t="str">
        <f t="shared" ca="1" si="117"/>
        <v/>
      </c>
      <c r="Q1446" s="57" t="str">
        <f t="shared" si="118"/>
        <v/>
      </c>
      <c r="R1446" s="57" t="str">
        <f t="shared" si="119"/>
        <v/>
      </c>
    </row>
    <row r="1447" spans="4:18" x14ac:dyDescent="0.25">
      <c r="D1447" s="43"/>
      <c r="E1447" s="55" t="str">
        <f t="shared" si="115"/>
        <v/>
      </c>
      <c r="F1447" s="55"/>
      <c r="G1447" s="55"/>
      <c r="H1447" s="55"/>
      <c r="I1447" s="55"/>
      <c r="J1447" s="55"/>
      <c r="K1447" s="46" t="str">
        <f t="shared" ca="1" si="116"/>
        <v/>
      </c>
      <c r="L1447" s="56" t="str">
        <f t="shared" ca="1" si="117"/>
        <v/>
      </c>
      <c r="Q1447" s="57" t="str">
        <f t="shared" si="118"/>
        <v/>
      </c>
      <c r="R1447" s="57" t="str">
        <f t="shared" si="119"/>
        <v/>
      </c>
    </row>
    <row r="1448" spans="4:18" x14ac:dyDescent="0.25">
      <c r="D1448" s="43"/>
      <c r="E1448" s="55" t="str">
        <f t="shared" si="115"/>
        <v/>
      </c>
      <c r="F1448" s="55"/>
      <c r="G1448" s="55"/>
      <c r="H1448" s="55"/>
      <c r="I1448" s="55"/>
      <c r="J1448" s="55"/>
      <c r="K1448" s="46" t="str">
        <f t="shared" ca="1" si="116"/>
        <v/>
      </c>
      <c r="L1448" s="56" t="str">
        <f t="shared" ca="1" si="117"/>
        <v/>
      </c>
      <c r="Q1448" s="57" t="str">
        <f t="shared" si="118"/>
        <v/>
      </c>
      <c r="R1448" s="57" t="str">
        <f t="shared" si="119"/>
        <v/>
      </c>
    </row>
    <row r="1449" spans="4:18" x14ac:dyDescent="0.25">
      <c r="D1449" s="43"/>
      <c r="E1449" s="55" t="str">
        <f t="shared" si="115"/>
        <v/>
      </c>
      <c r="F1449" s="55"/>
      <c r="G1449" s="55"/>
      <c r="H1449" s="55"/>
      <c r="I1449" s="55"/>
      <c r="J1449" s="55"/>
      <c r="K1449" s="46" t="str">
        <f t="shared" ca="1" si="116"/>
        <v/>
      </c>
      <c r="L1449" s="56" t="str">
        <f t="shared" ca="1" si="117"/>
        <v/>
      </c>
      <c r="Q1449" s="57" t="str">
        <f t="shared" si="118"/>
        <v/>
      </c>
      <c r="R1449" s="57" t="str">
        <f t="shared" si="119"/>
        <v/>
      </c>
    </row>
    <row r="1450" spans="4:18" x14ac:dyDescent="0.25">
      <c r="D1450" s="43"/>
      <c r="E1450" s="55" t="str">
        <f t="shared" si="115"/>
        <v/>
      </c>
      <c r="F1450" s="55"/>
      <c r="G1450" s="55"/>
      <c r="H1450" s="55"/>
      <c r="I1450" s="55"/>
      <c r="J1450" s="55"/>
      <c r="K1450" s="46" t="str">
        <f t="shared" ca="1" si="116"/>
        <v/>
      </c>
      <c r="L1450" s="56" t="str">
        <f t="shared" ca="1" si="117"/>
        <v/>
      </c>
      <c r="Q1450" s="57" t="str">
        <f t="shared" si="118"/>
        <v/>
      </c>
      <c r="R1450" s="57" t="str">
        <f t="shared" si="119"/>
        <v/>
      </c>
    </row>
    <row r="1451" spans="4:18" x14ac:dyDescent="0.25">
      <c r="D1451" s="43"/>
      <c r="E1451" s="55" t="str">
        <f t="shared" si="115"/>
        <v/>
      </c>
      <c r="F1451" s="55"/>
      <c r="G1451" s="55"/>
      <c r="H1451" s="55"/>
      <c r="I1451" s="55"/>
      <c r="J1451" s="55"/>
      <c r="K1451" s="46" t="str">
        <f t="shared" ca="1" si="116"/>
        <v/>
      </c>
      <c r="L1451" s="56" t="str">
        <f t="shared" ca="1" si="117"/>
        <v/>
      </c>
      <c r="Q1451" s="57" t="str">
        <f t="shared" si="118"/>
        <v/>
      </c>
      <c r="R1451" s="57" t="str">
        <f t="shared" si="119"/>
        <v/>
      </c>
    </row>
    <row r="1452" spans="4:18" x14ac:dyDescent="0.25">
      <c r="D1452" s="43"/>
      <c r="E1452" s="55" t="str">
        <f t="shared" si="115"/>
        <v/>
      </c>
      <c r="F1452" s="55"/>
      <c r="G1452" s="55"/>
      <c r="H1452" s="55"/>
      <c r="I1452" s="55"/>
      <c r="J1452" s="55"/>
      <c r="K1452" s="46" t="str">
        <f t="shared" ca="1" si="116"/>
        <v/>
      </c>
      <c r="L1452" s="56" t="str">
        <f t="shared" ca="1" si="117"/>
        <v/>
      </c>
      <c r="Q1452" s="57" t="str">
        <f t="shared" si="118"/>
        <v/>
      </c>
      <c r="R1452" s="57" t="str">
        <f t="shared" si="119"/>
        <v/>
      </c>
    </row>
    <row r="1453" spans="4:18" x14ac:dyDescent="0.25">
      <c r="D1453" s="43"/>
      <c r="E1453" s="55" t="str">
        <f t="shared" si="115"/>
        <v/>
      </c>
      <c r="F1453" s="55"/>
      <c r="G1453" s="55"/>
      <c r="H1453" s="55"/>
      <c r="I1453" s="55"/>
      <c r="J1453" s="55"/>
      <c r="K1453" s="46" t="str">
        <f t="shared" ca="1" si="116"/>
        <v/>
      </c>
      <c r="L1453" s="56" t="str">
        <f t="shared" ca="1" si="117"/>
        <v/>
      </c>
      <c r="Q1453" s="57" t="str">
        <f t="shared" si="118"/>
        <v/>
      </c>
      <c r="R1453" s="57" t="str">
        <f t="shared" si="119"/>
        <v/>
      </c>
    </row>
    <row r="1454" spans="4:18" x14ac:dyDescent="0.25">
      <c r="D1454" s="43"/>
      <c r="E1454" s="55" t="str">
        <f t="shared" si="115"/>
        <v/>
      </c>
      <c r="F1454" s="55"/>
      <c r="G1454" s="55"/>
      <c r="H1454" s="55"/>
      <c r="I1454" s="55"/>
      <c r="J1454" s="55"/>
      <c r="K1454" s="46" t="str">
        <f t="shared" ca="1" si="116"/>
        <v/>
      </c>
      <c r="L1454" s="56" t="str">
        <f t="shared" ca="1" si="117"/>
        <v/>
      </c>
      <c r="Q1454" s="57" t="str">
        <f t="shared" si="118"/>
        <v/>
      </c>
      <c r="R1454" s="57" t="str">
        <f t="shared" si="119"/>
        <v/>
      </c>
    </row>
    <row r="1455" spans="4:18" x14ac:dyDescent="0.25">
      <c r="D1455" s="43"/>
      <c r="E1455" s="55" t="str">
        <f t="shared" si="115"/>
        <v/>
      </c>
      <c r="F1455" s="55"/>
      <c r="G1455" s="55"/>
      <c r="H1455" s="55"/>
      <c r="I1455" s="55"/>
      <c r="J1455" s="55"/>
      <c r="K1455" s="46" t="str">
        <f t="shared" ca="1" si="116"/>
        <v/>
      </c>
      <c r="L1455" s="56" t="str">
        <f t="shared" ca="1" si="117"/>
        <v/>
      </c>
      <c r="Q1455" s="57" t="str">
        <f t="shared" si="118"/>
        <v/>
      </c>
      <c r="R1455" s="57" t="str">
        <f t="shared" si="119"/>
        <v/>
      </c>
    </row>
    <row r="1456" spans="4:18" x14ac:dyDescent="0.25">
      <c r="D1456" s="43"/>
      <c r="E1456" s="55" t="str">
        <f t="shared" si="115"/>
        <v/>
      </c>
      <c r="F1456" s="55"/>
      <c r="G1456" s="55"/>
      <c r="H1456" s="55"/>
      <c r="I1456" s="55"/>
      <c r="J1456" s="55"/>
      <c r="K1456" s="46" t="str">
        <f t="shared" ca="1" si="116"/>
        <v/>
      </c>
      <c r="L1456" s="56" t="str">
        <f t="shared" ca="1" si="117"/>
        <v/>
      </c>
      <c r="Q1456" s="57" t="str">
        <f t="shared" si="118"/>
        <v/>
      </c>
      <c r="R1456" s="57" t="str">
        <f t="shared" si="119"/>
        <v/>
      </c>
    </row>
    <row r="1457" spans="4:18" x14ac:dyDescent="0.25">
      <c r="D1457" s="43"/>
      <c r="E1457" s="55" t="str">
        <f t="shared" si="115"/>
        <v/>
      </c>
      <c r="F1457" s="55"/>
      <c r="G1457" s="55"/>
      <c r="H1457" s="55"/>
      <c r="I1457" s="55"/>
      <c r="J1457" s="55"/>
      <c r="K1457" s="46" t="str">
        <f t="shared" ca="1" si="116"/>
        <v/>
      </c>
      <c r="L1457" s="56" t="str">
        <f t="shared" ca="1" si="117"/>
        <v/>
      </c>
      <c r="Q1457" s="57" t="str">
        <f t="shared" si="118"/>
        <v/>
      </c>
      <c r="R1457" s="57" t="str">
        <f t="shared" si="119"/>
        <v/>
      </c>
    </row>
    <row r="1458" spans="4:18" x14ac:dyDescent="0.25">
      <c r="D1458" s="43"/>
      <c r="E1458" s="55" t="str">
        <f t="shared" si="115"/>
        <v/>
      </c>
      <c r="F1458" s="55"/>
      <c r="G1458" s="55"/>
      <c r="H1458" s="55"/>
      <c r="I1458" s="55"/>
      <c r="J1458" s="55"/>
      <c r="K1458" s="46" t="str">
        <f t="shared" ca="1" si="116"/>
        <v/>
      </c>
      <c r="L1458" s="56" t="str">
        <f t="shared" ca="1" si="117"/>
        <v/>
      </c>
      <c r="Q1458" s="57" t="str">
        <f t="shared" si="118"/>
        <v/>
      </c>
      <c r="R1458" s="57" t="str">
        <f t="shared" si="119"/>
        <v/>
      </c>
    </row>
    <row r="1459" spans="4:18" x14ac:dyDescent="0.25">
      <c r="D1459" s="43"/>
      <c r="E1459" s="55" t="str">
        <f t="shared" si="115"/>
        <v/>
      </c>
      <c r="F1459" s="55"/>
      <c r="G1459" s="55"/>
      <c r="H1459" s="55"/>
      <c r="I1459" s="55"/>
      <c r="J1459" s="55"/>
      <c r="K1459" s="46" t="str">
        <f t="shared" ca="1" si="116"/>
        <v/>
      </c>
      <c r="L1459" s="56" t="str">
        <f t="shared" ca="1" si="117"/>
        <v/>
      </c>
      <c r="Q1459" s="57" t="str">
        <f t="shared" si="118"/>
        <v/>
      </c>
      <c r="R1459" s="57" t="str">
        <f t="shared" si="119"/>
        <v/>
      </c>
    </row>
    <row r="1460" spans="4:18" x14ac:dyDescent="0.25">
      <c r="D1460" s="43"/>
      <c r="E1460" s="55" t="str">
        <f t="shared" si="115"/>
        <v/>
      </c>
      <c r="F1460" s="55"/>
      <c r="G1460" s="55"/>
      <c r="H1460" s="55"/>
      <c r="I1460" s="55"/>
      <c r="J1460" s="55"/>
      <c r="K1460" s="46" t="str">
        <f t="shared" ca="1" si="116"/>
        <v/>
      </c>
      <c r="L1460" s="56" t="str">
        <f t="shared" ca="1" si="117"/>
        <v/>
      </c>
      <c r="Q1460" s="57" t="str">
        <f t="shared" si="118"/>
        <v/>
      </c>
      <c r="R1460" s="57" t="str">
        <f t="shared" si="119"/>
        <v/>
      </c>
    </row>
    <row r="1461" spans="4:18" x14ac:dyDescent="0.25">
      <c r="D1461" s="43"/>
      <c r="E1461" s="55" t="str">
        <f t="shared" si="115"/>
        <v/>
      </c>
      <c r="F1461" s="55"/>
      <c r="G1461" s="55"/>
      <c r="H1461" s="55"/>
      <c r="I1461" s="55"/>
      <c r="J1461" s="55"/>
      <c r="K1461" s="46" t="str">
        <f t="shared" ca="1" si="116"/>
        <v/>
      </c>
      <c r="L1461" s="56" t="str">
        <f t="shared" ca="1" si="117"/>
        <v/>
      </c>
      <c r="Q1461" s="57" t="str">
        <f t="shared" si="118"/>
        <v/>
      </c>
      <c r="R1461" s="57" t="str">
        <f t="shared" si="119"/>
        <v/>
      </c>
    </row>
    <row r="1462" spans="4:18" x14ac:dyDescent="0.25">
      <c r="D1462" s="43"/>
      <c r="E1462" s="55" t="str">
        <f t="shared" si="115"/>
        <v/>
      </c>
      <c r="F1462" s="55"/>
      <c r="G1462" s="55"/>
      <c r="H1462" s="55"/>
      <c r="I1462" s="55"/>
      <c r="J1462" s="55"/>
      <c r="K1462" s="46" t="str">
        <f t="shared" ca="1" si="116"/>
        <v/>
      </c>
      <c r="L1462" s="56" t="str">
        <f t="shared" ca="1" si="117"/>
        <v/>
      </c>
      <c r="Q1462" s="57" t="str">
        <f t="shared" si="118"/>
        <v/>
      </c>
      <c r="R1462" s="57" t="str">
        <f t="shared" si="119"/>
        <v/>
      </c>
    </row>
    <row r="1463" spans="4:18" x14ac:dyDescent="0.25">
      <c r="D1463" s="43"/>
      <c r="E1463" s="55" t="str">
        <f t="shared" si="115"/>
        <v/>
      </c>
      <c r="F1463" s="55"/>
      <c r="G1463" s="55"/>
      <c r="H1463" s="55"/>
      <c r="I1463" s="55"/>
      <c r="J1463" s="55"/>
      <c r="K1463" s="46" t="str">
        <f t="shared" ca="1" si="116"/>
        <v/>
      </c>
      <c r="L1463" s="56" t="str">
        <f t="shared" ca="1" si="117"/>
        <v/>
      </c>
      <c r="Q1463" s="57" t="str">
        <f t="shared" si="118"/>
        <v/>
      </c>
      <c r="R1463" s="57" t="str">
        <f t="shared" si="119"/>
        <v/>
      </c>
    </row>
    <row r="1464" spans="4:18" x14ac:dyDescent="0.25">
      <c r="D1464" s="43"/>
      <c r="E1464" s="55" t="str">
        <f t="shared" si="115"/>
        <v/>
      </c>
      <c r="F1464" s="55"/>
      <c r="G1464" s="55"/>
      <c r="H1464" s="55"/>
      <c r="I1464" s="55"/>
      <c r="J1464" s="55"/>
      <c r="K1464" s="46" t="str">
        <f t="shared" ca="1" si="116"/>
        <v/>
      </c>
      <c r="L1464" s="56" t="str">
        <f t="shared" ca="1" si="117"/>
        <v/>
      </c>
      <c r="Q1464" s="57" t="str">
        <f t="shared" si="118"/>
        <v/>
      </c>
      <c r="R1464" s="57" t="str">
        <f t="shared" si="119"/>
        <v/>
      </c>
    </row>
    <row r="1465" spans="4:18" x14ac:dyDescent="0.25">
      <c r="D1465" s="43"/>
      <c r="E1465" s="55" t="str">
        <f t="shared" si="115"/>
        <v/>
      </c>
      <c r="F1465" s="55"/>
      <c r="G1465" s="55"/>
      <c r="H1465" s="55"/>
      <c r="I1465" s="55"/>
      <c r="J1465" s="55"/>
      <c r="K1465" s="46" t="str">
        <f t="shared" ca="1" si="116"/>
        <v/>
      </c>
      <c r="L1465" s="56" t="str">
        <f t="shared" ca="1" si="117"/>
        <v/>
      </c>
      <c r="Q1465" s="57" t="str">
        <f t="shared" si="118"/>
        <v/>
      </c>
      <c r="R1465" s="57" t="str">
        <f t="shared" si="119"/>
        <v/>
      </c>
    </row>
    <row r="1466" spans="4:18" x14ac:dyDescent="0.25">
      <c r="D1466" s="43"/>
      <c r="E1466" s="55" t="str">
        <f t="shared" si="115"/>
        <v/>
      </c>
      <c r="F1466" s="55"/>
      <c r="G1466" s="55"/>
      <c r="H1466" s="55"/>
      <c r="I1466" s="55"/>
      <c r="J1466" s="55"/>
      <c r="K1466" s="46" t="str">
        <f t="shared" ca="1" si="116"/>
        <v/>
      </c>
      <c r="L1466" s="56" t="str">
        <f t="shared" ca="1" si="117"/>
        <v/>
      </c>
      <c r="Q1466" s="57" t="str">
        <f t="shared" si="118"/>
        <v/>
      </c>
      <c r="R1466" s="57" t="str">
        <f t="shared" si="119"/>
        <v/>
      </c>
    </row>
    <row r="1467" spans="4:18" x14ac:dyDescent="0.25">
      <c r="D1467" s="43"/>
      <c r="E1467" s="55" t="str">
        <f t="shared" si="115"/>
        <v/>
      </c>
      <c r="F1467" s="55"/>
      <c r="G1467" s="55"/>
      <c r="H1467" s="55"/>
      <c r="I1467" s="55"/>
      <c r="J1467" s="55"/>
      <c r="K1467" s="46" t="str">
        <f t="shared" ca="1" si="116"/>
        <v/>
      </c>
      <c r="L1467" s="56" t="str">
        <f t="shared" ca="1" si="117"/>
        <v/>
      </c>
      <c r="Q1467" s="57" t="str">
        <f t="shared" si="118"/>
        <v/>
      </c>
      <c r="R1467" s="57" t="str">
        <f t="shared" si="119"/>
        <v/>
      </c>
    </row>
    <row r="1468" spans="4:18" x14ac:dyDescent="0.25">
      <c r="D1468" s="43"/>
      <c r="E1468" s="55" t="str">
        <f t="shared" si="115"/>
        <v/>
      </c>
      <c r="F1468" s="55"/>
      <c r="G1468" s="55"/>
      <c r="H1468" s="55"/>
      <c r="I1468" s="55"/>
      <c r="J1468" s="55"/>
      <c r="K1468" s="46" t="str">
        <f t="shared" ca="1" si="116"/>
        <v/>
      </c>
      <c r="L1468" s="56" t="str">
        <f t="shared" ca="1" si="117"/>
        <v/>
      </c>
      <c r="Q1468" s="57" t="str">
        <f t="shared" si="118"/>
        <v/>
      </c>
      <c r="R1468" s="57" t="str">
        <f t="shared" si="119"/>
        <v/>
      </c>
    </row>
    <row r="1469" spans="4:18" x14ac:dyDescent="0.25">
      <c r="D1469" s="43"/>
      <c r="E1469" s="55" t="str">
        <f t="shared" si="115"/>
        <v/>
      </c>
      <c r="F1469" s="55"/>
      <c r="G1469" s="55"/>
      <c r="H1469" s="55"/>
      <c r="I1469" s="55"/>
      <c r="J1469" s="55"/>
      <c r="K1469" s="46" t="str">
        <f t="shared" ca="1" si="116"/>
        <v/>
      </c>
      <c r="L1469" s="56" t="str">
        <f t="shared" ca="1" si="117"/>
        <v/>
      </c>
      <c r="Q1469" s="57" t="str">
        <f t="shared" si="118"/>
        <v/>
      </c>
      <c r="R1469" s="57" t="str">
        <f t="shared" si="119"/>
        <v/>
      </c>
    </row>
    <row r="1470" spans="4:18" x14ac:dyDescent="0.25">
      <c r="D1470" s="43"/>
      <c r="E1470" s="55" t="str">
        <f t="shared" si="115"/>
        <v/>
      </c>
      <c r="F1470" s="55"/>
      <c r="G1470" s="55"/>
      <c r="H1470" s="55"/>
      <c r="I1470" s="55"/>
      <c r="J1470" s="55"/>
      <c r="K1470" s="46" t="str">
        <f t="shared" ca="1" si="116"/>
        <v/>
      </c>
      <c r="L1470" s="56" t="str">
        <f t="shared" ca="1" si="117"/>
        <v/>
      </c>
      <c r="Q1470" s="57" t="str">
        <f t="shared" si="118"/>
        <v/>
      </c>
      <c r="R1470" s="57" t="str">
        <f t="shared" si="119"/>
        <v/>
      </c>
    </row>
    <row r="1471" spans="4:18" x14ac:dyDescent="0.25">
      <c r="D1471" s="43"/>
      <c r="E1471" s="55" t="str">
        <f t="shared" si="115"/>
        <v/>
      </c>
      <c r="F1471" s="55"/>
      <c r="G1471" s="55"/>
      <c r="H1471" s="55"/>
      <c r="I1471" s="55"/>
      <c r="J1471" s="55"/>
      <c r="K1471" s="46" t="str">
        <f t="shared" ca="1" si="116"/>
        <v/>
      </c>
      <c r="L1471" s="56" t="str">
        <f t="shared" ca="1" si="117"/>
        <v/>
      </c>
      <c r="Q1471" s="57" t="str">
        <f t="shared" si="118"/>
        <v/>
      </c>
      <c r="R1471" s="57" t="str">
        <f t="shared" si="119"/>
        <v/>
      </c>
    </row>
    <row r="1472" spans="4:18" x14ac:dyDescent="0.25">
      <c r="D1472" s="43"/>
      <c r="E1472" s="55" t="str">
        <f t="shared" si="115"/>
        <v/>
      </c>
      <c r="F1472" s="55"/>
      <c r="G1472" s="55"/>
      <c r="H1472" s="55"/>
      <c r="I1472" s="55"/>
      <c r="J1472" s="55"/>
      <c r="K1472" s="46" t="str">
        <f t="shared" ca="1" si="116"/>
        <v/>
      </c>
      <c r="L1472" s="56" t="str">
        <f t="shared" ca="1" si="117"/>
        <v/>
      </c>
      <c r="Q1472" s="57" t="str">
        <f t="shared" si="118"/>
        <v/>
      </c>
      <c r="R1472" s="57" t="str">
        <f t="shared" si="119"/>
        <v/>
      </c>
    </row>
    <row r="1473" spans="4:18" x14ac:dyDescent="0.25">
      <c r="D1473" s="43"/>
      <c r="E1473" s="55" t="str">
        <f t="shared" si="115"/>
        <v/>
      </c>
      <c r="F1473" s="55"/>
      <c r="G1473" s="55"/>
      <c r="H1473" s="55"/>
      <c r="I1473" s="55"/>
      <c r="J1473" s="55"/>
      <c r="K1473" s="46" t="str">
        <f t="shared" ca="1" si="116"/>
        <v/>
      </c>
      <c r="L1473" s="56" t="str">
        <f t="shared" ca="1" si="117"/>
        <v/>
      </c>
      <c r="Q1473" s="57" t="str">
        <f t="shared" si="118"/>
        <v/>
      </c>
      <c r="R1473" s="57" t="str">
        <f t="shared" si="119"/>
        <v/>
      </c>
    </row>
    <row r="1474" spans="4:18" x14ac:dyDescent="0.25">
      <c r="D1474" s="43"/>
      <c r="E1474" s="55" t="str">
        <f t="shared" si="115"/>
        <v/>
      </c>
      <c r="F1474" s="55"/>
      <c r="G1474" s="55"/>
      <c r="H1474" s="55"/>
      <c r="I1474" s="55"/>
      <c r="J1474" s="55"/>
      <c r="K1474" s="46" t="str">
        <f t="shared" ca="1" si="116"/>
        <v/>
      </c>
      <c r="L1474" s="56" t="str">
        <f t="shared" ca="1" si="117"/>
        <v/>
      </c>
      <c r="Q1474" s="57" t="str">
        <f t="shared" si="118"/>
        <v/>
      </c>
      <c r="R1474" s="57" t="str">
        <f t="shared" si="119"/>
        <v/>
      </c>
    </row>
    <row r="1475" spans="4:18" x14ac:dyDescent="0.25">
      <c r="D1475" s="43"/>
      <c r="E1475" s="55" t="str">
        <f t="shared" si="115"/>
        <v/>
      </c>
      <c r="F1475" s="55"/>
      <c r="G1475" s="55"/>
      <c r="H1475" s="55"/>
      <c r="I1475" s="55"/>
      <c r="J1475" s="55"/>
      <c r="K1475" s="46" t="str">
        <f t="shared" ca="1" si="116"/>
        <v/>
      </c>
      <c r="L1475" s="56" t="str">
        <f t="shared" ca="1" si="117"/>
        <v/>
      </c>
      <c r="Q1475" s="57" t="str">
        <f t="shared" si="118"/>
        <v/>
      </c>
      <c r="R1475" s="57" t="str">
        <f t="shared" si="119"/>
        <v/>
      </c>
    </row>
    <row r="1476" spans="4:18" x14ac:dyDescent="0.25">
      <c r="D1476" s="43"/>
      <c r="E1476" s="55" t="str">
        <f t="shared" si="115"/>
        <v/>
      </c>
      <c r="F1476" s="55"/>
      <c r="G1476" s="55"/>
      <c r="H1476" s="55"/>
      <c r="I1476" s="55"/>
      <c r="J1476" s="55"/>
      <c r="K1476" s="46" t="str">
        <f t="shared" ca="1" si="116"/>
        <v/>
      </c>
      <c r="L1476" s="56" t="str">
        <f t="shared" ca="1" si="117"/>
        <v/>
      </c>
      <c r="Q1476" s="57" t="str">
        <f t="shared" si="118"/>
        <v/>
      </c>
      <c r="R1476" s="57" t="str">
        <f t="shared" si="119"/>
        <v/>
      </c>
    </row>
    <row r="1477" spans="4:18" x14ac:dyDescent="0.25">
      <c r="D1477" s="43"/>
      <c r="E1477" s="55" t="str">
        <f t="shared" si="115"/>
        <v/>
      </c>
      <c r="F1477" s="55"/>
      <c r="G1477" s="55"/>
      <c r="H1477" s="55"/>
      <c r="I1477" s="55"/>
      <c r="J1477" s="55"/>
      <c r="K1477" s="46" t="str">
        <f t="shared" ca="1" si="116"/>
        <v/>
      </c>
      <c r="L1477" s="56" t="str">
        <f t="shared" ca="1" si="117"/>
        <v/>
      </c>
      <c r="Q1477" s="57" t="str">
        <f t="shared" si="118"/>
        <v/>
      </c>
      <c r="R1477" s="57" t="str">
        <f t="shared" si="119"/>
        <v/>
      </c>
    </row>
    <row r="1478" spans="4:18" x14ac:dyDescent="0.25">
      <c r="D1478" s="43"/>
      <c r="E1478" s="55" t="str">
        <f t="shared" si="115"/>
        <v/>
      </c>
      <c r="F1478" s="55"/>
      <c r="G1478" s="55"/>
      <c r="H1478" s="55"/>
      <c r="I1478" s="55"/>
      <c r="J1478" s="55"/>
      <c r="K1478" s="46" t="str">
        <f t="shared" ca="1" si="116"/>
        <v/>
      </c>
      <c r="L1478" s="56" t="str">
        <f t="shared" ca="1" si="117"/>
        <v/>
      </c>
      <c r="Q1478" s="57" t="str">
        <f t="shared" si="118"/>
        <v/>
      </c>
      <c r="R1478" s="57" t="str">
        <f t="shared" si="119"/>
        <v/>
      </c>
    </row>
    <row r="1479" spans="4:18" x14ac:dyDescent="0.25">
      <c r="D1479" s="43"/>
      <c r="E1479" s="55" t="str">
        <f t="shared" si="115"/>
        <v/>
      </c>
      <c r="F1479" s="55"/>
      <c r="G1479" s="55"/>
      <c r="H1479" s="55"/>
      <c r="I1479" s="55"/>
      <c r="J1479" s="55"/>
      <c r="K1479" s="46" t="str">
        <f t="shared" ca="1" si="116"/>
        <v/>
      </c>
      <c r="L1479" s="56" t="str">
        <f t="shared" ca="1" si="117"/>
        <v/>
      </c>
      <c r="Q1479" s="57" t="str">
        <f t="shared" si="118"/>
        <v/>
      </c>
      <c r="R1479" s="57" t="str">
        <f t="shared" si="119"/>
        <v/>
      </c>
    </row>
    <row r="1480" spans="4:18" x14ac:dyDescent="0.25">
      <c r="D1480" s="43"/>
      <c r="E1480" s="55" t="str">
        <f t="shared" si="115"/>
        <v/>
      </c>
      <c r="F1480" s="55"/>
      <c r="G1480" s="55"/>
      <c r="H1480" s="55"/>
      <c r="I1480" s="55"/>
      <c r="J1480" s="55"/>
      <c r="K1480" s="46" t="str">
        <f t="shared" ca="1" si="116"/>
        <v/>
      </c>
      <c r="L1480" s="56" t="str">
        <f t="shared" ca="1" si="117"/>
        <v/>
      </c>
      <c r="Q1480" s="57" t="str">
        <f t="shared" si="118"/>
        <v/>
      </c>
      <c r="R1480" s="57" t="str">
        <f t="shared" si="119"/>
        <v/>
      </c>
    </row>
    <row r="1481" spans="4:18" x14ac:dyDescent="0.25">
      <c r="D1481" s="43"/>
      <c r="E1481" s="55" t="str">
        <f t="shared" si="115"/>
        <v/>
      </c>
      <c r="F1481" s="55"/>
      <c r="G1481" s="55"/>
      <c r="H1481" s="55"/>
      <c r="I1481" s="55"/>
      <c r="J1481" s="55"/>
      <c r="K1481" s="46" t="str">
        <f t="shared" ca="1" si="116"/>
        <v/>
      </c>
      <c r="L1481" s="56" t="str">
        <f t="shared" ca="1" si="117"/>
        <v/>
      </c>
      <c r="Q1481" s="57" t="str">
        <f t="shared" si="118"/>
        <v/>
      </c>
      <c r="R1481" s="57" t="str">
        <f t="shared" si="119"/>
        <v/>
      </c>
    </row>
    <row r="1482" spans="4:18" x14ac:dyDescent="0.25">
      <c r="D1482" s="43"/>
      <c r="E1482" s="55" t="str">
        <f t="shared" si="115"/>
        <v/>
      </c>
      <c r="F1482" s="55"/>
      <c r="G1482" s="55"/>
      <c r="H1482" s="55"/>
      <c r="I1482" s="55"/>
      <c r="J1482" s="55"/>
      <c r="K1482" s="46" t="str">
        <f t="shared" ca="1" si="116"/>
        <v/>
      </c>
      <c r="L1482" s="56" t="str">
        <f t="shared" ca="1" si="117"/>
        <v/>
      </c>
      <c r="Q1482" s="57" t="str">
        <f t="shared" si="118"/>
        <v/>
      </c>
      <c r="R1482" s="57" t="str">
        <f t="shared" si="119"/>
        <v/>
      </c>
    </row>
    <row r="1483" spans="4:18" x14ac:dyDescent="0.25">
      <c r="D1483" s="43"/>
      <c r="E1483" s="55" t="str">
        <f t="shared" si="115"/>
        <v/>
      </c>
      <c r="F1483" s="55"/>
      <c r="G1483" s="55"/>
      <c r="H1483" s="55"/>
      <c r="I1483" s="55"/>
      <c r="J1483" s="55"/>
      <c r="K1483" s="46" t="str">
        <f t="shared" ca="1" si="116"/>
        <v/>
      </c>
      <c r="L1483" s="56" t="str">
        <f t="shared" ca="1" si="117"/>
        <v/>
      </c>
      <c r="Q1483" s="57" t="str">
        <f t="shared" si="118"/>
        <v/>
      </c>
      <c r="R1483" s="57" t="str">
        <f t="shared" si="119"/>
        <v/>
      </c>
    </row>
    <row r="1484" spans="4:18" x14ac:dyDescent="0.25">
      <c r="D1484" s="43"/>
      <c r="E1484" s="55" t="str">
        <f t="shared" si="115"/>
        <v/>
      </c>
      <c r="F1484" s="55"/>
      <c r="G1484" s="55"/>
      <c r="H1484" s="55"/>
      <c r="I1484" s="55"/>
      <c r="J1484" s="55"/>
      <c r="K1484" s="46" t="str">
        <f t="shared" ca="1" si="116"/>
        <v/>
      </c>
      <c r="L1484" s="56" t="str">
        <f t="shared" ca="1" si="117"/>
        <v/>
      </c>
      <c r="Q1484" s="57" t="str">
        <f t="shared" si="118"/>
        <v/>
      </c>
      <c r="R1484" s="57" t="str">
        <f t="shared" si="119"/>
        <v/>
      </c>
    </row>
    <row r="1485" spans="4:18" x14ac:dyDescent="0.25">
      <c r="D1485" s="43"/>
      <c r="E1485" s="55" t="str">
        <f t="shared" si="115"/>
        <v/>
      </c>
      <c r="F1485" s="55"/>
      <c r="G1485" s="55"/>
      <c r="H1485" s="55"/>
      <c r="I1485" s="55"/>
      <c r="J1485" s="55"/>
      <c r="K1485" s="46" t="str">
        <f t="shared" ca="1" si="116"/>
        <v/>
      </c>
      <c r="L1485" s="56" t="str">
        <f t="shared" ca="1" si="117"/>
        <v/>
      </c>
      <c r="Q1485" s="57" t="str">
        <f t="shared" si="118"/>
        <v/>
      </c>
      <c r="R1485" s="57" t="str">
        <f t="shared" si="119"/>
        <v/>
      </c>
    </row>
    <row r="1486" spans="4:18" x14ac:dyDescent="0.25">
      <c r="D1486" s="43"/>
      <c r="E1486" s="55" t="str">
        <f t="shared" si="115"/>
        <v/>
      </c>
      <c r="F1486" s="55"/>
      <c r="G1486" s="55"/>
      <c r="H1486" s="55"/>
      <c r="I1486" s="55"/>
      <c r="J1486" s="55"/>
      <c r="K1486" s="46" t="str">
        <f t="shared" ca="1" si="116"/>
        <v/>
      </c>
      <c r="L1486" s="56" t="str">
        <f t="shared" ca="1" si="117"/>
        <v/>
      </c>
      <c r="Q1486" s="57" t="str">
        <f t="shared" si="118"/>
        <v/>
      </c>
      <c r="R1486" s="57" t="str">
        <f t="shared" si="119"/>
        <v/>
      </c>
    </row>
    <row r="1487" spans="4:18" x14ac:dyDescent="0.25">
      <c r="D1487" s="43"/>
      <c r="E1487" s="55" t="str">
        <f t="shared" si="115"/>
        <v/>
      </c>
      <c r="F1487" s="55"/>
      <c r="G1487" s="55"/>
      <c r="H1487" s="55"/>
      <c r="I1487" s="55"/>
      <c r="J1487" s="55"/>
      <c r="K1487" s="46" t="str">
        <f t="shared" ca="1" si="116"/>
        <v/>
      </c>
      <c r="L1487" s="56" t="str">
        <f t="shared" ca="1" si="117"/>
        <v/>
      </c>
      <c r="Q1487" s="57" t="str">
        <f t="shared" si="118"/>
        <v/>
      </c>
      <c r="R1487" s="57" t="str">
        <f t="shared" si="119"/>
        <v/>
      </c>
    </row>
    <row r="1488" spans="4:18" x14ac:dyDescent="0.25">
      <c r="D1488" s="43"/>
      <c r="E1488" s="55" t="str">
        <f t="shared" si="115"/>
        <v/>
      </c>
      <c r="F1488" s="55"/>
      <c r="G1488" s="55"/>
      <c r="H1488" s="55"/>
      <c r="I1488" s="55"/>
      <c r="J1488" s="55"/>
      <c r="K1488" s="46" t="str">
        <f t="shared" ca="1" si="116"/>
        <v/>
      </c>
      <c r="L1488" s="56" t="str">
        <f t="shared" ca="1" si="117"/>
        <v/>
      </c>
      <c r="Q1488" s="57" t="str">
        <f t="shared" si="118"/>
        <v/>
      </c>
      <c r="R1488" s="57" t="str">
        <f t="shared" si="119"/>
        <v/>
      </c>
    </row>
    <row r="1489" spans="4:18" x14ac:dyDescent="0.25">
      <c r="D1489" s="43"/>
      <c r="E1489" s="55" t="str">
        <f t="shared" si="115"/>
        <v/>
      </c>
      <c r="F1489" s="55"/>
      <c r="G1489" s="55"/>
      <c r="H1489" s="55"/>
      <c r="I1489" s="55"/>
      <c r="J1489" s="55"/>
      <c r="K1489" s="46" t="str">
        <f t="shared" ca="1" si="116"/>
        <v/>
      </c>
      <c r="L1489" s="56" t="str">
        <f t="shared" ca="1" si="117"/>
        <v/>
      </c>
      <c r="Q1489" s="57" t="str">
        <f t="shared" si="118"/>
        <v/>
      </c>
      <c r="R1489" s="57" t="str">
        <f t="shared" si="119"/>
        <v/>
      </c>
    </row>
    <row r="1490" spans="4:18" x14ac:dyDescent="0.25">
      <c r="D1490" s="43"/>
      <c r="E1490" s="55" t="str">
        <f t="shared" si="115"/>
        <v/>
      </c>
      <c r="F1490" s="55"/>
      <c r="G1490" s="55"/>
      <c r="H1490" s="55"/>
      <c r="I1490" s="55"/>
      <c r="J1490" s="55"/>
      <c r="K1490" s="46" t="str">
        <f t="shared" ca="1" si="116"/>
        <v/>
      </c>
      <c r="L1490" s="56" t="str">
        <f t="shared" ca="1" si="117"/>
        <v/>
      </c>
      <c r="Q1490" s="57" t="str">
        <f t="shared" si="118"/>
        <v/>
      </c>
      <c r="R1490" s="57" t="str">
        <f t="shared" si="119"/>
        <v/>
      </c>
    </row>
    <row r="1491" spans="4:18" x14ac:dyDescent="0.25">
      <c r="D1491" s="43"/>
      <c r="E1491" s="55" t="str">
        <f t="shared" si="115"/>
        <v/>
      </c>
      <c r="F1491" s="55"/>
      <c r="G1491" s="55"/>
      <c r="H1491" s="55"/>
      <c r="I1491" s="55"/>
      <c r="J1491" s="55"/>
      <c r="K1491" s="46" t="str">
        <f t="shared" ca="1" si="116"/>
        <v/>
      </c>
      <c r="L1491" s="56" t="str">
        <f t="shared" ca="1" si="117"/>
        <v/>
      </c>
      <c r="Q1491" s="57" t="str">
        <f t="shared" si="118"/>
        <v/>
      </c>
      <c r="R1491" s="57" t="str">
        <f t="shared" si="119"/>
        <v/>
      </c>
    </row>
    <row r="1492" spans="4:18" x14ac:dyDescent="0.25">
      <c r="D1492" s="43"/>
      <c r="E1492" s="55" t="str">
        <f t="shared" ref="E1492:E1515" si="120">IF(ISNUMBER(SEARCH("v crs",D1492))=TRUE,"VC",IF(ISNUMBER(SEARCH("crs",D1492))=TRUE,"C",IF(ISNUMBER(SEARCH("med",D1492))=TRUE,"M",IF(ISNUMBER(SEARCH("vf",D1492))=TRUE,"VF",IF(ISNUMBER(SEARCH("f",D1492))=TRUE,"F","")))))</f>
        <v/>
      </c>
      <c r="F1492" s="55"/>
      <c r="G1492" s="55"/>
      <c r="H1492" s="55"/>
      <c r="I1492" s="55"/>
      <c r="J1492" s="55"/>
      <c r="K1492" s="46" t="str">
        <f t="shared" ca="1" si="116"/>
        <v/>
      </c>
      <c r="L1492" s="56" t="str">
        <f t="shared" ca="1" si="117"/>
        <v/>
      </c>
      <c r="Q1492" s="57" t="str">
        <f t="shared" si="118"/>
        <v/>
      </c>
      <c r="R1492" s="57" t="str">
        <f t="shared" si="119"/>
        <v/>
      </c>
    </row>
    <row r="1493" spans="4:18" x14ac:dyDescent="0.25">
      <c r="D1493" s="43"/>
      <c r="E1493" s="55" t="str">
        <f t="shared" si="120"/>
        <v/>
      </c>
      <c r="F1493" s="55"/>
      <c r="G1493" s="55"/>
      <c r="H1493" s="55"/>
      <c r="I1493" s="55"/>
      <c r="J1493" s="55"/>
      <c r="K1493" s="46" t="str">
        <f t="shared" ref="K1493:K1515" ca="1" si="121">IF(AND(C1493&lt;&gt;"",C1493&lt;&gt;Q1493),TODAY(),IF(C1493="","",K1493))</f>
        <v/>
      </c>
      <c r="L1493" s="56" t="str">
        <f t="shared" ref="L1493:L1515" ca="1" si="122">IF(AND(C1493&lt;&gt;"",C1493&lt;&gt;R1493),NOW(),IF(C1493="","",L1493))</f>
        <v/>
      </c>
      <c r="Q1493" s="57" t="str">
        <f t="shared" ref="Q1493:Q1515" si="123">IF(C1493="","",IF(OR(K1493="",AND(ISNUMBER(Q1493),C1493=Q1493)),Q1493,C1493))</f>
        <v/>
      </c>
      <c r="R1493" s="57" t="str">
        <f t="shared" ref="R1493:R1515" si="124">IF(C1493="","",IF(OR(L1493="",AND(ISNUMBER(R1493),C1493=R1493)),R1493,C1493))</f>
        <v/>
      </c>
    </row>
    <row r="1494" spans="4:18" x14ac:dyDescent="0.25">
      <c r="D1494" s="43"/>
      <c r="E1494" s="55" t="str">
        <f t="shared" si="120"/>
        <v/>
      </c>
      <c r="F1494" s="55"/>
      <c r="G1494" s="55"/>
      <c r="H1494" s="55"/>
      <c r="I1494" s="55"/>
      <c r="J1494" s="55"/>
      <c r="K1494" s="46" t="str">
        <f t="shared" ca="1" si="121"/>
        <v/>
      </c>
      <c r="L1494" s="56" t="str">
        <f t="shared" ca="1" si="122"/>
        <v/>
      </c>
      <c r="Q1494" s="57" t="str">
        <f t="shared" si="123"/>
        <v/>
      </c>
      <c r="R1494" s="57" t="str">
        <f t="shared" si="124"/>
        <v/>
      </c>
    </row>
    <row r="1495" spans="4:18" x14ac:dyDescent="0.25">
      <c r="D1495" s="43"/>
      <c r="E1495" s="55" t="str">
        <f t="shared" si="120"/>
        <v/>
      </c>
      <c r="F1495" s="55"/>
      <c r="G1495" s="55"/>
      <c r="H1495" s="55"/>
      <c r="I1495" s="55"/>
      <c r="J1495" s="55"/>
      <c r="K1495" s="46" t="str">
        <f t="shared" ca="1" si="121"/>
        <v/>
      </c>
      <c r="L1495" s="56" t="str">
        <f t="shared" ca="1" si="122"/>
        <v/>
      </c>
      <c r="Q1495" s="57" t="str">
        <f t="shared" si="123"/>
        <v/>
      </c>
      <c r="R1495" s="57" t="str">
        <f t="shared" si="124"/>
        <v/>
      </c>
    </row>
    <row r="1496" spans="4:18" x14ac:dyDescent="0.25">
      <c r="D1496" s="43"/>
      <c r="E1496" s="55" t="str">
        <f t="shared" si="120"/>
        <v/>
      </c>
      <c r="F1496" s="55"/>
      <c r="G1496" s="55"/>
      <c r="H1496" s="55"/>
      <c r="I1496" s="55"/>
      <c r="J1496" s="55"/>
      <c r="K1496" s="46" t="str">
        <f t="shared" ca="1" si="121"/>
        <v/>
      </c>
      <c r="L1496" s="56" t="str">
        <f t="shared" ca="1" si="122"/>
        <v/>
      </c>
      <c r="Q1496" s="57" t="str">
        <f t="shared" si="123"/>
        <v/>
      </c>
      <c r="R1496" s="57" t="str">
        <f t="shared" si="124"/>
        <v/>
      </c>
    </row>
    <row r="1497" spans="4:18" x14ac:dyDescent="0.25">
      <c r="D1497" s="43"/>
      <c r="E1497" s="55" t="str">
        <f t="shared" si="120"/>
        <v/>
      </c>
      <c r="F1497" s="55"/>
      <c r="G1497" s="55"/>
      <c r="H1497" s="55"/>
      <c r="I1497" s="55"/>
      <c r="J1497" s="55"/>
      <c r="K1497" s="46" t="str">
        <f t="shared" ca="1" si="121"/>
        <v/>
      </c>
      <c r="L1497" s="56" t="str">
        <f t="shared" ca="1" si="122"/>
        <v/>
      </c>
      <c r="Q1497" s="57" t="str">
        <f t="shared" si="123"/>
        <v/>
      </c>
      <c r="R1497" s="57" t="str">
        <f t="shared" si="124"/>
        <v/>
      </c>
    </row>
    <row r="1498" spans="4:18" x14ac:dyDescent="0.25">
      <c r="D1498" s="43"/>
      <c r="E1498" s="55" t="str">
        <f t="shared" si="120"/>
        <v/>
      </c>
      <c r="F1498" s="55"/>
      <c r="G1498" s="55"/>
      <c r="H1498" s="55"/>
      <c r="I1498" s="55"/>
      <c r="J1498" s="55"/>
      <c r="K1498" s="46" t="str">
        <f t="shared" ca="1" si="121"/>
        <v/>
      </c>
      <c r="L1498" s="56" t="str">
        <f t="shared" ca="1" si="122"/>
        <v/>
      </c>
      <c r="Q1498" s="57" t="str">
        <f t="shared" si="123"/>
        <v/>
      </c>
      <c r="R1498" s="57" t="str">
        <f t="shared" si="124"/>
        <v/>
      </c>
    </row>
    <row r="1499" spans="4:18" x14ac:dyDescent="0.25">
      <c r="D1499" s="43"/>
      <c r="E1499" s="55" t="str">
        <f t="shared" si="120"/>
        <v/>
      </c>
      <c r="F1499" s="55"/>
      <c r="G1499" s="55"/>
      <c r="H1499" s="55"/>
      <c r="I1499" s="55"/>
      <c r="J1499" s="55"/>
      <c r="K1499" s="46" t="str">
        <f t="shared" ca="1" si="121"/>
        <v/>
      </c>
      <c r="L1499" s="56" t="str">
        <f t="shared" ca="1" si="122"/>
        <v/>
      </c>
      <c r="Q1499" s="57" t="str">
        <f t="shared" si="123"/>
        <v/>
      </c>
      <c r="R1499" s="57" t="str">
        <f t="shared" si="124"/>
        <v/>
      </c>
    </row>
    <row r="1500" spans="4:18" x14ac:dyDescent="0.25">
      <c r="D1500" s="43"/>
      <c r="E1500" s="55" t="str">
        <f t="shared" si="120"/>
        <v/>
      </c>
      <c r="F1500" s="55"/>
      <c r="G1500" s="55"/>
      <c r="H1500" s="55"/>
      <c r="I1500" s="55"/>
      <c r="J1500" s="55"/>
      <c r="K1500" s="46" t="str">
        <f t="shared" ca="1" si="121"/>
        <v/>
      </c>
      <c r="L1500" s="56" t="str">
        <f t="shared" ca="1" si="122"/>
        <v/>
      </c>
      <c r="Q1500" s="57" t="str">
        <f t="shared" si="123"/>
        <v/>
      </c>
      <c r="R1500" s="57" t="str">
        <f t="shared" si="124"/>
        <v/>
      </c>
    </row>
    <row r="1501" spans="4:18" x14ac:dyDescent="0.25">
      <c r="D1501" s="43"/>
      <c r="E1501" s="55" t="str">
        <f t="shared" si="120"/>
        <v/>
      </c>
      <c r="F1501" s="55"/>
      <c r="G1501" s="55"/>
      <c r="H1501" s="55"/>
      <c r="I1501" s="55"/>
      <c r="J1501" s="55"/>
      <c r="K1501" s="46" t="str">
        <f t="shared" ca="1" si="121"/>
        <v/>
      </c>
      <c r="L1501" s="56" t="str">
        <f t="shared" ca="1" si="122"/>
        <v/>
      </c>
      <c r="Q1501" s="57" t="str">
        <f t="shared" si="123"/>
        <v/>
      </c>
      <c r="R1501" s="57" t="str">
        <f t="shared" si="124"/>
        <v/>
      </c>
    </row>
    <row r="1502" spans="4:18" x14ac:dyDescent="0.25">
      <c r="D1502" s="43"/>
      <c r="E1502" s="55" t="str">
        <f t="shared" si="120"/>
        <v/>
      </c>
      <c r="F1502" s="55"/>
      <c r="G1502" s="55"/>
      <c r="H1502" s="55"/>
      <c r="I1502" s="55"/>
      <c r="J1502" s="55"/>
      <c r="K1502" s="46" t="str">
        <f t="shared" ca="1" si="121"/>
        <v/>
      </c>
      <c r="L1502" s="56" t="str">
        <f t="shared" ca="1" si="122"/>
        <v/>
      </c>
      <c r="Q1502" s="57" t="str">
        <f t="shared" si="123"/>
        <v/>
      </c>
      <c r="R1502" s="57" t="str">
        <f t="shared" si="124"/>
        <v/>
      </c>
    </row>
    <row r="1503" spans="4:18" x14ac:dyDescent="0.25">
      <c r="D1503" s="43"/>
      <c r="E1503" s="55" t="str">
        <f t="shared" si="120"/>
        <v/>
      </c>
      <c r="F1503" s="55"/>
      <c r="G1503" s="55"/>
      <c r="H1503" s="55"/>
      <c r="I1503" s="55"/>
      <c r="J1503" s="55"/>
      <c r="K1503" s="46" t="str">
        <f t="shared" ca="1" si="121"/>
        <v/>
      </c>
      <c r="L1503" s="56" t="str">
        <f t="shared" ca="1" si="122"/>
        <v/>
      </c>
      <c r="Q1503" s="57" t="str">
        <f t="shared" si="123"/>
        <v/>
      </c>
      <c r="R1503" s="57" t="str">
        <f t="shared" si="124"/>
        <v/>
      </c>
    </row>
    <row r="1504" spans="4:18" x14ac:dyDescent="0.25">
      <c r="D1504" s="43"/>
      <c r="E1504" s="55" t="str">
        <f t="shared" si="120"/>
        <v/>
      </c>
      <c r="F1504" s="55"/>
      <c r="G1504" s="55"/>
      <c r="H1504" s="55"/>
      <c r="I1504" s="55"/>
      <c r="J1504" s="55"/>
      <c r="K1504" s="46" t="str">
        <f t="shared" ca="1" si="121"/>
        <v/>
      </c>
      <c r="L1504" s="56" t="str">
        <f t="shared" ca="1" si="122"/>
        <v/>
      </c>
      <c r="Q1504" s="57" t="str">
        <f t="shared" si="123"/>
        <v/>
      </c>
      <c r="R1504" s="57" t="str">
        <f t="shared" si="124"/>
        <v/>
      </c>
    </row>
    <row r="1505" spans="4:18" x14ac:dyDescent="0.25">
      <c r="D1505" s="43"/>
      <c r="E1505" s="55" t="str">
        <f t="shared" si="120"/>
        <v/>
      </c>
      <c r="F1505" s="55"/>
      <c r="G1505" s="55"/>
      <c r="H1505" s="55"/>
      <c r="I1505" s="55"/>
      <c r="J1505" s="55"/>
      <c r="K1505" s="46" t="str">
        <f t="shared" ca="1" si="121"/>
        <v/>
      </c>
      <c r="L1505" s="56" t="str">
        <f t="shared" ca="1" si="122"/>
        <v/>
      </c>
      <c r="Q1505" s="57" t="str">
        <f t="shared" si="123"/>
        <v/>
      </c>
      <c r="R1505" s="57" t="str">
        <f t="shared" si="124"/>
        <v/>
      </c>
    </row>
    <row r="1506" spans="4:18" x14ac:dyDescent="0.25">
      <c r="D1506" s="43"/>
      <c r="E1506" s="55" t="str">
        <f t="shared" si="120"/>
        <v/>
      </c>
      <c r="F1506" s="55"/>
      <c r="G1506" s="55"/>
      <c r="H1506" s="55"/>
      <c r="I1506" s="55"/>
      <c r="J1506" s="55"/>
      <c r="K1506" s="46" t="str">
        <f t="shared" ca="1" si="121"/>
        <v/>
      </c>
      <c r="L1506" s="56" t="str">
        <f t="shared" ca="1" si="122"/>
        <v/>
      </c>
      <c r="Q1506" s="57" t="str">
        <f t="shared" si="123"/>
        <v/>
      </c>
      <c r="R1506" s="57" t="str">
        <f t="shared" si="124"/>
        <v/>
      </c>
    </row>
    <row r="1507" spans="4:18" x14ac:dyDescent="0.25">
      <c r="D1507" s="43"/>
      <c r="E1507" s="55" t="str">
        <f t="shared" si="120"/>
        <v/>
      </c>
      <c r="F1507" s="55"/>
      <c r="G1507" s="55"/>
      <c r="H1507" s="55"/>
      <c r="I1507" s="55"/>
      <c r="J1507" s="55"/>
      <c r="K1507" s="46" t="str">
        <f t="shared" ca="1" si="121"/>
        <v/>
      </c>
      <c r="L1507" s="56" t="str">
        <f t="shared" ca="1" si="122"/>
        <v/>
      </c>
      <c r="Q1507" s="57" t="str">
        <f t="shared" si="123"/>
        <v/>
      </c>
      <c r="R1507" s="57" t="str">
        <f t="shared" si="124"/>
        <v/>
      </c>
    </row>
    <row r="1508" spans="4:18" x14ac:dyDescent="0.25">
      <c r="D1508" s="43"/>
      <c r="E1508" s="55" t="str">
        <f t="shared" si="120"/>
        <v/>
      </c>
      <c r="F1508" s="55"/>
      <c r="G1508" s="55"/>
      <c r="H1508" s="55"/>
      <c r="I1508" s="55"/>
      <c r="J1508" s="55"/>
      <c r="K1508" s="46" t="str">
        <f t="shared" ca="1" si="121"/>
        <v/>
      </c>
      <c r="L1508" s="56" t="str">
        <f t="shared" ca="1" si="122"/>
        <v/>
      </c>
      <c r="Q1508" s="57" t="str">
        <f t="shared" si="123"/>
        <v/>
      </c>
      <c r="R1508" s="57" t="str">
        <f t="shared" si="124"/>
        <v/>
      </c>
    </row>
    <row r="1509" spans="4:18" x14ac:dyDescent="0.25">
      <c r="D1509" s="43"/>
      <c r="E1509" s="55" t="str">
        <f t="shared" si="120"/>
        <v/>
      </c>
      <c r="F1509" s="55"/>
      <c r="G1509" s="55"/>
      <c r="H1509" s="55"/>
      <c r="I1509" s="55"/>
      <c r="J1509" s="55"/>
      <c r="K1509" s="46" t="str">
        <f t="shared" ca="1" si="121"/>
        <v/>
      </c>
      <c r="L1509" s="56" t="str">
        <f t="shared" ca="1" si="122"/>
        <v/>
      </c>
      <c r="Q1509" s="57" t="str">
        <f t="shared" si="123"/>
        <v/>
      </c>
      <c r="R1509" s="57" t="str">
        <f t="shared" si="124"/>
        <v/>
      </c>
    </row>
    <row r="1510" spans="4:18" x14ac:dyDescent="0.25">
      <c r="D1510" s="43"/>
      <c r="E1510" s="55" t="str">
        <f t="shared" si="120"/>
        <v/>
      </c>
      <c r="F1510" s="55"/>
      <c r="G1510" s="55"/>
      <c r="H1510" s="55"/>
      <c r="I1510" s="55"/>
      <c r="J1510" s="55"/>
      <c r="K1510" s="46" t="str">
        <f t="shared" ca="1" si="121"/>
        <v/>
      </c>
      <c r="L1510" s="56" t="str">
        <f t="shared" ca="1" si="122"/>
        <v/>
      </c>
      <c r="Q1510" s="57" t="str">
        <f t="shared" si="123"/>
        <v/>
      </c>
      <c r="R1510" s="57" t="str">
        <f t="shared" si="124"/>
        <v/>
      </c>
    </row>
    <row r="1511" spans="4:18" x14ac:dyDescent="0.25">
      <c r="D1511" s="43"/>
      <c r="E1511" s="55" t="str">
        <f t="shared" si="120"/>
        <v/>
      </c>
      <c r="F1511" s="55"/>
      <c r="G1511" s="55"/>
      <c r="H1511" s="55"/>
      <c r="I1511" s="55"/>
      <c r="J1511" s="55"/>
      <c r="K1511" s="46" t="str">
        <f t="shared" ca="1" si="121"/>
        <v/>
      </c>
      <c r="L1511" s="56" t="str">
        <f t="shared" ca="1" si="122"/>
        <v/>
      </c>
      <c r="Q1511" s="57" t="str">
        <f t="shared" si="123"/>
        <v/>
      </c>
      <c r="R1511" s="57" t="str">
        <f t="shared" si="124"/>
        <v/>
      </c>
    </row>
    <row r="1512" spans="4:18" x14ac:dyDescent="0.25">
      <c r="D1512" s="43"/>
      <c r="E1512" s="55" t="str">
        <f t="shared" si="120"/>
        <v/>
      </c>
      <c r="F1512" s="55"/>
      <c r="G1512" s="55"/>
      <c r="H1512" s="55"/>
      <c r="I1512" s="55"/>
      <c r="J1512" s="55"/>
      <c r="K1512" s="46" t="str">
        <f t="shared" ca="1" si="121"/>
        <v/>
      </c>
      <c r="L1512" s="56" t="str">
        <f t="shared" ca="1" si="122"/>
        <v/>
      </c>
      <c r="Q1512" s="57" t="str">
        <f t="shared" si="123"/>
        <v/>
      </c>
      <c r="R1512" s="57" t="str">
        <f t="shared" si="124"/>
        <v/>
      </c>
    </row>
    <row r="1513" spans="4:18" x14ac:dyDescent="0.25">
      <c r="D1513" s="43"/>
      <c r="E1513" s="55" t="str">
        <f t="shared" si="120"/>
        <v/>
      </c>
      <c r="F1513" s="55"/>
      <c r="G1513" s="55"/>
      <c r="H1513" s="55"/>
      <c r="I1513" s="55"/>
      <c r="J1513" s="55"/>
      <c r="K1513" s="46" t="str">
        <f t="shared" ca="1" si="121"/>
        <v/>
      </c>
      <c r="L1513" s="56" t="str">
        <f t="shared" ca="1" si="122"/>
        <v/>
      </c>
      <c r="Q1513" s="57" t="str">
        <f t="shared" si="123"/>
        <v/>
      </c>
      <c r="R1513" s="57" t="str">
        <f t="shared" si="124"/>
        <v/>
      </c>
    </row>
    <row r="1514" spans="4:18" x14ac:dyDescent="0.25">
      <c r="D1514" s="43"/>
      <c r="E1514" s="55" t="str">
        <f t="shared" si="120"/>
        <v/>
      </c>
      <c r="F1514" s="55"/>
      <c r="G1514" s="55"/>
      <c r="H1514" s="55"/>
      <c r="I1514" s="55"/>
      <c r="J1514" s="55"/>
      <c r="K1514" s="46" t="str">
        <f t="shared" ca="1" si="121"/>
        <v/>
      </c>
      <c r="L1514" s="56" t="str">
        <f t="shared" ca="1" si="122"/>
        <v/>
      </c>
      <c r="Q1514" s="57" t="str">
        <f t="shared" si="123"/>
        <v/>
      </c>
      <c r="R1514" s="57" t="str">
        <f t="shared" si="124"/>
        <v/>
      </c>
    </row>
    <row r="1515" spans="4:18" x14ac:dyDescent="0.25">
      <c r="D1515" s="43"/>
      <c r="E1515" s="55" t="str">
        <f t="shared" si="120"/>
        <v/>
      </c>
      <c r="F1515" s="55"/>
      <c r="G1515" s="55"/>
      <c r="H1515" s="55"/>
      <c r="I1515" s="55"/>
      <c r="J1515" s="55"/>
      <c r="K1515" s="46" t="str">
        <f t="shared" ca="1" si="121"/>
        <v/>
      </c>
      <c r="L1515" s="56" t="str">
        <f t="shared" ca="1" si="122"/>
        <v/>
      </c>
      <c r="Q1515" s="57" t="str">
        <f t="shared" si="123"/>
        <v/>
      </c>
      <c r="R1515" s="57" t="str">
        <f t="shared" si="124"/>
        <v/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Lists!$A$2:$A$5</xm:f>
          </x14:formula1>
          <xm:sqref>E1516:E1048576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99"/>
  <sheetViews>
    <sheetView workbookViewId="0">
      <selection activeCell="A313" sqref="A313"/>
    </sheetView>
  </sheetViews>
  <sheetFormatPr defaultColWidth="8.7109375" defaultRowHeight="15" x14ac:dyDescent="0.25"/>
  <cols>
    <col min="1" max="1" width="130.28515625" style="51" customWidth="1"/>
    <col min="2" max="2" width="15.7109375" style="33" customWidth="1"/>
    <col min="3" max="17" width="9.28515625" style="33"/>
  </cols>
  <sheetData>
    <row r="1" spans="1:14" ht="15.75" x14ac:dyDescent="0.25">
      <c r="A1" s="52" t="s">
        <v>70</v>
      </c>
    </row>
    <row r="2" spans="1:14" x14ac:dyDescent="0.25">
      <c r="A2" s="51" t="str">
        <f>IF('Input Sheet'!C4="","",CONCATENATE("Sample ", 'Input Sheet'!B4, "m: ", L2, F2, "% ", "Siltstone, ", N2, 'Input Sheet'!C4, "% ", H2, " Sandstone, ", J2, I2, " FLUOR in SST. ", "TG ", 'Input Sheet'!H4, "U"))</f>
        <v>Sample 1715m: trace siderite in 65% Siltstone, 35% fine Sandstone, 5% dim FLUOR in SST. TG 22.6U</v>
      </c>
      <c r="F2" s="36">
        <f>IF('Input Sheet'!C4="","",100-'Input Sheet'!C4)</f>
        <v>65</v>
      </c>
      <c r="G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" s="36" t="str">
        <f t="shared" ref="H2:H65" si="0">SUBSTITUTE(G2, "veryfine", "very fine")</f>
        <v>fine</v>
      </c>
      <c r="I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2" s="36" t="str">
        <f>IF('Input Sheet'!F4=0, "NO",CONCATENATE('Input Sheet'!F4, IF('Input Sheet'!F4&gt;0,"% ","")))</f>
        <v xml:space="preserve">5% </v>
      </c>
      <c r="K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" s="36" t="str">
        <f>CONCATENATE(K2, IF('Input Sheet'!I4="",""," siderite in "))</f>
        <v xml:space="preserve">trace siderite in </v>
      </c>
      <c r="M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" s="36" t="str">
        <f>CONCATENATE(M2, IF('Input Sheet'!J4="",""," siderite in "))</f>
        <v/>
      </c>
    </row>
    <row r="3" spans="1:14" x14ac:dyDescent="0.25">
      <c r="A3" s="51" t="str">
        <f>IF('Input Sheet'!C5="","",CONCATENATE("Sample ", 'Input Sheet'!B5, "m: ", L3, F3, "% ", "Siltstone, ", N3, 'Input Sheet'!C5, "% ", H3, " Sandstone, ", J3, I3, " FLUOR in SST. ", "TG ", 'Input Sheet'!H5, "U"))</f>
        <v>Sample 1720m: 65% Siltstone, 35% fine Sandstone, 5% dim FLUOR in SST. TG 22.6U</v>
      </c>
      <c r="C3" s="37"/>
      <c r="D3" s="38"/>
      <c r="F3" s="36">
        <f>IF('Input Sheet'!C5="","",100-'Input Sheet'!C5)</f>
        <v>65</v>
      </c>
      <c r="G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" s="36" t="str">
        <f t="shared" si="0"/>
        <v>fine</v>
      </c>
      <c r="I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3" s="36" t="str">
        <f>IF('Input Sheet'!F5=0, "NO",CONCATENATE('Input Sheet'!F5, IF('Input Sheet'!F5&gt;0,"% ","")))</f>
        <v xml:space="preserve">5% </v>
      </c>
      <c r="K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" s="36" t="str">
        <f>CONCATENATE(K3, IF('Input Sheet'!I5="",""," siderite in "))</f>
        <v/>
      </c>
      <c r="M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" s="36" t="str">
        <f>CONCATENATE(M3, IF('Input Sheet'!J5="",""," siderite in "))</f>
        <v/>
      </c>
    </row>
    <row r="4" spans="1:14" x14ac:dyDescent="0.25">
      <c r="A4" s="51" t="str">
        <f>IF('Input Sheet'!C6="","",CONCATENATE("Sample ", 'Input Sheet'!B6, "m: ", L4, F4, "% ", "Siltstone, ", N4, 'Input Sheet'!C6, "% ", H4, " Sandstone, ", J4, I4, " FLUOR in SST. ", "TG ", 'Input Sheet'!H6, "U"))</f>
        <v>Sample 1785m: 60% Siltstone, 40% fine Sandstone, 100% dim FLUOR in SST. TG 39.4U</v>
      </c>
      <c r="C4" s="39" t="s">
        <v>18</v>
      </c>
      <c r="D4" s="40" t="s">
        <v>19</v>
      </c>
      <c r="F4" s="36">
        <f>IF('Input Sheet'!C6="","",100-'Input Sheet'!C6)</f>
        <v>60</v>
      </c>
      <c r="G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" s="36" t="str">
        <f t="shared" si="0"/>
        <v>fine</v>
      </c>
      <c r="I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4" s="36" t="str">
        <f>IF('Input Sheet'!F6=0, "NO",CONCATENATE('Input Sheet'!F6, IF('Input Sheet'!F6&gt;0,"% ","")))</f>
        <v xml:space="preserve">100% </v>
      </c>
      <c r="K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" s="36" t="str">
        <f>CONCATENATE(K4, IF('Input Sheet'!I6="",""," siderite in "))</f>
        <v/>
      </c>
      <c r="M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" s="36" t="str">
        <f>CONCATENATE(M4, IF('Input Sheet'!J6="",""," siderite in "))</f>
        <v/>
      </c>
    </row>
    <row r="5" spans="1:14" x14ac:dyDescent="0.25">
      <c r="A5" s="51" t="str">
        <f>IF('Input Sheet'!C7="","",CONCATENATE("Sample ", 'Input Sheet'!B7, "m: ", L5, F5, "% ", "Siltstone, ", N5, 'Input Sheet'!C7, "% ", H5, " Sandstone, ", J5, I5, " FLUOR in SST. ", "TG ", 'Input Sheet'!H7, "U"))</f>
        <v>Sample 1790m: 60% Siltstone, 40% fine Sandstone, 100% dim FLUOR in SST. TG 24U</v>
      </c>
      <c r="C5" s="39" t="s">
        <v>22</v>
      </c>
      <c r="D5" s="40" t="s">
        <v>23</v>
      </c>
      <c r="F5" s="36">
        <f>IF('Input Sheet'!C7="","",100-'Input Sheet'!C7)</f>
        <v>60</v>
      </c>
      <c r="G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" s="36" t="str">
        <f t="shared" si="0"/>
        <v>fine</v>
      </c>
      <c r="I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5" s="36" t="str">
        <f>IF('Input Sheet'!F7=0, "NO",CONCATENATE('Input Sheet'!F7, IF('Input Sheet'!F7&gt;0,"% ","")))</f>
        <v xml:space="preserve">100% </v>
      </c>
      <c r="K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" s="36" t="str">
        <f>CONCATENATE(K5, IF('Input Sheet'!I7="",""," siderite in "))</f>
        <v/>
      </c>
      <c r="M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" s="36" t="str">
        <f>CONCATENATE(M5, IF('Input Sheet'!J7="",""," siderite in "))</f>
        <v/>
      </c>
    </row>
    <row r="6" spans="1:14" x14ac:dyDescent="0.25">
      <c r="A6" s="51" t="str">
        <f>IF('Input Sheet'!C8="","",CONCATENATE("Sample ", 'Input Sheet'!B8, "m: ", L6, F6, "% ", "Siltstone, ", N6, 'Input Sheet'!C8, "% ", H6, " Sandstone, ", J6, I6, " FLUOR in SST. ", "TG ", 'Input Sheet'!H8, "U"))</f>
        <v>Sample 1795m: 20% Siltstone, 80% fine Sandstone, 100% dim FLUOR in SST. TG 26.4U</v>
      </c>
      <c r="C6" s="39" t="s">
        <v>24</v>
      </c>
      <c r="D6" s="40" t="s">
        <v>25</v>
      </c>
      <c r="F6" s="36">
        <f>IF('Input Sheet'!C8="","",100-'Input Sheet'!C8)</f>
        <v>20</v>
      </c>
      <c r="G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6" s="36" t="str">
        <f t="shared" si="0"/>
        <v>fine</v>
      </c>
      <c r="I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6" s="36" t="str">
        <f>IF('Input Sheet'!F8=0, "NO",CONCATENATE('Input Sheet'!F8, IF('Input Sheet'!F8&gt;0,"% ","")))</f>
        <v xml:space="preserve">100% </v>
      </c>
      <c r="K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" s="36" t="str">
        <f>CONCATENATE(K6, IF('Input Sheet'!I8="",""," siderite in "))</f>
        <v/>
      </c>
      <c r="M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" s="36" t="str">
        <f>CONCATENATE(M6, IF('Input Sheet'!J8="",""," siderite in "))</f>
        <v/>
      </c>
    </row>
    <row r="7" spans="1:14" x14ac:dyDescent="0.25">
      <c r="A7" s="51" t="str">
        <f>IF('Input Sheet'!C9="","",CONCATENATE("Sample ", 'Input Sheet'!B9, "m: ", L7, F7, "% ", "Siltstone, ", N7, 'Input Sheet'!C9, "% ", H7, " Sandstone, ", J7, I7, " FLUOR in SST. ", "TG ", 'Input Sheet'!H9, "U"))</f>
        <v>Sample 1800m: 40% Siltstone, 60% fine Sandstone, 100% dim FLUOR in SST. TG 20.4U</v>
      </c>
      <c r="C7" s="39" t="s">
        <v>28</v>
      </c>
      <c r="D7" s="40" t="s">
        <v>29</v>
      </c>
      <c r="F7" s="36">
        <f>IF('Input Sheet'!C9="","",100-'Input Sheet'!C9)</f>
        <v>40</v>
      </c>
      <c r="G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7" s="36" t="str">
        <f t="shared" si="0"/>
        <v>fine</v>
      </c>
      <c r="I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7" s="36" t="str">
        <f>IF('Input Sheet'!F9=0, "NO",CONCATENATE('Input Sheet'!F9, IF('Input Sheet'!F9&gt;0,"% ","")))</f>
        <v xml:space="preserve">100% </v>
      </c>
      <c r="K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" s="36" t="str">
        <f>CONCATENATE(K7, IF('Input Sheet'!I9="",""," siderite in "))</f>
        <v/>
      </c>
      <c r="M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" s="36" t="str">
        <f>CONCATENATE(M7, IF('Input Sheet'!J9="",""," siderite in "))</f>
        <v/>
      </c>
    </row>
    <row r="8" spans="1:14" x14ac:dyDescent="0.25">
      <c r="A8" s="51" t="str">
        <f>IF('Input Sheet'!C10="","",CONCATENATE("Sample ", 'Input Sheet'!B10, "m: ", L8, F8, "% ", "Siltstone, ", N8, 'Input Sheet'!C10, "% ", H8, " Sandstone, ", J8, I8, " FLUOR in SST. ", "TG ", 'Input Sheet'!H10, "U"))</f>
        <v>Sample 1805m: 40% Siltstone, 60% fine Sandstone, 10% dim FLUOR in SST. TG 14.5U</v>
      </c>
      <c r="C8" s="39" t="s">
        <v>30</v>
      </c>
      <c r="D8" s="40" t="s">
        <v>31</v>
      </c>
      <c r="F8" s="36">
        <f>IF('Input Sheet'!C10="","",100-'Input Sheet'!C10)</f>
        <v>40</v>
      </c>
      <c r="G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8" s="36" t="str">
        <f t="shared" si="0"/>
        <v>fine</v>
      </c>
      <c r="I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8" s="36" t="str">
        <f>IF('Input Sheet'!F10=0, "NO",CONCATENATE('Input Sheet'!F10, IF('Input Sheet'!F10&gt;0,"% ","")))</f>
        <v xml:space="preserve">10% </v>
      </c>
      <c r="K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" s="36" t="str">
        <f>CONCATENATE(K8, IF('Input Sheet'!I10="",""," siderite in "))</f>
        <v/>
      </c>
      <c r="M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" s="36" t="str">
        <f>CONCATENATE(M8, IF('Input Sheet'!J10="",""," siderite in "))</f>
        <v/>
      </c>
    </row>
    <row r="9" spans="1:14" x14ac:dyDescent="0.25">
      <c r="A9" s="51" t="str">
        <f>IF('Input Sheet'!C11="","",CONCATENATE("Sample ", 'Input Sheet'!B11, "m: ", L9, F9, "% ", "Siltstone, ", N9, 'Input Sheet'!C11, "% ", H9, " Sandstone, ", J9, I9, " FLUOR in SST. ", "TG ", 'Input Sheet'!H11, "U"))</f>
        <v>Sample 1810m: 50% Siltstone, 50% fine Sandstone, 10% dim FLUOR in SST. TG 16.2U</v>
      </c>
      <c r="C9" s="39" t="s">
        <v>33</v>
      </c>
      <c r="D9" s="40" t="s">
        <v>34</v>
      </c>
      <c r="F9" s="36">
        <f>IF('Input Sheet'!C11="","",100-'Input Sheet'!C11)</f>
        <v>50</v>
      </c>
      <c r="G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" s="36" t="str">
        <f t="shared" si="0"/>
        <v>fine</v>
      </c>
      <c r="I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9" s="36" t="str">
        <f>IF('Input Sheet'!F11=0, "NO",CONCATENATE('Input Sheet'!F11, IF('Input Sheet'!F11&gt;0,"% ","")))</f>
        <v xml:space="preserve">10% </v>
      </c>
      <c r="K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" s="36" t="str">
        <f>CONCATENATE(K9, IF('Input Sheet'!I11="",""," siderite in "))</f>
        <v/>
      </c>
      <c r="M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" s="36" t="str">
        <f>CONCATENATE(M9, IF('Input Sheet'!J11="",""," siderite in "))</f>
        <v/>
      </c>
    </row>
    <row r="10" spans="1:14" x14ac:dyDescent="0.25">
      <c r="A10" s="51" t="str">
        <f>IF('Input Sheet'!C12="","",CONCATENATE("Sample ", 'Input Sheet'!B12, "m: ", L10, F10, "% ", "Siltstone, ", N10, 'Input Sheet'!C12, "% ", H10, " Sandstone, ", J10, I10, " FLUOR in SST. ", "TG ", 'Input Sheet'!H12, "U"))</f>
        <v>Sample 1895m: trace siderite in 85% Siltstone, 15% fine Sandstone, 20% dim FLUOR in SST. TG 7.8U</v>
      </c>
      <c r="C10" s="39" t="s">
        <v>17</v>
      </c>
      <c r="D10" s="40" t="s">
        <v>36</v>
      </c>
      <c r="F10" s="36">
        <f>IF('Input Sheet'!C12="","",100-'Input Sheet'!C12)</f>
        <v>85</v>
      </c>
      <c r="G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0" s="36" t="str">
        <f t="shared" si="0"/>
        <v>fine</v>
      </c>
      <c r="I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10" s="36" t="str">
        <f>IF('Input Sheet'!F12=0, "NO",CONCATENATE('Input Sheet'!F12, IF('Input Sheet'!F12&gt;0,"% ","")))</f>
        <v xml:space="preserve">20% </v>
      </c>
      <c r="K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10" s="36" t="str">
        <f>CONCATENATE(K10, IF('Input Sheet'!I12="",""," siderite in "))</f>
        <v xml:space="preserve">trace siderite in </v>
      </c>
      <c r="M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" s="36" t="str">
        <f>CONCATENATE(M10, IF('Input Sheet'!J12="",""," siderite in "))</f>
        <v/>
      </c>
    </row>
    <row r="11" spans="1:14" x14ac:dyDescent="0.25">
      <c r="A11" s="51" t="str">
        <f>IF('Input Sheet'!C13="","",CONCATENATE("Sample ", 'Input Sheet'!B13, "m: ", L11, F11, "% ", "Siltstone, ", N11, 'Input Sheet'!C13, "% ", H11, " Sandstone, ", J11, I11, " FLUOR in SST. ", "TG ", 'Input Sheet'!H13, "U"))</f>
        <v>Sample 1900m: 85% Siltstone, 15% fine Sandstone, 50% dim FLUOR in SST. TG 7.4U</v>
      </c>
      <c r="C11" s="39" t="s">
        <v>37</v>
      </c>
      <c r="D11" s="40" t="s">
        <v>38</v>
      </c>
      <c r="F11" s="36">
        <f>IF('Input Sheet'!C13="","",100-'Input Sheet'!C13)</f>
        <v>85</v>
      </c>
      <c r="G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1" s="36" t="str">
        <f t="shared" si="0"/>
        <v>fine</v>
      </c>
      <c r="I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dim</v>
      </c>
      <c r="J11" s="36" t="str">
        <f>IF('Input Sheet'!F13=0, "NO",CONCATENATE('Input Sheet'!F13, IF('Input Sheet'!F13&gt;0,"% ","")))</f>
        <v xml:space="preserve">50% </v>
      </c>
      <c r="K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" s="36" t="str">
        <f>CONCATENATE(K11, IF('Input Sheet'!I13="",""," siderite in "))</f>
        <v/>
      </c>
      <c r="M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" s="36" t="str">
        <f>CONCATENATE(M11, IF('Input Sheet'!J13="",""," siderite in "))</f>
        <v/>
      </c>
    </row>
    <row r="12" spans="1:14" x14ac:dyDescent="0.25">
      <c r="A12" s="51" t="str">
        <f>IF('Input Sheet'!C14="","",CONCATENATE("Sample ", 'Input Sheet'!B14, "m: ", L12, F12, "% ", "Siltstone, ", N12, 'Input Sheet'!C14, "% ", H12, " Sandstone, ", J12, I12, " FLUOR in SST. ", "TG ", 'Input Sheet'!H14, "U"))</f>
        <v>Sample 1905m: 90% Siltstone, 10% fine Sandstone, 100% dull FLUOR in SST. TG 17.9U</v>
      </c>
      <c r="C12" s="39" t="s">
        <v>27</v>
      </c>
      <c r="D12" s="40" t="s">
        <v>39</v>
      </c>
      <c r="F12" s="36">
        <f>IF('Input Sheet'!C14="","",100-'Input Sheet'!C14)</f>
        <v>90</v>
      </c>
      <c r="G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2" s="36" t="str">
        <f t="shared" si="0"/>
        <v>fine</v>
      </c>
      <c r="I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12" s="36" t="str">
        <f>IF('Input Sheet'!F14=0, "NO",CONCATENATE('Input Sheet'!F14, IF('Input Sheet'!F14&gt;0,"% ","")))</f>
        <v xml:space="preserve">100% </v>
      </c>
      <c r="K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" s="36" t="str">
        <f>CONCATENATE(K12, IF('Input Sheet'!I14="",""," siderite in "))</f>
        <v/>
      </c>
      <c r="M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" s="36" t="str">
        <f>CONCATENATE(M12, IF('Input Sheet'!J14="",""," siderite in "))</f>
        <v/>
      </c>
    </row>
    <row r="13" spans="1:14" x14ac:dyDescent="0.25">
      <c r="A13" s="51" t="str">
        <f>IF('Input Sheet'!C15="","",CONCATENATE("Sample ", 'Input Sheet'!B15, "m: ", L13, F13, "% ", "Siltstone, ", N13, 'Input Sheet'!C15, "% ", H13, " Sandstone, ", J13, I13, " FLUOR in SST. ", "TG ", 'Input Sheet'!H15, "U"))</f>
        <v>Sample 1910m: common siderite in 90% Siltstone, 10% fine Sandstone, 100% dull FLUOR in SST. TG 15.3U</v>
      </c>
      <c r="C13" s="39" t="s">
        <v>41</v>
      </c>
      <c r="D13" s="40" t="s">
        <v>42</v>
      </c>
      <c r="F13" s="36">
        <f>IF('Input Sheet'!C15="","",100-'Input Sheet'!C15)</f>
        <v>90</v>
      </c>
      <c r="G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3" s="36" t="str">
        <f t="shared" si="0"/>
        <v>fine</v>
      </c>
      <c r="I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13" s="36" t="str">
        <f>IF('Input Sheet'!F15=0, "NO",CONCATENATE('Input Sheet'!F15, IF('Input Sheet'!F15&gt;0,"% ","")))</f>
        <v xml:space="preserve">100% </v>
      </c>
      <c r="K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13" s="36" t="str">
        <f>CONCATENATE(K13, IF('Input Sheet'!I15="",""," siderite in "))</f>
        <v xml:space="preserve">common siderite in </v>
      </c>
      <c r="M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" s="36" t="str">
        <f>CONCATENATE(M13, IF('Input Sheet'!J15="",""," siderite in "))</f>
        <v/>
      </c>
    </row>
    <row r="14" spans="1:14" x14ac:dyDescent="0.25">
      <c r="A14" s="51" t="str">
        <f>IF('Input Sheet'!C16="","",CONCATENATE("Sample ", 'Input Sheet'!B16, "m: ", L14, F14, "% ", "Siltstone, ", N14, 'Input Sheet'!C16, "% ", H14, " Sandstone, ", J14, I14, " FLUOR in SST. ", "TG ", 'Input Sheet'!H16, "U"))</f>
        <v>Sample 1915m: 80% Siltstone, 20% fine Sandstone, 100% dull FLUOR in SST. TG 20.4U</v>
      </c>
      <c r="C14" s="39" t="s">
        <v>46</v>
      </c>
      <c r="D14" s="40" t="s">
        <v>47</v>
      </c>
      <c r="F14" s="36">
        <f>IF('Input Sheet'!C16="","",100-'Input Sheet'!C16)</f>
        <v>80</v>
      </c>
      <c r="G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4" s="36" t="str">
        <f t="shared" si="0"/>
        <v>fine</v>
      </c>
      <c r="I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14" s="36" t="str">
        <f>IF('Input Sheet'!F16=0, "NO",CONCATENATE('Input Sheet'!F16, IF('Input Sheet'!F16&gt;0,"% ","")))</f>
        <v xml:space="preserve">100% </v>
      </c>
      <c r="K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" s="36" t="str">
        <f>CONCATENATE(K14, IF('Input Sheet'!I16="",""," siderite in "))</f>
        <v/>
      </c>
      <c r="M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" s="36" t="str">
        <f>CONCATENATE(M14, IF('Input Sheet'!J16="",""," siderite in "))</f>
        <v/>
      </c>
    </row>
    <row r="15" spans="1:14" x14ac:dyDescent="0.25">
      <c r="A15" s="51" t="str">
        <f>IF('Input Sheet'!C17="","",CONCATENATE("Sample ", 'Input Sheet'!B17, "m: ", L15, F15, "% ", "Siltstone, ", N15, 'Input Sheet'!C17, "% ", H15, " Sandstone, ", J15, I15, " FLUOR in SST. ", "TG ", 'Input Sheet'!H17, "U"))</f>
        <v>Sample 1920m: 80% Siltstone, 20% fine Sandstone, 100% dull FLUOR in SST. TG 10.8U</v>
      </c>
      <c r="C15" s="39" t="s">
        <v>50</v>
      </c>
      <c r="D15" s="40" t="s">
        <v>51</v>
      </c>
      <c r="F15" s="36">
        <f>IF('Input Sheet'!C17="","",100-'Input Sheet'!C17)</f>
        <v>80</v>
      </c>
      <c r="G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5" s="36" t="str">
        <f t="shared" si="0"/>
        <v>fine</v>
      </c>
      <c r="I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15" s="36" t="str">
        <f>IF('Input Sheet'!F17=0, "NO",CONCATENATE('Input Sheet'!F17, IF('Input Sheet'!F17&gt;0,"% ","")))</f>
        <v xml:space="preserve">100% </v>
      </c>
      <c r="K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" s="36" t="str">
        <f>CONCATENATE(K15, IF('Input Sheet'!I17="",""," siderite in "))</f>
        <v/>
      </c>
      <c r="M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" s="36" t="str">
        <f>CONCATENATE(M15, IF('Input Sheet'!J17="",""," siderite in "))</f>
        <v/>
      </c>
    </row>
    <row r="16" spans="1:14" x14ac:dyDescent="0.25">
      <c r="A16" s="51" t="str">
        <f>IF('Input Sheet'!C18="","",CONCATENATE("Sample ", 'Input Sheet'!B18, "m: ", L16, F16, "% ", "Siltstone, ", N16, 'Input Sheet'!C18, "% ", H16, " Sandstone, ", J16, I16, " FLUOR in SST. ", "TG ", 'Input Sheet'!H18, "U"))</f>
        <v>Sample 1925m: 90% Siltstone, 10% fine Sandstone, 100% dull FLUOR in SST. TG 19.4U</v>
      </c>
      <c r="C16" s="39" t="s">
        <v>52</v>
      </c>
      <c r="D16" s="40" t="s">
        <v>53</v>
      </c>
      <c r="F16" s="36">
        <f>IF('Input Sheet'!C18="","",100-'Input Sheet'!C18)</f>
        <v>90</v>
      </c>
      <c r="G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6" s="36" t="str">
        <f t="shared" si="0"/>
        <v>fine</v>
      </c>
      <c r="I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16" s="36" t="str">
        <f>IF('Input Sheet'!F18=0, "NO",CONCATENATE('Input Sheet'!F18, IF('Input Sheet'!F18&gt;0,"% ","")))</f>
        <v xml:space="preserve">100% </v>
      </c>
      <c r="K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" s="36" t="str">
        <f>CONCATENATE(K16, IF('Input Sheet'!I18="",""," siderite in "))</f>
        <v/>
      </c>
      <c r="M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" s="36" t="str">
        <f>CONCATENATE(M16, IF('Input Sheet'!J18="",""," siderite in "))</f>
        <v/>
      </c>
    </row>
    <row r="17" spans="1:14" x14ac:dyDescent="0.25">
      <c r="A17" s="51" t="str">
        <f>IF('Input Sheet'!C19="","",CONCATENATE("Sample ", 'Input Sheet'!B19, "m: ", L17, F17, "% ", "Siltstone, ", N17, 'Input Sheet'!C19, "% ", H17, " Sandstone, ", J17, I17, " FLUOR in SST. ", "TG ", 'Input Sheet'!H19, "U"))</f>
        <v>Sample 1930m: 90% Siltstone, 10% fine Sandstone, 100% dull FLUOR in SST. TG 19U</v>
      </c>
      <c r="C17" s="39" t="s">
        <v>55</v>
      </c>
      <c r="D17" s="40" t="s">
        <v>56</v>
      </c>
      <c r="F17" s="36">
        <f>IF('Input Sheet'!C19="","",100-'Input Sheet'!C19)</f>
        <v>90</v>
      </c>
      <c r="G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7" s="36" t="str">
        <f t="shared" si="0"/>
        <v>fine</v>
      </c>
      <c r="I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17" s="36" t="str">
        <f>IF('Input Sheet'!F19=0, "NO",CONCATENATE('Input Sheet'!F19, IF('Input Sheet'!F19&gt;0,"% ","")))</f>
        <v xml:space="preserve">100% </v>
      </c>
      <c r="K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" s="36" t="str">
        <f>CONCATENATE(K17, IF('Input Sheet'!I19="",""," siderite in "))</f>
        <v/>
      </c>
      <c r="M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" s="36" t="str">
        <f>CONCATENATE(M17, IF('Input Sheet'!J19="",""," siderite in "))</f>
        <v/>
      </c>
    </row>
    <row r="18" spans="1:14" x14ac:dyDescent="0.25">
      <c r="A18" s="51" t="str">
        <f>IF('Input Sheet'!C20="","",CONCATENATE("Sample ", 'Input Sheet'!B20, "m: ", L18, F18, "% ", "Siltstone, ", N18, 'Input Sheet'!C20, "% ", H18, " Sandstone, ", J18, I18, " FLUOR in SST. ", "TG ", 'Input Sheet'!H20, "U"))</f>
        <v>Sample 1935m: 80% Siltstone, 20% fine Sandstone, 100% dull FLUOR in SST. TG 21.5U</v>
      </c>
      <c r="C18" s="39" t="s">
        <v>57</v>
      </c>
      <c r="D18" s="40" t="s">
        <v>58</v>
      </c>
      <c r="F18" s="36">
        <f>IF('Input Sheet'!C20="","",100-'Input Sheet'!C20)</f>
        <v>80</v>
      </c>
      <c r="G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8" s="36" t="str">
        <f t="shared" si="0"/>
        <v>fine</v>
      </c>
      <c r="I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18" s="36" t="str">
        <f>IF('Input Sheet'!F20=0, "NO",CONCATENATE('Input Sheet'!F20, IF('Input Sheet'!F20&gt;0,"% ","")))</f>
        <v xml:space="preserve">100% </v>
      </c>
      <c r="K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" s="36" t="str">
        <f>CONCATENATE(K18, IF('Input Sheet'!I20="",""," siderite in "))</f>
        <v/>
      </c>
      <c r="M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" s="36" t="str">
        <f>CONCATENATE(M18, IF('Input Sheet'!J20="",""," siderite in "))</f>
        <v/>
      </c>
    </row>
    <row r="19" spans="1:14" x14ac:dyDescent="0.25">
      <c r="A19" s="51" t="str">
        <f>IF('Input Sheet'!C21="","",CONCATENATE("Sample ", 'Input Sheet'!B21, "m: ", L19, F19, "% ", "Siltstone, ", N19, 'Input Sheet'!C21, "% ", H19, " Sandstone, ", J19, I19, " FLUOR in SST. ", "TG ", 'Input Sheet'!H21, "U"))</f>
        <v>Sample 1940m: common siderite in 80% Siltstone, 20% fine Sandstone, 100% dull FLUOR in SST. TG 13.6U</v>
      </c>
      <c r="C19" s="39" t="s">
        <v>59</v>
      </c>
      <c r="D19" s="40" t="s">
        <v>60</v>
      </c>
      <c r="F19" s="36">
        <f>IF('Input Sheet'!C21="","",100-'Input Sheet'!C21)</f>
        <v>80</v>
      </c>
      <c r="G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19" s="36" t="str">
        <f t="shared" si="0"/>
        <v>fine</v>
      </c>
      <c r="I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19" s="36" t="str">
        <f>IF('Input Sheet'!F21=0, "NO",CONCATENATE('Input Sheet'!F21, IF('Input Sheet'!F21&gt;0,"% ","")))</f>
        <v xml:space="preserve">100% </v>
      </c>
      <c r="K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19" s="36" t="str">
        <f>CONCATENATE(K19, IF('Input Sheet'!I21="",""," siderite in "))</f>
        <v xml:space="preserve">common siderite in </v>
      </c>
      <c r="M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" s="36" t="str">
        <f>CONCATENATE(M19, IF('Input Sheet'!J21="",""," siderite in "))</f>
        <v/>
      </c>
    </row>
    <row r="20" spans="1:14" x14ac:dyDescent="0.25">
      <c r="A20" s="51" t="str">
        <f>IF('Input Sheet'!C22="","",CONCATENATE("Sample ", 'Input Sheet'!B22, "m: ", L20, F20, "% ", "Siltstone, ", N20, 'Input Sheet'!C22, "% ", H20, " Sandstone, ", J20, I20, " FLUOR in SST. ", "TG ", 'Input Sheet'!H22, "U"))</f>
        <v>Sample 1945m: 80% Siltstone, 20% fine Sandstone, 100% dull FLUOR in SST. TG 15.1U</v>
      </c>
      <c r="C20" s="39"/>
      <c r="D20" s="40"/>
      <c r="F20" s="36">
        <f>IF('Input Sheet'!C22="","",100-'Input Sheet'!C22)</f>
        <v>80</v>
      </c>
      <c r="G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0" s="36" t="str">
        <f t="shared" si="0"/>
        <v>fine</v>
      </c>
      <c r="I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20" s="36" t="str">
        <f>IF('Input Sheet'!F22=0, "NO",CONCATENATE('Input Sheet'!F22, IF('Input Sheet'!F22&gt;0,"% ","")))</f>
        <v xml:space="preserve">100% </v>
      </c>
      <c r="K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" s="36" t="str">
        <f>CONCATENATE(K20, IF('Input Sheet'!I22="",""," siderite in "))</f>
        <v/>
      </c>
      <c r="M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" s="36" t="str">
        <f>CONCATENATE(M20, IF('Input Sheet'!J22="",""," siderite in "))</f>
        <v/>
      </c>
    </row>
    <row r="21" spans="1:14" x14ac:dyDescent="0.25">
      <c r="A21" s="51" t="str">
        <f>IF('Input Sheet'!C23="","",CONCATENATE("Sample ", 'Input Sheet'!B23, "m: ", L21, F21, "% ", "Siltstone, ", N21, 'Input Sheet'!C23, "% ", H21, " Sandstone, ", J21, I21, " FLUOR in SST. ", "TG ", 'Input Sheet'!H23, "U"))</f>
        <v>Sample 1950m: 80% Siltstone, 20% fine Sandstone, 100% dull FLUOR in SST. TG 23.2U</v>
      </c>
      <c r="C21" s="39"/>
      <c r="D21" s="40"/>
      <c r="F21" s="36">
        <f>IF('Input Sheet'!C23="","",100-'Input Sheet'!C23)</f>
        <v>80</v>
      </c>
      <c r="G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1" s="36" t="str">
        <f t="shared" si="0"/>
        <v>fine</v>
      </c>
      <c r="I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dull</v>
      </c>
      <c r="J21" s="36" t="str">
        <f>IF('Input Sheet'!F23=0, "NO",CONCATENATE('Input Sheet'!F23, IF('Input Sheet'!F23&gt;0,"% ","")))</f>
        <v xml:space="preserve">100% </v>
      </c>
      <c r="K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" s="36" t="str">
        <f>CONCATENATE(K21, IF('Input Sheet'!I23="",""," siderite in "))</f>
        <v/>
      </c>
      <c r="M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" s="36" t="str">
        <f>CONCATENATE(M21, IF('Input Sheet'!J23="",""," siderite in "))</f>
        <v/>
      </c>
    </row>
    <row r="22" spans="1:14" x14ac:dyDescent="0.25">
      <c r="A22" s="51" t="str">
        <f>IF('Input Sheet'!C24="","",CONCATENATE("Sample ", 'Input Sheet'!B24, "m: ", L22, F22, "% ", "Siltstone, ", N22, 'Input Sheet'!C24, "% ", H22, " Sandstone, ", J22, I22, " FLUOR in SST. ", "TG ", 'Input Sheet'!H24, "U"))</f>
        <v>Sample 1955m: 75% Siltstone, 25% fine Sandstone, 100% pale FLUOR in SST. TG 23U</v>
      </c>
      <c r="C22" s="39"/>
      <c r="D22" s="40"/>
      <c r="F22" s="36">
        <f>IF('Input Sheet'!C24="","",100-'Input Sheet'!C24)</f>
        <v>75</v>
      </c>
      <c r="G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2" s="36" t="str">
        <f t="shared" si="0"/>
        <v>fine</v>
      </c>
      <c r="I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pale</v>
      </c>
      <c r="J22" s="36" t="str">
        <f>IF('Input Sheet'!F24=0, "NO",CONCATENATE('Input Sheet'!F24, IF('Input Sheet'!F24&gt;0,"% ","")))</f>
        <v xml:space="preserve">100% </v>
      </c>
      <c r="K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" s="36" t="str">
        <f>CONCATENATE(K22, IF('Input Sheet'!I24="",""," siderite in "))</f>
        <v/>
      </c>
      <c r="M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" s="36" t="str">
        <f>CONCATENATE(M22, IF('Input Sheet'!J24="",""," siderite in "))</f>
        <v/>
      </c>
    </row>
    <row r="23" spans="1:14" x14ac:dyDescent="0.25">
      <c r="A23" s="51" t="str">
        <f>IF('Input Sheet'!C25="","",CONCATENATE("Sample ", 'Input Sheet'!B25, "m: ", L23, F23, "% ", "Siltstone, ", N23, 'Input Sheet'!C25, "% ", H23, " Sandstone, ", J23, I23, " FLUOR in SST. ", "TG ", 'Input Sheet'!H25, "U"))</f>
        <v>Sample 1960m: trace siderite in 75% Siltstone, 25% fine Sandstone, 100% pale FLUOR in SST. TG 19.7U</v>
      </c>
      <c r="C23" s="39"/>
      <c r="D23" s="40"/>
      <c r="F23" s="36">
        <f>IF('Input Sheet'!C25="","",100-'Input Sheet'!C25)</f>
        <v>75</v>
      </c>
      <c r="G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3" s="36" t="str">
        <f t="shared" si="0"/>
        <v>fine</v>
      </c>
      <c r="I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pale</v>
      </c>
      <c r="J23" s="36" t="str">
        <f>IF('Input Sheet'!F25=0, "NO",CONCATENATE('Input Sheet'!F25, IF('Input Sheet'!F25&gt;0,"% ","")))</f>
        <v xml:space="preserve">100% </v>
      </c>
      <c r="K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3" s="36" t="str">
        <f>CONCATENATE(K23, IF('Input Sheet'!I25="",""," siderite in "))</f>
        <v xml:space="preserve">trace siderite in </v>
      </c>
      <c r="M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" s="36" t="str">
        <f>CONCATENATE(M23, IF('Input Sheet'!J25="",""," siderite in "))</f>
        <v/>
      </c>
    </row>
    <row r="24" spans="1:14" x14ac:dyDescent="0.25">
      <c r="A24" s="51" t="str">
        <f>IF('Input Sheet'!C26="","",CONCATENATE("Sample ", 'Input Sheet'!B26, "m: ", L24, F24, "% ", "Siltstone, ", N24, 'Input Sheet'!C26, "% ", H24, " Sandstone, ", J24, I24, " FLUOR in SST. ", "TG ", 'Input Sheet'!H26, "U"))</f>
        <v>Sample 1965m: 70% Siltstone, 30% fine Sandstone, 100% pale FLUOR in SST. TG 19.8U</v>
      </c>
      <c r="C24" s="39"/>
      <c r="D24" s="40"/>
      <c r="F24" s="36">
        <f>IF('Input Sheet'!C26="","",100-'Input Sheet'!C26)</f>
        <v>70</v>
      </c>
      <c r="G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4" s="36" t="str">
        <f t="shared" si="0"/>
        <v>fine</v>
      </c>
      <c r="I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pale</v>
      </c>
      <c r="J24" s="36" t="str">
        <f>IF('Input Sheet'!F26=0, "NO",CONCATENATE('Input Sheet'!F26, IF('Input Sheet'!F26&gt;0,"% ","")))</f>
        <v xml:space="preserve">100% </v>
      </c>
      <c r="K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" s="36" t="str">
        <f>CONCATENATE(K24, IF('Input Sheet'!I26="",""," siderite in "))</f>
        <v/>
      </c>
      <c r="M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" s="36" t="str">
        <f>CONCATENATE(M24, IF('Input Sheet'!J26="",""," siderite in "))</f>
        <v/>
      </c>
    </row>
    <row r="25" spans="1:14" x14ac:dyDescent="0.25">
      <c r="A25" s="51" t="str">
        <f>IF('Input Sheet'!C27="","",CONCATENATE("Sample ", 'Input Sheet'!B27, "m: ", L25, F25, "% ", "Siltstone, ", N25, 'Input Sheet'!C27, "% ", H25, " Sandstone, ", J25, I25, " FLUOR in SST. ", "TG ", 'Input Sheet'!H27, "U"))</f>
        <v>Sample 1970m: 70% Siltstone, 30% fine Sandstone, 100% pale FLUOR in SST. TG 23.7U</v>
      </c>
      <c r="C25" s="39"/>
      <c r="D25" s="40"/>
      <c r="F25" s="36">
        <f>IF('Input Sheet'!C27="","",100-'Input Sheet'!C27)</f>
        <v>70</v>
      </c>
      <c r="G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5" s="36" t="str">
        <f t="shared" si="0"/>
        <v>fine</v>
      </c>
      <c r="I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pale</v>
      </c>
      <c r="J25" s="36" t="str">
        <f>IF('Input Sheet'!F27=0, "NO",CONCATENATE('Input Sheet'!F27, IF('Input Sheet'!F27&gt;0,"% ","")))</f>
        <v xml:space="preserve">100% </v>
      </c>
      <c r="K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" s="36" t="str">
        <f>CONCATENATE(K25, IF('Input Sheet'!I27="",""," siderite in "))</f>
        <v/>
      </c>
      <c r="M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" s="36" t="str">
        <f>CONCATENATE(M25, IF('Input Sheet'!J27="",""," siderite in "))</f>
        <v/>
      </c>
    </row>
    <row r="26" spans="1:14" x14ac:dyDescent="0.25">
      <c r="A26" s="51" t="str">
        <f>IF('Input Sheet'!C28="","",CONCATENATE("Sample ", 'Input Sheet'!B28, "m: ", L26, F26, "% ", "Siltstone, ", N26, 'Input Sheet'!C28, "% ", H26, " Sandstone, ", J26, I26, " FLUOR in SST. ", "TG ", 'Input Sheet'!H28, "U"))</f>
        <v>Sample 1975m: 70% Siltstone, 30% fine Sandstone, 100% pale FLUOR in SST. TG 25U</v>
      </c>
      <c r="C26" s="39"/>
      <c r="D26" s="40"/>
      <c r="F26" s="36">
        <f>IF('Input Sheet'!C28="","",100-'Input Sheet'!C28)</f>
        <v>70</v>
      </c>
      <c r="G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6" s="36" t="str">
        <f t="shared" si="0"/>
        <v>fine</v>
      </c>
      <c r="I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pale</v>
      </c>
      <c r="J26" s="36" t="str">
        <f>IF('Input Sheet'!F28=0, "NO",CONCATENATE('Input Sheet'!F28, IF('Input Sheet'!F28&gt;0,"% ","")))</f>
        <v xml:space="preserve">100% </v>
      </c>
      <c r="K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" s="36" t="str">
        <f>CONCATENATE(K26, IF('Input Sheet'!I28="",""," siderite in "))</f>
        <v/>
      </c>
      <c r="M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" s="36" t="str">
        <f>CONCATENATE(M26, IF('Input Sheet'!J28="",""," siderite in "))</f>
        <v/>
      </c>
    </row>
    <row r="27" spans="1:14" x14ac:dyDescent="0.25">
      <c r="A27" s="51" t="str">
        <f>IF('Input Sheet'!C29="","",CONCATENATE("Sample ", 'Input Sheet'!B29, "m: ", L27, F27, "% ", "Siltstone, ", N27, 'Input Sheet'!C29, "% ", H27, " Sandstone, ", J27, I27, " FLUOR in SST. ", "TG ", 'Input Sheet'!H29, "U"))</f>
        <v>Sample 1980m: 70% Siltstone, 30% fine Sandstone, 100% pale FLUOR in SST. TG 19.1U</v>
      </c>
      <c r="C27" s="39"/>
      <c r="D27" s="40"/>
      <c r="F27" s="36">
        <f>IF('Input Sheet'!C29="","",100-'Input Sheet'!C29)</f>
        <v>70</v>
      </c>
      <c r="G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7" s="36" t="str">
        <f t="shared" si="0"/>
        <v>fine</v>
      </c>
      <c r="I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pale</v>
      </c>
      <c r="J27" s="36" t="str">
        <f>IF('Input Sheet'!F29=0, "NO",CONCATENATE('Input Sheet'!F29, IF('Input Sheet'!F29&gt;0,"% ","")))</f>
        <v xml:space="preserve">100% </v>
      </c>
      <c r="K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" s="36" t="str">
        <f>CONCATENATE(K27, IF('Input Sheet'!I29="",""," siderite in "))</f>
        <v/>
      </c>
      <c r="M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" s="36" t="str">
        <f>CONCATENATE(M27, IF('Input Sheet'!J29="",""," siderite in "))</f>
        <v/>
      </c>
    </row>
    <row r="28" spans="1:14" x14ac:dyDescent="0.25">
      <c r="A28" s="51" t="str">
        <f>IF('Input Sheet'!C30="","",CONCATENATE("Sample ", 'Input Sheet'!B30, "m: ", L28, F28, "% ", "Siltstone, ", N28, 'Input Sheet'!C30, "% ", H28, " Sandstone, ", J28, I28, " FLUOR in SST. ", "TG ", 'Input Sheet'!H30, "U"))</f>
        <v>Sample 1985m: 70% Siltstone, 30% fine Sandstone, 100% pale to moderately bright FLUOR in SST. TG 21.1U</v>
      </c>
      <c r="C28" s="39"/>
      <c r="D28" s="40"/>
      <c r="F28" s="36">
        <f>IF('Input Sheet'!C30="","",100-'Input Sheet'!C30)</f>
        <v>70</v>
      </c>
      <c r="G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8" s="36" t="str">
        <f t="shared" si="0"/>
        <v>fine</v>
      </c>
      <c r="I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pale to moderately bright</v>
      </c>
      <c r="J28" s="36" t="str">
        <f>IF('Input Sheet'!F30=0, "NO",CONCATENATE('Input Sheet'!F30, IF('Input Sheet'!F30&gt;0,"% ","")))</f>
        <v xml:space="preserve">100% </v>
      </c>
      <c r="K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" s="36" t="str">
        <f>CONCATENATE(K28, IF('Input Sheet'!I30="",""," siderite in "))</f>
        <v/>
      </c>
      <c r="M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" s="36" t="str">
        <f>CONCATENATE(M28, IF('Input Sheet'!J30="",""," siderite in "))</f>
        <v/>
      </c>
    </row>
    <row r="29" spans="1:14" x14ac:dyDescent="0.25">
      <c r="A29" s="51" t="str">
        <f>IF('Input Sheet'!C31="","",CONCATENATE("Sample ", 'Input Sheet'!B31, "m: ", L29, F29, "% ", "Siltstone, ", N29, 'Input Sheet'!C31, "% ", H29, " Sandstone, ", J29, I29, " FLUOR in SST. ", "TG ", 'Input Sheet'!H31, "U"))</f>
        <v>Sample 1990m: 70% Siltstone, 30% fine Sandstone, 100% pale to moderately bright FLUOR in SST. TG 25.1U</v>
      </c>
      <c r="C29" s="39"/>
      <c r="D29" s="40"/>
      <c r="F29" s="36">
        <f>IF('Input Sheet'!C31="","",100-'Input Sheet'!C31)</f>
        <v>70</v>
      </c>
      <c r="G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29" s="36" t="str">
        <f t="shared" si="0"/>
        <v>fine</v>
      </c>
      <c r="I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pale to moderately bright</v>
      </c>
      <c r="J29" s="36" t="str">
        <f>IF('Input Sheet'!F31=0, "NO",CONCATENATE('Input Sheet'!F31, IF('Input Sheet'!F31&gt;0,"% ","")))</f>
        <v xml:space="preserve">100% </v>
      </c>
      <c r="K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" s="36" t="str">
        <f>CONCATENATE(K29, IF('Input Sheet'!I31="",""," siderite in "))</f>
        <v/>
      </c>
      <c r="M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" s="36" t="str">
        <f>CONCATENATE(M29, IF('Input Sheet'!J31="",""," siderite in "))</f>
        <v/>
      </c>
    </row>
    <row r="30" spans="1:14" x14ac:dyDescent="0.25">
      <c r="A30" s="51" t="str">
        <f>IF('Input Sheet'!C32="","",CONCATENATE("Sample ", 'Input Sheet'!B32, "m: ", L30, F30, "% ", "Siltstone, ", N30, 'Input Sheet'!C32, "% ", H30, " Sandstone, ", J30, I30, " FLUOR in SST. ", "TG ", 'Input Sheet'!H32, "U"))</f>
        <v>Sample 1995m: 60% Siltstone, 40% fine Sandstone, 100% pale to moderately bright FLUOR in SST. TG 25.7U</v>
      </c>
      <c r="C30" s="39"/>
      <c r="D30" s="40"/>
      <c r="F30" s="36">
        <f>IF('Input Sheet'!C32="","",100-'Input Sheet'!C32)</f>
        <v>60</v>
      </c>
      <c r="G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0" s="36" t="str">
        <f t="shared" si="0"/>
        <v>fine</v>
      </c>
      <c r="I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pale to moderately bright</v>
      </c>
      <c r="J30" s="36" t="str">
        <f>IF('Input Sheet'!F32=0, "NO",CONCATENATE('Input Sheet'!F32, IF('Input Sheet'!F32&gt;0,"% ","")))</f>
        <v xml:space="preserve">100% </v>
      </c>
      <c r="K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" s="36" t="str">
        <f>CONCATENATE(K30, IF('Input Sheet'!I32="",""," siderite in "))</f>
        <v/>
      </c>
      <c r="M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" s="36" t="str">
        <f>CONCATENATE(M30, IF('Input Sheet'!J32="",""," siderite in "))</f>
        <v/>
      </c>
    </row>
    <row r="31" spans="1:14" x14ac:dyDescent="0.25">
      <c r="A31" s="51" t="str">
        <f>IF('Input Sheet'!C33="","",CONCATENATE("Sample ", 'Input Sheet'!B33, "m: ", L31, F31, "% ", "Siltstone, ", N31, 'Input Sheet'!C33, "% ", H31, " Sandstone, ", J31, I31, " FLUOR in SST. ", "TG ", 'Input Sheet'!H33, "U"))</f>
        <v>Sample 2000m: common siderite in 60% Siltstone, 40% fine Sandstone, 100% pale to moderately bright FLUOR in SST. TG 22.4U</v>
      </c>
      <c r="C31" s="39"/>
      <c r="D31" s="40"/>
      <c r="F31" s="36">
        <f>IF('Input Sheet'!C33="","",100-'Input Sheet'!C33)</f>
        <v>60</v>
      </c>
      <c r="G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1" s="36" t="str">
        <f t="shared" si="0"/>
        <v>fine</v>
      </c>
      <c r="I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pale to moderately bright</v>
      </c>
      <c r="J31" s="36" t="str">
        <f>IF('Input Sheet'!F33=0, "NO",CONCATENATE('Input Sheet'!F33, IF('Input Sheet'!F33&gt;0,"% ","")))</f>
        <v xml:space="preserve">100% </v>
      </c>
      <c r="K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31" s="36" t="str">
        <f>CONCATENATE(K31, IF('Input Sheet'!I33="",""," siderite in "))</f>
        <v xml:space="preserve">common siderite in </v>
      </c>
      <c r="M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" s="36" t="str">
        <f>CONCATENATE(M31, IF('Input Sheet'!J33="",""," siderite in "))</f>
        <v/>
      </c>
    </row>
    <row r="32" spans="1:14" x14ac:dyDescent="0.25">
      <c r="A32" s="51" t="str">
        <f>IF('Input Sheet'!C34="","",CONCATENATE("Sample ", 'Input Sheet'!B34, "m: ", L32, F32, "% ", "Siltstone, ", N32, 'Input Sheet'!C34, "% ", H32, " Sandstone, ", J32, I32, " FLUOR in SST. ", "TG ", 'Input Sheet'!H34, "U"))</f>
        <v>Sample 2005m: 70% Siltstone, 30% fine Sandstone, 100% pale to moderately bright FLUOR in SST. TG 17.4U</v>
      </c>
      <c r="C32" s="39"/>
      <c r="D32" s="40"/>
      <c r="F32" s="36">
        <f>IF('Input Sheet'!C34="","",100-'Input Sheet'!C34)</f>
        <v>70</v>
      </c>
      <c r="G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2" s="36" t="str">
        <f t="shared" si="0"/>
        <v>fine</v>
      </c>
      <c r="I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pale to moderately bright</v>
      </c>
      <c r="J32" s="36" t="str">
        <f>IF('Input Sheet'!F34=0, "NO",CONCATENATE('Input Sheet'!F34, IF('Input Sheet'!F34&gt;0,"% ","")))</f>
        <v xml:space="preserve">100% </v>
      </c>
      <c r="K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" s="36" t="str">
        <f>CONCATENATE(K32, IF('Input Sheet'!I34="",""," siderite in "))</f>
        <v/>
      </c>
      <c r="M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" s="36" t="str">
        <f>CONCATENATE(M32, IF('Input Sheet'!J34="",""," siderite in "))</f>
        <v/>
      </c>
    </row>
    <row r="33" spans="1:14" x14ac:dyDescent="0.25">
      <c r="A33" s="51" t="str">
        <f>IF('Input Sheet'!C35="","",CONCATENATE("Sample ", 'Input Sheet'!B35, "m: ", L33, F33, "% ", "Siltstone, ", N33, 'Input Sheet'!C35, "% ", H33, " Sandstone, ", J33, I33, " FLUOR in SST. ", "TG ", 'Input Sheet'!H35, "U"))</f>
        <v>Sample 2010m: common siderite in 70% Siltstone, 30% fine Sandstone, 100% pale to moderately bright FLUOR in SST. TG 21.2U</v>
      </c>
      <c r="C33" s="41"/>
      <c r="D33" s="42"/>
      <c r="F33" s="36">
        <f>IF('Input Sheet'!C35="","",100-'Input Sheet'!C35)</f>
        <v>70</v>
      </c>
      <c r="G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3" s="36" t="str">
        <f t="shared" si="0"/>
        <v>fine</v>
      </c>
      <c r="I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pale to moderately bright</v>
      </c>
      <c r="J33" s="36" t="str">
        <f>IF('Input Sheet'!F35=0, "NO",CONCATENATE('Input Sheet'!F35, IF('Input Sheet'!F35&gt;0,"% ","")))</f>
        <v xml:space="preserve">100% </v>
      </c>
      <c r="K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33" s="36" t="str">
        <f>CONCATENATE(K33, IF('Input Sheet'!I35="",""," siderite in "))</f>
        <v xml:space="preserve">common siderite in </v>
      </c>
      <c r="M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" s="36" t="str">
        <f>CONCATENATE(M33, IF('Input Sheet'!J35="",""," siderite in "))</f>
        <v/>
      </c>
    </row>
    <row r="34" spans="1:14" x14ac:dyDescent="0.25">
      <c r="A34" s="51" t="str">
        <f>IF('Input Sheet'!C36="","",CONCATENATE("Sample ", 'Input Sheet'!B36, "m: ", L34, F34, "% ", "Siltstone, ", N34, 'Input Sheet'!C36, "% ", H34, " Sandstone, ", J34, I34, " FLUOR in SST. ", "TG ", 'Input Sheet'!H36, "U"))</f>
        <v>Sample 2015m: 70% Siltstone, 30% fine Sandstone, 100% moderately bright FLUOR in SST. TG 16.6U</v>
      </c>
      <c r="F34" s="36">
        <f>IF('Input Sheet'!C36="","",100-'Input Sheet'!C36)</f>
        <v>70</v>
      </c>
      <c r="G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4" s="36" t="str">
        <f t="shared" si="0"/>
        <v>fine</v>
      </c>
      <c r="I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34" s="36" t="str">
        <f>IF('Input Sheet'!F36=0, "NO",CONCATENATE('Input Sheet'!F36, IF('Input Sheet'!F36&gt;0,"% ","")))</f>
        <v xml:space="preserve">100% </v>
      </c>
      <c r="K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" s="36" t="str">
        <f>CONCATENATE(K34, IF('Input Sheet'!I36="",""," siderite in "))</f>
        <v/>
      </c>
      <c r="M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" s="36" t="str">
        <f>CONCATENATE(M34, IF('Input Sheet'!J36="",""," siderite in "))</f>
        <v/>
      </c>
    </row>
    <row r="35" spans="1:14" x14ac:dyDescent="0.25">
      <c r="A35" s="51" t="str">
        <f>IF('Input Sheet'!C37="","",CONCATENATE("Sample ", 'Input Sheet'!B37, "m: ", L35, F35, "% ", "Siltstone, ", N35, 'Input Sheet'!C37, "% ", H35, " Sandstone, ", J35, I35, " FLUOR in SST. ", "TG ", 'Input Sheet'!H37, "U"))</f>
        <v>Sample 2020m: common siderite in 70% Siltstone, 30% fine Sandstone, 100% moderately bright FLUOR in SST. TG 23.6U</v>
      </c>
      <c r="F35" s="36">
        <f>IF('Input Sheet'!C37="","",100-'Input Sheet'!C37)</f>
        <v>70</v>
      </c>
      <c r="G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5" s="36" t="str">
        <f t="shared" si="0"/>
        <v>fine</v>
      </c>
      <c r="I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35" s="36" t="str">
        <f>IF('Input Sheet'!F37=0, "NO",CONCATENATE('Input Sheet'!F37, IF('Input Sheet'!F37&gt;0,"% ","")))</f>
        <v xml:space="preserve">100% </v>
      </c>
      <c r="K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35" s="36" t="str">
        <f>CONCATENATE(K35, IF('Input Sheet'!I37="",""," siderite in "))</f>
        <v xml:space="preserve">common siderite in </v>
      </c>
      <c r="M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" s="36" t="str">
        <f>CONCATENATE(M35, IF('Input Sheet'!J37="",""," siderite in "))</f>
        <v/>
      </c>
    </row>
    <row r="36" spans="1:14" x14ac:dyDescent="0.25">
      <c r="A36" s="51" t="str">
        <f>IF('Input Sheet'!C38="","",CONCATENATE("Sample ", 'Input Sheet'!B38, "m: ", L36, F36, "% ", "Siltstone, ", N36, 'Input Sheet'!C38, "% ", H36, " Sandstone, ", J36, I36, " FLUOR in SST. ", "TG ", 'Input Sheet'!H38, "U"))</f>
        <v>Sample 2025m: 60% Siltstone, 40% fine Sandstone, 100% moderately bright FLUOR in SST. TG 27.9U</v>
      </c>
      <c r="F36" s="36">
        <f>IF('Input Sheet'!C38="","",100-'Input Sheet'!C38)</f>
        <v>60</v>
      </c>
      <c r="G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6" s="36" t="str">
        <f t="shared" si="0"/>
        <v>fine</v>
      </c>
      <c r="I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36" s="36" t="str">
        <f>IF('Input Sheet'!F38=0, "NO",CONCATENATE('Input Sheet'!F38, IF('Input Sheet'!F38&gt;0,"% ","")))</f>
        <v xml:space="preserve">100% </v>
      </c>
      <c r="K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" s="36" t="str">
        <f>CONCATENATE(K36, IF('Input Sheet'!I38="",""," siderite in "))</f>
        <v/>
      </c>
      <c r="M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" s="36" t="str">
        <f>CONCATENATE(M36, IF('Input Sheet'!J38="",""," siderite in "))</f>
        <v/>
      </c>
    </row>
    <row r="37" spans="1:14" x14ac:dyDescent="0.25">
      <c r="A37" s="51" t="str">
        <f>IF('Input Sheet'!C39="","",CONCATENATE("Sample ", 'Input Sheet'!B39, "m: ", L37, F37, "% ", "Siltstone, ", N37, 'Input Sheet'!C39, "% ", H37, " Sandstone, ", J37, I37, " FLUOR in SST. ", "TG ", 'Input Sheet'!H39, "U"))</f>
        <v>Sample 2030m: trace siderite in 60% Siltstone, 40% fine Sandstone, 100% moderately bright FLUOR in SST. TG 29.9U</v>
      </c>
      <c r="F37" s="36">
        <f>IF('Input Sheet'!C39="","",100-'Input Sheet'!C39)</f>
        <v>60</v>
      </c>
      <c r="G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7" s="36" t="str">
        <f t="shared" si="0"/>
        <v>fine</v>
      </c>
      <c r="I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37" s="36" t="str">
        <f>IF('Input Sheet'!F39=0, "NO",CONCATENATE('Input Sheet'!F39, IF('Input Sheet'!F39&gt;0,"% ","")))</f>
        <v xml:space="preserve">100% </v>
      </c>
      <c r="K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37" s="36" t="str">
        <f>CONCATENATE(K37, IF('Input Sheet'!I39="",""," siderite in "))</f>
        <v xml:space="preserve">trace siderite in </v>
      </c>
      <c r="M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" s="36" t="str">
        <f>CONCATENATE(M37, IF('Input Sheet'!J39="",""," siderite in "))</f>
        <v/>
      </c>
    </row>
    <row r="38" spans="1:14" x14ac:dyDescent="0.25">
      <c r="A38" s="51" t="str">
        <f>IF('Input Sheet'!C40="","",CONCATENATE("Sample ", 'Input Sheet'!B40, "m: ", L38, F38, "% ", "Siltstone, ", N38, 'Input Sheet'!C40, "% ", H38, " Sandstone, ", J38, I38, " FLUOR in SST. ", "TG ", 'Input Sheet'!H40, "U"))</f>
        <v>Sample 2035m: 60% Siltstone, 40% fine Sandstone, 100% moderately bright FLUOR in SST. TG 17.9U</v>
      </c>
      <c r="F38" s="36">
        <f>IF('Input Sheet'!C40="","",100-'Input Sheet'!C40)</f>
        <v>60</v>
      </c>
      <c r="G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8" s="36" t="str">
        <f t="shared" si="0"/>
        <v>fine</v>
      </c>
      <c r="I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38" s="36" t="str">
        <f>IF('Input Sheet'!F40=0, "NO",CONCATENATE('Input Sheet'!F40, IF('Input Sheet'!F40&gt;0,"% ","")))</f>
        <v xml:space="preserve">100% </v>
      </c>
      <c r="K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" s="36" t="str">
        <f>CONCATENATE(K38, IF('Input Sheet'!I40="",""," siderite in "))</f>
        <v/>
      </c>
      <c r="M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" s="36" t="str">
        <f>CONCATENATE(M38, IF('Input Sheet'!J40="",""," siderite in "))</f>
        <v/>
      </c>
    </row>
    <row r="39" spans="1:14" x14ac:dyDescent="0.25">
      <c r="A39" s="51" t="str">
        <f>IF('Input Sheet'!C41="","",CONCATENATE("Sample ", 'Input Sheet'!B41, "m: ", L39, F39, "% ", "Siltstone, ", N39, 'Input Sheet'!C41, "% ", H39, " Sandstone, ", J39, I39, " FLUOR in SST. ", "TG ", 'Input Sheet'!H41, "U"))</f>
        <v>Sample 2040m: 60% Siltstone, 40% fine Sandstone, 100% moderately bright FLUOR in SST. TG 23.4U</v>
      </c>
      <c r="F39" s="36">
        <f>IF('Input Sheet'!C41="","",100-'Input Sheet'!C41)</f>
        <v>60</v>
      </c>
      <c r="G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39" s="36" t="str">
        <f t="shared" si="0"/>
        <v>fine</v>
      </c>
      <c r="I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39" s="36" t="str">
        <f>IF('Input Sheet'!F41=0, "NO",CONCATENATE('Input Sheet'!F41, IF('Input Sheet'!F41&gt;0,"% ","")))</f>
        <v xml:space="preserve">100% </v>
      </c>
      <c r="K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" s="36" t="str">
        <f>CONCATENATE(K39, IF('Input Sheet'!I41="",""," siderite in "))</f>
        <v/>
      </c>
      <c r="M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" s="36" t="str">
        <f>CONCATENATE(M39, IF('Input Sheet'!J41="",""," siderite in "))</f>
        <v/>
      </c>
    </row>
    <row r="40" spans="1:14" x14ac:dyDescent="0.25">
      <c r="A40" s="51" t="str">
        <f>IF('Input Sheet'!C42="","",CONCATENATE("Sample ", 'Input Sheet'!B42, "m: ", L40, F40, "% ", "Siltstone, ", N40, 'Input Sheet'!C42, "% ", H40, " Sandstone, ", J40, I40, " FLUOR in SST. ", "TG ", 'Input Sheet'!H42, "U"))</f>
        <v>Sample 2045m: 55% Siltstone, 45% fine Sandstone, 100% moderately bright FLUOR in SST. TG 34.5U</v>
      </c>
      <c r="F40" s="36">
        <f>IF('Input Sheet'!C42="","",100-'Input Sheet'!C42)</f>
        <v>55</v>
      </c>
      <c r="G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0" s="36" t="str">
        <f t="shared" si="0"/>
        <v>fine</v>
      </c>
      <c r="I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0" s="36" t="str">
        <f>IF('Input Sheet'!F42=0, "NO",CONCATENATE('Input Sheet'!F42, IF('Input Sheet'!F42&gt;0,"% ","")))</f>
        <v xml:space="preserve">100% </v>
      </c>
      <c r="K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" s="36" t="str">
        <f>CONCATENATE(K40, IF('Input Sheet'!I42="",""," siderite in "))</f>
        <v/>
      </c>
      <c r="M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" s="36" t="str">
        <f>CONCATENATE(M40, IF('Input Sheet'!J42="",""," siderite in "))</f>
        <v/>
      </c>
    </row>
    <row r="41" spans="1:14" x14ac:dyDescent="0.25">
      <c r="A41" s="51" t="str">
        <f>IF('Input Sheet'!C43="","",CONCATENATE("Sample ", 'Input Sheet'!B43, "m: ", L41, F41, "% ", "Siltstone, ", N41, 'Input Sheet'!C43, "% ", H41, " Sandstone, ", J41, I41, " FLUOR in SST. ", "TG ", 'Input Sheet'!H43, "U"))</f>
        <v>Sample 2050m: 55% Siltstone, 45% fine Sandstone, 100% moderately bright FLUOR in SST. TG 37U</v>
      </c>
      <c r="F41" s="36">
        <f>IF('Input Sheet'!C43="","",100-'Input Sheet'!C43)</f>
        <v>55</v>
      </c>
      <c r="G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1" s="36" t="str">
        <f t="shared" si="0"/>
        <v>fine</v>
      </c>
      <c r="I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1" s="36" t="str">
        <f>IF('Input Sheet'!F43=0, "NO",CONCATENATE('Input Sheet'!F43, IF('Input Sheet'!F43&gt;0,"% ","")))</f>
        <v xml:space="preserve">100% </v>
      </c>
      <c r="K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" s="36" t="str">
        <f>CONCATENATE(K41, IF('Input Sheet'!I43="",""," siderite in "))</f>
        <v/>
      </c>
      <c r="M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" s="36" t="str">
        <f>CONCATENATE(M41, IF('Input Sheet'!J43="",""," siderite in "))</f>
        <v/>
      </c>
    </row>
    <row r="42" spans="1:14" x14ac:dyDescent="0.25">
      <c r="A42" s="51" t="str">
        <f>IF('Input Sheet'!C44="","",CONCATENATE("Sample ", 'Input Sheet'!B44, "m: ", L42, F42, "% ", "Siltstone, ", N42, 'Input Sheet'!C44, "% ", H42, " Sandstone, ", J42, I42, " FLUOR in SST. ", "TG ", 'Input Sheet'!H44, "U"))</f>
        <v>Sample 2055m: 60% Siltstone, 40% fine Sandstone, 100% moderately bright FLUOR in SST. TG 26.4U</v>
      </c>
      <c r="F42" s="36">
        <f>IF('Input Sheet'!C44="","",100-'Input Sheet'!C44)</f>
        <v>60</v>
      </c>
      <c r="G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2" s="36" t="str">
        <f t="shared" si="0"/>
        <v>fine</v>
      </c>
      <c r="I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2" s="36" t="str">
        <f>IF('Input Sheet'!F44=0, "NO",CONCATENATE('Input Sheet'!F44, IF('Input Sheet'!F44&gt;0,"% ","")))</f>
        <v xml:space="preserve">100% </v>
      </c>
      <c r="K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" s="36" t="str">
        <f>CONCATENATE(K42, IF('Input Sheet'!I44="",""," siderite in "))</f>
        <v/>
      </c>
      <c r="M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" s="36" t="str">
        <f>CONCATENATE(M42, IF('Input Sheet'!J44="",""," siderite in "))</f>
        <v/>
      </c>
    </row>
    <row r="43" spans="1:14" x14ac:dyDescent="0.25">
      <c r="A43" s="51" t="str">
        <f>IF('Input Sheet'!C45="","",CONCATENATE("Sample ", 'Input Sheet'!B45, "m: ", L43, F43, "% ", "Siltstone, ", N43, 'Input Sheet'!C45, "% ", H43, " Sandstone, ", J43, I43, " FLUOR in SST. ", "TG ", 'Input Sheet'!H45, "U"))</f>
        <v>Sample 2060m: 60% Siltstone, 40% fine Sandstone, 100% moderately bright FLUOR in SST. TG 25.6U</v>
      </c>
      <c r="F43" s="36">
        <f>IF('Input Sheet'!C45="","",100-'Input Sheet'!C45)</f>
        <v>60</v>
      </c>
      <c r="G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3" s="36" t="str">
        <f t="shared" si="0"/>
        <v>fine</v>
      </c>
      <c r="I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3" s="36" t="str">
        <f>IF('Input Sheet'!F45=0, "NO",CONCATENATE('Input Sheet'!F45, IF('Input Sheet'!F45&gt;0,"% ","")))</f>
        <v xml:space="preserve">100% </v>
      </c>
      <c r="K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" s="36" t="str">
        <f>CONCATENATE(K43, IF('Input Sheet'!I45="",""," siderite in "))</f>
        <v/>
      </c>
      <c r="M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" s="36" t="str">
        <f>CONCATENATE(M43, IF('Input Sheet'!J45="",""," siderite in "))</f>
        <v/>
      </c>
    </row>
    <row r="44" spans="1:14" x14ac:dyDescent="0.25">
      <c r="A44" s="51" t="str">
        <f>IF('Input Sheet'!C46="","",CONCATENATE("Sample ", 'Input Sheet'!B46, "m: ", L44, F44, "% ", "Siltstone, ", N44, 'Input Sheet'!C46, "% ", H44, " Sandstone, ", J44, I44, " FLUOR in SST. ", "TG ", 'Input Sheet'!H46, "U"))</f>
        <v>Sample 2065m: 65% Siltstone, 35% fine Sandstone, 100% moderately bright FLUOR in SST. TG 23.7U</v>
      </c>
      <c r="F44" s="36">
        <f>IF('Input Sheet'!C46="","",100-'Input Sheet'!C46)</f>
        <v>65</v>
      </c>
      <c r="G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4" s="36" t="str">
        <f t="shared" si="0"/>
        <v>fine</v>
      </c>
      <c r="I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4" s="36" t="str">
        <f>IF('Input Sheet'!F46=0, "NO",CONCATENATE('Input Sheet'!F46, IF('Input Sheet'!F46&gt;0,"% ","")))</f>
        <v xml:space="preserve">100% </v>
      </c>
      <c r="K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" s="36" t="str">
        <f>CONCATENATE(K44, IF('Input Sheet'!I46="",""," siderite in "))</f>
        <v/>
      </c>
      <c r="M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" s="36" t="str">
        <f>CONCATENATE(M44, IF('Input Sheet'!J46="",""," siderite in "))</f>
        <v/>
      </c>
    </row>
    <row r="45" spans="1:14" x14ac:dyDescent="0.25">
      <c r="A45" s="51" t="str">
        <f>IF('Input Sheet'!C47="","",CONCATENATE("Sample ", 'Input Sheet'!B47, "m: ", L45, F45, "% ", "Siltstone, ", N45, 'Input Sheet'!C47, "% ", H45, " Sandstone, ", J45, I45, " FLUOR in SST. ", "TG ", 'Input Sheet'!H47, "U"))</f>
        <v>Sample 2070m: 65% Siltstone, 35% fine Sandstone, 100% moderately bright FLUOR in SST. TG 35.3U</v>
      </c>
      <c r="F45" s="36">
        <f>IF('Input Sheet'!C47="","",100-'Input Sheet'!C47)</f>
        <v>65</v>
      </c>
      <c r="G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5" s="36" t="str">
        <f t="shared" si="0"/>
        <v>fine</v>
      </c>
      <c r="I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5" s="36" t="str">
        <f>IF('Input Sheet'!F47=0, "NO",CONCATENATE('Input Sheet'!F47, IF('Input Sheet'!F47&gt;0,"% ","")))</f>
        <v xml:space="preserve">100% </v>
      </c>
      <c r="K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" s="36" t="str">
        <f>CONCATENATE(K45, IF('Input Sheet'!I47="",""," siderite in "))</f>
        <v/>
      </c>
      <c r="M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" s="36" t="str">
        <f>CONCATENATE(M45, IF('Input Sheet'!J47="",""," siderite in "))</f>
        <v/>
      </c>
    </row>
    <row r="46" spans="1:14" x14ac:dyDescent="0.25">
      <c r="A46" s="51" t="str">
        <f>IF('Input Sheet'!C48="","",CONCATENATE("Sample ", 'Input Sheet'!B48, "m: ", L46, F46, "% ", "Siltstone, ", N46, 'Input Sheet'!C48, "% ", H46, " Sandstone, ", J46, I46, " FLUOR in SST. ", "TG ", 'Input Sheet'!H48, "U"))</f>
        <v>Sample 2075m: 60% Siltstone, 40% fine Sandstone, 100% moderately bright FLUOR in SST. TG 27.9U</v>
      </c>
      <c r="F46" s="36">
        <f>IF('Input Sheet'!C48="","",100-'Input Sheet'!C48)</f>
        <v>60</v>
      </c>
      <c r="G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6" s="36" t="str">
        <f t="shared" si="0"/>
        <v>fine</v>
      </c>
      <c r="I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6" s="36" t="str">
        <f>IF('Input Sheet'!F48=0, "NO",CONCATENATE('Input Sheet'!F48, IF('Input Sheet'!F48&gt;0,"% ","")))</f>
        <v xml:space="preserve">100% </v>
      </c>
      <c r="K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" s="36" t="str">
        <f>CONCATENATE(K46, IF('Input Sheet'!I48="",""," siderite in "))</f>
        <v/>
      </c>
      <c r="M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" s="36" t="str">
        <f>CONCATENATE(M46, IF('Input Sheet'!J48="",""," siderite in "))</f>
        <v/>
      </c>
    </row>
    <row r="47" spans="1:14" x14ac:dyDescent="0.25">
      <c r="A47" s="51" t="str">
        <f>IF('Input Sheet'!C49="","",CONCATENATE("Sample ", 'Input Sheet'!B49, "m: ", L47, F47, "% ", "Siltstone, ", N47, 'Input Sheet'!C49, "% ", H47, " Sandstone, ", J47, I47, " FLUOR in SST. ", "TG ", 'Input Sheet'!H49, "U"))</f>
        <v>Sample 2080m: 60% Siltstone, 40% fine Sandstone, 100% moderately bright FLUOR in SST. TG 29.3U</v>
      </c>
      <c r="F47" s="36">
        <f>IF('Input Sheet'!C49="","",100-'Input Sheet'!C49)</f>
        <v>60</v>
      </c>
      <c r="G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7" s="36" t="str">
        <f t="shared" si="0"/>
        <v>fine</v>
      </c>
      <c r="I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7" s="36" t="str">
        <f>IF('Input Sheet'!F49=0, "NO",CONCATENATE('Input Sheet'!F49, IF('Input Sheet'!F49&gt;0,"% ","")))</f>
        <v xml:space="preserve">100% </v>
      </c>
      <c r="K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" s="36" t="str">
        <f>CONCATENATE(K47, IF('Input Sheet'!I49="",""," siderite in "))</f>
        <v/>
      </c>
      <c r="M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" s="36" t="str">
        <f>CONCATENATE(M47, IF('Input Sheet'!J49="",""," siderite in "))</f>
        <v/>
      </c>
    </row>
    <row r="48" spans="1:14" x14ac:dyDescent="0.25">
      <c r="A48" s="51" t="str">
        <f>IF('Input Sheet'!C50="","",CONCATENATE("Sample ", 'Input Sheet'!B50, "m: ", L48, F48, "% ", "Siltstone, ", N48, 'Input Sheet'!C50, "% ", H48, " Sandstone, ", J48, I48, " FLUOR in SST. ", "TG ", 'Input Sheet'!H50, "U"))</f>
        <v>Sample 2085m: 60% Siltstone, 40% fine Sandstone, 100% moderately bright FLUOR in SST. TG 28.1U</v>
      </c>
      <c r="F48" s="36">
        <f>IF('Input Sheet'!C50="","",100-'Input Sheet'!C50)</f>
        <v>60</v>
      </c>
      <c r="G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8" s="36" t="str">
        <f t="shared" si="0"/>
        <v>fine</v>
      </c>
      <c r="I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8" s="36" t="str">
        <f>IF('Input Sheet'!F50=0, "NO",CONCATENATE('Input Sheet'!F50, IF('Input Sheet'!F50&gt;0,"% ","")))</f>
        <v xml:space="preserve">100% </v>
      </c>
      <c r="K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" s="36" t="str">
        <f>CONCATENATE(K48, IF('Input Sheet'!I50="",""," siderite in "))</f>
        <v/>
      </c>
      <c r="M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" s="36" t="str">
        <f>CONCATENATE(M48, IF('Input Sheet'!J50="",""," siderite in "))</f>
        <v/>
      </c>
    </row>
    <row r="49" spans="1:14" x14ac:dyDescent="0.25">
      <c r="A49" s="51" t="str">
        <f>IF('Input Sheet'!C51="","",CONCATENATE("Sample ", 'Input Sheet'!B51, "m: ", L49, F49, "% ", "Siltstone, ", N49, 'Input Sheet'!C51, "% ", H49, " Sandstone, ", J49, I49, " FLUOR in SST. ", "TG ", 'Input Sheet'!H51, "U"))</f>
        <v>Sample 2090m: 60% Siltstone, 40% fine Sandstone, 100% moderately bright FLUOR in SST. TG 32.4U</v>
      </c>
      <c r="F49" s="36">
        <f>IF('Input Sheet'!C51="","",100-'Input Sheet'!C51)</f>
        <v>60</v>
      </c>
      <c r="G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49" s="36" t="str">
        <f t="shared" si="0"/>
        <v>fine</v>
      </c>
      <c r="I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49" s="36" t="str">
        <f>IF('Input Sheet'!F51=0, "NO",CONCATENATE('Input Sheet'!F51, IF('Input Sheet'!F51&gt;0,"% ","")))</f>
        <v xml:space="preserve">100% </v>
      </c>
      <c r="K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" s="36" t="str">
        <f>CONCATENATE(K49, IF('Input Sheet'!I51="",""," siderite in "))</f>
        <v/>
      </c>
      <c r="M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" s="36" t="str">
        <f>CONCATENATE(M49, IF('Input Sheet'!J51="",""," siderite in "))</f>
        <v/>
      </c>
    </row>
    <row r="50" spans="1:14" x14ac:dyDescent="0.25">
      <c r="A50" s="51" t="str">
        <f>IF('Input Sheet'!C52="","",CONCATENATE("Sample ", 'Input Sheet'!B52, "m: ", L50, F50, "% ", "Siltstone, ", N50, 'Input Sheet'!C52, "% ", H50, " Sandstone, ", J50, I50, " FLUOR in SST. ", "TG ", 'Input Sheet'!H52, "U"))</f>
        <v>Sample 2095m: 60% Siltstone, 40% fine Sandstone, 100% moderately bright FLUOR in SST. TG 32.3U</v>
      </c>
      <c r="F50" s="36">
        <f>IF('Input Sheet'!C52="","",100-'Input Sheet'!C52)</f>
        <v>60</v>
      </c>
      <c r="G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0" s="36" t="str">
        <f t="shared" si="0"/>
        <v>fine</v>
      </c>
      <c r="I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50" s="36" t="str">
        <f>IF('Input Sheet'!F52=0, "NO",CONCATENATE('Input Sheet'!F52, IF('Input Sheet'!F52&gt;0,"% ","")))</f>
        <v xml:space="preserve">100% </v>
      </c>
      <c r="K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" s="36" t="str">
        <f>CONCATENATE(K50, IF('Input Sheet'!I52="",""," siderite in "))</f>
        <v/>
      </c>
      <c r="M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" s="36" t="str">
        <f>CONCATENATE(M50, IF('Input Sheet'!J52="",""," siderite in "))</f>
        <v/>
      </c>
    </row>
    <row r="51" spans="1:14" x14ac:dyDescent="0.25">
      <c r="A51" s="51" t="str">
        <f>IF('Input Sheet'!C53="","",CONCATENATE("Sample ", 'Input Sheet'!B53, "m: ", L51, F51, "% ", "Siltstone, ", N51, 'Input Sheet'!C53, "% ", H51, " Sandstone, ", J51, I51, " FLUOR in SST. ", "TG ", 'Input Sheet'!H53, "U"))</f>
        <v>Sample 2100m: 60% Siltstone, 40% fine Sandstone, 100% moderately bright FLUOR in SST. TG 33.7U</v>
      </c>
      <c r="F51" s="36">
        <f>IF('Input Sheet'!C53="","",100-'Input Sheet'!C53)</f>
        <v>60</v>
      </c>
      <c r="G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1" s="36" t="str">
        <f t="shared" si="0"/>
        <v>fine</v>
      </c>
      <c r="I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51" s="36" t="str">
        <f>IF('Input Sheet'!F53=0, "NO",CONCATENATE('Input Sheet'!F53, IF('Input Sheet'!F53&gt;0,"% ","")))</f>
        <v xml:space="preserve">100% </v>
      </c>
      <c r="K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" s="36" t="str">
        <f>CONCATENATE(K51, IF('Input Sheet'!I53="",""," siderite in "))</f>
        <v/>
      </c>
      <c r="M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" s="36" t="str">
        <f>CONCATENATE(M51, IF('Input Sheet'!J53="",""," siderite in "))</f>
        <v/>
      </c>
    </row>
    <row r="52" spans="1:14" x14ac:dyDescent="0.25">
      <c r="A52" s="51" t="str">
        <f>IF('Input Sheet'!C54="","",CONCATENATE("Sample ", 'Input Sheet'!B54, "m: ", L52, F52, "% ", "Siltstone, ", N52, 'Input Sheet'!C54, "% ", H52, " Sandstone, ", J52, I52, " FLUOR in SST. ", "TG ", 'Input Sheet'!H54, "U"))</f>
        <v>Sample 2105m: 55% Siltstone, 45% fine Sandstone, 100% moderately bright FLUOR in SST. TG 36.5U</v>
      </c>
      <c r="F52" s="36">
        <f>IF('Input Sheet'!C54="","",100-'Input Sheet'!C54)</f>
        <v>55</v>
      </c>
      <c r="G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2" s="36" t="str">
        <f t="shared" si="0"/>
        <v>fine</v>
      </c>
      <c r="I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52" s="36" t="str">
        <f>IF('Input Sheet'!F54=0, "NO",CONCATENATE('Input Sheet'!F54, IF('Input Sheet'!F54&gt;0,"% ","")))</f>
        <v xml:space="preserve">100% </v>
      </c>
      <c r="K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" s="36" t="str">
        <f>CONCATENATE(K52, IF('Input Sheet'!I54="",""," siderite in "))</f>
        <v/>
      </c>
      <c r="M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" s="36" t="str">
        <f>CONCATENATE(M52, IF('Input Sheet'!J54="",""," siderite in "))</f>
        <v/>
      </c>
    </row>
    <row r="53" spans="1:14" x14ac:dyDescent="0.25">
      <c r="A53" s="51" t="str">
        <f>IF('Input Sheet'!C55="","",CONCATENATE("Sample ", 'Input Sheet'!B55, "m: ", L53, F53, "% ", "Siltstone, ", N53, 'Input Sheet'!C55, "% ", H53, " Sandstone, ", J53, I53, " FLUOR in SST. ", "TG ", 'Input Sheet'!H55, "U"))</f>
        <v>Sample 2110m: 55% Siltstone, 45% fine Sandstone, 100% moderately bright FLUOR in SST. TG 41.3U</v>
      </c>
      <c r="F53" s="36">
        <f>IF('Input Sheet'!C55="","",100-'Input Sheet'!C55)</f>
        <v>55</v>
      </c>
      <c r="G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3" s="36" t="str">
        <f t="shared" si="0"/>
        <v>fine</v>
      </c>
      <c r="I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53" s="36" t="str">
        <f>IF('Input Sheet'!F55=0, "NO",CONCATENATE('Input Sheet'!F55, IF('Input Sheet'!F55&gt;0,"% ","")))</f>
        <v xml:space="preserve">100% </v>
      </c>
      <c r="K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" s="36" t="str">
        <f>CONCATENATE(K53, IF('Input Sheet'!I55="",""," siderite in "))</f>
        <v/>
      </c>
      <c r="M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" s="36" t="str">
        <f>CONCATENATE(M53, IF('Input Sheet'!J55="",""," siderite in "))</f>
        <v/>
      </c>
    </row>
    <row r="54" spans="1:14" x14ac:dyDescent="0.25">
      <c r="A54" s="51" t="str">
        <f>IF('Input Sheet'!C56="","",CONCATENATE("Sample ", 'Input Sheet'!B56, "m: ", L54, F54, "% ", "Siltstone, ", N54, 'Input Sheet'!C56, "% ", H54, " Sandstone, ", J54, I54, " FLUOR in SST. ", "TG ", 'Input Sheet'!H56, "U"))</f>
        <v>Sample 2115m: 50% Siltstone, 50% fine Sandstone, 100% moderately bright FLUOR in SST. TG 36.2U</v>
      </c>
      <c r="F54" s="36">
        <f>IF('Input Sheet'!C56="","",100-'Input Sheet'!C56)</f>
        <v>50</v>
      </c>
      <c r="G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4" s="36" t="str">
        <f t="shared" si="0"/>
        <v>fine</v>
      </c>
      <c r="I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54" s="36" t="str">
        <f>IF('Input Sheet'!F56=0, "NO",CONCATENATE('Input Sheet'!F56, IF('Input Sheet'!F56&gt;0,"% ","")))</f>
        <v xml:space="preserve">100% </v>
      </c>
      <c r="K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" s="36" t="str">
        <f>CONCATENATE(K54, IF('Input Sheet'!I56="",""," siderite in "))</f>
        <v/>
      </c>
      <c r="M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" s="36" t="str">
        <f>CONCATENATE(M54, IF('Input Sheet'!J56="",""," siderite in "))</f>
        <v/>
      </c>
    </row>
    <row r="55" spans="1:14" x14ac:dyDescent="0.25">
      <c r="A55" s="51" t="str">
        <f>IF('Input Sheet'!C57="","",CONCATENATE("Sample ", 'Input Sheet'!B57, "m: ", L55, F55, "% ", "Siltstone, ", N55, 'Input Sheet'!C57, "% ", H55, " Sandstone, ", J55, I55, " FLUOR in SST. ", "TG ", 'Input Sheet'!H57, "U"))</f>
        <v>Sample 2120m: 50% Siltstone, 50% fine Sandstone, 100% moderately bright FLUOR in SST. TG 33.5U</v>
      </c>
      <c r="F55" s="36">
        <f>IF('Input Sheet'!C57="","",100-'Input Sheet'!C57)</f>
        <v>50</v>
      </c>
      <c r="G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5" s="36" t="str">
        <f t="shared" si="0"/>
        <v>fine</v>
      </c>
      <c r="I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55" s="36" t="str">
        <f>IF('Input Sheet'!F57=0, "NO",CONCATENATE('Input Sheet'!F57, IF('Input Sheet'!F57&gt;0,"% ","")))</f>
        <v xml:space="preserve">100% </v>
      </c>
      <c r="K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" s="36" t="str">
        <f>CONCATENATE(K55, IF('Input Sheet'!I57="",""," siderite in "))</f>
        <v/>
      </c>
      <c r="M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" s="36" t="str">
        <f>CONCATENATE(M55, IF('Input Sheet'!J57="",""," siderite in "))</f>
        <v/>
      </c>
    </row>
    <row r="56" spans="1:14" x14ac:dyDescent="0.25">
      <c r="A56" s="51" t="str">
        <f>IF('Input Sheet'!C58="","",CONCATENATE("Sample ", 'Input Sheet'!B58, "m: ", L56, F56, "% ", "Siltstone, ", N56, 'Input Sheet'!C58, "% ", H56, " Sandstone, ", J56, I56, " FLUOR in SST. ", "TG ", 'Input Sheet'!H58, "U"))</f>
        <v>Sample 2125m: 55% Siltstone, 45% fine Sandstone, 100% moderately bright FLUOR in SST. TG 38.8U</v>
      </c>
      <c r="F56" s="36">
        <f>IF('Input Sheet'!C58="","",100-'Input Sheet'!C58)</f>
        <v>55</v>
      </c>
      <c r="G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6" s="36" t="str">
        <f t="shared" si="0"/>
        <v>fine</v>
      </c>
      <c r="I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56" s="36" t="str">
        <f>IF('Input Sheet'!F58=0, "NO",CONCATENATE('Input Sheet'!F58, IF('Input Sheet'!F58&gt;0,"% ","")))</f>
        <v xml:space="preserve">100% </v>
      </c>
      <c r="K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" s="36" t="str">
        <f>CONCATENATE(K56, IF('Input Sheet'!I58="",""," siderite in "))</f>
        <v/>
      </c>
      <c r="M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" s="36" t="str">
        <f>CONCATENATE(M56, IF('Input Sheet'!J58="",""," siderite in "))</f>
        <v/>
      </c>
    </row>
    <row r="57" spans="1:14" x14ac:dyDescent="0.25">
      <c r="A57" s="51" t="str">
        <f>IF('Input Sheet'!C59="","",CONCATENATE("Sample ", 'Input Sheet'!B59, "m: ", L57, F57, "% ", "Siltstone, ", N57, 'Input Sheet'!C59, "% ", H57, " Sandstone, ", J57, I57, " FLUOR in SST. ", "TG ", 'Input Sheet'!H59, "U"))</f>
        <v>Sample 2130m: 55% Siltstone, 45% fine Sandstone, 100% moderately bright FLUOR in SST. TG 24.9U</v>
      </c>
      <c r="F57" s="36">
        <f>IF('Input Sheet'!C59="","",100-'Input Sheet'!C59)</f>
        <v>55</v>
      </c>
      <c r="G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7" s="36" t="str">
        <f t="shared" si="0"/>
        <v>fine</v>
      </c>
      <c r="I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57" s="36" t="str">
        <f>IF('Input Sheet'!F59=0, "NO",CONCATENATE('Input Sheet'!F59, IF('Input Sheet'!F59&gt;0,"% ","")))</f>
        <v xml:space="preserve">100% </v>
      </c>
      <c r="K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" s="36" t="str">
        <f>CONCATENATE(K57, IF('Input Sheet'!I59="",""," siderite in "))</f>
        <v/>
      </c>
      <c r="M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" s="36" t="str">
        <f>CONCATENATE(M57, IF('Input Sheet'!J59="",""," siderite in "))</f>
        <v/>
      </c>
    </row>
    <row r="58" spans="1:14" x14ac:dyDescent="0.25">
      <c r="A58" s="51" t="str">
        <f>IF('Input Sheet'!C60="","",CONCATENATE("Sample ", 'Input Sheet'!B60, "m: ", L58, F58, "% ", "Siltstone, ", N58, 'Input Sheet'!C60, "% ", H58, " Sandstone, ", J58, I58, " FLUOR in SST. ", "TG ", 'Input Sheet'!H60, "U"))</f>
        <v>Sample 2135m: 55% Siltstone, 45% fine Sandstone, 100% moderately bright  to  bright FLUOR in SST. TG 43.2U</v>
      </c>
      <c r="F58" s="36">
        <f>IF('Input Sheet'!C60="","",100-'Input Sheet'!C60)</f>
        <v>55</v>
      </c>
      <c r="G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8" s="36" t="str">
        <f t="shared" si="0"/>
        <v>fine</v>
      </c>
      <c r="I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58" s="36" t="str">
        <f>IF('Input Sheet'!F60=0, "NO",CONCATENATE('Input Sheet'!F60, IF('Input Sheet'!F60&gt;0,"% ","")))</f>
        <v xml:space="preserve">100% </v>
      </c>
      <c r="K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" s="36" t="str">
        <f>CONCATENATE(K58, IF('Input Sheet'!I60="",""," siderite in "))</f>
        <v/>
      </c>
      <c r="M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" s="36" t="str">
        <f>CONCATENATE(M58, IF('Input Sheet'!J60="",""," siderite in "))</f>
        <v/>
      </c>
    </row>
    <row r="59" spans="1:14" x14ac:dyDescent="0.25">
      <c r="A59" s="51" t="str">
        <f>IF('Input Sheet'!C61="","",CONCATENATE("Sample ", 'Input Sheet'!B61, "m: ", L59, F59, "% ", "Siltstone, ", N59, 'Input Sheet'!C61, "% ", H59, " Sandstone, ", J59, I59, " FLUOR in SST. ", "TG ", 'Input Sheet'!H61, "U"))</f>
        <v>Sample 2140m: 55% Siltstone, 45% fine Sandstone, 100% moderately bright  to  bright FLUOR in SST. TG 29U</v>
      </c>
      <c r="F59" s="36">
        <f>IF('Input Sheet'!C61="","",100-'Input Sheet'!C61)</f>
        <v>55</v>
      </c>
      <c r="G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59" s="36" t="str">
        <f t="shared" si="0"/>
        <v>fine</v>
      </c>
      <c r="I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59" s="36" t="str">
        <f>IF('Input Sheet'!F61=0, "NO",CONCATENATE('Input Sheet'!F61, IF('Input Sheet'!F61&gt;0,"% ","")))</f>
        <v xml:space="preserve">100% </v>
      </c>
      <c r="K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" s="36" t="str">
        <f>CONCATENATE(K59, IF('Input Sheet'!I61="",""," siderite in "))</f>
        <v/>
      </c>
      <c r="M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" s="36" t="str">
        <f>CONCATENATE(M59, IF('Input Sheet'!J61="",""," siderite in "))</f>
        <v/>
      </c>
    </row>
    <row r="60" spans="1:14" x14ac:dyDescent="0.25">
      <c r="A60" s="51" t="str">
        <f>IF('Input Sheet'!C62="","",CONCATENATE("Sample ", 'Input Sheet'!B62, "m: ", L60, F60, "% ", "Siltstone, ", N60, 'Input Sheet'!C62, "% ", H60, " Sandstone, ", J60, I60, " FLUOR in SST. ", "TG ", 'Input Sheet'!H62, "U"))</f>
        <v>Sample 2145m: 60% Siltstone, 40% fine Sandstone, 100% moderately bright FLUOR in SST. TG 39.8U</v>
      </c>
      <c r="F60" s="36">
        <f>IF('Input Sheet'!C62="","",100-'Input Sheet'!C62)</f>
        <v>60</v>
      </c>
      <c r="G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60" s="36" t="str">
        <f t="shared" si="0"/>
        <v>fine</v>
      </c>
      <c r="I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0" s="36" t="str">
        <f>IF('Input Sheet'!F62=0, "NO",CONCATENATE('Input Sheet'!F62, IF('Input Sheet'!F62&gt;0,"% ","")))</f>
        <v xml:space="preserve">100% </v>
      </c>
      <c r="K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" s="36" t="str">
        <f>CONCATENATE(K60, IF('Input Sheet'!I62="",""," siderite in "))</f>
        <v/>
      </c>
      <c r="M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" s="36" t="str">
        <f>CONCATENATE(M60, IF('Input Sheet'!J62="",""," siderite in "))</f>
        <v/>
      </c>
    </row>
    <row r="61" spans="1:14" x14ac:dyDescent="0.25">
      <c r="A61" s="51" t="str">
        <f>IF('Input Sheet'!C63="","",CONCATENATE("Sample ", 'Input Sheet'!B63, "m: ", L61, F61, "% ", "Siltstone, ", N61, 'Input Sheet'!C63, "% ", H61, " Sandstone, ", J61, I61, " FLUOR in SST. ", "TG ", 'Input Sheet'!H63, "U"))</f>
        <v>Sample 2150m: 60% Siltstone, 40% fine Sandstone, 100% moderately bright FLUOR in SST. TG 26.9U</v>
      </c>
      <c r="F61" s="36">
        <f>IF('Input Sheet'!C63="","",100-'Input Sheet'!C63)</f>
        <v>60</v>
      </c>
      <c r="G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61" s="36" t="str">
        <f t="shared" si="0"/>
        <v>fine</v>
      </c>
      <c r="I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1" s="36" t="str">
        <f>IF('Input Sheet'!F63=0, "NO",CONCATENATE('Input Sheet'!F63, IF('Input Sheet'!F63&gt;0,"% ","")))</f>
        <v xml:space="preserve">100% </v>
      </c>
      <c r="K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" s="36" t="str">
        <f>CONCATENATE(K61, IF('Input Sheet'!I63="",""," siderite in "))</f>
        <v/>
      </c>
      <c r="M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" s="36" t="str">
        <f>CONCATENATE(M61, IF('Input Sheet'!J63="",""," siderite in "))</f>
        <v/>
      </c>
    </row>
    <row r="62" spans="1:14" x14ac:dyDescent="0.25">
      <c r="A62" s="51" t="str">
        <f>IF('Input Sheet'!C64="","",CONCATENATE("Sample ", 'Input Sheet'!B64, "m: ", L62, F62, "% ", "Siltstone, ", N62, 'Input Sheet'!C64, "% ", H62, " Sandstone, ", J62, I62, " FLUOR in SST. ", "TG ", 'Input Sheet'!H64, "U"))</f>
        <v>Sample 2155m: 50% Siltstone, 50% fine Sandstone, 100% moderately bright  to  bright FLUOR in SST. TG 46.5U</v>
      </c>
      <c r="F62" s="36">
        <f>IF('Input Sheet'!C64="","",100-'Input Sheet'!C64)</f>
        <v>50</v>
      </c>
      <c r="G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62" s="36" t="str">
        <f t="shared" si="0"/>
        <v>fine</v>
      </c>
      <c r="I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62" s="36" t="str">
        <f>IF('Input Sheet'!F64=0, "NO",CONCATENATE('Input Sheet'!F64, IF('Input Sheet'!F64&gt;0,"% ","")))</f>
        <v xml:space="preserve">100% </v>
      </c>
      <c r="K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" s="36" t="str">
        <f>CONCATENATE(K62, IF('Input Sheet'!I64="",""," siderite in "))</f>
        <v/>
      </c>
      <c r="M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" s="36" t="str">
        <f>CONCATENATE(M62, IF('Input Sheet'!J64="",""," siderite in "))</f>
        <v/>
      </c>
    </row>
    <row r="63" spans="1:14" x14ac:dyDescent="0.25">
      <c r="A63" s="51" t="str">
        <f>IF('Input Sheet'!C65="","",CONCATENATE("Sample ", 'Input Sheet'!B65, "m: ", L63, F63, "% ", "Siltstone, ", N63, 'Input Sheet'!C65, "% ", H63, " Sandstone, ", J63, I63, " FLUOR in SST. ", "TG ", 'Input Sheet'!H65, "U"))</f>
        <v>Sample 2160m: 50% Siltstone, 50% fine Sandstone, 100% moderately bright  to  bright FLUOR in SST. TG 48.4U</v>
      </c>
      <c r="F63" s="36">
        <f>IF('Input Sheet'!C65="","",100-'Input Sheet'!C65)</f>
        <v>50</v>
      </c>
      <c r="G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63" s="36" t="str">
        <f t="shared" si="0"/>
        <v>fine</v>
      </c>
      <c r="I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63" s="36" t="str">
        <f>IF('Input Sheet'!F65=0, "NO",CONCATENATE('Input Sheet'!F65, IF('Input Sheet'!F65&gt;0,"% ","")))</f>
        <v xml:space="preserve">100% </v>
      </c>
      <c r="K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" s="36" t="str">
        <f>CONCATENATE(K63, IF('Input Sheet'!I65="",""," siderite in "))</f>
        <v/>
      </c>
      <c r="M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" s="36" t="str">
        <f>CONCATENATE(M63, IF('Input Sheet'!J65="",""," siderite in "))</f>
        <v/>
      </c>
    </row>
    <row r="64" spans="1:14" x14ac:dyDescent="0.25">
      <c r="A64" s="51" t="str">
        <f>IF('Input Sheet'!C66="","",CONCATENATE("Sample ", 'Input Sheet'!B66, "m: ", L64, F64, "% ", "Siltstone, ", N64, 'Input Sheet'!C66, "% ", H64, " Sandstone, ", J64, I64, " FLUOR in SST. ", "TG ", 'Input Sheet'!H66, "U"))</f>
        <v>Sample 2165m: 55% Siltstone, 45% fine Sandstone, 100% moderately bright FLUOR in SST. TG 44.9U</v>
      </c>
      <c r="F64" s="36">
        <f>IF('Input Sheet'!C66="","",100-'Input Sheet'!C66)</f>
        <v>55</v>
      </c>
      <c r="G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64" s="36" t="str">
        <f t="shared" si="0"/>
        <v>fine</v>
      </c>
      <c r="I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4" s="36" t="str">
        <f>IF('Input Sheet'!F66=0, "NO",CONCATENATE('Input Sheet'!F66, IF('Input Sheet'!F66&gt;0,"% ","")))</f>
        <v xml:space="preserve">100% </v>
      </c>
      <c r="K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" s="36" t="str">
        <f>CONCATENATE(K64, IF('Input Sheet'!I66="",""," siderite in "))</f>
        <v/>
      </c>
      <c r="M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" s="36" t="str">
        <f>CONCATENATE(M64, IF('Input Sheet'!J66="",""," siderite in "))</f>
        <v/>
      </c>
    </row>
    <row r="65" spans="1:14" x14ac:dyDescent="0.25">
      <c r="A65" s="51" t="str">
        <f>IF('Input Sheet'!C67="","",CONCATENATE("Sample ", 'Input Sheet'!B67, "m: ", L65, F65, "% ", "Siltstone, ", N65, 'Input Sheet'!C67, "% ", H65, " Sandstone, ", J65, I65, " FLUOR in SST. ", "TG ", 'Input Sheet'!H67, "U"))</f>
        <v>Sample 2170m: 55% Siltstone, 45% fine Sandstone, 100% moderately bright FLUOR in SST. TG 30.7U</v>
      </c>
      <c r="F65" s="36">
        <f>IF('Input Sheet'!C67="","",100-'Input Sheet'!C67)</f>
        <v>55</v>
      </c>
      <c r="G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65" s="36" t="str">
        <f t="shared" si="0"/>
        <v>fine</v>
      </c>
      <c r="I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5" s="36" t="str">
        <f>IF('Input Sheet'!F67=0, "NO",CONCATENATE('Input Sheet'!F67, IF('Input Sheet'!F67&gt;0,"% ","")))</f>
        <v xml:space="preserve">100% </v>
      </c>
      <c r="K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" s="36" t="str">
        <f>CONCATENATE(K65, IF('Input Sheet'!I67="",""," siderite in "))</f>
        <v/>
      </c>
      <c r="M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" s="36" t="str">
        <f>CONCATENATE(M65, IF('Input Sheet'!J67="",""," siderite in "))</f>
        <v/>
      </c>
    </row>
    <row r="66" spans="1:14" x14ac:dyDescent="0.25">
      <c r="A66" s="51" t="str">
        <f>IF('Input Sheet'!C68="","",CONCATENATE("Sample ", 'Input Sheet'!B68, "m: ", L66, F66, "% ", "Siltstone, ", N66, 'Input Sheet'!C68, "% ", H66, " Sandstone, ", J66, I66, " FLUOR in SST. ", "TG ", 'Input Sheet'!H68, "U"))</f>
        <v>Sample 2175m: 60% Siltstone, 40% fine Sandstone, 100% moderately bright FLUOR in SST. TG 27.3U</v>
      </c>
      <c r="F66" s="36">
        <f>IF('Input Sheet'!C68="","",100-'Input Sheet'!C68)</f>
        <v>60</v>
      </c>
      <c r="G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66" s="36" t="str">
        <f t="shared" ref="H66:H129" si="1">SUBSTITUTE(G66, "veryfine", "very fine")</f>
        <v>fine</v>
      </c>
      <c r="I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6" s="36" t="str">
        <f>IF('Input Sheet'!F68=0, "NO",CONCATENATE('Input Sheet'!F68, IF('Input Sheet'!F68&gt;0,"% ","")))</f>
        <v xml:space="preserve">100% </v>
      </c>
      <c r="K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" s="36" t="str">
        <f>CONCATENATE(K66, IF('Input Sheet'!I68="",""," siderite in "))</f>
        <v/>
      </c>
      <c r="M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" s="36" t="str">
        <f>CONCATENATE(M66, IF('Input Sheet'!J68="",""," siderite in "))</f>
        <v/>
      </c>
    </row>
    <row r="67" spans="1:14" x14ac:dyDescent="0.25">
      <c r="A67" s="51" t="str">
        <f>IF('Input Sheet'!C69="","",CONCATENATE("Sample ", 'Input Sheet'!B69, "m: ", L67, F67, "% ", "Siltstone, ", N67, 'Input Sheet'!C69, "% ", H67, " Sandstone, ", J67, I67, " FLUOR in SST. ", "TG ", 'Input Sheet'!H69, "U"))</f>
        <v>Sample 2180m: 60% Siltstone, 40% fine Sandstone, 100% moderately bright FLUOR in SST. TG 28.8U</v>
      </c>
      <c r="F67" s="36">
        <f>IF('Input Sheet'!C69="","",100-'Input Sheet'!C69)</f>
        <v>60</v>
      </c>
      <c r="G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67" s="36" t="str">
        <f t="shared" si="1"/>
        <v>fine</v>
      </c>
      <c r="I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7" s="36" t="str">
        <f>IF('Input Sheet'!F69=0, "NO",CONCATENATE('Input Sheet'!F69, IF('Input Sheet'!F69&gt;0,"% ","")))</f>
        <v xml:space="preserve">100% </v>
      </c>
      <c r="K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" s="36" t="str">
        <f>CONCATENATE(K67, IF('Input Sheet'!I69="",""," siderite in "))</f>
        <v/>
      </c>
      <c r="M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" s="36" t="str">
        <f>CONCATENATE(M67, IF('Input Sheet'!J69="",""," siderite in "))</f>
        <v/>
      </c>
    </row>
    <row r="68" spans="1:14" x14ac:dyDescent="0.25">
      <c r="A68" s="51" t="str">
        <f>IF('Input Sheet'!C70="","",CONCATENATE("Sample ", 'Input Sheet'!B70, "m: ", L68, F68, "% ", "Siltstone, ", N68, 'Input Sheet'!C70, "% ", H68, " Sandstone, ", J68, I68, " FLUOR in SST. ", "TG ", 'Input Sheet'!H70, "U"))</f>
        <v>Sample 2185m: 60% Siltstone, 40% fine Sandstone, 100% moderately bright FLUOR in SST. TG 32.3U</v>
      </c>
      <c r="F68" s="36">
        <f>IF('Input Sheet'!C70="","",100-'Input Sheet'!C70)</f>
        <v>60</v>
      </c>
      <c r="G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68" s="36" t="str">
        <f t="shared" si="1"/>
        <v>fine</v>
      </c>
      <c r="I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8" s="36" t="str">
        <f>IF('Input Sheet'!F70=0, "NO",CONCATENATE('Input Sheet'!F70, IF('Input Sheet'!F70&gt;0,"% ","")))</f>
        <v xml:space="preserve">100% </v>
      </c>
      <c r="K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" s="36" t="str">
        <f>CONCATENATE(K68, IF('Input Sheet'!I70="",""," siderite in "))</f>
        <v/>
      </c>
      <c r="M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" s="36" t="str">
        <f>CONCATENATE(M68, IF('Input Sheet'!J70="",""," siderite in "))</f>
        <v/>
      </c>
    </row>
    <row r="69" spans="1:14" x14ac:dyDescent="0.25">
      <c r="A69" s="51" t="str">
        <f>IF('Input Sheet'!C71="","",CONCATENATE("Sample ", 'Input Sheet'!B71, "m: ", L69, F69, "% ", "Siltstone, ", N69, 'Input Sheet'!C71, "% ", H69, " Sandstone, ", J69, I69, " FLUOR in SST. ", "TG ", 'Input Sheet'!H71, "U"))</f>
        <v>Sample 2190m: 60% Siltstone, 40% fine Sandstone, 100% moderately bright FLUOR in SST. TG 33.5U</v>
      </c>
      <c r="F69" s="36">
        <f>IF('Input Sheet'!C71="","",100-'Input Sheet'!C71)</f>
        <v>60</v>
      </c>
      <c r="G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69" s="36" t="str">
        <f t="shared" si="1"/>
        <v>fine</v>
      </c>
      <c r="I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69" s="36" t="str">
        <f>IF('Input Sheet'!F71=0, "NO",CONCATENATE('Input Sheet'!F71, IF('Input Sheet'!F71&gt;0,"% ","")))</f>
        <v xml:space="preserve">100% </v>
      </c>
      <c r="K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" s="36" t="str">
        <f>CONCATENATE(K69, IF('Input Sheet'!I71="",""," siderite in "))</f>
        <v/>
      </c>
      <c r="M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" s="36" t="str">
        <f>CONCATENATE(M69, IF('Input Sheet'!J71="",""," siderite in "))</f>
        <v/>
      </c>
    </row>
    <row r="70" spans="1:14" x14ac:dyDescent="0.25">
      <c r="A70" s="51" t="str">
        <f>IF('Input Sheet'!C72="","",CONCATENATE("Sample ", 'Input Sheet'!B72, "m: ", L70, F70, "% ", "Siltstone, ", N70, 'Input Sheet'!C72, "% ", H70, " Sandstone, ", J70, I70, " FLUOR in SST. ", "TG ", 'Input Sheet'!H72, "U"))</f>
        <v>Sample 2195m: 55% Siltstone, 45% fine Sandstone, 100% moderately bright  to  bright FLUOR in SST. TG 48.8U</v>
      </c>
      <c r="F70" s="36">
        <f>IF('Input Sheet'!C72="","",100-'Input Sheet'!C72)</f>
        <v>55</v>
      </c>
      <c r="G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70" s="36" t="str">
        <f t="shared" si="1"/>
        <v>fine</v>
      </c>
      <c r="I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70" s="36" t="str">
        <f>IF('Input Sheet'!F72=0, "NO",CONCATENATE('Input Sheet'!F72, IF('Input Sheet'!F72&gt;0,"% ","")))</f>
        <v xml:space="preserve">100% </v>
      </c>
      <c r="K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" s="36" t="str">
        <f>CONCATENATE(K70, IF('Input Sheet'!I72="",""," siderite in "))</f>
        <v/>
      </c>
      <c r="M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" s="36" t="str">
        <f>CONCATENATE(M70, IF('Input Sheet'!J72="",""," siderite in "))</f>
        <v/>
      </c>
    </row>
    <row r="71" spans="1:14" x14ac:dyDescent="0.25">
      <c r="A71" s="51" t="str">
        <f>IF('Input Sheet'!C73="","",CONCATENATE("Sample ", 'Input Sheet'!B73, "m: ", L71, F71, "% ", "Siltstone, ", N71, 'Input Sheet'!C73, "% ", H71, " Sandstone, ", J71, I71, " FLUOR in SST. ", "TG ", 'Input Sheet'!H73, "U"))</f>
        <v>Sample 2200m: 55% Siltstone, 45% fine Sandstone, 100% moderately bright  to  bright FLUOR in SST. TG 49.6U</v>
      </c>
      <c r="F71" s="36">
        <f>IF('Input Sheet'!C73="","",100-'Input Sheet'!C73)</f>
        <v>55</v>
      </c>
      <c r="G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71" s="36" t="str">
        <f t="shared" si="1"/>
        <v>fine</v>
      </c>
      <c r="I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71" s="36" t="str">
        <f>IF('Input Sheet'!F73=0, "NO",CONCATENATE('Input Sheet'!F73, IF('Input Sheet'!F73&gt;0,"% ","")))</f>
        <v xml:space="preserve">100% </v>
      </c>
      <c r="K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" s="36" t="str">
        <f>CONCATENATE(K71, IF('Input Sheet'!I73="",""," siderite in "))</f>
        <v/>
      </c>
      <c r="M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" s="36" t="str">
        <f>CONCATENATE(M71, IF('Input Sheet'!J73="",""," siderite in "))</f>
        <v/>
      </c>
    </row>
    <row r="72" spans="1:14" x14ac:dyDescent="0.25">
      <c r="A72" s="51" t="str">
        <f>IF('Input Sheet'!C74="","",CONCATENATE("Sample ", 'Input Sheet'!B74, "m: ", L72, F72, "% ", "Siltstone, ", N72, 'Input Sheet'!C74, "% ", H72, " Sandstone, ", J72, I72, " FLUOR in SST. ", "TG ", 'Input Sheet'!H74, "U"))</f>
        <v>Sample 2205m: 80% Siltstone, 20% fine Sandstone, 100% moderately bright  to  bright FLUOR in SST. TG 22.7U</v>
      </c>
      <c r="F72" s="36">
        <f>IF('Input Sheet'!C74="","",100-'Input Sheet'!C74)</f>
        <v>80</v>
      </c>
      <c r="G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72" s="36" t="str">
        <f t="shared" si="1"/>
        <v>fine</v>
      </c>
      <c r="I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72" s="36" t="str">
        <f>IF('Input Sheet'!F74=0, "NO",CONCATENATE('Input Sheet'!F74, IF('Input Sheet'!F74&gt;0,"% ","")))</f>
        <v xml:space="preserve">100% </v>
      </c>
      <c r="K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" s="36" t="str">
        <f>CONCATENATE(K72, IF('Input Sheet'!I74="",""," siderite in "))</f>
        <v/>
      </c>
      <c r="M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" s="36" t="str">
        <f>CONCATENATE(M72, IF('Input Sheet'!J74="",""," siderite in "))</f>
        <v/>
      </c>
    </row>
    <row r="73" spans="1:14" x14ac:dyDescent="0.25">
      <c r="A73" s="51" t="str">
        <f>IF('Input Sheet'!C75="","",CONCATENATE("Sample ", 'Input Sheet'!B75, "m: ", L73, F73, "% ", "Siltstone, ", N73, 'Input Sheet'!C75, "% ", H73, " Sandstone, ", J73, I73, " FLUOR in SST. ", "TG ", 'Input Sheet'!H75, "U"))</f>
        <v>Sample 2210m: 80% Siltstone, 20% fine Sandstone, 100% moderately bright  to  bright FLUOR in SST. TG 26.2U</v>
      </c>
      <c r="F73" s="36">
        <f>IF('Input Sheet'!C75="","",100-'Input Sheet'!C75)</f>
        <v>80</v>
      </c>
      <c r="G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73" s="36" t="str">
        <f t="shared" si="1"/>
        <v>fine</v>
      </c>
      <c r="I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73" s="36" t="str">
        <f>IF('Input Sheet'!F75=0, "NO",CONCATENATE('Input Sheet'!F75, IF('Input Sheet'!F75&gt;0,"% ","")))</f>
        <v xml:space="preserve">100% </v>
      </c>
      <c r="K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" s="36" t="str">
        <f>CONCATENATE(K73, IF('Input Sheet'!I75="",""," siderite in "))</f>
        <v/>
      </c>
      <c r="M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" s="36" t="str">
        <f>CONCATENATE(M73, IF('Input Sheet'!J75="",""," siderite in "))</f>
        <v/>
      </c>
    </row>
    <row r="74" spans="1:14" x14ac:dyDescent="0.25">
      <c r="A74" s="51" t="str">
        <f>IF('Input Sheet'!C76="","",CONCATENATE("Sample ", 'Input Sheet'!B76, "m: ", L74, F74, "% ", "Siltstone, ", N74, 'Input Sheet'!C76, "% ", H74, " Sandstone, ", J74, I74, " FLUOR in SST. ", "TG ", 'Input Sheet'!H76, "U"))</f>
        <v>Sample 2215m: 75% Siltstone, 25% fine Sandstone, 100% moderately bright  to  bright FLUOR in SST. TG 34.3U</v>
      </c>
      <c r="F74" s="36">
        <f>IF('Input Sheet'!C76="","",100-'Input Sheet'!C76)</f>
        <v>75</v>
      </c>
      <c r="G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74" s="36" t="str">
        <f t="shared" si="1"/>
        <v>fine</v>
      </c>
      <c r="I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74" s="36" t="str">
        <f>IF('Input Sheet'!F76=0, "NO",CONCATENATE('Input Sheet'!F76, IF('Input Sheet'!F76&gt;0,"% ","")))</f>
        <v xml:space="preserve">100% </v>
      </c>
      <c r="K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" s="36" t="str">
        <f>CONCATENATE(K74, IF('Input Sheet'!I76="",""," siderite in "))</f>
        <v/>
      </c>
      <c r="M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" s="36" t="str">
        <f>CONCATENATE(M74, IF('Input Sheet'!J76="",""," siderite in "))</f>
        <v/>
      </c>
    </row>
    <row r="75" spans="1:14" x14ac:dyDescent="0.25">
      <c r="A75" s="51" t="str">
        <f>IF('Input Sheet'!C77="","",CONCATENATE("Sample ", 'Input Sheet'!B77, "m: ", L75, F75, "% ", "Siltstone, ", N75, 'Input Sheet'!C77, "% ", H75, " Sandstone, ", J75, I75, " FLUOR in SST. ", "TG ", 'Input Sheet'!H77, "U"))</f>
        <v>Sample 2220m: 75% Siltstone, 25% fine Sandstone, 100% moderately bright  to  bright FLUOR in SST. TG 43U</v>
      </c>
      <c r="F75" s="36">
        <f>IF('Input Sheet'!C77="","",100-'Input Sheet'!C77)</f>
        <v>75</v>
      </c>
      <c r="G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75" s="36" t="str">
        <f t="shared" si="1"/>
        <v>fine</v>
      </c>
      <c r="I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75" s="36" t="str">
        <f>IF('Input Sheet'!F77=0, "NO",CONCATENATE('Input Sheet'!F77, IF('Input Sheet'!F77&gt;0,"% ","")))</f>
        <v xml:space="preserve">100% </v>
      </c>
      <c r="K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" s="36" t="str">
        <f>CONCATENATE(K75, IF('Input Sheet'!I77="",""," siderite in "))</f>
        <v/>
      </c>
      <c r="M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" s="36" t="str">
        <f>CONCATENATE(M75, IF('Input Sheet'!J77="",""," siderite in "))</f>
        <v/>
      </c>
    </row>
    <row r="76" spans="1:14" x14ac:dyDescent="0.25">
      <c r="A76" s="51" t="str">
        <f>IF('Input Sheet'!C78="","",CONCATENATE("Sample ", 'Input Sheet'!B78, "m: ", L76, F76, "% ", "Siltstone, ", N76, 'Input Sheet'!C78, "% ", H76, " Sandstone, ", J76, I76, " FLUOR in SST. ", "TG ", 'Input Sheet'!H78, "U"))</f>
        <v>Sample 2225m: 65% Siltstone, 35% fine Sandstone, 100% moderately bright  to  bright FLUOR in SST. TG 45.7U</v>
      </c>
      <c r="F76" s="36">
        <f>IF('Input Sheet'!C78="","",100-'Input Sheet'!C78)</f>
        <v>65</v>
      </c>
      <c r="G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76" s="36" t="str">
        <f t="shared" si="1"/>
        <v>fine</v>
      </c>
      <c r="I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76" s="36" t="str">
        <f>IF('Input Sheet'!F78=0, "NO",CONCATENATE('Input Sheet'!F78, IF('Input Sheet'!F78&gt;0,"% ","")))</f>
        <v xml:space="preserve">100% </v>
      </c>
      <c r="K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" s="36" t="str">
        <f>CONCATENATE(K76, IF('Input Sheet'!I78="",""," siderite in "))</f>
        <v/>
      </c>
      <c r="M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" s="36" t="str">
        <f>CONCATENATE(M76, IF('Input Sheet'!J78="",""," siderite in "))</f>
        <v/>
      </c>
    </row>
    <row r="77" spans="1:14" x14ac:dyDescent="0.25">
      <c r="A77" s="51" t="str">
        <f>IF('Input Sheet'!C79="","",CONCATENATE("Sample ", 'Input Sheet'!B79, "m: ", L77, F77, "% ", "Siltstone, ", N77, 'Input Sheet'!C79, "% ", H77, " Sandstone, ", J77, I77, " FLUOR in SST. ", "TG ", 'Input Sheet'!H79, "U"))</f>
        <v>Sample 2230m: trace siderite in 65% Siltstone, 35% fine Sandstone, 100% moderately bright  to  bright FLUOR in SST. TG 41.5U</v>
      </c>
      <c r="F77" s="36">
        <f>IF('Input Sheet'!C79="","",100-'Input Sheet'!C79)</f>
        <v>65</v>
      </c>
      <c r="G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77" s="36" t="str">
        <f t="shared" si="1"/>
        <v>fine</v>
      </c>
      <c r="I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77" s="36" t="str">
        <f>IF('Input Sheet'!F79=0, "NO",CONCATENATE('Input Sheet'!F79, IF('Input Sheet'!F79&gt;0,"% ","")))</f>
        <v xml:space="preserve">100% </v>
      </c>
      <c r="K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77" s="36" t="str">
        <f>CONCATENATE(K77, IF('Input Sheet'!I79="",""," siderite in "))</f>
        <v xml:space="preserve">trace siderite in </v>
      </c>
      <c r="M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" s="36" t="str">
        <f>CONCATENATE(M77, IF('Input Sheet'!J79="",""," siderite in "))</f>
        <v/>
      </c>
    </row>
    <row r="78" spans="1:14" x14ac:dyDescent="0.25">
      <c r="A78" s="51" t="str">
        <f>IF('Input Sheet'!C80="","",CONCATENATE("Sample ", 'Input Sheet'!B80, "m: ", L78, F78, "% ", "Siltstone, ", N78, 'Input Sheet'!C80, "% ", H78, " Sandstone, ", J78, I78, " FLUOR in SST. ", "TG ", 'Input Sheet'!H80, "U"))</f>
        <v>Sample 2235m: 65% Siltstone, 35% fine Sandstone, 100% moderately bright  to  bright FLUOR in SST. TG 42.7U</v>
      </c>
      <c r="F78" s="36">
        <f>IF('Input Sheet'!C80="","",100-'Input Sheet'!C80)</f>
        <v>65</v>
      </c>
      <c r="G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78" s="36" t="str">
        <f t="shared" si="1"/>
        <v>fine</v>
      </c>
      <c r="I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78" s="36" t="str">
        <f>IF('Input Sheet'!F80=0, "NO",CONCATENATE('Input Sheet'!F80, IF('Input Sheet'!F80&gt;0,"% ","")))</f>
        <v xml:space="preserve">100% </v>
      </c>
      <c r="K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" s="36" t="str">
        <f>CONCATENATE(K78, IF('Input Sheet'!I80="",""," siderite in "))</f>
        <v/>
      </c>
      <c r="M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" s="36" t="str">
        <f>CONCATENATE(M78, IF('Input Sheet'!J80="",""," siderite in "))</f>
        <v/>
      </c>
    </row>
    <row r="79" spans="1:14" x14ac:dyDescent="0.25">
      <c r="A79" s="51" t="str">
        <f>IF('Input Sheet'!C81="","",CONCATENATE("Sample ", 'Input Sheet'!B81, "m: ", L79, F79, "% ", "Siltstone, ", N79, 'Input Sheet'!C81, "% ", H79, " Sandstone, ", J79, I79, " FLUOR in SST. ", "TG ", 'Input Sheet'!H81, "U"))</f>
        <v>Sample 2240m: trace siderite in 65% Siltstone, 35% fine Sandstone, 100% moderately bright  to  bright FLUOR in SST. TG 36.2U</v>
      </c>
      <c r="F79" s="36">
        <f>IF('Input Sheet'!C81="","",100-'Input Sheet'!C81)</f>
        <v>65</v>
      </c>
      <c r="G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79" s="36" t="str">
        <f t="shared" si="1"/>
        <v>fine</v>
      </c>
      <c r="I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79" s="36" t="str">
        <f>IF('Input Sheet'!F81=0, "NO",CONCATENATE('Input Sheet'!F81, IF('Input Sheet'!F81&gt;0,"% ","")))</f>
        <v xml:space="preserve">100% </v>
      </c>
      <c r="K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79" s="36" t="str">
        <f>CONCATENATE(K79, IF('Input Sheet'!I81="",""," siderite in "))</f>
        <v xml:space="preserve">trace siderite in </v>
      </c>
      <c r="M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" s="36" t="str">
        <f>CONCATENATE(M79, IF('Input Sheet'!J81="",""," siderite in "))</f>
        <v/>
      </c>
    </row>
    <row r="80" spans="1:14" x14ac:dyDescent="0.25">
      <c r="A80" s="51" t="str">
        <f>IF('Input Sheet'!C82="","",CONCATENATE("Sample ", 'Input Sheet'!B82, "m: ", L80, F80, "% ", "Siltstone, ", N80, 'Input Sheet'!C82, "% ", H80, " Sandstone, ", J80, I80, " FLUOR in SST. ", "TG ", 'Input Sheet'!H82, "U"))</f>
        <v>Sample 2245m: 65% Siltstone, 35% fine Sandstone, 100% moderately bright FLUOR in SST. TG 29.4U</v>
      </c>
      <c r="F80" s="36">
        <f>IF('Input Sheet'!C82="","",100-'Input Sheet'!C82)</f>
        <v>65</v>
      </c>
      <c r="G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80" s="36" t="str">
        <f t="shared" si="1"/>
        <v>fine</v>
      </c>
      <c r="I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80" s="36" t="str">
        <f>IF('Input Sheet'!F82=0, "NO",CONCATENATE('Input Sheet'!F82, IF('Input Sheet'!F82&gt;0,"% ","")))</f>
        <v xml:space="preserve">100% </v>
      </c>
      <c r="K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" s="36" t="str">
        <f>CONCATENATE(K80, IF('Input Sheet'!I82="",""," siderite in "))</f>
        <v/>
      </c>
      <c r="M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" s="36" t="str">
        <f>CONCATENATE(M80, IF('Input Sheet'!J82="",""," siderite in "))</f>
        <v/>
      </c>
    </row>
    <row r="81" spans="1:14" x14ac:dyDescent="0.25">
      <c r="A81" s="51" t="str">
        <f>IF('Input Sheet'!C83="","",CONCATENATE("Sample ", 'Input Sheet'!B83, "m: ", L81, F81, "% ", "Siltstone, ", N81, 'Input Sheet'!C83, "% ", H81, " Sandstone, ", J81, I81, " FLUOR in SST. ", "TG ", 'Input Sheet'!H83, "U"))</f>
        <v>Sample 2250m: 65% Siltstone, 35% fine Sandstone, 100% moderately bright FLUOR in SST. TG 42.7U</v>
      </c>
      <c r="F81" s="36">
        <f>IF('Input Sheet'!C83="","",100-'Input Sheet'!C83)</f>
        <v>65</v>
      </c>
      <c r="G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81" s="36" t="str">
        <f t="shared" si="1"/>
        <v>fine</v>
      </c>
      <c r="I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81" s="36" t="str">
        <f>IF('Input Sheet'!F83=0, "NO",CONCATENATE('Input Sheet'!F83, IF('Input Sheet'!F83&gt;0,"% ","")))</f>
        <v xml:space="preserve">100% </v>
      </c>
      <c r="K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" s="36" t="str">
        <f>CONCATENATE(K81, IF('Input Sheet'!I83="",""," siderite in "))</f>
        <v/>
      </c>
      <c r="M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" s="36" t="str">
        <f>CONCATENATE(M81, IF('Input Sheet'!J83="",""," siderite in "))</f>
        <v/>
      </c>
    </row>
    <row r="82" spans="1:14" x14ac:dyDescent="0.25">
      <c r="A82" s="51" t="str">
        <f>IF('Input Sheet'!C84="","",CONCATENATE("Sample ", 'Input Sheet'!B84, "m: ", L82, F82, "% ", "Siltstone, ", N82, 'Input Sheet'!C84, "% ", H82, " Sandstone, ", J82, I82, " FLUOR in SST. ", "TG ", 'Input Sheet'!H84, "U"))</f>
        <v>Sample 2255m: 65% Siltstone, 35% fine Sandstone, 100% moderately bright FLUOR in SST. TG 45.8U</v>
      </c>
      <c r="F82" s="36">
        <f>IF('Input Sheet'!C84="","",100-'Input Sheet'!C84)</f>
        <v>65</v>
      </c>
      <c r="G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82" s="36" t="str">
        <f t="shared" si="1"/>
        <v>fine</v>
      </c>
      <c r="I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82" s="36" t="str">
        <f>IF('Input Sheet'!F84=0, "NO",CONCATENATE('Input Sheet'!F84, IF('Input Sheet'!F84&gt;0,"% ","")))</f>
        <v xml:space="preserve">100% </v>
      </c>
      <c r="K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" s="36" t="str">
        <f>CONCATENATE(K82, IF('Input Sheet'!I84="",""," siderite in "))</f>
        <v/>
      </c>
      <c r="M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" s="36" t="str">
        <f>CONCATENATE(M82, IF('Input Sheet'!J84="",""," siderite in "))</f>
        <v/>
      </c>
    </row>
    <row r="83" spans="1:14" x14ac:dyDescent="0.25">
      <c r="A83" s="51" t="str">
        <f>IF('Input Sheet'!C85="","",CONCATENATE("Sample ", 'Input Sheet'!B85, "m: ", L83, F83, "% ", "Siltstone, ", N83, 'Input Sheet'!C85, "% ", H83, " Sandstone, ", J83, I83, " FLUOR in SST. ", "TG ", 'Input Sheet'!H85, "U"))</f>
        <v>Sample 2260m: rare siderite in 65% Siltstone, 35% fine Sandstone, 100% moderately bright FLUOR in SST. TG 110.5U</v>
      </c>
      <c r="F83" s="36">
        <f>IF('Input Sheet'!C85="","",100-'Input Sheet'!C85)</f>
        <v>65</v>
      </c>
      <c r="G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83" s="36" t="str">
        <f t="shared" si="1"/>
        <v>fine</v>
      </c>
      <c r="I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83" s="36" t="str">
        <f>IF('Input Sheet'!F85=0, "NO",CONCATENATE('Input Sheet'!F85, IF('Input Sheet'!F85&gt;0,"% ","")))</f>
        <v xml:space="preserve">100% </v>
      </c>
      <c r="K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rare</v>
      </c>
      <c r="L83" s="36" t="str">
        <f>CONCATENATE(K83, IF('Input Sheet'!I85="",""," siderite in "))</f>
        <v xml:space="preserve">rare siderite in </v>
      </c>
      <c r="M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" s="36" t="str">
        <f>CONCATENATE(M83, IF('Input Sheet'!J85="",""," siderite in "))</f>
        <v/>
      </c>
    </row>
    <row r="84" spans="1:14" x14ac:dyDescent="0.25">
      <c r="A84" s="51" t="str">
        <f>IF('Input Sheet'!C86="","",CONCATENATE("Sample ", 'Input Sheet'!B86, "m: ", L84, F84, "% ", "Siltstone, ", N84, 'Input Sheet'!C86, "% ", H84, " Sandstone, ", J84, I84, " FLUOR in SST. ", "TG ", 'Input Sheet'!H86, "U"))</f>
        <v>Sample 2265m: 50% Siltstone, 50% fine Sandstone, 100% bright FLUOR in SST. TG 73.2U</v>
      </c>
      <c r="F84" s="36">
        <f>IF('Input Sheet'!C86="","",100-'Input Sheet'!C86)</f>
        <v>50</v>
      </c>
      <c r="G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84" s="36" t="str">
        <f t="shared" si="1"/>
        <v>fine</v>
      </c>
      <c r="I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84" s="36" t="str">
        <f>IF('Input Sheet'!F86=0, "NO",CONCATENATE('Input Sheet'!F86, IF('Input Sheet'!F86&gt;0,"% ","")))</f>
        <v xml:space="preserve">100% </v>
      </c>
      <c r="K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" s="36" t="str">
        <f>CONCATENATE(K84, IF('Input Sheet'!I86="",""," siderite in "))</f>
        <v/>
      </c>
      <c r="M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" s="36" t="str">
        <f>CONCATENATE(M84, IF('Input Sheet'!J86="",""," siderite in "))</f>
        <v/>
      </c>
    </row>
    <row r="85" spans="1:14" x14ac:dyDescent="0.25">
      <c r="A85" s="51" t="str">
        <f>IF('Input Sheet'!C87="","",CONCATENATE("Sample ", 'Input Sheet'!B87, "m: ", L85, F85, "% ", "Siltstone, ", N85, 'Input Sheet'!C87, "% ", H85, " Sandstone, ", J85, I85, " FLUOR in SST. ", "TG ", 'Input Sheet'!H87, "U"))</f>
        <v>Sample 2270m: 50% Siltstone, 50% fine Sandstone, 100% bright FLUOR in SST. TG 109.3U</v>
      </c>
      <c r="F85" s="36">
        <f>IF('Input Sheet'!C87="","",100-'Input Sheet'!C87)</f>
        <v>50</v>
      </c>
      <c r="G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85" s="36" t="str">
        <f t="shared" si="1"/>
        <v>fine</v>
      </c>
      <c r="I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85" s="36" t="str">
        <f>IF('Input Sheet'!F87=0, "NO",CONCATENATE('Input Sheet'!F87, IF('Input Sheet'!F87&gt;0,"% ","")))</f>
        <v xml:space="preserve">100% </v>
      </c>
      <c r="K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" s="36" t="str">
        <f>CONCATENATE(K85, IF('Input Sheet'!I87="",""," siderite in "))</f>
        <v/>
      </c>
      <c r="M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" s="36" t="str">
        <f>CONCATENATE(M85, IF('Input Sheet'!J87="",""," siderite in "))</f>
        <v/>
      </c>
    </row>
    <row r="86" spans="1:14" x14ac:dyDescent="0.25">
      <c r="A86" s="51" t="str">
        <f>IF('Input Sheet'!C88="","",CONCATENATE("Sample ", 'Input Sheet'!B88, "m: ", L86, F86, "% ", "Siltstone, ", N86, 'Input Sheet'!C88, "% ", H86, " Sandstone, ", J86, I86, " FLUOR in SST. ", "TG ", 'Input Sheet'!H88, "U"))</f>
        <v>Sample 2275m: 50% Siltstone, 50% fine Sandstone, 100% bright FLUOR in SST. TG 79.4U</v>
      </c>
      <c r="F86" s="36">
        <f>IF('Input Sheet'!C88="","",100-'Input Sheet'!C88)</f>
        <v>50</v>
      </c>
      <c r="G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86" s="36" t="str">
        <f t="shared" si="1"/>
        <v>fine</v>
      </c>
      <c r="I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86" s="36" t="str">
        <f>IF('Input Sheet'!F88=0, "NO",CONCATENATE('Input Sheet'!F88, IF('Input Sheet'!F88&gt;0,"% ","")))</f>
        <v xml:space="preserve">100% </v>
      </c>
      <c r="K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" s="36" t="str">
        <f>CONCATENATE(K86, IF('Input Sheet'!I88="",""," siderite in "))</f>
        <v/>
      </c>
      <c r="M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" s="36" t="str">
        <f>CONCATENATE(M86, IF('Input Sheet'!J88="",""," siderite in "))</f>
        <v/>
      </c>
    </row>
    <row r="87" spans="1:14" x14ac:dyDescent="0.25">
      <c r="A87" s="51" t="str">
        <f>IF('Input Sheet'!C89="","",CONCATENATE("Sample ", 'Input Sheet'!B89, "m: ", L87, F87, "% ", "Siltstone, ", N87, 'Input Sheet'!C89, "% ", H87, " Sandstone, ", J87, I87, " FLUOR in SST. ", "TG ", 'Input Sheet'!H89, "U"))</f>
        <v>Sample 2280m: trace siderite in 50% Siltstone, 50% fine Sandstone, 100% bright FLUOR in SST. TG 65.3U</v>
      </c>
      <c r="F87" s="36">
        <f>IF('Input Sheet'!C89="","",100-'Input Sheet'!C89)</f>
        <v>50</v>
      </c>
      <c r="G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87" s="36" t="str">
        <f t="shared" si="1"/>
        <v>fine</v>
      </c>
      <c r="I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87" s="36" t="str">
        <f>IF('Input Sheet'!F89=0, "NO",CONCATENATE('Input Sheet'!F89, IF('Input Sheet'!F89&gt;0,"% ","")))</f>
        <v xml:space="preserve">100% </v>
      </c>
      <c r="K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87" s="36" t="str">
        <f>CONCATENATE(K87, IF('Input Sheet'!I89="",""," siderite in "))</f>
        <v xml:space="preserve">trace siderite in </v>
      </c>
      <c r="M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" s="36" t="str">
        <f>CONCATENATE(M87, IF('Input Sheet'!J89="",""," siderite in "))</f>
        <v/>
      </c>
    </row>
    <row r="88" spans="1:14" x14ac:dyDescent="0.25">
      <c r="A88" s="51" t="str">
        <f>IF('Input Sheet'!C90="","",CONCATENATE("Sample ", 'Input Sheet'!B90, "m: ", L88, F88, "% ", "Siltstone, ", N88, 'Input Sheet'!C90, "% ", H88, " Sandstone, ", J88, I88, " FLUOR in SST. ", "TG ", 'Input Sheet'!H90, "U"))</f>
        <v>Sample 2285m: 40% Siltstone, 60% fine Sandstone, 100% moderately bright  to  bright FLUOR in SST. TG 70.3U</v>
      </c>
      <c r="F88" s="36">
        <f>IF('Input Sheet'!C90="","",100-'Input Sheet'!C90)</f>
        <v>40</v>
      </c>
      <c r="G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88" s="36" t="str">
        <f t="shared" si="1"/>
        <v>fine</v>
      </c>
      <c r="I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88" s="36" t="str">
        <f>IF('Input Sheet'!F90=0, "NO",CONCATENATE('Input Sheet'!F90, IF('Input Sheet'!F90&gt;0,"% ","")))</f>
        <v xml:space="preserve">100% </v>
      </c>
      <c r="K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" s="36" t="str">
        <f>CONCATENATE(K88, IF('Input Sheet'!I90="",""," siderite in "))</f>
        <v/>
      </c>
      <c r="M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" s="36" t="str">
        <f>CONCATENATE(M88, IF('Input Sheet'!J90="",""," siderite in "))</f>
        <v/>
      </c>
    </row>
    <row r="89" spans="1:14" x14ac:dyDescent="0.25">
      <c r="A89" s="51" t="str">
        <f>IF('Input Sheet'!C91="","",CONCATENATE("Sample ", 'Input Sheet'!B91, "m: ", L89, F89, "% ", "Siltstone, ", N89, 'Input Sheet'!C91, "% ", H89, " Sandstone, ", J89, I89, " FLUOR in SST. ", "TG ", 'Input Sheet'!H91, "U"))</f>
        <v>Sample 2290m: 40% Siltstone, common siderite in 60% fine Sandstone, 100% moderately bright  to  bright FLUOR in SST. TG 122.8U</v>
      </c>
      <c r="F89" s="36">
        <f>IF('Input Sheet'!C91="","",100-'Input Sheet'!C91)</f>
        <v>40</v>
      </c>
      <c r="G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89" s="36" t="str">
        <f t="shared" si="1"/>
        <v>fine</v>
      </c>
      <c r="I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 to  bright</v>
      </c>
      <c r="J89" s="36" t="str">
        <f>IF('Input Sheet'!F91=0, "NO",CONCATENATE('Input Sheet'!F91, IF('Input Sheet'!F91&gt;0,"% ","")))</f>
        <v xml:space="preserve">100% </v>
      </c>
      <c r="K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" s="36" t="str">
        <f>CONCATENATE(K89, IF('Input Sheet'!I91="",""," siderite in "))</f>
        <v/>
      </c>
      <c r="M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N89" s="36" t="str">
        <f>CONCATENATE(M89, IF('Input Sheet'!J91="",""," siderite in "))</f>
        <v xml:space="preserve">common siderite in </v>
      </c>
    </row>
    <row r="90" spans="1:14" x14ac:dyDescent="0.25">
      <c r="A90" s="51" t="str">
        <f>IF('Input Sheet'!C92="","",CONCATENATE("Sample ", 'Input Sheet'!B92, "m: ", L90, F90, "% ", "Siltstone, ", N90, 'Input Sheet'!C92, "% ", H90, " Sandstone, ", J90, I90, " FLUOR in SST. ", "TG ", 'Input Sheet'!H92, "U"))</f>
        <v>Sample 2295m: 40% Siltstone, 60% fine Sandstone, 100% bright FLUOR in SST. TG 110.7U</v>
      </c>
      <c r="F90" s="36">
        <f>IF('Input Sheet'!C92="","",100-'Input Sheet'!C92)</f>
        <v>40</v>
      </c>
      <c r="G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0" s="36" t="str">
        <f t="shared" si="1"/>
        <v>fine</v>
      </c>
      <c r="I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90" s="36" t="str">
        <f>IF('Input Sheet'!F92=0, "NO",CONCATENATE('Input Sheet'!F92, IF('Input Sheet'!F92&gt;0,"% ","")))</f>
        <v xml:space="preserve">100% </v>
      </c>
      <c r="K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" s="36" t="str">
        <f>CONCATENATE(K90, IF('Input Sheet'!I92="",""," siderite in "))</f>
        <v/>
      </c>
      <c r="M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" s="36" t="str">
        <f>CONCATENATE(M90, IF('Input Sheet'!J92="",""," siderite in "))</f>
        <v/>
      </c>
    </row>
    <row r="91" spans="1:14" x14ac:dyDescent="0.25">
      <c r="A91" s="51" t="str">
        <f>IF('Input Sheet'!C93="","",CONCATENATE("Sample ", 'Input Sheet'!B93, "m: ", L91, F91, "% ", "Siltstone, ", N91, 'Input Sheet'!C93, "% ", H91, " Sandstone, ", J91, I91, " FLUOR in SST. ", "TG ", 'Input Sheet'!H93, "U"))</f>
        <v>Sample 2300m: 40% Siltstone, 60% fine Sandstone, 100% bright FLUOR in SST. TG 133.7U</v>
      </c>
      <c r="F91" s="36">
        <f>IF('Input Sheet'!C93="","",100-'Input Sheet'!C93)</f>
        <v>40</v>
      </c>
      <c r="G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1" s="36" t="str">
        <f t="shared" si="1"/>
        <v>fine</v>
      </c>
      <c r="I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91" s="36" t="str">
        <f>IF('Input Sheet'!F93=0, "NO",CONCATENATE('Input Sheet'!F93, IF('Input Sheet'!F93&gt;0,"% ","")))</f>
        <v xml:space="preserve">100% </v>
      </c>
      <c r="K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" s="36" t="str">
        <f>CONCATENATE(K91, IF('Input Sheet'!I93="",""," siderite in "))</f>
        <v/>
      </c>
      <c r="M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" s="36" t="str">
        <f>CONCATENATE(M91, IF('Input Sheet'!J93="",""," siderite in "))</f>
        <v/>
      </c>
    </row>
    <row r="92" spans="1:14" x14ac:dyDescent="0.25">
      <c r="A92" s="51" t="str">
        <f>IF('Input Sheet'!C94="","",CONCATENATE("Sample ", 'Input Sheet'!B94, "m: ", L92, F92, "% ", "Siltstone, ", N92, 'Input Sheet'!C94, "% ", H92, " Sandstone, ", J92, I92, " FLUOR in SST. ", "TG ", 'Input Sheet'!H94, "U"))</f>
        <v>Sample 2305m: 35% Siltstone, 65% fine Sandstone, 100% bright FLUOR in SST. TG 102.7U</v>
      </c>
      <c r="F92" s="36">
        <f>IF('Input Sheet'!C94="","",100-'Input Sheet'!C94)</f>
        <v>35</v>
      </c>
      <c r="G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2" s="36" t="str">
        <f t="shared" si="1"/>
        <v>fine</v>
      </c>
      <c r="I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92" s="36" t="str">
        <f>IF('Input Sheet'!F94=0, "NO",CONCATENATE('Input Sheet'!F94, IF('Input Sheet'!F94&gt;0,"% ","")))</f>
        <v xml:space="preserve">100% </v>
      </c>
      <c r="K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" s="36" t="str">
        <f>CONCATENATE(K92, IF('Input Sheet'!I94="",""," siderite in "))</f>
        <v/>
      </c>
      <c r="M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" s="36" t="str">
        <f>CONCATENATE(M92, IF('Input Sheet'!J94="",""," siderite in "))</f>
        <v/>
      </c>
    </row>
    <row r="93" spans="1:14" x14ac:dyDescent="0.25">
      <c r="A93" s="51" t="str">
        <f>IF('Input Sheet'!C95="","",CONCATENATE("Sample ", 'Input Sheet'!B95, "m: ", L93, F93, "% ", "Siltstone, ", N93, 'Input Sheet'!C95, "% ", H93, " Sandstone, ", J93, I93, " FLUOR in SST. ", "TG ", 'Input Sheet'!H95, "U"))</f>
        <v>Sample 2310m: 35% Siltstone, common siderite in 65% fine Sandstone, 100% bright FLUOR in SST. TG 92.8U</v>
      </c>
      <c r="F93" s="36">
        <f>IF('Input Sheet'!C95="","",100-'Input Sheet'!C95)</f>
        <v>35</v>
      </c>
      <c r="G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3" s="36" t="str">
        <f t="shared" si="1"/>
        <v>fine</v>
      </c>
      <c r="I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93" s="36" t="str">
        <f>IF('Input Sheet'!F95=0, "NO",CONCATENATE('Input Sheet'!F95, IF('Input Sheet'!F95&gt;0,"% ","")))</f>
        <v xml:space="preserve">100% </v>
      </c>
      <c r="K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" s="36" t="str">
        <f>CONCATENATE(K93, IF('Input Sheet'!I95="",""," siderite in "))</f>
        <v/>
      </c>
      <c r="M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N93" s="36" t="str">
        <f>CONCATENATE(M93, IF('Input Sheet'!J95="",""," siderite in "))</f>
        <v xml:space="preserve">common siderite in </v>
      </c>
    </row>
    <row r="94" spans="1:14" x14ac:dyDescent="0.25">
      <c r="A94" s="51" t="str">
        <f>IF('Input Sheet'!C96="","",CONCATENATE("Sample ", 'Input Sheet'!B96, "m: ", L94, F94, "% ", "Siltstone, ", N94, 'Input Sheet'!C96, "% ", H94, " Sandstone, ", J94, I94, " FLUOR in SST. ", "TG ", 'Input Sheet'!H96, "U"))</f>
        <v>Sample 2315m: 30% Siltstone, 70% fine Sandstone, 100% bright FLUOR in SST. TG 90.3U</v>
      </c>
      <c r="F94" s="36">
        <f>IF('Input Sheet'!C96="","",100-'Input Sheet'!C96)</f>
        <v>30</v>
      </c>
      <c r="G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4" s="36" t="str">
        <f t="shared" si="1"/>
        <v>fine</v>
      </c>
      <c r="I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94" s="36" t="str">
        <f>IF('Input Sheet'!F96=0, "NO",CONCATENATE('Input Sheet'!F96, IF('Input Sheet'!F96&gt;0,"% ","")))</f>
        <v xml:space="preserve">100% </v>
      </c>
      <c r="K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" s="36" t="str">
        <f>CONCATENATE(K94, IF('Input Sheet'!I96="",""," siderite in "))</f>
        <v/>
      </c>
      <c r="M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" s="36" t="str">
        <f>CONCATENATE(M94, IF('Input Sheet'!J96="",""," siderite in "))</f>
        <v/>
      </c>
    </row>
    <row r="95" spans="1:14" x14ac:dyDescent="0.25">
      <c r="A95" s="51" t="str">
        <f>IF('Input Sheet'!C97="","",CONCATENATE("Sample ", 'Input Sheet'!B97, "m: ", L95, F95, "% ", "Siltstone, ", N95, 'Input Sheet'!C97, "% ", H95, " Sandstone, ", J95, I95, " FLUOR in SST. ", "TG ", 'Input Sheet'!H97, "U"))</f>
        <v>Sample 2320m: 30% Siltstone, 70% fine Sandstone, 100% bright FLUOR in SST. TG 123.9U</v>
      </c>
      <c r="F95" s="36">
        <f>IF('Input Sheet'!C97="","",100-'Input Sheet'!C97)</f>
        <v>30</v>
      </c>
      <c r="G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5" s="36" t="str">
        <f t="shared" si="1"/>
        <v>fine</v>
      </c>
      <c r="I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95" s="36" t="str">
        <f>IF('Input Sheet'!F97=0, "NO",CONCATENATE('Input Sheet'!F97, IF('Input Sheet'!F97&gt;0,"% ","")))</f>
        <v xml:space="preserve">100% </v>
      </c>
      <c r="K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" s="36" t="str">
        <f>CONCATENATE(K95, IF('Input Sheet'!I97="",""," siderite in "))</f>
        <v/>
      </c>
      <c r="M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" s="36" t="str">
        <f>CONCATENATE(M95, IF('Input Sheet'!J97="",""," siderite in "))</f>
        <v/>
      </c>
    </row>
    <row r="96" spans="1:14" x14ac:dyDescent="0.25">
      <c r="A96" s="51" t="str">
        <f>IF('Input Sheet'!C98="","",CONCATENATE("Sample ", 'Input Sheet'!B98, "m: ", L96, F96, "% ", "Siltstone, ", N96, 'Input Sheet'!C98, "% ", H96, " Sandstone, ", J96, I96, " FLUOR in SST. ", "TG ", 'Input Sheet'!H98, "U"))</f>
        <v>Sample 2325m: 5% Siltstone, 95% fine Sandstone, 100% moderately bright FLUOR in SST. TG 63.8U</v>
      </c>
      <c r="F96" s="36">
        <f>IF('Input Sheet'!C98="","",100-'Input Sheet'!C98)</f>
        <v>5</v>
      </c>
      <c r="G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6" s="36" t="str">
        <f t="shared" si="1"/>
        <v>fine</v>
      </c>
      <c r="I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96" s="36" t="str">
        <f>IF('Input Sheet'!F98=0, "NO",CONCATENATE('Input Sheet'!F98, IF('Input Sheet'!F98&gt;0,"% ","")))</f>
        <v xml:space="preserve">100% </v>
      </c>
      <c r="K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" s="36" t="str">
        <f>CONCATENATE(K96, IF('Input Sheet'!I98="",""," siderite in "))</f>
        <v/>
      </c>
      <c r="M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" s="36" t="str">
        <f>CONCATENATE(M96, IF('Input Sheet'!J98="",""," siderite in "))</f>
        <v/>
      </c>
    </row>
    <row r="97" spans="1:14" x14ac:dyDescent="0.25">
      <c r="A97" s="51" t="str">
        <f>IF('Input Sheet'!C99="","",CONCATENATE("Sample ", 'Input Sheet'!B99, "m: ", L97, F97, "% ", "Siltstone, ", N97, 'Input Sheet'!C99, "% ", H97, " Sandstone, ", J97, I97, " FLUOR in SST. ", "TG ", 'Input Sheet'!H99, "U"))</f>
        <v>Sample 2330m: 5% Siltstone, 95% fine Sandstone, 100% moderately bright FLUOR in SST. TG 160U</v>
      </c>
      <c r="F97" s="36">
        <f>IF('Input Sheet'!C99="","",100-'Input Sheet'!C99)</f>
        <v>5</v>
      </c>
      <c r="G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7" s="36" t="str">
        <f t="shared" si="1"/>
        <v>fine</v>
      </c>
      <c r="I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97" s="36" t="str">
        <f>IF('Input Sheet'!F99=0, "NO",CONCATENATE('Input Sheet'!F99, IF('Input Sheet'!F99&gt;0,"% ","")))</f>
        <v xml:space="preserve">100% </v>
      </c>
      <c r="K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" s="36" t="str">
        <f>CONCATENATE(K97, IF('Input Sheet'!I99="",""," siderite in "))</f>
        <v/>
      </c>
      <c r="M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" s="36" t="str">
        <f>CONCATENATE(M97, IF('Input Sheet'!J99="",""," siderite in "))</f>
        <v/>
      </c>
    </row>
    <row r="98" spans="1:14" x14ac:dyDescent="0.25">
      <c r="A98" s="51" t="str">
        <f>IF('Input Sheet'!C100="","",CONCATENATE("Sample ", 'Input Sheet'!B100, "m: ", L98, F98, "% ", "Siltstone, ", N98, 'Input Sheet'!C100, "% ", H98, " Sandstone, ", J98, I98, " FLUOR in SST. ", "TG ", 'Input Sheet'!H100, "U"))</f>
        <v>Sample 2335m: 0% Siltstone, 100% fine Sandstone, 100% moderately bright FLUOR in SST. TG 158U</v>
      </c>
      <c r="F98" s="36">
        <f>IF('Input Sheet'!C100="","",100-'Input Sheet'!C100)</f>
        <v>0</v>
      </c>
      <c r="G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8" s="36" t="str">
        <f t="shared" si="1"/>
        <v>fine</v>
      </c>
      <c r="I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98" s="36" t="str">
        <f>IF('Input Sheet'!F100=0, "NO",CONCATENATE('Input Sheet'!F100, IF('Input Sheet'!F100&gt;0,"% ","")))</f>
        <v xml:space="preserve">100% </v>
      </c>
      <c r="K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" s="36" t="str">
        <f>CONCATENATE(K98, IF('Input Sheet'!I100="",""," siderite in "))</f>
        <v/>
      </c>
      <c r="M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" s="36" t="str">
        <f>CONCATENATE(M98, IF('Input Sheet'!J100="",""," siderite in "))</f>
        <v/>
      </c>
    </row>
    <row r="99" spans="1:14" x14ac:dyDescent="0.25">
      <c r="A99" s="51" t="str">
        <f>IF('Input Sheet'!C101="","",CONCATENATE("Sample ", 'Input Sheet'!B101, "m: ", L99, F99, "% ", "Siltstone, ", N99, 'Input Sheet'!C101, "% ", H99, " Sandstone, ", J99, I99, " FLUOR in SST. ", "TG ", 'Input Sheet'!H101, "U"))</f>
        <v>Sample 2340m: 0% Siltstone, 100% fine Sandstone, 100% moderately bright FLUOR in SST. TG 159U</v>
      </c>
      <c r="F99" s="36">
        <f>IF('Input Sheet'!C101="","",100-'Input Sheet'!C101)</f>
        <v>0</v>
      </c>
      <c r="G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</v>
      </c>
      <c r="H99" s="36" t="str">
        <f t="shared" si="1"/>
        <v>fine</v>
      </c>
      <c r="I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99" s="36" t="str">
        <f>IF('Input Sheet'!F101=0, "NO",CONCATENATE('Input Sheet'!F101, IF('Input Sheet'!F101&gt;0,"% ","")))</f>
        <v xml:space="preserve">100% </v>
      </c>
      <c r="K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" s="36" t="str">
        <f>CONCATENATE(K99, IF('Input Sheet'!I101="",""," siderite in "))</f>
        <v/>
      </c>
      <c r="M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" s="36" t="str">
        <f>CONCATENATE(M99, IF('Input Sheet'!J101="",""," siderite in "))</f>
        <v/>
      </c>
    </row>
    <row r="100" spans="1:14" x14ac:dyDescent="0.25">
      <c r="A100" s="51" t="str">
        <f>IF('Input Sheet'!C102="","",CONCATENATE("Sample ", 'Input Sheet'!B102, "m: ", L100, F100, "% ", "Siltstone, ", N100, 'Input Sheet'!C102, "% ", H100, " Sandstone, ", J100, I100, " FLUOR in SST. ", "TG ", 'Input Sheet'!H102, "U"))</f>
        <v>Sample 2345m: 5% Siltstone, 95% fine to coarse Sandstone, 100% moderately bright FLUOR in SST. TG 161.8U</v>
      </c>
      <c r="F100" s="36">
        <f>IF('Input Sheet'!C102="","",100-'Input Sheet'!C102)</f>
        <v>5</v>
      </c>
      <c r="G1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100" s="36" t="str">
        <f t="shared" si="1"/>
        <v>fine to coarse</v>
      </c>
      <c r="I1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00" s="36" t="str">
        <f>IF('Input Sheet'!F102=0, "NO",CONCATENATE('Input Sheet'!F102, IF('Input Sheet'!F102&gt;0,"% ","")))</f>
        <v xml:space="preserve">100% </v>
      </c>
      <c r="K1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0" s="36" t="str">
        <f>CONCATENATE(K100, IF('Input Sheet'!I102="",""," siderite in "))</f>
        <v/>
      </c>
      <c r="M1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0" s="36" t="str">
        <f>CONCATENATE(M100, IF('Input Sheet'!J102="",""," siderite in "))</f>
        <v/>
      </c>
    </row>
    <row r="101" spans="1:14" x14ac:dyDescent="0.25">
      <c r="A101" s="51" t="str">
        <f>IF('Input Sheet'!C103="","",CONCATENATE("Sample ", 'Input Sheet'!B103, "m: ", L101, F101, "% ", "Siltstone, ", N101, 'Input Sheet'!C103, "% ", H101, " Sandstone, ", J101, I101, " FLUOR in SST. ", "TG ", 'Input Sheet'!H103, "U"))</f>
        <v>Sample 2350m: 5% Siltstone, 95% fine to coarse Sandstone, 100% moderately bright FLUOR in SST. TG 156.1U</v>
      </c>
      <c r="F101" s="36">
        <f>IF('Input Sheet'!C103="","",100-'Input Sheet'!C103)</f>
        <v>5</v>
      </c>
      <c r="G1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101" s="36" t="str">
        <f t="shared" si="1"/>
        <v>fine to coarse</v>
      </c>
      <c r="I1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01" s="36" t="str">
        <f>IF('Input Sheet'!F103=0, "NO",CONCATENATE('Input Sheet'!F103, IF('Input Sheet'!F103&gt;0,"% ","")))</f>
        <v xml:space="preserve">100% </v>
      </c>
      <c r="K1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1" s="36" t="str">
        <f>CONCATENATE(K101, IF('Input Sheet'!I103="",""," siderite in "))</f>
        <v/>
      </c>
      <c r="M1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1" s="36" t="str">
        <f>CONCATENATE(M101, IF('Input Sheet'!J103="",""," siderite in "))</f>
        <v/>
      </c>
    </row>
    <row r="102" spans="1:14" x14ac:dyDescent="0.25">
      <c r="A102" s="51" t="str">
        <f>IF('Input Sheet'!C104="","",CONCATENATE("Sample ", 'Input Sheet'!B104, "m: ", L102, F102, "% ", "Siltstone, ", N102, 'Input Sheet'!C104, "% ", H102, " Sandstone, ", J102, I102, " FLUOR in SST. ", "TG ", 'Input Sheet'!H104, "U"))</f>
        <v>Sample 2355m: 0% Siltstone, 100% fine to medium Sandstone, 100% moderately bright FLUOR in SST. TG 128.8U</v>
      </c>
      <c r="F102" s="36">
        <f>IF('Input Sheet'!C104="","",100-'Input Sheet'!C104)</f>
        <v>0</v>
      </c>
      <c r="G1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02" s="36" t="str">
        <f t="shared" si="1"/>
        <v>fine to medium</v>
      </c>
      <c r="I1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02" s="36" t="str">
        <f>IF('Input Sheet'!F104=0, "NO",CONCATENATE('Input Sheet'!F104, IF('Input Sheet'!F104&gt;0,"% ","")))</f>
        <v xml:space="preserve">100% </v>
      </c>
      <c r="K1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2" s="36" t="str">
        <f>CONCATENATE(K102, IF('Input Sheet'!I104="",""," siderite in "))</f>
        <v/>
      </c>
      <c r="M1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2" s="36" t="str">
        <f>CONCATENATE(M102, IF('Input Sheet'!J104="",""," siderite in "))</f>
        <v/>
      </c>
    </row>
    <row r="103" spans="1:14" x14ac:dyDescent="0.25">
      <c r="A103" s="51" t="str">
        <f>IF('Input Sheet'!C105="","",CONCATENATE("Sample ", 'Input Sheet'!B105, "m: ", L103, F103, "% ", "Siltstone, ", N103, 'Input Sheet'!C105, "% ", H103, " Sandstone, ", J103, I103, " FLUOR in SST. ", "TG ", 'Input Sheet'!H105, "U"))</f>
        <v>Sample 2360m: 0% Siltstone, 100% fine to medium Sandstone, 100% moderately bright FLUOR in SST. TG 109.8U</v>
      </c>
      <c r="F103" s="36">
        <f>IF('Input Sheet'!C105="","",100-'Input Sheet'!C105)</f>
        <v>0</v>
      </c>
      <c r="G1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03" s="36" t="str">
        <f t="shared" si="1"/>
        <v>fine to medium</v>
      </c>
      <c r="I1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03" s="36" t="str">
        <f>IF('Input Sheet'!F105=0, "NO",CONCATENATE('Input Sheet'!F105, IF('Input Sheet'!F105&gt;0,"% ","")))</f>
        <v xml:space="preserve">100% </v>
      </c>
      <c r="K1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3" s="36" t="str">
        <f>CONCATENATE(K103, IF('Input Sheet'!I105="",""," siderite in "))</f>
        <v/>
      </c>
      <c r="M1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3" s="36" t="str">
        <f>CONCATENATE(M103, IF('Input Sheet'!J105="",""," siderite in "))</f>
        <v/>
      </c>
    </row>
    <row r="104" spans="1:14" x14ac:dyDescent="0.25">
      <c r="A104" s="51" t="str">
        <f>IF('Input Sheet'!C106="","",CONCATENATE("Sample ", 'Input Sheet'!B106, "m: ", L104, F104, "% ", "Siltstone, ", N104, 'Input Sheet'!C106, "% ", H104, " Sandstone, ", J104, I104, " FLUOR in SST. ", "TG ", 'Input Sheet'!H106, "U"))</f>
        <v>Sample 2365m: 5% Siltstone, 95% fine to medium Sandstone, 100% moderately bright FLUOR in SST. TG 109.6U</v>
      </c>
      <c r="F104" s="36">
        <f>IF('Input Sheet'!C106="","",100-'Input Sheet'!C106)</f>
        <v>5</v>
      </c>
      <c r="G1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04" s="36" t="str">
        <f t="shared" si="1"/>
        <v>fine to medium</v>
      </c>
      <c r="I1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04" s="36" t="str">
        <f>IF('Input Sheet'!F106=0, "NO",CONCATENATE('Input Sheet'!F106, IF('Input Sheet'!F106&gt;0,"% ","")))</f>
        <v xml:space="preserve">100% </v>
      </c>
      <c r="K1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4" s="36" t="str">
        <f>CONCATENATE(K104, IF('Input Sheet'!I106="",""," siderite in "))</f>
        <v/>
      </c>
      <c r="M1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4" s="36" t="str">
        <f>CONCATENATE(M104, IF('Input Sheet'!J106="",""," siderite in "))</f>
        <v/>
      </c>
    </row>
    <row r="105" spans="1:14" x14ac:dyDescent="0.25">
      <c r="A105" s="51" t="str">
        <f>IF('Input Sheet'!C107="","",CONCATENATE("Sample ", 'Input Sheet'!B107, "m: ", L105, F105, "% ", "Siltstone, ", N105, 'Input Sheet'!C107, "% ", H105, " Sandstone, ", J105, I105, " FLUOR in SST. ", "TG ", 'Input Sheet'!H107, "U"))</f>
        <v>Sample 2370m: 5% Siltstone, 95% fine to medium Sandstone, 100% moderately bright FLUOR in SST. TG 117.2U</v>
      </c>
      <c r="F105" s="36">
        <f>IF('Input Sheet'!C107="","",100-'Input Sheet'!C107)</f>
        <v>5</v>
      </c>
      <c r="G1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05" s="36" t="str">
        <f t="shared" si="1"/>
        <v>fine to medium</v>
      </c>
      <c r="I1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05" s="36" t="str">
        <f>IF('Input Sheet'!F107=0, "NO",CONCATENATE('Input Sheet'!F107, IF('Input Sheet'!F107&gt;0,"% ","")))</f>
        <v xml:space="preserve">100% </v>
      </c>
      <c r="K1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5" s="36" t="str">
        <f>CONCATENATE(K105, IF('Input Sheet'!I107="",""," siderite in "))</f>
        <v/>
      </c>
      <c r="M1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5" s="36" t="str">
        <f>CONCATENATE(M105, IF('Input Sheet'!J107="",""," siderite in "))</f>
        <v/>
      </c>
    </row>
    <row r="106" spans="1:14" x14ac:dyDescent="0.25">
      <c r="A106" s="51" t="str">
        <f>IF('Input Sheet'!C108="","",CONCATENATE("Sample ", 'Input Sheet'!B108, "m: ", L106, F106, "% ", "Siltstone, ", N106, 'Input Sheet'!C108, "% ", H106, " Sandstone, ", J106, I106, " FLUOR in SST. ", "TG ", 'Input Sheet'!H108, "U"))</f>
        <v>Sample 2375m: 10% Siltstone, 90% fine to medium Sandstone, 100% moderately bright FLUOR in SST. TG 125.9U</v>
      </c>
      <c r="F106" s="36">
        <f>IF('Input Sheet'!C108="","",100-'Input Sheet'!C108)</f>
        <v>10</v>
      </c>
      <c r="G1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06" s="36" t="str">
        <f t="shared" si="1"/>
        <v>fine to medium</v>
      </c>
      <c r="I1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06" s="36" t="str">
        <f>IF('Input Sheet'!F108=0, "NO",CONCATENATE('Input Sheet'!F108, IF('Input Sheet'!F108&gt;0,"% ","")))</f>
        <v xml:space="preserve">100% </v>
      </c>
      <c r="K1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6" s="36" t="str">
        <f>CONCATENATE(K106, IF('Input Sheet'!I108="",""," siderite in "))</f>
        <v/>
      </c>
      <c r="M1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6" s="36" t="str">
        <f>CONCATENATE(M106, IF('Input Sheet'!J108="",""," siderite in "))</f>
        <v/>
      </c>
    </row>
    <row r="107" spans="1:14" x14ac:dyDescent="0.25">
      <c r="A107" s="51" t="str">
        <f>IF('Input Sheet'!C109="","",CONCATENATE("Sample ", 'Input Sheet'!B109, "m: ", L107, F107, "% ", "Siltstone, ", N107, 'Input Sheet'!C109, "% ", H107, " Sandstone, ", J107, I107, " FLUOR in SST. ", "TG ", 'Input Sheet'!H109, "U"))</f>
        <v>Sample 2380m: 10% Siltstone, 90% fine to medium Sandstone, 100% moderately bright FLUOR in SST. TG 115.6U</v>
      </c>
      <c r="F107" s="36">
        <f>IF('Input Sheet'!C109="","",100-'Input Sheet'!C109)</f>
        <v>10</v>
      </c>
      <c r="G1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07" s="36" t="str">
        <f t="shared" si="1"/>
        <v>fine to medium</v>
      </c>
      <c r="I1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07" s="36" t="str">
        <f>IF('Input Sheet'!F109=0, "NO",CONCATENATE('Input Sheet'!F109, IF('Input Sheet'!F109&gt;0,"% ","")))</f>
        <v xml:space="preserve">100% </v>
      </c>
      <c r="K1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7" s="36" t="str">
        <f>CONCATENATE(K107, IF('Input Sheet'!I109="",""," siderite in "))</f>
        <v/>
      </c>
      <c r="M1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7" s="36" t="str">
        <f>CONCATENATE(M107, IF('Input Sheet'!J109="",""," siderite in "))</f>
        <v/>
      </c>
    </row>
    <row r="108" spans="1:14" x14ac:dyDescent="0.25">
      <c r="A108" s="51" t="str">
        <f>IF('Input Sheet'!C110="","",CONCATENATE("Sample ", 'Input Sheet'!B110, "m: ", L108, F108, "% ", "Siltstone, ", N108, 'Input Sheet'!C110, "% ", H108, " Sandstone, ", J108, I108, " FLUOR in SST. ", "TG ", 'Input Sheet'!H110, "U"))</f>
        <v>Sample 2385m: 0% Siltstone, 100% fine to medium Sandstone, 100% moderately bright FLUOR in SST. TG 122.2U</v>
      </c>
      <c r="F108" s="36">
        <f>IF('Input Sheet'!C110="","",100-'Input Sheet'!C110)</f>
        <v>0</v>
      </c>
      <c r="G1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08" s="36" t="str">
        <f t="shared" si="1"/>
        <v>fine to medium</v>
      </c>
      <c r="I1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08" s="36" t="str">
        <f>IF('Input Sheet'!F110=0, "NO",CONCATENATE('Input Sheet'!F110, IF('Input Sheet'!F110&gt;0,"% ","")))</f>
        <v xml:space="preserve">100% </v>
      </c>
      <c r="K1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8" s="36" t="str">
        <f>CONCATENATE(K108, IF('Input Sheet'!I110="",""," siderite in "))</f>
        <v/>
      </c>
      <c r="M1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8" s="36" t="str">
        <f>CONCATENATE(M108, IF('Input Sheet'!J110="",""," siderite in "))</f>
        <v/>
      </c>
    </row>
    <row r="109" spans="1:14" x14ac:dyDescent="0.25">
      <c r="A109" s="51" t="str">
        <f>IF('Input Sheet'!C111="","",CONCATENATE("Sample ", 'Input Sheet'!B111, "m: ", L109, F109, "% ", "Siltstone, ", N109, 'Input Sheet'!C111, "% ", H109, " Sandstone, ", J109, I109, " FLUOR in SST. ", "TG ", 'Input Sheet'!H111, "U"))</f>
        <v>Sample 2390m: 0% Siltstone, 100% fine to medium Sandstone, 100% moderately bright FLUOR in SST. TG 148.9U</v>
      </c>
      <c r="F109" s="36">
        <f>IF('Input Sheet'!C111="","",100-'Input Sheet'!C111)</f>
        <v>0</v>
      </c>
      <c r="G1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09" s="36" t="str">
        <f t="shared" si="1"/>
        <v>fine to medium</v>
      </c>
      <c r="I1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09" s="36" t="str">
        <f>IF('Input Sheet'!F111=0, "NO",CONCATENATE('Input Sheet'!F111, IF('Input Sheet'!F111&gt;0,"% ","")))</f>
        <v xml:space="preserve">100% </v>
      </c>
      <c r="K1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09" s="36" t="str">
        <f>CONCATENATE(K109, IF('Input Sheet'!I111="",""," siderite in "))</f>
        <v/>
      </c>
      <c r="M1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09" s="36" t="str">
        <f>CONCATENATE(M109, IF('Input Sheet'!J111="",""," siderite in "))</f>
        <v/>
      </c>
    </row>
    <row r="110" spans="1:14" x14ac:dyDescent="0.25">
      <c r="A110" s="51" t="str">
        <f>IF('Input Sheet'!C112="","",CONCATENATE("Sample ", 'Input Sheet'!B112, "m: ", L110, F110, "% ", "Siltstone, ", N110, 'Input Sheet'!C112, "% ", H110, " Sandstone, ", J110, I110, " FLUOR in SST. ", "TG ", 'Input Sheet'!H112, "U"))</f>
        <v>Sample 2395m: 20% Siltstone, 80% fine to medium Sandstone, 100% moderately bright FLUOR in SST. TG 140U</v>
      </c>
      <c r="F110" s="36">
        <f>IF('Input Sheet'!C112="","",100-'Input Sheet'!C112)</f>
        <v>20</v>
      </c>
      <c r="G1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10" s="36" t="str">
        <f t="shared" si="1"/>
        <v>fine to medium</v>
      </c>
      <c r="I1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10" s="36" t="str">
        <f>IF('Input Sheet'!F112=0, "NO",CONCATENATE('Input Sheet'!F112, IF('Input Sheet'!F112&gt;0,"% ","")))</f>
        <v xml:space="preserve">100% </v>
      </c>
      <c r="K1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0" s="36" t="str">
        <f>CONCATENATE(K110, IF('Input Sheet'!I112="",""," siderite in "))</f>
        <v/>
      </c>
      <c r="M1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0" s="36" t="str">
        <f>CONCATENATE(M110, IF('Input Sheet'!J112="",""," siderite in "))</f>
        <v/>
      </c>
    </row>
    <row r="111" spans="1:14" x14ac:dyDescent="0.25">
      <c r="A111" s="51" t="str">
        <f>IF('Input Sheet'!C113="","",CONCATENATE("Sample ", 'Input Sheet'!B113, "m: ", L111, F111, "% ", "Siltstone, ", N111, 'Input Sheet'!C113, "% ", H111, " Sandstone, ", J111, I111, " FLUOR in SST. ", "TG ", 'Input Sheet'!H113, "U"))</f>
        <v>Sample 2400m: 20% Siltstone, 80% fine to medium Sandstone, 100% moderately bright FLUOR in SST. TG 78.5U</v>
      </c>
      <c r="F111" s="36">
        <f>IF('Input Sheet'!C113="","",100-'Input Sheet'!C113)</f>
        <v>20</v>
      </c>
      <c r="G1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11" s="36" t="str">
        <f t="shared" si="1"/>
        <v>fine to medium</v>
      </c>
      <c r="I1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11" s="36" t="str">
        <f>IF('Input Sheet'!F113=0, "NO",CONCATENATE('Input Sheet'!F113, IF('Input Sheet'!F113&gt;0,"% ","")))</f>
        <v xml:space="preserve">100% </v>
      </c>
      <c r="K1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1" s="36" t="str">
        <f>CONCATENATE(K111, IF('Input Sheet'!I113="",""," siderite in "))</f>
        <v/>
      </c>
      <c r="M1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1" s="36" t="str">
        <f>CONCATENATE(M111, IF('Input Sheet'!J113="",""," siderite in "))</f>
        <v/>
      </c>
    </row>
    <row r="112" spans="1:14" x14ac:dyDescent="0.25">
      <c r="A112" s="51" t="str">
        <f>IF('Input Sheet'!C114="","",CONCATENATE("Sample ", 'Input Sheet'!B114, "m: ", L112, F112, "% ", "Siltstone, ", N112, 'Input Sheet'!C114, "% ", H112, " Sandstone, ", J112, I112, " FLUOR in SST. ", "TG ", 'Input Sheet'!H114, "U"))</f>
        <v>Sample 2405m: 5% Siltstone, 95% fine to medium Sandstone, 100% bright FLUOR in SST. TG 95.2U</v>
      </c>
      <c r="F112" s="36">
        <f>IF('Input Sheet'!C114="","",100-'Input Sheet'!C114)</f>
        <v>5</v>
      </c>
      <c r="G1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12" s="36" t="str">
        <f t="shared" si="1"/>
        <v>fine to medium</v>
      </c>
      <c r="I1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12" s="36" t="str">
        <f>IF('Input Sheet'!F114=0, "NO",CONCATENATE('Input Sheet'!F114, IF('Input Sheet'!F114&gt;0,"% ","")))</f>
        <v xml:space="preserve">100% </v>
      </c>
      <c r="K1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2" s="36" t="str">
        <f>CONCATENATE(K112, IF('Input Sheet'!I114="",""," siderite in "))</f>
        <v/>
      </c>
      <c r="M1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2" s="36" t="str">
        <f>CONCATENATE(M112, IF('Input Sheet'!J114="",""," siderite in "))</f>
        <v/>
      </c>
    </row>
    <row r="113" spans="1:14" x14ac:dyDescent="0.25">
      <c r="A113" s="51" t="str">
        <f>IF('Input Sheet'!C115="","",CONCATENATE("Sample ", 'Input Sheet'!B115, "m: ", L113, F113, "% ", "Siltstone, ", N113, 'Input Sheet'!C115, "% ", H113, " Sandstone, ", J113, I113, " FLUOR in SST. ", "TG ", 'Input Sheet'!H115, "U"))</f>
        <v>Sample 2410m: 5% Siltstone, 95% fine to medium Sandstone, 100% bright FLUOR in SST. TG 114.9U</v>
      </c>
      <c r="F113" s="36">
        <f>IF('Input Sheet'!C115="","",100-'Input Sheet'!C115)</f>
        <v>5</v>
      </c>
      <c r="G1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13" s="36" t="str">
        <f t="shared" si="1"/>
        <v>fine to medium</v>
      </c>
      <c r="I1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13" s="36" t="str">
        <f>IF('Input Sheet'!F115=0, "NO",CONCATENATE('Input Sheet'!F115, IF('Input Sheet'!F115&gt;0,"% ","")))</f>
        <v xml:space="preserve">100% </v>
      </c>
      <c r="K1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3" s="36" t="str">
        <f>CONCATENATE(K113, IF('Input Sheet'!I115="",""," siderite in "))</f>
        <v/>
      </c>
      <c r="M1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3" s="36" t="str">
        <f>CONCATENATE(M113, IF('Input Sheet'!J115="",""," siderite in "))</f>
        <v/>
      </c>
    </row>
    <row r="114" spans="1:14" x14ac:dyDescent="0.25">
      <c r="A114" s="51" t="str">
        <f>IF('Input Sheet'!C116="","",CONCATENATE("Sample ", 'Input Sheet'!B116, "m: ", L114, F114, "% ", "Siltstone, ", N114, 'Input Sheet'!C116, "% ", H114, " Sandstone, ", J114, I114, " FLUOR in SST. ", "TG ", 'Input Sheet'!H116, "U"))</f>
        <v>Sample 2415m: 10% Siltstone, 90% fine to medium Sandstone, 100% bright FLUOR in SST. TG 108.9U</v>
      </c>
      <c r="F114" s="36">
        <f>IF('Input Sheet'!C116="","",100-'Input Sheet'!C116)</f>
        <v>10</v>
      </c>
      <c r="G1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14" s="36" t="str">
        <f t="shared" si="1"/>
        <v>fine to medium</v>
      </c>
      <c r="I1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14" s="36" t="str">
        <f>IF('Input Sheet'!F116=0, "NO",CONCATENATE('Input Sheet'!F116, IF('Input Sheet'!F116&gt;0,"% ","")))</f>
        <v xml:space="preserve">100% </v>
      </c>
      <c r="K1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4" s="36" t="str">
        <f>CONCATENATE(K114, IF('Input Sheet'!I116="",""," siderite in "))</f>
        <v/>
      </c>
      <c r="M1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4" s="36" t="str">
        <f>CONCATENATE(M114, IF('Input Sheet'!J116="",""," siderite in "))</f>
        <v/>
      </c>
    </row>
    <row r="115" spans="1:14" x14ac:dyDescent="0.25">
      <c r="A115" s="51" t="str">
        <f>IF('Input Sheet'!C117="","",CONCATENATE("Sample ", 'Input Sheet'!B117, "m: ", L115, F115, "% ", "Siltstone, ", N115, 'Input Sheet'!C117, "% ", H115, " Sandstone, ", J115, I115, " FLUOR in SST. ", "TG ", 'Input Sheet'!H117, "U"))</f>
        <v>Sample 2420m: 10% Siltstone, 90% fine to medium Sandstone, 100% bright FLUOR in SST. TG 80.9U</v>
      </c>
      <c r="F115" s="36">
        <f>IF('Input Sheet'!C117="","",100-'Input Sheet'!C117)</f>
        <v>10</v>
      </c>
      <c r="G1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15" s="36" t="str">
        <f t="shared" si="1"/>
        <v>fine to medium</v>
      </c>
      <c r="I1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15" s="36" t="str">
        <f>IF('Input Sheet'!F117=0, "NO",CONCATENATE('Input Sheet'!F117, IF('Input Sheet'!F117&gt;0,"% ","")))</f>
        <v xml:space="preserve">100% </v>
      </c>
      <c r="K1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5" s="36" t="str">
        <f>CONCATENATE(K115, IF('Input Sheet'!I117="",""," siderite in "))</f>
        <v/>
      </c>
      <c r="M1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5" s="36" t="str">
        <f>CONCATENATE(M115, IF('Input Sheet'!J117="",""," siderite in "))</f>
        <v/>
      </c>
    </row>
    <row r="116" spans="1:14" x14ac:dyDescent="0.25">
      <c r="A116" s="51" t="str">
        <f>IF('Input Sheet'!C118="","",CONCATENATE("Sample ", 'Input Sheet'!B118, "m: ", L116, F116, "% ", "Siltstone, ", N116, 'Input Sheet'!C118, "% ", H116, " Sandstone, ", J116, I116, " FLUOR in SST. ", "TG ", 'Input Sheet'!H118, "U"))</f>
        <v>Sample 2425m: 10% Siltstone, 90% fine to medium Sandstone, 100% bright FLUOR in SST. TG 71.9U</v>
      </c>
      <c r="F116" s="36">
        <f>IF('Input Sheet'!C118="","",100-'Input Sheet'!C118)</f>
        <v>10</v>
      </c>
      <c r="G1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16" s="36" t="str">
        <f t="shared" si="1"/>
        <v>fine to medium</v>
      </c>
      <c r="I1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16" s="36" t="str">
        <f>IF('Input Sheet'!F118=0, "NO",CONCATENATE('Input Sheet'!F118, IF('Input Sheet'!F118&gt;0,"% ","")))</f>
        <v xml:space="preserve">100% </v>
      </c>
      <c r="K1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6" s="36" t="str">
        <f>CONCATENATE(K116, IF('Input Sheet'!I118="",""," siderite in "))</f>
        <v/>
      </c>
      <c r="M1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6" s="36" t="str">
        <f>CONCATENATE(M116, IF('Input Sheet'!J118="",""," siderite in "))</f>
        <v/>
      </c>
    </row>
    <row r="117" spans="1:14" x14ac:dyDescent="0.25">
      <c r="A117" s="51" t="str">
        <f>IF('Input Sheet'!C119="","",CONCATENATE("Sample ", 'Input Sheet'!B119, "m: ", L117, F117, "% ", "Siltstone, ", N117, 'Input Sheet'!C119, "% ", H117, " Sandstone, ", J117, I117, " FLUOR in SST. ", "TG ", 'Input Sheet'!H119, "U"))</f>
        <v>Sample 2430m: 10% Siltstone, 90% fine to medium Sandstone, 100% bright FLUOR in SST. TG 105.1U</v>
      </c>
      <c r="F117" s="36">
        <f>IF('Input Sheet'!C119="","",100-'Input Sheet'!C119)</f>
        <v>10</v>
      </c>
      <c r="G1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17" s="36" t="str">
        <f t="shared" si="1"/>
        <v>fine to medium</v>
      </c>
      <c r="I1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17" s="36" t="str">
        <f>IF('Input Sheet'!F119=0, "NO",CONCATENATE('Input Sheet'!F119, IF('Input Sheet'!F119&gt;0,"% ","")))</f>
        <v xml:space="preserve">100% </v>
      </c>
      <c r="K1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7" s="36" t="str">
        <f>CONCATENATE(K117, IF('Input Sheet'!I119="",""," siderite in "))</f>
        <v/>
      </c>
      <c r="M1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7" s="36" t="str">
        <f>CONCATENATE(M117, IF('Input Sheet'!J119="",""," siderite in "))</f>
        <v/>
      </c>
    </row>
    <row r="118" spans="1:14" x14ac:dyDescent="0.25">
      <c r="A118" s="51" t="str">
        <f>IF('Input Sheet'!C120="","",CONCATENATE("Sample ", 'Input Sheet'!B120, "m: ", L118, F118, "% ", "Siltstone, ", N118, 'Input Sheet'!C120, "% ", H118, " Sandstone, ", J118, I118, " FLUOR in SST. ", "TG ", 'Input Sheet'!H120, "U"))</f>
        <v>Sample 2435m: 5% Siltstone, 95% fine to medium Sandstone, 100% bright FLUOR in SST. TG 64.2U</v>
      </c>
      <c r="F118" s="36">
        <f>IF('Input Sheet'!C120="","",100-'Input Sheet'!C120)</f>
        <v>5</v>
      </c>
      <c r="G1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18" s="36" t="str">
        <f t="shared" si="1"/>
        <v>fine to medium</v>
      </c>
      <c r="I1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18" s="36" t="str">
        <f>IF('Input Sheet'!F120=0, "NO",CONCATENATE('Input Sheet'!F120, IF('Input Sheet'!F120&gt;0,"% ","")))</f>
        <v xml:space="preserve">100% </v>
      </c>
      <c r="K1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8" s="36" t="str">
        <f>CONCATENATE(K118, IF('Input Sheet'!I120="",""," siderite in "))</f>
        <v/>
      </c>
      <c r="M1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8" s="36" t="str">
        <f>CONCATENATE(M118, IF('Input Sheet'!J120="",""," siderite in "))</f>
        <v/>
      </c>
    </row>
    <row r="119" spans="1:14" x14ac:dyDescent="0.25">
      <c r="A119" s="51" t="str">
        <f>IF('Input Sheet'!C121="","",CONCATENATE("Sample ", 'Input Sheet'!B121, "m: ", L119, F119, "% ", "Siltstone, ", N119, 'Input Sheet'!C121, "% ", H119, " Sandstone, ", J119, I119, " FLUOR in SST. ", "TG ", 'Input Sheet'!H121, "U"))</f>
        <v>Sample 2440m: 5% Siltstone, 95% fine to medium Sandstone, 100% bright FLUOR in SST. TG 125.5U</v>
      </c>
      <c r="F119" s="36">
        <f>IF('Input Sheet'!C121="","",100-'Input Sheet'!C121)</f>
        <v>5</v>
      </c>
      <c r="G1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19" s="36" t="str">
        <f t="shared" si="1"/>
        <v>fine to medium</v>
      </c>
      <c r="I1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19" s="36" t="str">
        <f>IF('Input Sheet'!F121=0, "NO",CONCATENATE('Input Sheet'!F121, IF('Input Sheet'!F121&gt;0,"% ","")))</f>
        <v xml:space="preserve">100% </v>
      </c>
      <c r="K1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19" s="36" t="str">
        <f>CONCATENATE(K119, IF('Input Sheet'!I121="",""," siderite in "))</f>
        <v/>
      </c>
      <c r="M1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19" s="36" t="str">
        <f>CONCATENATE(M119, IF('Input Sheet'!J121="",""," siderite in "))</f>
        <v/>
      </c>
    </row>
    <row r="120" spans="1:14" x14ac:dyDescent="0.25">
      <c r="A120" s="51" t="str">
        <f>IF('Input Sheet'!C122="","",CONCATENATE("Sample ", 'Input Sheet'!B122, "m: ", L120, F120, "% ", "Siltstone, ", N120, 'Input Sheet'!C122, "% ", H120, " Sandstone, ", J120, I120, " FLUOR in SST. ", "TG ", 'Input Sheet'!H122, "U"))</f>
        <v>Sample 2445m: 0% Siltstone, 100% fine to medium Sandstone, 100% bright FLUOR in SST. TG 115.3U</v>
      </c>
      <c r="F120" s="36">
        <f>IF('Input Sheet'!C122="","",100-'Input Sheet'!C122)</f>
        <v>0</v>
      </c>
      <c r="G1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20" s="36" t="str">
        <f t="shared" si="1"/>
        <v>fine to medium</v>
      </c>
      <c r="I1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20" s="36" t="str">
        <f>IF('Input Sheet'!F122=0, "NO",CONCATENATE('Input Sheet'!F122, IF('Input Sheet'!F122&gt;0,"% ","")))</f>
        <v xml:space="preserve">100% </v>
      </c>
      <c r="K1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0" s="36" t="str">
        <f>CONCATENATE(K120, IF('Input Sheet'!I122="",""," siderite in "))</f>
        <v/>
      </c>
      <c r="M1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0" s="36" t="str">
        <f>CONCATENATE(M120, IF('Input Sheet'!J122="",""," siderite in "))</f>
        <v/>
      </c>
    </row>
    <row r="121" spans="1:14" x14ac:dyDescent="0.25">
      <c r="A121" s="51" t="str">
        <f>IF('Input Sheet'!C123="","",CONCATENATE("Sample ", 'Input Sheet'!B123, "m: ", L121, F121, "% ", "Siltstone, ", N121, 'Input Sheet'!C123, "% ", H121, " Sandstone, ", J121, I121, " FLUOR in SST. ", "TG ", 'Input Sheet'!H123, "U"))</f>
        <v>Sample 2450m: 0% Siltstone, 100% fine to medium Sandstone, 100% bright FLUOR in SST. TG 121.7U</v>
      </c>
      <c r="F121" s="36">
        <f>IF('Input Sheet'!C123="","",100-'Input Sheet'!C123)</f>
        <v>0</v>
      </c>
      <c r="G1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21" s="36" t="str">
        <f t="shared" si="1"/>
        <v>fine to medium</v>
      </c>
      <c r="I1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21" s="36" t="str">
        <f>IF('Input Sheet'!F123=0, "NO",CONCATENATE('Input Sheet'!F123, IF('Input Sheet'!F123&gt;0,"% ","")))</f>
        <v xml:space="preserve">100% </v>
      </c>
      <c r="K1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1" s="36" t="str">
        <f>CONCATENATE(K121, IF('Input Sheet'!I123="",""," siderite in "))</f>
        <v/>
      </c>
      <c r="M1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1" s="36" t="str">
        <f>CONCATENATE(M121, IF('Input Sheet'!J123="",""," siderite in "))</f>
        <v/>
      </c>
    </row>
    <row r="122" spans="1:14" x14ac:dyDescent="0.25">
      <c r="A122" s="51" t="str">
        <f>IF('Input Sheet'!C124="","",CONCATENATE("Sample ", 'Input Sheet'!B124, "m: ", L122, F122, "% ", "Siltstone, ", N122, 'Input Sheet'!C124, "% ", H122, " Sandstone, ", J122, I122, " FLUOR in SST. ", "TG ", 'Input Sheet'!H124, "U"))</f>
        <v>Sample 2455m: 5% Siltstone, 95% fine to medium Sandstone, 100% bright FLUOR in SST. TG 80.2U</v>
      </c>
      <c r="F122" s="36">
        <f>IF('Input Sheet'!C124="","",100-'Input Sheet'!C124)</f>
        <v>5</v>
      </c>
      <c r="G1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22" s="36" t="str">
        <f t="shared" si="1"/>
        <v>fine to medium</v>
      </c>
      <c r="I1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22" s="36" t="str">
        <f>IF('Input Sheet'!F124=0, "NO",CONCATENATE('Input Sheet'!F124, IF('Input Sheet'!F124&gt;0,"% ","")))</f>
        <v xml:space="preserve">100% </v>
      </c>
      <c r="K1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2" s="36" t="str">
        <f>CONCATENATE(K122, IF('Input Sheet'!I124="",""," siderite in "))</f>
        <v/>
      </c>
      <c r="M1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2" s="36" t="str">
        <f>CONCATENATE(M122, IF('Input Sheet'!J124="",""," siderite in "))</f>
        <v/>
      </c>
    </row>
    <row r="123" spans="1:14" x14ac:dyDescent="0.25">
      <c r="A123" s="51" t="str">
        <f>IF('Input Sheet'!C125="","",CONCATENATE("Sample ", 'Input Sheet'!B125, "m: ", L123, F123, "% ", "Siltstone, ", N123, 'Input Sheet'!C125, "% ", H123, " Sandstone, ", J123, I123, " FLUOR in SST. ", "TG ", 'Input Sheet'!H125, "U"))</f>
        <v>Sample 2460m: 5% Siltstone, 95% fine to medium Sandstone, 100% bright FLUOR in SST. TG 113.7U</v>
      </c>
      <c r="F123" s="36">
        <f>IF('Input Sheet'!C125="","",100-'Input Sheet'!C125)</f>
        <v>5</v>
      </c>
      <c r="G1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23" s="36" t="str">
        <f t="shared" si="1"/>
        <v>fine to medium</v>
      </c>
      <c r="I1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23" s="36" t="str">
        <f>IF('Input Sheet'!F125=0, "NO",CONCATENATE('Input Sheet'!F125, IF('Input Sheet'!F125&gt;0,"% ","")))</f>
        <v xml:space="preserve">100% </v>
      </c>
      <c r="K1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3" s="36" t="str">
        <f>CONCATENATE(K123, IF('Input Sheet'!I125="",""," siderite in "))</f>
        <v/>
      </c>
      <c r="M1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3" s="36" t="str">
        <f>CONCATENATE(M123, IF('Input Sheet'!J125="",""," siderite in "))</f>
        <v/>
      </c>
    </row>
    <row r="124" spans="1:14" x14ac:dyDescent="0.25">
      <c r="A124" s="51" t="str">
        <f>IF('Input Sheet'!C126="","",CONCATENATE("Sample ", 'Input Sheet'!B126, "m: ", L124, F124, "% ", "Siltstone, ", N124, 'Input Sheet'!C126, "% ", H124, " Sandstone, ", J124, I124, " FLUOR in SST. ", "TG ", 'Input Sheet'!H126, "U"))</f>
        <v>Sample 2465m: 10% Siltstone, 90% fine to coarse Sandstone, 100% bright FLUOR in SST. TG 109.6U</v>
      </c>
      <c r="F124" s="36">
        <f>IF('Input Sheet'!C126="","",100-'Input Sheet'!C126)</f>
        <v>10</v>
      </c>
      <c r="G1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124" s="36" t="str">
        <f t="shared" si="1"/>
        <v>fine to coarse</v>
      </c>
      <c r="I1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24" s="36" t="str">
        <f>IF('Input Sheet'!F126=0, "NO",CONCATENATE('Input Sheet'!F126, IF('Input Sheet'!F126&gt;0,"% ","")))</f>
        <v xml:space="preserve">100% </v>
      </c>
      <c r="K1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4" s="36" t="str">
        <f>CONCATENATE(K124, IF('Input Sheet'!I126="",""," siderite in "))</f>
        <v/>
      </c>
      <c r="M1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4" s="36" t="str">
        <f>CONCATENATE(M124, IF('Input Sheet'!J126="",""," siderite in "))</f>
        <v/>
      </c>
    </row>
    <row r="125" spans="1:14" x14ac:dyDescent="0.25">
      <c r="A125" s="51" t="str">
        <f>IF('Input Sheet'!C127="","",CONCATENATE("Sample ", 'Input Sheet'!B127, "m: ", L125, F125, "% ", "Siltstone, ", N125, 'Input Sheet'!C127, "% ", H125, " Sandstone, ", J125, I125, " FLUOR in SST. ", "TG ", 'Input Sheet'!H127, "U"))</f>
        <v>Sample 2470m: 10% Siltstone, 90% fine to coarse Sandstone, 100% bright FLUOR in SST. TG 118.7U</v>
      </c>
      <c r="F125" s="36">
        <f>IF('Input Sheet'!C127="","",100-'Input Sheet'!C127)</f>
        <v>10</v>
      </c>
      <c r="G1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125" s="36" t="str">
        <f t="shared" si="1"/>
        <v>fine to coarse</v>
      </c>
      <c r="I1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25" s="36" t="str">
        <f>IF('Input Sheet'!F127=0, "NO",CONCATENATE('Input Sheet'!F127, IF('Input Sheet'!F127&gt;0,"% ","")))</f>
        <v xml:space="preserve">100% </v>
      </c>
      <c r="K1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5" s="36" t="str">
        <f>CONCATENATE(K125, IF('Input Sheet'!I127="",""," siderite in "))</f>
        <v/>
      </c>
      <c r="M1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5" s="36" t="str">
        <f>CONCATENATE(M125, IF('Input Sheet'!J127="",""," siderite in "))</f>
        <v/>
      </c>
    </row>
    <row r="126" spans="1:14" x14ac:dyDescent="0.25">
      <c r="A126" s="51" t="str">
        <f>IF('Input Sheet'!C128="","",CONCATENATE("Sample ", 'Input Sheet'!B128, "m: ", L126, F126, "% ", "Siltstone, ", N126, 'Input Sheet'!C128, "% ", H126, " Sandstone, ", J126, I126, " FLUOR in SST. ", "TG ", 'Input Sheet'!H128, "U"))</f>
        <v>Sample 2475m: 10% Siltstone, 90% fine to medium Sandstone, 100% bright FLUOR in SST. TG 57.3U</v>
      </c>
      <c r="F126" s="36">
        <f>IF('Input Sheet'!C128="","",100-'Input Sheet'!C128)</f>
        <v>10</v>
      </c>
      <c r="G1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26" s="36" t="str">
        <f t="shared" si="1"/>
        <v>fine to medium</v>
      </c>
      <c r="I1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26" s="36" t="str">
        <f>IF('Input Sheet'!F128=0, "NO",CONCATENATE('Input Sheet'!F128, IF('Input Sheet'!F128&gt;0,"% ","")))</f>
        <v xml:space="preserve">100% </v>
      </c>
      <c r="K1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6" s="36" t="str">
        <f>CONCATENATE(K126, IF('Input Sheet'!I128="",""," siderite in "))</f>
        <v/>
      </c>
      <c r="M1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6" s="36" t="str">
        <f>CONCATENATE(M126, IF('Input Sheet'!J128="",""," siderite in "))</f>
        <v/>
      </c>
    </row>
    <row r="127" spans="1:14" x14ac:dyDescent="0.25">
      <c r="A127" s="51" t="str">
        <f>IF('Input Sheet'!C129="","",CONCATENATE("Sample ", 'Input Sheet'!B129, "m: ", L127, F127, "% ", "Siltstone, ", N127, 'Input Sheet'!C129, "% ", H127, " Sandstone, ", J127, I127, " FLUOR in SST. ", "TG ", 'Input Sheet'!H129, "U"))</f>
        <v>Sample 2480m: 10% Siltstone, 90% fine to medium Sandstone, 100% bright FLUOR in SST. TG 115U</v>
      </c>
      <c r="F127" s="36">
        <f>IF('Input Sheet'!C129="","",100-'Input Sheet'!C129)</f>
        <v>10</v>
      </c>
      <c r="G1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27" s="36" t="str">
        <f t="shared" si="1"/>
        <v>fine to medium</v>
      </c>
      <c r="I1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27" s="36" t="str">
        <f>IF('Input Sheet'!F129=0, "NO",CONCATENATE('Input Sheet'!F129, IF('Input Sheet'!F129&gt;0,"% ","")))</f>
        <v xml:space="preserve">100% </v>
      </c>
      <c r="K1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7" s="36" t="str">
        <f>CONCATENATE(K127, IF('Input Sheet'!I129="",""," siderite in "))</f>
        <v/>
      </c>
      <c r="M1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7" s="36" t="str">
        <f>CONCATENATE(M127, IF('Input Sheet'!J129="",""," siderite in "))</f>
        <v/>
      </c>
    </row>
    <row r="128" spans="1:14" x14ac:dyDescent="0.25">
      <c r="A128" s="51" t="str">
        <f>IF('Input Sheet'!C130="","",CONCATENATE("Sample ", 'Input Sheet'!B130, "m: ", L128, F128, "% ", "Siltstone, ", N128, 'Input Sheet'!C130, "% ", H128, " Sandstone, ", J128, I128, " FLUOR in SST. ", "TG ", 'Input Sheet'!H130, "U"))</f>
        <v>Sample 2485m: 0% Siltstone, 100% fine to medium Sandstone, 100% bright FLUOR in SST. TG 96.6U</v>
      </c>
      <c r="F128" s="36">
        <f>IF('Input Sheet'!C130="","",100-'Input Sheet'!C130)</f>
        <v>0</v>
      </c>
      <c r="G1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28" s="36" t="str">
        <f t="shared" si="1"/>
        <v>fine to medium</v>
      </c>
      <c r="I1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28" s="36" t="str">
        <f>IF('Input Sheet'!F130=0, "NO",CONCATENATE('Input Sheet'!F130, IF('Input Sheet'!F130&gt;0,"% ","")))</f>
        <v xml:space="preserve">100% </v>
      </c>
      <c r="K1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8" s="36" t="str">
        <f>CONCATENATE(K128, IF('Input Sheet'!I130="",""," siderite in "))</f>
        <v/>
      </c>
      <c r="M1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8" s="36" t="str">
        <f>CONCATENATE(M128, IF('Input Sheet'!J130="",""," siderite in "))</f>
        <v/>
      </c>
    </row>
    <row r="129" spans="1:14" x14ac:dyDescent="0.25">
      <c r="A129" s="51" t="str">
        <f>IF('Input Sheet'!C131="","",CONCATENATE("Sample ", 'Input Sheet'!B131, "m: ", L129, F129, "% ", "Siltstone, ", N129, 'Input Sheet'!C131, "% ", H129, " Sandstone, ", J129, I129, " FLUOR in SST. ", "TG ", 'Input Sheet'!H131, "U"))</f>
        <v>Sample 2490m: 0% Siltstone, 100% fine to medium Sandstone, 100% bright FLUOR in SST. TG 70.4U</v>
      </c>
      <c r="F129" s="36">
        <f>IF('Input Sheet'!C131="","",100-'Input Sheet'!C131)</f>
        <v>0</v>
      </c>
      <c r="G1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29" s="36" t="str">
        <f t="shared" si="1"/>
        <v>fine to medium</v>
      </c>
      <c r="I1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29" s="36" t="str">
        <f>IF('Input Sheet'!F131=0, "NO",CONCATENATE('Input Sheet'!F131, IF('Input Sheet'!F131&gt;0,"% ","")))</f>
        <v xml:space="preserve">100% </v>
      </c>
      <c r="K1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29" s="36" t="str">
        <f>CONCATENATE(K129, IF('Input Sheet'!I131="",""," siderite in "))</f>
        <v/>
      </c>
      <c r="M1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29" s="36" t="str">
        <f>CONCATENATE(M129, IF('Input Sheet'!J131="",""," siderite in "))</f>
        <v/>
      </c>
    </row>
    <row r="130" spans="1:14" x14ac:dyDescent="0.25">
      <c r="A130" s="51" t="str">
        <f>IF('Input Sheet'!C132="","",CONCATENATE("Sample ", 'Input Sheet'!B132, "m: ", L130, F130, "% ", "Siltstone, ", N130, 'Input Sheet'!C132, "% ", H130, " Sandstone, ", J130, I130, " FLUOR in SST. ", "TG ", 'Input Sheet'!H132, "U"))</f>
        <v>Sample 2495m: 0% Siltstone, 100% fine to coarse Sandstone, 100% bright FLUOR in SST. TG 61.3U</v>
      </c>
      <c r="F130" s="36">
        <f>IF('Input Sheet'!C132="","",100-'Input Sheet'!C132)</f>
        <v>0</v>
      </c>
      <c r="G1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130" s="36" t="str">
        <f t="shared" ref="H130:H193" si="2">SUBSTITUTE(G130, "veryfine", "very fine")</f>
        <v>fine to coarse</v>
      </c>
      <c r="I1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30" s="36" t="str">
        <f>IF('Input Sheet'!F132=0, "NO",CONCATENATE('Input Sheet'!F132, IF('Input Sheet'!F132&gt;0,"% ","")))</f>
        <v xml:space="preserve">100% </v>
      </c>
      <c r="K1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0" s="36" t="str">
        <f>CONCATENATE(K130, IF('Input Sheet'!I132="",""," siderite in "))</f>
        <v/>
      </c>
      <c r="M1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0" s="36" t="str">
        <f>CONCATENATE(M130, IF('Input Sheet'!J132="",""," siderite in "))</f>
        <v/>
      </c>
    </row>
    <row r="131" spans="1:14" x14ac:dyDescent="0.25">
      <c r="A131" s="51" t="str">
        <f>IF('Input Sheet'!C133="","",CONCATENATE("Sample ", 'Input Sheet'!B133, "m: ", L131, F131, "% ", "Siltstone, ", N131, 'Input Sheet'!C133, "% ", H131, " Sandstone, ", J131, I131, " FLUOR in SST. ", "TG ", 'Input Sheet'!H133, "U"))</f>
        <v>Sample 2500m: common siderite in 0% Siltstone, 100% fine to coarse Sandstone, 100% bright FLUOR in SST. TG 94.9U</v>
      </c>
      <c r="F131" s="36">
        <f>IF('Input Sheet'!C133="","",100-'Input Sheet'!C133)</f>
        <v>0</v>
      </c>
      <c r="G1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131" s="36" t="str">
        <f t="shared" si="2"/>
        <v>fine to coarse</v>
      </c>
      <c r="I1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31" s="36" t="str">
        <f>IF('Input Sheet'!F133=0, "NO",CONCATENATE('Input Sheet'!F133, IF('Input Sheet'!F133&gt;0,"% ","")))</f>
        <v xml:space="preserve">100% </v>
      </c>
      <c r="K1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131" s="36" t="str">
        <f>CONCATENATE(K131, IF('Input Sheet'!I133="",""," siderite in "))</f>
        <v xml:space="preserve">common siderite in </v>
      </c>
      <c r="M1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1" s="36" t="str">
        <f>CONCATENATE(M131, IF('Input Sheet'!J133="",""," siderite in "))</f>
        <v/>
      </c>
    </row>
    <row r="132" spans="1:14" x14ac:dyDescent="0.25">
      <c r="A132" s="51" t="str">
        <f>IF('Input Sheet'!C134="","",CONCATENATE("Sample ", 'Input Sheet'!B134, "m: ", L132, F132, "% ", "Siltstone, ", N132, 'Input Sheet'!C134, "% ", H132, " Sandstone, ", J132, I132, " FLUOR in SST. ", "TG ", 'Input Sheet'!H134, "U"))</f>
        <v>Sample 2505m: 20% Siltstone, 80% fine to coarse Sandstone, 100% bright FLUOR in SST. TG 92U</v>
      </c>
      <c r="F132" s="36">
        <f>IF('Input Sheet'!C134="","",100-'Input Sheet'!C134)</f>
        <v>20</v>
      </c>
      <c r="G1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132" s="36" t="str">
        <f t="shared" si="2"/>
        <v>fine to coarse</v>
      </c>
      <c r="I1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32" s="36" t="str">
        <f>IF('Input Sheet'!F134=0, "NO",CONCATENATE('Input Sheet'!F134, IF('Input Sheet'!F134&gt;0,"% ","")))</f>
        <v xml:space="preserve">100% </v>
      </c>
      <c r="K1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2" s="36" t="str">
        <f>CONCATENATE(K132, IF('Input Sheet'!I134="",""," siderite in "))</f>
        <v/>
      </c>
      <c r="M1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2" s="36" t="str">
        <f>CONCATENATE(M132, IF('Input Sheet'!J134="",""," siderite in "))</f>
        <v/>
      </c>
    </row>
    <row r="133" spans="1:14" x14ac:dyDescent="0.25">
      <c r="A133" s="51" t="str">
        <f>IF('Input Sheet'!C135="","",CONCATENATE("Sample ", 'Input Sheet'!B135, "m: ", L133, F133, "% ", "Siltstone, ", N133, 'Input Sheet'!C135, "% ", H133, " Sandstone, ", J133, I133, " FLUOR in SST. ", "TG ", 'Input Sheet'!H135, "U"))</f>
        <v>Sample 2510m: 20% Siltstone, 80% fine to coarse Sandstone, 100% bright FLUOR in SST. TG 84.1U</v>
      </c>
      <c r="F133" s="36">
        <f>IF('Input Sheet'!C135="","",100-'Input Sheet'!C135)</f>
        <v>20</v>
      </c>
      <c r="G1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133" s="36" t="str">
        <f t="shared" si="2"/>
        <v>fine to coarse</v>
      </c>
      <c r="I1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33" s="36" t="str">
        <f>IF('Input Sheet'!F135=0, "NO",CONCATENATE('Input Sheet'!F135, IF('Input Sheet'!F135&gt;0,"% ","")))</f>
        <v xml:space="preserve">100% </v>
      </c>
      <c r="K1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3" s="36" t="str">
        <f>CONCATENATE(K133, IF('Input Sheet'!I135="",""," siderite in "))</f>
        <v/>
      </c>
      <c r="M1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3" s="36" t="str">
        <f>CONCATENATE(M133, IF('Input Sheet'!J135="",""," siderite in "))</f>
        <v/>
      </c>
    </row>
    <row r="134" spans="1:14" x14ac:dyDescent="0.25">
      <c r="A134" s="51" t="str">
        <f>IF('Input Sheet'!C136="","",CONCATENATE("Sample ", 'Input Sheet'!B136, "m: ", L134, F134, "% ", "Siltstone, ", N134, 'Input Sheet'!C136, "% ", H134, " Sandstone, ", J134, I134, " FLUOR in SST. ", "TG ", 'Input Sheet'!H136, "U"))</f>
        <v>Sample 2515m: 10% Siltstone, 90% fine to medium Sandstone, 100% bright FLUOR in SST. TG 78.3U</v>
      </c>
      <c r="F134" s="36">
        <f>IF('Input Sheet'!C136="","",100-'Input Sheet'!C136)</f>
        <v>10</v>
      </c>
      <c r="G1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34" s="36" t="str">
        <f t="shared" si="2"/>
        <v>fine to medium</v>
      </c>
      <c r="I1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34" s="36" t="str">
        <f>IF('Input Sheet'!F136=0, "NO",CONCATENATE('Input Sheet'!F136, IF('Input Sheet'!F136&gt;0,"% ","")))</f>
        <v xml:space="preserve">100% </v>
      </c>
      <c r="K1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4" s="36" t="str">
        <f>CONCATENATE(K134, IF('Input Sheet'!I136="",""," siderite in "))</f>
        <v/>
      </c>
      <c r="M1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4" s="36" t="str">
        <f>CONCATENATE(M134, IF('Input Sheet'!J136="",""," siderite in "))</f>
        <v/>
      </c>
    </row>
    <row r="135" spans="1:14" x14ac:dyDescent="0.25">
      <c r="A135" s="51" t="str">
        <f>IF('Input Sheet'!C137="","",CONCATENATE("Sample ", 'Input Sheet'!B137, "m: ", L135, F135, "% ", "Siltstone, ", N135, 'Input Sheet'!C137, "% ", H135, " Sandstone, ", J135, I135, " FLUOR in SST. ", "TG ", 'Input Sheet'!H137, "U"))</f>
        <v>Sample 2520m: 10% Siltstone, 90% fine to medium Sandstone, 100% bright FLUOR in SST. TG 42.8U</v>
      </c>
      <c r="F135" s="36">
        <f>IF('Input Sheet'!C137="","",100-'Input Sheet'!C137)</f>
        <v>10</v>
      </c>
      <c r="G1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35" s="36" t="str">
        <f t="shared" si="2"/>
        <v>fine to medium</v>
      </c>
      <c r="I1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35" s="36" t="str">
        <f>IF('Input Sheet'!F137=0, "NO",CONCATENATE('Input Sheet'!F137, IF('Input Sheet'!F137&gt;0,"% ","")))</f>
        <v xml:space="preserve">100% </v>
      </c>
      <c r="K1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5" s="36" t="str">
        <f>CONCATENATE(K135, IF('Input Sheet'!I137="",""," siderite in "))</f>
        <v/>
      </c>
      <c r="M1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5" s="36" t="str">
        <f>CONCATENATE(M135, IF('Input Sheet'!J137="",""," siderite in "))</f>
        <v/>
      </c>
    </row>
    <row r="136" spans="1:14" x14ac:dyDescent="0.25">
      <c r="A136" s="51" t="str">
        <f>IF('Input Sheet'!C138="","",CONCATENATE("Sample ", 'Input Sheet'!B138, "m: ", L136, F136, "% ", "Siltstone, ", N136, 'Input Sheet'!C138, "% ", H136, " Sandstone, ", J136, I136, " FLUOR in SST. ", "TG ", 'Input Sheet'!H138, "U"))</f>
        <v>Sample 2525m: 10% Siltstone, 90% fine to medium Sandstone, 100% bright FLUOR in SST. TG 105.6U</v>
      </c>
      <c r="F136" s="36">
        <f>IF('Input Sheet'!C138="","",100-'Input Sheet'!C138)</f>
        <v>10</v>
      </c>
      <c r="G1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36" s="36" t="str">
        <f t="shared" si="2"/>
        <v>fine to medium</v>
      </c>
      <c r="I1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36" s="36" t="str">
        <f>IF('Input Sheet'!F138=0, "NO",CONCATENATE('Input Sheet'!F138, IF('Input Sheet'!F138&gt;0,"% ","")))</f>
        <v xml:space="preserve">100% </v>
      </c>
      <c r="K1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6" s="36" t="str">
        <f>CONCATENATE(K136, IF('Input Sheet'!I138="",""," siderite in "))</f>
        <v/>
      </c>
      <c r="M1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6" s="36" t="str">
        <f>CONCATENATE(M136, IF('Input Sheet'!J138="",""," siderite in "))</f>
        <v/>
      </c>
    </row>
    <row r="137" spans="1:14" x14ac:dyDescent="0.25">
      <c r="A137" s="51" t="str">
        <f>IF('Input Sheet'!C139="","",CONCATENATE("Sample ", 'Input Sheet'!B139, "m: ", L137, F137, "% ", "Siltstone, ", N137, 'Input Sheet'!C139, "% ", H137, " Sandstone, ", J137, I137, " FLUOR in SST. ", "TG ", 'Input Sheet'!H139, "U"))</f>
        <v>Sample 2530m: trace siderite in 10% Siltstone, 90% fine to medium Sandstone, 100% bright FLUOR in SST. TG 49.7U</v>
      </c>
      <c r="F137" s="36">
        <f>IF('Input Sheet'!C139="","",100-'Input Sheet'!C139)</f>
        <v>10</v>
      </c>
      <c r="G1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37" s="36" t="str">
        <f t="shared" si="2"/>
        <v>fine to medium</v>
      </c>
      <c r="I1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37" s="36" t="str">
        <f>IF('Input Sheet'!F139=0, "NO",CONCATENATE('Input Sheet'!F139, IF('Input Sheet'!F139&gt;0,"% ","")))</f>
        <v xml:space="preserve">100% </v>
      </c>
      <c r="K1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137" s="36" t="str">
        <f>CONCATENATE(K137, IF('Input Sheet'!I139="",""," siderite in "))</f>
        <v xml:space="preserve">trace siderite in </v>
      </c>
      <c r="M1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7" s="36" t="str">
        <f>CONCATENATE(M137, IF('Input Sheet'!J139="",""," siderite in "))</f>
        <v/>
      </c>
    </row>
    <row r="138" spans="1:14" x14ac:dyDescent="0.25">
      <c r="A138" s="51" t="str">
        <f>IF('Input Sheet'!C140="","",CONCATENATE("Sample ", 'Input Sheet'!B140, "m: ", L138, F138, "% ", "Siltstone, ", N138, 'Input Sheet'!C140, "% ", H138, " Sandstone, ", J138, I138, " FLUOR in SST. ", "TG ", 'Input Sheet'!H140, "U"))</f>
        <v>Sample 2535m: 10% Siltstone, 90% fine to medium Sandstone, 100% bright FLUOR in SST. TG 98.8U</v>
      </c>
      <c r="F138" s="36">
        <f>IF('Input Sheet'!C140="","",100-'Input Sheet'!C140)</f>
        <v>10</v>
      </c>
      <c r="G1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38" s="36" t="str">
        <f t="shared" si="2"/>
        <v>fine to medium</v>
      </c>
      <c r="I1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38" s="36" t="str">
        <f>IF('Input Sheet'!F140=0, "NO",CONCATENATE('Input Sheet'!F140, IF('Input Sheet'!F140&gt;0,"% ","")))</f>
        <v xml:space="preserve">100% </v>
      </c>
      <c r="K1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8" s="36" t="str">
        <f>CONCATENATE(K138, IF('Input Sheet'!I140="",""," siderite in "))</f>
        <v/>
      </c>
      <c r="M1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8" s="36" t="str">
        <f>CONCATENATE(M138, IF('Input Sheet'!J140="",""," siderite in "))</f>
        <v/>
      </c>
    </row>
    <row r="139" spans="1:14" x14ac:dyDescent="0.25">
      <c r="A139" s="51" t="str">
        <f>IF('Input Sheet'!C141="","",CONCATENATE("Sample ", 'Input Sheet'!B141, "m: ", L139, F139, "% ", "Siltstone, ", N139, 'Input Sheet'!C141, "% ", H139, " Sandstone, ", J139, I139, " FLUOR in SST. ", "TG ", 'Input Sheet'!H141, "U"))</f>
        <v>Sample 2540m: 10% Siltstone, 90% fine to medium Sandstone, 100% bright FLUOR in SST. TG 101.5U</v>
      </c>
      <c r="F139" s="36">
        <f>IF('Input Sheet'!C141="","",100-'Input Sheet'!C141)</f>
        <v>10</v>
      </c>
      <c r="G1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39" s="36" t="str">
        <f t="shared" si="2"/>
        <v>fine to medium</v>
      </c>
      <c r="I1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39" s="36" t="str">
        <f>IF('Input Sheet'!F141=0, "NO",CONCATENATE('Input Sheet'!F141, IF('Input Sheet'!F141&gt;0,"% ","")))</f>
        <v xml:space="preserve">100% </v>
      </c>
      <c r="K1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39" s="36" t="str">
        <f>CONCATENATE(K139, IF('Input Sheet'!I141="",""," siderite in "))</f>
        <v/>
      </c>
      <c r="M1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39" s="36" t="str">
        <f>CONCATENATE(M139, IF('Input Sheet'!J141="",""," siderite in "))</f>
        <v/>
      </c>
    </row>
    <row r="140" spans="1:14" x14ac:dyDescent="0.25">
      <c r="A140" s="51" t="str">
        <f>IF('Input Sheet'!C142="","",CONCATENATE("Sample ", 'Input Sheet'!B142, "m: ", L140, F140, "% ", "Siltstone, ", N140, 'Input Sheet'!C142, "% ", H140, " Sandstone, ", J140, I140, " FLUOR in SST. ", "TG ", 'Input Sheet'!H142, "U"))</f>
        <v>Sample 2545m: 20% Siltstone, 80% fine to coarse Sandstone, 100% bright FLUOR in SST. TG 118.6U</v>
      </c>
      <c r="F140" s="36">
        <f>IF('Input Sheet'!C142="","",100-'Input Sheet'!C142)</f>
        <v>20</v>
      </c>
      <c r="G1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140" s="36" t="str">
        <f t="shared" si="2"/>
        <v>fine to coarse</v>
      </c>
      <c r="I1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40" s="36" t="str">
        <f>IF('Input Sheet'!F142=0, "NO",CONCATENATE('Input Sheet'!F142, IF('Input Sheet'!F142&gt;0,"% ","")))</f>
        <v xml:space="preserve">100% </v>
      </c>
      <c r="K1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0" s="36" t="str">
        <f>CONCATENATE(K140, IF('Input Sheet'!I142="",""," siderite in "))</f>
        <v/>
      </c>
      <c r="M1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0" s="36" t="str">
        <f>CONCATENATE(M140, IF('Input Sheet'!J142="",""," siderite in "))</f>
        <v/>
      </c>
    </row>
    <row r="141" spans="1:14" x14ac:dyDescent="0.25">
      <c r="A141" s="51" t="str">
        <f>IF('Input Sheet'!C143="","",CONCATENATE("Sample ", 'Input Sheet'!B143, "m: ", L141, F141, "% ", "Siltstone, ", N141, 'Input Sheet'!C143, "% ", H141, " Sandstone, ", J141, I141, " FLUOR in SST. ", "TG ", 'Input Sheet'!H143, "U"))</f>
        <v>Sample 2550m: 20% Siltstone, 80% fine to coarse Sandstone, 100% bright FLUOR in SST. TG 52.8U</v>
      </c>
      <c r="F141" s="36">
        <f>IF('Input Sheet'!C143="","",100-'Input Sheet'!C143)</f>
        <v>20</v>
      </c>
      <c r="G1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141" s="36" t="str">
        <f t="shared" si="2"/>
        <v>fine to coarse</v>
      </c>
      <c r="I1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41" s="36" t="str">
        <f>IF('Input Sheet'!F143=0, "NO",CONCATENATE('Input Sheet'!F143, IF('Input Sheet'!F143&gt;0,"% ","")))</f>
        <v xml:space="preserve">100% </v>
      </c>
      <c r="K1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1" s="36" t="str">
        <f>CONCATENATE(K141, IF('Input Sheet'!I143="",""," siderite in "))</f>
        <v/>
      </c>
      <c r="M1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1" s="36" t="str">
        <f>CONCATENATE(M141, IF('Input Sheet'!J143="",""," siderite in "))</f>
        <v/>
      </c>
    </row>
    <row r="142" spans="1:14" x14ac:dyDescent="0.25">
      <c r="A142" s="51" t="str">
        <f>IF('Input Sheet'!C144="","",CONCATENATE("Sample ", 'Input Sheet'!B144, "m: ", L142, F142, "% ", "Siltstone, ", N142, 'Input Sheet'!C144, "% ", H142, " Sandstone, ", J142, I142, " FLUOR in SST. ", "TG ", 'Input Sheet'!H144, "U"))</f>
        <v>Sample 2555m: 5% Siltstone, 95% fine to medium Sandstone, 100% bright FLUOR in SST. TG 124.2U</v>
      </c>
      <c r="F142" s="36">
        <f>IF('Input Sheet'!C144="","",100-'Input Sheet'!C144)</f>
        <v>5</v>
      </c>
      <c r="G1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42" s="36" t="str">
        <f t="shared" si="2"/>
        <v>fine to medium</v>
      </c>
      <c r="I1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42" s="36" t="str">
        <f>IF('Input Sheet'!F144=0, "NO",CONCATENATE('Input Sheet'!F144, IF('Input Sheet'!F144&gt;0,"% ","")))</f>
        <v xml:space="preserve">100% </v>
      </c>
      <c r="K1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2" s="36" t="str">
        <f>CONCATENATE(K142, IF('Input Sheet'!I144="",""," siderite in "))</f>
        <v/>
      </c>
      <c r="M1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2" s="36" t="str">
        <f>CONCATENATE(M142, IF('Input Sheet'!J144="",""," siderite in "))</f>
        <v/>
      </c>
    </row>
    <row r="143" spans="1:14" x14ac:dyDescent="0.25">
      <c r="A143" s="51" t="str">
        <f>IF('Input Sheet'!C145="","",CONCATENATE("Sample ", 'Input Sheet'!B145, "m: ", L143, F143, "% ", "Siltstone, ", N143, 'Input Sheet'!C145, "% ", H143, " Sandstone, ", J143, I143, " FLUOR in SST. ", "TG ", 'Input Sheet'!H145, "U"))</f>
        <v>Sample 2560m: 5% Siltstone, 95% fine to medium Sandstone, 100% bright FLUOR in SST. TG 105.2U</v>
      </c>
      <c r="F143" s="36">
        <f>IF('Input Sheet'!C145="","",100-'Input Sheet'!C145)</f>
        <v>5</v>
      </c>
      <c r="G1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43" s="36" t="str">
        <f t="shared" si="2"/>
        <v>fine to medium</v>
      </c>
      <c r="I1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43" s="36" t="str">
        <f>IF('Input Sheet'!F145=0, "NO",CONCATENATE('Input Sheet'!F145, IF('Input Sheet'!F145&gt;0,"% ","")))</f>
        <v xml:space="preserve">100% </v>
      </c>
      <c r="K1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3" s="36" t="str">
        <f>CONCATENATE(K143, IF('Input Sheet'!I145="",""," siderite in "))</f>
        <v/>
      </c>
      <c r="M1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3" s="36" t="str">
        <f>CONCATENATE(M143, IF('Input Sheet'!J145="",""," siderite in "))</f>
        <v/>
      </c>
    </row>
    <row r="144" spans="1:14" x14ac:dyDescent="0.25">
      <c r="A144" s="51" t="str">
        <f>IF('Input Sheet'!C146="","",CONCATENATE("Sample ", 'Input Sheet'!B146, "m: ", L144, F144, "% ", "Siltstone, ", N144, 'Input Sheet'!C146, "% ", H144, " Sandstone, ", J144, I144, " FLUOR in SST. ", "TG ", 'Input Sheet'!H146, "U"))</f>
        <v>Sample 2565m: 10% Siltstone, 90% fine to medium Sandstone, 100% bright FLUOR in SST. TG 106.3U</v>
      </c>
      <c r="F144" s="36">
        <f>IF('Input Sheet'!C146="","",100-'Input Sheet'!C146)</f>
        <v>10</v>
      </c>
      <c r="G1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44" s="36" t="str">
        <f t="shared" si="2"/>
        <v>fine to medium</v>
      </c>
      <c r="I1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44" s="36" t="str">
        <f>IF('Input Sheet'!F146=0, "NO",CONCATENATE('Input Sheet'!F146, IF('Input Sheet'!F146&gt;0,"% ","")))</f>
        <v xml:space="preserve">100% </v>
      </c>
      <c r="K1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4" s="36" t="str">
        <f>CONCATENATE(K144, IF('Input Sheet'!I146="",""," siderite in "))</f>
        <v/>
      </c>
      <c r="M1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4" s="36" t="str">
        <f>CONCATENATE(M144, IF('Input Sheet'!J146="",""," siderite in "))</f>
        <v/>
      </c>
    </row>
    <row r="145" spans="1:14" x14ac:dyDescent="0.25">
      <c r="A145" s="51" t="str">
        <f>IF('Input Sheet'!C147="","",CONCATENATE("Sample ", 'Input Sheet'!B147, "m: ", L145, F145, "% ", "Siltstone, ", N145, 'Input Sheet'!C147, "% ", H145, " Sandstone, ", J145, I145, " FLUOR in SST. ", "TG ", 'Input Sheet'!H147, "U"))</f>
        <v>Sample 2570m: trace siderite in 10% Siltstone, 90% fine to medium Sandstone, 100% bright FLUOR in SST. TG 65.7U</v>
      </c>
      <c r="F145" s="36">
        <f>IF('Input Sheet'!C147="","",100-'Input Sheet'!C147)</f>
        <v>10</v>
      </c>
      <c r="G1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45" s="36" t="str">
        <f t="shared" si="2"/>
        <v>fine to medium</v>
      </c>
      <c r="I1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45" s="36" t="str">
        <f>IF('Input Sheet'!F147=0, "NO",CONCATENATE('Input Sheet'!F147, IF('Input Sheet'!F147&gt;0,"% ","")))</f>
        <v xml:space="preserve">100% </v>
      </c>
      <c r="K1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145" s="36" t="str">
        <f>CONCATENATE(K145, IF('Input Sheet'!I147="",""," siderite in "))</f>
        <v xml:space="preserve">trace siderite in </v>
      </c>
      <c r="M1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5" s="36" t="str">
        <f>CONCATENATE(M145, IF('Input Sheet'!J147="",""," siderite in "))</f>
        <v/>
      </c>
    </row>
    <row r="146" spans="1:14" x14ac:dyDescent="0.25">
      <c r="A146" s="51" t="str">
        <f>IF('Input Sheet'!C148="","",CONCATENATE("Sample ", 'Input Sheet'!B148, "m: ", L146, F146, "% ", "Siltstone, ", N146, 'Input Sheet'!C148, "% ", H146, " Sandstone, ", J146, I146, " FLUOR in SST. ", "TG ", 'Input Sheet'!H148, "U"))</f>
        <v>Sample 2575m: 5% Siltstone, 95% fine to medium Sandstone, 100% bright FLUOR in SST. TG 118.8U</v>
      </c>
      <c r="F146" s="36">
        <f>IF('Input Sheet'!C148="","",100-'Input Sheet'!C148)</f>
        <v>5</v>
      </c>
      <c r="G1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46" s="36" t="str">
        <f t="shared" si="2"/>
        <v>fine to medium</v>
      </c>
      <c r="I1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46" s="36" t="str">
        <f>IF('Input Sheet'!F148=0, "NO",CONCATENATE('Input Sheet'!F148, IF('Input Sheet'!F148&gt;0,"% ","")))</f>
        <v xml:space="preserve">100% </v>
      </c>
      <c r="K1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6" s="36" t="str">
        <f>CONCATENATE(K146, IF('Input Sheet'!I148="",""," siderite in "))</f>
        <v/>
      </c>
      <c r="M1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6" s="36" t="str">
        <f>CONCATENATE(M146, IF('Input Sheet'!J148="",""," siderite in "))</f>
        <v/>
      </c>
    </row>
    <row r="147" spans="1:14" x14ac:dyDescent="0.25">
      <c r="A147" s="51" t="str">
        <f>IF('Input Sheet'!C149="","",CONCATENATE("Sample ", 'Input Sheet'!B149, "m: ", L147, F147, "% ", "Siltstone, ", N147, 'Input Sheet'!C149, "% ", H147, " Sandstone, ", J147, I147, " FLUOR in SST. ", "TG ", 'Input Sheet'!H149, "U"))</f>
        <v>Sample 2580m: 5% Siltstone, 95% fine to medium Sandstone, 100% bright FLUOR in SST. TG 83.2U</v>
      </c>
      <c r="F147" s="36">
        <f>IF('Input Sheet'!C149="","",100-'Input Sheet'!C149)</f>
        <v>5</v>
      </c>
      <c r="G1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47" s="36" t="str">
        <f t="shared" si="2"/>
        <v>fine to medium</v>
      </c>
      <c r="I1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47" s="36" t="str">
        <f>IF('Input Sheet'!F149=0, "NO",CONCATENATE('Input Sheet'!F149, IF('Input Sheet'!F149&gt;0,"% ","")))</f>
        <v xml:space="preserve">100% </v>
      </c>
      <c r="K1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7" s="36" t="str">
        <f>CONCATENATE(K147, IF('Input Sheet'!I149="",""," siderite in "))</f>
        <v/>
      </c>
      <c r="M1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7" s="36" t="str">
        <f>CONCATENATE(M147, IF('Input Sheet'!J149="",""," siderite in "))</f>
        <v/>
      </c>
    </row>
    <row r="148" spans="1:14" x14ac:dyDescent="0.25">
      <c r="A148" s="51" t="str">
        <f>IF('Input Sheet'!C150="","",CONCATENATE("Sample ", 'Input Sheet'!B150, "m: ", L148, F148, "% ", "Siltstone, ", N148, 'Input Sheet'!C150, "% ", H148, " Sandstone, ", J148, I148, " FLUOR in SST. ", "TG ", 'Input Sheet'!H150, "U"))</f>
        <v>Sample 2585m: 5% Siltstone, 95% fine to medium Sandstone, 100% bright FLUOR in SST. TG 102.7U</v>
      </c>
      <c r="F148" s="36">
        <f>IF('Input Sheet'!C150="","",100-'Input Sheet'!C150)</f>
        <v>5</v>
      </c>
      <c r="G1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48" s="36" t="str">
        <f t="shared" si="2"/>
        <v>fine to medium</v>
      </c>
      <c r="I1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48" s="36" t="str">
        <f>IF('Input Sheet'!F150=0, "NO",CONCATENATE('Input Sheet'!F150, IF('Input Sheet'!F150&gt;0,"% ","")))</f>
        <v xml:space="preserve">100% </v>
      </c>
      <c r="K1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8" s="36" t="str">
        <f>CONCATENATE(K148, IF('Input Sheet'!I150="",""," siderite in "))</f>
        <v/>
      </c>
      <c r="M1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8" s="36" t="str">
        <f>CONCATENATE(M148, IF('Input Sheet'!J150="",""," siderite in "))</f>
        <v/>
      </c>
    </row>
    <row r="149" spans="1:14" x14ac:dyDescent="0.25">
      <c r="A149" s="51" t="str">
        <f>IF('Input Sheet'!C151="","",CONCATENATE("Sample ", 'Input Sheet'!B151, "m: ", L149, F149, "% ", "Siltstone, ", N149, 'Input Sheet'!C151, "% ", H149, " Sandstone, ", J149, I149, " FLUOR in SST. ", "TG ", 'Input Sheet'!H151, "U"))</f>
        <v>Sample 2590m: 5% Siltstone, 95% fine to medium Sandstone, 100% bright FLUOR in SST. TG 75.1U</v>
      </c>
      <c r="F149" s="36">
        <f>IF('Input Sheet'!C151="","",100-'Input Sheet'!C151)</f>
        <v>5</v>
      </c>
      <c r="G1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49" s="36" t="str">
        <f t="shared" si="2"/>
        <v>fine to medium</v>
      </c>
      <c r="I1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49" s="36" t="str">
        <f>IF('Input Sheet'!F151=0, "NO",CONCATENATE('Input Sheet'!F151, IF('Input Sheet'!F151&gt;0,"% ","")))</f>
        <v xml:space="preserve">100% </v>
      </c>
      <c r="K1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49" s="36" t="str">
        <f>CONCATENATE(K149, IF('Input Sheet'!I151="",""," siderite in "))</f>
        <v/>
      </c>
      <c r="M1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49" s="36" t="str">
        <f>CONCATENATE(M149, IF('Input Sheet'!J151="",""," siderite in "))</f>
        <v/>
      </c>
    </row>
    <row r="150" spans="1:14" x14ac:dyDescent="0.25">
      <c r="A150" s="51" t="str">
        <f>IF('Input Sheet'!C152="","",CONCATENATE("Sample ", 'Input Sheet'!B152, "m: ", L150, F150, "% ", "Siltstone, ", N150, 'Input Sheet'!C152, "% ", H150, " Sandstone, ", J150, I150, " FLUOR in SST. ", "TG ", 'Input Sheet'!H152, "U"))</f>
        <v>Sample 2595m: 10% Siltstone, 90% fine to medium Sandstone, 100% bright FLUOR in SST. TG 78.6U</v>
      </c>
      <c r="F150" s="36">
        <f>IF('Input Sheet'!C152="","",100-'Input Sheet'!C152)</f>
        <v>10</v>
      </c>
      <c r="G1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50" s="36" t="str">
        <f t="shared" si="2"/>
        <v>fine to medium</v>
      </c>
      <c r="I1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50" s="36" t="str">
        <f>IF('Input Sheet'!F152=0, "NO",CONCATENATE('Input Sheet'!F152, IF('Input Sheet'!F152&gt;0,"% ","")))</f>
        <v xml:space="preserve">100% </v>
      </c>
      <c r="K1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0" s="36" t="str">
        <f>CONCATENATE(K150, IF('Input Sheet'!I152="",""," siderite in "))</f>
        <v/>
      </c>
      <c r="M1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0" s="36" t="str">
        <f>CONCATENATE(M150, IF('Input Sheet'!J152="",""," siderite in "))</f>
        <v/>
      </c>
    </row>
    <row r="151" spans="1:14" x14ac:dyDescent="0.25">
      <c r="A151" s="51" t="str">
        <f>IF('Input Sheet'!C153="","",CONCATENATE("Sample ", 'Input Sheet'!B153, "m: ", L151, F151, "% ", "Siltstone, ", N151, 'Input Sheet'!C153, "% ", H151, " Sandstone, ", J151, I151, " FLUOR in SST. ", "TG ", 'Input Sheet'!H153, "U"))</f>
        <v>Sample 2600m: 10% Siltstone, 90% fine to medium Sandstone, 100% bright FLUOR in SST. TG 72.4U</v>
      </c>
      <c r="F151" s="36">
        <f>IF('Input Sheet'!C153="","",100-'Input Sheet'!C153)</f>
        <v>10</v>
      </c>
      <c r="G1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51" s="36" t="str">
        <f t="shared" si="2"/>
        <v>fine to medium</v>
      </c>
      <c r="I1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51" s="36" t="str">
        <f>IF('Input Sheet'!F153=0, "NO",CONCATENATE('Input Sheet'!F153, IF('Input Sheet'!F153&gt;0,"% ","")))</f>
        <v xml:space="preserve">100% </v>
      </c>
      <c r="K1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1" s="36" t="str">
        <f>CONCATENATE(K151, IF('Input Sheet'!I153="",""," siderite in "))</f>
        <v/>
      </c>
      <c r="M1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1" s="36" t="str">
        <f>CONCATENATE(M151, IF('Input Sheet'!J153="",""," siderite in "))</f>
        <v/>
      </c>
    </row>
    <row r="152" spans="1:14" x14ac:dyDescent="0.25">
      <c r="A152" s="51" t="str">
        <f>IF('Input Sheet'!C154="","",CONCATENATE("Sample ", 'Input Sheet'!B154, "m: ", L152, F152, "% ", "Siltstone, ", N152, 'Input Sheet'!C154, "% ", H152, " Sandstone, ", J152, I152, " FLUOR in SST. ", "TG ", 'Input Sheet'!H154, "U"))</f>
        <v>Sample 2605m: 0% Siltstone, 100% fine to medium Sandstone, 100% moderately bright FLUOR in SST. TG 79.2U</v>
      </c>
      <c r="F152" s="36">
        <f>IF('Input Sheet'!C154="","",100-'Input Sheet'!C154)</f>
        <v>0</v>
      </c>
      <c r="G1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52" s="36" t="str">
        <f t="shared" si="2"/>
        <v>fine to medium</v>
      </c>
      <c r="I1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52" s="36" t="str">
        <f>IF('Input Sheet'!F154=0, "NO",CONCATENATE('Input Sheet'!F154, IF('Input Sheet'!F154&gt;0,"% ","")))</f>
        <v xml:space="preserve">100% </v>
      </c>
      <c r="K1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2" s="36" t="str">
        <f>CONCATENATE(K152, IF('Input Sheet'!I154="",""," siderite in "))</f>
        <v/>
      </c>
      <c r="M1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2" s="36" t="str">
        <f>CONCATENATE(M152, IF('Input Sheet'!J154="",""," siderite in "))</f>
        <v/>
      </c>
    </row>
    <row r="153" spans="1:14" x14ac:dyDescent="0.25">
      <c r="A153" s="51" t="str">
        <f>IF('Input Sheet'!C155="","",CONCATENATE("Sample ", 'Input Sheet'!B155, "m: ", L153, F153, "% ", "Siltstone, ", N153, 'Input Sheet'!C155, "% ", H153, " Sandstone, ", J153, I153, " FLUOR in SST. ", "TG ", 'Input Sheet'!H155, "U"))</f>
        <v>Sample 2610m: 0% Siltstone, 100% fine to medium Sandstone, 100% moderately bright FLUOR in SST. TG 70.2U</v>
      </c>
      <c r="F153" s="36">
        <f>IF('Input Sheet'!C155="","",100-'Input Sheet'!C155)</f>
        <v>0</v>
      </c>
      <c r="G1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53" s="36" t="str">
        <f t="shared" si="2"/>
        <v>fine to medium</v>
      </c>
      <c r="I1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53" s="36" t="str">
        <f>IF('Input Sheet'!F155=0, "NO",CONCATENATE('Input Sheet'!F155, IF('Input Sheet'!F155&gt;0,"% ","")))</f>
        <v xml:space="preserve">100% </v>
      </c>
      <c r="K1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3" s="36" t="str">
        <f>CONCATENATE(K153, IF('Input Sheet'!I155="",""," siderite in "))</f>
        <v/>
      </c>
      <c r="M1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3" s="36" t="str">
        <f>CONCATENATE(M153, IF('Input Sheet'!J155="",""," siderite in "))</f>
        <v/>
      </c>
    </row>
    <row r="154" spans="1:14" x14ac:dyDescent="0.25">
      <c r="A154" s="51" t="str">
        <f>IF('Input Sheet'!C156="","",CONCATENATE("Sample ", 'Input Sheet'!B156, "m: ", L154, F154, "% ", "Siltstone, ", N154, 'Input Sheet'!C156, "% ", H154, " Sandstone, ", J154, I154, " FLUOR in SST. ", "TG ", 'Input Sheet'!H156, "U"))</f>
        <v>Sample 2615m: 5% Siltstone, 95% fine to medium Sandstone, 100% moderately bright FLUOR in SST. TG 71.4U</v>
      </c>
      <c r="F154" s="36">
        <f>IF('Input Sheet'!C156="","",100-'Input Sheet'!C156)</f>
        <v>5</v>
      </c>
      <c r="G1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54" s="36" t="str">
        <f t="shared" si="2"/>
        <v>fine to medium</v>
      </c>
      <c r="I1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54" s="36" t="str">
        <f>IF('Input Sheet'!F156=0, "NO",CONCATENATE('Input Sheet'!F156, IF('Input Sheet'!F156&gt;0,"% ","")))</f>
        <v xml:space="preserve">100% </v>
      </c>
      <c r="K1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4" s="36" t="str">
        <f>CONCATENATE(K154, IF('Input Sheet'!I156="",""," siderite in "))</f>
        <v/>
      </c>
      <c r="M1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4" s="36" t="str">
        <f>CONCATENATE(M154, IF('Input Sheet'!J156="",""," siderite in "))</f>
        <v/>
      </c>
    </row>
    <row r="155" spans="1:14" x14ac:dyDescent="0.25">
      <c r="A155" s="51" t="str">
        <f>IF('Input Sheet'!C157="","",CONCATENATE("Sample ", 'Input Sheet'!B157, "m: ", L155, F155, "% ", "Siltstone, ", N155, 'Input Sheet'!C157, "% ", H155, " Sandstone, ", J155, I155, " FLUOR in SST. ", "TG ", 'Input Sheet'!H157, "U"))</f>
        <v>Sample 2620m: 5% Siltstone, 95% fine to medium Sandstone, 100% moderately bright FLUOR in SST. TG 81.4U</v>
      </c>
      <c r="F155" s="36">
        <f>IF('Input Sheet'!C157="","",100-'Input Sheet'!C157)</f>
        <v>5</v>
      </c>
      <c r="G1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55" s="36" t="str">
        <f t="shared" si="2"/>
        <v>fine to medium</v>
      </c>
      <c r="I1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55" s="36" t="str">
        <f>IF('Input Sheet'!F157=0, "NO",CONCATENATE('Input Sheet'!F157, IF('Input Sheet'!F157&gt;0,"% ","")))</f>
        <v xml:space="preserve">100% </v>
      </c>
      <c r="K1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5" s="36" t="str">
        <f>CONCATENATE(K155, IF('Input Sheet'!I157="",""," siderite in "))</f>
        <v/>
      </c>
      <c r="M1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5" s="36" t="str">
        <f>CONCATENATE(M155, IF('Input Sheet'!J157="",""," siderite in "))</f>
        <v/>
      </c>
    </row>
    <row r="156" spans="1:14" x14ac:dyDescent="0.25">
      <c r="A156" s="51" t="str">
        <f>IF('Input Sheet'!C158="","",CONCATENATE("Sample ", 'Input Sheet'!B158, "m: ", L156, F156, "% ", "Siltstone, ", N156, 'Input Sheet'!C158, "% ", H156, " Sandstone, ", J156, I156, " FLUOR in SST. ", "TG ", 'Input Sheet'!H158, "U"))</f>
        <v>Sample 2625m: 0% Siltstone, 100% fine to medium Sandstone, 100% moderately bright FLUOR in SST. TG 88.3U</v>
      </c>
      <c r="F156" s="36">
        <f>IF('Input Sheet'!C158="","",100-'Input Sheet'!C158)</f>
        <v>0</v>
      </c>
      <c r="G1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56" s="36" t="str">
        <f t="shared" si="2"/>
        <v>fine to medium</v>
      </c>
      <c r="I1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56" s="36" t="str">
        <f>IF('Input Sheet'!F158=0, "NO",CONCATENATE('Input Sheet'!F158, IF('Input Sheet'!F158&gt;0,"% ","")))</f>
        <v xml:space="preserve">100% </v>
      </c>
      <c r="K1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6" s="36" t="str">
        <f>CONCATENATE(K156, IF('Input Sheet'!I158="",""," siderite in "))</f>
        <v/>
      </c>
      <c r="M1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6" s="36" t="str">
        <f>CONCATENATE(M156, IF('Input Sheet'!J158="",""," siderite in "))</f>
        <v/>
      </c>
    </row>
    <row r="157" spans="1:14" x14ac:dyDescent="0.25">
      <c r="A157" s="51" t="str">
        <f>IF('Input Sheet'!C159="","",CONCATENATE("Sample ", 'Input Sheet'!B159, "m: ", L157, F157, "% ", "Siltstone, ", N157, 'Input Sheet'!C159, "% ", H157, " Sandstone, ", J157, I157, " FLUOR in SST. ", "TG ", 'Input Sheet'!H159, "U"))</f>
        <v>Sample 2630m: 0% Siltstone, 100% very fine to medium Sandstone, 100% moderately bright FLUOR in SST. TG 84U</v>
      </c>
      <c r="F157" s="36">
        <f>IF('Input Sheet'!C159="","",100-'Input Sheet'!C159)</f>
        <v>0</v>
      </c>
      <c r="G1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57" s="36" t="str">
        <f t="shared" si="2"/>
        <v>very fine to medium</v>
      </c>
      <c r="I1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57" s="36" t="str">
        <f>IF('Input Sheet'!F159=0, "NO",CONCATENATE('Input Sheet'!F159, IF('Input Sheet'!F159&gt;0,"% ","")))</f>
        <v xml:space="preserve">100% </v>
      </c>
      <c r="K1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7" s="36" t="str">
        <f>CONCATENATE(K157, IF('Input Sheet'!I159="",""," siderite in "))</f>
        <v/>
      </c>
      <c r="M1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7" s="36" t="str">
        <f>CONCATENATE(M157, IF('Input Sheet'!J159="",""," siderite in "))</f>
        <v/>
      </c>
    </row>
    <row r="158" spans="1:14" x14ac:dyDescent="0.25">
      <c r="A158" s="51" t="str">
        <f>IF('Input Sheet'!C160="","",CONCATENATE("Sample ", 'Input Sheet'!B160, "m: ", L158, F158, "% ", "Siltstone, ", N158, 'Input Sheet'!C160, "% ", H158, " Sandstone, ", J158, I158, " FLUOR in SST. ", "TG ", 'Input Sheet'!H160, "U"))</f>
        <v>Sample 2635m: 5% Siltstone, 95% very fine to medium Sandstone, 100% bright FLUOR in SST. TG 66.8U</v>
      </c>
      <c r="F158" s="36">
        <f>IF('Input Sheet'!C160="","",100-'Input Sheet'!C160)</f>
        <v>5</v>
      </c>
      <c r="G1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58" s="36" t="str">
        <f t="shared" si="2"/>
        <v>very fine to medium</v>
      </c>
      <c r="I1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58" s="36" t="str">
        <f>IF('Input Sheet'!F160=0, "NO",CONCATENATE('Input Sheet'!F160, IF('Input Sheet'!F160&gt;0,"% ","")))</f>
        <v xml:space="preserve">100% </v>
      </c>
      <c r="K1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8" s="36" t="str">
        <f>CONCATENATE(K158, IF('Input Sheet'!I160="",""," siderite in "))</f>
        <v/>
      </c>
      <c r="M1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8" s="36" t="str">
        <f>CONCATENATE(M158, IF('Input Sheet'!J160="",""," siderite in "))</f>
        <v/>
      </c>
    </row>
    <row r="159" spans="1:14" x14ac:dyDescent="0.25">
      <c r="A159" s="51" t="str">
        <f>IF('Input Sheet'!C161="","",CONCATENATE("Sample ", 'Input Sheet'!B161, "m: ", L159, F159, "% ", "Siltstone, ", N159, 'Input Sheet'!C161, "% ", H159, " Sandstone, ", J159, I159, " FLUOR in SST. ", "TG ", 'Input Sheet'!H161, "U"))</f>
        <v>Sample 2640m: 5% Siltstone, 95% very fine to medium Sandstone, 100% bright FLUOR in SST. TG 62.1U</v>
      </c>
      <c r="F159" s="36">
        <f>IF('Input Sheet'!C161="","",100-'Input Sheet'!C161)</f>
        <v>5</v>
      </c>
      <c r="G1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59" s="36" t="str">
        <f t="shared" si="2"/>
        <v>very fine to medium</v>
      </c>
      <c r="I1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59" s="36" t="str">
        <f>IF('Input Sheet'!F161=0, "NO",CONCATENATE('Input Sheet'!F161, IF('Input Sheet'!F161&gt;0,"% ","")))</f>
        <v xml:space="preserve">100% </v>
      </c>
      <c r="K1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59" s="36" t="str">
        <f>CONCATENATE(K159, IF('Input Sheet'!I161="",""," siderite in "))</f>
        <v/>
      </c>
      <c r="M1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59" s="36" t="str">
        <f>CONCATENATE(M159, IF('Input Sheet'!J161="",""," siderite in "))</f>
        <v/>
      </c>
    </row>
    <row r="160" spans="1:14" x14ac:dyDescent="0.25">
      <c r="A160" s="51" t="str">
        <f>IF('Input Sheet'!C162="","",CONCATENATE("Sample ", 'Input Sheet'!B162, "m: ", L160, F160, "% ", "Siltstone, ", N160, 'Input Sheet'!C162, "% ", H160, " Sandstone, ", J160, I160, " FLUOR in SST. ", "TG ", 'Input Sheet'!H162, "U"))</f>
        <v>Sample 2645m: 5% Siltstone, 95% very fine to medium Sandstone, 100% moderately bright FLUOR in SST. TG 48.1U</v>
      </c>
      <c r="F160" s="36">
        <f>IF('Input Sheet'!C162="","",100-'Input Sheet'!C162)</f>
        <v>5</v>
      </c>
      <c r="G1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60" s="36" t="str">
        <f t="shared" si="2"/>
        <v>very fine to medium</v>
      </c>
      <c r="I1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60" s="36" t="str">
        <f>IF('Input Sheet'!F162=0, "NO",CONCATENATE('Input Sheet'!F162, IF('Input Sheet'!F162&gt;0,"% ","")))</f>
        <v xml:space="preserve">100% </v>
      </c>
      <c r="K1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0" s="36" t="str">
        <f>CONCATENATE(K160, IF('Input Sheet'!I162="",""," siderite in "))</f>
        <v/>
      </c>
      <c r="M1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0" s="36" t="str">
        <f>CONCATENATE(M160, IF('Input Sheet'!J162="",""," siderite in "))</f>
        <v/>
      </c>
    </row>
    <row r="161" spans="1:14" x14ac:dyDescent="0.25">
      <c r="A161" s="51" t="str">
        <f>IF('Input Sheet'!C163="","",CONCATENATE("Sample ", 'Input Sheet'!B163, "m: ", L161, F161, "% ", "Siltstone, ", N161, 'Input Sheet'!C163, "% ", H161, " Sandstone, ", J161, I161, " FLUOR in SST. ", "TG ", 'Input Sheet'!H163, "U"))</f>
        <v>Sample 2650m: 5% Siltstone, 95% very fine to medium Sandstone, 100% moderately bright FLUOR in SST. TG 68.6U</v>
      </c>
      <c r="F161" s="36">
        <f>IF('Input Sheet'!C163="","",100-'Input Sheet'!C163)</f>
        <v>5</v>
      </c>
      <c r="G1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61" s="36" t="str">
        <f t="shared" si="2"/>
        <v>very fine to medium</v>
      </c>
      <c r="I1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161" s="36" t="str">
        <f>IF('Input Sheet'!F163=0, "NO",CONCATENATE('Input Sheet'!F163, IF('Input Sheet'!F163&gt;0,"% ","")))</f>
        <v xml:space="preserve">100% </v>
      </c>
      <c r="K1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1" s="36" t="str">
        <f>CONCATENATE(K161, IF('Input Sheet'!I163="",""," siderite in "))</f>
        <v/>
      </c>
      <c r="M1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1" s="36" t="str">
        <f>CONCATENATE(M161, IF('Input Sheet'!J163="",""," siderite in "))</f>
        <v/>
      </c>
    </row>
    <row r="162" spans="1:14" x14ac:dyDescent="0.25">
      <c r="A162" s="51" t="str">
        <f>IF('Input Sheet'!C164="","",CONCATENATE("Sample ", 'Input Sheet'!B164, "m: ", L162, F162, "% ", "Siltstone, ", N162, 'Input Sheet'!C164, "% ", H162, " Sandstone, ", J162, I162, " FLUOR in SST. ", "TG ", 'Input Sheet'!H164, "U"))</f>
        <v>Sample 2655m: 5% Siltstone, 95% very fine to medium Sandstone, 100% bright FLUOR in SST. TG 76.5U</v>
      </c>
      <c r="F162" s="36">
        <f>IF('Input Sheet'!C164="","",100-'Input Sheet'!C164)</f>
        <v>5</v>
      </c>
      <c r="G1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62" s="36" t="str">
        <f t="shared" si="2"/>
        <v>very fine to medium</v>
      </c>
      <c r="I1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62" s="36" t="str">
        <f>IF('Input Sheet'!F164=0, "NO",CONCATENATE('Input Sheet'!F164, IF('Input Sheet'!F164&gt;0,"% ","")))</f>
        <v xml:space="preserve">100% </v>
      </c>
      <c r="K1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2" s="36" t="str">
        <f>CONCATENATE(K162, IF('Input Sheet'!I164="",""," siderite in "))</f>
        <v/>
      </c>
      <c r="M1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2" s="36" t="str">
        <f>CONCATENATE(M162, IF('Input Sheet'!J164="",""," siderite in "))</f>
        <v/>
      </c>
    </row>
    <row r="163" spans="1:14" x14ac:dyDescent="0.25">
      <c r="A163" s="51" t="str">
        <f>IF('Input Sheet'!C165="","",CONCATENATE("Sample ", 'Input Sheet'!B165, "m: ", L163, F163, "% ", "Siltstone, ", N163, 'Input Sheet'!C165, "% ", H163, " Sandstone, ", J163, I163, " FLUOR in SST. ", "TG ", 'Input Sheet'!H165, "U"))</f>
        <v>Sample 2660m: 5% Siltstone, 95% very fine to medium Sandstone, 100% bright FLUOR in SST. TG 79.1U</v>
      </c>
      <c r="F163" s="36">
        <f>IF('Input Sheet'!C165="","",100-'Input Sheet'!C165)</f>
        <v>5</v>
      </c>
      <c r="G1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63" s="36" t="str">
        <f t="shared" si="2"/>
        <v>very fine to medium</v>
      </c>
      <c r="I1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63" s="36" t="str">
        <f>IF('Input Sheet'!F165=0, "NO",CONCATENATE('Input Sheet'!F165, IF('Input Sheet'!F165&gt;0,"% ","")))</f>
        <v xml:space="preserve">100% </v>
      </c>
      <c r="K1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3" s="36" t="str">
        <f>CONCATENATE(K163, IF('Input Sheet'!I165="",""," siderite in "))</f>
        <v/>
      </c>
      <c r="M1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3" s="36" t="str">
        <f>CONCATENATE(M163, IF('Input Sheet'!J165="",""," siderite in "))</f>
        <v/>
      </c>
    </row>
    <row r="164" spans="1:14" x14ac:dyDescent="0.25">
      <c r="A164" s="51" t="str">
        <f>IF('Input Sheet'!C166="","",CONCATENATE("Sample ", 'Input Sheet'!B166, "m: ", L164, F164, "% ", "Siltstone, ", N164, 'Input Sheet'!C166, "% ", H164, " Sandstone, ", J164, I164, " FLUOR in SST. ", "TG ", 'Input Sheet'!H166, "U"))</f>
        <v>Sample 2665m: 10% Siltstone, 90% very fine to medium Sandstone, 100% bright FLUOR in SST. TG 52.5U</v>
      </c>
      <c r="F164" s="36">
        <f>IF('Input Sheet'!C166="","",100-'Input Sheet'!C166)</f>
        <v>10</v>
      </c>
      <c r="G1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64" s="36" t="str">
        <f t="shared" si="2"/>
        <v>very fine to medium</v>
      </c>
      <c r="I1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64" s="36" t="str">
        <f>IF('Input Sheet'!F166=0, "NO",CONCATENATE('Input Sheet'!F166, IF('Input Sheet'!F166&gt;0,"% ","")))</f>
        <v xml:space="preserve">100% </v>
      </c>
      <c r="K1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4" s="36" t="str">
        <f>CONCATENATE(K164, IF('Input Sheet'!I166="",""," siderite in "))</f>
        <v/>
      </c>
      <c r="M1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4" s="36" t="str">
        <f>CONCATENATE(M164, IF('Input Sheet'!J166="",""," siderite in "))</f>
        <v/>
      </c>
    </row>
    <row r="165" spans="1:14" x14ac:dyDescent="0.25">
      <c r="A165" s="51" t="str">
        <f>IF('Input Sheet'!C167="","",CONCATENATE("Sample ", 'Input Sheet'!B167, "m: ", L165, F165, "% ", "Siltstone, ", N165, 'Input Sheet'!C167, "% ", H165, " Sandstone, ", J165, I165, " FLUOR in SST. ", "TG ", 'Input Sheet'!H167, "U"))</f>
        <v>Sample 2670m: 10% Siltstone, 90% very fine to medium Sandstone, 100% bright FLUOR in SST. TG 88.5U</v>
      </c>
      <c r="F165" s="36">
        <f>IF('Input Sheet'!C167="","",100-'Input Sheet'!C167)</f>
        <v>10</v>
      </c>
      <c r="G1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65" s="36" t="str">
        <f t="shared" si="2"/>
        <v>very fine to medium</v>
      </c>
      <c r="I1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65" s="36" t="str">
        <f>IF('Input Sheet'!F167=0, "NO",CONCATENATE('Input Sheet'!F167, IF('Input Sheet'!F167&gt;0,"% ","")))</f>
        <v xml:space="preserve">100% </v>
      </c>
      <c r="K1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5" s="36" t="str">
        <f>CONCATENATE(K165, IF('Input Sheet'!I167="",""," siderite in "))</f>
        <v/>
      </c>
      <c r="M1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5" s="36" t="str">
        <f>CONCATENATE(M165, IF('Input Sheet'!J167="",""," siderite in "))</f>
        <v/>
      </c>
    </row>
    <row r="166" spans="1:14" x14ac:dyDescent="0.25">
      <c r="A166" s="51" t="str">
        <f>IF('Input Sheet'!C168="","",CONCATENATE("Sample ", 'Input Sheet'!B168, "m: ", L166, F166, "% ", "Siltstone, ", N166, 'Input Sheet'!C168, "% ", H166, " Sandstone, ", J166, I166, " FLUOR in SST. ", "TG ", 'Input Sheet'!H168, "U"))</f>
        <v>Sample 2675m: 5% Siltstone, 95% very fine to medium Sandstone, 100% bright FLUOR in SST. TG 95.7U</v>
      </c>
      <c r="F166" s="36">
        <f>IF('Input Sheet'!C168="","",100-'Input Sheet'!C168)</f>
        <v>5</v>
      </c>
      <c r="G1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66" s="36" t="str">
        <f t="shared" si="2"/>
        <v>very fine to medium</v>
      </c>
      <c r="I1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66" s="36" t="str">
        <f>IF('Input Sheet'!F168=0, "NO",CONCATENATE('Input Sheet'!F168, IF('Input Sheet'!F168&gt;0,"% ","")))</f>
        <v xml:space="preserve">100% </v>
      </c>
      <c r="K1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6" s="36" t="str">
        <f>CONCATENATE(K166, IF('Input Sheet'!I168="",""," siderite in "))</f>
        <v/>
      </c>
      <c r="M1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6" s="36" t="str">
        <f>CONCATENATE(M166, IF('Input Sheet'!J168="",""," siderite in "))</f>
        <v/>
      </c>
    </row>
    <row r="167" spans="1:14" x14ac:dyDescent="0.25">
      <c r="A167" s="51" t="str">
        <f>IF('Input Sheet'!C169="","",CONCATENATE("Sample ", 'Input Sheet'!B169, "m: ", L167, F167, "% ", "Siltstone, ", N167, 'Input Sheet'!C169, "% ", H167, " Sandstone, ", J167, I167, " FLUOR in SST. ", "TG ", 'Input Sheet'!H169, "U"))</f>
        <v>Sample 2680m: 5% Siltstone, 95% very fine to medium Sandstone, 100% bright FLUOR in SST. TG 100U</v>
      </c>
      <c r="F167" s="36">
        <f>IF('Input Sheet'!C169="","",100-'Input Sheet'!C169)</f>
        <v>5</v>
      </c>
      <c r="G1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67" s="36" t="str">
        <f t="shared" si="2"/>
        <v>very fine to medium</v>
      </c>
      <c r="I1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67" s="36" t="str">
        <f>IF('Input Sheet'!F169=0, "NO",CONCATENATE('Input Sheet'!F169, IF('Input Sheet'!F169&gt;0,"% ","")))</f>
        <v xml:space="preserve">100% </v>
      </c>
      <c r="K1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7" s="36" t="str">
        <f>CONCATENATE(K167, IF('Input Sheet'!I169="",""," siderite in "))</f>
        <v/>
      </c>
      <c r="M1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7" s="36" t="str">
        <f>CONCATENATE(M167, IF('Input Sheet'!J169="",""," siderite in "))</f>
        <v/>
      </c>
    </row>
    <row r="168" spans="1:14" x14ac:dyDescent="0.25">
      <c r="A168" s="51" t="str">
        <f>IF('Input Sheet'!C170="","",CONCATENATE("Sample ", 'Input Sheet'!B170, "m: ", L168, F168, "% ", "Siltstone, ", N168, 'Input Sheet'!C170, "% ", H168, " Sandstone, ", J168, I168, " FLUOR in SST. ", "TG ", 'Input Sheet'!H170, "U"))</f>
        <v>Sample 2685m: 40% Siltstone, 60% very fine to medium Sandstone, 100% moderately bright to bright FLUOR in SST. TG 46U</v>
      </c>
      <c r="F168" s="36">
        <f>IF('Input Sheet'!C170="","",100-'Input Sheet'!C170)</f>
        <v>40</v>
      </c>
      <c r="G1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68" s="36" t="str">
        <f t="shared" si="2"/>
        <v>very fine to medium</v>
      </c>
      <c r="I1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68" s="36" t="str">
        <f>IF('Input Sheet'!F170=0, "NO",CONCATENATE('Input Sheet'!F170, IF('Input Sheet'!F170&gt;0,"% ","")))</f>
        <v xml:space="preserve">100% </v>
      </c>
      <c r="K1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8" s="36" t="str">
        <f>CONCATENATE(K168, IF('Input Sheet'!I170="",""," siderite in "))</f>
        <v/>
      </c>
      <c r="M1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8" s="36" t="str">
        <f>CONCATENATE(M168, IF('Input Sheet'!J170="",""," siderite in "))</f>
        <v/>
      </c>
    </row>
    <row r="169" spans="1:14" x14ac:dyDescent="0.25">
      <c r="A169" s="51" t="str">
        <f>IF('Input Sheet'!C171="","",CONCATENATE("Sample ", 'Input Sheet'!B171, "m: ", L169, F169, "% ", "Siltstone, ", N169, 'Input Sheet'!C171, "% ", H169, " Sandstone, ", J169, I169, " FLUOR in SST. ", "TG ", 'Input Sheet'!H171, "U"))</f>
        <v>Sample 2690m: 40% Siltstone, 60% very fine to medium Sandstone, 100% moderately bright to bright FLUOR in SST. TG 59U</v>
      </c>
      <c r="F169" s="36">
        <f>IF('Input Sheet'!C171="","",100-'Input Sheet'!C171)</f>
        <v>40</v>
      </c>
      <c r="G1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69" s="36" t="str">
        <f t="shared" si="2"/>
        <v>very fine to medium</v>
      </c>
      <c r="I1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69" s="36" t="str">
        <f>IF('Input Sheet'!F171=0, "NO",CONCATENATE('Input Sheet'!F171, IF('Input Sheet'!F171&gt;0,"% ","")))</f>
        <v xml:space="preserve">100% </v>
      </c>
      <c r="K1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69" s="36" t="str">
        <f>CONCATENATE(K169, IF('Input Sheet'!I171="",""," siderite in "))</f>
        <v/>
      </c>
      <c r="M1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69" s="36" t="str">
        <f>CONCATENATE(M169, IF('Input Sheet'!J171="",""," siderite in "))</f>
        <v/>
      </c>
    </row>
    <row r="170" spans="1:14" x14ac:dyDescent="0.25">
      <c r="A170" s="51" t="str">
        <f>IF('Input Sheet'!C172="","",CONCATENATE("Sample ", 'Input Sheet'!B172, "m: ", L170, F170, "% ", "Siltstone, ", N170, 'Input Sheet'!C172, "% ", H170, " Sandstone, ", J170, I170, " FLUOR in SST. ", "TG ", 'Input Sheet'!H172, "U"))</f>
        <v>Sample 2695m: 10% Siltstone, 90% very fine to medium Sandstone, 100% moderately bright to bright FLUOR in SST. TG 64U</v>
      </c>
      <c r="F170" s="36">
        <f>IF('Input Sheet'!C172="","",100-'Input Sheet'!C172)</f>
        <v>10</v>
      </c>
      <c r="G1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70" s="36" t="str">
        <f t="shared" si="2"/>
        <v>very fine to medium</v>
      </c>
      <c r="I1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0" s="36" t="str">
        <f>IF('Input Sheet'!F172=0, "NO",CONCATENATE('Input Sheet'!F172, IF('Input Sheet'!F172&gt;0,"% ","")))</f>
        <v xml:space="preserve">100% </v>
      </c>
      <c r="K1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0" s="36" t="str">
        <f>CONCATENATE(K170, IF('Input Sheet'!I172="",""," siderite in "))</f>
        <v/>
      </c>
      <c r="M1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0" s="36" t="str">
        <f>CONCATENATE(M170, IF('Input Sheet'!J172="",""," siderite in "))</f>
        <v/>
      </c>
    </row>
    <row r="171" spans="1:14" x14ac:dyDescent="0.25">
      <c r="A171" s="51" t="str">
        <f>IF('Input Sheet'!C173="","",CONCATENATE("Sample ", 'Input Sheet'!B173, "m: ", L171, F171, "% ", "Siltstone, ", N171, 'Input Sheet'!C173, "% ", H171, " Sandstone, ", J171, I171, " FLUOR in SST. ", "TG ", 'Input Sheet'!H173, "U"))</f>
        <v>Sample 2700m: 10% Siltstone, 90% very fine to medium Sandstone, 100% moderately bright to bright FLUOR in SST. TG 72U</v>
      </c>
      <c r="F171" s="36">
        <f>IF('Input Sheet'!C173="","",100-'Input Sheet'!C173)</f>
        <v>10</v>
      </c>
      <c r="G1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71" s="36" t="str">
        <f t="shared" si="2"/>
        <v>very fine to medium</v>
      </c>
      <c r="I1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1" s="36" t="str">
        <f>IF('Input Sheet'!F173=0, "NO",CONCATENATE('Input Sheet'!F173, IF('Input Sheet'!F173&gt;0,"% ","")))</f>
        <v xml:space="preserve">100% </v>
      </c>
      <c r="K1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1" s="36" t="str">
        <f>CONCATENATE(K171, IF('Input Sheet'!I173="",""," siderite in "))</f>
        <v/>
      </c>
      <c r="M1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1" s="36" t="str">
        <f>CONCATENATE(M171, IF('Input Sheet'!J173="",""," siderite in "))</f>
        <v/>
      </c>
    </row>
    <row r="172" spans="1:14" x14ac:dyDescent="0.25">
      <c r="A172" s="51" t="str">
        <f>IF('Input Sheet'!C174="","",CONCATENATE("Sample ", 'Input Sheet'!B174, "m: ", L172, F172, "% ", "Siltstone, ", N172, 'Input Sheet'!C174, "% ", H172, " Sandstone, ", J172, I172, " FLUOR in SST. ", "TG ", 'Input Sheet'!H174, "U"))</f>
        <v>Sample 2705m: 10% Siltstone, 90% very fine to medium Sandstone, 100% moderately bright to bright FLUOR in SST. TG 52U</v>
      </c>
      <c r="F172" s="36">
        <f>IF('Input Sheet'!C174="","",100-'Input Sheet'!C174)</f>
        <v>10</v>
      </c>
      <c r="G1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72" s="36" t="str">
        <f t="shared" si="2"/>
        <v>very fine to medium</v>
      </c>
      <c r="I1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2" s="36" t="str">
        <f>IF('Input Sheet'!F174=0, "NO",CONCATENATE('Input Sheet'!F174, IF('Input Sheet'!F174&gt;0,"% ","")))</f>
        <v xml:space="preserve">100% </v>
      </c>
      <c r="K1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2" s="36" t="str">
        <f>CONCATENATE(K172, IF('Input Sheet'!I174="",""," siderite in "))</f>
        <v/>
      </c>
      <c r="M1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2" s="36" t="str">
        <f>CONCATENATE(M172, IF('Input Sheet'!J174="",""," siderite in "))</f>
        <v/>
      </c>
    </row>
    <row r="173" spans="1:14" x14ac:dyDescent="0.25">
      <c r="A173" s="51" t="str">
        <f>IF('Input Sheet'!C175="","",CONCATENATE("Sample ", 'Input Sheet'!B175, "m: ", L173, F173, "% ", "Siltstone, ", N173, 'Input Sheet'!C175, "% ", H173, " Sandstone, ", J173, I173, " FLUOR in SST. ", "TG ", 'Input Sheet'!H175, "U"))</f>
        <v>Sample 2710m: 10% Siltstone, 90% very fine to medium Sandstone, 100% moderately bright to bright FLUOR in SST. TG 75U</v>
      </c>
      <c r="F173" s="36">
        <f>IF('Input Sheet'!C175="","",100-'Input Sheet'!C175)</f>
        <v>10</v>
      </c>
      <c r="G1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73" s="36" t="str">
        <f t="shared" si="2"/>
        <v>very fine to medium</v>
      </c>
      <c r="I1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3" s="36" t="str">
        <f>IF('Input Sheet'!F175=0, "NO",CONCATENATE('Input Sheet'!F175, IF('Input Sheet'!F175&gt;0,"% ","")))</f>
        <v xml:space="preserve">100% </v>
      </c>
      <c r="K1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3" s="36" t="str">
        <f>CONCATENATE(K173, IF('Input Sheet'!I175="",""," siderite in "))</f>
        <v/>
      </c>
      <c r="M1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3" s="36" t="str">
        <f>CONCATENATE(M173, IF('Input Sheet'!J175="",""," siderite in "))</f>
        <v/>
      </c>
    </row>
    <row r="174" spans="1:14" x14ac:dyDescent="0.25">
      <c r="A174" s="51" t="str">
        <f>IF('Input Sheet'!C176="","",CONCATENATE("Sample ", 'Input Sheet'!B176, "m: ", L174, F174, "% ", "Siltstone, ", N174, 'Input Sheet'!C176, "% ", H174, " Sandstone, ", J174, I174, " FLUOR in SST. ", "TG ", 'Input Sheet'!H176, "U"))</f>
        <v>Sample 2715m: 10% Siltstone, 90% very fine to medium Sandstone, 100% moderately bright to bright FLUOR in SST. TG 77U</v>
      </c>
      <c r="F174" s="36">
        <f>IF('Input Sheet'!C176="","",100-'Input Sheet'!C176)</f>
        <v>10</v>
      </c>
      <c r="G1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74" s="36" t="str">
        <f t="shared" si="2"/>
        <v>very fine to medium</v>
      </c>
      <c r="I1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4" s="36" t="str">
        <f>IF('Input Sheet'!F176=0, "NO",CONCATENATE('Input Sheet'!F176, IF('Input Sheet'!F176&gt;0,"% ","")))</f>
        <v xml:space="preserve">100% </v>
      </c>
      <c r="K1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4" s="36" t="str">
        <f>CONCATENATE(K174, IF('Input Sheet'!I176="",""," siderite in "))</f>
        <v/>
      </c>
      <c r="M1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4" s="36" t="str">
        <f>CONCATENATE(M174, IF('Input Sheet'!J176="",""," siderite in "))</f>
        <v/>
      </c>
    </row>
    <row r="175" spans="1:14" x14ac:dyDescent="0.25">
      <c r="A175" s="51" t="str">
        <f>IF('Input Sheet'!C177="","",CONCATENATE("Sample ", 'Input Sheet'!B177, "m: ", L175, F175, "% ", "Siltstone, ", N175, 'Input Sheet'!C177, "% ", H175, " Sandstone, ", J175, I175, " FLUOR in SST. ", "TG ", 'Input Sheet'!H177, "U"))</f>
        <v>Sample 2720m: 10% Siltstone, 90% very fine to medium Sandstone, 100% moderately bright to bright FLUOR in SST. TG 68U</v>
      </c>
      <c r="F175" s="36">
        <f>IF('Input Sheet'!C177="","",100-'Input Sheet'!C177)</f>
        <v>10</v>
      </c>
      <c r="G1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75" s="36" t="str">
        <f t="shared" si="2"/>
        <v>very fine to medium</v>
      </c>
      <c r="I1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5" s="36" t="str">
        <f>IF('Input Sheet'!F177=0, "NO",CONCATENATE('Input Sheet'!F177, IF('Input Sheet'!F177&gt;0,"% ","")))</f>
        <v xml:space="preserve">100% </v>
      </c>
      <c r="K1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5" s="36" t="str">
        <f>CONCATENATE(K175, IF('Input Sheet'!I177="",""," siderite in "))</f>
        <v/>
      </c>
      <c r="M1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5" s="36" t="str">
        <f>CONCATENATE(M175, IF('Input Sheet'!J177="",""," siderite in "))</f>
        <v/>
      </c>
    </row>
    <row r="176" spans="1:14" x14ac:dyDescent="0.25">
      <c r="A176" s="51" t="str">
        <f>IF('Input Sheet'!C178="","",CONCATENATE("Sample ", 'Input Sheet'!B178, "m: ", L176, F176, "% ", "Siltstone, ", N176, 'Input Sheet'!C178, "% ", H176, " Sandstone, ", J176, I176, " FLUOR in SST. ", "TG ", 'Input Sheet'!H178, "U"))</f>
        <v>Sample 2725m: 40% Siltstone, 60% very fine to medium Sandstone, 100% moderately bright to bright FLUOR in SST. TG 81U</v>
      </c>
      <c r="F176" s="36">
        <f>IF('Input Sheet'!C178="","",100-'Input Sheet'!C178)</f>
        <v>40</v>
      </c>
      <c r="G1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76" s="36" t="str">
        <f t="shared" si="2"/>
        <v>very fine to medium</v>
      </c>
      <c r="I1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6" s="36" t="str">
        <f>IF('Input Sheet'!F178=0, "NO",CONCATENATE('Input Sheet'!F178, IF('Input Sheet'!F178&gt;0,"% ","")))</f>
        <v xml:space="preserve">100% </v>
      </c>
      <c r="K1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6" s="36" t="str">
        <f>CONCATENATE(K176, IF('Input Sheet'!I178="",""," siderite in "))</f>
        <v/>
      </c>
      <c r="M1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6" s="36" t="str">
        <f>CONCATENATE(M176, IF('Input Sheet'!J178="",""," siderite in "))</f>
        <v/>
      </c>
    </row>
    <row r="177" spans="1:14" x14ac:dyDescent="0.25">
      <c r="A177" s="51" t="str">
        <f>IF('Input Sheet'!C179="","",CONCATENATE("Sample ", 'Input Sheet'!B179, "m: ", L177, F177, "% ", "Siltstone, ", N177, 'Input Sheet'!C179, "% ", H177, " Sandstone, ", J177, I177, " FLUOR in SST. ", "TG ", 'Input Sheet'!H179, "U"))</f>
        <v>Sample 2730m: 50% Siltstone, 50% very fine to medium Sandstone, 100% moderately bright to bright FLUOR in SST. TG 92U</v>
      </c>
      <c r="F177" s="36">
        <f>IF('Input Sheet'!C179="","",100-'Input Sheet'!C179)</f>
        <v>50</v>
      </c>
      <c r="G1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77" s="36" t="str">
        <f t="shared" si="2"/>
        <v>very fine to medium</v>
      </c>
      <c r="I1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7" s="36" t="str">
        <f>IF('Input Sheet'!F179=0, "NO",CONCATENATE('Input Sheet'!F179, IF('Input Sheet'!F179&gt;0,"% ","")))</f>
        <v xml:space="preserve">100% </v>
      </c>
      <c r="K1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7" s="36" t="str">
        <f>CONCATENATE(K177, IF('Input Sheet'!I179="",""," siderite in "))</f>
        <v/>
      </c>
      <c r="M1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7" s="36" t="str">
        <f>CONCATENATE(M177, IF('Input Sheet'!J179="",""," siderite in "))</f>
        <v/>
      </c>
    </row>
    <row r="178" spans="1:14" x14ac:dyDescent="0.25">
      <c r="A178" s="51" t="str">
        <f>IF('Input Sheet'!C180="","",CONCATENATE("Sample ", 'Input Sheet'!B180, "m: ", L178, F178, "% ", "Siltstone, ", N178, 'Input Sheet'!C180, "% ", H178, " Sandstone, ", J178, I178, " FLUOR in SST. ", "TG ", 'Input Sheet'!H180, "U"))</f>
        <v>Sample 2735m: 10% Siltstone, 90% very fine to medium Sandstone, 100% moderately bright to bright FLUOR in SST. TG 102U</v>
      </c>
      <c r="F178" s="36">
        <f>IF('Input Sheet'!C180="","",100-'Input Sheet'!C180)</f>
        <v>10</v>
      </c>
      <c r="G1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78" s="36" t="str">
        <f t="shared" si="2"/>
        <v>very fine to medium</v>
      </c>
      <c r="I1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8" s="36" t="str">
        <f>IF('Input Sheet'!F180=0, "NO",CONCATENATE('Input Sheet'!F180, IF('Input Sheet'!F180&gt;0,"% ","")))</f>
        <v xml:space="preserve">100% </v>
      </c>
      <c r="K1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8" s="36" t="str">
        <f>CONCATENATE(K178, IF('Input Sheet'!I180="",""," siderite in "))</f>
        <v/>
      </c>
      <c r="M1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8" s="36" t="str">
        <f>CONCATENATE(M178, IF('Input Sheet'!J180="",""," siderite in "))</f>
        <v/>
      </c>
    </row>
    <row r="179" spans="1:14" x14ac:dyDescent="0.25">
      <c r="A179" s="51" t="str">
        <f>IF('Input Sheet'!C181="","",CONCATENATE("Sample ", 'Input Sheet'!B181, "m: ", L179, F179, "% ", "Siltstone, ", N179, 'Input Sheet'!C181, "% ", H179, " Sandstone, ", J179, I179, " FLUOR in SST. ", "TG ", 'Input Sheet'!H181, "U"))</f>
        <v>Sample 2740m: 10% Siltstone, 90% very fine to medium Sandstone, 100% moderately bright to bright FLUOR in SST. TG 102U</v>
      </c>
      <c r="F179" s="36">
        <f>IF('Input Sheet'!C181="","",100-'Input Sheet'!C181)</f>
        <v>10</v>
      </c>
      <c r="G1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79" s="36" t="str">
        <f t="shared" si="2"/>
        <v>very fine to medium</v>
      </c>
      <c r="I1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79" s="36" t="str">
        <f>IF('Input Sheet'!F181=0, "NO",CONCATENATE('Input Sheet'!F181, IF('Input Sheet'!F181&gt;0,"% ","")))</f>
        <v xml:space="preserve">100% </v>
      </c>
      <c r="K1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79" s="36" t="str">
        <f>CONCATENATE(K179, IF('Input Sheet'!I181="",""," siderite in "))</f>
        <v/>
      </c>
      <c r="M1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79" s="36" t="str">
        <f>CONCATENATE(M179, IF('Input Sheet'!J181="",""," siderite in "))</f>
        <v/>
      </c>
    </row>
    <row r="180" spans="1:14" x14ac:dyDescent="0.25">
      <c r="A180" s="51" t="str">
        <f>IF('Input Sheet'!C182="","",CONCATENATE("Sample ", 'Input Sheet'!B182, "m: ", L180, F180, "% ", "Siltstone, ", N180, 'Input Sheet'!C182, "% ", H180, " Sandstone, ", J180, I180, " FLUOR in SST. ", "TG ", 'Input Sheet'!H182, "U"))</f>
        <v>Sample 2745m: 20% Siltstone, 80% very fine to medium Sandstone, 100% moderately bright to bright FLUOR in SST. TG 76U</v>
      </c>
      <c r="F180" s="36">
        <f>IF('Input Sheet'!C182="","",100-'Input Sheet'!C182)</f>
        <v>20</v>
      </c>
      <c r="G1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80" s="36" t="str">
        <f t="shared" si="2"/>
        <v>very fine to medium</v>
      </c>
      <c r="I1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80" s="36" t="str">
        <f>IF('Input Sheet'!F182=0, "NO",CONCATENATE('Input Sheet'!F182, IF('Input Sheet'!F182&gt;0,"% ","")))</f>
        <v xml:space="preserve">100% </v>
      </c>
      <c r="K1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0" s="36" t="str">
        <f>CONCATENATE(K180, IF('Input Sheet'!I182="",""," siderite in "))</f>
        <v/>
      </c>
      <c r="M1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0" s="36" t="str">
        <f>CONCATENATE(M180, IF('Input Sheet'!J182="",""," siderite in "))</f>
        <v/>
      </c>
    </row>
    <row r="181" spans="1:14" x14ac:dyDescent="0.25">
      <c r="A181" s="51" t="str">
        <f>IF('Input Sheet'!C183="","",CONCATENATE("Sample ", 'Input Sheet'!B183, "m: ", L181, F181, "% ", "Siltstone, ", N181, 'Input Sheet'!C183, "% ", H181, " Sandstone, ", J181, I181, " FLUOR in SST. ", "TG ", 'Input Sheet'!H183, "U"))</f>
        <v>Sample 2750m: 20% Siltstone, 80% very fine to medium Sandstone, 100% moderately bright to bright FLUOR in SST. TG 70U</v>
      </c>
      <c r="F181" s="36">
        <f>IF('Input Sheet'!C183="","",100-'Input Sheet'!C183)</f>
        <v>20</v>
      </c>
      <c r="G1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81" s="36" t="str">
        <f t="shared" si="2"/>
        <v>very fine to medium</v>
      </c>
      <c r="I1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 to bright</v>
      </c>
      <c r="J181" s="36" t="str">
        <f>IF('Input Sheet'!F183=0, "NO",CONCATENATE('Input Sheet'!F183, IF('Input Sheet'!F183&gt;0,"% ","")))</f>
        <v xml:space="preserve">100% </v>
      </c>
      <c r="K1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1" s="36" t="str">
        <f>CONCATENATE(K181, IF('Input Sheet'!I183="",""," siderite in "))</f>
        <v/>
      </c>
      <c r="M1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1" s="36" t="str">
        <f>CONCATENATE(M181, IF('Input Sheet'!J183="",""," siderite in "))</f>
        <v/>
      </c>
    </row>
    <row r="182" spans="1:14" x14ac:dyDescent="0.25">
      <c r="A182" s="51" t="str">
        <f>IF('Input Sheet'!C185="","",CONCATENATE("Sample ", 'Input Sheet'!B185, "m: ", L182, F182, "% ", "Siltstone, ", N182, 'Input Sheet'!C185, "% ", H182, " Sandstone, ", J182, I182, " FLUOR in SST. ", "TG ", 'Input Sheet'!H185, "U"))</f>
        <v>Sample 2760m: 20% Siltstone, 80% fine to medium Sandstone, 100% bright FLUOR in SST. TG 42U</v>
      </c>
      <c r="F182" s="36">
        <f>IF('Input Sheet'!C185="","",100-'Input Sheet'!C185)</f>
        <v>20</v>
      </c>
      <c r="G1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82" s="36" t="str">
        <f t="shared" si="2"/>
        <v>fine to medium</v>
      </c>
      <c r="I1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82" s="36" t="str">
        <f>IF('Input Sheet'!F185=0, "NO",CONCATENATE('Input Sheet'!F185, IF('Input Sheet'!F185&gt;0,"% ","")))</f>
        <v xml:space="preserve">100% </v>
      </c>
      <c r="K1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2" s="36" t="str">
        <f>CONCATENATE(K182, IF('Input Sheet'!I185="",""," siderite in "))</f>
        <v/>
      </c>
      <c r="M1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2" s="36" t="str">
        <f>CONCATENATE(M182, IF('Input Sheet'!J185="",""," siderite in "))</f>
        <v/>
      </c>
    </row>
    <row r="183" spans="1:14" x14ac:dyDescent="0.25">
      <c r="A183" s="51" t="str">
        <f>IF('Input Sheet'!C187="","",CONCATENATE("Sample ", 'Input Sheet'!B187, "m: ", L183, F183, "% ", "Siltstone, ", N183, 'Input Sheet'!C187, "% ", H183, " Sandstone, ", J183, I183, " FLUOR in SST. ", "TG ", 'Input Sheet'!H187, "U"))</f>
        <v>Sample 2770m: 15% Siltstone, 85% fine to medium Sandstone, 100% bright FLUOR in SST. TG 63U</v>
      </c>
      <c r="F183" s="36">
        <f>IF('Input Sheet'!C187="","",100-'Input Sheet'!C187)</f>
        <v>15</v>
      </c>
      <c r="G1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83" s="36" t="str">
        <f t="shared" si="2"/>
        <v>fine to medium</v>
      </c>
      <c r="I1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83" s="36" t="str">
        <f>IF('Input Sheet'!F187=0, "NO",CONCATENATE('Input Sheet'!F187, IF('Input Sheet'!F187&gt;0,"% ","")))</f>
        <v xml:space="preserve">100% </v>
      </c>
      <c r="K1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3" s="36" t="str">
        <f>CONCATENATE(K183, IF('Input Sheet'!I187="",""," siderite in "))</f>
        <v/>
      </c>
      <c r="M1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3" s="36" t="str">
        <f>CONCATENATE(M183, IF('Input Sheet'!J187="",""," siderite in "))</f>
        <v/>
      </c>
    </row>
    <row r="184" spans="1:14" x14ac:dyDescent="0.25">
      <c r="A184" s="51" t="str">
        <f>IF('Input Sheet'!C189="","",CONCATENATE("Sample ", 'Input Sheet'!B189, "m: ", L184, F184, "% ", "Siltstone, ", N184, 'Input Sheet'!C189, "% ", H184, " Sandstone, ", J184, I184, " FLUOR in SST. ", "TG ", 'Input Sheet'!H189, "U"))</f>
        <v>Sample 2780m: 10% Siltstone, 90% very fine to medium Sandstone, 100% bright FLUOR in SST. TG 53U</v>
      </c>
      <c r="F184" s="36">
        <f>IF('Input Sheet'!C189="","",100-'Input Sheet'!C189)</f>
        <v>10</v>
      </c>
      <c r="G1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84" s="36" t="str">
        <f t="shared" si="2"/>
        <v>very fine to medium</v>
      </c>
      <c r="I1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84" s="36" t="str">
        <f>IF('Input Sheet'!F189=0, "NO",CONCATENATE('Input Sheet'!F189, IF('Input Sheet'!F189&gt;0,"% ","")))</f>
        <v xml:space="preserve">100% </v>
      </c>
      <c r="K1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4" s="36" t="str">
        <f>CONCATENATE(K184, IF('Input Sheet'!I189="",""," siderite in "))</f>
        <v/>
      </c>
      <c r="M1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4" s="36" t="str">
        <f>CONCATENATE(M184, IF('Input Sheet'!J189="",""," siderite in "))</f>
        <v/>
      </c>
    </row>
    <row r="185" spans="1:14" x14ac:dyDescent="0.25">
      <c r="A185" s="51" t="str">
        <f>IF('Input Sheet'!C191="","",CONCATENATE("Sample ", 'Input Sheet'!B191, "m: ", L185, F185, "% ", "Siltstone, ", N185, 'Input Sheet'!C191, "% ", H185, " Sandstone, ", J185, I185, " FLUOR in SST. ", "TG ", 'Input Sheet'!H191, "U"))</f>
        <v>Sample 2790m: 15% Siltstone, 85% very fine to medium Sandstone, 100% bright FLUOR in SST. TG 108U</v>
      </c>
      <c r="F185" s="36">
        <f>IF('Input Sheet'!C191="","",100-'Input Sheet'!C191)</f>
        <v>15</v>
      </c>
      <c r="G1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85" s="36" t="str">
        <f t="shared" si="2"/>
        <v>very fine to medium</v>
      </c>
      <c r="I1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85" s="36" t="str">
        <f>IF('Input Sheet'!F191=0, "NO",CONCATENATE('Input Sheet'!F191, IF('Input Sheet'!F191&gt;0,"% ","")))</f>
        <v xml:space="preserve">100% </v>
      </c>
      <c r="K1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5" s="36" t="str">
        <f>CONCATENATE(K185, IF('Input Sheet'!I191="",""," siderite in "))</f>
        <v/>
      </c>
      <c r="M1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5" s="36" t="str">
        <f>CONCATENATE(M185, IF('Input Sheet'!J191="",""," siderite in "))</f>
        <v/>
      </c>
    </row>
    <row r="186" spans="1:14" x14ac:dyDescent="0.25">
      <c r="A186" s="51" t="str">
        <f>IF('Input Sheet'!C193="","",CONCATENATE("Sample ", 'Input Sheet'!B193, "m: ", L186, F186, "% ", "Siltstone, ", N186, 'Input Sheet'!C193, "% ", H186, " Sandstone, ", J186, I186, " FLUOR in SST. ", "TG ", 'Input Sheet'!H193, "U"))</f>
        <v>Sample 2800m: 10% Siltstone, 90% very fine to medium Sandstone, 100% bright FLUOR in SST. TG 107U</v>
      </c>
      <c r="F186" s="36">
        <f>IF('Input Sheet'!C193="","",100-'Input Sheet'!C193)</f>
        <v>10</v>
      </c>
      <c r="G1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86" s="36" t="str">
        <f t="shared" si="2"/>
        <v>very fine to medium</v>
      </c>
      <c r="I1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86" s="36" t="str">
        <f>IF('Input Sheet'!F193=0, "NO",CONCATENATE('Input Sheet'!F193, IF('Input Sheet'!F193&gt;0,"% ","")))</f>
        <v xml:space="preserve">100% </v>
      </c>
      <c r="K1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6" s="36" t="str">
        <f>CONCATENATE(K186, IF('Input Sheet'!I193="",""," siderite in "))</f>
        <v/>
      </c>
      <c r="M1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6" s="36" t="str">
        <f>CONCATENATE(M186, IF('Input Sheet'!J193="",""," siderite in "))</f>
        <v/>
      </c>
    </row>
    <row r="187" spans="1:14" x14ac:dyDescent="0.25">
      <c r="A187" s="51" t="str">
        <f>IF('Input Sheet'!C195="","",CONCATENATE("Sample ", 'Input Sheet'!B195, "m: ", L187, F187, "% ", "Siltstone, ", N187, 'Input Sheet'!C195, "% ", H187, " Sandstone, ", J187, I187, " FLUOR in SST. ", "TG ", 'Input Sheet'!H195, "U"))</f>
        <v>Sample 2810m: 5% Siltstone, 95% very fine to medium Sandstone, 100% bright FLUOR in SST. TG 76U</v>
      </c>
      <c r="F187" s="36">
        <f>IF('Input Sheet'!C195="","",100-'Input Sheet'!C195)</f>
        <v>5</v>
      </c>
      <c r="G1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87" s="36" t="str">
        <f t="shared" si="2"/>
        <v>very fine to medium</v>
      </c>
      <c r="I1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87" s="36" t="str">
        <f>IF('Input Sheet'!F195=0, "NO",CONCATENATE('Input Sheet'!F195, IF('Input Sheet'!F195&gt;0,"% ","")))</f>
        <v xml:space="preserve">100% </v>
      </c>
      <c r="K1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7" s="36" t="str">
        <f>CONCATENATE(K187, IF('Input Sheet'!I195="",""," siderite in "))</f>
        <v/>
      </c>
      <c r="M1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7" s="36" t="str">
        <f>CONCATENATE(M187, IF('Input Sheet'!J195="",""," siderite in "))</f>
        <v/>
      </c>
    </row>
    <row r="188" spans="1:14" x14ac:dyDescent="0.25">
      <c r="A188" s="51" t="str">
        <f>IF('Input Sheet'!C197="","",CONCATENATE("Sample ", 'Input Sheet'!B197, "m: ", L188, F188, "% ", "Siltstone, ", N188, 'Input Sheet'!C197, "% ", H188, " Sandstone, ", J188, I188, " FLUOR in SST. ", "TG ", 'Input Sheet'!H197, "U"))</f>
        <v>Sample 2820m: 10% Siltstone, 90% very fine to medium Sandstone, 100% bright FLUOR in SST. TG 88U</v>
      </c>
      <c r="F188" s="36">
        <f>IF('Input Sheet'!C197="","",100-'Input Sheet'!C197)</f>
        <v>10</v>
      </c>
      <c r="G1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88" s="36" t="str">
        <f t="shared" si="2"/>
        <v>very fine to medium</v>
      </c>
      <c r="I1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88" s="36" t="str">
        <f>IF('Input Sheet'!F197=0, "NO",CONCATENATE('Input Sheet'!F197, IF('Input Sheet'!F197&gt;0,"% ","")))</f>
        <v xml:space="preserve">100% </v>
      </c>
      <c r="K1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8" s="36" t="str">
        <f>CONCATENATE(K188, IF('Input Sheet'!I197="",""," siderite in "))</f>
        <v/>
      </c>
      <c r="M1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8" s="36" t="str">
        <f>CONCATENATE(M188, IF('Input Sheet'!J197="",""," siderite in "))</f>
        <v/>
      </c>
    </row>
    <row r="189" spans="1:14" x14ac:dyDescent="0.25">
      <c r="A189" s="51" t="str">
        <f>IF('Input Sheet'!C199="","",CONCATENATE("Sample ", 'Input Sheet'!B199, "m: ", L189, F189, "% ", "Siltstone, ", N189, 'Input Sheet'!C199, "% ", H189, " Sandstone, ", J189, I189, " FLUOR in SST. ", "TG ", 'Input Sheet'!H199, "U"))</f>
        <v>Sample 2830m: 10% Siltstone, 90% very fine to medium Sandstone, 100% bright FLUOR in SST. TG 67U</v>
      </c>
      <c r="F189" s="36">
        <f>IF('Input Sheet'!C199="","",100-'Input Sheet'!C199)</f>
        <v>10</v>
      </c>
      <c r="G1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89" s="36" t="str">
        <f t="shared" si="2"/>
        <v>very fine to medium</v>
      </c>
      <c r="I1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89" s="36" t="str">
        <f>IF('Input Sheet'!F199=0, "NO",CONCATENATE('Input Sheet'!F199, IF('Input Sheet'!F199&gt;0,"% ","")))</f>
        <v xml:space="preserve">100% </v>
      </c>
      <c r="K1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89" s="36" t="str">
        <f>CONCATENATE(K189, IF('Input Sheet'!I199="",""," siderite in "))</f>
        <v/>
      </c>
      <c r="M1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89" s="36" t="str">
        <f>CONCATENATE(M189, IF('Input Sheet'!J199="",""," siderite in "))</f>
        <v/>
      </c>
    </row>
    <row r="190" spans="1:14" x14ac:dyDescent="0.25">
      <c r="A190" s="51" t="str">
        <f>IF('Input Sheet'!C201="","",CONCATENATE("Sample ", 'Input Sheet'!B201, "m: ", L190, F190, "% ", "Siltstone, ", N190, 'Input Sheet'!C201, "% ", H190, " Sandstone, ", J190, I190, " FLUOR in SST. ", "TG ", 'Input Sheet'!H201, "U"))</f>
        <v>Sample 2840m: 5% Siltstone, 95% very fine to medium Sandstone, 100% bright FLUOR in SST. TG 123U</v>
      </c>
      <c r="F190" s="36">
        <f>IF('Input Sheet'!C201="","",100-'Input Sheet'!C201)</f>
        <v>5</v>
      </c>
      <c r="G1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90" s="36" t="str">
        <f t="shared" si="2"/>
        <v>very fine to medium</v>
      </c>
      <c r="I1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90" s="36" t="str">
        <f>IF('Input Sheet'!F201=0, "NO",CONCATENATE('Input Sheet'!F201, IF('Input Sheet'!F201&gt;0,"% ","")))</f>
        <v xml:space="preserve">100% </v>
      </c>
      <c r="K1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0" s="36" t="str">
        <f>CONCATENATE(K190, IF('Input Sheet'!I201="",""," siderite in "))</f>
        <v/>
      </c>
      <c r="M1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0" s="36" t="str">
        <f>CONCATENATE(M190, IF('Input Sheet'!J201="",""," siderite in "))</f>
        <v/>
      </c>
    </row>
    <row r="191" spans="1:14" x14ac:dyDescent="0.25">
      <c r="A191" s="51" t="str">
        <f>IF('Input Sheet'!C203="","",CONCATENATE("Sample ", 'Input Sheet'!B203, "m: ", L191, F191, "% ", "Siltstone, ", N191, 'Input Sheet'!C203, "% ", H191, " Sandstone, ", J191, I191, " FLUOR in SST. ", "TG ", 'Input Sheet'!H203, "U"))</f>
        <v>Sample 2850m: 5% Siltstone, 95% very fine to medium Sandstone, 100% bright FLUOR in SST. TG 114U</v>
      </c>
      <c r="F191" s="36">
        <f>IF('Input Sheet'!C203="","",100-'Input Sheet'!C203)</f>
        <v>5</v>
      </c>
      <c r="G1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91" s="36" t="str">
        <f t="shared" si="2"/>
        <v>very fine to medium</v>
      </c>
      <c r="I1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91" s="36" t="str">
        <f>IF('Input Sheet'!F203=0, "NO",CONCATENATE('Input Sheet'!F203, IF('Input Sheet'!F203&gt;0,"% ","")))</f>
        <v xml:space="preserve">100% </v>
      </c>
      <c r="K1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1" s="36" t="str">
        <f>CONCATENATE(K191, IF('Input Sheet'!I203="",""," siderite in "))</f>
        <v/>
      </c>
      <c r="M1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1" s="36" t="str">
        <f>CONCATENATE(M191, IF('Input Sheet'!J203="",""," siderite in "))</f>
        <v/>
      </c>
    </row>
    <row r="192" spans="1:14" x14ac:dyDescent="0.25">
      <c r="A192" s="51" t="str">
        <f>IF('Input Sheet'!C205="","",CONCATENATE("Sample ", 'Input Sheet'!B205, "m: ", L192, F192, "% ", "Siltstone, ", N192, 'Input Sheet'!C205, "% ", H192, " Sandstone, ", J192, I192, " FLUOR in SST. ", "TG ", 'Input Sheet'!H205, "U"))</f>
        <v>Sample 2860m: 15% Siltstone, 85% very fine to medium Sandstone, 100% bright FLUOR in SST. TG 136U</v>
      </c>
      <c r="F192" s="36">
        <f>IF('Input Sheet'!C205="","",100-'Input Sheet'!C205)</f>
        <v>15</v>
      </c>
      <c r="G1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92" s="36" t="str">
        <f t="shared" si="2"/>
        <v>very fine to medium</v>
      </c>
      <c r="I1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92" s="36" t="str">
        <f>IF('Input Sheet'!F205=0, "NO",CONCATENATE('Input Sheet'!F205, IF('Input Sheet'!F205&gt;0,"% ","")))</f>
        <v xml:space="preserve">100% </v>
      </c>
      <c r="K1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2" s="36" t="str">
        <f>CONCATENATE(K192, IF('Input Sheet'!I205="",""," siderite in "))</f>
        <v/>
      </c>
      <c r="M1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2" s="36" t="str">
        <f>CONCATENATE(M192, IF('Input Sheet'!J205="",""," siderite in "))</f>
        <v/>
      </c>
    </row>
    <row r="193" spans="1:14" x14ac:dyDescent="0.25">
      <c r="A193" s="51" t="str">
        <f>IF('Input Sheet'!C207="","",CONCATENATE("Sample ", 'Input Sheet'!B207, "m: ", L193, F193, "% ", "Siltstone, ", N193, 'Input Sheet'!C207, "% ", H193, " Sandstone, ", J193, I193, " FLUOR in SST. ", "TG ", 'Input Sheet'!H207, "U"))</f>
        <v>Sample 2870m: 10% Siltstone, 90% very fine to medium Sandstone, 100% bright FLUOR in SST. TG 88U</v>
      </c>
      <c r="F193" s="36">
        <f>IF('Input Sheet'!C207="","",100-'Input Sheet'!C207)</f>
        <v>10</v>
      </c>
      <c r="G1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93" s="36" t="str">
        <f t="shared" si="2"/>
        <v>very fine to medium</v>
      </c>
      <c r="I1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93" s="36" t="str">
        <f>IF('Input Sheet'!F207=0, "NO",CONCATENATE('Input Sheet'!F207, IF('Input Sheet'!F207&gt;0,"% ","")))</f>
        <v xml:space="preserve">100% </v>
      </c>
      <c r="K1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3" s="36" t="str">
        <f>CONCATENATE(K193, IF('Input Sheet'!I207="",""," siderite in "))</f>
        <v/>
      </c>
      <c r="M1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3" s="36" t="str">
        <f>CONCATENATE(M193, IF('Input Sheet'!J207="",""," siderite in "))</f>
        <v/>
      </c>
    </row>
    <row r="194" spans="1:14" x14ac:dyDescent="0.25">
      <c r="A194" s="51" t="str">
        <f>IF('Input Sheet'!C209="","",CONCATENATE("Sample ", 'Input Sheet'!B209, "m: ", L194, F194, "% ", "Siltstone, ", N194, 'Input Sheet'!C209, "% ", H194, " Sandstone, ", J194, I194, " FLUOR in SST. ", "TG ", 'Input Sheet'!H209, "U"))</f>
        <v>Sample 2880m: 15% Siltstone, 85% very fine to medium Sandstone, 100% bright FLUOR in SST. TG 89U</v>
      </c>
      <c r="F194" s="36">
        <f>IF('Input Sheet'!C209="","",100-'Input Sheet'!C209)</f>
        <v>15</v>
      </c>
      <c r="G1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94" s="36" t="str">
        <f t="shared" ref="H194:H257" si="3">SUBSTITUTE(G194, "veryfine", "very fine")</f>
        <v>very fine to medium</v>
      </c>
      <c r="I1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94" s="36" t="str">
        <f>IF('Input Sheet'!F209=0, "NO",CONCATENATE('Input Sheet'!F209, IF('Input Sheet'!F209&gt;0,"% ","")))</f>
        <v xml:space="preserve">100% </v>
      </c>
      <c r="K1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4" s="36" t="str">
        <f>CONCATENATE(K194, IF('Input Sheet'!I209="",""," siderite in "))</f>
        <v/>
      </c>
      <c r="M1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4" s="36" t="str">
        <f>CONCATENATE(M194, IF('Input Sheet'!J209="",""," siderite in "))</f>
        <v/>
      </c>
    </row>
    <row r="195" spans="1:14" x14ac:dyDescent="0.25">
      <c r="A195" s="51" t="str">
        <f>IF('Input Sheet'!C211="","",CONCATENATE("Sample ", 'Input Sheet'!B211, "m: ", L195, F195, "% ", "Siltstone, ", N195, 'Input Sheet'!C211, "% ", H195, " Sandstone, ", J195, I195, " FLUOR in SST. ", "TG ", 'Input Sheet'!H211, "U"))</f>
        <v>Sample 2890m: 10% Siltstone, 90% very fine to medium Sandstone, 100% bright FLUOR in SST. TG 115.5U</v>
      </c>
      <c r="F195" s="36">
        <f>IF('Input Sheet'!C211="","",100-'Input Sheet'!C211)</f>
        <v>10</v>
      </c>
      <c r="G1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195" s="36" t="str">
        <f t="shared" si="3"/>
        <v>very fine to medium</v>
      </c>
      <c r="I1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95" s="36" t="str">
        <f>IF('Input Sheet'!F211=0, "NO",CONCATENATE('Input Sheet'!F211, IF('Input Sheet'!F211&gt;0,"% ","")))</f>
        <v xml:space="preserve">100% </v>
      </c>
      <c r="K1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5" s="36" t="str">
        <f>CONCATENATE(K195, IF('Input Sheet'!I211="",""," siderite in "))</f>
        <v/>
      </c>
      <c r="M1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5" s="36" t="str">
        <f>CONCATENATE(M195, IF('Input Sheet'!J211="",""," siderite in "))</f>
        <v/>
      </c>
    </row>
    <row r="196" spans="1:14" x14ac:dyDescent="0.25">
      <c r="A196" s="51" t="str">
        <f>IF('Input Sheet'!C213="","",CONCATENATE("Sample ", 'Input Sheet'!B213, "m: ", L196, F196, "% ", "Siltstone, ", N196, 'Input Sheet'!C213, "% ", H196, " Sandstone, ", J196, I196, " FLUOR in SST. ", "TG ", 'Input Sheet'!H213, "U"))</f>
        <v>Sample 2900m: 5% Siltstone, 95% fine to medium Sandstone, 100% bright FLUOR in SST. TG 120.4U</v>
      </c>
      <c r="F196" s="36">
        <f>IF('Input Sheet'!C213="","",100-'Input Sheet'!C213)</f>
        <v>5</v>
      </c>
      <c r="G1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96" s="36" t="str">
        <f t="shared" si="3"/>
        <v>fine to medium</v>
      </c>
      <c r="I1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96" s="36" t="str">
        <f>IF('Input Sheet'!F213=0, "NO",CONCATENATE('Input Sheet'!F213, IF('Input Sheet'!F213&gt;0,"% ","")))</f>
        <v xml:space="preserve">100% </v>
      </c>
      <c r="K1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6" s="36" t="str">
        <f>CONCATENATE(K196, IF('Input Sheet'!I213="",""," siderite in "))</f>
        <v/>
      </c>
      <c r="M1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6" s="36" t="str">
        <f>CONCATENATE(M196, IF('Input Sheet'!J213="",""," siderite in "))</f>
        <v/>
      </c>
    </row>
    <row r="197" spans="1:14" x14ac:dyDescent="0.25">
      <c r="A197" s="51" t="str">
        <f>IF('Input Sheet'!C214="","",CONCATENATE("Sample ", 'Input Sheet'!B214, "m: ", L197, F197, "% ", "Siltstone, ", N197, 'Input Sheet'!C214, "% ", H197, " Sandstone, ", J197, I197, " FLUOR in SST. ", "TG ", 'Input Sheet'!H214, "U"))</f>
        <v>Sample 2905m: 5% Siltstone, 95% fine to medium Sandstone, 100% bright FLUOR in SST. TG 114.3U</v>
      </c>
      <c r="F197" s="36">
        <f>IF('Input Sheet'!C214="","",100-'Input Sheet'!C214)</f>
        <v>5</v>
      </c>
      <c r="G1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97" s="36" t="str">
        <f t="shared" si="3"/>
        <v>fine to medium</v>
      </c>
      <c r="I1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97" s="36" t="str">
        <f>IF('Input Sheet'!F214=0, "NO",CONCATENATE('Input Sheet'!F214, IF('Input Sheet'!F214&gt;0,"% ","")))</f>
        <v xml:space="preserve">100% </v>
      </c>
      <c r="K1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7" s="36" t="str">
        <f>CONCATENATE(K197, IF('Input Sheet'!I214="",""," siderite in "))</f>
        <v/>
      </c>
      <c r="M1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7" s="36" t="str">
        <f>CONCATENATE(M197, IF('Input Sheet'!J214="",""," siderite in "))</f>
        <v/>
      </c>
    </row>
    <row r="198" spans="1:14" x14ac:dyDescent="0.25">
      <c r="A198" s="51" t="str">
        <f>IF('Input Sheet'!C215="","",CONCATENATE("Sample ", 'Input Sheet'!B215, "m: ", L198, F198, "% ", "Siltstone, ", N198, 'Input Sheet'!C215, "% ", H198, " Sandstone, ", J198, I198, " FLUOR in SST. ", "TG ", 'Input Sheet'!H215, "U"))</f>
        <v>Sample 2910m: 5% Siltstone, 95% fine to medium Sandstone, 100% bright FLUOR in SST. TG 103.4U</v>
      </c>
      <c r="F198" s="36">
        <f>IF('Input Sheet'!C215="","",100-'Input Sheet'!C215)</f>
        <v>5</v>
      </c>
      <c r="G1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</v>
      </c>
      <c r="H198" s="36" t="str">
        <f t="shared" si="3"/>
        <v>fine to medium</v>
      </c>
      <c r="I1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98" s="36" t="str">
        <f>IF('Input Sheet'!F215=0, "NO",CONCATENATE('Input Sheet'!F215, IF('Input Sheet'!F215&gt;0,"% ","")))</f>
        <v xml:space="preserve">100% </v>
      </c>
      <c r="K1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8" s="36" t="str">
        <f>CONCATENATE(K198, IF('Input Sheet'!I215="",""," siderite in "))</f>
        <v/>
      </c>
      <c r="M1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8" s="36" t="str">
        <f>CONCATENATE(M198, IF('Input Sheet'!J215="",""," siderite in "))</f>
        <v/>
      </c>
    </row>
    <row r="199" spans="1:14" x14ac:dyDescent="0.25">
      <c r="A199" s="51" t="str">
        <f>IF('Input Sheet'!C216="","",CONCATENATE("Sample ", 'Input Sheet'!B216, "m: ", L199, F199, "% ", "Siltstone, ", N199, 'Input Sheet'!C216, "% ", H199, " Sandstone, ", J199, I199, " FLUOR in SST. ", "TG ", 'Input Sheet'!H216, "U"))</f>
        <v>Sample 2915m: 5% Siltstone, 95% fine to coarse Sandstone, 100% bright FLUOR in SST. TG 88.4U</v>
      </c>
      <c r="F199" s="36">
        <f>IF('Input Sheet'!C216="","",100-'Input Sheet'!C216)</f>
        <v>5</v>
      </c>
      <c r="G1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199" s="36" t="str">
        <f t="shared" si="3"/>
        <v>fine to coarse</v>
      </c>
      <c r="I1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199" s="36" t="str">
        <f>IF('Input Sheet'!F216=0, "NO",CONCATENATE('Input Sheet'!F216, IF('Input Sheet'!F216&gt;0,"% ","")))</f>
        <v xml:space="preserve">100% </v>
      </c>
      <c r="K1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199" s="36" t="str">
        <f>CONCATENATE(K199, IF('Input Sheet'!I216="",""," siderite in "))</f>
        <v/>
      </c>
      <c r="M1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199" s="36" t="str">
        <f>CONCATENATE(M199, IF('Input Sheet'!J216="",""," siderite in "))</f>
        <v/>
      </c>
    </row>
    <row r="200" spans="1:14" x14ac:dyDescent="0.25">
      <c r="A200" s="51" t="str">
        <f>IF('Input Sheet'!C217="","",CONCATENATE("Sample ", 'Input Sheet'!B217, "m: ", L200, F200, "% ", "Siltstone, ", N200, 'Input Sheet'!C217, "% ", H200, " Sandstone, ", J200, I200, " FLUOR in SST. ", "TG ", 'Input Sheet'!H217, "U"))</f>
        <v>Sample 2920m: 5% Siltstone, 95% fine to coarse Sandstone, 100% bright FLUOR in SST. TG 76.1U</v>
      </c>
      <c r="F200" s="36">
        <f>IF('Input Sheet'!C217="","",100-'Input Sheet'!C217)</f>
        <v>5</v>
      </c>
      <c r="G2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00" s="36" t="str">
        <f t="shared" si="3"/>
        <v>fine to coarse</v>
      </c>
      <c r="I2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00" s="36" t="str">
        <f>IF('Input Sheet'!F217=0, "NO",CONCATENATE('Input Sheet'!F217, IF('Input Sheet'!F217&gt;0,"% ","")))</f>
        <v xml:space="preserve">100% </v>
      </c>
      <c r="K2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0" s="36" t="str">
        <f>CONCATENATE(K200, IF('Input Sheet'!I217="",""," siderite in "))</f>
        <v/>
      </c>
      <c r="M2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0" s="36" t="str">
        <f>CONCATENATE(M200, IF('Input Sheet'!J217="",""," siderite in "))</f>
        <v/>
      </c>
    </row>
    <row r="201" spans="1:14" x14ac:dyDescent="0.25">
      <c r="A201" s="51" t="str">
        <f>IF('Input Sheet'!C218="","",CONCATENATE("Sample ", 'Input Sheet'!B218, "m: ", L201, F201, "% ", "Siltstone, ", N201, 'Input Sheet'!C218, "% ", H201, " Sandstone, ", J201, I201, " FLUOR in SST. ", "TG ", 'Input Sheet'!H218, "U"))</f>
        <v>Sample 2925m: 5% Siltstone, 95% medium to very coarse Sandstone, 100% bright FLUOR in SST. TG 106U</v>
      </c>
      <c r="F201" s="36">
        <f>IF('Input Sheet'!C218="","",100-'Input Sheet'!C218)</f>
        <v>5</v>
      </c>
      <c r="G2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 to very coarse</v>
      </c>
      <c r="H201" s="36" t="str">
        <f t="shared" si="3"/>
        <v>medium to very coarse</v>
      </c>
      <c r="I2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01" s="36" t="str">
        <f>IF('Input Sheet'!F218=0, "NO",CONCATENATE('Input Sheet'!F218, IF('Input Sheet'!F218&gt;0,"% ","")))</f>
        <v xml:space="preserve">100% </v>
      </c>
      <c r="K2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1" s="36" t="str">
        <f>CONCATENATE(K201, IF('Input Sheet'!I218="",""," siderite in "))</f>
        <v/>
      </c>
      <c r="M2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1" s="36" t="str">
        <f>CONCATENATE(M201, IF('Input Sheet'!J218="",""," siderite in "))</f>
        <v/>
      </c>
    </row>
    <row r="202" spans="1:14" x14ac:dyDescent="0.25">
      <c r="A202" s="51" t="str">
        <f>IF('Input Sheet'!C219="","",CONCATENATE("Sample ", 'Input Sheet'!B219, "m: ", L202, F202, "% ", "Siltstone, ", N202, 'Input Sheet'!C219, "% ", H202, " Sandstone, ", J202, I202, " FLUOR in SST. ", "TG ", 'Input Sheet'!H219, "U"))</f>
        <v>Sample 2930m: 5% Siltstone, 95% medium to very coarse Sandstone, 100% bright FLUOR in SST. TG 130.2U</v>
      </c>
      <c r="F202" s="36">
        <f>IF('Input Sheet'!C219="","",100-'Input Sheet'!C219)</f>
        <v>5</v>
      </c>
      <c r="G2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 to very coarse</v>
      </c>
      <c r="H202" s="36" t="str">
        <f t="shared" si="3"/>
        <v>medium to very coarse</v>
      </c>
      <c r="I2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02" s="36" t="str">
        <f>IF('Input Sheet'!F219=0, "NO",CONCATENATE('Input Sheet'!F219, IF('Input Sheet'!F219&gt;0,"% ","")))</f>
        <v xml:space="preserve">100% </v>
      </c>
      <c r="K2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2" s="36" t="str">
        <f>CONCATENATE(K202, IF('Input Sheet'!I219="",""," siderite in "))</f>
        <v/>
      </c>
      <c r="M2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2" s="36" t="str">
        <f>CONCATENATE(M202, IF('Input Sheet'!J219="",""," siderite in "))</f>
        <v/>
      </c>
    </row>
    <row r="203" spans="1:14" x14ac:dyDescent="0.25">
      <c r="A203" s="51" t="str">
        <f>IF('Input Sheet'!C220="","",CONCATENATE("Sample ", 'Input Sheet'!B220, "m: ", L203, F203, "% ", "Siltstone, ", N203, 'Input Sheet'!C220, "% ", H203, " Sandstone, ", J203, I203, " FLUOR in SST. ", "TG ", 'Input Sheet'!H220, "U"))</f>
        <v>Sample 2935m: 5% Siltstone, 95% medium to very coarse Sandstone, 100% bright FLUOR in SST. TG 133.3U</v>
      </c>
      <c r="F203" s="36">
        <f>IF('Input Sheet'!C220="","",100-'Input Sheet'!C220)</f>
        <v>5</v>
      </c>
      <c r="G2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 to very coarse</v>
      </c>
      <c r="H203" s="36" t="str">
        <f t="shared" si="3"/>
        <v>medium to very coarse</v>
      </c>
      <c r="I2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03" s="36" t="str">
        <f>IF('Input Sheet'!F220=0, "NO",CONCATENATE('Input Sheet'!F220, IF('Input Sheet'!F220&gt;0,"% ","")))</f>
        <v xml:space="preserve">100% </v>
      </c>
      <c r="K2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3" s="36" t="str">
        <f>CONCATENATE(K203, IF('Input Sheet'!I220="",""," siderite in "))</f>
        <v/>
      </c>
      <c r="M2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3" s="36" t="str">
        <f>CONCATENATE(M203, IF('Input Sheet'!J220="",""," siderite in "))</f>
        <v/>
      </c>
    </row>
    <row r="204" spans="1:14" x14ac:dyDescent="0.25">
      <c r="A204" s="51" t="str">
        <f>IF('Input Sheet'!C221="","",CONCATENATE("Sample ", 'Input Sheet'!B221, "m: ", L204, F204, "% ", "Siltstone, ", N204, 'Input Sheet'!C221, "% ", H204, " Sandstone, ", J204, I204, " FLUOR in SST. ", "TG ", 'Input Sheet'!H221, "U"))</f>
        <v>Sample 2940m: 5% Siltstone, 95% medium to very coarse Sandstone, 100% bright FLUOR in SST. TG 127.3U</v>
      </c>
      <c r="F204" s="36">
        <f>IF('Input Sheet'!C221="","",100-'Input Sheet'!C221)</f>
        <v>5</v>
      </c>
      <c r="G2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 to very coarse</v>
      </c>
      <c r="H204" s="36" t="str">
        <f t="shared" si="3"/>
        <v>medium to very coarse</v>
      </c>
      <c r="I2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04" s="36" t="str">
        <f>IF('Input Sheet'!F221=0, "NO",CONCATENATE('Input Sheet'!F221, IF('Input Sheet'!F221&gt;0,"% ","")))</f>
        <v xml:space="preserve">100% </v>
      </c>
      <c r="K2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4" s="36" t="str">
        <f>CONCATENATE(K204, IF('Input Sheet'!I221="",""," siderite in "))</f>
        <v/>
      </c>
      <c r="M2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4" s="36" t="str">
        <f>CONCATENATE(M204, IF('Input Sheet'!J221="",""," siderite in "))</f>
        <v/>
      </c>
    </row>
    <row r="205" spans="1:14" x14ac:dyDescent="0.25">
      <c r="A205" s="51" t="str">
        <f>IF('Input Sheet'!C222="","",CONCATENATE("Sample ", 'Input Sheet'!B222, "m: ", L205, F205, "% ", "Siltstone, ", N205, 'Input Sheet'!C222, "% ", H205, " Sandstone, ", J205, I205, " FLUOR in SST. ", "TG ", 'Input Sheet'!H222, "U"))</f>
        <v>Sample 2945m: 0% Siltstone, 100% medium to very coarse Sandstone, 100% bright FLUOR in SST. TG 127U</v>
      </c>
      <c r="F205" s="36">
        <f>IF('Input Sheet'!C222="","",100-'Input Sheet'!C222)</f>
        <v>0</v>
      </c>
      <c r="G2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 to very coarse</v>
      </c>
      <c r="H205" s="36" t="str">
        <f t="shared" si="3"/>
        <v>medium to very coarse</v>
      </c>
      <c r="I2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05" s="36" t="str">
        <f>IF('Input Sheet'!F222=0, "NO",CONCATENATE('Input Sheet'!F222, IF('Input Sheet'!F222&gt;0,"% ","")))</f>
        <v xml:space="preserve">100% </v>
      </c>
      <c r="K2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5" s="36" t="str">
        <f>CONCATENATE(K205, IF('Input Sheet'!I222="",""," siderite in "))</f>
        <v/>
      </c>
      <c r="M2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5" s="36" t="str">
        <f>CONCATENATE(M205, IF('Input Sheet'!J222="",""," siderite in "))</f>
        <v/>
      </c>
    </row>
    <row r="206" spans="1:14" x14ac:dyDescent="0.25">
      <c r="A206" s="51" t="str">
        <f>IF('Input Sheet'!C223="","",CONCATENATE("Sample ", 'Input Sheet'!B223, "m: ", L206, F206, "% ", "Siltstone, ", N206, 'Input Sheet'!C223, "% ", H206, " Sandstone, ", J206, I206, " FLUOR in SST. ", "TG ", 'Input Sheet'!H223, "U"))</f>
        <v>Sample 2950m: 0% Siltstone, 100% medium to very coarse Sandstone, 100% bright FLUOR in SST. TG 74.4U</v>
      </c>
      <c r="F206" s="36">
        <f>IF('Input Sheet'!C223="","",100-'Input Sheet'!C223)</f>
        <v>0</v>
      </c>
      <c r="G2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medium to very coarse</v>
      </c>
      <c r="H206" s="36" t="str">
        <f t="shared" si="3"/>
        <v>medium to very coarse</v>
      </c>
      <c r="I2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06" s="36" t="str">
        <f>IF('Input Sheet'!F223=0, "NO",CONCATENATE('Input Sheet'!F223, IF('Input Sheet'!F223&gt;0,"% ","")))</f>
        <v xml:space="preserve">100% </v>
      </c>
      <c r="K2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6" s="36" t="str">
        <f>CONCATENATE(K206, IF('Input Sheet'!I223="",""," siderite in "))</f>
        <v/>
      </c>
      <c r="M2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6" s="36" t="str">
        <f>CONCATENATE(M206, IF('Input Sheet'!J223="",""," siderite in "))</f>
        <v/>
      </c>
    </row>
    <row r="207" spans="1:14" x14ac:dyDescent="0.25">
      <c r="A207" s="51" t="str">
        <f>IF('Input Sheet'!C224="","",CONCATENATE("Sample ", 'Input Sheet'!B224, "m: ", L207, F207, "% ", "Siltstone, ", N207, 'Input Sheet'!C224, "% ", H207, " Sandstone, ", J207, I207, " FLUOR in SST. ", "TG ", 'Input Sheet'!H224, "U"))</f>
        <v>Sample 2955m: 0% Siltstone, 100% fine to coarse Sandstone, 100% bright FLUOR in SST. TG 104.4U</v>
      </c>
      <c r="F207" s="36">
        <f>IF('Input Sheet'!C224="","",100-'Input Sheet'!C224)</f>
        <v>0</v>
      </c>
      <c r="G2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07" s="36" t="str">
        <f t="shared" si="3"/>
        <v>fine to coarse</v>
      </c>
      <c r="I2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07" s="36" t="str">
        <f>IF('Input Sheet'!F224=0, "NO",CONCATENATE('Input Sheet'!F224, IF('Input Sheet'!F224&gt;0,"% ","")))</f>
        <v xml:space="preserve">100% </v>
      </c>
      <c r="K2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7" s="36" t="str">
        <f>CONCATENATE(K207, IF('Input Sheet'!I224="",""," siderite in "))</f>
        <v/>
      </c>
      <c r="M2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7" s="36" t="str">
        <f>CONCATENATE(M207, IF('Input Sheet'!J224="",""," siderite in "))</f>
        <v/>
      </c>
    </row>
    <row r="208" spans="1:14" x14ac:dyDescent="0.25">
      <c r="A208" s="51" t="str">
        <f>IF('Input Sheet'!C225="","",CONCATENATE("Sample ", 'Input Sheet'!B225, "m: ", L208, F208, "% ", "Siltstone, ", N208, 'Input Sheet'!C225, "% ", H208, " Sandstone, ", J208, I208, " FLUOR in SST. ", "TG ", 'Input Sheet'!H225, "U"))</f>
        <v>Sample 2960m: 0% Siltstone, 100% fine to coarse Sandstone, 100% bright FLUOR in SST. TG 97.2U</v>
      </c>
      <c r="F208" s="36">
        <f>IF('Input Sheet'!C225="","",100-'Input Sheet'!C225)</f>
        <v>0</v>
      </c>
      <c r="G2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08" s="36" t="str">
        <f t="shared" si="3"/>
        <v>fine to coarse</v>
      </c>
      <c r="I2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08" s="36" t="str">
        <f>IF('Input Sheet'!F225=0, "NO",CONCATENATE('Input Sheet'!F225, IF('Input Sheet'!F225&gt;0,"% ","")))</f>
        <v xml:space="preserve">100% </v>
      </c>
      <c r="K2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8" s="36" t="str">
        <f>CONCATENATE(K208, IF('Input Sheet'!I225="",""," siderite in "))</f>
        <v/>
      </c>
      <c r="M2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8" s="36" t="str">
        <f>CONCATENATE(M208, IF('Input Sheet'!J225="",""," siderite in "))</f>
        <v/>
      </c>
    </row>
    <row r="209" spans="1:14" x14ac:dyDescent="0.25">
      <c r="A209" s="51" t="str">
        <f>IF('Input Sheet'!C226="","",CONCATENATE("Sample ", 'Input Sheet'!B226, "m: ", L209, F209, "% ", "Siltstone, ", N209, 'Input Sheet'!C226, "% ", H209, " Sandstone, ", J209, I209, " FLUOR in SST. ", "TG ", 'Input Sheet'!H226, "U"))</f>
        <v>Sample 2965m: 0% Siltstone, 100% very fine to coarse Sandstone, 100% bright FLUOR in SST. TG 113.2U</v>
      </c>
      <c r="F209" s="36">
        <f>IF('Input Sheet'!C226="","",100-'Input Sheet'!C226)</f>
        <v>0</v>
      </c>
      <c r="G2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09" s="36" t="str">
        <f t="shared" si="3"/>
        <v>very fine to coarse</v>
      </c>
      <c r="I2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09" s="36" t="str">
        <f>IF('Input Sheet'!F226=0, "NO",CONCATENATE('Input Sheet'!F226, IF('Input Sheet'!F226&gt;0,"% ","")))</f>
        <v xml:space="preserve">100% </v>
      </c>
      <c r="K2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09" s="36" t="str">
        <f>CONCATENATE(K209, IF('Input Sheet'!I226="",""," siderite in "))</f>
        <v/>
      </c>
      <c r="M2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09" s="36" t="str">
        <f>CONCATENATE(M209, IF('Input Sheet'!J226="",""," siderite in "))</f>
        <v/>
      </c>
    </row>
    <row r="210" spans="1:14" x14ac:dyDescent="0.25">
      <c r="A210" s="51" t="str">
        <f>IF('Input Sheet'!C227="","",CONCATENATE("Sample ", 'Input Sheet'!B227, "m: ", L210, F210, "% ", "Siltstone, ", N210, 'Input Sheet'!C227, "% ", H210, " Sandstone, ", J210, I210, " FLUOR in SST. ", "TG ", 'Input Sheet'!H227, "U"))</f>
        <v>Sample 2970m: 0% Siltstone, 100% very fine to coarse Sandstone, 100% bright FLUOR in SST. TG 79.2U</v>
      </c>
      <c r="F210" s="36">
        <f>IF('Input Sheet'!C227="","",100-'Input Sheet'!C227)</f>
        <v>0</v>
      </c>
      <c r="G2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10" s="36" t="str">
        <f t="shared" si="3"/>
        <v>very fine to coarse</v>
      </c>
      <c r="I2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10" s="36" t="str">
        <f>IF('Input Sheet'!F227=0, "NO",CONCATENATE('Input Sheet'!F227, IF('Input Sheet'!F227&gt;0,"% ","")))</f>
        <v xml:space="preserve">100% </v>
      </c>
      <c r="K2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0" s="36" t="str">
        <f>CONCATENATE(K210, IF('Input Sheet'!I227="",""," siderite in "))</f>
        <v/>
      </c>
      <c r="M2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0" s="36" t="str">
        <f>CONCATENATE(M210, IF('Input Sheet'!J227="",""," siderite in "))</f>
        <v/>
      </c>
    </row>
    <row r="211" spans="1:14" x14ac:dyDescent="0.25">
      <c r="A211" s="51" t="str">
        <f>IF('Input Sheet'!C228="","",CONCATENATE("Sample ", 'Input Sheet'!B228, "m: ", L211, F211, "% ", "Siltstone, ", N211, 'Input Sheet'!C228, "% ", H211, " Sandstone, ", J211, I211, " FLUOR in SST. ", "TG ", 'Input Sheet'!H228, "U"))</f>
        <v>Sample 2975m: 0% Siltstone, 100% very fine to coarse Sandstone, 100% bright FLUOR in SST. TG 65.1U</v>
      </c>
      <c r="F211" s="36">
        <f>IF('Input Sheet'!C228="","",100-'Input Sheet'!C228)</f>
        <v>0</v>
      </c>
      <c r="G2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11" s="36" t="str">
        <f t="shared" si="3"/>
        <v>very fine to coarse</v>
      </c>
      <c r="I2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11" s="36" t="str">
        <f>IF('Input Sheet'!F228=0, "NO",CONCATENATE('Input Sheet'!F228, IF('Input Sheet'!F228&gt;0,"% ","")))</f>
        <v xml:space="preserve">100% </v>
      </c>
      <c r="K2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1" s="36" t="str">
        <f>CONCATENATE(K211, IF('Input Sheet'!I228="",""," siderite in "))</f>
        <v/>
      </c>
      <c r="M2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1" s="36" t="str">
        <f>CONCATENATE(M211, IF('Input Sheet'!J228="",""," siderite in "))</f>
        <v/>
      </c>
    </row>
    <row r="212" spans="1:14" x14ac:dyDescent="0.25">
      <c r="A212" s="51" t="str">
        <f>IF('Input Sheet'!C229="","",CONCATENATE("Sample ", 'Input Sheet'!B229, "m: ", L212, F212, "% ", "Siltstone, ", N212, 'Input Sheet'!C229, "% ", H212, " Sandstone, ", J212, I212, " FLUOR in SST. ", "TG ", 'Input Sheet'!H229, "U"))</f>
        <v>Sample 2980m: 0% Siltstone, 100% very fine to coarse Sandstone, 100% bright FLUOR in SST. TG 80.7U</v>
      </c>
      <c r="F212" s="36">
        <f>IF('Input Sheet'!C229="","",100-'Input Sheet'!C229)</f>
        <v>0</v>
      </c>
      <c r="G2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12" s="36" t="str">
        <f t="shared" si="3"/>
        <v>very fine to coarse</v>
      </c>
      <c r="I2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12" s="36" t="str">
        <f>IF('Input Sheet'!F229=0, "NO",CONCATENATE('Input Sheet'!F229, IF('Input Sheet'!F229&gt;0,"% ","")))</f>
        <v xml:space="preserve">100% </v>
      </c>
      <c r="K2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2" s="36" t="str">
        <f>CONCATENATE(K212, IF('Input Sheet'!I229="",""," siderite in "))</f>
        <v/>
      </c>
      <c r="M2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2" s="36" t="str">
        <f>CONCATENATE(M212, IF('Input Sheet'!J229="",""," siderite in "))</f>
        <v/>
      </c>
    </row>
    <row r="213" spans="1:14" x14ac:dyDescent="0.25">
      <c r="A213" s="51" t="str">
        <f>IF('Input Sheet'!C230="","",CONCATENATE("Sample ", 'Input Sheet'!B230, "m: ", L213, F213, "% ", "Siltstone, ", N213, 'Input Sheet'!C230, "% ", H213, " Sandstone, ", J213, I213, " FLUOR in SST. ", "TG ", 'Input Sheet'!H230, "U"))</f>
        <v>Sample 2985m: 0% Siltstone, 100% very fine to coarse Sandstone, 100% bright FLUOR in SST. TG 67.5U</v>
      </c>
      <c r="F213" s="36">
        <f>IF('Input Sheet'!C230="","",100-'Input Sheet'!C230)</f>
        <v>0</v>
      </c>
      <c r="G2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13" s="36" t="str">
        <f t="shared" si="3"/>
        <v>very fine to coarse</v>
      </c>
      <c r="I2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13" s="36" t="str">
        <f>IF('Input Sheet'!F230=0, "NO",CONCATENATE('Input Sheet'!F230, IF('Input Sheet'!F230&gt;0,"% ","")))</f>
        <v xml:space="preserve">100% </v>
      </c>
      <c r="K2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3" s="36" t="str">
        <f>CONCATENATE(K213, IF('Input Sheet'!I230="",""," siderite in "))</f>
        <v/>
      </c>
      <c r="M2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3" s="36" t="str">
        <f>CONCATENATE(M213, IF('Input Sheet'!J230="",""," siderite in "))</f>
        <v/>
      </c>
    </row>
    <row r="214" spans="1:14" x14ac:dyDescent="0.25">
      <c r="A214" s="51" t="str">
        <f>IF('Input Sheet'!C231="","",CONCATENATE("Sample ", 'Input Sheet'!B231, "m: ", L214, F214, "% ", "Siltstone, ", N214, 'Input Sheet'!C231, "% ", H214, " Sandstone, ", J214, I214, " FLUOR in SST. ", "TG ", 'Input Sheet'!H231, "U"))</f>
        <v>Sample 2990m: 0% Siltstone, 100% very fine to coarse Sandstone, 100% bright FLUOR in SST. TG 102.4U</v>
      </c>
      <c r="F214" s="36">
        <f>IF('Input Sheet'!C231="","",100-'Input Sheet'!C231)</f>
        <v>0</v>
      </c>
      <c r="G2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14" s="36" t="str">
        <f t="shared" si="3"/>
        <v>very fine to coarse</v>
      </c>
      <c r="I2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14" s="36" t="str">
        <f>IF('Input Sheet'!F231=0, "NO",CONCATENATE('Input Sheet'!F231, IF('Input Sheet'!F231&gt;0,"% ","")))</f>
        <v xml:space="preserve">100% </v>
      </c>
      <c r="K2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4" s="36" t="str">
        <f>CONCATENATE(K214, IF('Input Sheet'!I231="",""," siderite in "))</f>
        <v/>
      </c>
      <c r="M2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4" s="36" t="str">
        <f>CONCATENATE(M214, IF('Input Sheet'!J231="",""," siderite in "))</f>
        <v/>
      </c>
    </row>
    <row r="215" spans="1:14" x14ac:dyDescent="0.25">
      <c r="A215" s="51" t="str">
        <f>IF('Input Sheet'!C232="","",CONCATENATE("Sample ", 'Input Sheet'!B232, "m: ", L215, F215, "% ", "Siltstone, ", N215, 'Input Sheet'!C232, "% ", H215, " Sandstone, ", J215, I215, " FLUOR in SST. ", "TG ", 'Input Sheet'!H232, "U"))</f>
        <v>Sample 2995m: 5% Siltstone, 95% very fine to coarse Sandstone, 100% bright FLUOR in SST. TG 71.5U</v>
      </c>
      <c r="F215" s="36">
        <f>IF('Input Sheet'!C232="","",100-'Input Sheet'!C232)</f>
        <v>5</v>
      </c>
      <c r="G2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15" s="36" t="str">
        <f t="shared" si="3"/>
        <v>very fine to coarse</v>
      </c>
      <c r="I2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15" s="36" t="str">
        <f>IF('Input Sheet'!F232=0, "NO",CONCATENATE('Input Sheet'!F232, IF('Input Sheet'!F232&gt;0,"% ","")))</f>
        <v xml:space="preserve">100% </v>
      </c>
      <c r="K2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5" s="36" t="str">
        <f>CONCATENATE(K215, IF('Input Sheet'!I232="",""," siderite in "))</f>
        <v/>
      </c>
      <c r="M2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5" s="36" t="str">
        <f>CONCATENATE(M215, IF('Input Sheet'!J232="",""," siderite in "))</f>
        <v/>
      </c>
    </row>
    <row r="216" spans="1:14" x14ac:dyDescent="0.25">
      <c r="A216" s="51" t="str">
        <f>IF('Input Sheet'!C233="","",CONCATENATE("Sample ", 'Input Sheet'!B233, "m: ", L216, F216, "% ", "Siltstone, ", N216, 'Input Sheet'!C233, "% ", H216, " Sandstone, ", J216, I216, " FLUOR in SST. ", "TG ", 'Input Sheet'!H233, "U"))</f>
        <v>Sample 3000m: 5% Siltstone, 95% very fine to coarse Sandstone, 100% bright FLUOR in SST. TG 67.9U</v>
      </c>
      <c r="F216" s="36">
        <f>IF('Input Sheet'!C233="","",100-'Input Sheet'!C233)</f>
        <v>5</v>
      </c>
      <c r="G2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16" s="36" t="str">
        <f t="shared" si="3"/>
        <v>very fine to coarse</v>
      </c>
      <c r="I2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16" s="36" t="str">
        <f>IF('Input Sheet'!F233=0, "NO",CONCATENATE('Input Sheet'!F233, IF('Input Sheet'!F233&gt;0,"% ","")))</f>
        <v xml:space="preserve">100% </v>
      </c>
      <c r="K2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6" s="36" t="str">
        <f>CONCATENATE(K216, IF('Input Sheet'!I233="",""," siderite in "))</f>
        <v/>
      </c>
      <c r="M2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6" s="36" t="str">
        <f>CONCATENATE(M216, IF('Input Sheet'!J233="",""," siderite in "))</f>
        <v/>
      </c>
    </row>
    <row r="217" spans="1:14" x14ac:dyDescent="0.25">
      <c r="A217" s="51" t="str">
        <f>IF('Input Sheet'!C234="","",CONCATENATE("Sample ", 'Input Sheet'!B234, "m: ", L217, F217, "% ", "Siltstone, ", N217, 'Input Sheet'!C234, "% ", H217, " Sandstone, ", J217, I217, " FLUOR in SST. ", "TG ", 'Input Sheet'!H234, "U"))</f>
        <v>Sample 3005m: 5% Siltstone, 95% very fine to coarse Sandstone, 100% bright FLUOR in SST. TG 70.6U</v>
      </c>
      <c r="F217" s="36">
        <f>IF('Input Sheet'!C234="","",100-'Input Sheet'!C234)</f>
        <v>5</v>
      </c>
      <c r="G2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17" s="36" t="str">
        <f t="shared" si="3"/>
        <v>very fine to coarse</v>
      </c>
      <c r="I2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17" s="36" t="str">
        <f>IF('Input Sheet'!F234=0, "NO",CONCATENATE('Input Sheet'!F234, IF('Input Sheet'!F234&gt;0,"% ","")))</f>
        <v xml:space="preserve">100% </v>
      </c>
      <c r="K2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7" s="36" t="str">
        <f>CONCATENATE(K217, IF('Input Sheet'!I234="",""," siderite in "))</f>
        <v/>
      </c>
      <c r="M2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7" s="36" t="str">
        <f>CONCATENATE(M217, IF('Input Sheet'!J234="",""," siderite in "))</f>
        <v/>
      </c>
    </row>
    <row r="218" spans="1:14" x14ac:dyDescent="0.25">
      <c r="A218" s="51" t="str">
        <f>IF('Input Sheet'!C235="","",CONCATENATE("Sample ", 'Input Sheet'!B235, "m: ", L218, F218, "% ", "Siltstone, ", N218, 'Input Sheet'!C235, "% ", H218, " Sandstone, ", J218, I218, " FLUOR in SST. ", "TG ", 'Input Sheet'!H235, "U"))</f>
        <v>Sample 3010m: 5% Siltstone, 95% very fine to coarse Sandstone, 100% bright FLUOR in SST. TG 62.1U</v>
      </c>
      <c r="F218" s="36">
        <f>IF('Input Sheet'!C235="","",100-'Input Sheet'!C235)</f>
        <v>5</v>
      </c>
      <c r="G2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18" s="36" t="str">
        <f t="shared" si="3"/>
        <v>very fine to coarse</v>
      </c>
      <c r="I2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18" s="36" t="str">
        <f>IF('Input Sheet'!F235=0, "NO",CONCATENATE('Input Sheet'!F235, IF('Input Sheet'!F235&gt;0,"% ","")))</f>
        <v xml:space="preserve">100% </v>
      </c>
      <c r="K2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8" s="36" t="str">
        <f>CONCATENATE(K218, IF('Input Sheet'!I235="",""," siderite in "))</f>
        <v/>
      </c>
      <c r="M2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8" s="36" t="str">
        <f>CONCATENATE(M218, IF('Input Sheet'!J235="",""," siderite in "))</f>
        <v/>
      </c>
    </row>
    <row r="219" spans="1:14" x14ac:dyDescent="0.25">
      <c r="A219" s="51" t="str">
        <f>IF('Input Sheet'!C236="","",CONCATENATE("Sample ", 'Input Sheet'!B236, "m: ", L219, F219, "% ", "Siltstone, ", N219, 'Input Sheet'!C236, "% ", H219, " Sandstone, ", J219, I219, " FLUOR in SST. ", "TG ", 'Input Sheet'!H236, "U"))</f>
        <v>Sample 3015m: 5% Siltstone, 95% very fine to coarse Sandstone, 100% bright FLUOR in SST. TG 83U</v>
      </c>
      <c r="F219" s="36">
        <f>IF('Input Sheet'!C236="","",100-'Input Sheet'!C236)</f>
        <v>5</v>
      </c>
      <c r="G2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19" s="36" t="str">
        <f t="shared" si="3"/>
        <v>very fine to coarse</v>
      </c>
      <c r="I2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19" s="36" t="str">
        <f>IF('Input Sheet'!F236=0, "NO",CONCATENATE('Input Sheet'!F236, IF('Input Sheet'!F236&gt;0,"% ","")))</f>
        <v xml:space="preserve">100% </v>
      </c>
      <c r="K2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19" s="36" t="str">
        <f>CONCATENATE(K219, IF('Input Sheet'!I236="",""," siderite in "))</f>
        <v/>
      </c>
      <c r="M2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19" s="36" t="str">
        <f>CONCATENATE(M219, IF('Input Sheet'!J236="",""," siderite in "))</f>
        <v/>
      </c>
    </row>
    <row r="220" spans="1:14" x14ac:dyDescent="0.25">
      <c r="A220" s="51" t="str">
        <f>IF('Input Sheet'!C237="","",CONCATENATE("Sample ", 'Input Sheet'!B237, "m: ", L220, F220, "% ", "Siltstone, ", N220, 'Input Sheet'!C237, "% ", H220, " Sandstone, ", J220, I220, " FLUOR in SST. ", "TG ", 'Input Sheet'!H237, "U"))</f>
        <v>Sample 3020m: 5% Siltstone, 95% very fine to coarse Sandstone, 100% bright FLUOR in SST. TG 56.7U</v>
      </c>
      <c r="F220" s="36">
        <f>IF('Input Sheet'!C237="","",100-'Input Sheet'!C237)</f>
        <v>5</v>
      </c>
      <c r="G2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20" s="36" t="str">
        <f t="shared" si="3"/>
        <v>very fine to coarse</v>
      </c>
      <c r="I2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20" s="36" t="str">
        <f>IF('Input Sheet'!F237=0, "NO",CONCATENATE('Input Sheet'!F237, IF('Input Sheet'!F237&gt;0,"% ","")))</f>
        <v xml:space="preserve">100% </v>
      </c>
      <c r="K2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0" s="36" t="str">
        <f>CONCATENATE(K220, IF('Input Sheet'!I237="",""," siderite in "))</f>
        <v/>
      </c>
      <c r="M2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0" s="36" t="str">
        <f>CONCATENATE(M220, IF('Input Sheet'!J237="",""," siderite in "))</f>
        <v/>
      </c>
    </row>
    <row r="221" spans="1:14" x14ac:dyDescent="0.25">
      <c r="A221" s="51" t="str">
        <f>IF('Input Sheet'!C238="","",CONCATENATE("Sample ", 'Input Sheet'!B238, "m: ", L221, F221, "% ", "Siltstone, ", N221, 'Input Sheet'!C238, "% ", H221, " Sandstone, ", J221, I221, " FLUOR in SST. ", "TG ", 'Input Sheet'!H238, "U"))</f>
        <v>Sample 3025m: 5% Siltstone, 95% very fine to coarse Sandstone, 100% bright FLUOR in SST. TG 73.8U</v>
      </c>
      <c r="F221" s="36">
        <f>IF('Input Sheet'!C238="","",100-'Input Sheet'!C238)</f>
        <v>5</v>
      </c>
      <c r="G2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21" s="36" t="str">
        <f t="shared" si="3"/>
        <v>very fine to coarse</v>
      </c>
      <c r="I2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21" s="36" t="str">
        <f>IF('Input Sheet'!F238=0, "NO",CONCATENATE('Input Sheet'!F238, IF('Input Sheet'!F238&gt;0,"% ","")))</f>
        <v xml:space="preserve">100% </v>
      </c>
      <c r="K2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1" s="36" t="str">
        <f>CONCATENATE(K221, IF('Input Sheet'!I238="",""," siderite in "))</f>
        <v/>
      </c>
      <c r="M2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1" s="36" t="str">
        <f>CONCATENATE(M221, IF('Input Sheet'!J238="",""," siderite in "))</f>
        <v/>
      </c>
    </row>
    <row r="222" spans="1:14" x14ac:dyDescent="0.25">
      <c r="A222" s="51" t="str">
        <f>IF('Input Sheet'!C239="","",CONCATENATE("Sample ", 'Input Sheet'!B239, "m: ", L222, F222, "% ", "Siltstone, ", N222, 'Input Sheet'!C239, "% ", H222, " Sandstone, ", J222, I222, " FLUOR in SST. ", "TG ", 'Input Sheet'!H239, "U"))</f>
        <v>Sample 3030m: 5% Siltstone, 95% very fine to medium, rare coarse Sandstone, 100% bright FLUOR in SST. TG 68.6U</v>
      </c>
      <c r="F222" s="36">
        <f>IF('Input Sheet'!C239="","",100-'Input Sheet'!C239)</f>
        <v>5</v>
      </c>
      <c r="G2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medium, rare coarse</v>
      </c>
      <c r="H222" s="36" t="str">
        <f t="shared" si="3"/>
        <v>very fine to medium, rare coarse</v>
      </c>
      <c r="I2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22" s="36" t="str">
        <f>IF('Input Sheet'!F239=0, "NO",CONCATENATE('Input Sheet'!F239, IF('Input Sheet'!F239&gt;0,"% ","")))</f>
        <v xml:space="preserve">100% </v>
      </c>
      <c r="K2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2" s="36" t="str">
        <f>CONCATENATE(K222, IF('Input Sheet'!I239="",""," siderite in "))</f>
        <v/>
      </c>
      <c r="M2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2" s="36" t="str">
        <f>CONCATENATE(M222, IF('Input Sheet'!J239="",""," siderite in "))</f>
        <v/>
      </c>
    </row>
    <row r="223" spans="1:14" x14ac:dyDescent="0.25">
      <c r="A223" s="51" t="str">
        <f>IF('Input Sheet'!C240="","",CONCATENATE("Sample ", 'Input Sheet'!B240, "m: ", L223, F223, "% ", "Siltstone, ", N223, 'Input Sheet'!C240, "% ", H223, " Sandstone, ", J223, I223, " FLUOR in SST. ", "TG ", 'Input Sheet'!H240, "U"))</f>
        <v>Sample 3035m: 0% Siltstone, 100% very fine to medium, rare coarse Sandstone, 100% bright FLUOR in SST. TG 107U</v>
      </c>
      <c r="F223" s="36">
        <f>IF('Input Sheet'!C240="","",100-'Input Sheet'!C240)</f>
        <v>0</v>
      </c>
      <c r="G2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medium, rare coarse</v>
      </c>
      <c r="H223" s="36" t="str">
        <f t="shared" si="3"/>
        <v>very fine to medium, rare coarse</v>
      </c>
      <c r="I2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23" s="36" t="str">
        <f>IF('Input Sheet'!F240=0, "NO",CONCATENATE('Input Sheet'!F240, IF('Input Sheet'!F240&gt;0,"% ","")))</f>
        <v xml:space="preserve">100% </v>
      </c>
      <c r="K2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3" s="36" t="str">
        <f>CONCATENATE(K223, IF('Input Sheet'!I240="",""," siderite in "))</f>
        <v/>
      </c>
      <c r="M223" s="36"/>
      <c r="N223" s="36" t="str">
        <f>CONCATENATE(M223, IF('Input Sheet'!J240="",""," siderite in "))</f>
        <v/>
      </c>
    </row>
    <row r="224" spans="1:14" x14ac:dyDescent="0.25">
      <c r="A224" s="51" t="str">
        <f>IF('Input Sheet'!C241="","",CONCATENATE("Sample ", 'Input Sheet'!B241, "m: ", L224, F224, "% ", "Siltstone, ", N224, 'Input Sheet'!C241, "% ", H224, " Sandstone, ", J224, I224, " FLUOR in SST. ", "TG ", 'Input Sheet'!H241, "U"))</f>
        <v>Sample 3040m: 0% Siltstone, 100% very fine to medium, rare coarse Sandstone, 100% bright FLUOR in SST. TG 57.3U</v>
      </c>
      <c r="F224" s="36">
        <f>IF('Input Sheet'!C241="","",100-'Input Sheet'!C241)</f>
        <v>0</v>
      </c>
      <c r="G2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medium, rare coarse</v>
      </c>
      <c r="H224" s="36" t="str">
        <f t="shared" si="3"/>
        <v>very fine to medium, rare coarse</v>
      </c>
      <c r="I2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24" s="36" t="str">
        <f>IF('Input Sheet'!F241=0, "NO",CONCATENATE('Input Sheet'!F241, IF('Input Sheet'!F241&gt;0,"% ","")))</f>
        <v xml:space="preserve">100% </v>
      </c>
      <c r="K2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4" s="36" t="str">
        <f>CONCATENATE(K224, IF('Input Sheet'!I241="",""," siderite in "))</f>
        <v/>
      </c>
      <c r="M2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4" s="36" t="str">
        <f>CONCATENATE(M224, IF('Input Sheet'!J241="",""," siderite in "))</f>
        <v/>
      </c>
    </row>
    <row r="225" spans="1:14" x14ac:dyDescent="0.25">
      <c r="A225" s="51" t="str">
        <f>IF('Input Sheet'!C242="","",CONCATENATE("Sample ", 'Input Sheet'!B242, "m: ", L225, F225, "% ", "Siltstone, ", N225, 'Input Sheet'!C242, "% ", H225, " Sandstone, ", J225, I225, " FLUOR in SST. ", "TG ", 'Input Sheet'!H242, "U"))</f>
        <v>Sample 3045m: 0% Siltstone, 100% very fine to medium Sandstone, 100% bright FLUOR in SST. TG 35.8U</v>
      </c>
      <c r="F225" s="36">
        <f>IF('Input Sheet'!C242="","",100-'Input Sheet'!C242)</f>
        <v>0</v>
      </c>
      <c r="G2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225" s="36" t="str">
        <f t="shared" si="3"/>
        <v>very fine to medium</v>
      </c>
      <c r="I2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25" s="36" t="str">
        <f>IF('Input Sheet'!F242=0, "NO",CONCATENATE('Input Sheet'!F242, IF('Input Sheet'!F242&gt;0,"% ","")))</f>
        <v xml:space="preserve">100% </v>
      </c>
      <c r="K2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5" s="36" t="str">
        <f>CONCATENATE(K225, IF('Input Sheet'!I242="",""," siderite in "))</f>
        <v/>
      </c>
      <c r="M2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5" s="36" t="str">
        <f>CONCATENATE(M225, IF('Input Sheet'!J242="",""," siderite in "))</f>
        <v/>
      </c>
    </row>
    <row r="226" spans="1:14" x14ac:dyDescent="0.25">
      <c r="A226" s="51" t="str">
        <f>IF('Input Sheet'!C243="","",CONCATENATE("Sample ", 'Input Sheet'!B243, "m: ", L226, F226, "% ", "Siltstone, ", N226, 'Input Sheet'!C243, "% ", H226, " Sandstone, ", J226, I226, " FLUOR in SST. ", "TG ", 'Input Sheet'!H243, "U"))</f>
        <v>Sample 3050m: 0% Siltstone, 100% very fine to medium Sandstone, 100% bright FLUOR in SST. TG 56.5U</v>
      </c>
      <c r="F226" s="36">
        <f>IF('Input Sheet'!C243="","",100-'Input Sheet'!C243)</f>
        <v>0</v>
      </c>
      <c r="G2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226" s="36" t="str">
        <f t="shared" si="3"/>
        <v>very fine to medium</v>
      </c>
      <c r="I2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26" s="36" t="str">
        <f>IF('Input Sheet'!F243=0, "NO",CONCATENATE('Input Sheet'!F243, IF('Input Sheet'!F243&gt;0,"% ","")))</f>
        <v xml:space="preserve">100% </v>
      </c>
      <c r="K2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6" s="36" t="str">
        <f>CONCATENATE(K226, IF('Input Sheet'!I243="",""," siderite in "))</f>
        <v/>
      </c>
      <c r="M2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6" s="36" t="str">
        <f>CONCATENATE(M226, IF('Input Sheet'!J243="",""," siderite in "))</f>
        <v/>
      </c>
    </row>
    <row r="227" spans="1:14" x14ac:dyDescent="0.25">
      <c r="A227" s="51" t="str">
        <f>IF('Input Sheet'!C244="","",CONCATENATE("Sample ", 'Input Sheet'!B244, "m: ", L227, F227, "% ", "Siltstone, ", N227, 'Input Sheet'!C244, "% ", H227, " Sandstone, ", J227, I227, " FLUOR in SST. ", "TG ", 'Input Sheet'!H244, "U"))</f>
        <v>Sample 3055m: 5% Siltstone, 95% fine to coarse Sandstone, 100% bright FLUOR in SST. TG 81.1U</v>
      </c>
      <c r="F227" s="36">
        <f>IF('Input Sheet'!C244="","",100-'Input Sheet'!C244)</f>
        <v>5</v>
      </c>
      <c r="G2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27" s="36" t="str">
        <f t="shared" si="3"/>
        <v>fine to coarse</v>
      </c>
      <c r="I2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27" s="36" t="str">
        <f>IF('Input Sheet'!F244=0, "NO",CONCATENATE('Input Sheet'!F244, IF('Input Sheet'!F244&gt;0,"% ","")))</f>
        <v xml:space="preserve">100% </v>
      </c>
      <c r="K2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7" s="36" t="str">
        <f>CONCATENATE(K227, IF('Input Sheet'!I244="",""," siderite in "))</f>
        <v/>
      </c>
      <c r="M2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7" s="36" t="str">
        <f>CONCATENATE(M227, IF('Input Sheet'!J244="",""," siderite in "))</f>
        <v/>
      </c>
    </row>
    <row r="228" spans="1:14" x14ac:dyDescent="0.25">
      <c r="A228" s="51" t="str">
        <f>IF('Input Sheet'!C245="","",CONCATENATE("Sample ", 'Input Sheet'!B245, "m: ", L228, F228, "% ", "Siltstone, ", N228, 'Input Sheet'!C245, "% ", H228, " Sandstone, ", J228, I228, " FLUOR in SST. ", "TG ", 'Input Sheet'!H245, "U"))</f>
        <v>Sample 3060m: 5% Siltstone, 95% fine to coarse Sandstone, 100% bright FLUOR in SST. TG 63.7U</v>
      </c>
      <c r="F228" s="36">
        <f>IF('Input Sheet'!C245="","",100-'Input Sheet'!C245)</f>
        <v>5</v>
      </c>
      <c r="G2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28" s="36" t="str">
        <f t="shared" si="3"/>
        <v>fine to coarse</v>
      </c>
      <c r="I2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28" s="36" t="str">
        <f>IF('Input Sheet'!F245=0, "NO",CONCATENATE('Input Sheet'!F245, IF('Input Sheet'!F245&gt;0,"% ","")))</f>
        <v xml:space="preserve">100% </v>
      </c>
      <c r="K2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8" s="36" t="str">
        <f>CONCATENATE(K228, IF('Input Sheet'!I245="",""," siderite in "))</f>
        <v/>
      </c>
      <c r="M2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8" s="36" t="str">
        <f>CONCATENATE(M228, IF('Input Sheet'!J245="",""," siderite in "))</f>
        <v/>
      </c>
    </row>
    <row r="229" spans="1:14" x14ac:dyDescent="0.25">
      <c r="A229" s="51" t="str">
        <f>IF('Input Sheet'!C246="","",CONCATENATE("Sample ", 'Input Sheet'!B246, "m: ", L229, F229, "% ", "Siltstone, ", N229, 'Input Sheet'!C246, "% ", H229, " Sandstone, ", J229, I229, " FLUOR in SST. ", "TG ", 'Input Sheet'!H246, "U"))</f>
        <v>Sample 3065m: 10% Siltstone, 90% very fine to medium Sandstone, 100% bright FLUOR in SST. TG 40.4U</v>
      </c>
      <c r="F229" s="36">
        <f>IF('Input Sheet'!C246="","",100-'Input Sheet'!C246)</f>
        <v>10</v>
      </c>
      <c r="G2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229" s="36" t="str">
        <f t="shared" si="3"/>
        <v>very fine to medium</v>
      </c>
      <c r="I2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29" s="36" t="str">
        <f>IF('Input Sheet'!F246=0, "NO",CONCATENATE('Input Sheet'!F246, IF('Input Sheet'!F246&gt;0,"% ","")))</f>
        <v xml:space="preserve">100% </v>
      </c>
      <c r="K2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29" s="36" t="str">
        <f>CONCATENATE(K229, IF('Input Sheet'!I246="",""," siderite in "))</f>
        <v/>
      </c>
      <c r="M2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29" s="36" t="str">
        <f>CONCATENATE(M229, IF('Input Sheet'!J246="",""," siderite in "))</f>
        <v/>
      </c>
    </row>
    <row r="230" spans="1:14" x14ac:dyDescent="0.25">
      <c r="A230" s="51" t="str">
        <f>IF('Input Sheet'!C247="","",CONCATENATE("Sample ", 'Input Sheet'!B247, "m: ", L230, F230, "% ", "Siltstone, ", N230, 'Input Sheet'!C247, "% ", H230, " Sandstone, ", J230, I230, " FLUOR in SST. ", "TG ", 'Input Sheet'!H247, "U"))</f>
        <v>Sample 3070m: 10% Siltstone, 90% very fine to medium Sandstone, 100% bright FLUOR in SST. TG 95U</v>
      </c>
      <c r="F230" s="36">
        <f>IF('Input Sheet'!C247="","",100-'Input Sheet'!C247)</f>
        <v>10</v>
      </c>
      <c r="G2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medium</v>
      </c>
      <c r="H230" s="36" t="str">
        <f t="shared" si="3"/>
        <v>very fine to medium</v>
      </c>
      <c r="I2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30" s="36" t="str">
        <f>IF('Input Sheet'!F247=0, "NO",CONCATENATE('Input Sheet'!F247, IF('Input Sheet'!F247&gt;0,"% ","")))</f>
        <v xml:space="preserve">100% </v>
      </c>
      <c r="K2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0" s="36" t="str">
        <f>CONCATENATE(K230, IF('Input Sheet'!I247="",""," siderite in "))</f>
        <v/>
      </c>
      <c r="M2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0" s="36" t="str">
        <f>CONCATENATE(M230, IF('Input Sheet'!J247="",""," siderite in "))</f>
        <v/>
      </c>
    </row>
    <row r="231" spans="1:14" x14ac:dyDescent="0.25">
      <c r="A231" s="51" t="str">
        <f>IF('Input Sheet'!C248="","",CONCATENATE("Sample ", 'Input Sheet'!B248, "m: ", L231, F231, "% ", "Siltstone, ", N231, 'Input Sheet'!C248, "% ", H231, " Sandstone, ", J231, I231, " FLUOR in SST. ", "TG ", 'Input Sheet'!H248, "U"))</f>
        <v>Sample 3075m: 0% Siltstone, 100% fine to medium, rare coarse Sandstone, 100% bright FLUOR in SST. TG 99.7U</v>
      </c>
      <c r="F231" s="36">
        <f>IF('Input Sheet'!C248="","",100-'Input Sheet'!C248)</f>
        <v>0</v>
      </c>
      <c r="G2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31" s="36" t="str">
        <f t="shared" si="3"/>
        <v>fine to medium, rare coarse</v>
      </c>
      <c r="I2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31" s="36" t="str">
        <f>IF('Input Sheet'!F248=0, "NO",CONCATENATE('Input Sheet'!F248, IF('Input Sheet'!F248&gt;0,"% ","")))</f>
        <v xml:space="preserve">100% </v>
      </c>
      <c r="K2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1" s="36" t="str">
        <f>CONCATENATE(K231, IF('Input Sheet'!I248="",""," siderite in "))</f>
        <v/>
      </c>
      <c r="M2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1" s="36" t="str">
        <f>CONCATENATE(M231, IF('Input Sheet'!J248="",""," siderite in "))</f>
        <v/>
      </c>
    </row>
    <row r="232" spans="1:14" x14ac:dyDescent="0.25">
      <c r="A232" s="51" t="str">
        <f>IF('Input Sheet'!C249="","",CONCATENATE("Sample ", 'Input Sheet'!B249, "m: ", L232, F232, "% ", "Siltstone, ", N232, 'Input Sheet'!C249, "% ", H232, " Sandstone, ", J232, I232, " FLUOR in SST. ", "TG ", 'Input Sheet'!H249, "U"))</f>
        <v>Sample 3080m: 0% Siltstone, 100% fine to medium, rare coarse Sandstone, 100% bright FLUOR in SST. TG 73.4U</v>
      </c>
      <c r="F232" s="36">
        <f>IF('Input Sheet'!C249="","",100-'Input Sheet'!C249)</f>
        <v>0</v>
      </c>
      <c r="G2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32" s="36" t="str">
        <f t="shared" si="3"/>
        <v>fine to medium, rare coarse</v>
      </c>
      <c r="I2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32" s="36" t="str">
        <f>IF('Input Sheet'!F249=0, "NO",CONCATENATE('Input Sheet'!F249, IF('Input Sheet'!F249&gt;0,"% ","")))</f>
        <v xml:space="preserve">100% </v>
      </c>
      <c r="K2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2" s="36" t="str">
        <f>CONCATENATE(K232, IF('Input Sheet'!I249="",""," siderite in "))</f>
        <v/>
      </c>
      <c r="M2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2" s="36" t="str">
        <f>CONCATENATE(M232, IF('Input Sheet'!J249="",""," siderite in "))</f>
        <v/>
      </c>
    </row>
    <row r="233" spans="1:14" x14ac:dyDescent="0.25">
      <c r="A233" s="51" t="str">
        <f>IF('Input Sheet'!C250="","",CONCATENATE("Sample ", 'Input Sheet'!B250, "m: ", L233, F233, "% ", "Siltstone, ", N233, 'Input Sheet'!C250, "% ", H233, " Sandstone, ", J233, I233, " FLUOR in SST. ", "TG ", 'Input Sheet'!H250, "U"))</f>
        <v>Sample 3085m: 5% Siltstone, 95% fine to coarse Sandstone, 100% bright FLUOR in SST. TG 66.6U</v>
      </c>
      <c r="F233" s="36">
        <f>IF('Input Sheet'!C250="","",100-'Input Sheet'!C250)</f>
        <v>5</v>
      </c>
      <c r="G2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33" s="36" t="str">
        <f t="shared" si="3"/>
        <v>fine to coarse</v>
      </c>
      <c r="I2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33" s="36" t="str">
        <f>IF('Input Sheet'!F250=0, "NO",CONCATENATE('Input Sheet'!F250, IF('Input Sheet'!F250&gt;0,"% ","")))</f>
        <v xml:space="preserve">100% </v>
      </c>
      <c r="K2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3" s="36" t="str">
        <f>CONCATENATE(K233, IF('Input Sheet'!I250="",""," siderite in "))</f>
        <v/>
      </c>
      <c r="M2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3" s="36" t="str">
        <f>CONCATENATE(M233, IF('Input Sheet'!J250="",""," siderite in "))</f>
        <v/>
      </c>
    </row>
    <row r="234" spans="1:14" x14ac:dyDescent="0.25">
      <c r="A234" s="51" t="str">
        <f>IF('Input Sheet'!C251="","",CONCATENATE("Sample ", 'Input Sheet'!B251, "m: ", L234, F234, "% ", "Siltstone, ", N234, 'Input Sheet'!C251, "% ", H234, " Sandstone, ", J234, I234, " FLUOR in SST. ", "TG ", 'Input Sheet'!H251, "U"))</f>
        <v>Sample 3090m: 5% Siltstone, 95% fine to coarse Sandstone, 100% bright FLUOR in SST. TG 109.2U</v>
      </c>
      <c r="F234" s="36">
        <f>IF('Input Sheet'!C251="","",100-'Input Sheet'!C251)</f>
        <v>5</v>
      </c>
      <c r="G2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34" s="36" t="str">
        <f t="shared" si="3"/>
        <v>fine to coarse</v>
      </c>
      <c r="I2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34" s="36" t="str">
        <f>IF('Input Sheet'!F251=0, "NO",CONCATENATE('Input Sheet'!F251, IF('Input Sheet'!F251&gt;0,"% ","")))</f>
        <v xml:space="preserve">100% </v>
      </c>
      <c r="K2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4" s="36" t="str">
        <f>CONCATENATE(K234, IF('Input Sheet'!I251="",""," siderite in "))</f>
        <v/>
      </c>
      <c r="M2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4" s="36" t="str">
        <f>CONCATENATE(M234, IF('Input Sheet'!J251="",""," siderite in "))</f>
        <v/>
      </c>
    </row>
    <row r="235" spans="1:14" x14ac:dyDescent="0.25">
      <c r="A235" s="51" t="str">
        <f>IF('Input Sheet'!C252="","",CONCATENATE("Sample ", 'Input Sheet'!B252, "m: ", L235, F235, "% ", "Siltstone, ", N235, 'Input Sheet'!C252, "% ", H235, " Sandstone, ", J235, I235, " FLUOR in SST. ", "TG ", 'Input Sheet'!H252, "U"))</f>
        <v>Sample 3095m: 5% Siltstone, 95% fine to medium, rare coarse Sandstone, 100% bright FLUOR in SST. TG 146.8U</v>
      </c>
      <c r="F235" s="36">
        <f>IF('Input Sheet'!C252="","",100-'Input Sheet'!C252)</f>
        <v>5</v>
      </c>
      <c r="G2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35" s="36" t="str">
        <f t="shared" si="3"/>
        <v>fine to medium, rare coarse</v>
      </c>
      <c r="I2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35" s="36" t="str">
        <f>IF('Input Sheet'!F252=0, "NO",CONCATENATE('Input Sheet'!F252, IF('Input Sheet'!F252&gt;0,"% ","")))</f>
        <v xml:space="preserve">100% </v>
      </c>
      <c r="K2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5" s="36" t="str">
        <f>CONCATENATE(K235, IF('Input Sheet'!I252="",""," siderite in "))</f>
        <v/>
      </c>
      <c r="M2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5" s="36" t="str">
        <f>CONCATENATE(M235, IF('Input Sheet'!J252="",""," siderite in "))</f>
        <v/>
      </c>
    </row>
    <row r="236" spans="1:14" x14ac:dyDescent="0.25">
      <c r="A236" s="51" t="str">
        <f>IF('Input Sheet'!C253="","",CONCATENATE("Sample ", 'Input Sheet'!B253, "m: ", L236, F236, "% ", "Siltstone, ", N236, 'Input Sheet'!C253, "% ", H236, " Sandstone, ", J236, I236, " FLUOR in SST. ", "TG ", 'Input Sheet'!H253, "U"))</f>
        <v>Sample 3100m: 5% Siltstone, 95% fine to medium, rare coarse Sandstone, 100% bright FLUOR in SST. TG 137.7U</v>
      </c>
      <c r="F236" s="36">
        <f>IF('Input Sheet'!C253="","",100-'Input Sheet'!C253)</f>
        <v>5</v>
      </c>
      <c r="G2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36" s="36" t="str">
        <f t="shared" si="3"/>
        <v>fine to medium, rare coarse</v>
      </c>
      <c r="I2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36" s="36" t="str">
        <f>IF('Input Sheet'!F253=0, "NO",CONCATENATE('Input Sheet'!F253, IF('Input Sheet'!F253&gt;0,"% ","")))</f>
        <v xml:space="preserve">100% </v>
      </c>
      <c r="K2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6" s="36" t="str">
        <f>CONCATENATE(K236, IF('Input Sheet'!I253="",""," siderite in "))</f>
        <v/>
      </c>
      <c r="M2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6" s="36" t="str">
        <f>CONCATENATE(M236, IF('Input Sheet'!J253="",""," siderite in "))</f>
        <v/>
      </c>
    </row>
    <row r="237" spans="1:14" x14ac:dyDescent="0.25">
      <c r="A237" s="51" t="str">
        <f>IF('Input Sheet'!C254="","",CONCATENATE("Sample ", 'Input Sheet'!B254, "m: ", L237, F237, "% ", "Siltstone, ", N237, 'Input Sheet'!C254, "% ", H237, " Sandstone, ", J237, I237, " FLUOR in SST. ", "TG ", 'Input Sheet'!H254, "U"))</f>
        <v>Sample 3105m: 10% Siltstone, 90% fine to coarse Sandstone, 100% bright FLUOR in SST. TG 110.1U</v>
      </c>
      <c r="F237" s="36">
        <f>IF('Input Sheet'!C254="","",100-'Input Sheet'!C254)</f>
        <v>10</v>
      </c>
      <c r="G2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37" s="36" t="str">
        <f t="shared" si="3"/>
        <v>fine to coarse</v>
      </c>
      <c r="I2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37" s="36" t="str">
        <f>IF('Input Sheet'!F254=0, "NO",CONCATENATE('Input Sheet'!F254, IF('Input Sheet'!F254&gt;0,"% ","")))</f>
        <v xml:space="preserve">100% </v>
      </c>
      <c r="K2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7" s="36" t="str">
        <f>CONCATENATE(K237, IF('Input Sheet'!I254="",""," siderite in "))</f>
        <v/>
      </c>
      <c r="M2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7" s="36" t="str">
        <f>CONCATENATE(M237, IF('Input Sheet'!J254="",""," siderite in "))</f>
        <v/>
      </c>
    </row>
    <row r="238" spans="1:14" x14ac:dyDescent="0.25">
      <c r="A238" s="51" t="str">
        <f>IF('Input Sheet'!C255="","",CONCATENATE("Sample ", 'Input Sheet'!B255, "m: ", L238, F238, "% ", "Siltstone, ", N238, 'Input Sheet'!C255, "% ", H238, " Sandstone, ", J238, I238, " FLUOR in SST. ", "TG ", 'Input Sheet'!H255, "U"))</f>
        <v>Sample 3110m: 10% Siltstone, 90% fine to coarse Sandstone, 100% bright FLUOR in SST. TG 130.4U</v>
      </c>
      <c r="F238" s="36">
        <f>IF('Input Sheet'!C255="","",100-'Input Sheet'!C255)</f>
        <v>10</v>
      </c>
      <c r="G2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38" s="36" t="str">
        <f t="shared" si="3"/>
        <v>fine to coarse</v>
      </c>
      <c r="I2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38" s="36" t="str">
        <f>IF('Input Sheet'!F255=0, "NO",CONCATENATE('Input Sheet'!F255, IF('Input Sheet'!F255&gt;0,"% ","")))</f>
        <v xml:space="preserve">100% </v>
      </c>
      <c r="K2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8" s="36" t="str">
        <f>CONCATENATE(K238, IF('Input Sheet'!I255="",""," siderite in "))</f>
        <v/>
      </c>
      <c r="M2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8" s="36" t="str">
        <f>CONCATENATE(M238, IF('Input Sheet'!J255="",""," siderite in "))</f>
        <v/>
      </c>
    </row>
    <row r="239" spans="1:14" x14ac:dyDescent="0.25">
      <c r="A239" s="51" t="str">
        <f>IF('Input Sheet'!C256="","",CONCATENATE("Sample ", 'Input Sheet'!B256, "m: ", L239, F239, "% ", "Siltstone, ", N239, 'Input Sheet'!C256, "% ", H239, " Sandstone, ", J239, I239, " FLUOR in SST. ", "TG ", 'Input Sheet'!H256, "U"))</f>
        <v>Sample 3115m: 5% Siltstone, 95% fine to medium, rare coarse Sandstone, 100% bright FLUOR in SST. TG 120.9U</v>
      </c>
      <c r="F239" s="36">
        <f>IF('Input Sheet'!C256="","",100-'Input Sheet'!C256)</f>
        <v>5</v>
      </c>
      <c r="G2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39" s="36" t="str">
        <f t="shared" si="3"/>
        <v>fine to medium, rare coarse</v>
      </c>
      <c r="I2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39" s="36" t="str">
        <f>IF('Input Sheet'!F256=0, "NO",CONCATENATE('Input Sheet'!F256, IF('Input Sheet'!F256&gt;0,"% ","")))</f>
        <v xml:space="preserve">100% </v>
      </c>
      <c r="K2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39" s="36" t="str">
        <f>CONCATENATE(K239, IF('Input Sheet'!I256="",""," siderite in "))</f>
        <v/>
      </c>
      <c r="M2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39" s="36" t="str">
        <f>CONCATENATE(M239, IF('Input Sheet'!J256="",""," siderite in "))</f>
        <v/>
      </c>
    </row>
    <row r="240" spans="1:14" x14ac:dyDescent="0.25">
      <c r="A240" s="51" t="str">
        <f>IF('Input Sheet'!C257="","",CONCATENATE("Sample ", 'Input Sheet'!B257, "m: ", L240, F240, "% ", "Siltstone, ", N240, 'Input Sheet'!C257, "% ", H240, " Sandstone, ", J240, I240, " FLUOR in SST. ", "TG ", 'Input Sheet'!H257, "U"))</f>
        <v>Sample 3120m: 5% Siltstone, 95% fine to medium, rare coarse Sandstone, 100% bright FLUOR in SST. TG 142.6U</v>
      </c>
      <c r="F240" s="36">
        <f>IF('Input Sheet'!C257="","",100-'Input Sheet'!C257)</f>
        <v>5</v>
      </c>
      <c r="G2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40" s="36" t="str">
        <f t="shared" si="3"/>
        <v>fine to medium, rare coarse</v>
      </c>
      <c r="I2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40" s="36" t="str">
        <f>IF('Input Sheet'!F257=0, "NO",CONCATENATE('Input Sheet'!F257, IF('Input Sheet'!F257&gt;0,"% ","")))</f>
        <v xml:space="preserve">100% </v>
      </c>
      <c r="K2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0" s="36" t="str">
        <f>CONCATENATE(K240, IF('Input Sheet'!I257="",""," siderite in "))</f>
        <v/>
      </c>
      <c r="M2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0" s="36" t="str">
        <f>CONCATENATE(M240, IF('Input Sheet'!J257="",""," siderite in "))</f>
        <v/>
      </c>
    </row>
    <row r="241" spans="1:14" x14ac:dyDescent="0.25">
      <c r="A241" s="51" t="str">
        <f>IF('Input Sheet'!C258="","",CONCATENATE("Sample ", 'Input Sheet'!B258, "m: ", L241, F241, "% ", "Siltstone, ", N241, 'Input Sheet'!C258, "% ", H241, " Sandstone, ", J241, I241, " FLUOR in SST. ", "TG ", 'Input Sheet'!H258, "U"))</f>
        <v>Sample 3125m: 5% Siltstone, 95% fine to coarse Sandstone, 100% bright FLUOR in SST. TG 119.8U</v>
      </c>
      <c r="F241" s="36">
        <f>IF('Input Sheet'!C258="","",100-'Input Sheet'!C258)</f>
        <v>5</v>
      </c>
      <c r="G2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41" s="36" t="str">
        <f t="shared" si="3"/>
        <v>fine to coarse</v>
      </c>
      <c r="I2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41" s="36" t="str">
        <f>IF('Input Sheet'!F258=0, "NO",CONCATENATE('Input Sheet'!F258, IF('Input Sheet'!F258&gt;0,"% ","")))</f>
        <v xml:space="preserve">100% </v>
      </c>
      <c r="K2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1" s="36" t="str">
        <f>CONCATENATE(K241, IF('Input Sheet'!I258="",""," siderite in "))</f>
        <v/>
      </c>
      <c r="M2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1" s="36" t="str">
        <f>CONCATENATE(M241, IF('Input Sheet'!J258="",""," siderite in "))</f>
        <v/>
      </c>
    </row>
    <row r="242" spans="1:14" x14ac:dyDescent="0.25">
      <c r="A242" s="51" t="str">
        <f>IF('Input Sheet'!C259="","",CONCATENATE("Sample ", 'Input Sheet'!B259, "m: ", L242, F242, "% ", "Siltstone, ", N242, 'Input Sheet'!C259, "% ", H242, " Sandstone, ", J242, I242, " FLUOR in SST. ", "TG ", 'Input Sheet'!H259, "U"))</f>
        <v>Sample 3130m: 5% Siltstone, 95% fine to coarse Sandstone, 100% bright FLUOR in SST. TG 142.5U</v>
      </c>
      <c r="F242" s="36">
        <f>IF('Input Sheet'!C259="","",100-'Input Sheet'!C259)</f>
        <v>5</v>
      </c>
      <c r="G2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42" s="36" t="str">
        <f t="shared" si="3"/>
        <v>fine to coarse</v>
      </c>
      <c r="I2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42" s="36" t="str">
        <f>IF('Input Sheet'!F259=0, "NO",CONCATENATE('Input Sheet'!F259, IF('Input Sheet'!F259&gt;0,"% ","")))</f>
        <v xml:space="preserve">100% </v>
      </c>
      <c r="K2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2" s="36" t="str">
        <f>CONCATENATE(K242, IF('Input Sheet'!I259="",""," siderite in "))</f>
        <v/>
      </c>
      <c r="M2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2" s="36" t="str">
        <f>CONCATENATE(M242, IF('Input Sheet'!J259="",""," siderite in "))</f>
        <v/>
      </c>
    </row>
    <row r="243" spans="1:14" x14ac:dyDescent="0.25">
      <c r="A243" s="51" t="str">
        <f>IF('Input Sheet'!C260="","",CONCATENATE("Sample ", 'Input Sheet'!B260, "m: ", L243, F243, "% ", "Siltstone, ", N243, 'Input Sheet'!C260, "% ", H243, " Sandstone, ", J243, I243, " FLUOR in SST. ", "TG ", 'Input Sheet'!H260, "U"))</f>
        <v>Sample 3135m: 5% Siltstone, 95% fine to medium, rare coarse Sandstone, 100% bright FLUOR in SST. TG 150.3U</v>
      </c>
      <c r="F243" s="36">
        <f>IF('Input Sheet'!C260="","",100-'Input Sheet'!C260)</f>
        <v>5</v>
      </c>
      <c r="G2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43" s="36" t="str">
        <f t="shared" si="3"/>
        <v>fine to medium, rare coarse</v>
      </c>
      <c r="I2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43" s="36" t="str">
        <f>IF('Input Sheet'!F260=0, "NO",CONCATENATE('Input Sheet'!F260, IF('Input Sheet'!F260&gt;0,"% ","")))</f>
        <v xml:space="preserve">100% </v>
      </c>
      <c r="K2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3" s="36" t="str">
        <f>CONCATENATE(K243, IF('Input Sheet'!I260="",""," siderite in "))</f>
        <v/>
      </c>
      <c r="M2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3" s="36" t="str">
        <f>CONCATENATE(M243, IF('Input Sheet'!J260="",""," siderite in "))</f>
        <v/>
      </c>
    </row>
    <row r="244" spans="1:14" x14ac:dyDescent="0.25">
      <c r="A244" s="51" t="str">
        <f>IF('Input Sheet'!C261="","",CONCATENATE("Sample ", 'Input Sheet'!B261, "m: ", L244, F244, "% ", "Siltstone, ", N244, 'Input Sheet'!C261, "% ", H244, " Sandstone, ", J244, I244, " FLUOR in SST. ", "TG ", 'Input Sheet'!H261, "U"))</f>
        <v>Sample 3140m: 5% Siltstone, 95% fine to medium, rare coarse Sandstone, 100% bright FLUOR in SST. TG 145.3U</v>
      </c>
      <c r="F244" s="36">
        <f>IF('Input Sheet'!C261="","",100-'Input Sheet'!C261)</f>
        <v>5</v>
      </c>
      <c r="G2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44" s="36" t="str">
        <f t="shared" si="3"/>
        <v>fine to medium, rare coarse</v>
      </c>
      <c r="I2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44" s="36" t="str">
        <f>IF('Input Sheet'!F261=0, "NO",CONCATENATE('Input Sheet'!F261, IF('Input Sheet'!F261&gt;0,"% ","")))</f>
        <v xml:space="preserve">100% </v>
      </c>
      <c r="K2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4" s="36" t="str">
        <f>CONCATENATE(K244, IF('Input Sheet'!I261="",""," siderite in "))</f>
        <v/>
      </c>
      <c r="M2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4" s="36" t="str">
        <f>CONCATENATE(M244, IF('Input Sheet'!J261="",""," siderite in "))</f>
        <v/>
      </c>
    </row>
    <row r="245" spans="1:14" x14ac:dyDescent="0.25">
      <c r="A245" s="51" t="str">
        <f>IF('Input Sheet'!C262="","",CONCATENATE("Sample ", 'Input Sheet'!B262, "m: ", L245, F245, "% ", "Siltstone, ", N245, 'Input Sheet'!C262, "% ", H245, " Sandstone, ", J245, I245, " FLUOR in SST. ", "TG ", 'Input Sheet'!H262, "U"))</f>
        <v>Sample 3145m: 5% Siltstone, 95% fine to coarse Sandstone, 100% bright FLUOR in SST. TG 126.4U</v>
      </c>
      <c r="F245" s="36">
        <f>IF('Input Sheet'!C262="","",100-'Input Sheet'!C262)</f>
        <v>5</v>
      </c>
      <c r="G2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45" s="36" t="str">
        <f t="shared" si="3"/>
        <v>fine to coarse</v>
      </c>
      <c r="I2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45" s="36" t="str">
        <f>IF('Input Sheet'!F262=0, "NO",CONCATENATE('Input Sheet'!F262, IF('Input Sheet'!F262&gt;0,"% ","")))</f>
        <v xml:space="preserve">100% </v>
      </c>
      <c r="K2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5" s="36" t="str">
        <f>CONCATENATE(K245, IF('Input Sheet'!I262="",""," siderite in "))</f>
        <v/>
      </c>
      <c r="M2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5" s="36" t="str">
        <f>CONCATENATE(M245, IF('Input Sheet'!J262="",""," siderite in "))</f>
        <v/>
      </c>
    </row>
    <row r="246" spans="1:14" x14ac:dyDescent="0.25">
      <c r="A246" s="51" t="str">
        <f>IF('Input Sheet'!C263="","",CONCATENATE("Sample ", 'Input Sheet'!B263, "m: ", L246, F246, "% ", "Siltstone, ", N246, 'Input Sheet'!C263, "% ", H246, " Sandstone, ", J246, I246, " FLUOR in SST. ", "TG ", 'Input Sheet'!H263, "U"))</f>
        <v>Sample 3150m: 5% Siltstone, 95% fine to coarse Sandstone, 100% bright FLUOR in SST. TG 159.2U</v>
      </c>
      <c r="F246" s="36">
        <f>IF('Input Sheet'!C263="","",100-'Input Sheet'!C263)</f>
        <v>5</v>
      </c>
      <c r="G2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46" s="36" t="str">
        <f t="shared" si="3"/>
        <v>fine to coarse</v>
      </c>
      <c r="I2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46" s="36" t="str">
        <f>IF('Input Sheet'!F263=0, "NO",CONCATENATE('Input Sheet'!F263, IF('Input Sheet'!F263&gt;0,"% ","")))</f>
        <v xml:space="preserve">100% </v>
      </c>
      <c r="K2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6" s="36" t="str">
        <f>CONCATENATE(K246, IF('Input Sheet'!I263="",""," siderite in "))</f>
        <v/>
      </c>
      <c r="M2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6" s="36" t="str">
        <f>CONCATENATE(M246, IF('Input Sheet'!J263="",""," siderite in "))</f>
        <v/>
      </c>
    </row>
    <row r="247" spans="1:14" x14ac:dyDescent="0.25">
      <c r="A247" s="51" t="str">
        <f>IF('Input Sheet'!C264="","",CONCATENATE("Sample ", 'Input Sheet'!B264, "m: ", L247, F247, "% ", "Siltstone, ", N247, 'Input Sheet'!C264, "% ", H247, " Sandstone, ", J247, I247, " FLUOR in SST. ", "TG ", 'Input Sheet'!H264, "U"))</f>
        <v>Sample 3155m: 0% Siltstone, 100% fine to coarse Sandstone, 100% bright FLUOR in SST. TG 171.6U</v>
      </c>
      <c r="F247" s="36">
        <f>IF('Input Sheet'!C264="","",100-'Input Sheet'!C264)</f>
        <v>0</v>
      </c>
      <c r="G2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47" s="36" t="str">
        <f t="shared" si="3"/>
        <v>fine to coarse</v>
      </c>
      <c r="I2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47" s="36" t="str">
        <f>IF('Input Sheet'!F264=0, "NO",CONCATENATE('Input Sheet'!F264, IF('Input Sheet'!F264&gt;0,"% ","")))</f>
        <v xml:space="preserve">100% </v>
      </c>
      <c r="K2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7" s="36" t="str">
        <f>CONCATENATE(K247, IF('Input Sheet'!I264="",""," siderite in "))</f>
        <v/>
      </c>
      <c r="M2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7" s="36" t="str">
        <f>CONCATENATE(M247, IF('Input Sheet'!J264="",""," siderite in "))</f>
        <v/>
      </c>
    </row>
    <row r="248" spans="1:14" x14ac:dyDescent="0.25">
      <c r="A248" s="51" t="str">
        <f>IF('Input Sheet'!C265="","",CONCATENATE("Sample ", 'Input Sheet'!B265, "m: ", L248, F248, "% ", "Siltstone, ", N248, 'Input Sheet'!C265, "% ", H248, " Sandstone, ", J248, I248, " FLUOR in SST. ", "TG ", 'Input Sheet'!H265, "U"))</f>
        <v>Sample 3160m: 0% Siltstone, 100% fine to coarse Sandstone, 100% bright FLUOR in SST. TG 69.4U</v>
      </c>
      <c r="F248" s="36">
        <f>IF('Input Sheet'!C265="","",100-'Input Sheet'!C265)</f>
        <v>0</v>
      </c>
      <c r="G2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48" s="36" t="str">
        <f t="shared" si="3"/>
        <v>fine to coarse</v>
      </c>
      <c r="I2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48" s="36" t="str">
        <f>IF('Input Sheet'!F265=0, "NO",CONCATENATE('Input Sheet'!F265, IF('Input Sheet'!F265&gt;0,"% ","")))</f>
        <v xml:space="preserve">100% </v>
      </c>
      <c r="K2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8" s="36" t="str">
        <f>CONCATENATE(K248, IF('Input Sheet'!I265="",""," siderite in "))</f>
        <v/>
      </c>
      <c r="M2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8" s="36" t="str">
        <f>CONCATENATE(M248, IF('Input Sheet'!J265="",""," siderite in "))</f>
        <v/>
      </c>
    </row>
    <row r="249" spans="1:14" x14ac:dyDescent="0.25">
      <c r="A249" s="51" t="str">
        <f>IF('Input Sheet'!C266="","",CONCATENATE("Sample ", 'Input Sheet'!B266, "m: ", L249, F249, "% ", "Siltstone, ", N249, 'Input Sheet'!C266, "% ", H249, " Sandstone, ", J249, I249, " FLUOR in SST. ", "TG ", 'Input Sheet'!H266, "U"))</f>
        <v>Sample 3165m: 5% Siltstone, 95% fine to coarse Sandstone, 100% bright FLUOR in SST. TG 125.6U</v>
      </c>
      <c r="F249" s="36">
        <f>IF('Input Sheet'!C266="","",100-'Input Sheet'!C266)</f>
        <v>5</v>
      </c>
      <c r="G2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49" s="36" t="str">
        <f t="shared" si="3"/>
        <v>fine to coarse</v>
      </c>
      <c r="I2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49" s="36" t="str">
        <f>IF('Input Sheet'!F266=0, "NO",CONCATENATE('Input Sheet'!F266, IF('Input Sheet'!F266&gt;0,"% ","")))</f>
        <v xml:space="preserve">100% </v>
      </c>
      <c r="K2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49" s="36" t="str">
        <f>CONCATENATE(K249, IF('Input Sheet'!I266="",""," siderite in "))</f>
        <v/>
      </c>
      <c r="M2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49" s="36" t="str">
        <f>CONCATENATE(M249, IF('Input Sheet'!J266="",""," siderite in "))</f>
        <v/>
      </c>
    </row>
    <row r="250" spans="1:14" x14ac:dyDescent="0.25">
      <c r="A250" s="51" t="str">
        <f>IF('Input Sheet'!C267="","",CONCATENATE("Sample ", 'Input Sheet'!B267, "m: ", L250, F250, "% ", "Siltstone, ", N250, 'Input Sheet'!C267, "% ", H250, " Sandstone, ", J250, I250, " FLUOR in SST. ", "TG ", 'Input Sheet'!H267, "U"))</f>
        <v>Sample 3170m: 5% Siltstone, 95% fine to coarse Sandstone, 100% bright FLUOR in SST. TG 131.1U</v>
      </c>
      <c r="F250" s="36">
        <f>IF('Input Sheet'!C267="","",100-'Input Sheet'!C267)</f>
        <v>5</v>
      </c>
      <c r="G2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50" s="36" t="str">
        <f t="shared" si="3"/>
        <v>fine to coarse</v>
      </c>
      <c r="I2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50" s="36" t="str">
        <f>IF('Input Sheet'!F267=0, "NO",CONCATENATE('Input Sheet'!F267, IF('Input Sheet'!F267&gt;0,"% ","")))</f>
        <v xml:space="preserve">100% </v>
      </c>
      <c r="K2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0" s="36" t="str">
        <f>CONCATENATE(K250, IF('Input Sheet'!I267="",""," siderite in "))</f>
        <v/>
      </c>
      <c r="M2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0" s="36" t="str">
        <f>CONCATENATE(M250, IF('Input Sheet'!J267="",""," siderite in "))</f>
        <v/>
      </c>
    </row>
    <row r="251" spans="1:14" x14ac:dyDescent="0.25">
      <c r="A251" s="51" t="str">
        <f>IF('Input Sheet'!C268="","",CONCATENATE("Sample ", 'Input Sheet'!B268, "m: ", L251, F251, "% ", "Siltstone, ", N251, 'Input Sheet'!C268, "% ", H251, " Sandstone, ", J251, I251, " FLUOR in SST. ", "TG ", 'Input Sheet'!H268, "U"))</f>
        <v>Sample 3175m: 20% Siltstone, 80% fine to coarse Sandstone, 80% bright FLUOR in SST. TG 122.2U</v>
      </c>
      <c r="F251" s="36">
        <f>IF('Input Sheet'!C268="","",100-'Input Sheet'!C268)</f>
        <v>20</v>
      </c>
      <c r="G2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51" s="36" t="str">
        <f t="shared" si="3"/>
        <v>fine to coarse</v>
      </c>
      <c r="I2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51" s="36" t="str">
        <f>IF('Input Sheet'!F268=0, "NO",CONCATENATE('Input Sheet'!F268, IF('Input Sheet'!F268&gt;0,"% ","")))</f>
        <v xml:space="preserve">80% </v>
      </c>
      <c r="K2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1" s="36" t="str">
        <f>CONCATENATE(K251, IF('Input Sheet'!I268="",""," siderite in "))</f>
        <v/>
      </c>
      <c r="M2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1" s="36" t="str">
        <f>CONCATENATE(M251, IF('Input Sheet'!J268="",""," siderite in "))</f>
        <v/>
      </c>
    </row>
    <row r="252" spans="1:14" x14ac:dyDescent="0.25">
      <c r="A252" s="51" t="str">
        <f>IF('Input Sheet'!C269="","",CONCATENATE("Sample ", 'Input Sheet'!B269, "m: ", L252, F252, "% ", "Siltstone, ", N252, 'Input Sheet'!C269, "% ", H252, " Sandstone, ", J252, I252, " FLUOR in SST. ", "TG ", 'Input Sheet'!H269, "U"))</f>
        <v>Sample 3180m: 20% Siltstone, 80% fine to coarse Sandstone, 80% bright FLUOR in SST. TG 68.6U</v>
      </c>
      <c r="F252" s="36">
        <f>IF('Input Sheet'!C269="","",100-'Input Sheet'!C269)</f>
        <v>20</v>
      </c>
      <c r="G2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52" s="36" t="str">
        <f t="shared" si="3"/>
        <v>fine to coarse</v>
      </c>
      <c r="I2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52" s="36" t="str">
        <f>IF('Input Sheet'!F269=0, "NO",CONCATENATE('Input Sheet'!F269, IF('Input Sheet'!F269&gt;0,"% ","")))</f>
        <v xml:space="preserve">80% </v>
      </c>
      <c r="K2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2" s="36" t="str">
        <f>CONCATENATE(K252, IF('Input Sheet'!I269="",""," siderite in "))</f>
        <v/>
      </c>
      <c r="M2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2" s="36" t="str">
        <f>CONCATENATE(M252, IF('Input Sheet'!J269="",""," siderite in "))</f>
        <v/>
      </c>
    </row>
    <row r="253" spans="1:14" x14ac:dyDescent="0.25">
      <c r="A253" s="51" t="str">
        <f>IF('Input Sheet'!C270="","",CONCATENATE("Sample ", 'Input Sheet'!B270, "m: ", L253, F253, "% ", "Siltstone, ", N253, 'Input Sheet'!C270, "% ", H253, " Sandstone, ", J253, I253, " FLUOR in SST. ", "TG ", 'Input Sheet'!H270, "U"))</f>
        <v>Sample 3185m: 5% Siltstone, 95% fine to medium, rare coarse Sandstone, 100% bright FLUOR in SST. TG 110.8U</v>
      </c>
      <c r="F253" s="36">
        <f>IF('Input Sheet'!C270="","",100-'Input Sheet'!C270)</f>
        <v>5</v>
      </c>
      <c r="G2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53" s="36" t="str">
        <f t="shared" si="3"/>
        <v>fine to medium, rare coarse</v>
      </c>
      <c r="I2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53" s="36" t="str">
        <f>IF('Input Sheet'!F270=0, "NO",CONCATENATE('Input Sheet'!F270, IF('Input Sheet'!F270&gt;0,"% ","")))</f>
        <v xml:space="preserve">100% </v>
      </c>
      <c r="K2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3" s="36" t="str">
        <f>CONCATENATE(K253, IF('Input Sheet'!I270="",""," siderite in "))</f>
        <v/>
      </c>
      <c r="M2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3" s="36" t="str">
        <f>CONCATENATE(M253, IF('Input Sheet'!J270="",""," siderite in "))</f>
        <v/>
      </c>
    </row>
    <row r="254" spans="1:14" x14ac:dyDescent="0.25">
      <c r="A254" s="51" t="str">
        <f>IF('Input Sheet'!C271="","",CONCATENATE("Sample ", 'Input Sheet'!B271, "m: ", L254, F254, "% ", "Siltstone, ", N254, 'Input Sheet'!C271, "% ", H254, " Sandstone, ", J254, I254, " FLUOR in SST. ", "TG ", 'Input Sheet'!H271, "U"))</f>
        <v>Sample 3190m: 5% Siltstone, 95% fine to medium, rare coarse Sandstone, 100% bright FLUOR in SST. TG 147.4U</v>
      </c>
      <c r="F254" s="36">
        <f>IF('Input Sheet'!C271="","",100-'Input Sheet'!C271)</f>
        <v>5</v>
      </c>
      <c r="G2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54" s="36" t="str">
        <f t="shared" si="3"/>
        <v>fine to medium, rare coarse</v>
      </c>
      <c r="I2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54" s="36" t="str">
        <f>IF('Input Sheet'!F271=0, "NO",CONCATENATE('Input Sheet'!F271, IF('Input Sheet'!F271&gt;0,"% ","")))</f>
        <v xml:space="preserve">100% </v>
      </c>
      <c r="K2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4" s="36" t="str">
        <f>CONCATENATE(K254, IF('Input Sheet'!I271="",""," siderite in "))</f>
        <v/>
      </c>
      <c r="M2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4" s="36" t="str">
        <f>CONCATENATE(M254, IF('Input Sheet'!J271="",""," siderite in "))</f>
        <v/>
      </c>
    </row>
    <row r="255" spans="1:14" x14ac:dyDescent="0.25">
      <c r="A255" s="51" t="str">
        <f>IF('Input Sheet'!C272="","",CONCATENATE("Sample ", 'Input Sheet'!B272, "m: ", L255, F255, "% ", "Siltstone, ", N255, 'Input Sheet'!C272, "% ", H255, " Sandstone, ", J255, I255, " FLUOR in SST. ", "TG ", 'Input Sheet'!H272, "U"))</f>
        <v>Sample 3195m: 5% Siltstone, 95% fine to medium, rare coarse Sandstone, 100% bright FLUOR in SST. TG 134.9U</v>
      </c>
      <c r="F255" s="36">
        <f>IF('Input Sheet'!C272="","",100-'Input Sheet'!C272)</f>
        <v>5</v>
      </c>
      <c r="G2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55" s="36" t="str">
        <f t="shared" si="3"/>
        <v>fine to medium, rare coarse</v>
      </c>
      <c r="I2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55" s="36" t="str">
        <f>IF('Input Sheet'!F272=0, "NO",CONCATENATE('Input Sheet'!F272, IF('Input Sheet'!F272&gt;0,"% ","")))</f>
        <v xml:space="preserve">100% </v>
      </c>
      <c r="K2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5" s="36" t="str">
        <f>CONCATENATE(K255, IF('Input Sheet'!I272="",""," siderite in "))</f>
        <v/>
      </c>
      <c r="M2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5" s="36" t="str">
        <f>CONCATENATE(M255, IF('Input Sheet'!J272="",""," siderite in "))</f>
        <v/>
      </c>
    </row>
    <row r="256" spans="1:14" x14ac:dyDescent="0.25">
      <c r="A256" s="51" t="str">
        <f>IF('Input Sheet'!C273="","",CONCATENATE("Sample ", 'Input Sheet'!B273, "m: ", L256, F256, "% ", "Siltstone, ", N256, 'Input Sheet'!C273, "% ", H256, " Sandstone, ", J256, I256, " FLUOR in SST. ", "TG ", 'Input Sheet'!H273, "U"))</f>
        <v>Sample 3200m: 5% Siltstone, 95% fine to medium, rare coarse Sandstone, 100% bright FLUOR in SST. TG 94.9U</v>
      </c>
      <c r="F256" s="36">
        <f>IF('Input Sheet'!C273="","",100-'Input Sheet'!C273)</f>
        <v>5</v>
      </c>
      <c r="G2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56" s="36" t="str">
        <f t="shared" si="3"/>
        <v>fine to medium, rare coarse</v>
      </c>
      <c r="I2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56" s="36" t="str">
        <f>IF('Input Sheet'!F273=0, "NO",CONCATENATE('Input Sheet'!F273, IF('Input Sheet'!F273&gt;0,"% ","")))</f>
        <v xml:space="preserve">100% </v>
      </c>
      <c r="K2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6" s="36" t="str">
        <f>CONCATENATE(K256, IF('Input Sheet'!I273="",""," siderite in "))</f>
        <v/>
      </c>
      <c r="M2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6" s="36" t="str">
        <f>CONCATENATE(M256, IF('Input Sheet'!J273="",""," siderite in "))</f>
        <v/>
      </c>
    </row>
    <row r="257" spans="1:14" x14ac:dyDescent="0.25">
      <c r="A257" s="51" t="str">
        <f>IF('Input Sheet'!C274="","",CONCATENATE("Sample ", 'Input Sheet'!B274, "m: ", L257, F257, "% ", "Siltstone, ", N257, 'Input Sheet'!C274, "% ", H257, " Sandstone, ", J257, I257, " FLUOR in SST. ", "TG ", 'Input Sheet'!H274, "U"))</f>
        <v>Sample 3205m: 0% Siltstone, 100% fine to medium, rare coarse Sandstone, 90% bright FLUOR in SST. TG 99.7U</v>
      </c>
      <c r="F257" s="36">
        <f>IF('Input Sheet'!C274="","",100-'Input Sheet'!C274)</f>
        <v>0</v>
      </c>
      <c r="G2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57" s="36" t="str">
        <f t="shared" si="3"/>
        <v>fine to medium, rare coarse</v>
      </c>
      <c r="I2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57" s="36" t="str">
        <f>IF('Input Sheet'!F274=0, "NO",CONCATENATE('Input Sheet'!F274, IF('Input Sheet'!F274&gt;0,"% ","")))</f>
        <v xml:space="preserve">90% </v>
      </c>
      <c r="K2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7" s="36" t="str">
        <f>CONCATENATE(K257, IF('Input Sheet'!I274="",""," siderite in "))</f>
        <v/>
      </c>
      <c r="M2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7" s="36" t="str">
        <f>CONCATENATE(M257, IF('Input Sheet'!J274="",""," siderite in "))</f>
        <v/>
      </c>
    </row>
    <row r="258" spans="1:14" x14ac:dyDescent="0.25">
      <c r="A258" s="51" t="str">
        <f>IF('Input Sheet'!C275="","",CONCATENATE("Sample ", 'Input Sheet'!B275, "m: ", L258, F258, "% ", "Siltstone, ", N258, 'Input Sheet'!C275, "% ", H258, " Sandstone, ", J258, I258, " FLUOR in SST. ", "TG ", 'Input Sheet'!H275, "U"))</f>
        <v>Sample 3210m: 0% Siltstone, 100% fine to medium, rare coarse Sandstone, 90% bright FLUOR in SST. TG 79.1U</v>
      </c>
      <c r="F258" s="36">
        <f>IF('Input Sheet'!C275="","",100-'Input Sheet'!C275)</f>
        <v>0</v>
      </c>
      <c r="G2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58" s="36" t="str">
        <f t="shared" ref="H258:H321" si="4">SUBSTITUTE(G258, "veryfine", "very fine")</f>
        <v>fine to medium, rare coarse</v>
      </c>
      <c r="I2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58" s="36" t="str">
        <f>IF('Input Sheet'!F275=0, "NO",CONCATENATE('Input Sheet'!F275, IF('Input Sheet'!F275&gt;0,"% ","")))</f>
        <v xml:space="preserve">90% </v>
      </c>
      <c r="K2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8" s="36" t="str">
        <f>CONCATENATE(K258, IF('Input Sheet'!I275="",""," siderite in "))</f>
        <v/>
      </c>
      <c r="M2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8" s="36" t="str">
        <f>CONCATENATE(M258, IF('Input Sheet'!J275="",""," siderite in "))</f>
        <v/>
      </c>
    </row>
    <row r="259" spans="1:14" x14ac:dyDescent="0.25">
      <c r="A259" s="51" t="str">
        <f>IF('Input Sheet'!C276="","",CONCATENATE("Sample ", 'Input Sheet'!B276, "m: ", L259, F259, "% ", "Siltstone, ", N259, 'Input Sheet'!C276, "% ", H259, " Sandstone, ", J259, I259, " FLUOR in SST. ", "TG ", 'Input Sheet'!H276, "U"))</f>
        <v>Sample 3215m: 5% Siltstone, 95% fine to medium, rare coarse Sandstone, 90% moderately bright FLUOR in SST. TG 88U</v>
      </c>
      <c r="F259" s="36">
        <f>IF('Input Sheet'!C276="","",100-'Input Sheet'!C276)</f>
        <v>5</v>
      </c>
      <c r="G2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59" s="36" t="str">
        <f t="shared" si="4"/>
        <v>fine to medium, rare coarse</v>
      </c>
      <c r="I2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59" s="36" t="str">
        <f>IF('Input Sheet'!F276=0, "NO",CONCATENATE('Input Sheet'!F276, IF('Input Sheet'!F276&gt;0,"% ","")))</f>
        <v xml:space="preserve">90% </v>
      </c>
      <c r="K2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59" s="36" t="str">
        <f>CONCATENATE(K259, IF('Input Sheet'!I276="",""," siderite in "))</f>
        <v/>
      </c>
      <c r="M2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59" s="36" t="str">
        <f>CONCATENATE(M259, IF('Input Sheet'!J276="",""," siderite in "))</f>
        <v/>
      </c>
    </row>
    <row r="260" spans="1:14" x14ac:dyDescent="0.25">
      <c r="A260" s="51" t="str">
        <f>IF('Input Sheet'!C277="","",CONCATENATE("Sample ", 'Input Sheet'!B277, "m: ", L260, F260, "% ", "Siltstone, ", N260, 'Input Sheet'!C277, "% ", H260, " Sandstone, ", J260, I260, " FLUOR in SST. ", "TG ", 'Input Sheet'!H277, "U"))</f>
        <v>Sample 3220m: 5% Siltstone, 95% fine to medium, rare coarse Sandstone, 90% moderately bright FLUOR in SST. TG 76.3U</v>
      </c>
      <c r="F260" s="36">
        <f>IF('Input Sheet'!C277="","",100-'Input Sheet'!C277)</f>
        <v>5</v>
      </c>
      <c r="G2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60" s="36" t="str">
        <f t="shared" si="4"/>
        <v>fine to medium, rare coarse</v>
      </c>
      <c r="I2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60" s="36" t="str">
        <f>IF('Input Sheet'!F277=0, "NO",CONCATENATE('Input Sheet'!F277, IF('Input Sheet'!F277&gt;0,"% ","")))</f>
        <v xml:space="preserve">90% </v>
      </c>
      <c r="K2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0" s="36" t="str">
        <f>CONCATENATE(K260, IF('Input Sheet'!I277="",""," siderite in "))</f>
        <v/>
      </c>
      <c r="M2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0" s="36" t="str">
        <f>CONCATENATE(M260, IF('Input Sheet'!J277="",""," siderite in "))</f>
        <v/>
      </c>
    </row>
    <row r="261" spans="1:14" x14ac:dyDescent="0.25">
      <c r="A261" s="51" t="str">
        <f>IF('Input Sheet'!C278="","",CONCATENATE("Sample ", 'Input Sheet'!B278, "m: ", L261, F261, "% ", "Siltstone, ", N261, 'Input Sheet'!C278, "% ", H261, " Sandstone, ", J261, I261, " FLUOR in SST. ", "TG ", 'Input Sheet'!H278, "U"))</f>
        <v>Sample 3225m: trace siderite in 20% Siltstone, 80% fine to medium, rare coarse Sandstone, 50% moderately bright FLUOR in SST. TG 90.2U</v>
      </c>
      <c r="F261" s="36">
        <f>IF('Input Sheet'!C278="","",100-'Input Sheet'!C278)</f>
        <v>20</v>
      </c>
      <c r="G2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61" s="36" t="str">
        <f t="shared" si="4"/>
        <v>fine to medium, rare coarse</v>
      </c>
      <c r="I2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61" s="36" t="str">
        <f>IF('Input Sheet'!F278=0, "NO",CONCATENATE('Input Sheet'!F278, IF('Input Sheet'!F278&gt;0,"% ","")))</f>
        <v xml:space="preserve">50% </v>
      </c>
      <c r="K2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61" s="36" t="str">
        <f>CONCATENATE(K261, IF('Input Sheet'!I278="",""," siderite in "))</f>
        <v xml:space="preserve">trace siderite in </v>
      </c>
      <c r="M2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1" s="36" t="str">
        <f>CONCATENATE(M261, IF('Input Sheet'!J278="",""," siderite in "))</f>
        <v/>
      </c>
    </row>
    <row r="262" spans="1:14" x14ac:dyDescent="0.25">
      <c r="A262" s="51" t="str">
        <f>IF('Input Sheet'!C279="","",CONCATENATE("Sample ", 'Input Sheet'!B279, "m: ", L262, F262, "% ", "Siltstone, ", N262, 'Input Sheet'!C279, "% ", H262, " Sandstone, ", J262, I262, " FLUOR in SST. ", "TG ", 'Input Sheet'!H279, "U"))</f>
        <v>Sample 3230m: trace siderite in 20% Siltstone, 80% fine to medium, rare coarse Sandstone, 50% moderately bright FLUOR in SST. TG 56U</v>
      </c>
      <c r="F262" s="36">
        <f>IF('Input Sheet'!C279="","",100-'Input Sheet'!C279)</f>
        <v>20</v>
      </c>
      <c r="G2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62" s="36" t="str">
        <f t="shared" si="4"/>
        <v>fine to medium, rare coarse</v>
      </c>
      <c r="I2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62" s="36" t="str">
        <f>IF('Input Sheet'!F279=0, "NO",CONCATENATE('Input Sheet'!F279, IF('Input Sheet'!F279&gt;0,"% ","")))</f>
        <v xml:space="preserve">50% </v>
      </c>
      <c r="K2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62" s="36" t="str">
        <f>CONCATENATE(K262, IF('Input Sheet'!I279="",""," siderite in "))</f>
        <v xml:space="preserve">trace siderite in </v>
      </c>
      <c r="M2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2" s="36" t="str">
        <f>CONCATENATE(M262, IF('Input Sheet'!J279="",""," siderite in "))</f>
        <v/>
      </c>
    </row>
    <row r="263" spans="1:14" x14ac:dyDescent="0.25">
      <c r="A263" s="51" t="str">
        <f>IF('Input Sheet'!C280="","",CONCATENATE("Sample ", 'Input Sheet'!B280, "m: ", L263, F263, "% ", "Siltstone, ", N263, 'Input Sheet'!C280, "% ", H263, " Sandstone, ", J263, I263, " FLUOR in SST. ", "TG ", 'Input Sheet'!H280, "U"))</f>
        <v>Sample 3235m: 25% Siltstone, common siderite in 75% fine to coarse Sandstone, 80% moderately bright FLUOR in SST. TG 70.9U</v>
      </c>
      <c r="F263" s="36">
        <f>IF('Input Sheet'!C280="","",100-'Input Sheet'!C280)</f>
        <v>25</v>
      </c>
      <c r="G2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63" s="36" t="str">
        <f t="shared" si="4"/>
        <v>fine to coarse</v>
      </c>
      <c r="I2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63" s="36" t="str">
        <f>IF('Input Sheet'!F280=0, "NO",CONCATENATE('Input Sheet'!F280, IF('Input Sheet'!F280&gt;0,"% ","")))</f>
        <v xml:space="preserve">80% </v>
      </c>
      <c r="K2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3" s="36" t="str">
        <f>CONCATENATE(K263, IF('Input Sheet'!I280="",""," siderite in "))</f>
        <v/>
      </c>
      <c r="M2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N263" s="36" t="str">
        <f>CONCATENATE(M263, IF('Input Sheet'!J280="",""," siderite in "))</f>
        <v xml:space="preserve">common siderite in </v>
      </c>
    </row>
    <row r="264" spans="1:14" x14ac:dyDescent="0.25">
      <c r="A264" s="51" t="str">
        <f>IF('Input Sheet'!C281="","",CONCATENATE("Sample ", 'Input Sheet'!B281, "m: ", L264, F264, "% ", "Siltstone, ", N264, 'Input Sheet'!C281, "% ", H264, " Sandstone, ", J264, I264, " FLUOR in SST. ", "TG ", 'Input Sheet'!H281, "U"))</f>
        <v>Sample 3240m: 20% Siltstone, 80% fine to medium, rare coarse Sandstone, 80% moderately bright FLUOR in SST. TG 67U</v>
      </c>
      <c r="F264" s="36">
        <f>IF('Input Sheet'!C281="","",100-'Input Sheet'!C281)</f>
        <v>20</v>
      </c>
      <c r="G2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64" s="36" t="str">
        <f t="shared" si="4"/>
        <v>fine to medium, rare coarse</v>
      </c>
      <c r="I2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64" s="36" t="str">
        <f>IF('Input Sheet'!F281=0, "NO",CONCATENATE('Input Sheet'!F281, IF('Input Sheet'!F281&gt;0,"% ","")))</f>
        <v xml:space="preserve">80% </v>
      </c>
      <c r="K2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4" s="36" t="str">
        <f>CONCATENATE(K264, IF('Input Sheet'!I281="",""," siderite in "))</f>
        <v/>
      </c>
      <c r="M2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4" s="36" t="str">
        <f>CONCATENATE(M264, IF('Input Sheet'!J281="",""," siderite in "))</f>
        <v/>
      </c>
    </row>
    <row r="265" spans="1:14" x14ac:dyDescent="0.25">
      <c r="A265" s="51" t="str">
        <f>IF('Input Sheet'!C282="","",CONCATENATE("Sample ", 'Input Sheet'!B282, "m: ", L265, F265, "% ", "Siltstone, ", N265, 'Input Sheet'!C282, "% ", H265, " Sandstone, ", J265, I265, " FLUOR in SST. ", "TG ", 'Input Sheet'!H282, "U"))</f>
        <v>Sample 3245m: 10% Siltstone, 90% fine to coarse Sandstone, 100% moderately bright FLUOR in SST. TG 95.2U</v>
      </c>
      <c r="F265" s="36">
        <f>IF('Input Sheet'!C282="","",100-'Input Sheet'!C282)</f>
        <v>10</v>
      </c>
      <c r="G2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65" s="36" t="str">
        <f t="shared" si="4"/>
        <v>fine to coarse</v>
      </c>
      <c r="I2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65" s="36" t="str">
        <f>IF('Input Sheet'!F282=0, "NO",CONCATENATE('Input Sheet'!F282, IF('Input Sheet'!F282&gt;0,"% ","")))</f>
        <v xml:space="preserve">100% </v>
      </c>
      <c r="K2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5" s="36" t="str">
        <f>CONCATENATE(K265, IF('Input Sheet'!I282="",""," siderite in "))</f>
        <v/>
      </c>
      <c r="M2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5" s="36" t="str">
        <f>CONCATENATE(M265, IF('Input Sheet'!J282="",""," siderite in "))</f>
        <v/>
      </c>
    </row>
    <row r="266" spans="1:14" x14ac:dyDescent="0.25">
      <c r="A266" s="51" t="str">
        <f>IF('Input Sheet'!C283="","",CONCATENATE("Sample ", 'Input Sheet'!B283, "m: ", L266, F266, "% ", "Siltstone, ", N266, 'Input Sheet'!C283, "% ", H266, " Sandstone, ", J266, I266, " FLUOR in SST. ", "TG ", 'Input Sheet'!H283, "U"))</f>
        <v>Sample 3250m: 5% Siltstone, 95% fine to medium, rare coarse Sandstone, 100% moderately bright FLUOR in SST. TG 106.8U</v>
      </c>
      <c r="F266" s="36">
        <f>IF('Input Sheet'!C283="","",100-'Input Sheet'!C283)</f>
        <v>5</v>
      </c>
      <c r="G2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66" s="36" t="str">
        <f t="shared" si="4"/>
        <v>fine to medium, rare coarse</v>
      </c>
      <c r="I2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66" s="36" t="str">
        <f>IF('Input Sheet'!F283=0, "NO",CONCATENATE('Input Sheet'!F283, IF('Input Sheet'!F283&gt;0,"% ","")))</f>
        <v xml:space="preserve">100% </v>
      </c>
      <c r="K2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6" s="36" t="str">
        <f>CONCATENATE(K266, IF('Input Sheet'!I283="",""," siderite in "))</f>
        <v/>
      </c>
      <c r="M2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6" s="36" t="str">
        <f>CONCATENATE(M266, IF('Input Sheet'!J283="",""," siderite in "))</f>
        <v/>
      </c>
    </row>
    <row r="267" spans="1:14" x14ac:dyDescent="0.25">
      <c r="A267" s="51" t="str">
        <f>IF('Input Sheet'!C284="","",CONCATENATE("Sample ", 'Input Sheet'!B284, "m: ", L267, F267, "% ", "Siltstone, ", N267, 'Input Sheet'!C284, "% ", H267, " Sandstone, ", J267, I267, " FLUOR in SST. ", "TG ", 'Input Sheet'!H284, "U"))</f>
        <v>Sample 3255m: 15% Siltstone, 85% fine to medium, rare coarse Sandstone, 100% bright FLUOR in SST. TG 63U</v>
      </c>
      <c r="F267" s="36">
        <f>IF('Input Sheet'!C284="","",100-'Input Sheet'!C284)</f>
        <v>15</v>
      </c>
      <c r="G2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67" s="36" t="str">
        <f t="shared" si="4"/>
        <v>fine to medium, rare coarse</v>
      </c>
      <c r="I2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67" s="36" t="str">
        <f>IF('Input Sheet'!F284=0, "NO",CONCATENATE('Input Sheet'!F284, IF('Input Sheet'!F284&gt;0,"% ","")))</f>
        <v xml:space="preserve">100% </v>
      </c>
      <c r="K2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7" s="36" t="str">
        <f>CONCATENATE(K267, IF('Input Sheet'!I284="",""," siderite in "))</f>
        <v/>
      </c>
      <c r="M2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7" s="36" t="str">
        <f>CONCATENATE(M267, IF('Input Sheet'!J284="",""," siderite in "))</f>
        <v/>
      </c>
    </row>
    <row r="268" spans="1:14" x14ac:dyDescent="0.25">
      <c r="A268" s="51" t="str">
        <f>IF('Input Sheet'!C285="","",CONCATENATE("Sample ", 'Input Sheet'!B285, "m: ", L268, F268, "% ", "Siltstone, ", N268, 'Input Sheet'!C285, "% ", H268, " Sandstone, ", J268, I268, " FLUOR in SST. ", "TG ", 'Input Sheet'!H285, "U"))</f>
        <v>Sample 3260m: 15% Siltstone, 85% fine to medium, rare coarse Sandstone, 100% bright FLUOR in SST. TG 96.6U</v>
      </c>
      <c r="F268" s="36">
        <f>IF('Input Sheet'!C285="","",100-'Input Sheet'!C285)</f>
        <v>15</v>
      </c>
      <c r="G2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68" s="36" t="str">
        <f t="shared" si="4"/>
        <v>fine to medium, rare coarse</v>
      </c>
      <c r="I2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68" s="36" t="str">
        <f>IF('Input Sheet'!F285=0, "NO",CONCATENATE('Input Sheet'!F285, IF('Input Sheet'!F285&gt;0,"% ","")))</f>
        <v xml:space="preserve">100% </v>
      </c>
      <c r="K2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8" s="36" t="str">
        <f>CONCATENATE(K268, IF('Input Sheet'!I285="",""," siderite in "))</f>
        <v/>
      </c>
      <c r="M2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8" s="36" t="str">
        <f>CONCATENATE(M268, IF('Input Sheet'!J285="",""," siderite in "))</f>
        <v/>
      </c>
    </row>
    <row r="269" spans="1:14" x14ac:dyDescent="0.25">
      <c r="A269" s="51" t="str">
        <f>IF('Input Sheet'!C286="","",CONCATENATE("Sample ", 'Input Sheet'!B286, "m: ", L269, F269, "% ", "Siltstone, ", N269, 'Input Sheet'!C286, "% ", H269, " Sandstone, ", J269, I269, " FLUOR in SST. ", "TG ", 'Input Sheet'!H286, "U"))</f>
        <v>Sample 3265m: 10% Siltstone, 90% fine to medium, rare coarse Sandstone, 100% bright FLUOR in SST. TG 127.9U</v>
      </c>
      <c r="F269" s="36">
        <f>IF('Input Sheet'!C286="","",100-'Input Sheet'!C286)</f>
        <v>10</v>
      </c>
      <c r="G2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69" s="36" t="str">
        <f t="shared" si="4"/>
        <v>fine to medium, rare coarse</v>
      </c>
      <c r="I2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69" s="36" t="str">
        <f>IF('Input Sheet'!F286=0, "NO",CONCATENATE('Input Sheet'!F286, IF('Input Sheet'!F286&gt;0,"% ","")))</f>
        <v xml:space="preserve">100% </v>
      </c>
      <c r="K2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69" s="36" t="str">
        <f>CONCATENATE(K269, IF('Input Sheet'!I286="",""," siderite in "))</f>
        <v/>
      </c>
      <c r="M2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69" s="36" t="str">
        <f>CONCATENATE(M269, IF('Input Sheet'!J286="",""," siderite in "))</f>
        <v/>
      </c>
    </row>
    <row r="270" spans="1:14" x14ac:dyDescent="0.25">
      <c r="A270" s="51" t="str">
        <f>IF('Input Sheet'!C287="","",CONCATENATE("Sample ", 'Input Sheet'!B287, "m: ", L270, F270, "% ", "Siltstone, ", N270, 'Input Sheet'!C287, "% ", H270, " Sandstone, ", J270, I270, " FLUOR in SST. ", "TG ", 'Input Sheet'!H287, "U"))</f>
        <v>Sample 3270m: 10% Siltstone, 90% fine to medium, rare coarse Sandstone, 100% bright FLUOR in SST. TG 135.6U</v>
      </c>
      <c r="F270" s="36">
        <f>IF('Input Sheet'!C287="","",100-'Input Sheet'!C287)</f>
        <v>10</v>
      </c>
      <c r="G2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70" s="36" t="str">
        <f t="shared" si="4"/>
        <v>fine to medium, rare coarse</v>
      </c>
      <c r="I2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70" s="36" t="str">
        <f>IF('Input Sheet'!F287=0, "NO",CONCATENATE('Input Sheet'!F287, IF('Input Sheet'!F287&gt;0,"% ","")))</f>
        <v xml:space="preserve">100% </v>
      </c>
      <c r="K2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0" s="36" t="str">
        <f>CONCATENATE(K270, IF('Input Sheet'!I287="",""," siderite in "))</f>
        <v/>
      </c>
      <c r="M2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0" s="36" t="str">
        <f>CONCATENATE(M270, IF('Input Sheet'!J287="",""," siderite in "))</f>
        <v/>
      </c>
    </row>
    <row r="271" spans="1:14" x14ac:dyDescent="0.25">
      <c r="A271" s="51" t="str">
        <f>IF('Input Sheet'!C288="","",CONCATENATE("Sample ", 'Input Sheet'!B288, "m: ", L271, F271, "% ", "Siltstone, ", N271, 'Input Sheet'!C288, "% ", H271, " Sandstone, ", J271, I271, " FLUOR in SST. ", "TG ", 'Input Sheet'!H288, "U"))</f>
        <v>Sample 3275m: 5% Siltstone, 95% fine to coarse Sandstone, 100% bright FLUOR in SST. TG 66.8U</v>
      </c>
      <c r="F271" s="36">
        <f>IF('Input Sheet'!C288="","",100-'Input Sheet'!C288)</f>
        <v>5</v>
      </c>
      <c r="G2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71" s="36" t="str">
        <f t="shared" si="4"/>
        <v>fine to coarse</v>
      </c>
      <c r="I2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71" s="36" t="str">
        <f>IF('Input Sheet'!F288=0, "NO",CONCATENATE('Input Sheet'!F288, IF('Input Sheet'!F288&gt;0,"% ","")))</f>
        <v xml:space="preserve">100% </v>
      </c>
      <c r="K2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1" s="36" t="str">
        <f>CONCATENATE(K271, IF('Input Sheet'!I288="",""," siderite in "))</f>
        <v/>
      </c>
      <c r="M2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1" s="36" t="str">
        <f>CONCATENATE(M271, IF('Input Sheet'!J288="",""," siderite in "))</f>
        <v/>
      </c>
    </row>
    <row r="272" spans="1:14" x14ac:dyDescent="0.25">
      <c r="A272" s="51" t="str">
        <f>IF('Input Sheet'!C289="","",CONCATENATE("Sample ", 'Input Sheet'!B289, "m: ", L272, F272, "% ", "Siltstone, ", N272, 'Input Sheet'!C289, "% ", H272, " Sandstone, ", J272, I272, " FLUOR in SST. ", "TG ", 'Input Sheet'!H289, "U"))</f>
        <v>Sample 3280m: 5% Siltstone, 95% fine to coarse Sandstone, 100% bright FLUOR in SST. TG 148.2U</v>
      </c>
      <c r="F272" s="36">
        <f>IF('Input Sheet'!C289="","",100-'Input Sheet'!C289)</f>
        <v>5</v>
      </c>
      <c r="G2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72" s="36" t="str">
        <f t="shared" si="4"/>
        <v>fine to coarse</v>
      </c>
      <c r="I2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72" s="36" t="str">
        <f>IF('Input Sheet'!F289=0, "NO",CONCATENATE('Input Sheet'!F289, IF('Input Sheet'!F289&gt;0,"% ","")))</f>
        <v xml:space="preserve">100% </v>
      </c>
      <c r="K2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2" s="36" t="str">
        <f>CONCATENATE(K272, IF('Input Sheet'!I289="",""," siderite in "))</f>
        <v/>
      </c>
      <c r="M2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2" s="36" t="str">
        <f>CONCATENATE(M272, IF('Input Sheet'!J289="",""," siderite in "))</f>
        <v/>
      </c>
    </row>
    <row r="273" spans="1:14" x14ac:dyDescent="0.25">
      <c r="A273" s="51" t="str">
        <f>IF('Input Sheet'!C290="","",CONCATENATE("Sample ", 'Input Sheet'!B290, "m: ", L273, F273, "% ", "Siltstone, ", N273, 'Input Sheet'!C290, "% ", H273, " Sandstone, ", J273, I273, " FLUOR in SST. ", "TG ", 'Input Sheet'!H290, "U"))</f>
        <v>Sample 3285m: 10% Siltstone, 90% fine to coarse Sandstone, 100% bright FLUOR in SST. TG 119.7U</v>
      </c>
      <c r="F273" s="36">
        <f>IF('Input Sheet'!C290="","",100-'Input Sheet'!C290)</f>
        <v>10</v>
      </c>
      <c r="G2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73" s="36" t="str">
        <f t="shared" si="4"/>
        <v>fine to coarse</v>
      </c>
      <c r="I2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73" s="36" t="str">
        <f>IF('Input Sheet'!F290=0, "NO",CONCATENATE('Input Sheet'!F290, IF('Input Sheet'!F290&gt;0,"% ","")))</f>
        <v xml:space="preserve">100% </v>
      </c>
      <c r="K2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3" s="36" t="str">
        <f>CONCATENATE(K273, IF('Input Sheet'!I290="",""," siderite in "))</f>
        <v/>
      </c>
      <c r="M2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3" s="36" t="str">
        <f>CONCATENATE(M273, IF('Input Sheet'!J290="",""," siderite in "))</f>
        <v/>
      </c>
    </row>
    <row r="274" spans="1:14" x14ac:dyDescent="0.25">
      <c r="A274" s="51" t="str">
        <f>IF('Input Sheet'!C291="","",CONCATENATE("Sample ", 'Input Sheet'!B291, "m: ", L274, F274, "% ", "Siltstone, ", N274, 'Input Sheet'!C291, "% ", H274, " Sandstone, ", J274, I274, " FLUOR in SST. ", "TG ", 'Input Sheet'!H291, "U"))</f>
        <v>Sample 3290m: 10% Siltstone, 90% fine to coarse Sandstone, 100% bright FLUOR in SST. TG 101.9U</v>
      </c>
      <c r="F274" s="36">
        <f>IF('Input Sheet'!C291="","",100-'Input Sheet'!C291)</f>
        <v>10</v>
      </c>
      <c r="G2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74" s="36" t="str">
        <f t="shared" si="4"/>
        <v>fine to coarse</v>
      </c>
      <c r="I2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74" s="36" t="str">
        <f>IF('Input Sheet'!F291=0, "NO",CONCATENATE('Input Sheet'!F291, IF('Input Sheet'!F291&gt;0,"% ","")))</f>
        <v xml:space="preserve">100% </v>
      </c>
      <c r="K2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4" s="36" t="str">
        <f>CONCATENATE(K274, IF('Input Sheet'!I291="",""," siderite in "))</f>
        <v/>
      </c>
      <c r="M2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4" s="36" t="str">
        <f>CONCATENATE(M274, IF('Input Sheet'!J291="",""," siderite in "))</f>
        <v/>
      </c>
    </row>
    <row r="275" spans="1:14" x14ac:dyDescent="0.25">
      <c r="A275" s="51" t="str">
        <f>IF('Input Sheet'!C292="","",CONCATENATE("Sample ", 'Input Sheet'!B292, "m: ", L275, F275, "% ", "Siltstone, ", N275, 'Input Sheet'!C292, "% ", H275, " Sandstone, ", J275, I275, " FLUOR in SST. ", "TG ", 'Input Sheet'!H292, "U"))</f>
        <v>Sample 3295m: 5% Siltstone, 95% fine to coarse Sandstone, 90% bright FLUOR in SST. TG 108U</v>
      </c>
      <c r="F275" s="36">
        <f>IF('Input Sheet'!C292="","",100-'Input Sheet'!C292)</f>
        <v>5</v>
      </c>
      <c r="G2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75" s="36" t="str">
        <f t="shared" si="4"/>
        <v>fine to coarse</v>
      </c>
      <c r="I2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75" s="36" t="str">
        <f>IF('Input Sheet'!F292=0, "NO",CONCATENATE('Input Sheet'!F292, IF('Input Sheet'!F292&gt;0,"% ","")))</f>
        <v xml:space="preserve">90% </v>
      </c>
      <c r="K2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5" s="36" t="str">
        <f>CONCATENATE(K275, IF('Input Sheet'!I292="",""," siderite in "))</f>
        <v/>
      </c>
      <c r="M2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5" s="36" t="str">
        <f>CONCATENATE(M275, IF('Input Sheet'!J292="",""," siderite in "))</f>
        <v/>
      </c>
    </row>
    <row r="276" spans="1:14" x14ac:dyDescent="0.25">
      <c r="A276" s="51" t="str">
        <f>IF('Input Sheet'!C293="","",CONCATENATE("Sample ", 'Input Sheet'!B293, "m: ", L276, F276, "% ", "Siltstone, ", N276, 'Input Sheet'!C293, "% ", H276, " Sandstone, ", J276, I276, " FLUOR in SST. ", "TG ", 'Input Sheet'!H293, "U"))</f>
        <v>Sample 3300m: 5% Siltstone, 95% fine to coarse Sandstone, 90% bright FLUOR in SST. TG 144.8U</v>
      </c>
      <c r="F276" s="36">
        <f>IF('Input Sheet'!C293="","",100-'Input Sheet'!C293)</f>
        <v>5</v>
      </c>
      <c r="G2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76" s="36" t="str">
        <f t="shared" si="4"/>
        <v>fine to coarse</v>
      </c>
      <c r="I2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76" s="36" t="str">
        <f>IF('Input Sheet'!F293=0, "NO",CONCATENATE('Input Sheet'!F293, IF('Input Sheet'!F293&gt;0,"% ","")))</f>
        <v xml:space="preserve">90% </v>
      </c>
      <c r="K2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6" s="36" t="str">
        <f>CONCATENATE(K276, IF('Input Sheet'!I293="",""," siderite in "))</f>
        <v/>
      </c>
      <c r="M2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6" s="36" t="str">
        <f>CONCATENATE(M276, IF('Input Sheet'!J293="",""," siderite in "))</f>
        <v/>
      </c>
    </row>
    <row r="277" spans="1:14" x14ac:dyDescent="0.25">
      <c r="A277" s="51" t="str">
        <f>IF('Input Sheet'!C294="","",CONCATENATE("Sample ", 'Input Sheet'!B294, "m: ", L277, F277, "% ", "Siltstone, ", N277, 'Input Sheet'!C294, "% ", H277, " Sandstone, ", J277, I277, " FLUOR in SST. ", "TG ", 'Input Sheet'!H294, "U"))</f>
        <v>Sample 3305m: 10% Siltstone, 90% fine to medium, rare coarse Sandstone, 100% bright FLUOR in SST. TG 155.1U</v>
      </c>
      <c r="F277" s="36">
        <f>IF('Input Sheet'!C294="","",100-'Input Sheet'!C294)</f>
        <v>10</v>
      </c>
      <c r="G2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77" s="36" t="str">
        <f t="shared" si="4"/>
        <v>fine to medium, rare coarse</v>
      </c>
      <c r="I2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77" s="36" t="str">
        <f>IF('Input Sheet'!F294=0, "NO",CONCATENATE('Input Sheet'!F294, IF('Input Sheet'!F294&gt;0,"% ","")))</f>
        <v xml:space="preserve">100% </v>
      </c>
      <c r="K2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7" s="36" t="str">
        <f>CONCATENATE(K277, IF('Input Sheet'!I294="",""," siderite in "))</f>
        <v/>
      </c>
      <c r="M2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7" s="36" t="str">
        <f>CONCATENATE(M277, IF('Input Sheet'!J294="",""," siderite in "))</f>
        <v/>
      </c>
    </row>
    <row r="278" spans="1:14" x14ac:dyDescent="0.25">
      <c r="A278" s="51" t="str">
        <f>IF('Input Sheet'!C295="","",CONCATENATE("Sample ", 'Input Sheet'!B295, "m: ", L278, F278, "% ", "Siltstone, ", N278, 'Input Sheet'!C295, "% ", H278, " Sandstone, ", J278, I278, " FLUOR in SST. ", "TG ", 'Input Sheet'!H295, "U"))</f>
        <v>Sample 3310m: 10% Siltstone, 90% fine to medium, rare coarse Sandstone, 100% bright FLUOR in SST. TG 140.8U</v>
      </c>
      <c r="F278" s="36">
        <f>IF('Input Sheet'!C295="","",100-'Input Sheet'!C295)</f>
        <v>10</v>
      </c>
      <c r="G2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78" s="36" t="str">
        <f t="shared" si="4"/>
        <v>fine to medium, rare coarse</v>
      </c>
      <c r="I2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78" s="36" t="str">
        <f>IF('Input Sheet'!F295=0, "NO",CONCATENATE('Input Sheet'!F295, IF('Input Sheet'!F295&gt;0,"% ","")))</f>
        <v xml:space="preserve">100% </v>
      </c>
      <c r="K2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8" s="36" t="str">
        <f>CONCATENATE(K278, IF('Input Sheet'!I295="",""," siderite in "))</f>
        <v/>
      </c>
      <c r="M2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8" s="36" t="str">
        <f>CONCATENATE(M278, IF('Input Sheet'!J295="",""," siderite in "))</f>
        <v/>
      </c>
    </row>
    <row r="279" spans="1:14" x14ac:dyDescent="0.25">
      <c r="A279" s="51" t="str">
        <f>IF('Input Sheet'!C296="","",CONCATENATE("Sample ", 'Input Sheet'!B296, "m: ", L279, F279, "% ", "Siltstone, ", N279, 'Input Sheet'!C296, "% ", H279, " Sandstone, ", J279, I279, " FLUOR in SST. ", "TG ", 'Input Sheet'!H296, "U"))</f>
        <v>Sample 3315m: 10% Siltstone, 90% fine to medium, rare coarse Sandstone, 100% bright FLUOR in SST. TG 138.1U</v>
      </c>
      <c r="F279" s="36">
        <f>IF('Input Sheet'!C296="","",100-'Input Sheet'!C296)</f>
        <v>10</v>
      </c>
      <c r="G2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79" s="36" t="str">
        <f t="shared" si="4"/>
        <v>fine to medium, rare coarse</v>
      </c>
      <c r="I2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79" s="36" t="str">
        <f>IF('Input Sheet'!F296=0, "NO",CONCATENATE('Input Sheet'!F296, IF('Input Sheet'!F296&gt;0,"% ","")))</f>
        <v xml:space="preserve">100% </v>
      </c>
      <c r="K2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79" s="36" t="str">
        <f>CONCATENATE(K279, IF('Input Sheet'!I296="",""," siderite in "))</f>
        <v/>
      </c>
      <c r="M2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79" s="36" t="str">
        <f>CONCATENATE(M279, IF('Input Sheet'!J296="",""," siderite in "))</f>
        <v/>
      </c>
    </row>
    <row r="280" spans="1:14" x14ac:dyDescent="0.25">
      <c r="A280" s="51" t="str">
        <f>IF('Input Sheet'!C297="","",CONCATENATE("Sample ", 'Input Sheet'!B297, "m: ", L280, F280, "% ", "Siltstone, ", N280, 'Input Sheet'!C297, "% ", H280, " Sandstone, ", J280, I280, " FLUOR in SST. ", "TG ", 'Input Sheet'!H297, "U"))</f>
        <v>Sample 3320m: 10% Siltstone, 90% fine to medium, rare coarse Sandstone, 100% bright FLUOR in SST. TG 190.2U</v>
      </c>
      <c r="F280" s="36">
        <f>IF('Input Sheet'!C297="","",100-'Input Sheet'!C297)</f>
        <v>10</v>
      </c>
      <c r="G2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medium, rare coarse</v>
      </c>
      <c r="H280" s="36" t="str">
        <f t="shared" si="4"/>
        <v>fine to medium, rare coarse</v>
      </c>
      <c r="I2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bright</v>
      </c>
      <c r="J280" s="36" t="str">
        <f>IF('Input Sheet'!F297=0, "NO",CONCATENATE('Input Sheet'!F297, IF('Input Sheet'!F297&gt;0,"% ","")))</f>
        <v xml:space="preserve">100% </v>
      </c>
      <c r="K2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0" s="36" t="str">
        <f>CONCATENATE(K280, IF('Input Sheet'!I297="",""," siderite in "))</f>
        <v/>
      </c>
      <c r="M2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0" s="36" t="str">
        <f>CONCATENATE(M280, IF('Input Sheet'!J297="",""," siderite in "))</f>
        <v/>
      </c>
    </row>
    <row r="281" spans="1:14" x14ac:dyDescent="0.25">
      <c r="A281" s="51" t="str">
        <f>IF('Input Sheet'!C298="","",CONCATENATE("Sample ", 'Input Sheet'!B298, "m: ", L281, F281, "% ", "Siltstone, ", N281, 'Input Sheet'!C298, "% ", H281, " Sandstone, ", J281, I281, " FLUOR in SST. ", "TG ", 'Input Sheet'!H298, "U"))</f>
        <v>Sample 3325m: common siderite in 20% Siltstone, 80% fine to coarse Sandstone, 80% moderately bright FLUOR in SST. TG 165.8U</v>
      </c>
      <c r="F281" s="36">
        <f>IF('Input Sheet'!C298="","",100-'Input Sheet'!C298)</f>
        <v>20</v>
      </c>
      <c r="G2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81" s="36" t="str">
        <f t="shared" si="4"/>
        <v>fine to coarse</v>
      </c>
      <c r="I2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81" s="36" t="str">
        <f>IF('Input Sheet'!F298=0, "NO",CONCATENATE('Input Sheet'!F298, IF('Input Sheet'!F298&gt;0,"% ","")))</f>
        <v xml:space="preserve">80% </v>
      </c>
      <c r="K2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81" s="36" t="str">
        <f>CONCATENATE(K281, IF('Input Sheet'!I298="",""," siderite in "))</f>
        <v xml:space="preserve">common siderite in </v>
      </c>
      <c r="M2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1" s="36" t="str">
        <f>CONCATENATE(M281, IF('Input Sheet'!J298="",""," siderite in "))</f>
        <v/>
      </c>
    </row>
    <row r="282" spans="1:14" x14ac:dyDescent="0.25">
      <c r="A282" s="51" t="str">
        <f>IF('Input Sheet'!C299="","",CONCATENATE("Sample ", 'Input Sheet'!B299, "m: ", L282, F282, "% ", "Siltstone, ", N282, 'Input Sheet'!C299, "% ", H282, " Sandstone, ", J282, I282, " FLUOR in SST. ", "TG ", 'Input Sheet'!H299, "U"))</f>
        <v>Sample 3330m: common siderite in 20% Siltstone, 80% fine to coarse Sandstone, 80% moderately bright FLUOR in SST. TG 121.4U</v>
      </c>
      <c r="F282" s="36">
        <f>IF('Input Sheet'!C299="","",100-'Input Sheet'!C299)</f>
        <v>20</v>
      </c>
      <c r="G2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299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82" s="36" t="str">
        <f t="shared" si="4"/>
        <v>fine to coarse</v>
      </c>
      <c r="I2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299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82" s="36" t="str">
        <f>IF('Input Sheet'!F299=0, "NO",CONCATENATE('Input Sheet'!F299, IF('Input Sheet'!F299&gt;0,"% ","")))</f>
        <v xml:space="preserve">80% </v>
      </c>
      <c r="K2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299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82" s="36" t="str">
        <f>CONCATENATE(K282, IF('Input Sheet'!I299="",""," siderite in "))</f>
        <v xml:space="preserve">common siderite in </v>
      </c>
      <c r="M2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299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2" s="36" t="str">
        <f>CONCATENATE(M282, IF('Input Sheet'!J299="",""," siderite in "))</f>
        <v/>
      </c>
    </row>
    <row r="283" spans="1:14" x14ac:dyDescent="0.25">
      <c r="A283" s="51" t="str">
        <f>IF('Input Sheet'!C300="","",CONCATENATE("Sample ", 'Input Sheet'!B300, "m: ", L283, F283, "% ", "Siltstone, ", N283, 'Input Sheet'!C300, "% ", H283, " Sandstone, ", J283, I283, " FLUOR in SST. ", "TG ", 'Input Sheet'!H300, "U"))</f>
        <v>Sample 3335m: 10% Siltstone, common siderite in 90% fine to coarse Sandstone, 80% moderately bright FLUOR in SST. TG 78.5U</v>
      </c>
      <c r="F283" s="36">
        <f>IF('Input Sheet'!C300="","",100-'Input Sheet'!C300)</f>
        <v>10</v>
      </c>
      <c r="G2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83" s="36" t="str">
        <f t="shared" si="4"/>
        <v>fine to coarse</v>
      </c>
      <c r="I2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83" s="36" t="str">
        <f>IF('Input Sheet'!F300=0, "NO",CONCATENATE('Input Sheet'!F300, IF('Input Sheet'!F300&gt;0,"% ","")))</f>
        <v xml:space="preserve">80% </v>
      </c>
      <c r="K2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3" s="36" t="str">
        <f>CONCATENATE(K283, IF('Input Sheet'!I300="",""," siderite in "))</f>
        <v/>
      </c>
      <c r="M2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N283" s="36" t="str">
        <f>CONCATENATE(M283, IF('Input Sheet'!J300="",""," siderite in "))</f>
        <v xml:space="preserve">common siderite in </v>
      </c>
    </row>
    <row r="284" spans="1:14" x14ac:dyDescent="0.25">
      <c r="A284" s="51" t="str">
        <f>IF('Input Sheet'!C301="","",CONCATENATE("Sample ", 'Input Sheet'!B301, "m: ", L284, F284, "% ", "Siltstone, ", N284, 'Input Sheet'!C301, "% ", H284, " Sandstone, ", J284, I284, " FLUOR in SST. ", "TG ", 'Input Sheet'!H301, "U"))</f>
        <v>Sample 3340m: 10% Siltstone, common siderite in 90% fine to coarse Sandstone, 80% moderately bright FLUOR in SST. TG U</v>
      </c>
      <c r="F284" s="36">
        <f>IF('Input Sheet'!C301="","",100-'Input Sheet'!C301)</f>
        <v>10</v>
      </c>
      <c r="G2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fine to coarse</v>
      </c>
      <c r="H284" s="36" t="str">
        <f t="shared" si="4"/>
        <v>fine to coarse</v>
      </c>
      <c r="I2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84" s="36" t="str">
        <f>IF('Input Sheet'!F301=0, "NO",CONCATENATE('Input Sheet'!F301, IF('Input Sheet'!F301&gt;0,"% ","")))</f>
        <v xml:space="preserve">80% </v>
      </c>
      <c r="K2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84" s="36" t="str">
        <f>CONCATENATE(K284, IF('Input Sheet'!I301="",""," siderite in "))</f>
        <v/>
      </c>
      <c r="M2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N284" s="36" t="str">
        <f>CONCATENATE(M284, IF('Input Sheet'!J301="",""," siderite in "))</f>
        <v xml:space="preserve">common siderite in </v>
      </c>
    </row>
    <row r="285" spans="1:14" x14ac:dyDescent="0.25">
      <c r="A285" s="51" t="str">
        <f>IF('Input Sheet'!C302="","",CONCATENATE("Sample ", 'Input Sheet'!B302, "m: ", L285, F285, "% ", "Siltstone, ", N285, 'Input Sheet'!C302, "% ", H285, " Sandstone, ", J285, I285, " FLUOR in SST. ", "TG ", 'Input Sheet'!H302, "U"))</f>
        <v>Sample 3345m: common siderite in 25% Siltstone, 75% very fine to coarse Sandstone, 80% moderately bright FLUOR in SST. TG U</v>
      </c>
      <c r="F285" s="36">
        <f>IF('Input Sheet'!C302="","",100-'Input Sheet'!C302)</f>
        <v>25</v>
      </c>
      <c r="G2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85" s="36" t="str">
        <f t="shared" si="4"/>
        <v>very fine to coarse</v>
      </c>
      <c r="I2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85" s="36" t="str">
        <f>IF('Input Sheet'!F302=0, "NO",CONCATENATE('Input Sheet'!F302, IF('Input Sheet'!F302&gt;0,"% ","")))</f>
        <v xml:space="preserve">80% </v>
      </c>
      <c r="K2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85" s="36" t="str">
        <f>CONCATENATE(K285, IF('Input Sheet'!I302="",""," siderite in "))</f>
        <v xml:space="preserve">common siderite in </v>
      </c>
      <c r="M2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5" s="36" t="str">
        <f>CONCATENATE(M285, IF('Input Sheet'!J302="",""," siderite in "))</f>
        <v/>
      </c>
    </row>
    <row r="286" spans="1:14" x14ac:dyDescent="0.25">
      <c r="A286" s="51" t="str">
        <f>IF('Input Sheet'!C303="","",CONCATENATE("Sample ", 'Input Sheet'!B303, "m: ", L286, F286, "% ", "Siltstone, ", N286, 'Input Sheet'!C303, "% ", H286, " Sandstone, ", J286, I286, " FLUOR in SST. ", "TG ", 'Input Sheet'!H303, "U"))</f>
        <v>Sample 3350m: common siderite in 25% Siltstone, 75% very fine to coarse Sandstone, 80% moderately bright FLUOR in SST. TG U</v>
      </c>
      <c r="F286" s="36">
        <f>IF('Input Sheet'!C303="","",100-'Input Sheet'!C303)</f>
        <v>25</v>
      </c>
      <c r="G2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86" s="36" t="str">
        <f t="shared" si="4"/>
        <v>very fine to coarse</v>
      </c>
      <c r="I2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86" s="36" t="str">
        <f>IF('Input Sheet'!F303=0, "NO",CONCATENATE('Input Sheet'!F303, IF('Input Sheet'!F303&gt;0,"% ","")))</f>
        <v xml:space="preserve">80% </v>
      </c>
      <c r="K2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86" s="36" t="str">
        <f>CONCATENATE(K286, IF('Input Sheet'!I303="",""," siderite in "))</f>
        <v xml:space="preserve">common siderite in </v>
      </c>
      <c r="M2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6" s="36" t="str">
        <f>CONCATENATE(M286, IF('Input Sheet'!J303="",""," siderite in "))</f>
        <v/>
      </c>
    </row>
    <row r="287" spans="1:14" x14ac:dyDescent="0.25">
      <c r="A287" s="51" t="str">
        <f>IF('Input Sheet'!C304="","",CONCATENATE("Sample ", 'Input Sheet'!B304, "m: ", L287, F287, "% ", "Siltstone, ", N287, 'Input Sheet'!C304, "% ", H287, " Sandstone, ", J287, I287, " FLUOR in SST. ", "TG ", 'Input Sheet'!H304, "U"))</f>
        <v>Sample 3355m: trace siderite in 30% Siltstone, 70% very fine to coarse Sandstone, 80% moderately bright FLUOR in SST. TG U</v>
      </c>
      <c r="F287" s="36">
        <f>IF('Input Sheet'!C304="","",100-'Input Sheet'!C304)</f>
        <v>30</v>
      </c>
      <c r="G2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87" s="36" t="str">
        <f t="shared" si="4"/>
        <v>very fine to coarse</v>
      </c>
      <c r="I2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87" s="36" t="str">
        <f>IF('Input Sheet'!F304=0, "NO",CONCATENATE('Input Sheet'!F304, IF('Input Sheet'!F304&gt;0,"% ","")))</f>
        <v xml:space="preserve">80% </v>
      </c>
      <c r="K2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87" s="36" t="str">
        <f>CONCATENATE(K287, IF('Input Sheet'!I304="",""," siderite in "))</f>
        <v xml:space="preserve">trace siderite in </v>
      </c>
      <c r="M2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7" s="36" t="str">
        <f>CONCATENATE(M287, IF('Input Sheet'!J304="",""," siderite in "))</f>
        <v/>
      </c>
    </row>
    <row r="288" spans="1:14" x14ac:dyDescent="0.25">
      <c r="A288" s="51" t="str">
        <f>IF('Input Sheet'!C305="","",CONCATENATE("Sample ", 'Input Sheet'!B305, "m: ", L288, F288, "% ", "Siltstone, ", N288, 'Input Sheet'!C305, "% ", H288, " Sandstone, ", J288, I288, " FLUOR in SST. ", "TG ", 'Input Sheet'!H305, "U"))</f>
        <v>Sample 3360m: trace siderite in 30% Siltstone, 70% very fine to coarse Sandstone, 80% moderately bright FLUOR in SST. TG U</v>
      </c>
      <c r="F288" s="36">
        <f>IF('Input Sheet'!C305="","",100-'Input Sheet'!C305)</f>
        <v>30</v>
      </c>
      <c r="G2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88" s="36" t="str">
        <f t="shared" si="4"/>
        <v>very fine to coarse</v>
      </c>
      <c r="I2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88" s="36" t="str">
        <f>IF('Input Sheet'!F305=0, "NO",CONCATENATE('Input Sheet'!F305, IF('Input Sheet'!F305&gt;0,"% ","")))</f>
        <v xml:space="preserve">80% </v>
      </c>
      <c r="K2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88" s="36" t="str">
        <f>CONCATENATE(K288, IF('Input Sheet'!I305="",""," siderite in "))</f>
        <v xml:space="preserve">trace siderite in </v>
      </c>
      <c r="M2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8" s="36" t="str">
        <f>CONCATENATE(M288, IF('Input Sheet'!J305="",""," siderite in "))</f>
        <v/>
      </c>
    </row>
    <row r="289" spans="1:14" x14ac:dyDescent="0.25">
      <c r="A289" s="51" t="str">
        <f>IF('Input Sheet'!C306="","",CONCATENATE("Sample ", 'Input Sheet'!B306, "m: ", L289, F289, "% ", "Siltstone, ", N289, 'Input Sheet'!C306, "% ", H289, " Sandstone, ", J289, I289, " FLUOR in SST. ", "TG ", 'Input Sheet'!H306, "U"))</f>
        <v>Sample 3365m: trace siderite in 35% Siltstone, 65% very fine to coarse Sandstone, 80% moderately bright FLUOR in SST. TG U</v>
      </c>
      <c r="F289" s="36">
        <f>IF('Input Sheet'!C306="","",100-'Input Sheet'!C306)</f>
        <v>35</v>
      </c>
      <c r="G2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89" s="36" t="str">
        <f t="shared" si="4"/>
        <v>very fine to coarse</v>
      </c>
      <c r="I2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89" s="36" t="str">
        <f>IF('Input Sheet'!F306=0, "NO",CONCATENATE('Input Sheet'!F306, IF('Input Sheet'!F306&gt;0,"% ","")))</f>
        <v xml:space="preserve">80% </v>
      </c>
      <c r="K2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89" s="36" t="str">
        <f>CONCATENATE(K289, IF('Input Sheet'!I306="",""," siderite in "))</f>
        <v xml:space="preserve">trace siderite in </v>
      </c>
      <c r="M2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89" s="36" t="str">
        <f>CONCATENATE(M289, IF('Input Sheet'!J306="",""," siderite in "))</f>
        <v/>
      </c>
    </row>
    <row r="290" spans="1:14" x14ac:dyDescent="0.25">
      <c r="A290" s="51" t="str">
        <f>IF('Input Sheet'!C307="","",CONCATENATE("Sample ", 'Input Sheet'!B307, "m: ", L290, F290, "% ", "Siltstone, ", N290, 'Input Sheet'!C307, "% ", H290, " Sandstone, ", J290, I290, " FLUOR in SST. ", "TG ", 'Input Sheet'!H307, "U"))</f>
        <v>Sample 3370m: trace siderite in 35% Siltstone, 65% very fine to coarse Sandstone, 80% moderately bright FLUOR in SST. TG U</v>
      </c>
      <c r="F290" s="36">
        <f>IF('Input Sheet'!C307="","",100-'Input Sheet'!C307)</f>
        <v>35</v>
      </c>
      <c r="G2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coarse</v>
      </c>
      <c r="H290" s="36" t="str">
        <f t="shared" si="4"/>
        <v>very fine to coarse</v>
      </c>
      <c r="I2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90" s="36" t="str">
        <f>IF('Input Sheet'!F307=0, "NO",CONCATENATE('Input Sheet'!F307, IF('Input Sheet'!F307&gt;0,"% ","")))</f>
        <v xml:space="preserve">80% </v>
      </c>
      <c r="K2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trace</v>
      </c>
      <c r="L290" s="36" t="str">
        <f>CONCATENATE(K290, IF('Input Sheet'!I307="",""," siderite in "))</f>
        <v xml:space="preserve">trace siderite in </v>
      </c>
      <c r="M2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0" s="36" t="str">
        <f>CONCATENATE(M290, IF('Input Sheet'!J307="",""," siderite in "))</f>
        <v/>
      </c>
    </row>
    <row r="291" spans="1:14" x14ac:dyDescent="0.25">
      <c r="A291" s="51" t="str">
        <f>IF('Input Sheet'!C308="","",CONCATENATE("Sample ", 'Input Sheet'!B308, "m: ", L291, F291, "% ", "Siltstone, ", N291, 'Input Sheet'!C308, "% ", H291, " Sandstone, ", J291, I291, " FLUOR in SST. ", "TG ", 'Input Sheet'!H308, "U"))</f>
        <v>Sample 3375m: common siderite in 45% Siltstone, 55% very fine to fine Sandstone, 80% moderately bright FLUOR in SST. TG U</v>
      </c>
      <c r="F291" s="36">
        <f>IF('Input Sheet'!C308="","",100-'Input Sheet'!C308)</f>
        <v>45</v>
      </c>
      <c r="G2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fine</v>
      </c>
      <c r="H291" s="36" t="str">
        <f t="shared" si="4"/>
        <v>very fine to fine</v>
      </c>
      <c r="I2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91" s="36" t="str">
        <f>IF('Input Sheet'!F308=0, "NO",CONCATENATE('Input Sheet'!F308, IF('Input Sheet'!F308&gt;0,"% ","")))</f>
        <v xml:space="preserve">80% </v>
      </c>
      <c r="K2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91" s="36" t="str">
        <f>CONCATENATE(K291, IF('Input Sheet'!I308="",""," siderite in "))</f>
        <v xml:space="preserve">common siderite in </v>
      </c>
      <c r="M2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1" s="36" t="str">
        <f>CONCATENATE(M291, IF('Input Sheet'!J308="",""," siderite in "))</f>
        <v/>
      </c>
    </row>
    <row r="292" spans="1:14" x14ac:dyDescent="0.25">
      <c r="A292" s="51" t="str">
        <f>IF('Input Sheet'!C309="","",CONCATENATE("Sample ", 'Input Sheet'!B309, "m: ", L292, F292, "% ", "Siltstone, ", N292, 'Input Sheet'!C309, "% ", H292, " Sandstone, ", J292, I292, " FLUOR in SST. ", "TG ", 'Input Sheet'!H309, "U"))</f>
        <v>Sample 3380m: common siderite in 45% Siltstone, 55% very fine to fine Sandstone, 80% moderately bright FLUOR in SST. TG U</v>
      </c>
      <c r="F292" s="36">
        <f>IF('Input Sheet'!C309="","",100-'Input Sheet'!C309)</f>
        <v>45</v>
      </c>
      <c r="G2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fine</v>
      </c>
      <c r="H292" s="36" t="str">
        <f t="shared" si="4"/>
        <v>very fine to fine</v>
      </c>
      <c r="I2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92" s="36" t="str">
        <f>IF('Input Sheet'!F309=0, "NO",CONCATENATE('Input Sheet'!F309, IF('Input Sheet'!F309&gt;0,"% ","")))</f>
        <v xml:space="preserve">80% </v>
      </c>
      <c r="K2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92" s="36" t="str">
        <f>CONCATENATE(K292, IF('Input Sheet'!I309="",""," siderite in "))</f>
        <v xml:space="preserve">common siderite in </v>
      </c>
      <c r="M2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2" s="36" t="str">
        <f>CONCATENATE(M292, IF('Input Sheet'!J309="",""," siderite in "))</f>
        <v/>
      </c>
    </row>
    <row r="293" spans="1:14" x14ac:dyDescent="0.25">
      <c r="A293" s="51" t="str">
        <f>IF('Input Sheet'!C310="","",CONCATENATE("Sample ", 'Input Sheet'!B310, "m: ", L293, F293, "% ", "Siltstone, ", N293, 'Input Sheet'!C310, "% ", H293, " Sandstone, ", J293, I293, " FLUOR in SST. ", "TG ", 'Input Sheet'!H310, "U"))</f>
        <v>Sample 3385m: common siderite in 50% Siltstone, 50% very fine to fine Sandstone, 80% moderately bright FLUOR in SST. TG U</v>
      </c>
      <c r="F293" s="36">
        <f>IF('Input Sheet'!C310="","",100-'Input Sheet'!C310)</f>
        <v>50</v>
      </c>
      <c r="G2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fine</v>
      </c>
      <c r="H293" s="36" t="str">
        <f t="shared" si="4"/>
        <v>very fine to fine</v>
      </c>
      <c r="I2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93" s="36" t="str">
        <f>IF('Input Sheet'!F310=0, "NO",CONCATENATE('Input Sheet'!F310, IF('Input Sheet'!F310&gt;0,"% ","")))</f>
        <v xml:space="preserve">80% </v>
      </c>
      <c r="K2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93" s="36" t="str">
        <f>CONCATENATE(K293, IF('Input Sheet'!I310="",""," siderite in "))</f>
        <v xml:space="preserve">common siderite in </v>
      </c>
      <c r="M2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3" s="36" t="str">
        <f>CONCATENATE(M293, IF('Input Sheet'!J310="",""," siderite in "))</f>
        <v/>
      </c>
    </row>
    <row r="294" spans="1:14" x14ac:dyDescent="0.25">
      <c r="A294" s="51" t="str">
        <f>IF('Input Sheet'!C311="","",CONCATENATE("Sample ", 'Input Sheet'!B311, "m: ", L294, F294, "% ", "Siltstone, ", N294, 'Input Sheet'!C311, "% ", H294, " Sandstone, ", J294, I294, " FLUOR in SST. ", "TG ", 'Input Sheet'!H311, "U"))</f>
        <v>Sample 3390m: common siderite in 50% Siltstone, 50% very fine to fine Sandstone, 80% moderately bright FLUOR in SST. TG U</v>
      </c>
      <c r="F294" s="36">
        <f>IF('Input Sheet'!C311="","",100-'Input Sheet'!C311)</f>
        <v>50</v>
      </c>
      <c r="G2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fine</v>
      </c>
      <c r="H294" s="36" t="str">
        <f t="shared" si="4"/>
        <v>very fine to fine</v>
      </c>
      <c r="I2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94" s="36" t="str">
        <f>IF('Input Sheet'!F311=0, "NO",CONCATENATE('Input Sheet'!F311, IF('Input Sheet'!F311&gt;0,"% ","")))</f>
        <v xml:space="preserve">80% </v>
      </c>
      <c r="K2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94" s="36" t="str">
        <f>CONCATENATE(K294, IF('Input Sheet'!I311="",""," siderite in "))</f>
        <v xml:space="preserve">common siderite in </v>
      </c>
      <c r="M2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4" s="36" t="str">
        <f>CONCATENATE(M294, IF('Input Sheet'!J311="",""," siderite in "))</f>
        <v/>
      </c>
    </row>
    <row r="295" spans="1:14" x14ac:dyDescent="0.25">
      <c r="A295" s="51" t="str">
        <f>IF('Input Sheet'!C312="","",CONCATENATE("Sample ", 'Input Sheet'!B312, "m: ", L295, F295, "% ", "Siltstone, ", N295, 'Input Sheet'!C312, "% ", H295, " Sandstone, ", J295, I295, " FLUOR in SST. ", "TG ", 'Input Sheet'!H312, "U"))</f>
        <v>Sample 3394m: common siderite in 50% Siltstone, 50% very fine to fine Sandstone, 80% moderately bright FLUOR in SST. TG U</v>
      </c>
      <c r="F295" s="36">
        <f>IF('Input Sheet'!C312="","",100-'Input Sheet'!C312)</f>
        <v>50</v>
      </c>
      <c r="G2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veryfine to fine</v>
      </c>
      <c r="H295" s="36" t="str">
        <f t="shared" si="4"/>
        <v>very fine to fine</v>
      </c>
      <c r="I2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moderately bright</v>
      </c>
      <c r="J295" s="36" t="str">
        <f>IF('Input Sheet'!F312=0, "NO",CONCATENATE('Input Sheet'!F312, IF('Input Sheet'!F312&gt;0,"% ","")))</f>
        <v xml:space="preserve">80% </v>
      </c>
      <c r="K2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>common</v>
      </c>
      <c r="L295" s="36" t="str">
        <f>CONCATENATE(K295, IF('Input Sheet'!I312="",""," siderite in "))</f>
        <v xml:space="preserve">common siderite in </v>
      </c>
      <c r="M2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5" s="36" t="str">
        <f>CONCATENATE(M295, IF('Input Sheet'!J312="",""," siderite in "))</f>
        <v/>
      </c>
    </row>
    <row r="296" spans="1:14" x14ac:dyDescent="0.25">
      <c r="A296" s="51" t="str">
        <f>IF('Input Sheet'!C313="","",CONCATENATE("Sample ", 'Input Sheet'!B313, "m: ", L296, F296, "% ", "Siltstone, ", N296, 'Input Sheet'!C313, "% ", H296, " Sandstone, ", J296, I296, " FLUOR in SST. ", "TG ", 'Input Sheet'!H313, "U"))</f>
        <v/>
      </c>
      <c r="F296" s="36" t="str">
        <f>IF('Input Sheet'!C313="","",100-'Input Sheet'!C313)</f>
        <v/>
      </c>
      <c r="G2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6" s="36" t="str">
        <f t="shared" si="4"/>
        <v/>
      </c>
      <c r="I2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6" s="36" t="str">
        <f>IF('Input Sheet'!F313=0, "NO",CONCATENATE('Input Sheet'!F313, IF('Input Sheet'!F313&gt;0,"% ","")))</f>
        <v>NO</v>
      </c>
      <c r="K2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6" s="36" t="str">
        <f>CONCATENATE(K296, IF('Input Sheet'!I313="",""," siderite in "))</f>
        <v/>
      </c>
      <c r="M2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6" s="36" t="str">
        <f>CONCATENATE(M296, IF('Input Sheet'!J313="",""," siderite in "))</f>
        <v/>
      </c>
    </row>
    <row r="297" spans="1:14" x14ac:dyDescent="0.25">
      <c r="A297" s="51" t="str">
        <f>IF('Input Sheet'!C314="","",CONCATENATE("Sample ", 'Input Sheet'!B314, "m: ", L297, F297, "% ", "Siltstone, ", N297, 'Input Sheet'!C314, "% ", H297, " Sandstone, ", J297, I297, " FLUOR in SST. ", "TG ", 'Input Sheet'!H314, "U"))</f>
        <v/>
      </c>
      <c r="F297" s="36" t="str">
        <f>IF('Input Sheet'!C314="","",100-'Input Sheet'!C314)</f>
        <v/>
      </c>
      <c r="G2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7" s="36" t="str">
        <f t="shared" si="4"/>
        <v/>
      </c>
      <c r="I2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7" s="36" t="str">
        <f>IF('Input Sheet'!F314=0, "NO",CONCATENATE('Input Sheet'!F314, IF('Input Sheet'!F314&gt;0,"% ","")))</f>
        <v>NO</v>
      </c>
      <c r="K2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7" s="36" t="str">
        <f>CONCATENATE(K297, IF('Input Sheet'!I314="",""," siderite in "))</f>
        <v/>
      </c>
      <c r="M2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7" s="36" t="str">
        <f>CONCATENATE(M297, IF('Input Sheet'!J314="",""," siderite in "))</f>
        <v/>
      </c>
    </row>
    <row r="298" spans="1:14" x14ac:dyDescent="0.25">
      <c r="A298" s="51" t="str">
        <f>IF('Input Sheet'!C315="","",CONCATENATE("Sample ", 'Input Sheet'!B315, "m: ", L298, F298, "% ", "Siltstone, ", N298, 'Input Sheet'!C315, "% ", H298, " Sandstone, ", J298, I298, " FLUOR in SST. ", "TG ", 'Input Sheet'!H315, "U"))</f>
        <v/>
      </c>
      <c r="F298" s="36" t="str">
        <f>IF('Input Sheet'!C315="","",100-'Input Sheet'!C315)</f>
        <v/>
      </c>
      <c r="G2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8" s="36" t="str">
        <f t="shared" si="4"/>
        <v/>
      </c>
      <c r="I2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8" s="36" t="str">
        <f>IF('Input Sheet'!F315=0, "NO",CONCATENATE('Input Sheet'!F315, IF('Input Sheet'!F315&gt;0,"% ","")))</f>
        <v>NO</v>
      </c>
      <c r="K2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8" s="36" t="str">
        <f>CONCATENATE(K298, IF('Input Sheet'!I315="",""," siderite in "))</f>
        <v/>
      </c>
      <c r="M2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8" s="36" t="str">
        <f>CONCATENATE(M298, IF('Input Sheet'!J315="",""," siderite in "))</f>
        <v/>
      </c>
    </row>
    <row r="299" spans="1:14" x14ac:dyDescent="0.25">
      <c r="A299" s="51" t="str">
        <f>IF('Input Sheet'!C316="","",CONCATENATE("Sample ", 'Input Sheet'!B316, "m: ", L299, F299, "% ", "Siltstone, ", N299, 'Input Sheet'!C316, "% ", H299, " Sandstone, ", J299, I299, " FLUOR in SST. ", "TG ", 'Input Sheet'!H316, "U"))</f>
        <v/>
      </c>
      <c r="F299" s="36" t="str">
        <f>IF('Input Sheet'!C316="","",100-'Input Sheet'!C316)</f>
        <v/>
      </c>
      <c r="G2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299" s="36" t="str">
        <f t="shared" si="4"/>
        <v/>
      </c>
      <c r="I2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299" s="36" t="str">
        <f>IF('Input Sheet'!F316=0, "NO",CONCATENATE('Input Sheet'!F316, IF('Input Sheet'!F316&gt;0,"% ","")))</f>
        <v>NO</v>
      </c>
      <c r="K2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299" s="36" t="str">
        <f>CONCATENATE(K299, IF('Input Sheet'!I316="",""," siderite in "))</f>
        <v/>
      </c>
      <c r="M2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299" s="36" t="str">
        <f>CONCATENATE(M299, IF('Input Sheet'!J316="",""," siderite in "))</f>
        <v/>
      </c>
    </row>
    <row r="300" spans="1:14" x14ac:dyDescent="0.25">
      <c r="A300" s="51" t="str">
        <f>IF('Input Sheet'!C317="","",CONCATENATE("Sample ", 'Input Sheet'!B317, "m: ", L300, F300, "% ", "Siltstone, ", N300, 'Input Sheet'!C317, "% ", H300, " Sandstone, ", J300, I300, " FLUOR in SST. ", "TG ", 'Input Sheet'!H317, "U"))</f>
        <v/>
      </c>
      <c r="F300" s="36" t="str">
        <f>IF('Input Sheet'!C317="","",100-'Input Sheet'!C317)</f>
        <v/>
      </c>
      <c r="G3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0" s="36" t="str">
        <f t="shared" si="4"/>
        <v/>
      </c>
      <c r="I3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0" s="36" t="str">
        <f>IF('Input Sheet'!F317=0, "NO",CONCATENATE('Input Sheet'!F317, IF('Input Sheet'!F317&gt;0,"% ","")))</f>
        <v>NO</v>
      </c>
      <c r="K3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0" s="36" t="str">
        <f>CONCATENATE(K300, IF('Input Sheet'!I317="",""," siderite in "))</f>
        <v/>
      </c>
      <c r="M3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0" s="36" t="str">
        <f>CONCATENATE(M300, IF('Input Sheet'!J317="",""," siderite in "))</f>
        <v/>
      </c>
    </row>
    <row r="301" spans="1:14" x14ac:dyDescent="0.25">
      <c r="A301" s="51" t="str">
        <f>IF('Input Sheet'!C318="","",CONCATENATE("Sample ", 'Input Sheet'!B318, "m: ", L301, F301, "% ", "Siltstone, ", N301, 'Input Sheet'!C318, "% ", H301, " Sandstone, ", J301, I301, " FLUOR in SST. ", "TG ", 'Input Sheet'!H318, "U"))</f>
        <v/>
      </c>
      <c r="F301" s="36" t="str">
        <f>IF('Input Sheet'!C318="","",100-'Input Sheet'!C318)</f>
        <v/>
      </c>
      <c r="G3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1" s="36" t="str">
        <f t="shared" si="4"/>
        <v/>
      </c>
      <c r="I3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1" s="36" t="str">
        <f>IF('Input Sheet'!F318=0, "NO",CONCATENATE('Input Sheet'!F318, IF('Input Sheet'!F318&gt;0,"% ","")))</f>
        <v>NO</v>
      </c>
      <c r="K3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1" s="36" t="str">
        <f>CONCATENATE(K301, IF('Input Sheet'!I318="",""," siderite in "))</f>
        <v/>
      </c>
      <c r="M3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1" s="36" t="str">
        <f>CONCATENATE(M301, IF('Input Sheet'!J318="",""," siderite in "))</f>
        <v/>
      </c>
    </row>
    <row r="302" spans="1:14" x14ac:dyDescent="0.25">
      <c r="A302" s="51" t="str">
        <f>IF('Input Sheet'!C319="","",CONCATENATE("Sample ", 'Input Sheet'!B319, "m: ", L302, F302, "% ", "Siltstone, ", N302, 'Input Sheet'!C319, "% ", H302, " Sandstone, ", J302, I302, " FLUOR in SST. ", "TG ", 'Input Sheet'!H319, "U"))</f>
        <v/>
      </c>
      <c r="F302" s="36" t="str">
        <f>IF('Input Sheet'!C319="","",100-'Input Sheet'!C319)</f>
        <v/>
      </c>
      <c r="G3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2" s="36" t="str">
        <f t="shared" si="4"/>
        <v/>
      </c>
      <c r="I3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2" s="36" t="str">
        <f>IF('Input Sheet'!F319=0, "NO",CONCATENATE('Input Sheet'!F319, IF('Input Sheet'!F319&gt;0,"% ","")))</f>
        <v>NO</v>
      </c>
      <c r="K3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2" s="36" t="str">
        <f>CONCATENATE(K302, IF('Input Sheet'!I319="",""," siderite in "))</f>
        <v/>
      </c>
      <c r="M3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2" s="36" t="str">
        <f>CONCATENATE(M302, IF('Input Sheet'!J319="",""," siderite in "))</f>
        <v/>
      </c>
    </row>
    <row r="303" spans="1:14" x14ac:dyDescent="0.25">
      <c r="A303" s="51" t="str">
        <f>IF('Input Sheet'!C320="","",CONCATENATE("Sample ", 'Input Sheet'!B320, "m: ", L303, F303, "% ", "Siltstone, ", N303, 'Input Sheet'!C320, "% ", H303, " Sandstone, ", J303, I303, " FLUOR in SST. ", "TG ", 'Input Sheet'!H320, "U"))</f>
        <v/>
      </c>
      <c r="F303" s="36" t="str">
        <f>IF('Input Sheet'!C320="","",100-'Input Sheet'!C320)</f>
        <v/>
      </c>
      <c r="G3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3" s="36" t="str">
        <f t="shared" si="4"/>
        <v/>
      </c>
      <c r="I3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3" s="36" t="str">
        <f>IF('Input Sheet'!F320=0, "NO",CONCATENATE('Input Sheet'!F320, IF('Input Sheet'!F320&gt;0,"% ","")))</f>
        <v>NO</v>
      </c>
      <c r="K3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3" s="36" t="str">
        <f>CONCATENATE(K303, IF('Input Sheet'!I320="",""," siderite in "))</f>
        <v/>
      </c>
      <c r="M3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3" s="36" t="str">
        <f>CONCATENATE(M303, IF('Input Sheet'!J320="",""," siderite in "))</f>
        <v/>
      </c>
    </row>
    <row r="304" spans="1:14" x14ac:dyDescent="0.25">
      <c r="A304" s="51" t="str">
        <f>IF('Input Sheet'!C321="","",CONCATENATE("Sample ", 'Input Sheet'!B321, "m: ", L304, F304, "% ", "Siltstone, ", N304, 'Input Sheet'!C321, "% ", H304, " Sandstone, ", J304, I304, " FLUOR in SST. ", "TG ", 'Input Sheet'!H321, "U"))</f>
        <v/>
      </c>
      <c r="F304" s="36" t="str">
        <f>IF('Input Sheet'!C321="","",100-'Input Sheet'!C321)</f>
        <v/>
      </c>
      <c r="G3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4" s="36" t="str">
        <f t="shared" si="4"/>
        <v/>
      </c>
      <c r="I3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4" s="36" t="str">
        <f>IF('Input Sheet'!F321=0, "NO",CONCATENATE('Input Sheet'!F321, IF('Input Sheet'!F321&gt;0,"% ","")))</f>
        <v>NO</v>
      </c>
      <c r="K3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4" s="36" t="str">
        <f>CONCATENATE(K304, IF('Input Sheet'!I321="",""," siderite in "))</f>
        <v/>
      </c>
      <c r="M3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4" s="36" t="str">
        <f>CONCATENATE(M304, IF('Input Sheet'!J321="",""," siderite in "))</f>
        <v/>
      </c>
    </row>
    <row r="305" spans="1:14" x14ac:dyDescent="0.25">
      <c r="A305" s="51" t="str">
        <f>IF('Input Sheet'!C322="","",CONCATENATE("Sample ", 'Input Sheet'!B322, "m: ", L305, F305, "% ", "Siltstone, ", N305, 'Input Sheet'!C322, "% ", H305, " Sandstone, ", J305, I305, " FLUOR in SST. ", "TG ", 'Input Sheet'!H322, "U"))</f>
        <v/>
      </c>
      <c r="F305" s="36" t="str">
        <f>IF('Input Sheet'!C322="","",100-'Input Sheet'!C322)</f>
        <v/>
      </c>
      <c r="G3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5" s="36" t="str">
        <f t="shared" si="4"/>
        <v/>
      </c>
      <c r="I3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5" s="36" t="str">
        <f>IF('Input Sheet'!F322=0, "NO",CONCATENATE('Input Sheet'!F322, IF('Input Sheet'!F322&gt;0,"% ","")))</f>
        <v>NO</v>
      </c>
      <c r="K3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5" s="36" t="str">
        <f>CONCATENATE(K305, IF('Input Sheet'!I322="",""," siderite in "))</f>
        <v/>
      </c>
      <c r="M3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5" s="36" t="str">
        <f>CONCATENATE(M305, IF('Input Sheet'!J322="",""," siderite in "))</f>
        <v/>
      </c>
    </row>
    <row r="306" spans="1:14" x14ac:dyDescent="0.25">
      <c r="A306" s="51" t="str">
        <f>IF('Input Sheet'!C323="","",CONCATENATE("Sample ", 'Input Sheet'!B323, "m: ", L306, F306, "% ", "Siltstone, ", N306, 'Input Sheet'!C323, "% ", H306, " Sandstone, ", J306, I306, " FLUOR in SST. ", "TG ", 'Input Sheet'!H323, "U"))</f>
        <v/>
      </c>
      <c r="F306" s="36" t="str">
        <f>IF('Input Sheet'!C323="","",100-'Input Sheet'!C323)</f>
        <v/>
      </c>
      <c r="G3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6" s="36" t="str">
        <f t="shared" si="4"/>
        <v/>
      </c>
      <c r="I3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6" s="36" t="str">
        <f>IF('Input Sheet'!F323=0, "NO",CONCATENATE('Input Sheet'!F323, IF('Input Sheet'!F323&gt;0,"% ","")))</f>
        <v>NO</v>
      </c>
      <c r="K3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6" s="36" t="str">
        <f>CONCATENATE(K306, IF('Input Sheet'!I323="",""," siderite in "))</f>
        <v/>
      </c>
      <c r="M3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6" s="36" t="str">
        <f>CONCATENATE(M306, IF('Input Sheet'!J323="",""," siderite in "))</f>
        <v/>
      </c>
    </row>
    <row r="307" spans="1:14" x14ac:dyDescent="0.25">
      <c r="A307" s="51" t="str">
        <f>IF('Input Sheet'!C324="","",CONCATENATE("Sample ", 'Input Sheet'!B324, "m: ", L307, F307, "% ", "Siltstone, ", N307, 'Input Sheet'!C324, "% ", H307, " Sandstone, ", J307, I307, " FLUOR in SST. ", "TG ", 'Input Sheet'!H324, "U"))</f>
        <v/>
      </c>
      <c r="F307" s="36" t="str">
        <f>IF('Input Sheet'!C324="","",100-'Input Sheet'!C324)</f>
        <v/>
      </c>
      <c r="G3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7" s="36" t="str">
        <f t="shared" si="4"/>
        <v/>
      </c>
      <c r="I3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7" s="36" t="str">
        <f>IF('Input Sheet'!F324=0, "NO",CONCATENATE('Input Sheet'!F324, IF('Input Sheet'!F324&gt;0,"% ","")))</f>
        <v>NO</v>
      </c>
      <c r="K3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7" s="36" t="str">
        <f>CONCATENATE(K307, IF('Input Sheet'!I324="",""," siderite in "))</f>
        <v/>
      </c>
      <c r="M3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7" s="36" t="str">
        <f>CONCATENATE(M307, IF('Input Sheet'!J324="",""," siderite in "))</f>
        <v/>
      </c>
    </row>
    <row r="308" spans="1:14" x14ac:dyDescent="0.25">
      <c r="A308" s="51" t="str">
        <f>IF('Input Sheet'!C325="","",CONCATENATE("Sample ", 'Input Sheet'!B325, "m: ", L308, F308, "% ", "Siltstone, ", N308, 'Input Sheet'!C325, "% ", H308, " Sandstone, ", J308, I308, " FLUOR in SST. ", "TG ", 'Input Sheet'!H325, "U"))</f>
        <v/>
      </c>
      <c r="F308" s="36" t="str">
        <f>IF('Input Sheet'!C325="","",100-'Input Sheet'!C325)</f>
        <v/>
      </c>
      <c r="G3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8" s="36" t="str">
        <f t="shared" si="4"/>
        <v/>
      </c>
      <c r="I3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8" s="36" t="str">
        <f>IF('Input Sheet'!F325=0, "NO",CONCATENATE('Input Sheet'!F325, IF('Input Sheet'!F325&gt;0,"% ","")))</f>
        <v>NO</v>
      </c>
      <c r="K3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8" s="36" t="str">
        <f>CONCATENATE(K308, IF('Input Sheet'!I325="",""," siderite in "))</f>
        <v/>
      </c>
      <c r="M3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8" s="36" t="str">
        <f>CONCATENATE(M308, IF('Input Sheet'!J325="",""," siderite in "))</f>
        <v/>
      </c>
    </row>
    <row r="309" spans="1:14" x14ac:dyDescent="0.25">
      <c r="A309" s="51" t="str">
        <f>IF('Input Sheet'!C326="","",CONCATENATE("Sample ", 'Input Sheet'!B326, "m: ", L309, F309, "% ", "Siltstone, ", N309, 'Input Sheet'!C326, "% ", H309, " Sandstone, ", J309, I309, " FLUOR in SST. ", "TG ", 'Input Sheet'!H326, "U"))</f>
        <v/>
      </c>
      <c r="F309" s="36" t="str">
        <f>IF('Input Sheet'!C326="","",100-'Input Sheet'!C326)</f>
        <v/>
      </c>
      <c r="G3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09" s="36" t="str">
        <f t="shared" si="4"/>
        <v/>
      </c>
      <c r="I3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09" s="36" t="str">
        <f>IF('Input Sheet'!F326=0, "NO",CONCATENATE('Input Sheet'!F326, IF('Input Sheet'!F326&gt;0,"% ","")))</f>
        <v>NO</v>
      </c>
      <c r="K3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09" s="36" t="str">
        <f>CONCATENATE(K309, IF('Input Sheet'!I326="",""," siderite in "))</f>
        <v/>
      </c>
      <c r="M3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09" s="36" t="str">
        <f>CONCATENATE(M309, IF('Input Sheet'!J326="",""," siderite in "))</f>
        <v/>
      </c>
    </row>
    <row r="310" spans="1:14" x14ac:dyDescent="0.25">
      <c r="A310" s="51" t="str">
        <f>IF('Input Sheet'!C327="","",CONCATENATE("Sample ", 'Input Sheet'!B327, "m: ", L310, F310, "% ", "Siltstone, ", N310, 'Input Sheet'!C327, "% ", H310, " Sandstone, ", J310, I310, " FLUOR in SST. ", "TG ", 'Input Sheet'!H327, "U"))</f>
        <v/>
      </c>
      <c r="F310" s="36" t="str">
        <f>IF('Input Sheet'!C327="","",100-'Input Sheet'!C327)</f>
        <v/>
      </c>
      <c r="G3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0" s="36" t="str">
        <f t="shared" si="4"/>
        <v/>
      </c>
      <c r="I3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0" s="36" t="str">
        <f>IF('Input Sheet'!F327=0, "NO",CONCATENATE('Input Sheet'!F327, IF('Input Sheet'!F327&gt;0,"% ","")))</f>
        <v>NO</v>
      </c>
      <c r="K3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0" s="36" t="str">
        <f>CONCATENATE(K310, IF('Input Sheet'!I327="",""," siderite in "))</f>
        <v/>
      </c>
      <c r="M3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0" s="36" t="str">
        <f>CONCATENATE(M310, IF('Input Sheet'!J327="",""," siderite in "))</f>
        <v/>
      </c>
    </row>
    <row r="311" spans="1:14" x14ac:dyDescent="0.25">
      <c r="A311" s="51" t="str">
        <f>IF('Input Sheet'!C328="","",CONCATENATE("Sample ", 'Input Sheet'!B328, "m: ", L311, F311, "% ", "Siltstone, ", N311, 'Input Sheet'!C328, "% ", H311, " Sandstone, ", J311, I311, " FLUOR in SST. ", "TG ", 'Input Sheet'!H328, "U"))</f>
        <v/>
      </c>
      <c r="F311" s="36" t="str">
        <f>IF('Input Sheet'!C328="","",100-'Input Sheet'!C328)</f>
        <v/>
      </c>
      <c r="G3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1" s="36" t="str">
        <f t="shared" si="4"/>
        <v/>
      </c>
      <c r="I3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1" s="36" t="str">
        <f>IF('Input Sheet'!F328=0, "NO",CONCATENATE('Input Sheet'!F328, IF('Input Sheet'!F328&gt;0,"% ","")))</f>
        <v>NO</v>
      </c>
      <c r="K3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1" s="36" t="str">
        <f>CONCATENATE(K311, IF('Input Sheet'!I328="",""," siderite in "))</f>
        <v/>
      </c>
      <c r="M3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1" s="36" t="str">
        <f>CONCATENATE(M311, IF('Input Sheet'!J328="",""," siderite in "))</f>
        <v/>
      </c>
    </row>
    <row r="312" spans="1:14" x14ac:dyDescent="0.25">
      <c r="A312" s="51" t="str">
        <f>IF('Input Sheet'!C329="","",CONCATENATE("Sample ", 'Input Sheet'!B329, "m: ", L312, F312, "% ", "Siltstone, ", N312, 'Input Sheet'!C329, "% ", H312, " Sandstone, ", J312, I312, " FLUOR in SST. ", "TG ", 'Input Sheet'!H329, "U"))</f>
        <v/>
      </c>
      <c r="F312" s="36" t="str">
        <f>IF('Input Sheet'!C329="","",100-'Input Sheet'!C329)</f>
        <v/>
      </c>
      <c r="G3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2" s="36" t="str">
        <f t="shared" si="4"/>
        <v/>
      </c>
      <c r="I3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2" s="36" t="str">
        <f>IF('Input Sheet'!F329=0, "NO",CONCATENATE('Input Sheet'!F329, IF('Input Sheet'!F329&gt;0,"% ","")))</f>
        <v>NO</v>
      </c>
      <c r="K3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2" s="36" t="str">
        <f>CONCATENATE(K312, IF('Input Sheet'!I329="",""," siderite in "))</f>
        <v/>
      </c>
      <c r="M3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2" s="36" t="str">
        <f>CONCATENATE(M312, IF('Input Sheet'!J329="",""," siderite in "))</f>
        <v/>
      </c>
    </row>
    <row r="313" spans="1:14" x14ac:dyDescent="0.25">
      <c r="A313" s="51" t="str">
        <f>IF('Input Sheet'!C330="","",CONCATENATE("Sample ", 'Input Sheet'!B330, "m: ", L313, F313, "% ", "Siltstone, ", N313, 'Input Sheet'!C330, "% ", H313, " Sandstone, ", J313, I313, " FLUOR in SST. ", "TG ", 'Input Sheet'!H330, "U"))</f>
        <v/>
      </c>
      <c r="F313" s="36" t="str">
        <f>IF('Input Sheet'!C330="","",100-'Input Sheet'!C330)</f>
        <v/>
      </c>
      <c r="G3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3" s="36" t="str">
        <f t="shared" si="4"/>
        <v/>
      </c>
      <c r="I3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3" s="36" t="str">
        <f>IF('Input Sheet'!F330=0, "NO",CONCATENATE('Input Sheet'!F330, IF('Input Sheet'!F330&gt;0,"% ","")))</f>
        <v>NO</v>
      </c>
      <c r="K3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3" s="36" t="str">
        <f>CONCATENATE(K313, IF('Input Sheet'!I330="",""," siderite in "))</f>
        <v/>
      </c>
      <c r="M3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3" s="36" t="str">
        <f>CONCATENATE(M313, IF('Input Sheet'!J330="",""," siderite in "))</f>
        <v/>
      </c>
    </row>
    <row r="314" spans="1:14" x14ac:dyDescent="0.25">
      <c r="A314" s="51" t="str">
        <f>IF('Input Sheet'!C331="","",CONCATENATE("Sample ", 'Input Sheet'!B331, "m: ", L314, F314, "% ", "Siltstone, ", N314, 'Input Sheet'!C331, "% ", H314, " Sandstone, ", J314, I314, " FLUOR in SST. ", "TG ", 'Input Sheet'!H331, "U"))</f>
        <v/>
      </c>
      <c r="F314" s="36" t="str">
        <f>IF('Input Sheet'!C331="","",100-'Input Sheet'!C331)</f>
        <v/>
      </c>
      <c r="G3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4" s="36" t="str">
        <f t="shared" si="4"/>
        <v/>
      </c>
      <c r="I3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4" s="36" t="str">
        <f>IF('Input Sheet'!F331=0, "NO",CONCATENATE('Input Sheet'!F331, IF('Input Sheet'!F331&gt;0,"% ","")))</f>
        <v>NO</v>
      </c>
      <c r="K3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4" s="36" t="str">
        <f>CONCATENATE(K314, IF('Input Sheet'!I331="",""," siderite in "))</f>
        <v/>
      </c>
      <c r="M3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4" s="36" t="str">
        <f>CONCATENATE(M314, IF('Input Sheet'!J331="",""," siderite in "))</f>
        <v/>
      </c>
    </row>
    <row r="315" spans="1:14" x14ac:dyDescent="0.25">
      <c r="A315" s="51" t="str">
        <f>IF('Input Sheet'!C332="","",CONCATENATE("Sample ", 'Input Sheet'!B332, "m: ", L315, F315, "% ", "Siltstone, ", N315, 'Input Sheet'!C332, "% ", H315, " Sandstone, ", J315, I315, " FLUOR in SST. ", "TG ", 'Input Sheet'!H332, "U"))</f>
        <v/>
      </c>
      <c r="F315" s="36" t="str">
        <f>IF('Input Sheet'!C332="","",100-'Input Sheet'!C332)</f>
        <v/>
      </c>
      <c r="G3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5" s="36" t="str">
        <f t="shared" si="4"/>
        <v/>
      </c>
      <c r="I3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5" s="36" t="str">
        <f>IF('Input Sheet'!F332=0, "NO",CONCATENATE('Input Sheet'!F332, IF('Input Sheet'!F332&gt;0,"% ","")))</f>
        <v>NO</v>
      </c>
      <c r="K3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5" s="36" t="str">
        <f>CONCATENATE(K315, IF('Input Sheet'!I332="",""," siderite in "))</f>
        <v/>
      </c>
      <c r="M3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5" s="36" t="str">
        <f>CONCATENATE(M315, IF('Input Sheet'!J332="",""," siderite in "))</f>
        <v/>
      </c>
    </row>
    <row r="316" spans="1:14" x14ac:dyDescent="0.25">
      <c r="A316" s="51" t="str">
        <f>IF('Input Sheet'!C333="","",CONCATENATE("Sample ", 'Input Sheet'!B333, "m: ", L316, F316, "% ", "Siltstone, ", N316, 'Input Sheet'!C333, "% ", H316, " Sandstone, ", J316, I316, " FLUOR in SST. ", "TG ", 'Input Sheet'!H333, "U"))</f>
        <v/>
      </c>
      <c r="F316" s="36" t="str">
        <f>IF('Input Sheet'!C333="","",100-'Input Sheet'!C333)</f>
        <v/>
      </c>
      <c r="G3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6" s="36" t="str">
        <f t="shared" si="4"/>
        <v/>
      </c>
      <c r="I3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6" s="36" t="str">
        <f>IF('Input Sheet'!F333=0, "NO",CONCATENATE('Input Sheet'!F333, IF('Input Sheet'!F333&gt;0,"% ","")))</f>
        <v>NO</v>
      </c>
      <c r="K3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6" s="36" t="str">
        <f>CONCATENATE(K316, IF('Input Sheet'!I333="",""," siderite in "))</f>
        <v/>
      </c>
      <c r="M3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6" s="36" t="str">
        <f>CONCATENATE(M316, IF('Input Sheet'!J333="",""," siderite in "))</f>
        <v/>
      </c>
    </row>
    <row r="317" spans="1:14" x14ac:dyDescent="0.25">
      <c r="A317" s="51" t="str">
        <f>IF('Input Sheet'!C334="","",CONCATENATE("Sample ", 'Input Sheet'!B334, "m: ", L317, F317, "% ", "Siltstone, ", N317, 'Input Sheet'!C334, "% ", H317, " Sandstone, ", J317, I317, " FLUOR in SST. ", "TG ", 'Input Sheet'!H334, "U"))</f>
        <v/>
      </c>
      <c r="F317" s="36" t="str">
        <f>IF('Input Sheet'!C334="","",100-'Input Sheet'!C334)</f>
        <v/>
      </c>
      <c r="G3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7" s="36" t="str">
        <f t="shared" si="4"/>
        <v/>
      </c>
      <c r="I3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7" s="36" t="str">
        <f>IF('Input Sheet'!F334=0, "NO",CONCATENATE('Input Sheet'!F334, IF('Input Sheet'!F334&gt;0,"% ","")))</f>
        <v>NO</v>
      </c>
      <c r="K3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7" s="36" t="str">
        <f>CONCATENATE(K317, IF('Input Sheet'!I334="",""," siderite in "))</f>
        <v/>
      </c>
      <c r="M3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7" s="36" t="str">
        <f>CONCATENATE(M317, IF('Input Sheet'!J334="",""," siderite in "))</f>
        <v/>
      </c>
    </row>
    <row r="318" spans="1:14" x14ac:dyDescent="0.25">
      <c r="A318" s="51" t="str">
        <f>IF('Input Sheet'!C335="","",CONCATENATE("Sample ", 'Input Sheet'!B335, "m: ", L318, F318, "% ", "Siltstone, ", N318, 'Input Sheet'!C335, "% ", H318, " Sandstone, ", J318, I318, " FLUOR in SST. ", "TG ", 'Input Sheet'!H335, "U"))</f>
        <v/>
      </c>
      <c r="F318" s="36" t="str">
        <f>IF('Input Sheet'!C335="","",100-'Input Sheet'!C335)</f>
        <v/>
      </c>
      <c r="G3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8" s="36" t="str">
        <f t="shared" si="4"/>
        <v/>
      </c>
      <c r="I3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8" s="36" t="str">
        <f>IF('Input Sheet'!F335=0, "NO",CONCATENATE('Input Sheet'!F335, IF('Input Sheet'!F335&gt;0,"% ","")))</f>
        <v>NO</v>
      </c>
      <c r="K3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8" s="36" t="str">
        <f>CONCATENATE(K318, IF('Input Sheet'!I335="",""," siderite in "))</f>
        <v/>
      </c>
      <c r="M3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8" s="36" t="str">
        <f>CONCATENATE(M318, IF('Input Sheet'!J335="",""," siderite in "))</f>
        <v/>
      </c>
    </row>
    <row r="319" spans="1:14" x14ac:dyDescent="0.25">
      <c r="A319" s="51" t="str">
        <f>IF('Input Sheet'!C336="","",CONCATENATE("Sample ", 'Input Sheet'!B336, "m: ", L319, F319, "% ", "Siltstone, ", N319, 'Input Sheet'!C336, "% ", H319, " Sandstone, ", J319, I319, " FLUOR in SST. ", "TG ", 'Input Sheet'!H336, "U"))</f>
        <v/>
      </c>
      <c r="F319" s="36" t="str">
        <f>IF('Input Sheet'!C336="","",100-'Input Sheet'!C336)</f>
        <v/>
      </c>
      <c r="G3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19" s="36" t="str">
        <f t="shared" si="4"/>
        <v/>
      </c>
      <c r="I3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19" s="36" t="str">
        <f>IF('Input Sheet'!F336=0, "NO",CONCATENATE('Input Sheet'!F336, IF('Input Sheet'!F336&gt;0,"% ","")))</f>
        <v>NO</v>
      </c>
      <c r="K3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19" s="36" t="str">
        <f>CONCATENATE(K319, IF('Input Sheet'!I336="",""," siderite in "))</f>
        <v/>
      </c>
      <c r="M3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19" s="36" t="str">
        <f>CONCATENATE(M319, IF('Input Sheet'!J336="",""," siderite in "))</f>
        <v/>
      </c>
    </row>
    <row r="320" spans="1:14" x14ac:dyDescent="0.25">
      <c r="A320" s="51" t="str">
        <f>IF('Input Sheet'!C337="","",CONCATENATE("Sample ", 'Input Sheet'!B337, "m: ", L320, F320, "% ", "Siltstone, ", N320, 'Input Sheet'!C337, "% ", H320, " Sandstone, ", J320, I320, " FLUOR in SST. ", "TG ", 'Input Sheet'!H337, "U"))</f>
        <v/>
      </c>
      <c r="F320" s="36" t="str">
        <f>IF('Input Sheet'!C337="","",100-'Input Sheet'!C337)</f>
        <v/>
      </c>
      <c r="G3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0" s="36" t="str">
        <f t="shared" si="4"/>
        <v/>
      </c>
      <c r="I3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0" s="36" t="str">
        <f>IF('Input Sheet'!F337=0, "NO",CONCATENATE('Input Sheet'!F337, IF('Input Sheet'!F337&gt;0,"% ","")))</f>
        <v>NO</v>
      </c>
      <c r="K3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0" s="36" t="str">
        <f>CONCATENATE(K320, IF('Input Sheet'!I337="",""," siderite in "))</f>
        <v/>
      </c>
      <c r="M3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0" s="36" t="str">
        <f>CONCATENATE(M320, IF('Input Sheet'!J337="",""," siderite in "))</f>
        <v/>
      </c>
    </row>
    <row r="321" spans="1:14" x14ac:dyDescent="0.25">
      <c r="A321" s="51" t="str">
        <f>IF('Input Sheet'!C338="","",CONCATENATE("Sample ", 'Input Sheet'!B338, "m: ", L321, F321, "% ", "Siltstone, ", N321, 'Input Sheet'!C338, "% ", H321, " Sandstone, ", J321, I321, " FLUOR in SST. ", "TG ", 'Input Sheet'!H338, "U"))</f>
        <v/>
      </c>
      <c r="F321" s="36" t="str">
        <f>IF('Input Sheet'!C338="","",100-'Input Sheet'!C338)</f>
        <v/>
      </c>
      <c r="G3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1" s="36" t="str">
        <f t="shared" si="4"/>
        <v/>
      </c>
      <c r="I3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1" s="36" t="str">
        <f>IF('Input Sheet'!F338=0, "NO",CONCATENATE('Input Sheet'!F338, IF('Input Sheet'!F338&gt;0,"% ","")))</f>
        <v>NO</v>
      </c>
      <c r="K3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1" s="36" t="str">
        <f>CONCATENATE(K321, IF('Input Sheet'!I338="",""," siderite in "))</f>
        <v/>
      </c>
      <c r="M3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1" s="36" t="str">
        <f>CONCATENATE(M321, IF('Input Sheet'!J338="",""," siderite in "))</f>
        <v/>
      </c>
    </row>
    <row r="322" spans="1:14" x14ac:dyDescent="0.25">
      <c r="A322" s="51" t="str">
        <f>IF('Input Sheet'!C339="","",CONCATENATE("Sample ", 'Input Sheet'!B339, "m: ", L322, F322, "% ", "Siltstone, ", N322, 'Input Sheet'!C339, "% ", H322, " Sandstone, ", J322, I322, " FLUOR in SST. ", "TG ", 'Input Sheet'!H339, "U"))</f>
        <v/>
      </c>
      <c r="F322" s="36" t="str">
        <f>IF('Input Sheet'!C339="","",100-'Input Sheet'!C339)</f>
        <v/>
      </c>
      <c r="G3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2" s="36" t="str">
        <f t="shared" ref="H322:H385" si="5">SUBSTITUTE(G322, "veryfine", "very fine")</f>
        <v/>
      </c>
      <c r="I3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2" s="36" t="str">
        <f>IF('Input Sheet'!F339=0, "NO",CONCATENATE('Input Sheet'!F339, IF('Input Sheet'!F339&gt;0,"% ","")))</f>
        <v>NO</v>
      </c>
      <c r="K3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2" s="36" t="str">
        <f>CONCATENATE(K322, IF('Input Sheet'!I339="",""," siderite in "))</f>
        <v/>
      </c>
      <c r="M3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2" s="36" t="str">
        <f>CONCATENATE(M322, IF('Input Sheet'!J339="",""," siderite in "))</f>
        <v/>
      </c>
    </row>
    <row r="323" spans="1:14" x14ac:dyDescent="0.25">
      <c r="A323" s="51" t="str">
        <f>IF('Input Sheet'!C340="","",CONCATENATE("Sample ", 'Input Sheet'!B340, "m: ", L323, F323, "% ", "Siltstone, ", N323, 'Input Sheet'!C340, "% ", H323, " Sandstone, ", J323, I323, " FLUOR in SST. ", "TG ", 'Input Sheet'!H340, "U"))</f>
        <v/>
      </c>
      <c r="F323" s="36" t="str">
        <f>IF('Input Sheet'!C340="","",100-'Input Sheet'!C340)</f>
        <v/>
      </c>
      <c r="G3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3" s="36" t="str">
        <f t="shared" si="5"/>
        <v/>
      </c>
      <c r="I3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3" s="36" t="str">
        <f>IF('Input Sheet'!F340=0, "NO",CONCATENATE('Input Sheet'!F340, IF('Input Sheet'!F340&gt;0,"% ","")))</f>
        <v>NO</v>
      </c>
      <c r="K3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3" s="36" t="str">
        <f>CONCATENATE(K323, IF('Input Sheet'!I340="",""," siderite in "))</f>
        <v/>
      </c>
      <c r="M3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3" s="36" t="str">
        <f>CONCATENATE(M323, IF('Input Sheet'!J340="",""," siderite in "))</f>
        <v/>
      </c>
    </row>
    <row r="324" spans="1:14" x14ac:dyDescent="0.25">
      <c r="A324" s="51" t="str">
        <f>IF('Input Sheet'!C341="","",CONCATENATE("Sample ", 'Input Sheet'!B341, "m: ", L324, F324, "% ", "Siltstone, ", N324, 'Input Sheet'!C341, "% ", H324, " Sandstone, ", J324, I324, " FLUOR in SST. ", "TG ", 'Input Sheet'!H341, "U"))</f>
        <v/>
      </c>
      <c r="F324" s="36" t="str">
        <f>IF('Input Sheet'!C341="","",100-'Input Sheet'!C341)</f>
        <v/>
      </c>
      <c r="G3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4" s="36" t="str">
        <f t="shared" si="5"/>
        <v/>
      </c>
      <c r="I3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4" s="36" t="str">
        <f>IF('Input Sheet'!F341=0, "NO",CONCATENATE('Input Sheet'!F341, IF('Input Sheet'!F341&gt;0,"% ","")))</f>
        <v>NO</v>
      </c>
      <c r="K3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4" s="36" t="str">
        <f>CONCATENATE(K324, IF('Input Sheet'!I341="",""," siderite in "))</f>
        <v/>
      </c>
      <c r="M3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4" s="36" t="str">
        <f>CONCATENATE(M324, IF('Input Sheet'!J341="",""," siderite in "))</f>
        <v/>
      </c>
    </row>
    <row r="325" spans="1:14" x14ac:dyDescent="0.25">
      <c r="A325" s="51" t="str">
        <f>IF('Input Sheet'!C342="","",CONCATENATE("Sample ", 'Input Sheet'!B342, "m: ", L325, F325, "% ", "Siltstone, ", N325, 'Input Sheet'!C342, "% ", H325, " Sandstone, ", J325, I325, " FLUOR in SST. ", "TG ", 'Input Sheet'!H342, "U"))</f>
        <v/>
      </c>
      <c r="F325" s="36" t="str">
        <f>IF('Input Sheet'!C342="","",100-'Input Sheet'!C342)</f>
        <v/>
      </c>
      <c r="G3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5" s="36" t="str">
        <f t="shared" si="5"/>
        <v/>
      </c>
      <c r="I3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5" s="36" t="str">
        <f>IF('Input Sheet'!F342=0, "NO",CONCATENATE('Input Sheet'!F342, IF('Input Sheet'!F342&gt;0,"% ","")))</f>
        <v>NO</v>
      </c>
      <c r="K3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5" s="36" t="str">
        <f>CONCATENATE(K325, IF('Input Sheet'!I342="",""," siderite in "))</f>
        <v/>
      </c>
      <c r="M3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5" s="36" t="str">
        <f>CONCATENATE(M325, IF('Input Sheet'!J342="",""," siderite in "))</f>
        <v/>
      </c>
    </row>
    <row r="326" spans="1:14" x14ac:dyDescent="0.25">
      <c r="A326" s="51" t="str">
        <f>IF('Input Sheet'!C343="","",CONCATENATE("Sample ", 'Input Sheet'!B343, "m: ", L326, F326, "% ", "Siltstone, ", N326, 'Input Sheet'!C343, "% ", H326, " Sandstone, ", J326, I326, " FLUOR in SST. ", "TG ", 'Input Sheet'!H343, "U"))</f>
        <v/>
      </c>
      <c r="F326" s="36" t="str">
        <f>IF('Input Sheet'!C343="","",100-'Input Sheet'!C343)</f>
        <v/>
      </c>
      <c r="G3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6" s="36" t="str">
        <f t="shared" si="5"/>
        <v/>
      </c>
      <c r="I3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6" s="36" t="str">
        <f>IF('Input Sheet'!F343=0, "NO",CONCATENATE('Input Sheet'!F343, IF('Input Sheet'!F343&gt;0,"% ","")))</f>
        <v>NO</v>
      </c>
      <c r="K3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6" s="36" t="str">
        <f>CONCATENATE(K326, IF('Input Sheet'!I343="",""," siderite in "))</f>
        <v/>
      </c>
      <c r="M3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6" s="36" t="str">
        <f>CONCATENATE(M326, IF('Input Sheet'!J343="",""," siderite in "))</f>
        <v/>
      </c>
    </row>
    <row r="327" spans="1:14" x14ac:dyDescent="0.25">
      <c r="A327" s="51" t="str">
        <f>IF('Input Sheet'!C344="","",CONCATENATE("Sample ", 'Input Sheet'!B344, "m: ", L327, F327, "% ", "Siltstone, ", N327, 'Input Sheet'!C344, "% ", H327, " Sandstone, ", J327, I327, " FLUOR in SST. ", "TG ", 'Input Sheet'!H344, "U"))</f>
        <v/>
      </c>
      <c r="F327" s="36" t="str">
        <f>IF('Input Sheet'!C344="","",100-'Input Sheet'!C344)</f>
        <v/>
      </c>
      <c r="G3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7" s="36" t="str">
        <f t="shared" si="5"/>
        <v/>
      </c>
      <c r="I3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7" s="36" t="str">
        <f>IF('Input Sheet'!F344=0, "NO",CONCATENATE('Input Sheet'!F344, IF('Input Sheet'!F344&gt;0,"% ","")))</f>
        <v>NO</v>
      </c>
      <c r="K3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7" s="36" t="str">
        <f>CONCATENATE(K327, IF('Input Sheet'!I344="",""," siderite in "))</f>
        <v/>
      </c>
      <c r="M3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7" s="36" t="str">
        <f>CONCATENATE(M327, IF('Input Sheet'!J344="",""," siderite in "))</f>
        <v/>
      </c>
    </row>
    <row r="328" spans="1:14" x14ac:dyDescent="0.25">
      <c r="A328" s="51" t="str">
        <f>IF('Input Sheet'!C345="","",CONCATENATE("Sample ", 'Input Sheet'!B345, "m: ", L328, F328, "% ", "Siltstone, ", N328, 'Input Sheet'!C345, "% ", H328, " Sandstone, ", J328, I328, " FLUOR in SST. ", "TG ", 'Input Sheet'!H345, "U"))</f>
        <v/>
      </c>
      <c r="F328" s="36" t="str">
        <f>IF('Input Sheet'!C345="","",100-'Input Sheet'!C345)</f>
        <v/>
      </c>
      <c r="G3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8" s="36" t="str">
        <f t="shared" si="5"/>
        <v/>
      </c>
      <c r="I3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8" s="36" t="str">
        <f>IF('Input Sheet'!F345=0, "NO",CONCATENATE('Input Sheet'!F345, IF('Input Sheet'!F345&gt;0,"% ","")))</f>
        <v>NO</v>
      </c>
      <c r="K3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8" s="36" t="str">
        <f>CONCATENATE(K328, IF('Input Sheet'!I345="",""," siderite in "))</f>
        <v/>
      </c>
      <c r="M3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8" s="36" t="str">
        <f>CONCATENATE(M328, IF('Input Sheet'!J345="",""," siderite in "))</f>
        <v/>
      </c>
    </row>
    <row r="329" spans="1:14" x14ac:dyDescent="0.25">
      <c r="A329" s="51" t="str">
        <f>IF('Input Sheet'!C346="","",CONCATENATE("Sample ", 'Input Sheet'!B346, "m: ", L329, F329, "% ", "Siltstone, ", N329, 'Input Sheet'!C346, "% ", H329, " Sandstone, ", J329, I329, " FLUOR in SST. ", "TG ", 'Input Sheet'!H346, "U"))</f>
        <v/>
      </c>
      <c r="F329" s="36" t="str">
        <f>IF('Input Sheet'!C346="","",100-'Input Sheet'!C346)</f>
        <v/>
      </c>
      <c r="G3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29" s="36" t="str">
        <f t="shared" si="5"/>
        <v/>
      </c>
      <c r="I3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29" s="36" t="str">
        <f>IF('Input Sheet'!F346=0, "NO",CONCATENATE('Input Sheet'!F346, IF('Input Sheet'!F346&gt;0,"% ","")))</f>
        <v>NO</v>
      </c>
      <c r="K3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29" s="36" t="str">
        <f>CONCATENATE(K329, IF('Input Sheet'!I346="",""," siderite in "))</f>
        <v/>
      </c>
      <c r="M3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29" s="36" t="str">
        <f>CONCATENATE(M329, IF('Input Sheet'!J346="",""," siderite in "))</f>
        <v/>
      </c>
    </row>
    <row r="330" spans="1:14" x14ac:dyDescent="0.25">
      <c r="A330" s="51" t="str">
        <f>IF('Input Sheet'!C347="","",CONCATENATE("Sample ", 'Input Sheet'!B347, "m: ", L330, F330, "% ", "Siltstone, ", N330, 'Input Sheet'!C347, "% ", H330, " Sandstone, ", J330, I330, " FLUOR in SST. ", "TG ", 'Input Sheet'!H347, "U"))</f>
        <v/>
      </c>
      <c r="F330" s="36" t="str">
        <f>IF('Input Sheet'!C347="","",100-'Input Sheet'!C347)</f>
        <v/>
      </c>
      <c r="G3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0" s="36" t="str">
        <f t="shared" si="5"/>
        <v/>
      </c>
      <c r="I3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0" s="36" t="str">
        <f>IF('Input Sheet'!F347=0, "NO",CONCATENATE('Input Sheet'!F347, IF('Input Sheet'!F347&gt;0,"% ","")))</f>
        <v>NO</v>
      </c>
      <c r="K3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0" s="36" t="str">
        <f>CONCATENATE(K330, IF('Input Sheet'!I347="",""," siderite in "))</f>
        <v/>
      </c>
      <c r="M3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0" s="36" t="str">
        <f>CONCATENATE(M330, IF('Input Sheet'!J347="",""," siderite in "))</f>
        <v/>
      </c>
    </row>
    <row r="331" spans="1:14" x14ac:dyDescent="0.25">
      <c r="A331" s="51" t="str">
        <f>IF('Input Sheet'!C348="","",CONCATENATE("Sample ", 'Input Sheet'!B348, "m: ", L331, F331, "% ", "Siltstone, ", N331, 'Input Sheet'!C348, "% ", H331, " Sandstone, ", J331, I331, " FLUOR in SST. ", "TG ", 'Input Sheet'!H348, "U"))</f>
        <v/>
      </c>
      <c r="F331" s="36" t="str">
        <f>IF('Input Sheet'!C348="","",100-'Input Sheet'!C348)</f>
        <v/>
      </c>
      <c r="G3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1" s="36" t="str">
        <f t="shared" si="5"/>
        <v/>
      </c>
      <c r="I3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1" s="36" t="str">
        <f>IF('Input Sheet'!F348=0, "NO",CONCATENATE('Input Sheet'!F348, IF('Input Sheet'!F348&gt;0,"% ","")))</f>
        <v>NO</v>
      </c>
      <c r="K3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1" s="36" t="str">
        <f>CONCATENATE(K331, IF('Input Sheet'!I348="",""," siderite in "))</f>
        <v/>
      </c>
      <c r="M3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1" s="36" t="str">
        <f>CONCATENATE(M331, IF('Input Sheet'!J348="",""," siderite in "))</f>
        <v/>
      </c>
    </row>
    <row r="332" spans="1:14" x14ac:dyDescent="0.25">
      <c r="A332" s="51" t="str">
        <f>IF('Input Sheet'!C349="","",CONCATENATE("Sample ", 'Input Sheet'!B349, "m: ", L332, F332, "% ", "Siltstone, ", N332, 'Input Sheet'!C349, "% ", H332, " Sandstone, ", J332, I332, " FLUOR in SST. ", "TG ", 'Input Sheet'!H349, "U"))</f>
        <v/>
      </c>
      <c r="F332" s="36" t="str">
        <f>IF('Input Sheet'!C349="","",100-'Input Sheet'!C349)</f>
        <v/>
      </c>
      <c r="G3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2" s="36" t="str">
        <f t="shared" si="5"/>
        <v/>
      </c>
      <c r="I3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2" s="36" t="str">
        <f>IF('Input Sheet'!F349=0, "NO",CONCATENATE('Input Sheet'!F349, IF('Input Sheet'!F349&gt;0,"% ","")))</f>
        <v>NO</v>
      </c>
      <c r="K3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2" s="36" t="str">
        <f>CONCATENATE(K332, IF('Input Sheet'!I349="",""," siderite in "))</f>
        <v/>
      </c>
      <c r="M3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2" s="36" t="str">
        <f>CONCATENATE(M332, IF('Input Sheet'!J349="",""," siderite in "))</f>
        <v/>
      </c>
    </row>
    <row r="333" spans="1:14" x14ac:dyDescent="0.25">
      <c r="A333" s="51" t="str">
        <f>IF('Input Sheet'!C350="","",CONCATENATE("Sample ", 'Input Sheet'!B350, "m: ", L333, F333, "% ", "Siltstone, ", N333, 'Input Sheet'!C350, "% ", H333, " Sandstone, ", J333, I333, " FLUOR in SST. ", "TG ", 'Input Sheet'!H350, "U"))</f>
        <v/>
      </c>
      <c r="F333" s="36" t="str">
        <f>IF('Input Sheet'!C350="","",100-'Input Sheet'!C350)</f>
        <v/>
      </c>
      <c r="G3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3" s="36" t="str">
        <f t="shared" si="5"/>
        <v/>
      </c>
      <c r="I3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3" s="36" t="str">
        <f>IF('Input Sheet'!F350=0, "NO",CONCATENATE('Input Sheet'!F350, IF('Input Sheet'!F350&gt;0,"% ","")))</f>
        <v>NO</v>
      </c>
      <c r="K3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3" s="36" t="str">
        <f>CONCATENATE(K333, IF('Input Sheet'!I350="",""," siderite in "))</f>
        <v/>
      </c>
      <c r="M3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3" s="36" t="str">
        <f>CONCATENATE(M333, IF('Input Sheet'!J350="",""," siderite in "))</f>
        <v/>
      </c>
    </row>
    <row r="334" spans="1:14" x14ac:dyDescent="0.25">
      <c r="A334" s="51" t="str">
        <f>IF('Input Sheet'!C351="","",CONCATENATE("Sample ", 'Input Sheet'!B351, "m: ", L334, F334, "% ", "Siltstone, ", N334, 'Input Sheet'!C351, "% ", H334, " Sandstone, ", J334, I334, " FLUOR in SST. ", "TG ", 'Input Sheet'!H351, "U"))</f>
        <v/>
      </c>
      <c r="F334" s="36" t="str">
        <f>IF('Input Sheet'!C351="","",100-'Input Sheet'!C351)</f>
        <v/>
      </c>
      <c r="G3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4" s="36" t="str">
        <f t="shared" si="5"/>
        <v/>
      </c>
      <c r="I3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4" s="36" t="str">
        <f>IF('Input Sheet'!F351=0, "NO",CONCATENATE('Input Sheet'!F351, IF('Input Sheet'!F351&gt;0,"% ","")))</f>
        <v>NO</v>
      </c>
      <c r="K3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4" s="36" t="str">
        <f>CONCATENATE(K334, IF('Input Sheet'!I351="",""," siderite in "))</f>
        <v/>
      </c>
      <c r="M3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4" s="36" t="str">
        <f>CONCATENATE(M334, IF('Input Sheet'!J351="",""," siderite in "))</f>
        <v/>
      </c>
    </row>
    <row r="335" spans="1:14" x14ac:dyDescent="0.25">
      <c r="A335" s="51" t="str">
        <f>IF('Input Sheet'!C352="","",CONCATENATE("Sample ", 'Input Sheet'!B352, "m: ", L335, F335, "% ", "Siltstone, ", N335, 'Input Sheet'!C352, "% ", H335, " Sandstone, ", J335, I335, " FLUOR in SST. ", "TG ", 'Input Sheet'!H352, "U"))</f>
        <v/>
      </c>
      <c r="F335" s="36" t="str">
        <f>IF('Input Sheet'!C352="","",100-'Input Sheet'!C352)</f>
        <v/>
      </c>
      <c r="G3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5" s="36" t="str">
        <f t="shared" si="5"/>
        <v/>
      </c>
      <c r="I3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5" s="36" t="str">
        <f>IF('Input Sheet'!F352=0, "NO",CONCATENATE('Input Sheet'!F352, IF('Input Sheet'!F352&gt;0,"% ","")))</f>
        <v>NO</v>
      </c>
      <c r="K3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5" s="36" t="str">
        <f>CONCATENATE(K335, IF('Input Sheet'!I352="",""," siderite in "))</f>
        <v/>
      </c>
      <c r="M3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5" s="36" t="str">
        <f>CONCATENATE(M335, IF('Input Sheet'!J352="",""," siderite in "))</f>
        <v/>
      </c>
    </row>
    <row r="336" spans="1:14" x14ac:dyDescent="0.25">
      <c r="A336" s="51" t="str">
        <f>IF('Input Sheet'!C353="","",CONCATENATE("Sample ", 'Input Sheet'!B353, "m: ", L336, F336, "% ", "Siltstone, ", N336, 'Input Sheet'!C353, "% ", H336, " Sandstone, ", J336, I336, " FLUOR in SST. ", "TG ", 'Input Sheet'!H353, "U"))</f>
        <v/>
      </c>
      <c r="F336" s="36" t="str">
        <f>IF('Input Sheet'!C353="","",100-'Input Sheet'!C353)</f>
        <v/>
      </c>
      <c r="G3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6" s="36" t="str">
        <f t="shared" si="5"/>
        <v/>
      </c>
      <c r="I3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6" s="36" t="str">
        <f>IF('Input Sheet'!F353=0, "NO",CONCATENATE('Input Sheet'!F353, IF('Input Sheet'!F353&gt;0,"% ","")))</f>
        <v>NO</v>
      </c>
      <c r="K3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6" s="36" t="str">
        <f>CONCATENATE(K336, IF('Input Sheet'!I353="",""," siderite in "))</f>
        <v/>
      </c>
      <c r="M3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6" s="36" t="str">
        <f>CONCATENATE(M336, IF('Input Sheet'!J353="",""," siderite in "))</f>
        <v/>
      </c>
    </row>
    <row r="337" spans="1:14" x14ac:dyDescent="0.25">
      <c r="A337" s="51" t="str">
        <f>IF('Input Sheet'!C354="","",CONCATENATE("Sample ", 'Input Sheet'!B354, "m: ", L337, F337, "% ", "Siltstone, ", N337, 'Input Sheet'!C354, "% ", H337, " Sandstone, ", J337, I337, " FLUOR in SST. ", "TG ", 'Input Sheet'!H354, "U"))</f>
        <v/>
      </c>
      <c r="F337" s="36" t="str">
        <f>IF('Input Sheet'!C354="","",100-'Input Sheet'!C354)</f>
        <v/>
      </c>
      <c r="G3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7" s="36" t="str">
        <f t="shared" si="5"/>
        <v/>
      </c>
      <c r="I3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7" s="36" t="str">
        <f>IF('Input Sheet'!F354=0, "NO",CONCATENATE('Input Sheet'!F354, IF('Input Sheet'!F354&gt;0,"% ","")))</f>
        <v>NO</v>
      </c>
      <c r="K3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7" s="36" t="str">
        <f>CONCATENATE(K337, IF('Input Sheet'!I354="",""," siderite in "))</f>
        <v/>
      </c>
      <c r="M3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7" s="36" t="str">
        <f>CONCATENATE(M337, IF('Input Sheet'!J354="",""," siderite in "))</f>
        <v/>
      </c>
    </row>
    <row r="338" spans="1:14" x14ac:dyDescent="0.25">
      <c r="A338" s="51" t="str">
        <f>IF('Input Sheet'!C355="","",CONCATENATE("Sample ", 'Input Sheet'!B355, "m: ", L338, F338, "% ", "Siltstone, ", N338, 'Input Sheet'!C355, "% ", H338, " Sandstone, ", J338, I338, " FLUOR in SST. ", "TG ", 'Input Sheet'!H355, "U"))</f>
        <v/>
      </c>
      <c r="F338" s="36" t="str">
        <f>IF('Input Sheet'!C355="","",100-'Input Sheet'!C355)</f>
        <v/>
      </c>
      <c r="G3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8" s="36" t="str">
        <f t="shared" si="5"/>
        <v/>
      </c>
      <c r="I3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8" s="36" t="str">
        <f>IF('Input Sheet'!F355=0, "NO",CONCATENATE('Input Sheet'!F355, IF('Input Sheet'!F355&gt;0,"% ","")))</f>
        <v>NO</v>
      </c>
      <c r="K3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8" s="36" t="str">
        <f>CONCATENATE(K338, IF('Input Sheet'!I355="",""," siderite in "))</f>
        <v/>
      </c>
      <c r="M3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8" s="36" t="str">
        <f>CONCATENATE(M338, IF('Input Sheet'!J355="",""," siderite in "))</f>
        <v/>
      </c>
    </row>
    <row r="339" spans="1:14" x14ac:dyDescent="0.25">
      <c r="A339" s="51" t="str">
        <f>IF('Input Sheet'!C356="","",CONCATENATE("Sample ", 'Input Sheet'!B356, "m: ", L339, F339, "% ", "Siltstone, ", N339, 'Input Sheet'!C356, "% ", H339, " Sandstone, ", J339, I339, " FLUOR in SST. ", "TG ", 'Input Sheet'!H356, "U"))</f>
        <v/>
      </c>
      <c r="F339" s="36" t="str">
        <f>IF('Input Sheet'!C356="","",100-'Input Sheet'!C356)</f>
        <v/>
      </c>
      <c r="G3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39" s="36" t="str">
        <f t="shared" si="5"/>
        <v/>
      </c>
      <c r="I3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39" s="36" t="str">
        <f>IF('Input Sheet'!F356=0, "NO",CONCATENATE('Input Sheet'!F356, IF('Input Sheet'!F356&gt;0,"% ","")))</f>
        <v>NO</v>
      </c>
      <c r="K3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39" s="36" t="str">
        <f>CONCATENATE(K339, IF('Input Sheet'!I356="",""," siderite in "))</f>
        <v/>
      </c>
      <c r="M3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39" s="36" t="str">
        <f>CONCATENATE(M339, IF('Input Sheet'!J356="",""," siderite in "))</f>
        <v/>
      </c>
    </row>
    <row r="340" spans="1:14" x14ac:dyDescent="0.25">
      <c r="A340" s="51" t="str">
        <f>IF('Input Sheet'!C357="","",CONCATENATE("Sample ", 'Input Sheet'!B357, "m: ", L340, F340, "% ", "Siltstone, ", N340, 'Input Sheet'!C357, "% ", H340, " Sandstone, ", J340, I340, " FLUOR in SST. ", "TG ", 'Input Sheet'!H357, "U"))</f>
        <v/>
      </c>
      <c r="F340" s="36" t="str">
        <f>IF('Input Sheet'!C357="","",100-'Input Sheet'!C357)</f>
        <v/>
      </c>
      <c r="G3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0" s="36" t="str">
        <f t="shared" si="5"/>
        <v/>
      </c>
      <c r="I3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0" s="36" t="str">
        <f>IF('Input Sheet'!F357=0, "NO",CONCATENATE('Input Sheet'!F357, IF('Input Sheet'!F357&gt;0,"% ","")))</f>
        <v>NO</v>
      </c>
      <c r="K3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0" s="36" t="str">
        <f>CONCATENATE(K340, IF('Input Sheet'!I357="",""," siderite in "))</f>
        <v/>
      </c>
      <c r="M3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0" s="36" t="str">
        <f>CONCATENATE(M340, IF('Input Sheet'!J357="",""," siderite in "))</f>
        <v/>
      </c>
    </row>
    <row r="341" spans="1:14" x14ac:dyDescent="0.25">
      <c r="A341" s="51" t="str">
        <f>IF('Input Sheet'!C358="","",CONCATENATE("Sample ", 'Input Sheet'!B358, "m: ", L341, F341, "% ", "Siltstone, ", N341, 'Input Sheet'!C358, "% ", H341, " Sandstone, ", J341, I341, " FLUOR in SST. ", "TG ", 'Input Sheet'!H358, "U"))</f>
        <v/>
      </c>
      <c r="F341" s="36" t="str">
        <f>IF('Input Sheet'!C358="","",100-'Input Sheet'!C358)</f>
        <v/>
      </c>
      <c r="G3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1" s="36" t="str">
        <f t="shared" si="5"/>
        <v/>
      </c>
      <c r="I3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1" s="36" t="str">
        <f>IF('Input Sheet'!F358=0, "NO",CONCATENATE('Input Sheet'!F358, IF('Input Sheet'!F358&gt;0,"% ","")))</f>
        <v>NO</v>
      </c>
      <c r="K3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1" s="36" t="str">
        <f>CONCATENATE(K341, IF('Input Sheet'!I358="",""," siderite in "))</f>
        <v/>
      </c>
      <c r="M3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1" s="36" t="str">
        <f>CONCATENATE(M341, IF('Input Sheet'!J358="",""," siderite in "))</f>
        <v/>
      </c>
    </row>
    <row r="342" spans="1:14" x14ac:dyDescent="0.25">
      <c r="A342" s="51" t="str">
        <f>IF('Input Sheet'!C359="","",CONCATENATE("Sample ", 'Input Sheet'!B359, "m: ", L342, F342, "% ", "Siltstone, ", N342, 'Input Sheet'!C359, "% ", H342, " Sandstone, ", J342, I342, " FLUOR in SST. ", "TG ", 'Input Sheet'!H359, "U"))</f>
        <v/>
      </c>
      <c r="F342" s="36" t="str">
        <f>IF('Input Sheet'!C359="","",100-'Input Sheet'!C359)</f>
        <v/>
      </c>
      <c r="G3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2" s="36" t="str">
        <f t="shared" si="5"/>
        <v/>
      </c>
      <c r="I3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2" s="36" t="str">
        <f>IF('Input Sheet'!F359=0, "NO",CONCATENATE('Input Sheet'!F359, IF('Input Sheet'!F359&gt;0,"% ","")))</f>
        <v>NO</v>
      </c>
      <c r="K3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2" s="36" t="str">
        <f>CONCATENATE(K342, IF('Input Sheet'!I359="",""," siderite in "))</f>
        <v/>
      </c>
      <c r="M3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2" s="36" t="str">
        <f>CONCATENATE(M342, IF('Input Sheet'!J359="",""," siderite in "))</f>
        <v/>
      </c>
    </row>
    <row r="343" spans="1:14" x14ac:dyDescent="0.25">
      <c r="A343" s="51" t="str">
        <f>IF('Input Sheet'!C360="","",CONCATENATE("Sample ", 'Input Sheet'!B360, "m: ", L343, F343, "% ", "Siltstone, ", N343, 'Input Sheet'!C360, "% ", H343, " Sandstone, ", J343, I343, " FLUOR in SST. ", "TG ", 'Input Sheet'!H360, "U"))</f>
        <v/>
      </c>
      <c r="F343" s="36" t="str">
        <f>IF('Input Sheet'!C360="","",100-'Input Sheet'!C360)</f>
        <v/>
      </c>
      <c r="G3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3" s="36" t="str">
        <f t="shared" si="5"/>
        <v/>
      </c>
      <c r="I3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3" s="36" t="str">
        <f>IF('Input Sheet'!F360=0, "NO",CONCATENATE('Input Sheet'!F360, IF('Input Sheet'!F360&gt;0,"% ","")))</f>
        <v>NO</v>
      </c>
      <c r="K3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3" s="36" t="str">
        <f>CONCATENATE(K343, IF('Input Sheet'!I360="",""," siderite in "))</f>
        <v/>
      </c>
      <c r="M3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3" s="36" t="str">
        <f>CONCATENATE(M343, IF('Input Sheet'!J360="",""," siderite in "))</f>
        <v/>
      </c>
    </row>
    <row r="344" spans="1:14" x14ac:dyDescent="0.25">
      <c r="A344" s="51" t="str">
        <f>IF('Input Sheet'!C361="","",CONCATENATE("Sample ", 'Input Sheet'!B361, "m: ", L344, F344, "% ", "Siltstone, ", N344, 'Input Sheet'!C361, "% ", H344, " Sandstone, ", J344, I344, " FLUOR in SST. ", "TG ", 'Input Sheet'!H361, "U"))</f>
        <v/>
      </c>
      <c r="F344" s="36" t="str">
        <f>IF('Input Sheet'!C361="","",100-'Input Sheet'!C361)</f>
        <v/>
      </c>
      <c r="G3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4" s="36" t="str">
        <f t="shared" si="5"/>
        <v/>
      </c>
      <c r="I3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4" s="36" t="str">
        <f>IF('Input Sheet'!F361=0, "NO",CONCATENATE('Input Sheet'!F361, IF('Input Sheet'!F361&gt;0,"% ","")))</f>
        <v>NO</v>
      </c>
      <c r="K3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4" s="36" t="str">
        <f>CONCATENATE(K344, IF('Input Sheet'!I361="",""," siderite in "))</f>
        <v/>
      </c>
      <c r="M3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4" s="36" t="str">
        <f>CONCATENATE(M344, IF('Input Sheet'!J361="",""," siderite in "))</f>
        <v/>
      </c>
    </row>
    <row r="345" spans="1:14" x14ac:dyDescent="0.25">
      <c r="A345" s="51" t="str">
        <f>IF('Input Sheet'!C362="","",CONCATENATE("Sample ", 'Input Sheet'!B362, "m: ", L345, F345, "% ", "Siltstone, ", N345, 'Input Sheet'!C362, "% ", H345, " Sandstone, ", J345, I345, " FLUOR in SST. ", "TG ", 'Input Sheet'!H362, "U"))</f>
        <v/>
      </c>
      <c r="F345" s="36" t="str">
        <f>IF('Input Sheet'!C362="","",100-'Input Sheet'!C362)</f>
        <v/>
      </c>
      <c r="G3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5" s="36" t="str">
        <f t="shared" si="5"/>
        <v/>
      </c>
      <c r="I3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5" s="36" t="str">
        <f>IF('Input Sheet'!F362=0, "NO",CONCATENATE('Input Sheet'!F362, IF('Input Sheet'!F362&gt;0,"% ","")))</f>
        <v>NO</v>
      </c>
      <c r="K3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5" s="36" t="str">
        <f>CONCATENATE(K345, IF('Input Sheet'!I362="",""," siderite in "))</f>
        <v/>
      </c>
      <c r="M3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5" s="36" t="str">
        <f>CONCATENATE(M345, IF('Input Sheet'!J362="",""," siderite in "))</f>
        <v/>
      </c>
    </row>
    <row r="346" spans="1:14" x14ac:dyDescent="0.25">
      <c r="A346" s="51" t="str">
        <f>IF('Input Sheet'!C363="","",CONCATENATE("Sample ", 'Input Sheet'!B363, "m: ", L346, F346, "% ", "Siltstone, ", N346, 'Input Sheet'!C363, "% ", H346, " Sandstone, ", J346, I346, " FLUOR in SST. ", "TG ", 'Input Sheet'!H363, "U"))</f>
        <v/>
      </c>
      <c r="F346" s="36" t="str">
        <f>IF('Input Sheet'!C363="","",100-'Input Sheet'!C363)</f>
        <v/>
      </c>
      <c r="G3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6" s="36" t="str">
        <f t="shared" si="5"/>
        <v/>
      </c>
      <c r="I3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6" s="36" t="str">
        <f>IF('Input Sheet'!F363=0, "NO",CONCATENATE('Input Sheet'!F363, IF('Input Sheet'!F363&gt;0,"% ","")))</f>
        <v>NO</v>
      </c>
      <c r="K3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6" s="36" t="str">
        <f>CONCATENATE(K346, IF('Input Sheet'!I363="",""," siderite in "))</f>
        <v/>
      </c>
      <c r="M3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6" s="36" t="str">
        <f>CONCATENATE(M346, IF('Input Sheet'!J363="",""," siderite in "))</f>
        <v/>
      </c>
    </row>
    <row r="347" spans="1:14" x14ac:dyDescent="0.25">
      <c r="A347" s="51" t="str">
        <f>IF('Input Sheet'!C364="","",CONCATENATE("Sample ", 'Input Sheet'!B364, "m: ", L347, F347, "% ", "Siltstone, ", N347, 'Input Sheet'!C364, "% ", H347, " Sandstone, ", J347, I347, " FLUOR in SST. ", "TG ", 'Input Sheet'!H364, "U"))</f>
        <v/>
      </c>
      <c r="F347" s="36" t="str">
        <f>IF('Input Sheet'!C364="","",100-'Input Sheet'!C364)</f>
        <v/>
      </c>
      <c r="G3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7" s="36" t="str">
        <f t="shared" si="5"/>
        <v/>
      </c>
      <c r="I3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7" s="36" t="str">
        <f>IF('Input Sheet'!F364=0, "NO",CONCATENATE('Input Sheet'!F364, IF('Input Sheet'!F364&gt;0,"% ","")))</f>
        <v>NO</v>
      </c>
      <c r="K3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7" s="36" t="str">
        <f>CONCATENATE(K347, IF('Input Sheet'!I364="",""," siderite in "))</f>
        <v/>
      </c>
      <c r="M3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7" s="36" t="str">
        <f>CONCATENATE(M347, IF('Input Sheet'!J364="",""," siderite in "))</f>
        <v/>
      </c>
    </row>
    <row r="348" spans="1:14" x14ac:dyDescent="0.25">
      <c r="A348" s="51" t="str">
        <f>IF('Input Sheet'!C365="","",CONCATENATE("Sample ", 'Input Sheet'!B365, "m: ", L348, F348, "% ", "Siltstone, ", N348, 'Input Sheet'!C365, "% ", H348, " Sandstone, ", J348, I348, " FLUOR in SST. ", "TG ", 'Input Sheet'!H365, "U"))</f>
        <v/>
      </c>
      <c r="F348" s="36" t="str">
        <f>IF('Input Sheet'!C365="","",100-'Input Sheet'!C365)</f>
        <v/>
      </c>
      <c r="G3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8" s="36" t="str">
        <f t="shared" si="5"/>
        <v/>
      </c>
      <c r="I3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8" s="36" t="str">
        <f>IF('Input Sheet'!F365=0, "NO",CONCATENATE('Input Sheet'!F365, IF('Input Sheet'!F365&gt;0,"% ","")))</f>
        <v>NO</v>
      </c>
      <c r="K3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8" s="36" t="str">
        <f>CONCATENATE(K348, IF('Input Sheet'!I365="",""," siderite in "))</f>
        <v/>
      </c>
      <c r="M3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8" s="36" t="str">
        <f>CONCATENATE(M348, IF('Input Sheet'!J365="",""," siderite in "))</f>
        <v/>
      </c>
    </row>
    <row r="349" spans="1:14" x14ac:dyDescent="0.25">
      <c r="A349" s="51" t="str">
        <f>IF('Input Sheet'!C366="","",CONCATENATE("Sample ", 'Input Sheet'!B366, "m: ", L349, F349, "% ", "Siltstone, ", N349, 'Input Sheet'!C366, "% ", H349, " Sandstone, ", J349, I349, " FLUOR in SST. ", "TG ", 'Input Sheet'!H366, "U"))</f>
        <v/>
      </c>
      <c r="F349" s="36" t="str">
        <f>IF('Input Sheet'!C366="","",100-'Input Sheet'!C366)</f>
        <v/>
      </c>
      <c r="G3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49" s="36" t="str">
        <f t="shared" si="5"/>
        <v/>
      </c>
      <c r="I3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49" s="36" t="str">
        <f>IF('Input Sheet'!F366=0, "NO",CONCATENATE('Input Sheet'!F366, IF('Input Sheet'!F366&gt;0,"% ","")))</f>
        <v>NO</v>
      </c>
      <c r="K3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49" s="36" t="str">
        <f>CONCATENATE(K349, IF('Input Sheet'!I366="",""," siderite in "))</f>
        <v/>
      </c>
      <c r="M3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49" s="36" t="str">
        <f>CONCATENATE(M349, IF('Input Sheet'!J366="",""," siderite in "))</f>
        <v/>
      </c>
    </row>
    <row r="350" spans="1:14" x14ac:dyDescent="0.25">
      <c r="A350" s="51" t="str">
        <f>IF('Input Sheet'!C367="","",CONCATENATE("Sample ", 'Input Sheet'!B367, "m: ", L350, F350, "% ", "Siltstone, ", N350, 'Input Sheet'!C367, "% ", H350, " Sandstone, ", J350, I350, " FLUOR in SST. ", "TG ", 'Input Sheet'!H367, "U"))</f>
        <v/>
      </c>
      <c r="F350" s="36" t="str">
        <f>IF('Input Sheet'!C367="","",100-'Input Sheet'!C367)</f>
        <v/>
      </c>
      <c r="G3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0" s="36" t="str">
        <f t="shared" si="5"/>
        <v/>
      </c>
      <c r="I3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0" s="36" t="str">
        <f>IF('Input Sheet'!F367=0, "NO",CONCATENATE('Input Sheet'!F367, IF('Input Sheet'!F367&gt;0,"% ","")))</f>
        <v>NO</v>
      </c>
      <c r="K3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0" s="36" t="str">
        <f>CONCATENATE(K350, IF('Input Sheet'!I367="",""," siderite in "))</f>
        <v/>
      </c>
      <c r="M3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0" s="36" t="str">
        <f>CONCATENATE(M350, IF('Input Sheet'!J367="",""," siderite in "))</f>
        <v/>
      </c>
    </row>
    <row r="351" spans="1:14" x14ac:dyDescent="0.25">
      <c r="A351" s="51" t="str">
        <f>IF('Input Sheet'!C368="","",CONCATENATE("Sample ", 'Input Sheet'!B368, "m: ", L351, F351, "% ", "Siltstone, ", N351, 'Input Sheet'!C368, "% ", H351, " Sandstone, ", J351, I351, " FLUOR in SST. ", "TG ", 'Input Sheet'!H368, "U"))</f>
        <v/>
      </c>
      <c r="F351" s="36" t="str">
        <f>IF('Input Sheet'!C368="","",100-'Input Sheet'!C368)</f>
        <v/>
      </c>
      <c r="G3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1" s="36" t="str">
        <f t="shared" si="5"/>
        <v/>
      </c>
      <c r="I3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1" s="36" t="str">
        <f>IF('Input Sheet'!F368=0, "NO",CONCATENATE('Input Sheet'!F368, IF('Input Sheet'!F368&gt;0,"% ","")))</f>
        <v>NO</v>
      </c>
      <c r="K3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1" s="36" t="str">
        <f>CONCATENATE(K351, IF('Input Sheet'!I368="",""," siderite in "))</f>
        <v/>
      </c>
      <c r="M3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1" s="36" t="str">
        <f>CONCATENATE(M351, IF('Input Sheet'!J368="",""," siderite in "))</f>
        <v/>
      </c>
    </row>
    <row r="352" spans="1:14" x14ac:dyDescent="0.25">
      <c r="A352" s="51" t="str">
        <f>IF('Input Sheet'!C369="","",CONCATENATE("Sample ", 'Input Sheet'!B369, "m: ", L352, F352, "% ", "Siltstone, ", N352, 'Input Sheet'!C369, "% ", H352, " Sandstone, ", J352, I352, " FLUOR in SST. ", "TG ", 'Input Sheet'!H369, "U"))</f>
        <v/>
      </c>
      <c r="F352" s="36" t="str">
        <f>IF('Input Sheet'!C369="","",100-'Input Sheet'!C369)</f>
        <v/>
      </c>
      <c r="G3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2" s="36" t="str">
        <f t="shared" si="5"/>
        <v/>
      </c>
      <c r="I3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2" s="36" t="str">
        <f>IF('Input Sheet'!F369=0, "NO",CONCATENATE('Input Sheet'!F369, IF('Input Sheet'!F369&gt;0,"% ","")))</f>
        <v>NO</v>
      </c>
      <c r="K3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2" s="36" t="str">
        <f>CONCATENATE(K352, IF('Input Sheet'!I369="",""," siderite in "))</f>
        <v/>
      </c>
      <c r="M3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2" s="36" t="str">
        <f>CONCATENATE(M352, IF('Input Sheet'!J369="",""," siderite in "))</f>
        <v/>
      </c>
    </row>
    <row r="353" spans="1:14" x14ac:dyDescent="0.25">
      <c r="A353" s="51" t="str">
        <f>IF('Input Sheet'!C370="","",CONCATENATE("Sample ", 'Input Sheet'!B370, "m: ", L353, F353, "% ", "Siltstone, ", N353, 'Input Sheet'!C370, "% ", H353, " Sandstone, ", J353, I353, " FLUOR in SST. ", "TG ", 'Input Sheet'!H370, "U"))</f>
        <v/>
      </c>
      <c r="F353" s="36" t="str">
        <f>IF('Input Sheet'!C370="","",100-'Input Sheet'!C370)</f>
        <v/>
      </c>
      <c r="G3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3" s="36" t="str">
        <f t="shared" si="5"/>
        <v/>
      </c>
      <c r="I3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3" s="36" t="str">
        <f>IF('Input Sheet'!F370=0, "NO",CONCATENATE('Input Sheet'!F370, IF('Input Sheet'!F370&gt;0,"% ","")))</f>
        <v>NO</v>
      </c>
      <c r="K3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3" s="36" t="str">
        <f>CONCATENATE(K353, IF('Input Sheet'!I370="",""," siderite in "))</f>
        <v/>
      </c>
      <c r="M3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3" s="36" t="str">
        <f>CONCATENATE(M353, IF('Input Sheet'!J370="",""," siderite in "))</f>
        <v/>
      </c>
    </row>
    <row r="354" spans="1:14" x14ac:dyDescent="0.25">
      <c r="A354" s="51" t="str">
        <f>IF('Input Sheet'!C371="","",CONCATENATE("Sample ", 'Input Sheet'!B371, "m: ", L354, F354, "% ", "Siltstone, ", N354, 'Input Sheet'!C371, "% ", H354, " Sandstone, ", J354, I354, " FLUOR in SST. ", "TG ", 'Input Sheet'!H371, "U"))</f>
        <v/>
      </c>
      <c r="F354" s="36" t="str">
        <f>IF('Input Sheet'!C371="","",100-'Input Sheet'!C371)</f>
        <v/>
      </c>
      <c r="G3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4" s="36" t="str">
        <f t="shared" si="5"/>
        <v/>
      </c>
      <c r="I3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4" s="36" t="str">
        <f>IF('Input Sheet'!F371=0, "NO",CONCATENATE('Input Sheet'!F371, IF('Input Sheet'!F371&gt;0,"% ","")))</f>
        <v>NO</v>
      </c>
      <c r="K3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4" s="36" t="str">
        <f>CONCATENATE(K354, IF('Input Sheet'!I371="",""," siderite in "))</f>
        <v/>
      </c>
      <c r="M3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4" s="36" t="str">
        <f>CONCATENATE(M354, IF('Input Sheet'!J371="",""," siderite in "))</f>
        <v/>
      </c>
    </row>
    <row r="355" spans="1:14" x14ac:dyDescent="0.25">
      <c r="A355" s="51" t="str">
        <f>IF('Input Sheet'!C372="","",CONCATENATE("Sample ", 'Input Sheet'!B372, "m: ", L355, F355, "% ", "Siltstone, ", N355, 'Input Sheet'!C372, "% ", H355, " Sandstone, ", J355, I355, " FLUOR in SST. ", "TG ", 'Input Sheet'!H372, "U"))</f>
        <v/>
      </c>
      <c r="F355" s="36" t="str">
        <f>IF('Input Sheet'!C372="","",100-'Input Sheet'!C372)</f>
        <v/>
      </c>
      <c r="G3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5" s="36" t="str">
        <f t="shared" si="5"/>
        <v/>
      </c>
      <c r="I3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5" s="36" t="str">
        <f>IF('Input Sheet'!F372=0, "NO",CONCATENATE('Input Sheet'!F372, IF('Input Sheet'!F372&gt;0,"% ","")))</f>
        <v>NO</v>
      </c>
      <c r="K3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5" s="36" t="str">
        <f>CONCATENATE(K355, IF('Input Sheet'!I372="",""," siderite in "))</f>
        <v/>
      </c>
      <c r="M3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5" s="36" t="str">
        <f>CONCATENATE(M355, IF('Input Sheet'!J372="",""," siderite in "))</f>
        <v/>
      </c>
    </row>
    <row r="356" spans="1:14" x14ac:dyDescent="0.25">
      <c r="A356" s="51" t="str">
        <f>IF('Input Sheet'!C373="","",CONCATENATE("Sample ", 'Input Sheet'!B373, "m: ", L356, F356, "% ", "Siltstone, ", N356, 'Input Sheet'!C373, "% ", H356, " Sandstone, ", J356, I356, " FLUOR in SST. ", "TG ", 'Input Sheet'!H373, "U"))</f>
        <v/>
      </c>
      <c r="F356" s="36" t="str">
        <f>IF('Input Sheet'!C373="","",100-'Input Sheet'!C373)</f>
        <v/>
      </c>
      <c r="G3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6" s="36" t="str">
        <f t="shared" si="5"/>
        <v/>
      </c>
      <c r="I3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6" s="36" t="str">
        <f>IF('Input Sheet'!F373=0, "NO",CONCATENATE('Input Sheet'!F373, IF('Input Sheet'!F373&gt;0,"% ","")))</f>
        <v>NO</v>
      </c>
      <c r="K3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6" s="36" t="str">
        <f>CONCATENATE(K356, IF('Input Sheet'!I373="",""," siderite in "))</f>
        <v/>
      </c>
      <c r="M3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6" s="36" t="str">
        <f>CONCATENATE(M356, IF('Input Sheet'!J373="",""," siderite in "))</f>
        <v/>
      </c>
    </row>
    <row r="357" spans="1:14" x14ac:dyDescent="0.25">
      <c r="A357" s="51" t="str">
        <f>IF('Input Sheet'!C374="","",CONCATENATE("Sample ", 'Input Sheet'!B374, "m: ", L357, F357, "% ", "Siltstone, ", N357, 'Input Sheet'!C374, "% ", H357, " Sandstone, ", J357, I357, " FLUOR in SST. ", "TG ", 'Input Sheet'!H374, "U"))</f>
        <v/>
      </c>
      <c r="F357" s="36" t="str">
        <f>IF('Input Sheet'!C374="","",100-'Input Sheet'!C374)</f>
        <v/>
      </c>
      <c r="G3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7" s="36" t="str">
        <f t="shared" si="5"/>
        <v/>
      </c>
      <c r="I3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7" s="36" t="str">
        <f>IF('Input Sheet'!F374=0, "NO",CONCATENATE('Input Sheet'!F374, IF('Input Sheet'!F374&gt;0,"% ","")))</f>
        <v>NO</v>
      </c>
      <c r="K3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7" s="36" t="str">
        <f>CONCATENATE(K357, IF('Input Sheet'!I374="",""," siderite in "))</f>
        <v/>
      </c>
      <c r="M3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7" s="36" t="str">
        <f>CONCATENATE(M357, IF('Input Sheet'!J374="",""," siderite in "))</f>
        <v/>
      </c>
    </row>
    <row r="358" spans="1:14" x14ac:dyDescent="0.25">
      <c r="A358" s="51" t="str">
        <f>IF('Input Sheet'!C375="","",CONCATENATE("Sample ", 'Input Sheet'!B375, "m: ", L358, F358, "% ", "Siltstone, ", N358, 'Input Sheet'!C375, "% ", H358, " Sandstone, ", J358, I358, " FLUOR in SST. ", "TG ", 'Input Sheet'!H375, "U"))</f>
        <v/>
      </c>
      <c r="F358" s="36" t="str">
        <f>IF('Input Sheet'!C375="","",100-'Input Sheet'!C375)</f>
        <v/>
      </c>
      <c r="G3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8" s="36" t="str">
        <f t="shared" si="5"/>
        <v/>
      </c>
      <c r="I3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8" s="36" t="str">
        <f>IF('Input Sheet'!F375=0, "NO",CONCATENATE('Input Sheet'!F375, IF('Input Sheet'!F375&gt;0,"% ","")))</f>
        <v>NO</v>
      </c>
      <c r="K3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8" s="36" t="str">
        <f>CONCATENATE(K358, IF('Input Sheet'!I375="",""," siderite in "))</f>
        <v/>
      </c>
      <c r="M3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8" s="36" t="str">
        <f>CONCATENATE(M358, IF('Input Sheet'!J375="",""," siderite in "))</f>
        <v/>
      </c>
    </row>
    <row r="359" spans="1:14" x14ac:dyDescent="0.25">
      <c r="A359" s="51" t="str">
        <f>IF('Input Sheet'!C376="","",CONCATENATE("Sample ", 'Input Sheet'!B376, "m: ", L359, F359, "% ", "Siltstone, ", N359, 'Input Sheet'!C376, "% ", H359, " Sandstone, ", J359, I359, " FLUOR in SST. ", "TG ", 'Input Sheet'!H376, "U"))</f>
        <v/>
      </c>
      <c r="F359" s="36" t="str">
        <f>IF('Input Sheet'!C376="","",100-'Input Sheet'!C376)</f>
        <v/>
      </c>
      <c r="G3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59" s="36" t="str">
        <f t="shared" si="5"/>
        <v/>
      </c>
      <c r="I3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59" s="36" t="str">
        <f>IF('Input Sheet'!F376=0, "NO",CONCATENATE('Input Sheet'!F376, IF('Input Sheet'!F376&gt;0,"% ","")))</f>
        <v>NO</v>
      </c>
      <c r="K3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59" s="36" t="str">
        <f>CONCATENATE(K359, IF('Input Sheet'!I376="",""," siderite in "))</f>
        <v/>
      </c>
      <c r="M3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59" s="36" t="str">
        <f>CONCATENATE(M359, IF('Input Sheet'!J376="",""," siderite in "))</f>
        <v/>
      </c>
    </row>
    <row r="360" spans="1:14" x14ac:dyDescent="0.25">
      <c r="A360" s="51" t="str">
        <f>IF('Input Sheet'!C377="","",CONCATENATE("Sample ", 'Input Sheet'!B377, "m: ", L360, F360, "% ", "Siltstone, ", N360, 'Input Sheet'!C377, "% ", H360, " Sandstone, ", J360, I360, " FLUOR in SST. ", "TG ", 'Input Sheet'!H377, "U"))</f>
        <v/>
      </c>
      <c r="F360" s="36" t="str">
        <f>IF('Input Sheet'!C377="","",100-'Input Sheet'!C377)</f>
        <v/>
      </c>
      <c r="G3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0" s="36" t="str">
        <f t="shared" si="5"/>
        <v/>
      </c>
      <c r="I3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0" s="36" t="str">
        <f>IF('Input Sheet'!F377=0, "NO",CONCATENATE('Input Sheet'!F377, IF('Input Sheet'!F377&gt;0,"% ","")))</f>
        <v>NO</v>
      </c>
      <c r="K3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0" s="36" t="str">
        <f>CONCATENATE(K360, IF('Input Sheet'!I377="",""," siderite in "))</f>
        <v/>
      </c>
      <c r="M3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0" s="36" t="str">
        <f>CONCATENATE(M360, IF('Input Sheet'!J377="",""," siderite in "))</f>
        <v/>
      </c>
    </row>
    <row r="361" spans="1:14" x14ac:dyDescent="0.25">
      <c r="A361" s="51" t="str">
        <f>IF('Input Sheet'!C378="","",CONCATENATE("Sample ", 'Input Sheet'!B378, "m: ", L361, F361, "% ", "Siltstone, ", N361, 'Input Sheet'!C378, "% ", H361, " Sandstone, ", J361, I361, " FLUOR in SST. ", "TG ", 'Input Sheet'!H378, "U"))</f>
        <v/>
      </c>
      <c r="F361" s="36" t="str">
        <f>IF('Input Sheet'!C378="","",100-'Input Sheet'!C378)</f>
        <v/>
      </c>
      <c r="G3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1" s="36" t="str">
        <f t="shared" si="5"/>
        <v/>
      </c>
      <c r="I3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1" s="36" t="str">
        <f>IF('Input Sheet'!F378=0, "NO",CONCATENATE('Input Sheet'!F378, IF('Input Sheet'!F378&gt;0,"% ","")))</f>
        <v>NO</v>
      </c>
      <c r="K3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1" s="36" t="str">
        <f>CONCATENATE(K361, IF('Input Sheet'!I378="",""," siderite in "))</f>
        <v/>
      </c>
      <c r="M3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1" s="36" t="str">
        <f>CONCATENATE(M361, IF('Input Sheet'!J378="",""," siderite in "))</f>
        <v/>
      </c>
    </row>
    <row r="362" spans="1:14" x14ac:dyDescent="0.25">
      <c r="A362" s="51" t="str">
        <f>IF('Input Sheet'!C379="","",CONCATENATE("Sample ", 'Input Sheet'!B379, "m: ", L362, F362, "% ", "Siltstone, ", N362, 'Input Sheet'!C379, "% ", H362, " Sandstone, ", J362, I362, " FLUOR in SST. ", "TG ", 'Input Sheet'!H379, "U"))</f>
        <v/>
      </c>
      <c r="F362" s="36" t="str">
        <f>IF('Input Sheet'!C379="","",100-'Input Sheet'!C379)</f>
        <v/>
      </c>
      <c r="G3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2" s="36" t="str">
        <f t="shared" si="5"/>
        <v/>
      </c>
      <c r="I3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2" s="36" t="str">
        <f>IF('Input Sheet'!F379=0, "NO",CONCATENATE('Input Sheet'!F379, IF('Input Sheet'!F379&gt;0,"% ","")))</f>
        <v>NO</v>
      </c>
      <c r="K3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2" s="36" t="str">
        <f>CONCATENATE(K362, IF('Input Sheet'!I379="",""," siderite in "))</f>
        <v/>
      </c>
      <c r="M3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2" s="36" t="str">
        <f>CONCATENATE(M362, IF('Input Sheet'!J379="",""," siderite in "))</f>
        <v/>
      </c>
    </row>
    <row r="363" spans="1:14" x14ac:dyDescent="0.25">
      <c r="A363" s="51" t="str">
        <f>IF('Input Sheet'!C380="","",CONCATENATE("Sample ", 'Input Sheet'!B380, "m: ", L363, F363, "% ", "Siltstone, ", N363, 'Input Sheet'!C380, "% ", H363, " Sandstone, ", J363, I363, " FLUOR in SST. ", "TG ", 'Input Sheet'!H380, "U"))</f>
        <v/>
      </c>
      <c r="F363" s="36" t="str">
        <f>IF('Input Sheet'!C380="","",100-'Input Sheet'!C380)</f>
        <v/>
      </c>
      <c r="G3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3" s="36" t="str">
        <f t="shared" si="5"/>
        <v/>
      </c>
      <c r="I3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3" s="36" t="str">
        <f>IF('Input Sheet'!F380=0, "NO",CONCATENATE('Input Sheet'!F380, IF('Input Sheet'!F380&gt;0,"% ","")))</f>
        <v>NO</v>
      </c>
      <c r="K3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3" s="36" t="str">
        <f>CONCATENATE(K363, IF('Input Sheet'!I380="",""," siderite in "))</f>
        <v/>
      </c>
      <c r="M3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3" s="36" t="str">
        <f>CONCATENATE(M363, IF('Input Sheet'!J380="",""," siderite in "))</f>
        <v/>
      </c>
    </row>
    <row r="364" spans="1:14" x14ac:dyDescent="0.25">
      <c r="A364" s="51" t="str">
        <f>IF('Input Sheet'!C381="","",CONCATENATE("Sample ", 'Input Sheet'!B381, "m: ", L364, F364, "% ", "Siltstone, ", N364, 'Input Sheet'!C381, "% ", H364, " Sandstone, ", J364, I364, " FLUOR in SST. ", "TG ", 'Input Sheet'!H381, "U"))</f>
        <v/>
      </c>
      <c r="F364" s="36" t="str">
        <f>IF('Input Sheet'!C381="","",100-'Input Sheet'!C381)</f>
        <v/>
      </c>
      <c r="G3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4" s="36" t="str">
        <f t="shared" si="5"/>
        <v/>
      </c>
      <c r="I3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4" s="36" t="str">
        <f>IF('Input Sheet'!F381=0, "NO",CONCATENATE('Input Sheet'!F381, IF('Input Sheet'!F381&gt;0,"% ","")))</f>
        <v>NO</v>
      </c>
      <c r="K3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4" s="36" t="str">
        <f>CONCATENATE(K364, IF('Input Sheet'!I381="",""," siderite in "))</f>
        <v/>
      </c>
      <c r="M3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4" s="36" t="str">
        <f>CONCATENATE(M364, IF('Input Sheet'!J381="",""," siderite in "))</f>
        <v/>
      </c>
    </row>
    <row r="365" spans="1:14" x14ac:dyDescent="0.25">
      <c r="A365" s="51" t="str">
        <f>IF('Input Sheet'!C382="","",CONCATENATE("Sample ", 'Input Sheet'!B382, "m: ", L365, F365, "% ", "Siltstone, ", N365, 'Input Sheet'!C382, "% ", H365, " Sandstone, ", J365, I365, " FLUOR in SST. ", "TG ", 'Input Sheet'!H382, "U"))</f>
        <v/>
      </c>
      <c r="F365" s="36" t="str">
        <f>IF('Input Sheet'!C382="","",100-'Input Sheet'!C382)</f>
        <v/>
      </c>
      <c r="G3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5" s="36" t="str">
        <f t="shared" si="5"/>
        <v/>
      </c>
      <c r="I3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5" s="36" t="str">
        <f>IF('Input Sheet'!F382=0, "NO",CONCATENATE('Input Sheet'!F382, IF('Input Sheet'!F382&gt;0,"% ","")))</f>
        <v>NO</v>
      </c>
      <c r="K3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5" s="36" t="str">
        <f>CONCATENATE(K365, IF('Input Sheet'!I382="",""," siderite in "))</f>
        <v/>
      </c>
      <c r="M3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5" s="36" t="str">
        <f>CONCATENATE(M365, IF('Input Sheet'!J382="",""," siderite in "))</f>
        <v/>
      </c>
    </row>
    <row r="366" spans="1:14" x14ac:dyDescent="0.25">
      <c r="A366" s="51" t="str">
        <f>IF('Input Sheet'!C383="","",CONCATENATE("Sample ", 'Input Sheet'!B383, "m: ", L366, F366, "% ", "Siltstone, ", N366, 'Input Sheet'!C383, "% ", H366, " Sandstone, ", J366, I366, " FLUOR in SST. ", "TG ", 'Input Sheet'!H383, "U"))</f>
        <v/>
      </c>
      <c r="F366" s="36" t="str">
        <f>IF('Input Sheet'!C383="","",100-'Input Sheet'!C383)</f>
        <v/>
      </c>
      <c r="G3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6" s="36" t="str">
        <f t="shared" si="5"/>
        <v/>
      </c>
      <c r="I3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6" s="36" t="str">
        <f>IF('Input Sheet'!F383=0, "NO",CONCATENATE('Input Sheet'!F383, IF('Input Sheet'!F383&gt;0,"% ","")))</f>
        <v>NO</v>
      </c>
      <c r="K3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6" s="36" t="str">
        <f>CONCATENATE(K366, IF('Input Sheet'!I383="",""," siderite in "))</f>
        <v/>
      </c>
      <c r="M3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6" s="36" t="str">
        <f>CONCATENATE(M366, IF('Input Sheet'!J383="",""," siderite in "))</f>
        <v/>
      </c>
    </row>
    <row r="367" spans="1:14" x14ac:dyDescent="0.25">
      <c r="A367" s="51" t="str">
        <f>IF('Input Sheet'!C384="","",CONCATENATE("Sample ", 'Input Sheet'!B384, "m: ", L367, F367, "% ", "Siltstone, ", N367, 'Input Sheet'!C384, "% ", H367, " Sandstone, ", J367, I367, " FLUOR in SST. ", "TG ", 'Input Sheet'!H384, "U"))</f>
        <v/>
      </c>
      <c r="F367" s="36" t="str">
        <f>IF('Input Sheet'!C384="","",100-'Input Sheet'!C384)</f>
        <v/>
      </c>
      <c r="G3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7" s="36" t="str">
        <f t="shared" si="5"/>
        <v/>
      </c>
      <c r="I3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7" s="36" t="str">
        <f>IF('Input Sheet'!F384=0, "NO",CONCATENATE('Input Sheet'!F384, IF('Input Sheet'!F384&gt;0,"% ","")))</f>
        <v>NO</v>
      </c>
      <c r="K3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7" s="36" t="str">
        <f>CONCATENATE(K367, IF('Input Sheet'!I384="",""," siderite in "))</f>
        <v/>
      </c>
      <c r="M3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7" s="36" t="str">
        <f>CONCATENATE(M367, IF('Input Sheet'!J384="",""," siderite in "))</f>
        <v/>
      </c>
    </row>
    <row r="368" spans="1:14" x14ac:dyDescent="0.25">
      <c r="A368" s="51" t="str">
        <f>IF('Input Sheet'!C385="","",CONCATENATE("Sample ", 'Input Sheet'!B385, "m: ", L368, F368, "% ", "Siltstone, ", N368, 'Input Sheet'!C385, "% ", H368, " Sandstone, ", J368, I368, " FLUOR in SST. ", "TG ", 'Input Sheet'!H385, "U"))</f>
        <v/>
      </c>
      <c r="F368" s="36" t="str">
        <f>IF('Input Sheet'!C385="","",100-'Input Sheet'!C385)</f>
        <v/>
      </c>
      <c r="G3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8" s="36" t="str">
        <f t="shared" si="5"/>
        <v/>
      </c>
      <c r="I3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8" s="36" t="str">
        <f>IF('Input Sheet'!F385=0, "NO",CONCATENATE('Input Sheet'!F385, IF('Input Sheet'!F385&gt;0,"% ","")))</f>
        <v>NO</v>
      </c>
      <c r="K3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8" s="36" t="str">
        <f>CONCATENATE(K368, IF('Input Sheet'!I385="",""," siderite in "))</f>
        <v/>
      </c>
      <c r="M3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8" s="36" t="str">
        <f>CONCATENATE(M368, IF('Input Sheet'!J385="",""," siderite in "))</f>
        <v/>
      </c>
    </row>
    <row r="369" spans="1:14" x14ac:dyDescent="0.25">
      <c r="A369" s="51" t="str">
        <f>IF('Input Sheet'!C386="","",CONCATENATE("Sample ", 'Input Sheet'!B386, "m: ", L369, F369, "% ", "Siltstone, ", N369, 'Input Sheet'!C386, "% ", H369, " Sandstone, ", J369, I369, " FLUOR in SST. ", "TG ", 'Input Sheet'!H386, "U"))</f>
        <v/>
      </c>
      <c r="F369" s="36" t="str">
        <f>IF('Input Sheet'!C386="","",100-'Input Sheet'!C386)</f>
        <v/>
      </c>
      <c r="G3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69" s="36" t="str">
        <f t="shared" si="5"/>
        <v/>
      </c>
      <c r="I3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69" s="36" t="str">
        <f>IF('Input Sheet'!F386=0, "NO",CONCATENATE('Input Sheet'!F386, IF('Input Sheet'!F386&gt;0,"% ","")))</f>
        <v>NO</v>
      </c>
      <c r="K3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69" s="36" t="str">
        <f>CONCATENATE(K369, IF('Input Sheet'!I386="",""," siderite in "))</f>
        <v/>
      </c>
      <c r="M3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69" s="36" t="str">
        <f>CONCATENATE(M369, IF('Input Sheet'!J386="",""," siderite in "))</f>
        <v/>
      </c>
    </row>
    <row r="370" spans="1:14" x14ac:dyDescent="0.25">
      <c r="A370" s="51" t="str">
        <f>IF('Input Sheet'!C387="","",CONCATENATE("Sample ", 'Input Sheet'!B387, "m: ", L370, F370, "% ", "Siltstone, ", N370, 'Input Sheet'!C387, "% ", H370, " Sandstone, ", J370, I370, " FLUOR in SST. ", "TG ", 'Input Sheet'!H387, "U"))</f>
        <v/>
      </c>
      <c r="F370" s="36" t="str">
        <f>IF('Input Sheet'!C387="","",100-'Input Sheet'!C387)</f>
        <v/>
      </c>
      <c r="G3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0" s="36" t="str">
        <f t="shared" si="5"/>
        <v/>
      </c>
      <c r="I3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0" s="36" t="str">
        <f>IF('Input Sheet'!F387=0, "NO",CONCATENATE('Input Sheet'!F387, IF('Input Sheet'!F387&gt;0,"% ","")))</f>
        <v>NO</v>
      </c>
      <c r="K3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0" s="36" t="str">
        <f>CONCATENATE(K370, IF('Input Sheet'!I387="",""," siderite in "))</f>
        <v/>
      </c>
      <c r="M3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0" s="36" t="str">
        <f>CONCATENATE(M370, IF('Input Sheet'!J387="",""," siderite in "))</f>
        <v/>
      </c>
    </row>
    <row r="371" spans="1:14" x14ac:dyDescent="0.25">
      <c r="A371" s="51" t="str">
        <f>IF('Input Sheet'!C388="","",CONCATENATE("Sample ", 'Input Sheet'!B388, "m: ", L371, F371, "% ", "Siltstone, ", N371, 'Input Sheet'!C388, "% ", H371, " Sandstone, ", J371, I371, " FLUOR in SST. ", "TG ", 'Input Sheet'!H388, "U"))</f>
        <v/>
      </c>
      <c r="F371" s="36" t="str">
        <f>IF('Input Sheet'!C388="","",100-'Input Sheet'!C388)</f>
        <v/>
      </c>
      <c r="G3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1" s="36" t="str">
        <f t="shared" si="5"/>
        <v/>
      </c>
      <c r="I3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1" s="36" t="str">
        <f>IF('Input Sheet'!F388=0, "NO",CONCATENATE('Input Sheet'!F388, IF('Input Sheet'!F388&gt;0,"% ","")))</f>
        <v>NO</v>
      </c>
      <c r="K3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1" s="36" t="str">
        <f>CONCATENATE(K371, IF('Input Sheet'!I388="",""," siderite in "))</f>
        <v/>
      </c>
      <c r="M3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1" s="36" t="str">
        <f>CONCATENATE(M371, IF('Input Sheet'!J388="",""," siderite in "))</f>
        <v/>
      </c>
    </row>
    <row r="372" spans="1:14" x14ac:dyDescent="0.25">
      <c r="A372" s="51" t="str">
        <f>IF('Input Sheet'!C389="","",CONCATENATE("Sample ", 'Input Sheet'!B389, "m: ", L372, F372, "% ", "Siltstone, ", N372, 'Input Sheet'!C389, "% ", H372, " Sandstone, ", J372, I372, " FLUOR in SST. ", "TG ", 'Input Sheet'!H389, "U"))</f>
        <v/>
      </c>
      <c r="F372" s="36" t="str">
        <f>IF('Input Sheet'!C389="","",100-'Input Sheet'!C389)</f>
        <v/>
      </c>
      <c r="G3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2" s="36" t="str">
        <f t="shared" si="5"/>
        <v/>
      </c>
      <c r="I3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2" s="36" t="str">
        <f>IF('Input Sheet'!F389=0, "NO",CONCATENATE('Input Sheet'!F389, IF('Input Sheet'!F389&gt;0,"% ","")))</f>
        <v>NO</v>
      </c>
      <c r="K3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2" s="36" t="str">
        <f>CONCATENATE(K372, IF('Input Sheet'!I389="",""," siderite in "))</f>
        <v/>
      </c>
      <c r="M3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2" s="36" t="str">
        <f>CONCATENATE(M372, IF('Input Sheet'!J389="",""," siderite in "))</f>
        <v/>
      </c>
    </row>
    <row r="373" spans="1:14" x14ac:dyDescent="0.25">
      <c r="A373" s="51" t="str">
        <f>IF('Input Sheet'!C390="","",CONCATENATE("Sample ", 'Input Sheet'!B390, "m: ", L373, F373, "% ", "Siltstone, ", N373, 'Input Sheet'!C390, "% ", H373, " Sandstone, ", J373, I373, " FLUOR in SST. ", "TG ", 'Input Sheet'!H390, "U"))</f>
        <v/>
      </c>
      <c r="F373" s="36" t="str">
        <f>IF('Input Sheet'!C390="","",100-'Input Sheet'!C390)</f>
        <v/>
      </c>
      <c r="G3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3" s="36" t="str">
        <f t="shared" si="5"/>
        <v/>
      </c>
      <c r="I3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3" s="36" t="str">
        <f>IF('Input Sheet'!F390=0, "NO",CONCATENATE('Input Sheet'!F390, IF('Input Sheet'!F390&gt;0,"% ","")))</f>
        <v>NO</v>
      </c>
      <c r="K3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3" s="36" t="str">
        <f>CONCATENATE(K373, IF('Input Sheet'!I390="",""," siderite in "))</f>
        <v/>
      </c>
      <c r="M3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3" s="36" t="str">
        <f>CONCATENATE(M373, IF('Input Sheet'!J390="",""," siderite in "))</f>
        <v/>
      </c>
    </row>
    <row r="374" spans="1:14" x14ac:dyDescent="0.25">
      <c r="A374" s="51" t="str">
        <f>IF('Input Sheet'!C391="","",CONCATENATE("Sample ", 'Input Sheet'!B391, "m: ", L374, F374, "% ", "Siltstone, ", N374, 'Input Sheet'!C391, "% ", H374, " Sandstone, ", J374, I374, " FLUOR in SST. ", "TG ", 'Input Sheet'!H391, "U"))</f>
        <v/>
      </c>
      <c r="F374" s="36" t="str">
        <f>IF('Input Sheet'!C391="","",100-'Input Sheet'!C391)</f>
        <v/>
      </c>
      <c r="G3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4" s="36" t="str">
        <f t="shared" si="5"/>
        <v/>
      </c>
      <c r="I3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4" s="36" t="str">
        <f>IF('Input Sheet'!F391=0, "NO",CONCATENATE('Input Sheet'!F391, IF('Input Sheet'!F391&gt;0,"% ","")))</f>
        <v>NO</v>
      </c>
      <c r="K3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4" s="36" t="str">
        <f>CONCATENATE(K374, IF('Input Sheet'!I391="",""," siderite in "))</f>
        <v/>
      </c>
      <c r="M3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4" s="36" t="str">
        <f>CONCATENATE(M374, IF('Input Sheet'!J391="",""," siderite in "))</f>
        <v/>
      </c>
    </row>
    <row r="375" spans="1:14" x14ac:dyDescent="0.25">
      <c r="A375" s="51" t="str">
        <f>IF('Input Sheet'!C392="","",CONCATENATE("Sample ", 'Input Sheet'!B392, "m: ", L375, F375, "% ", "Siltstone, ", N375, 'Input Sheet'!C392, "% ", H375, " Sandstone, ", J375, I375, " FLUOR in SST. ", "TG ", 'Input Sheet'!H392, "U"))</f>
        <v/>
      </c>
      <c r="F375" s="36" t="str">
        <f>IF('Input Sheet'!C392="","",100-'Input Sheet'!C392)</f>
        <v/>
      </c>
      <c r="G3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5" s="36" t="str">
        <f t="shared" si="5"/>
        <v/>
      </c>
      <c r="I3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5" s="36" t="str">
        <f>IF('Input Sheet'!F392=0, "NO",CONCATENATE('Input Sheet'!F392, IF('Input Sheet'!F392&gt;0,"% ","")))</f>
        <v>NO</v>
      </c>
      <c r="K3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5" s="36" t="str">
        <f>CONCATENATE(K375, IF('Input Sheet'!I392="",""," siderite in "))</f>
        <v/>
      </c>
      <c r="M3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5" s="36" t="str">
        <f>CONCATENATE(M375, IF('Input Sheet'!J392="",""," siderite in "))</f>
        <v/>
      </c>
    </row>
    <row r="376" spans="1:14" x14ac:dyDescent="0.25">
      <c r="A376" s="51" t="str">
        <f>IF('Input Sheet'!C393="","",CONCATENATE("Sample ", 'Input Sheet'!B393, "m: ", L376, F376, "% ", "Siltstone, ", N376, 'Input Sheet'!C393, "% ", H376, " Sandstone, ", J376, I376, " FLUOR in SST. ", "TG ", 'Input Sheet'!H393, "U"))</f>
        <v/>
      </c>
      <c r="F376" s="36" t="str">
        <f>IF('Input Sheet'!C393="","",100-'Input Sheet'!C393)</f>
        <v/>
      </c>
      <c r="G3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6" s="36" t="str">
        <f t="shared" si="5"/>
        <v/>
      </c>
      <c r="I3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6" s="36" t="str">
        <f>IF('Input Sheet'!F393=0, "NO",CONCATENATE('Input Sheet'!F393, IF('Input Sheet'!F393&gt;0,"% ","")))</f>
        <v>NO</v>
      </c>
      <c r="K3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6" s="36" t="str">
        <f>CONCATENATE(K376, IF('Input Sheet'!I393="",""," siderite in "))</f>
        <v/>
      </c>
      <c r="M3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6" s="36" t="str">
        <f>CONCATENATE(M376, IF('Input Sheet'!J393="",""," siderite in "))</f>
        <v/>
      </c>
    </row>
    <row r="377" spans="1:14" x14ac:dyDescent="0.25">
      <c r="A377" s="51" t="str">
        <f>IF('Input Sheet'!C394="","",CONCATENATE("Sample ", 'Input Sheet'!B394, "m: ", L377, F377, "% ", "Siltstone, ", N377, 'Input Sheet'!C394, "% ", H377, " Sandstone, ", J377, I377, " FLUOR in SST. ", "TG ", 'Input Sheet'!H394, "U"))</f>
        <v/>
      </c>
      <c r="F377" s="36" t="str">
        <f>IF('Input Sheet'!C394="","",100-'Input Sheet'!C394)</f>
        <v/>
      </c>
      <c r="G3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7" s="36" t="str">
        <f t="shared" si="5"/>
        <v/>
      </c>
      <c r="I3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7" s="36" t="str">
        <f>IF('Input Sheet'!F394=0, "NO",CONCATENATE('Input Sheet'!F394, IF('Input Sheet'!F394&gt;0,"% ","")))</f>
        <v>NO</v>
      </c>
      <c r="K3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7" s="36" t="str">
        <f>CONCATENATE(K377, IF('Input Sheet'!I394="",""," siderite in "))</f>
        <v/>
      </c>
      <c r="M3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7" s="36" t="str">
        <f>CONCATENATE(M377, IF('Input Sheet'!J394="",""," siderite in "))</f>
        <v/>
      </c>
    </row>
    <row r="378" spans="1:14" x14ac:dyDescent="0.25">
      <c r="A378" s="51" t="str">
        <f>IF('Input Sheet'!C395="","",CONCATENATE("Sample ", 'Input Sheet'!B395, "m: ", L378, F378, "% ", "Siltstone, ", N378, 'Input Sheet'!C395, "% ", H378, " Sandstone, ", J378, I378, " FLUOR in SST. ", "TG ", 'Input Sheet'!H395, "U"))</f>
        <v/>
      </c>
      <c r="F378" s="36" t="str">
        <f>IF('Input Sheet'!C395="","",100-'Input Sheet'!C395)</f>
        <v/>
      </c>
      <c r="G3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8" s="36" t="str">
        <f t="shared" si="5"/>
        <v/>
      </c>
      <c r="I3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8" s="36" t="str">
        <f>IF('Input Sheet'!F395=0, "NO",CONCATENATE('Input Sheet'!F395, IF('Input Sheet'!F395&gt;0,"% ","")))</f>
        <v>NO</v>
      </c>
      <c r="K3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8" s="36" t="str">
        <f>CONCATENATE(K378, IF('Input Sheet'!I395="",""," siderite in "))</f>
        <v/>
      </c>
      <c r="M3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8" s="36" t="str">
        <f>CONCATENATE(M378, IF('Input Sheet'!J395="",""," siderite in "))</f>
        <v/>
      </c>
    </row>
    <row r="379" spans="1:14" x14ac:dyDescent="0.25">
      <c r="A379" s="51" t="str">
        <f>IF('Input Sheet'!C396="","",CONCATENATE("Sample ", 'Input Sheet'!B396, "m: ", L379, F379, "% ", "Siltstone, ", N379, 'Input Sheet'!C396, "% ", H379, " Sandstone, ", J379, I379, " FLUOR in SST. ", "TG ", 'Input Sheet'!H396, "U"))</f>
        <v/>
      </c>
      <c r="F379" s="36" t="str">
        <f>IF('Input Sheet'!C396="","",100-'Input Sheet'!C396)</f>
        <v/>
      </c>
      <c r="G3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79" s="36" t="str">
        <f t="shared" si="5"/>
        <v/>
      </c>
      <c r="I3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79" s="36" t="str">
        <f>IF('Input Sheet'!F396=0, "NO",CONCATENATE('Input Sheet'!F396, IF('Input Sheet'!F396&gt;0,"% ","")))</f>
        <v>NO</v>
      </c>
      <c r="K3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79" s="36" t="str">
        <f>CONCATENATE(K379, IF('Input Sheet'!I396="",""," siderite in "))</f>
        <v/>
      </c>
      <c r="M3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79" s="36" t="str">
        <f>CONCATENATE(M379, IF('Input Sheet'!J396="",""," siderite in "))</f>
        <v/>
      </c>
    </row>
    <row r="380" spans="1:14" x14ac:dyDescent="0.25">
      <c r="A380" s="51" t="str">
        <f>IF('Input Sheet'!C397="","",CONCATENATE("Sample ", 'Input Sheet'!B397, "m: ", L380, F380, "% ", "Siltstone, ", N380, 'Input Sheet'!C397, "% ", H380, " Sandstone, ", J380, I380, " FLUOR in SST. ", "TG ", 'Input Sheet'!H397, "U"))</f>
        <v/>
      </c>
      <c r="F380" s="36" t="str">
        <f>IF('Input Sheet'!C397="","",100-'Input Sheet'!C397)</f>
        <v/>
      </c>
      <c r="G3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0" s="36" t="str">
        <f t="shared" si="5"/>
        <v/>
      </c>
      <c r="I3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0" s="36" t="str">
        <f>IF('Input Sheet'!F397=0, "NO",CONCATENATE('Input Sheet'!F397, IF('Input Sheet'!F397&gt;0,"% ","")))</f>
        <v>NO</v>
      </c>
      <c r="K3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0" s="36" t="str">
        <f>CONCATENATE(K380, IF('Input Sheet'!I397="",""," siderite in "))</f>
        <v/>
      </c>
      <c r="M3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0" s="36" t="str">
        <f>CONCATENATE(M380, IF('Input Sheet'!J397="",""," siderite in "))</f>
        <v/>
      </c>
    </row>
    <row r="381" spans="1:14" x14ac:dyDescent="0.25">
      <c r="A381" s="51" t="str">
        <f>IF('Input Sheet'!C398="","",CONCATENATE("Sample ", 'Input Sheet'!B398, "m: ", L381, F381, "% ", "Siltstone, ", N381, 'Input Sheet'!C398, "% ", H381, " Sandstone, ", J381, I381, " FLUOR in SST. ", "TG ", 'Input Sheet'!H398, "U"))</f>
        <v/>
      </c>
      <c r="F381" s="36" t="str">
        <f>IF('Input Sheet'!C398="","",100-'Input Sheet'!C398)</f>
        <v/>
      </c>
      <c r="G3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1" s="36" t="str">
        <f t="shared" si="5"/>
        <v/>
      </c>
      <c r="I3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1" s="36" t="str">
        <f>IF('Input Sheet'!F398=0, "NO",CONCATENATE('Input Sheet'!F398, IF('Input Sheet'!F398&gt;0,"% ","")))</f>
        <v>NO</v>
      </c>
      <c r="K3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1" s="36" t="str">
        <f>CONCATENATE(K381, IF('Input Sheet'!I398="",""," siderite in "))</f>
        <v/>
      </c>
      <c r="M3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1" s="36" t="str">
        <f>CONCATENATE(M381, IF('Input Sheet'!J398="",""," siderite in "))</f>
        <v/>
      </c>
    </row>
    <row r="382" spans="1:14" x14ac:dyDescent="0.25">
      <c r="A382" s="51" t="str">
        <f>IF('Input Sheet'!C399="","",CONCATENATE("Sample ", 'Input Sheet'!B399, "m: ", L382, F382, "% ", "Siltstone, ", N382, 'Input Sheet'!C399, "% ", H382, " Sandstone, ", J382, I382, " FLUOR in SST. ", "TG ", 'Input Sheet'!H399, "U"))</f>
        <v/>
      </c>
      <c r="F382" s="36" t="str">
        <f>IF('Input Sheet'!C399="","",100-'Input Sheet'!C399)</f>
        <v/>
      </c>
      <c r="G3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399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2" s="36" t="str">
        <f t="shared" si="5"/>
        <v/>
      </c>
      <c r="I3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399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2" s="36" t="str">
        <f>IF('Input Sheet'!F399=0, "NO",CONCATENATE('Input Sheet'!F399, IF('Input Sheet'!F399&gt;0,"% ","")))</f>
        <v>NO</v>
      </c>
      <c r="K3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399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2" s="36" t="str">
        <f>CONCATENATE(K382, IF('Input Sheet'!I399="",""," siderite in "))</f>
        <v/>
      </c>
      <c r="M3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399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2" s="36" t="str">
        <f>CONCATENATE(M382, IF('Input Sheet'!J399="",""," siderite in "))</f>
        <v/>
      </c>
    </row>
    <row r="383" spans="1:14" x14ac:dyDescent="0.25">
      <c r="A383" s="51" t="str">
        <f>IF('Input Sheet'!C400="","",CONCATENATE("Sample ", 'Input Sheet'!B400, "m: ", L383, F383, "% ", "Siltstone, ", N383, 'Input Sheet'!C400, "% ", H383, " Sandstone, ", J383, I383, " FLUOR in SST. ", "TG ", 'Input Sheet'!H400, "U"))</f>
        <v/>
      </c>
      <c r="F383" s="36" t="str">
        <f>IF('Input Sheet'!C400="","",100-'Input Sheet'!C400)</f>
        <v/>
      </c>
      <c r="G3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3" s="36" t="str">
        <f t="shared" si="5"/>
        <v/>
      </c>
      <c r="I3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3" s="36" t="str">
        <f>IF('Input Sheet'!F400=0, "NO",CONCATENATE('Input Sheet'!F400, IF('Input Sheet'!F400&gt;0,"% ","")))</f>
        <v>NO</v>
      </c>
      <c r="K3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3" s="36" t="str">
        <f>CONCATENATE(K383, IF('Input Sheet'!I400="",""," siderite in "))</f>
        <v/>
      </c>
      <c r="M3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3" s="36" t="str">
        <f>CONCATENATE(M383, IF('Input Sheet'!J400="",""," siderite in "))</f>
        <v/>
      </c>
    </row>
    <row r="384" spans="1:14" x14ac:dyDescent="0.25">
      <c r="A384" s="51" t="str">
        <f>IF('Input Sheet'!C401="","",CONCATENATE("Sample ", 'Input Sheet'!B401, "m: ", L384, F384, "% ", "Siltstone, ", N384, 'Input Sheet'!C401, "% ", H384, " Sandstone, ", J384, I384, " FLUOR in SST. ", "TG ", 'Input Sheet'!H401, "U"))</f>
        <v/>
      </c>
      <c r="F384" s="36" t="str">
        <f>IF('Input Sheet'!C401="","",100-'Input Sheet'!C401)</f>
        <v/>
      </c>
      <c r="G3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4" s="36" t="str">
        <f t="shared" si="5"/>
        <v/>
      </c>
      <c r="I3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4" s="36" t="str">
        <f>IF('Input Sheet'!F401=0, "NO",CONCATENATE('Input Sheet'!F401, IF('Input Sheet'!F401&gt;0,"% ","")))</f>
        <v>NO</v>
      </c>
      <c r="K3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4" s="36" t="str">
        <f>CONCATENATE(K384, IF('Input Sheet'!I401="",""," siderite in "))</f>
        <v/>
      </c>
      <c r="M3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4" s="36" t="str">
        <f>CONCATENATE(M384, IF('Input Sheet'!J401="",""," siderite in "))</f>
        <v/>
      </c>
    </row>
    <row r="385" spans="1:14" x14ac:dyDescent="0.25">
      <c r="A385" s="51" t="str">
        <f>IF('Input Sheet'!C402="","",CONCATENATE("Sample ", 'Input Sheet'!B402, "m: ", L385, F385, "% ", "Siltstone, ", N385, 'Input Sheet'!C402, "% ", H385, " Sandstone, ", J385, I385, " FLUOR in SST. ", "TG ", 'Input Sheet'!H402, "U"))</f>
        <v/>
      </c>
      <c r="F385" s="36" t="str">
        <f>IF('Input Sheet'!C402="","",100-'Input Sheet'!C402)</f>
        <v/>
      </c>
      <c r="G3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5" s="36" t="str">
        <f t="shared" si="5"/>
        <v/>
      </c>
      <c r="I3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5" s="36" t="str">
        <f>IF('Input Sheet'!F402=0, "NO",CONCATENATE('Input Sheet'!F402, IF('Input Sheet'!F402&gt;0,"% ","")))</f>
        <v>NO</v>
      </c>
      <c r="K3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5" s="36" t="str">
        <f>CONCATENATE(K385, IF('Input Sheet'!I402="",""," siderite in "))</f>
        <v/>
      </c>
      <c r="M3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5" s="36" t="str">
        <f>CONCATENATE(M385, IF('Input Sheet'!J402="",""," siderite in "))</f>
        <v/>
      </c>
    </row>
    <row r="386" spans="1:14" x14ac:dyDescent="0.25">
      <c r="A386" s="51" t="str">
        <f>IF('Input Sheet'!C403="","",CONCATENATE("Sample ", 'Input Sheet'!B403, "m: ", L386, F386, "% ", "Siltstone, ", N386, 'Input Sheet'!C403, "% ", H386, " Sandstone, ", J386, I386, " FLUOR in SST. ", "TG ", 'Input Sheet'!H403, "U"))</f>
        <v/>
      </c>
      <c r="F386" s="36" t="str">
        <f>IF('Input Sheet'!C403="","",100-'Input Sheet'!C403)</f>
        <v/>
      </c>
      <c r="G3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6" s="36" t="str">
        <f t="shared" ref="H386:H449" si="6">SUBSTITUTE(G386, "veryfine", "very fine")</f>
        <v/>
      </c>
      <c r="I3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6" s="36" t="str">
        <f>IF('Input Sheet'!F403=0, "NO",CONCATENATE('Input Sheet'!F403, IF('Input Sheet'!F403&gt;0,"% ","")))</f>
        <v>NO</v>
      </c>
      <c r="K3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6" s="36" t="str">
        <f>CONCATENATE(K386, IF('Input Sheet'!I403="",""," siderite in "))</f>
        <v/>
      </c>
      <c r="M3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6" s="36" t="str">
        <f>CONCATENATE(M386, IF('Input Sheet'!J403="",""," siderite in "))</f>
        <v/>
      </c>
    </row>
    <row r="387" spans="1:14" x14ac:dyDescent="0.25">
      <c r="A387" s="51" t="str">
        <f>IF('Input Sheet'!C404="","",CONCATENATE("Sample ", 'Input Sheet'!B404, "m: ", L387, F387, "% ", "Siltstone, ", N387, 'Input Sheet'!C404, "% ", H387, " Sandstone, ", J387, I387, " FLUOR in SST. ", "TG ", 'Input Sheet'!H404, "U"))</f>
        <v/>
      </c>
      <c r="F387" s="36" t="str">
        <f>IF('Input Sheet'!C404="","",100-'Input Sheet'!C404)</f>
        <v/>
      </c>
      <c r="G3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7" s="36" t="str">
        <f t="shared" si="6"/>
        <v/>
      </c>
      <c r="I3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7" s="36" t="str">
        <f>IF('Input Sheet'!F404=0, "NO",CONCATENATE('Input Sheet'!F404, IF('Input Sheet'!F404&gt;0,"% ","")))</f>
        <v>NO</v>
      </c>
      <c r="K3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7" s="36" t="str">
        <f>CONCATENATE(K387, IF('Input Sheet'!I404="",""," siderite in "))</f>
        <v/>
      </c>
      <c r="M3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7" s="36" t="str">
        <f>CONCATENATE(M387, IF('Input Sheet'!J404="",""," siderite in "))</f>
        <v/>
      </c>
    </row>
    <row r="388" spans="1:14" x14ac:dyDescent="0.25">
      <c r="A388" s="51" t="str">
        <f>IF('Input Sheet'!C405="","",CONCATENATE("Sample ", 'Input Sheet'!B405, "m: ", L388, F388, "% ", "Siltstone, ", N388, 'Input Sheet'!C405, "% ", H388, " Sandstone, ", J388, I388, " FLUOR in SST. ", "TG ", 'Input Sheet'!H405, "U"))</f>
        <v/>
      </c>
      <c r="F388" s="36" t="str">
        <f>IF('Input Sheet'!C405="","",100-'Input Sheet'!C405)</f>
        <v/>
      </c>
      <c r="G3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8" s="36" t="str">
        <f t="shared" si="6"/>
        <v/>
      </c>
      <c r="I3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8" s="36" t="str">
        <f>IF('Input Sheet'!F405=0, "NO",CONCATENATE('Input Sheet'!F405, IF('Input Sheet'!F405&gt;0,"% ","")))</f>
        <v>NO</v>
      </c>
      <c r="K3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8" s="36" t="str">
        <f>CONCATENATE(K388, IF('Input Sheet'!I405="",""," siderite in "))</f>
        <v/>
      </c>
      <c r="M3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8" s="36" t="str">
        <f>CONCATENATE(M388, IF('Input Sheet'!J405="",""," siderite in "))</f>
        <v/>
      </c>
    </row>
    <row r="389" spans="1:14" x14ac:dyDescent="0.25">
      <c r="A389" s="51" t="str">
        <f>IF('Input Sheet'!C406="","",CONCATENATE("Sample ", 'Input Sheet'!B406, "m: ", L389, F389, "% ", "Siltstone, ", N389, 'Input Sheet'!C406, "% ", H389, " Sandstone, ", J389, I389, " FLUOR in SST. ", "TG ", 'Input Sheet'!H406, "U"))</f>
        <v/>
      </c>
      <c r="F389" s="36" t="str">
        <f>IF('Input Sheet'!C406="","",100-'Input Sheet'!C406)</f>
        <v/>
      </c>
      <c r="G3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89" s="36" t="str">
        <f t="shared" si="6"/>
        <v/>
      </c>
      <c r="I3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89" s="36" t="str">
        <f>IF('Input Sheet'!F406=0, "NO",CONCATENATE('Input Sheet'!F406, IF('Input Sheet'!F406&gt;0,"% ","")))</f>
        <v>NO</v>
      </c>
      <c r="K3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89" s="36" t="str">
        <f>CONCATENATE(K389, IF('Input Sheet'!I406="",""," siderite in "))</f>
        <v/>
      </c>
      <c r="M3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89" s="36" t="str">
        <f>CONCATENATE(M389, IF('Input Sheet'!J406="",""," siderite in "))</f>
        <v/>
      </c>
    </row>
    <row r="390" spans="1:14" x14ac:dyDescent="0.25">
      <c r="A390" s="51" t="str">
        <f>IF('Input Sheet'!C407="","",CONCATENATE("Sample ", 'Input Sheet'!B407, "m: ", L390, F390, "% ", "Siltstone, ", N390, 'Input Sheet'!C407, "% ", H390, " Sandstone, ", J390, I390, " FLUOR in SST. ", "TG ", 'Input Sheet'!H407, "U"))</f>
        <v/>
      </c>
      <c r="F390" s="36" t="str">
        <f>IF('Input Sheet'!C407="","",100-'Input Sheet'!C407)</f>
        <v/>
      </c>
      <c r="G3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0" s="36" t="str">
        <f t="shared" si="6"/>
        <v/>
      </c>
      <c r="I3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0" s="36" t="str">
        <f>IF('Input Sheet'!F407=0, "NO",CONCATENATE('Input Sheet'!F407, IF('Input Sheet'!F407&gt;0,"% ","")))</f>
        <v>NO</v>
      </c>
      <c r="K3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0" s="36" t="str">
        <f>CONCATENATE(K390, IF('Input Sheet'!I407="",""," siderite in "))</f>
        <v/>
      </c>
      <c r="M3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0" s="36" t="str">
        <f>CONCATENATE(M390, IF('Input Sheet'!J407="",""," siderite in "))</f>
        <v/>
      </c>
    </row>
    <row r="391" spans="1:14" x14ac:dyDescent="0.25">
      <c r="A391" s="51" t="str">
        <f>IF('Input Sheet'!C408="","",CONCATENATE("Sample ", 'Input Sheet'!B408, "m: ", L391, F391, "% ", "Siltstone, ", N391, 'Input Sheet'!C408, "% ", H391, " Sandstone, ", J391, I391, " FLUOR in SST. ", "TG ", 'Input Sheet'!H408, "U"))</f>
        <v/>
      </c>
      <c r="F391" s="36" t="str">
        <f>IF('Input Sheet'!C408="","",100-'Input Sheet'!C408)</f>
        <v/>
      </c>
      <c r="G3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1" s="36" t="str">
        <f t="shared" si="6"/>
        <v/>
      </c>
      <c r="I3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1" s="36" t="str">
        <f>IF('Input Sheet'!F408=0, "NO",CONCATENATE('Input Sheet'!F408, IF('Input Sheet'!F408&gt;0,"% ","")))</f>
        <v>NO</v>
      </c>
      <c r="K3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1" s="36" t="str">
        <f>CONCATENATE(K391, IF('Input Sheet'!I408="",""," siderite in "))</f>
        <v/>
      </c>
      <c r="M3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1" s="36" t="str">
        <f>CONCATENATE(M391, IF('Input Sheet'!J408="",""," siderite in "))</f>
        <v/>
      </c>
    </row>
    <row r="392" spans="1:14" x14ac:dyDescent="0.25">
      <c r="A392" s="51" t="str">
        <f>IF('Input Sheet'!C409="","",CONCATENATE("Sample ", 'Input Sheet'!B409, "m: ", L392, F392, "% ", "Siltstone, ", N392, 'Input Sheet'!C409, "% ", H392, " Sandstone, ", J392, I392, " FLUOR in SST. ", "TG ", 'Input Sheet'!H409, "U"))</f>
        <v/>
      </c>
      <c r="F392" s="36" t="str">
        <f>IF('Input Sheet'!C409="","",100-'Input Sheet'!C409)</f>
        <v/>
      </c>
      <c r="G3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2" s="36" t="str">
        <f t="shared" si="6"/>
        <v/>
      </c>
      <c r="I3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2" s="36" t="str">
        <f>IF('Input Sheet'!F409=0, "NO",CONCATENATE('Input Sheet'!F409, IF('Input Sheet'!F409&gt;0,"% ","")))</f>
        <v>NO</v>
      </c>
      <c r="K3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2" s="36" t="str">
        <f>CONCATENATE(K392, IF('Input Sheet'!I409="",""," siderite in "))</f>
        <v/>
      </c>
      <c r="M3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2" s="36" t="str">
        <f>CONCATENATE(M392, IF('Input Sheet'!J409="",""," siderite in "))</f>
        <v/>
      </c>
    </row>
    <row r="393" spans="1:14" x14ac:dyDescent="0.25">
      <c r="A393" s="51" t="str">
        <f>IF('Input Sheet'!C410="","",CONCATENATE("Sample ", 'Input Sheet'!B410, "m: ", L393, F393, "% ", "Siltstone, ", N393, 'Input Sheet'!C410, "% ", H393, " Sandstone, ", J393, I393, " FLUOR in SST. ", "TG ", 'Input Sheet'!H410, "U"))</f>
        <v/>
      </c>
      <c r="F393" s="36" t="str">
        <f>IF('Input Sheet'!C410="","",100-'Input Sheet'!C410)</f>
        <v/>
      </c>
      <c r="G3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3" s="36" t="str">
        <f t="shared" si="6"/>
        <v/>
      </c>
      <c r="I3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3" s="36" t="str">
        <f>IF('Input Sheet'!F410=0, "NO",CONCATENATE('Input Sheet'!F410, IF('Input Sheet'!F410&gt;0,"% ","")))</f>
        <v>NO</v>
      </c>
      <c r="K3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3" s="36" t="str">
        <f>CONCATENATE(K393, IF('Input Sheet'!I410="",""," siderite in "))</f>
        <v/>
      </c>
      <c r="M3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3" s="36" t="str">
        <f>CONCATENATE(M393, IF('Input Sheet'!J410="",""," siderite in "))</f>
        <v/>
      </c>
    </row>
    <row r="394" spans="1:14" x14ac:dyDescent="0.25">
      <c r="A394" s="51" t="str">
        <f>IF('Input Sheet'!C411="","",CONCATENATE("Sample ", 'Input Sheet'!B411, "m: ", L394, F394, "% ", "Siltstone, ", N394, 'Input Sheet'!C411, "% ", H394, " Sandstone, ", J394, I394, " FLUOR in SST. ", "TG ", 'Input Sheet'!H411, "U"))</f>
        <v/>
      </c>
      <c r="F394" s="36" t="str">
        <f>IF('Input Sheet'!C411="","",100-'Input Sheet'!C411)</f>
        <v/>
      </c>
      <c r="G3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4" s="36" t="str">
        <f t="shared" si="6"/>
        <v/>
      </c>
      <c r="I3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4" s="36" t="str">
        <f>IF('Input Sheet'!F411=0, "NO",CONCATENATE('Input Sheet'!F411, IF('Input Sheet'!F411&gt;0,"% ","")))</f>
        <v>NO</v>
      </c>
      <c r="K3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4" s="36" t="str">
        <f>CONCATENATE(K394, IF('Input Sheet'!I411="",""," siderite in "))</f>
        <v/>
      </c>
      <c r="M3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4" s="36" t="str">
        <f>CONCATENATE(M394, IF('Input Sheet'!J411="",""," siderite in "))</f>
        <v/>
      </c>
    </row>
    <row r="395" spans="1:14" x14ac:dyDescent="0.25">
      <c r="A395" s="51" t="str">
        <f>IF('Input Sheet'!C412="","",CONCATENATE("Sample ", 'Input Sheet'!B412, "m: ", L395, F395, "% ", "Siltstone, ", N395, 'Input Sheet'!C412, "% ", H395, " Sandstone, ", J395, I395, " FLUOR in SST. ", "TG ", 'Input Sheet'!H412, "U"))</f>
        <v/>
      </c>
      <c r="F395" s="36" t="str">
        <f>IF('Input Sheet'!C412="","",100-'Input Sheet'!C412)</f>
        <v/>
      </c>
      <c r="G3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5" s="36" t="str">
        <f t="shared" si="6"/>
        <v/>
      </c>
      <c r="I3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5" s="36" t="str">
        <f>IF('Input Sheet'!F412=0, "NO",CONCATENATE('Input Sheet'!F412, IF('Input Sheet'!F412&gt;0,"% ","")))</f>
        <v>NO</v>
      </c>
      <c r="K3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5" s="36" t="str">
        <f>CONCATENATE(K395, IF('Input Sheet'!I412="",""," siderite in "))</f>
        <v/>
      </c>
      <c r="M3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5" s="36" t="str">
        <f>CONCATENATE(M395, IF('Input Sheet'!J412="",""," siderite in "))</f>
        <v/>
      </c>
    </row>
    <row r="396" spans="1:14" x14ac:dyDescent="0.25">
      <c r="A396" s="51" t="str">
        <f>IF('Input Sheet'!C413="","",CONCATENATE("Sample ", 'Input Sheet'!B413, "m: ", L396, F396, "% ", "Siltstone, ", N396, 'Input Sheet'!C413, "% ", H396, " Sandstone, ", J396, I396, " FLUOR in SST. ", "TG ", 'Input Sheet'!H413, "U"))</f>
        <v/>
      </c>
      <c r="F396" s="36" t="str">
        <f>IF('Input Sheet'!C413="","",100-'Input Sheet'!C413)</f>
        <v/>
      </c>
      <c r="G3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6" s="36" t="str">
        <f t="shared" si="6"/>
        <v/>
      </c>
      <c r="I3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6" s="36" t="str">
        <f>IF('Input Sheet'!F413=0, "NO",CONCATENATE('Input Sheet'!F413, IF('Input Sheet'!F413&gt;0,"% ","")))</f>
        <v>NO</v>
      </c>
      <c r="K3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6" s="36" t="str">
        <f>CONCATENATE(K396, IF('Input Sheet'!I413="",""," siderite in "))</f>
        <v/>
      </c>
      <c r="M3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6" s="36" t="str">
        <f>CONCATENATE(M396, IF('Input Sheet'!J413="",""," siderite in "))</f>
        <v/>
      </c>
    </row>
    <row r="397" spans="1:14" x14ac:dyDescent="0.25">
      <c r="A397" s="51" t="str">
        <f>IF('Input Sheet'!C414="","",CONCATENATE("Sample ", 'Input Sheet'!B414, "m: ", L397, F397, "% ", "Siltstone, ", N397, 'Input Sheet'!C414, "% ", H397, " Sandstone, ", J397, I397, " FLUOR in SST. ", "TG ", 'Input Sheet'!H414, "U"))</f>
        <v/>
      </c>
      <c r="F397" s="36" t="str">
        <f>IF('Input Sheet'!C414="","",100-'Input Sheet'!C414)</f>
        <v/>
      </c>
      <c r="G3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7" s="36" t="str">
        <f t="shared" si="6"/>
        <v/>
      </c>
      <c r="I3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7" s="36" t="str">
        <f>IF('Input Sheet'!F414=0, "NO",CONCATENATE('Input Sheet'!F414, IF('Input Sheet'!F414&gt;0,"% ","")))</f>
        <v>NO</v>
      </c>
      <c r="K3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7" s="36" t="str">
        <f>CONCATENATE(K397, IF('Input Sheet'!I414="",""," siderite in "))</f>
        <v/>
      </c>
      <c r="M3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7" s="36" t="str">
        <f>CONCATENATE(M397, IF('Input Sheet'!J414="",""," siderite in "))</f>
        <v/>
      </c>
    </row>
    <row r="398" spans="1:14" x14ac:dyDescent="0.25">
      <c r="A398" s="51" t="str">
        <f>IF('Input Sheet'!C415="","",CONCATENATE("Sample ", 'Input Sheet'!B415, "m: ", L398, F398, "% ", "Siltstone, ", N398, 'Input Sheet'!C415, "% ", H398, " Sandstone, ", J398, I398, " FLUOR in SST. ", "TG ", 'Input Sheet'!H415, "U"))</f>
        <v/>
      </c>
      <c r="F398" s="36" t="str">
        <f>IF('Input Sheet'!C415="","",100-'Input Sheet'!C415)</f>
        <v/>
      </c>
      <c r="G3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8" s="36" t="str">
        <f t="shared" si="6"/>
        <v/>
      </c>
      <c r="I3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8" s="36" t="str">
        <f>IF('Input Sheet'!F415=0, "NO",CONCATENATE('Input Sheet'!F415, IF('Input Sheet'!F415&gt;0,"% ","")))</f>
        <v>NO</v>
      </c>
      <c r="K3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8" s="36" t="str">
        <f>CONCATENATE(K398, IF('Input Sheet'!I415="",""," siderite in "))</f>
        <v/>
      </c>
      <c r="M3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8" s="36" t="str">
        <f>CONCATENATE(M398, IF('Input Sheet'!J415="",""," siderite in "))</f>
        <v/>
      </c>
    </row>
    <row r="399" spans="1:14" x14ac:dyDescent="0.25">
      <c r="A399" s="51" t="str">
        <f>IF('Input Sheet'!C416="","",CONCATENATE("Sample ", 'Input Sheet'!B416, "m: ", L399, F399, "% ", "Siltstone, ", N399, 'Input Sheet'!C416, "% ", H399, " Sandstone, ", J399, I399, " FLUOR in SST. ", "TG ", 'Input Sheet'!H416, "U"))</f>
        <v/>
      </c>
      <c r="F399" s="36" t="str">
        <f>IF('Input Sheet'!C416="","",100-'Input Sheet'!C416)</f>
        <v/>
      </c>
      <c r="G3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399" s="36" t="str">
        <f t="shared" si="6"/>
        <v/>
      </c>
      <c r="I3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399" s="36" t="str">
        <f>IF('Input Sheet'!F416=0, "NO",CONCATENATE('Input Sheet'!F416, IF('Input Sheet'!F416&gt;0,"% ","")))</f>
        <v>NO</v>
      </c>
      <c r="K3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399" s="36" t="str">
        <f>CONCATENATE(K399, IF('Input Sheet'!I416="",""," siderite in "))</f>
        <v/>
      </c>
      <c r="M3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399" s="36" t="str">
        <f>CONCATENATE(M399, IF('Input Sheet'!J416="",""," siderite in "))</f>
        <v/>
      </c>
    </row>
    <row r="400" spans="1:14" x14ac:dyDescent="0.25">
      <c r="A400" s="51" t="str">
        <f>IF('Input Sheet'!C417="","",CONCATENATE("Sample ", 'Input Sheet'!B417, "m: ", L400, F400, "% ", "Siltstone, ", N400, 'Input Sheet'!C417, "% ", H400, " Sandstone, ", J400, I400, " FLUOR in SST. ", "TG ", 'Input Sheet'!H417, "U"))</f>
        <v/>
      </c>
      <c r="F400" s="36" t="str">
        <f>IF('Input Sheet'!C417="","",100-'Input Sheet'!C417)</f>
        <v/>
      </c>
      <c r="G4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0" s="36" t="str">
        <f t="shared" si="6"/>
        <v/>
      </c>
      <c r="I4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0" s="36" t="str">
        <f>IF('Input Sheet'!F417=0, "NO",CONCATENATE('Input Sheet'!F417, IF('Input Sheet'!F417&gt;0,"% ","")))</f>
        <v>NO</v>
      </c>
      <c r="K4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0" s="36" t="str">
        <f>CONCATENATE(K400, IF('Input Sheet'!I417="",""," siderite in "))</f>
        <v/>
      </c>
      <c r="M4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0" s="36" t="str">
        <f>CONCATENATE(M400, IF('Input Sheet'!J417="",""," siderite in "))</f>
        <v/>
      </c>
    </row>
    <row r="401" spans="1:14" x14ac:dyDescent="0.25">
      <c r="A401" s="51" t="str">
        <f>IF('Input Sheet'!C418="","",CONCATENATE("Sample ", 'Input Sheet'!B418, "m: ", L401, F401, "% ", "Siltstone, ", N401, 'Input Sheet'!C418, "% ", H401, " Sandstone, ", J401, I401, " FLUOR in SST. ", "TG ", 'Input Sheet'!H418, "U"))</f>
        <v/>
      </c>
      <c r="F401" s="36" t="str">
        <f>IF('Input Sheet'!C418="","",100-'Input Sheet'!C418)</f>
        <v/>
      </c>
      <c r="G4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1" s="36" t="str">
        <f t="shared" si="6"/>
        <v/>
      </c>
      <c r="I4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1" s="36" t="str">
        <f>IF('Input Sheet'!F418=0, "NO",CONCATENATE('Input Sheet'!F418, IF('Input Sheet'!F418&gt;0,"% ","")))</f>
        <v>NO</v>
      </c>
      <c r="K4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1" s="36" t="str">
        <f>CONCATENATE(K401, IF('Input Sheet'!I418="",""," siderite in "))</f>
        <v/>
      </c>
      <c r="M4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1" s="36" t="str">
        <f>CONCATENATE(M401, IF('Input Sheet'!J418="",""," siderite in "))</f>
        <v/>
      </c>
    </row>
    <row r="402" spans="1:14" x14ac:dyDescent="0.25">
      <c r="A402" s="51" t="str">
        <f>IF('Input Sheet'!C419="","",CONCATENATE("Sample ", 'Input Sheet'!B419, "m: ", L402, F402, "% ", "Siltstone, ", N402, 'Input Sheet'!C419, "% ", H402, " Sandstone, ", J402, I402, " FLUOR in SST. ", "TG ", 'Input Sheet'!H419, "U"))</f>
        <v/>
      </c>
      <c r="F402" s="36" t="str">
        <f>IF('Input Sheet'!C419="","",100-'Input Sheet'!C419)</f>
        <v/>
      </c>
      <c r="G4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2" s="36" t="str">
        <f t="shared" si="6"/>
        <v/>
      </c>
      <c r="I4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2" s="36" t="str">
        <f>IF('Input Sheet'!F419=0, "NO",CONCATENATE('Input Sheet'!F419, IF('Input Sheet'!F419&gt;0,"% ","")))</f>
        <v>NO</v>
      </c>
      <c r="K4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2" s="36" t="str">
        <f>CONCATENATE(K402, IF('Input Sheet'!I419="",""," siderite in "))</f>
        <v/>
      </c>
      <c r="M4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2" s="36" t="str">
        <f>CONCATENATE(M402, IF('Input Sheet'!J419="",""," siderite in "))</f>
        <v/>
      </c>
    </row>
    <row r="403" spans="1:14" x14ac:dyDescent="0.25">
      <c r="A403" s="51" t="str">
        <f>IF('Input Sheet'!C420="","",CONCATENATE("Sample ", 'Input Sheet'!B420, "m: ", L403, F403, "% ", "Siltstone, ", N403, 'Input Sheet'!C420, "% ", H403, " Sandstone, ", J403, I403, " FLUOR in SST. ", "TG ", 'Input Sheet'!H420, "U"))</f>
        <v/>
      </c>
      <c r="F403" s="36" t="str">
        <f>IF('Input Sheet'!C420="","",100-'Input Sheet'!C420)</f>
        <v/>
      </c>
      <c r="G4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3" s="36" t="str">
        <f t="shared" si="6"/>
        <v/>
      </c>
      <c r="I4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3" s="36" t="str">
        <f>IF('Input Sheet'!F420=0, "NO",CONCATENATE('Input Sheet'!F420, IF('Input Sheet'!F420&gt;0,"% ","")))</f>
        <v>NO</v>
      </c>
      <c r="K4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3" s="36" t="str">
        <f>CONCATENATE(K403, IF('Input Sheet'!I420="",""," siderite in "))</f>
        <v/>
      </c>
      <c r="M4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3" s="36" t="str">
        <f>CONCATENATE(M403, IF('Input Sheet'!J420="",""," siderite in "))</f>
        <v/>
      </c>
    </row>
    <row r="404" spans="1:14" x14ac:dyDescent="0.25">
      <c r="A404" s="51" t="str">
        <f>IF('Input Sheet'!C421="","",CONCATENATE("Sample ", 'Input Sheet'!B421, "m: ", L404, F404, "% ", "Siltstone, ", N404, 'Input Sheet'!C421, "% ", H404, " Sandstone, ", J404, I404, " FLUOR in SST. ", "TG ", 'Input Sheet'!H421, "U"))</f>
        <v/>
      </c>
      <c r="F404" s="36" t="str">
        <f>IF('Input Sheet'!C421="","",100-'Input Sheet'!C421)</f>
        <v/>
      </c>
      <c r="G4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4" s="36" t="str">
        <f t="shared" si="6"/>
        <v/>
      </c>
      <c r="I4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4" s="36" t="str">
        <f>IF('Input Sheet'!F421=0, "NO",CONCATENATE('Input Sheet'!F421, IF('Input Sheet'!F421&gt;0,"% ","")))</f>
        <v>NO</v>
      </c>
      <c r="K4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4" s="36" t="str">
        <f>CONCATENATE(K404, IF('Input Sheet'!I421="",""," siderite in "))</f>
        <v/>
      </c>
      <c r="M4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4" s="36" t="str">
        <f>CONCATENATE(M404, IF('Input Sheet'!J421="",""," siderite in "))</f>
        <v/>
      </c>
    </row>
    <row r="405" spans="1:14" x14ac:dyDescent="0.25">
      <c r="A405" s="51" t="str">
        <f>IF('Input Sheet'!C422="","",CONCATENATE("Sample ", 'Input Sheet'!B422, "m: ", L405, F405, "% ", "Siltstone, ", N405, 'Input Sheet'!C422, "% ", H405, " Sandstone, ", J405, I405, " FLUOR in SST. ", "TG ", 'Input Sheet'!H422, "U"))</f>
        <v/>
      </c>
      <c r="F405" s="36" t="str">
        <f>IF('Input Sheet'!C422="","",100-'Input Sheet'!C422)</f>
        <v/>
      </c>
      <c r="G4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5" s="36" t="str">
        <f t="shared" si="6"/>
        <v/>
      </c>
      <c r="I4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5" s="36" t="str">
        <f>IF('Input Sheet'!F422=0, "NO",CONCATENATE('Input Sheet'!F422, IF('Input Sheet'!F422&gt;0,"% ","")))</f>
        <v>NO</v>
      </c>
      <c r="K4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5" s="36" t="str">
        <f>CONCATENATE(K405, IF('Input Sheet'!I422="",""," siderite in "))</f>
        <v/>
      </c>
      <c r="M4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5" s="36" t="str">
        <f>CONCATENATE(M405, IF('Input Sheet'!J422="",""," siderite in "))</f>
        <v/>
      </c>
    </row>
    <row r="406" spans="1:14" x14ac:dyDescent="0.25">
      <c r="A406" s="51" t="str">
        <f>IF('Input Sheet'!C423="","",CONCATENATE("Sample ", 'Input Sheet'!B423, "m: ", L406, F406, "% ", "Siltstone, ", N406, 'Input Sheet'!C423, "% ", H406, " Sandstone, ", J406, I406, " FLUOR in SST. ", "TG ", 'Input Sheet'!H423, "U"))</f>
        <v/>
      </c>
      <c r="F406" s="36" t="str">
        <f>IF('Input Sheet'!C423="","",100-'Input Sheet'!C423)</f>
        <v/>
      </c>
      <c r="G4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6" s="36" t="str">
        <f t="shared" si="6"/>
        <v/>
      </c>
      <c r="I4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6" s="36" t="str">
        <f>IF('Input Sheet'!F423=0, "NO",CONCATENATE('Input Sheet'!F423, IF('Input Sheet'!F423&gt;0,"% ","")))</f>
        <v>NO</v>
      </c>
      <c r="K4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6" s="36" t="str">
        <f>CONCATENATE(K406, IF('Input Sheet'!I423="",""," siderite in "))</f>
        <v/>
      </c>
      <c r="M4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6" s="36" t="str">
        <f>CONCATENATE(M406, IF('Input Sheet'!J423="",""," siderite in "))</f>
        <v/>
      </c>
    </row>
    <row r="407" spans="1:14" x14ac:dyDescent="0.25">
      <c r="A407" s="51" t="str">
        <f>IF('Input Sheet'!C424="","",CONCATENATE("Sample ", 'Input Sheet'!B424, "m: ", L407, F407, "% ", "Siltstone, ", N407, 'Input Sheet'!C424, "% ", H407, " Sandstone, ", J407, I407, " FLUOR in SST. ", "TG ", 'Input Sheet'!H424, "U"))</f>
        <v/>
      </c>
      <c r="F407" s="36" t="str">
        <f>IF('Input Sheet'!C424="","",100-'Input Sheet'!C424)</f>
        <v/>
      </c>
      <c r="G4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7" s="36" t="str">
        <f t="shared" si="6"/>
        <v/>
      </c>
      <c r="I4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7" s="36" t="str">
        <f>IF('Input Sheet'!F424=0, "NO",CONCATENATE('Input Sheet'!F424, IF('Input Sheet'!F424&gt;0,"% ","")))</f>
        <v>NO</v>
      </c>
      <c r="K4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7" s="36" t="str">
        <f>CONCATENATE(K407, IF('Input Sheet'!I424="",""," siderite in "))</f>
        <v/>
      </c>
      <c r="M4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7" s="36" t="str">
        <f>CONCATENATE(M407, IF('Input Sheet'!J424="",""," siderite in "))</f>
        <v/>
      </c>
    </row>
    <row r="408" spans="1:14" x14ac:dyDescent="0.25">
      <c r="A408" s="51" t="str">
        <f>IF('Input Sheet'!C425="","",CONCATENATE("Sample ", 'Input Sheet'!B425, "m: ", L408, F408, "% ", "Siltstone, ", N408, 'Input Sheet'!C425, "% ", H408, " Sandstone, ", J408, I408, " FLUOR in SST. ", "TG ", 'Input Sheet'!H425, "U"))</f>
        <v/>
      </c>
      <c r="F408" s="36" t="str">
        <f>IF('Input Sheet'!C425="","",100-'Input Sheet'!C425)</f>
        <v/>
      </c>
      <c r="G4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8" s="36" t="str">
        <f t="shared" si="6"/>
        <v/>
      </c>
      <c r="I4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8" s="36" t="str">
        <f>IF('Input Sheet'!F425=0, "NO",CONCATENATE('Input Sheet'!F425, IF('Input Sheet'!F425&gt;0,"% ","")))</f>
        <v>NO</v>
      </c>
      <c r="K4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8" s="36" t="str">
        <f>CONCATENATE(K408, IF('Input Sheet'!I425="",""," siderite in "))</f>
        <v/>
      </c>
      <c r="M4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8" s="36" t="str">
        <f>CONCATENATE(M408, IF('Input Sheet'!J425="",""," siderite in "))</f>
        <v/>
      </c>
    </row>
    <row r="409" spans="1:14" x14ac:dyDescent="0.25">
      <c r="A409" s="51" t="str">
        <f>IF('Input Sheet'!C426="","",CONCATENATE("Sample ", 'Input Sheet'!B426, "m: ", L409, F409, "% ", "Siltstone, ", N409, 'Input Sheet'!C426, "% ", H409, " Sandstone, ", J409, I409, " FLUOR in SST. ", "TG ", 'Input Sheet'!H426, "U"))</f>
        <v/>
      </c>
      <c r="F409" s="36" t="str">
        <f>IF('Input Sheet'!C426="","",100-'Input Sheet'!C426)</f>
        <v/>
      </c>
      <c r="G4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09" s="36" t="str">
        <f t="shared" si="6"/>
        <v/>
      </c>
      <c r="I4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09" s="36" t="str">
        <f>IF('Input Sheet'!F426=0, "NO",CONCATENATE('Input Sheet'!F426, IF('Input Sheet'!F426&gt;0,"% ","")))</f>
        <v>NO</v>
      </c>
      <c r="K4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09" s="36" t="str">
        <f>CONCATENATE(K409, IF('Input Sheet'!I426="",""," siderite in "))</f>
        <v/>
      </c>
      <c r="M4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09" s="36" t="str">
        <f>CONCATENATE(M409, IF('Input Sheet'!J426="",""," siderite in "))</f>
        <v/>
      </c>
    </row>
    <row r="410" spans="1:14" x14ac:dyDescent="0.25">
      <c r="A410" s="51" t="str">
        <f>IF('Input Sheet'!C427="","",CONCATENATE("Sample ", 'Input Sheet'!B427, "m: ", L410, F410, "% ", "Siltstone, ", N410, 'Input Sheet'!C427, "% ", H410, " Sandstone, ", J410, I410, " FLUOR in SST. ", "TG ", 'Input Sheet'!H427, "U"))</f>
        <v/>
      </c>
      <c r="F410" s="36" t="str">
        <f>IF('Input Sheet'!C427="","",100-'Input Sheet'!C427)</f>
        <v/>
      </c>
      <c r="G4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0" s="36" t="str">
        <f t="shared" si="6"/>
        <v/>
      </c>
      <c r="I4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0" s="36" t="str">
        <f>IF('Input Sheet'!F427=0, "NO",CONCATENATE('Input Sheet'!F427, IF('Input Sheet'!F427&gt;0,"% ","")))</f>
        <v>NO</v>
      </c>
      <c r="K4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0" s="36" t="str">
        <f>CONCATENATE(K410, IF('Input Sheet'!I427="",""," siderite in "))</f>
        <v/>
      </c>
      <c r="M4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0" s="36" t="str">
        <f>CONCATENATE(M410, IF('Input Sheet'!J427="",""," siderite in "))</f>
        <v/>
      </c>
    </row>
    <row r="411" spans="1:14" x14ac:dyDescent="0.25">
      <c r="A411" s="51" t="str">
        <f>IF('Input Sheet'!C428="","",CONCATENATE("Sample ", 'Input Sheet'!B428, "m: ", L411, F411, "% ", "Siltstone, ", N411, 'Input Sheet'!C428, "% ", H411, " Sandstone, ", J411, I411, " FLUOR in SST. ", "TG ", 'Input Sheet'!H428, "U"))</f>
        <v/>
      </c>
      <c r="F411" s="36" t="str">
        <f>IF('Input Sheet'!C428="","",100-'Input Sheet'!C428)</f>
        <v/>
      </c>
      <c r="G4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1" s="36" t="str">
        <f t="shared" si="6"/>
        <v/>
      </c>
      <c r="I4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1" s="36" t="str">
        <f>IF('Input Sheet'!F428=0, "NO",CONCATENATE('Input Sheet'!F428, IF('Input Sheet'!F428&gt;0,"% ","")))</f>
        <v>NO</v>
      </c>
      <c r="K4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1" s="36" t="str">
        <f>CONCATENATE(K411, IF('Input Sheet'!I428="",""," siderite in "))</f>
        <v/>
      </c>
      <c r="M4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1" s="36" t="str">
        <f>CONCATENATE(M411, IF('Input Sheet'!J428="",""," siderite in "))</f>
        <v/>
      </c>
    </row>
    <row r="412" spans="1:14" x14ac:dyDescent="0.25">
      <c r="A412" s="51" t="str">
        <f>IF('Input Sheet'!C429="","",CONCATENATE("Sample ", 'Input Sheet'!B429, "m: ", L412, F412, "% ", "Siltstone, ", N412, 'Input Sheet'!C429, "% ", H412, " Sandstone, ", J412, I412, " FLUOR in SST. ", "TG ", 'Input Sheet'!H429, "U"))</f>
        <v/>
      </c>
      <c r="F412" s="36" t="str">
        <f>IF('Input Sheet'!C429="","",100-'Input Sheet'!C429)</f>
        <v/>
      </c>
      <c r="G4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2" s="36" t="str">
        <f t="shared" si="6"/>
        <v/>
      </c>
      <c r="I4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2" s="36" t="str">
        <f>IF('Input Sheet'!F429=0, "NO",CONCATENATE('Input Sheet'!F429, IF('Input Sheet'!F429&gt;0,"% ","")))</f>
        <v>NO</v>
      </c>
      <c r="K4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2" s="36" t="str">
        <f>CONCATENATE(K412, IF('Input Sheet'!I429="",""," siderite in "))</f>
        <v/>
      </c>
      <c r="M4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2" s="36" t="str">
        <f>CONCATENATE(M412, IF('Input Sheet'!J429="",""," siderite in "))</f>
        <v/>
      </c>
    </row>
    <row r="413" spans="1:14" x14ac:dyDescent="0.25">
      <c r="A413" s="51" t="str">
        <f>IF('Input Sheet'!C430="","",CONCATENATE("Sample ", 'Input Sheet'!B430, "m: ", L413, F413, "% ", "Siltstone, ", N413, 'Input Sheet'!C430, "% ", H413, " Sandstone, ", J413, I413, " FLUOR in SST. ", "TG ", 'Input Sheet'!H430, "U"))</f>
        <v/>
      </c>
      <c r="F413" s="36" t="str">
        <f>IF('Input Sheet'!C430="","",100-'Input Sheet'!C430)</f>
        <v/>
      </c>
      <c r="G4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3" s="36" t="str">
        <f t="shared" si="6"/>
        <v/>
      </c>
      <c r="I4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3" s="36" t="str">
        <f>IF('Input Sheet'!F430=0, "NO",CONCATENATE('Input Sheet'!F430, IF('Input Sheet'!F430&gt;0,"% ","")))</f>
        <v>NO</v>
      </c>
      <c r="K4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3" s="36" t="str">
        <f>CONCATENATE(K413, IF('Input Sheet'!I430="",""," siderite in "))</f>
        <v/>
      </c>
      <c r="M4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3" s="36" t="str">
        <f>CONCATENATE(M413, IF('Input Sheet'!J430="",""," siderite in "))</f>
        <v/>
      </c>
    </row>
    <row r="414" spans="1:14" x14ac:dyDescent="0.25">
      <c r="A414" s="51" t="str">
        <f>IF('Input Sheet'!C431="","",CONCATENATE("Sample ", 'Input Sheet'!B431, "m: ", L414, F414, "% ", "Siltstone, ", N414, 'Input Sheet'!C431, "% ", H414, " Sandstone, ", J414, I414, " FLUOR in SST. ", "TG ", 'Input Sheet'!H431, "U"))</f>
        <v/>
      </c>
      <c r="F414" s="36" t="str">
        <f>IF('Input Sheet'!C431="","",100-'Input Sheet'!C431)</f>
        <v/>
      </c>
      <c r="G4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4" s="36" t="str">
        <f t="shared" si="6"/>
        <v/>
      </c>
      <c r="I4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4" s="36" t="str">
        <f>IF('Input Sheet'!F431=0, "NO",CONCATENATE('Input Sheet'!F431, IF('Input Sheet'!F431&gt;0,"% ","")))</f>
        <v>NO</v>
      </c>
      <c r="K4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4" s="36" t="str">
        <f>CONCATENATE(K414, IF('Input Sheet'!I431="",""," siderite in "))</f>
        <v/>
      </c>
      <c r="M4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4" s="36" t="str">
        <f>CONCATENATE(M414, IF('Input Sheet'!J431="",""," siderite in "))</f>
        <v/>
      </c>
    </row>
    <row r="415" spans="1:14" x14ac:dyDescent="0.25">
      <c r="A415" s="51" t="str">
        <f>IF('Input Sheet'!C432="","",CONCATENATE("Sample ", 'Input Sheet'!B432, "m: ", L415, F415, "% ", "Siltstone, ", N415, 'Input Sheet'!C432, "% ", H415, " Sandstone, ", J415, I415, " FLUOR in SST. ", "TG ", 'Input Sheet'!H432, "U"))</f>
        <v/>
      </c>
      <c r="F415" s="36" t="str">
        <f>IF('Input Sheet'!C432="","",100-'Input Sheet'!C432)</f>
        <v/>
      </c>
      <c r="G4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5" s="36" t="str">
        <f t="shared" si="6"/>
        <v/>
      </c>
      <c r="I4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5" s="36" t="str">
        <f>IF('Input Sheet'!F432=0, "NO",CONCATENATE('Input Sheet'!F432, IF('Input Sheet'!F432&gt;0,"% ","")))</f>
        <v>NO</v>
      </c>
      <c r="K4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5" s="36" t="str">
        <f>CONCATENATE(K415, IF('Input Sheet'!I432="",""," siderite in "))</f>
        <v/>
      </c>
      <c r="M4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5" s="36" t="str">
        <f>CONCATENATE(M415, IF('Input Sheet'!J432="",""," siderite in "))</f>
        <v/>
      </c>
    </row>
    <row r="416" spans="1:14" x14ac:dyDescent="0.25">
      <c r="A416" s="51" t="str">
        <f>IF('Input Sheet'!C433="","",CONCATENATE("Sample ", 'Input Sheet'!B433, "m: ", L416, F416, "% ", "Siltstone, ", N416, 'Input Sheet'!C433, "% ", H416, " Sandstone, ", J416, I416, " FLUOR in SST. ", "TG ", 'Input Sheet'!H433, "U"))</f>
        <v/>
      </c>
      <c r="F416" s="36" t="str">
        <f>IF('Input Sheet'!C433="","",100-'Input Sheet'!C433)</f>
        <v/>
      </c>
      <c r="G4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6" s="36" t="str">
        <f t="shared" si="6"/>
        <v/>
      </c>
      <c r="I4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6" s="36" t="str">
        <f>IF('Input Sheet'!F433=0, "NO",CONCATENATE('Input Sheet'!F433, IF('Input Sheet'!F433&gt;0,"% ","")))</f>
        <v>NO</v>
      </c>
      <c r="K4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6" s="36" t="str">
        <f>CONCATENATE(K416, IF('Input Sheet'!I433="",""," siderite in "))</f>
        <v/>
      </c>
      <c r="M4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6" s="36" t="str">
        <f>CONCATENATE(M416, IF('Input Sheet'!J433="",""," siderite in "))</f>
        <v/>
      </c>
    </row>
    <row r="417" spans="1:14" x14ac:dyDescent="0.25">
      <c r="A417" s="51" t="str">
        <f>IF('Input Sheet'!C434="","",CONCATENATE("Sample ", 'Input Sheet'!B434, "m: ", L417, F417, "% ", "Siltstone, ", N417, 'Input Sheet'!C434, "% ", H417, " Sandstone, ", J417, I417, " FLUOR in SST. ", "TG ", 'Input Sheet'!H434, "U"))</f>
        <v/>
      </c>
      <c r="F417" s="36" t="str">
        <f>IF('Input Sheet'!C434="","",100-'Input Sheet'!C434)</f>
        <v/>
      </c>
      <c r="G4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7" s="36" t="str">
        <f t="shared" si="6"/>
        <v/>
      </c>
      <c r="I4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7" s="36" t="str">
        <f>IF('Input Sheet'!F434=0, "NO",CONCATENATE('Input Sheet'!F434, IF('Input Sheet'!F434&gt;0,"% ","")))</f>
        <v>NO</v>
      </c>
      <c r="K4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7" s="36" t="str">
        <f>CONCATENATE(K417, IF('Input Sheet'!I434="",""," siderite in "))</f>
        <v/>
      </c>
      <c r="M4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7" s="36" t="str">
        <f>CONCATENATE(M417, IF('Input Sheet'!J434="",""," siderite in "))</f>
        <v/>
      </c>
    </row>
    <row r="418" spans="1:14" x14ac:dyDescent="0.25">
      <c r="A418" s="51" t="str">
        <f>IF('Input Sheet'!C435="","",CONCATENATE("Sample ", 'Input Sheet'!B435, "m: ", L418, F418, "% ", "Siltstone, ", N418, 'Input Sheet'!C435, "% ", H418, " Sandstone, ", J418, I418, " FLUOR in SST. ", "TG ", 'Input Sheet'!H435, "U"))</f>
        <v/>
      </c>
      <c r="F418" s="36" t="str">
        <f>IF('Input Sheet'!C435="","",100-'Input Sheet'!C435)</f>
        <v/>
      </c>
      <c r="G4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8" s="36" t="str">
        <f t="shared" si="6"/>
        <v/>
      </c>
      <c r="I4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8" s="36" t="str">
        <f>IF('Input Sheet'!F435=0, "NO",CONCATENATE('Input Sheet'!F435, IF('Input Sheet'!F435&gt;0,"% ","")))</f>
        <v>NO</v>
      </c>
      <c r="K4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8" s="36" t="str">
        <f>CONCATENATE(K418, IF('Input Sheet'!I435="",""," siderite in "))</f>
        <v/>
      </c>
      <c r="M4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8" s="36" t="str">
        <f>CONCATENATE(M418, IF('Input Sheet'!J435="",""," siderite in "))</f>
        <v/>
      </c>
    </row>
    <row r="419" spans="1:14" x14ac:dyDescent="0.25">
      <c r="A419" s="51" t="str">
        <f>IF('Input Sheet'!C436="","",CONCATENATE("Sample ", 'Input Sheet'!B436, "m: ", L419, F419, "% ", "Siltstone, ", N419, 'Input Sheet'!C436, "% ", H419, " Sandstone, ", J419, I419, " FLUOR in SST. ", "TG ", 'Input Sheet'!H436, "U"))</f>
        <v/>
      </c>
      <c r="F419" s="36" t="str">
        <f>IF('Input Sheet'!C436="","",100-'Input Sheet'!C436)</f>
        <v/>
      </c>
      <c r="G4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19" s="36" t="str">
        <f t="shared" si="6"/>
        <v/>
      </c>
      <c r="I4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19" s="36" t="str">
        <f>IF('Input Sheet'!F436=0, "NO",CONCATENATE('Input Sheet'!F436, IF('Input Sheet'!F436&gt;0,"% ","")))</f>
        <v>NO</v>
      </c>
      <c r="K4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19" s="36" t="str">
        <f>CONCATENATE(K419, IF('Input Sheet'!I436="",""," siderite in "))</f>
        <v/>
      </c>
      <c r="M4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19" s="36" t="str">
        <f>CONCATENATE(M419, IF('Input Sheet'!J436="",""," siderite in "))</f>
        <v/>
      </c>
    </row>
    <row r="420" spans="1:14" x14ac:dyDescent="0.25">
      <c r="A420" s="51" t="str">
        <f>IF('Input Sheet'!C437="","",CONCATENATE("Sample ", 'Input Sheet'!B437, "m: ", L420, F420, "% ", "Siltstone, ", N420, 'Input Sheet'!C437, "% ", H420, " Sandstone, ", J420, I420, " FLUOR in SST. ", "TG ", 'Input Sheet'!H437, "U"))</f>
        <v/>
      </c>
      <c r="F420" s="36" t="str">
        <f>IF('Input Sheet'!C437="","",100-'Input Sheet'!C437)</f>
        <v/>
      </c>
      <c r="G4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0" s="36" t="str">
        <f t="shared" si="6"/>
        <v/>
      </c>
      <c r="I4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0" s="36" t="str">
        <f>IF('Input Sheet'!F437=0, "NO",CONCATENATE('Input Sheet'!F437, IF('Input Sheet'!F437&gt;0,"% ","")))</f>
        <v>NO</v>
      </c>
      <c r="K4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0" s="36" t="str">
        <f>CONCATENATE(K420, IF('Input Sheet'!I437="",""," siderite in "))</f>
        <v/>
      </c>
      <c r="M4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0" s="36" t="str">
        <f>CONCATENATE(M420, IF('Input Sheet'!J437="",""," siderite in "))</f>
        <v/>
      </c>
    </row>
    <row r="421" spans="1:14" x14ac:dyDescent="0.25">
      <c r="A421" s="51" t="str">
        <f>IF('Input Sheet'!C438="","",CONCATENATE("Sample ", 'Input Sheet'!B438, "m: ", L421, F421, "% ", "Siltstone, ", N421, 'Input Sheet'!C438, "% ", H421, " Sandstone, ", J421, I421, " FLUOR in SST. ", "TG ", 'Input Sheet'!H438, "U"))</f>
        <v/>
      </c>
      <c r="F421" s="36" t="str">
        <f>IF('Input Sheet'!C438="","",100-'Input Sheet'!C438)</f>
        <v/>
      </c>
      <c r="G4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1" s="36" t="str">
        <f t="shared" si="6"/>
        <v/>
      </c>
      <c r="I4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1" s="36" t="str">
        <f>IF('Input Sheet'!F438=0, "NO",CONCATENATE('Input Sheet'!F438, IF('Input Sheet'!F438&gt;0,"% ","")))</f>
        <v>NO</v>
      </c>
      <c r="K4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1" s="36" t="str">
        <f>CONCATENATE(K421, IF('Input Sheet'!I438="",""," siderite in "))</f>
        <v/>
      </c>
      <c r="M4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1" s="36" t="str">
        <f>CONCATENATE(M421, IF('Input Sheet'!J438="",""," siderite in "))</f>
        <v/>
      </c>
    </row>
    <row r="422" spans="1:14" x14ac:dyDescent="0.25">
      <c r="A422" s="51" t="str">
        <f>IF('Input Sheet'!C439="","",CONCATENATE("Sample ", 'Input Sheet'!B439, "m: ", L422, F422, "% ", "Siltstone, ", N422, 'Input Sheet'!C439, "% ", H422, " Sandstone, ", J422, I422, " FLUOR in SST. ", "TG ", 'Input Sheet'!H439, "U"))</f>
        <v/>
      </c>
      <c r="F422" s="36" t="str">
        <f>IF('Input Sheet'!C439="","",100-'Input Sheet'!C439)</f>
        <v/>
      </c>
      <c r="G4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2" s="36" t="str">
        <f t="shared" si="6"/>
        <v/>
      </c>
      <c r="I4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2" s="36" t="str">
        <f>IF('Input Sheet'!F439=0, "NO",CONCATENATE('Input Sheet'!F439, IF('Input Sheet'!F439&gt;0,"% ","")))</f>
        <v>NO</v>
      </c>
      <c r="K4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2" s="36" t="str">
        <f>CONCATENATE(K422, IF('Input Sheet'!I439="",""," siderite in "))</f>
        <v/>
      </c>
      <c r="M4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2" s="36" t="str">
        <f>CONCATENATE(M422, IF('Input Sheet'!J439="",""," siderite in "))</f>
        <v/>
      </c>
    </row>
    <row r="423" spans="1:14" x14ac:dyDescent="0.25">
      <c r="A423" s="51" t="str">
        <f>IF('Input Sheet'!C440="","",CONCATENATE("Sample ", 'Input Sheet'!B440, "m: ", L423, F423, "% ", "Siltstone, ", N423, 'Input Sheet'!C440, "% ", H423, " Sandstone, ", J423, I423, " FLUOR in SST. ", "TG ", 'Input Sheet'!H440, "U"))</f>
        <v/>
      </c>
      <c r="F423" s="36" t="str">
        <f>IF('Input Sheet'!C440="","",100-'Input Sheet'!C440)</f>
        <v/>
      </c>
      <c r="G4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3" s="36" t="str">
        <f t="shared" si="6"/>
        <v/>
      </c>
      <c r="I4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3" s="36" t="str">
        <f>IF('Input Sheet'!F440=0, "NO",CONCATENATE('Input Sheet'!F440, IF('Input Sheet'!F440&gt;0,"% ","")))</f>
        <v>NO</v>
      </c>
      <c r="K4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3" s="36" t="str">
        <f>CONCATENATE(K423, IF('Input Sheet'!I440="",""," siderite in "))</f>
        <v/>
      </c>
      <c r="M4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3" s="36" t="str">
        <f>CONCATENATE(M423, IF('Input Sheet'!J440="",""," siderite in "))</f>
        <v/>
      </c>
    </row>
    <row r="424" spans="1:14" x14ac:dyDescent="0.25">
      <c r="A424" s="51" t="str">
        <f>IF('Input Sheet'!C441="","",CONCATENATE("Sample ", 'Input Sheet'!B441, "m: ", L424, F424, "% ", "Siltstone, ", N424, 'Input Sheet'!C441, "% ", H424, " Sandstone, ", J424, I424, " FLUOR in SST. ", "TG ", 'Input Sheet'!H441, "U"))</f>
        <v/>
      </c>
      <c r="F424" s="36" t="str">
        <f>IF('Input Sheet'!C441="","",100-'Input Sheet'!C441)</f>
        <v/>
      </c>
      <c r="G4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4" s="36" t="str">
        <f t="shared" si="6"/>
        <v/>
      </c>
      <c r="I4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4" s="36" t="str">
        <f>IF('Input Sheet'!F441=0, "NO",CONCATENATE('Input Sheet'!F441, IF('Input Sheet'!F441&gt;0,"% ","")))</f>
        <v>NO</v>
      </c>
      <c r="K4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4" s="36" t="str">
        <f>CONCATENATE(K424, IF('Input Sheet'!I441="",""," siderite in "))</f>
        <v/>
      </c>
      <c r="M4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4" s="36" t="str">
        <f>CONCATENATE(M424, IF('Input Sheet'!J441="",""," siderite in "))</f>
        <v/>
      </c>
    </row>
    <row r="425" spans="1:14" x14ac:dyDescent="0.25">
      <c r="A425" s="51" t="str">
        <f>IF('Input Sheet'!C442="","",CONCATENATE("Sample ", 'Input Sheet'!B442, "m: ", L425, F425, "% ", "Siltstone, ", N425, 'Input Sheet'!C442, "% ", H425, " Sandstone, ", J425, I425, " FLUOR in SST. ", "TG ", 'Input Sheet'!H442, "U"))</f>
        <v/>
      </c>
      <c r="F425" s="36" t="str">
        <f>IF('Input Sheet'!C442="","",100-'Input Sheet'!C442)</f>
        <v/>
      </c>
      <c r="G4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5" s="36" t="str">
        <f t="shared" si="6"/>
        <v/>
      </c>
      <c r="I4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5" s="36" t="str">
        <f>IF('Input Sheet'!F442=0, "NO",CONCATENATE('Input Sheet'!F442, IF('Input Sheet'!F442&gt;0,"% ","")))</f>
        <v>NO</v>
      </c>
      <c r="K4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5" s="36" t="str">
        <f>CONCATENATE(K425, IF('Input Sheet'!I442="",""," siderite in "))</f>
        <v/>
      </c>
      <c r="M4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5" s="36" t="str">
        <f>CONCATENATE(M425, IF('Input Sheet'!J442="",""," siderite in "))</f>
        <v/>
      </c>
    </row>
    <row r="426" spans="1:14" x14ac:dyDescent="0.25">
      <c r="A426" s="51" t="str">
        <f>IF('Input Sheet'!C443="","",CONCATENATE("Sample ", 'Input Sheet'!B443, "m: ", L426, F426, "% ", "Siltstone, ", N426, 'Input Sheet'!C443, "% ", H426, " Sandstone, ", J426, I426, " FLUOR in SST. ", "TG ", 'Input Sheet'!H443, "U"))</f>
        <v/>
      </c>
      <c r="F426" s="36" t="str">
        <f>IF('Input Sheet'!C443="","",100-'Input Sheet'!C443)</f>
        <v/>
      </c>
      <c r="G4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6" s="36" t="str">
        <f t="shared" si="6"/>
        <v/>
      </c>
      <c r="I4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6" s="36" t="str">
        <f>IF('Input Sheet'!F443=0, "NO",CONCATENATE('Input Sheet'!F443, IF('Input Sheet'!F443&gt;0,"% ","")))</f>
        <v>NO</v>
      </c>
      <c r="K4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6" s="36" t="str">
        <f>CONCATENATE(K426, IF('Input Sheet'!I443="",""," siderite in "))</f>
        <v/>
      </c>
      <c r="M4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6" s="36" t="str">
        <f>CONCATENATE(M426, IF('Input Sheet'!J443="",""," siderite in "))</f>
        <v/>
      </c>
    </row>
    <row r="427" spans="1:14" x14ac:dyDescent="0.25">
      <c r="A427" s="51" t="str">
        <f>IF('Input Sheet'!C444="","",CONCATENATE("Sample ", 'Input Sheet'!B444, "m: ", L427, F427, "% ", "Siltstone, ", N427, 'Input Sheet'!C444, "% ", H427, " Sandstone, ", J427, I427, " FLUOR in SST. ", "TG ", 'Input Sheet'!H444, "U"))</f>
        <v/>
      </c>
      <c r="F427" s="36" t="str">
        <f>IF('Input Sheet'!C444="","",100-'Input Sheet'!C444)</f>
        <v/>
      </c>
      <c r="G4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7" s="36" t="str">
        <f t="shared" si="6"/>
        <v/>
      </c>
      <c r="I4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7" s="36" t="str">
        <f>IF('Input Sheet'!F444=0, "NO",CONCATENATE('Input Sheet'!F444, IF('Input Sheet'!F444&gt;0,"% ","")))</f>
        <v>NO</v>
      </c>
      <c r="K4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7" s="36" t="str">
        <f>CONCATENATE(K427, IF('Input Sheet'!I444="",""," siderite in "))</f>
        <v/>
      </c>
      <c r="M4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7" s="36" t="str">
        <f>CONCATENATE(M427, IF('Input Sheet'!J444="",""," siderite in "))</f>
        <v/>
      </c>
    </row>
    <row r="428" spans="1:14" x14ac:dyDescent="0.25">
      <c r="A428" s="51" t="str">
        <f>IF('Input Sheet'!C445="","",CONCATENATE("Sample ", 'Input Sheet'!B445, "m: ", L428, F428, "% ", "Siltstone, ", N428, 'Input Sheet'!C445, "% ", H428, " Sandstone, ", J428, I428, " FLUOR in SST. ", "TG ", 'Input Sheet'!H445, "U"))</f>
        <v/>
      </c>
      <c r="F428" s="36" t="str">
        <f>IF('Input Sheet'!C445="","",100-'Input Sheet'!C445)</f>
        <v/>
      </c>
      <c r="G4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8" s="36" t="str">
        <f t="shared" si="6"/>
        <v/>
      </c>
      <c r="I4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8" s="36" t="str">
        <f>IF('Input Sheet'!F445=0, "NO",CONCATENATE('Input Sheet'!F445, IF('Input Sheet'!F445&gt;0,"% ","")))</f>
        <v>NO</v>
      </c>
      <c r="K4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8" s="36" t="str">
        <f>CONCATENATE(K428, IF('Input Sheet'!I445="",""," siderite in "))</f>
        <v/>
      </c>
      <c r="M4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8" s="36" t="str">
        <f>CONCATENATE(M428, IF('Input Sheet'!J445="",""," siderite in "))</f>
        <v/>
      </c>
    </row>
    <row r="429" spans="1:14" x14ac:dyDescent="0.25">
      <c r="A429" s="51" t="str">
        <f>IF('Input Sheet'!C446="","",CONCATENATE("Sample ", 'Input Sheet'!B446, "m: ", L429, F429, "% ", "Siltstone, ", N429, 'Input Sheet'!C446, "% ", H429, " Sandstone, ", J429, I429, " FLUOR in SST. ", "TG ", 'Input Sheet'!H446, "U"))</f>
        <v/>
      </c>
      <c r="F429" s="36" t="str">
        <f>IF('Input Sheet'!C446="","",100-'Input Sheet'!C446)</f>
        <v/>
      </c>
      <c r="G4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29" s="36" t="str">
        <f t="shared" si="6"/>
        <v/>
      </c>
      <c r="I4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29" s="36" t="str">
        <f>IF('Input Sheet'!F446=0, "NO",CONCATENATE('Input Sheet'!F446, IF('Input Sheet'!F446&gt;0,"% ","")))</f>
        <v>NO</v>
      </c>
      <c r="K4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29" s="36" t="str">
        <f>CONCATENATE(K429, IF('Input Sheet'!I446="",""," siderite in "))</f>
        <v/>
      </c>
      <c r="M4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29" s="36" t="str">
        <f>CONCATENATE(M429, IF('Input Sheet'!J446="",""," siderite in "))</f>
        <v/>
      </c>
    </row>
    <row r="430" spans="1:14" x14ac:dyDescent="0.25">
      <c r="A430" s="51" t="str">
        <f>IF('Input Sheet'!C447="","",CONCATENATE("Sample ", 'Input Sheet'!B447, "m: ", L430, F430, "% ", "Siltstone, ", N430, 'Input Sheet'!C447, "% ", H430, " Sandstone, ", J430, I430, " FLUOR in SST. ", "TG ", 'Input Sheet'!H447, "U"))</f>
        <v/>
      </c>
      <c r="F430" s="36" t="str">
        <f>IF('Input Sheet'!C447="","",100-'Input Sheet'!C447)</f>
        <v/>
      </c>
      <c r="G4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0" s="36" t="str">
        <f t="shared" si="6"/>
        <v/>
      </c>
      <c r="I4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0" s="36" t="str">
        <f>IF('Input Sheet'!F447=0, "NO",CONCATENATE('Input Sheet'!F447, IF('Input Sheet'!F447&gt;0,"% ","")))</f>
        <v>NO</v>
      </c>
      <c r="K4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0" s="36" t="str">
        <f>CONCATENATE(K430, IF('Input Sheet'!I447="",""," siderite in "))</f>
        <v/>
      </c>
      <c r="M4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0" s="36" t="str">
        <f>CONCATENATE(M430, IF('Input Sheet'!J447="",""," siderite in "))</f>
        <v/>
      </c>
    </row>
    <row r="431" spans="1:14" x14ac:dyDescent="0.25">
      <c r="A431" s="51" t="str">
        <f>IF('Input Sheet'!C448="","",CONCATENATE("Sample ", 'Input Sheet'!B448, "m: ", L431, F431, "% ", "Siltstone, ", N431, 'Input Sheet'!C448, "% ", H431, " Sandstone, ", J431, I431, " FLUOR in SST. ", "TG ", 'Input Sheet'!H448, "U"))</f>
        <v/>
      </c>
      <c r="F431" s="36" t="str">
        <f>IF('Input Sheet'!C448="","",100-'Input Sheet'!C448)</f>
        <v/>
      </c>
      <c r="G4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1" s="36" t="str">
        <f t="shared" si="6"/>
        <v/>
      </c>
      <c r="I4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1" s="36" t="str">
        <f>IF('Input Sheet'!F448=0, "NO",CONCATENATE('Input Sheet'!F448, IF('Input Sheet'!F448&gt;0,"% ","")))</f>
        <v>NO</v>
      </c>
      <c r="K4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1" s="36" t="str">
        <f>CONCATENATE(K431, IF('Input Sheet'!I448="",""," siderite in "))</f>
        <v/>
      </c>
      <c r="M4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1" s="36" t="str">
        <f>CONCATENATE(M431, IF('Input Sheet'!J448="",""," siderite in "))</f>
        <v/>
      </c>
    </row>
    <row r="432" spans="1:14" x14ac:dyDescent="0.25">
      <c r="A432" s="51" t="str">
        <f>IF('Input Sheet'!C449="","",CONCATENATE("Sample ", 'Input Sheet'!B449, "m: ", L432, F432, "% ", "Siltstone, ", N432, 'Input Sheet'!C449, "% ", H432, " Sandstone, ", J432, I432, " FLUOR in SST. ", "TG ", 'Input Sheet'!H449, "U"))</f>
        <v/>
      </c>
      <c r="F432" s="36" t="str">
        <f>IF('Input Sheet'!C449="","",100-'Input Sheet'!C449)</f>
        <v/>
      </c>
      <c r="G4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2" s="36" t="str">
        <f t="shared" si="6"/>
        <v/>
      </c>
      <c r="I4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2" s="36" t="str">
        <f>IF('Input Sheet'!F449=0, "NO",CONCATENATE('Input Sheet'!F449, IF('Input Sheet'!F449&gt;0,"% ","")))</f>
        <v>NO</v>
      </c>
      <c r="K4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2" s="36" t="str">
        <f>CONCATENATE(K432, IF('Input Sheet'!I449="",""," siderite in "))</f>
        <v/>
      </c>
      <c r="M4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2" s="36" t="str">
        <f>CONCATENATE(M432, IF('Input Sheet'!J449="",""," siderite in "))</f>
        <v/>
      </c>
    </row>
    <row r="433" spans="1:14" x14ac:dyDescent="0.25">
      <c r="A433" s="51" t="str">
        <f>IF('Input Sheet'!C450="","",CONCATENATE("Sample ", 'Input Sheet'!B450, "m: ", L433, F433, "% ", "Siltstone, ", N433, 'Input Sheet'!C450, "% ", H433, " Sandstone, ", J433, I433, " FLUOR in SST. ", "TG ", 'Input Sheet'!H450, "U"))</f>
        <v/>
      </c>
      <c r="F433" s="36" t="str">
        <f>IF('Input Sheet'!C450="","",100-'Input Sheet'!C450)</f>
        <v/>
      </c>
      <c r="G4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3" s="36" t="str">
        <f t="shared" si="6"/>
        <v/>
      </c>
      <c r="I4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3" s="36" t="str">
        <f>IF('Input Sheet'!F450=0, "NO",CONCATENATE('Input Sheet'!F450, IF('Input Sheet'!F450&gt;0,"% ","")))</f>
        <v>NO</v>
      </c>
      <c r="K4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3" s="36" t="str">
        <f>CONCATENATE(K433, IF('Input Sheet'!I450="",""," siderite in "))</f>
        <v/>
      </c>
      <c r="M4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3" s="36" t="str">
        <f>CONCATENATE(M433, IF('Input Sheet'!J450="",""," siderite in "))</f>
        <v/>
      </c>
    </row>
    <row r="434" spans="1:14" x14ac:dyDescent="0.25">
      <c r="A434" s="51" t="str">
        <f>IF('Input Sheet'!C451="","",CONCATENATE("Sample ", 'Input Sheet'!B451, "m: ", L434, F434, "% ", "Siltstone, ", N434, 'Input Sheet'!C451, "% ", H434, " Sandstone, ", J434, I434, " FLUOR in SST. ", "TG ", 'Input Sheet'!H451, "U"))</f>
        <v/>
      </c>
      <c r="F434" s="36" t="str">
        <f>IF('Input Sheet'!C451="","",100-'Input Sheet'!C451)</f>
        <v/>
      </c>
      <c r="G4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4" s="36" t="str">
        <f t="shared" si="6"/>
        <v/>
      </c>
      <c r="I4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4" s="36" t="str">
        <f>IF('Input Sheet'!F451=0, "NO",CONCATENATE('Input Sheet'!F451, IF('Input Sheet'!F451&gt;0,"% ","")))</f>
        <v>NO</v>
      </c>
      <c r="K4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4" s="36" t="str">
        <f>CONCATENATE(K434, IF('Input Sheet'!I451="",""," siderite in "))</f>
        <v/>
      </c>
      <c r="M4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4" s="36" t="str">
        <f>CONCATENATE(M434, IF('Input Sheet'!J451="",""," siderite in "))</f>
        <v/>
      </c>
    </row>
    <row r="435" spans="1:14" x14ac:dyDescent="0.25">
      <c r="A435" s="51" t="str">
        <f>IF('Input Sheet'!C452="","",CONCATENATE("Sample ", 'Input Sheet'!B452, "m: ", L435, F435, "% ", "Siltstone, ", N435, 'Input Sheet'!C452, "% ", H435, " Sandstone, ", J435, I435, " FLUOR in SST. ", "TG ", 'Input Sheet'!H452, "U"))</f>
        <v/>
      </c>
      <c r="F435" s="36" t="str">
        <f>IF('Input Sheet'!C452="","",100-'Input Sheet'!C452)</f>
        <v/>
      </c>
      <c r="G4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5" s="36" t="str">
        <f t="shared" si="6"/>
        <v/>
      </c>
      <c r="I4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5" s="36" t="str">
        <f>IF('Input Sheet'!F452=0, "NO",CONCATENATE('Input Sheet'!F452, IF('Input Sheet'!F452&gt;0,"% ","")))</f>
        <v>NO</v>
      </c>
      <c r="K4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5" s="36" t="str">
        <f>CONCATENATE(K435, IF('Input Sheet'!I452="",""," siderite in "))</f>
        <v/>
      </c>
      <c r="M4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5" s="36" t="str">
        <f>CONCATENATE(M435, IF('Input Sheet'!J452="",""," siderite in "))</f>
        <v/>
      </c>
    </row>
    <row r="436" spans="1:14" x14ac:dyDescent="0.25">
      <c r="A436" s="51" t="str">
        <f>IF('Input Sheet'!C453="","",CONCATENATE("Sample ", 'Input Sheet'!B453, "m: ", L436, F436, "% ", "Siltstone, ", N436, 'Input Sheet'!C453, "% ", H436, " Sandstone, ", J436, I436, " FLUOR in SST. ", "TG ", 'Input Sheet'!H453, "U"))</f>
        <v/>
      </c>
      <c r="F436" s="36" t="str">
        <f>IF('Input Sheet'!C453="","",100-'Input Sheet'!C453)</f>
        <v/>
      </c>
      <c r="G4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6" s="36" t="str">
        <f t="shared" si="6"/>
        <v/>
      </c>
      <c r="I4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6" s="36" t="str">
        <f>IF('Input Sheet'!F453=0, "NO",CONCATENATE('Input Sheet'!F453, IF('Input Sheet'!F453&gt;0,"% ","")))</f>
        <v>NO</v>
      </c>
      <c r="K4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6" s="36" t="str">
        <f>CONCATENATE(K436, IF('Input Sheet'!I453="",""," siderite in "))</f>
        <v/>
      </c>
      <c r="M4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6" s="36" t="str">
        <f>CONCATENATE(M436, IF('Input Sheet'!J453="",""," siderite in "))</f>
        <v/>
      </c>
    </row>
    <row r="437" spans="1:14" x14ac:dyDescent="0.25">
      <c r="A437" s="51" t="str">
        <f>IF('Input Sheet'!C454="","",CONCATENATE("Sample ", 'Input Sheet'!B454, "m: ", L437, F437, "% ", "Siltstone, ", N437, 'Input Sheet'!C454, "% ", H437, " Sandstone, ", J437, I437, " FLUOR in SST. ", "TG ", 'Input Sheet'!H454, "U"))</f>
        <v/>
      </c>
      <c r="F437" s="36" t="str">
        <f>IF('Input Sheet'!C454="","",100-'Input Sheet'!C454)</f>
        <v/>
      </c>
      <c r="G4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7" s="36" t="str">
        <f t="shared" si="6"/>
        <v/>
      </c>
      <c r="I4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7" s="36" t="str">
        <f>IF('Input Sheet'!F454=0, "NO",CONCATENATE('Input Sheet'!F454, IF('Input Sheet'!F454&gt;0,"% ","")))</f>
        <v>NO</v>
      </c>
      <c r="K4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7" s="36" t="str">
        <f>CONCATENATE(K437, IF('Input Sheet'!I454="",""," siderite in "))</f>
        <v/>
      </c>
      <c r="M4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7" s="36" t="str">
        <f>CONCATENATE(M437, IF('Input Sheet'!J454="",""," siderite in "))</f>
        <v/>
      </c>
    </row>
    <row r="438" spans="1:14" x14ac:dyDescent="0.25">
      <c r="A438" s="51" t="str">
        <f>IF('Input Sheet'!C455="","",CONCATENATE("Sample ", 'Input Sheet'!B455, "m: ", L438, F438, "% ", "Siltstone, ", N438, 'Input Sheet'!C455, "% ", H438, " Sandstone, ", J438, I438, " FLUOR in SST. ", "TG ", 'Input Sheet'!H455, "U"))</f>
        <v/>
      </c>
      <c r="F438" s="36" t="str">
        <f>IF('Input Sheet'!C455="","",100-'Input Sheet'!C455)</f>
        <v/>
      </c>
      <c r="G4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8" s="36" t="str">
        <f t="shared" si="6"/>
        <v/>
      </c>
      <c r="I4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8" s="36" t="str">
        <f>IF('Input Sheet'!F455=0, "NO",CONCATENATE('Input Sheet'!F455, IF('Input Sheet'!F455&gt;0,"% ","")))</f>
        <v>NO</v>
      </c>
      <c r="K4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8" s="36" t="str">
        <f>CONCATENATE(K438, IF('Input Sheet'!I455="",""," siderite in "))</f>
        <v/>
      </c>
      <c r="M4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8" s="36" t="str">
        <f>CONCATENATE(M438, IF('Input Sheet'!J455="",""," siderite in "))</f>
        <v/>
      </c>
    </row>
    <row r="439" spans="1:14" x14ac:dyDescent="0.25">
      <c r="A439" s="51" t="str">
        <f>IF('Input Sheet'!C456="","",CONCATENATE("Sample ", 'Input Sheet'!B456, "m: ", L439, F439, "% ", "Siltstone, ", N439, 'Input Sheet'!C456, "% ", H439, " Sandstone, ", J439, I439, " FLUOR in SST. ", "TG ", 'Input Sheet'!H456, "U"))</f>
        <v/>
      </c>
      <c r="F439" s="36" t="str">
        <f>IF('Input Sheet'!C456="","",100-'Input Sheet'!C456)</f>
        <v/>
      </c>
      <c r="G4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39" s="36" t="str">
        <f t="shared" si="6"/>
        <v/>
      </c>
      <c r="I4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39" s="36" t="str">
        <f>IF('Input Sheet'!F456=0, "NO",CONCATENATE('Input Sheet'!F456, IF('Input Sheet'!F456&gt;0,"% ","")))</f>
        <v>NO</v>
      </c>
      <c r="K4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39" s="36" t="str">
        <f>CONCATENATE(K439, IF('Input Sheet'!I456="",""," siderite in "))</f>
        <v/>
      </c>
      <c r="M4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39" s="36" t="str">
        <f>CONCATENATE(M439, IF('Input Sheet'!J456="",""," siderite in "))</f>
        <v/>
      </c>
    </row>
    <row r="440" spans="1:14" x14ac:dyDescent="0.25">
      <c r="A440" s="51" t="str">
        <f>IF('Input Sheet'!C457="","",CONCATENATE("Sample ", 'Input Sheet'!B457, "m: ", L440, F440, "% ", "Siltstone, ", N440, 'Input Sheet'!C457, "% ", H440, " Sandstone, ", J440, I440, " FLUOR in SST. ", "TG ", 'Input Sheet'!H457, "U"))</f>
        <v/>
      </c>
      <c r="F440" s="36" t="str">
        <f>IF('Input Sheet'!C457="","",100-'Input Sheet'!C457)</f>
        <v/>
      </c>
      <c r="G4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0" s="36" t="str">
        <f t="shared" si="6"/>
        <v/>
      </c>
      <c r="I4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0" s="36" t="str">
        <f>IF('Input Sheet'!F457=0, "NO",CONCATENATE('Input Sheet'!F457, IF('Input Sheet'!F457&gt;0,"% ","")))</f>
        <v>NO</v>
      </c>
      <c r="K4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0" s="36" t="str">
        <f>CONCATENATE(K440, IF('Input Sheet'!I457="",""," siderite in "))</f>
        <v/>
      </c>
      <c r="M4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0" s="36" t="str">
        <f>CONCATENATE(M440, IF('Input Sheet'!J457="",""," siderite in "))</f>
        <v/>
      </c>
    </row>
    <row r="441" spans="1:14" x14ac:dyDescent="0.25">
      <c r="A441" s="51" t="str">
        <f>IF('Input Sheet'!C458="","",CONCATENATE("Sample ", 'Input Sheet'!B458, "m: ", L441, F441, "% ", "Siltstone, ", N441, 'Input Sheet'!C458, "% ", H441, " Sandstone, ", J441, I441, " FLUOR in SST. ", "TG ", 'Input Sheet'!H458, "U"))</f>
        <v/>
      </c>
      <c r="F441" s="36" t="str">
        <f>IF('Input Sheet'!C458="","",100-'Input Sheet'!C458)</f>
        <v/>
      </c>
      <c r="G4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1" s="36" t="str">
        <f t="shared" si="6"/>
        <v/>
      </c>
      <c r="I4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1" s="36" t="str">
        <f>IF('Input Sheet'!F458=0, "NO",CONCATENATE('Input Sheet'!F458, IF('Input Sheet'!F458&gt;0,"% ","")))</f>
        <v>NO</v>
      </c>
      <c r="K4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1" s="36" t="str">
        <f>CONCATENATE(K441, IF('Input Sheet'!I458="",""," siderite in "))</f>
        <v/>
      </c>
      <c r="M4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1" s="36" t="str">
        <f>CONCATENATE(M441, IF('Input Sheet'!J458="",""," siderite in "))</f>
        <v/>
      </c>
    </row>
    <row r="442" spans="1:14" x14ac:dyDescent="0.25">
      <c r="A442" s="51" t="str">
        <f>IF('Input Sheet'!C459="","",CONCATENATE("Sample ", 'Input Sheet'!B459, "m: ", L442, F442, "% ", "Siltstone, ", N442, 'Input Sheet'!C459, "% ", H442, " Sandstone, ", J442, I442, " FLUOR in SST. ", "TG ", 'Input Sheet'!H459, "U"))</f>
        <v/>
      </c>
      <c r="F442" s="36" t="str">
        <f>IF('Input Sheet'!C459="","",100-'Input Sheet'!C459)</f>
        <v/>
      </c>
      <c r="G4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2" s="36" t="str">
        <f t="shared" si="6"/>
        <v/>
      </c>
      <c r="I4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2" s="36" t="str">
        <f>IF('Input Sheet'!F459=0, "NO",CONCATENATE('Input Sheet'!F459, IF('Input Sheet'!F459&gt;0,"% ","")))</f>
        <v>NO</v>
      </c>
      <c r="K4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2" s="36" t="str">
        <f>CONCATENATE(K442, IF('Input Sheet'!I459="",""," siderite in "))</f>
        <v/>
      </c>
      <c r="M4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2" s="36" t="str">
        <f>CONCATENATE(M442, IF('Input Sheet'!J459="",""," siderite in "))</f>
        <v/>
      </c>
    </row>
    <row r="443" spans="1:14" x14ac:dyDescent="0.25">
      <c r="A443" s="51" t="str">
        <f>IF('Input Sheet'!C460="","",CONCATENATE("Sample ", 'Input Sheet'!B460, "m: ", L443, F443, "% ", "Siltstone, ", N443, 'Input Sheet'!C460, "% ", H443, " Sandstone, ", J443, I443, " FLUOR in SST. ", "TG ", 'Input Sheet'!H460, "U"))</f>
        <v/>
      </c>
      <c r="F443" s="36" t="str">
        <f>IF('Input Sheet'!C460="","",100-'Input Sheet'!C460)</f>
        <v/>
      </c>
      <c r="G4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3" s="36" t="str">
        <f t="shared" si="6"/>
        <v/>
      </c>
      <c r="I4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3" s="36" t="str">
        <f>IF('Input Sheet'!F460=0, "NO",CONCATENATE('Input Sheet'!F460, IF('Input Sheet'!F460&gt;0,"% ","")))</f>
        <v>NO</v>
      </c>
      <c r="K4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3" s="36" t="str">
        <f>CONCATENATE(K443, IF('Input Sheet'!I460="",""," siderite in "))</f>
        <v/>
      </c>
      <c r="M4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3" s="36" t="str">
        <f>CONCATENATE(M443, IF('Input Sheet'!J460="",""," siderite in "))</f>
        <v/>
      </c>
    </row>
    <row r="444" spans="1:14" x14ac:dyDescent="0.25">
      <c r="A444" s="51" t="str">
        <f>IF('Input Sheet'!C461="","",CONCATENATE("Sample ", 'Input Sheet'!B461, "m: ", L444, F444, "% ", "Siltstone, ", N444, 'Input Sheet'!C461, "% ", H444, " Sandstone, ", J444, I444, " FLUOR in SST. ", "TG ", 'Input Sheet'!H461, "U"))</f>
        <v/>
      </c>
      <c r="F444" s="36" t="str">
        <f>IF('Input Sheet'!C461="","",100-'Input Sheet'!C461)</f>
        <v/>
      </c>
      <c r="G4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4" s="36" t="str">
        <f t="shared" si="6"/>
        <v/>
      </c>
      <c r="I4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4" s="36" t="str">
        <f>IF('Input Sheet'!F461=0, "NO",CONCATENATE('Input Sheet'!F461, IF('Input Sheet'!F461&gt;0,"% ","")))</f>
        <v>NO</v>
      </c>
      <c r="K4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4" s="36" t="str">
        <f>CONCATENATE(K444, IF('Input Sheet'!I461="",""," siderite in "))</f>
        <v/>
      </c>
      <c r="M4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4" s="36" t="str">
        <f>CONCATENATE(M444, IF('Input Sheet'!J461="",""," siderite in "))</f>
        <v/>
      </c>
    </row>
    <row r="445" spans="1:14" x14ac:dyDescent="0.25">
      <c r="A445" s="51" t="str">
        <f>IF('Input Sheet'!C462="","",CONCATENATE("Sample ", 'Input Sheet'!B462, "m: ", L445, F445, "% ", "Siltstone, ", N445, 'Input Sheet'!C462, "% ", H445, " Sandstone, ", J445, I445, " FLUOR in SST. ", "TG ", 'Input Sheet'!H462, "U"))</f>
        <v/>
      </c>
      <c r="F445" s="36" t="str">
        <f>IF('Input Sheet'!C462="","",100-'Input Sheet'!C462)</f>
        <v/>
      </c>
      <c r="G4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5" s="36" t="str">
        <f t="shared" si="6"/>
        <v/>
      </c>
      <c r="I4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5" s="36" t="str">
        <f>IF('Input Sheet'!F462=0, "NO",CONCATENATE('Input Sheet'!F462, IF('Input Sheet'!F462&gt;0,"% ","")))</f>
        <v>NO</v>
      </c>
      <c r="K4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5" s="36" t="str">
        <f>CONCATENATE(K445, IF('Input Sheet'!I462="",""," siderite in "))</f>
        <v/>
      </c>
      <c r="M4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5" s="36" t="str">
        <f>CONCATENATE(M445, IF('Input Sheet'!J462="",""," siderite in "))</f>
        <v/>
      </c>
    </row>
    <row r="446" spans="1:14" x14ac:dyDescent="0.25">
      <c r="A446" s="51" t="str">
        <f>IF('Input Sheet'!C463="","",CONCATENATE("Sample ", 'Input Sheet'!B463, "m: ", L446, F446, "% ", "Siltstone, ", N446, 'Input Sheet'!C463, "% ", H446, " Sandstone, ", J446, I446, " FLUOR in SST. ", "TG ", 'Input Sheet'!H463, "U"))</f>
        <v/>
      </c>
      <c r="F446" s="36" t="str">
        <f>IF('Input Sheet'!C463="","",100-'Input Sheet'!C463)</f>
        <v/>
      </c>
      <c r="G4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6" s="36" t="str">
        <f t="shared" si="6"/>
        <v/>
      </c>
      <c r="I4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6" s="36" t="str">
        <f>IF('Input Sheet'!F463=0, "NO",CONCATENATE('Input Sheet'!F463, IF('Input Sheet'!F463&gt;0,"% ","")))</f>
        <v>NO</v>
      </c>
      <c r="K4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6" s="36" t="str">
        <f>CONCATENATE(K446, IF('Input Sheet'!I463="",""," siderite in "))</f>
        <v/>
      </c>
      <c r="M4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6" s="36" t="str">
        <f>CONCATENATE(M446, IF('Input Sheet'!J463="",""," siderite in "))</f>
        <v/>
      </c>
    </row>
    <row r="447" spans="1:14" x14ac:dyDescent="0.25">
      <c r="A447" s="51" t="str">
        <f>IF('Input Sheet'!C464="","",CONCATENATE("Sample ", 'Input Sheet'!B464, "m: ", L447, F447, "% ", "Siltstone, ", N447, 'Input Sheet'!C464, "% ", H447, " Sandstone, ", J447, I447, " FLUOR in SST. ", "TG ", 'Input Sheet'!H464, "U"))</f>
        <v/>
      </c>
      <c r="F447" s="36" t="str">
        <f>IF('Input Sheet'!C464="","",100-'Input Sheet'!C464)</f>
        <v/>
      </c>
      <c r="G4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7" s="36" t="str">
        <f t="shared" si="6"/>
        <v/>
      </c>
      <c r="I4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7" s="36" t="str">
        <f>IF('Input Sheet'!F464=0, "NO",CONCATENATE('Input Sheet'!F464, IF('Input Sheet'!F464&gt;0,"% ","")))</f>
        <v>NO</v>
      </c>
      <c r="K4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7" s="36" t="str">
        <f>CONCATENATE(K447, IF('Input Sheet'!I464="",""," siderite in "))</f>
        <v/>
      </c>
      <c r="M4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7" s="36" t="str">
        <f>CONCATENATE(M447, IF('Input Sheet'!J464="",""," siderite in "))</f>
        <v/>
      </c>
    </row>
    <row r="448" spans="1:14" x14ac:dyDescent="0.25">
      <c r="A448" s="51" t="str">
        <f>IF('Input Sheet'!C465="","",CONCATENATE("Sample ", 'Input Sheet'!B465, "m: ", L448, F448, "% ", "Siltstone, ", N448, 'Input Sheet'!C465, "% ", H448, " Sandstone, ", J448, I448, " FLUOR in SST. ", "TG ", 'Input Sheet'!H465, "U"))</f>
        <v/>
      </c>
      <c r="F448" s="36" t="str">
        <f>IF('Input Sheet'!C465="","",100-'Input Sheet'!C465)</f>
        <v/>
      </c>
      <c r="G4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8" s="36" t="str">
        <f t="shared" si="6"/>
        <v/>
      </c>
      <c r="I4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8" s="36" t="str">
        <f>IF('Input Sheet'!F465=0, "NO",CONCATENATE('Input Sheet'!F465, IF('Input Sheet'!F465&gt;0,"% ","")))</f>
        <v>NO</v>
      </c>
      <c r="K4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8" s="36" t="str">
        <f>CONCATENATE(K448, IF('Input Sheet'!I465="",""," siderite in "))</f>
        <v/>
      </c>
      <c r="M4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8" s="36" t="str">
        <f>CONCATENATE(M448, IF('Input Sheet'!J465="",""," siderite in "))</f>
        <v/>
      </c>
    </row>
    <row r="449" spans="1:14" x14ac:dyDescent="0.25">
      <c r="A449" s="51" t="str">
        <f>IF('Input Sheet'!C466="","",CONCATENATE("Sample ", 'Input Sheet'!B466, "m: ", L449, F449, "% ", "Siltstone, ", N449, 'Input Sheet'!C466, "% ", H449, " Sandstone, ", J449, I449, " FLUOR in SST. ", "TG ", 'Input Sheet'!H466, "U"))</f>
        <v/>
      </c>
      <c r="F449" s="36" t="str">
        <f>IF('Input Sheet'!C466="","",100-'Input Sheet'!C466)</f>
        <v/>
      </c>
      <c r="G4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49" s="36" t="str">
        <f t="shared" si="6"/>
        <v/>
      </c>
      <c r="I4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49" s="36" t="str">
        <f>IF('Input Sheet'!F466=0, "NO",CONCATENATE('Input Sheet'!F466, IF('Input Sheet'!F466&gt;0,"% ","")))</f>
        <v>NO</v>
      </c>
      <c r="K4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49" s="36" t="str">
        <f>CONCATENATE(K449, IF('Input Sheet'!I466="",""," siderite in "))</f>
        <v/>
      </c>
      <c r="M4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49" s="36" t="str">
        <f>CONCATENATE(M449, IF('Input Sheet'!J466="",""," siderite in "))</f>
        <v/>
      </c>
    </row>
    <row r="450" spans="1:14" x14ac:dyDescent="0.25">
      <c r="A450" s="51" t="str">
        <f>IF('Input Sheet'!C467="","",CONCATENATE("Sample ", 'Input Sheet'!B467, "m: ", L450, F450, "% ", "Siltstone, ", N450, 'Input Sheet'!C467, "% ", H450, " Sandstone, ", J450, I450, " FLUOR in SST. ", "TG ", 'Input Sheet'!H467, "U"))</f>
        <v/>
      </c>
      <c r="F450" s="36" t="str">
        <f>IF('Input Sheet'!C467="","",100-'Input Sheet'!C467)</f>
        <v/>
      </c>
      <c r="G4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0" s="36" t="str">
        <f t="shared" ref="H450:H513" si="7">SUBSTITUTE(G450, "veryfine", "very fine")</f>
        <v/>
      </c>
      <c r="I4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0" s="36" t="str">
        <f>IF('Input Sheet'!F467=0, "NO",CONCATENATE('Input Sheet'!F467, IF('Input Sheet'!F467&gt;0,"% ","")))</f>
        <v>NO</v>
      </c>
      <c r="K4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0" s="36" t="str">
        <f>CONCATENATE(K450, IF('Input Sheet'!I467="",""," siderite in "))</f>
        <v/>
      </c>
      <c r="M4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0" s="36" t="str">
        <f>CONCATENATE(M450, IF('Input Sheet'!J467="",""," siderite in "))</f>
        <v/>
      </c>
    </row>
    <row r="451" spans="1:14" x14ac:dyDescent="0.25">
      <c r="A451" s="51" t="str">
        <f>IF('Input Sheet'!C468="","",CONCATENATE("Sample ", 'Input Sheet'!B468, "m: ", L451, F451, "% ", "Siltstone, ", N451, 'Input Sheet'!C468, "% ", H451, " Sandstone, ", J451, I451, " FLUOR in SST. ", "TG ", 'Input Sheet'!H468, "U"))</f>
        <v/>
      </c>
      <c r="F451" s="36" t="str">
        <f>IF('Input Sheet'!C468="","",100-'Input Sheet'!C468)</f>
        <v/>
      </c>
      <c r="G4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1" s="36" t="str">
        <f t="shared" si="7"/>
        <v/>
      </c>
      <c r="I4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1" s="36" t="str">
        <f>IF('Input Sheet'!F468=0, "NO",CONCATENATE('Input Sheet'!F468, IF('Input Sheet'!F468&gt;0,"% ","")))</f>
        <v>NO</v>
      </c>
      <c r="K4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1" s="36" t="str">
        <f>CONCATENATE(K451, IF('Input Sheet'!I468="",""," siderite in "))</f>
        <v/>
      </c>
      <c r="M4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1" s="36" t="str">
        <f>CONCATENATE(M451, IF('Input Sheet'!J468="",""," siderite in "))</f>
        <v/>
      </c>
    </row>
    <row r="452" spans="1:14" x14ac:dyDescent="0.25">
      <c r="A452" s="51" t="str">
        <f>IF('Input Sheet'!C469="","",CONCATENATE("Sample ", 'Input Sheet'!B469, "m: ", L452, F452, "% ", "Siltstone, ", N452, 'Input Sheet'!C469, "% ", H452, " Sandstone, ", J452, I452, " FLUOR in SST. ", "TG ", 'Input Sheet'!H469, "U"))</f>
        <v/>
      </c>
      <c r="F452" s="36" t="str">
        <f>IF('Input Sheet'!C469="","",100-'Input Sheet'!C469)</f>
        <v/>
      </c>
      <c r="G4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2" s="36" t="str">
        <f t="shared" si="7"/>
        <v/>
      </c>
      <c r="I4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2" s="36" t="str">
        <f>IF('Input Sheet'!F469=0, "NO",CONCATENATE('Input Sheet'!F469, IF('Input Sheet'!F469&gt;0,"% ","")))</f>
        <v>NO</v>
      </c>
      <c r="K4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2" s="36" t="str">
        <f>CONCATENATE(K452, IF('Input Sheet'!I469="",""," siderite in "))</f>
        <v/>
      </c>
      <c r="M4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2" s="36" t="str">
        <f>CONCATENATE(M452, IF('Input Sheet'!J469="",""," siderite in "))</f>
        <v/>
      </c>
    </row>
    <row r="453" spans="1:14" x14ac:dyDescent="0.25">
      <c r="A453" s="51" t="str">
        <f>IF('Input Sheet'!C470="","",CONCATENATE("Sample ", 'Input Sheet'!B470, "m: ", L453, F453, "% ", "Siltstone, ", N453, 'Input Sheet'!C470, "% ", H453, " Sandstone, ", J453, I453, " FLUOR in SST. ", "TG ", 'Input Sheet'!H470, "U"))</f>
        <v/>
      </c>
      <c r="F453" s="36" t="str">
        <f>IF('Input Sheet'!C470="","",100-'Input Sheet'!C470)</f>
        <v/>
      </c>
      <c r="G4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3" s="36" t="str">
        <f t="shared" si="7"/>
        <v/>
      </c>
      <c r="I4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3" s="36" t="str">
        <f>IF('Input Sheet'!F470=0, "NO",CONCATENATE('Input Sheet'!F470, IF('Input Sheet'!F470&gt;0,"% ","")))</f>
        <v>NO</v>
      </c>
      <c r="K4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3" s="36" t="str">
        <f>CONCATENATE(K453, IF('Input Sheet'!I470="",""," siderite in "))</f>
        <v/>
      </c>
      <c r="M4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3" s="36" t="str">
        <f>CONCATENATE(M453, IF('Input Sheet'!J470="",""," siderite in "))</f>
        <v/>
      </c>
    </row>
    <row r="454" spans="1:14" x14ac:dyDescent="0.25">
      <c r="A454" s="51" t="str">
        <f>IF('Input Sheet'!C471="","",CONCATENATE("Sample ", 'Input Sheet'!B471, "m: ", L454, F454, "% ", "Siltstone, ", N454, 'Input Sheet'!C471, "% ", H454, " Sandstone, ", J454, I454, " FLUOR in SST. ", "TG ", 'Input Sheet'!H471, "U"))</f>
        <v/>
      </c>
      <c r="F454" s="36" t="str">
        <f>IF('Input Sheet'!C471="","",100-'Input Sheet'!C471)</f>
        <v/>
      </c>
      <c r="G4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4" s="36" t="str">
        <f t="shared" si="7"/>
        <v/>
      </c>
      <c r="I4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4" s="36" t="str">
        <f>IF('Input Sheet'!F471=0, "NO",CONCATENATE('Input Sheet'!F471, IF('Input Sheet'!F471&gt;0,"% ","")))</f>
        <v>NO</v>
      </c>
      <c r="K4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4" s="36" t="str">
        <f>CONCATENATE(K454, IF('Input Sheet'!I471="",""," siderite in "))</f>
        <v/>
      </c>
      <c r="M4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4" s="36" t="str">
        <f>CONCATENATE(M454, IF('Input Sheet'!J471="",""," siderite in "))</f>
        <v/>
      </c>
    </row>
    <row r="455" spans="1:14" x14ac:dyDescent="0.25">
      <c r="A455" s="51" t="str">
        <f>IF('Input Sheet'!C472="","",CONCATENATE("Sample ", 'Input Sheet'!B472, "m: ", L455, F455, "% ", "Siltstone, ", N455, 'Input Sheet'!C472, "% ", H455, " Sandstone, ", J455, I455, " FLUOR in SST. ", "TG ", 'Input Sheet'!H472, "U"))</f>
        <v/>
      </c>
      <c r="F455" s="36" t="str">
        <f>IF('Input Sheet'!C472="","",100-'Input Sheet'!C472)</f>
        <v/>
      </c>
      <c r="G4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5" s="36" t="str">
        <f t="shared" si="7"/>
        <v/>
      </c>
      <c r="I4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5" s="36" t="str">
        <f>IF('Input Sheet'!F472=0, "NO",CONCATENATE('Input Sheet'!F472, IF('Input Sheet'!F472&gt;0,"% ","")))</f>
        <v>NO</v>
      </c>
      <c r="K4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5" s="36" t="str">
        <f>CONCATENATE(K455, IF('Input Sheet'!I472="",""," siderite in "))</f>
        <v/>
      </c>
      <c r="M4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5" s="36" t="str">
        <f>CONCATENATE(M455, IF('Input Sheet'!J472="",""," siderite in "))</f>
        <v/>
      </c>
    </row>
    <row r="456" spans="1:14" x14ac:dyDescent="0.25">
      <c r="A456" s="51" t="str">
        <f>IF('Input Sheet'!C473="","",CONCATENATE("Sample ", 'Input Sheet'!B473, "m: ", L456, F456, "% ", "Siltstone, ", N456, 'Input Sheet'!C473, "% ", H456, " Sandstone, ", J456, I456, " FLUOR in SST. ", "TG ", 'Input Sheet'!H473, "U"))</f>
        <v/>
      </c>
      <c r="F456" s="36" t="str">
        <f>IF('Input Sheet'!C473="","",100-'Input Sheet'!C473)</f>
        <v/>
      </c>
      <c r="G4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6" s="36" t="str">
        <f t="shared" si="7"/>
        <v/>
      </c>
      <c r="I4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6" s="36" t="str">
        <f>IF('Input Sheet'!F473=0, "NO",CONCATENATE('Input Sheet'!F473, IF('Input Sheet'!F473&gt;0,"% ","")))</f>
        <v>NO</v>
      </c>
      <c r="K4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6" s="36" t="str">
        <f>CONCATENATE(K456, IF('Input Sheet'!I473="",""," siderite in "))</f>
        <v/>
      </c>
      <c r="M4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6" s="36" t="str">
        <f>CONCATENATE(M456, IF('Input Sheet'!J473="",""," siderite in "))</f>
        <v/>
      </c>
    </row>
    <row r="457" spans="1:14" x14ac:dyDescent="0.25">
      <c r="A457" s="51" t="str">
        <f>IF('Input Sheet'!C474="","",CONCATENATE("Sample ", 'Input Sheet'!B474, "m: ", L457, F457, "% ", "Siltstone, ", N457, 'Input Sheet'!C474, "% ", H457, " Sandstone, ", J457, I457, " FLUOR in SST. ", "TG ", 'Input Sheet'!H474, "U"))</f>
        <v/>
      </c>
      <c r="F457" s="36" t="str">
        <f>IF('Input Sheet'!C474="","",100-'Input Sheet'!C474)</f>
        <v/>
      </c>
      <c r="G4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7" s="36" t="str">
        <f t="shared" si="7"/>
        <v/>
      </c>
      <c r="I4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7" s="36" t="str">
        <f>IF('Input Sheet'!F474=0, "NO",CONCATENATE('Input Sheet'!F474, IF('Input Sheet'!F474&gt;0,"% ","")))</f>
        <v>NO</v>
      </c>
      <c r="K4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7" s="36" t="str">
        <f>CONCATENATE(K457, IF('Input Sheet'!I474="",""," siderite in "))</f>
        <v/>
      </c>
      <c r="M4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7" s="36" t="str">
        <f>CONCATENATE(M457, IF('Input Sheet'!J474="",""," siderite in "))</f>
        <v/>
      </c>
    </row>
    <row r="458" spans="1:14" x14ac:dyDescent="0.25">
      <c r="A458" s="51" t="str">
        <f>IF('Input Sheet'!C475="","",CONCATENATE("Sample ", 'Input Sheet'!B475, "m: ", L458, F458, "% ", "Siltstone, ", N458, 'Input Sheet'!C475, "% ", H458, " Sandstone, ", J458, I458, " FLUOR in SST. ", "TG ", 'Input Sheet'!H475, "U"))</f>
        <v/>
      </c>
      <c r="F458" s="36" t="str">
        <f>IF('Input Sheet'!C475="","",100-'Input Sheet'!C475)</f>
        <v/>
      </c>
      <c r="G4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8" s="36" t="str">
        <f t="shared" si="7"/>
        <v/>
      </c>
      <c r="I4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8" s="36" t="str">
        <f>IF('Input Sheet'!F475=0, "NO",CONCATENATE('Input Sheet'!F475, IF('Input Sheet'!F475&gt;0,"% ","")))</f>
        <v>NO</v>
      </c>
      <c r="K4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8" s="36" t="str">
        <f>CONCATENATE(K458, IF('Input Sheet'!I475="",""," siderite in "))</f>
        <v/>
      </c>
      <c r="M4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8" s="36" t="str">
        <f>CONCATENATE(M458, IF('Input Sheet'!J475="",""," siderite in "))</f>
        <v/>
      </c>
    </row>
    <row r="459" spans="1:14" x14ac:dyDescent="0.25">
      <c r="A459" s="51" t="str">
        <f>IF('Input Sheet'!C476="","",CONCATENATE("Sample ", 'Input Sheet'!B476, "m: ", L459, F459, "% ", "Siltstone, ", N459, 'Input Sheet'!C476, "% ", H459, " Sandstone, ", J459, I459, " FLUOR in SST. ", "TG ", 'Input Sheet'!H476, "U"))</f>
        <v/>
      </c>
      <c r="F459" s="36" t="str">
        <f>IF('Input Sheet'!C476="","",100-'Input Sheet'!C476)</f>
        <v/>
      </c>
      <c r="G4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59" s="36" t="str">
        <f t="shared" si="7"/>
        <v/>
      </c>
      <c r="I4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59" s="36" t="str">
        <f>IF('Input Sheet'!F476=0, "NO",CONCATENATE('Input Sheet'!F476, IF('Input Sheet'!F476&gt;0,"% ","")))</f>
        <v>NO</v>
      </c>
      <c r="K4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59" s="36" t="str">
        <f>CONCATENATE(K459, IF('Input Sheet'!I476="",""," siderite in "))</f>
        <v/>
      </c>
      <c r="M4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59" s="36" t="str">
        <f>CONCATENATE(M459, IF('Input Sheet'!J476="",""," siderite in "))</f>
        <v/>
      </c>
    </row>
    <row r="460" spans="1:14" x14ac:dyDescent="0.25">
      <c r="A460" s="51" t="str">
        <f>IF('Input Sheet'!C477="","",CONCATENATE("Sample ", 'Input Sheet'!B477, "m: ", L460, F460, "% ", "Siltstone, ", N460, 'Input Sheet'!C477, "% ", H460, " Sandstone, ", J460, I460, " FLUOR in SST. ", "TG ", 'Input Sheet'!H477, "U"))</f>
        <v/>
      </c>
      <c r="F460" s="36" t="str">
        <f>IF('Input Sheet'!C477="","",100-'Input Sheet'!C477)</f>
        <v/>
      </c>
      <c r="G4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0" s="36" t="str">
        <f t="shared" si="7"/>
        <v/>
      </c>
      <c r="I4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0" s="36" t="str">
        <f>IF('Input Sheet'!F477=0, "NO",CONCATENATE('Input Sheet'!F477, IF('Input Sheet'!F477&gt;0,"% ","")))</f>
        <v>NO</v>
      </c>
      <c r="K4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0" s="36" t="str">
        <f>CONCATENATE(K460, IF('Input Sheet'!I477="",""," siderite in "))</f>
        <v/>
      </c>
      <c r="M4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0" s="36" t="str">
        <f>CONCATENATE(M460, IF('Input Sheet'!J477="",""," siderite in "))</f>
        <v/>
      </c>
    </row>
    <row r="461" spans="1:14" x14ac:dyDescent="0.25">
      <c r="A461" s="51" t="str">
        <f>IF('Input Sheet'!C478="","",CONCATENATE("Sample ", 'Input Sheet'!B478, "m: ", L461, F461, "% ", "Siltstone, ", N461, 'Input Sheet'!C478, "% ", H461, " Sandstone, ", J461, I461, " FLUOR in SST. ", "TG ", 'Input Sheet'!H478, "U"))</f>
        <v/>
      </c>
      <c r="F461" s="36" t="str">
        <f>IF('Input Sheet'!C478="","",100-'Input Sheet'!C478)</f>
        <v/>
      </c>
      <c r="G4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1" s="36" t="str">
        <f t="shared" si="7"/>
        <v/>
      </c>
      <c r="I4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1" s="36" t="str">
        <f>IF('Input Sheet'!F478=0, "NO",CONCATENATE('Input Sheet'!F478, IF('Input Sheet'!F478&gt;0,"% ","")))</f>
        <v>NO</v>
      </c>
      <c r="K4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1" s="36" t="str">
        <f>CONCATENATE(K461, IF('Input Sheet'!I478="",""," siderite in "))</f>
        <v/>
      </c>
      <c r="M4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1" s="36" t="str">
        <f>CONCATENATE(M461, IF('Input Sheet'!J478="",""," siderite in "))</f>
        <v/>
      </c>
    </row>
    <row r="462" spans="1:14" x14ac:dyDescent="0.25">
      <c r="A462" s="51" t="str">
        <f>IF('Input Sheet'!C479="","",CONCATENATE("Sample ", 'Input Sheet'!B479, "m: ", L462, F462, "% ", "Siltstone, ", N462, 'Input Sheet'!C479, "% ", H462, " Sandstone, ", J462, I462, " FLUOR in SST. ", "TG ", 'Input Sheet'!H479, "U"))</f>
        <v/>
      </c>
      <c r="F462" s="36" t="str">
        <f>IF('Input Sheet'!C479="","",100-'Input Sheet'!C479)</f>
        <v/>
      </c>
      <c r="G4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2" s="36" t="str">
        <f t="shared" si="7"/>
        <v/>
      </c>
      <c r="I4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2" s="36" t="str">
        <f>IF('Input Sheet'!F479=0, "NO",CONCATENATE('Input Sheet'!F479, IF('Input Sheet'!F479&gt;0,"% ","")))</f>
        <v>NO</v>
      </c>
      <c r="K4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2" s="36" t="str">
        <f>CONCATENATE(K462, IF('Input Sheet'!I479="",""," siderite in "))</f>
        <v/>
      </c>
      <c r="M4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2" s="36" t="str">
        <f>CONCATENATE(M462, IF('Input Sheet'!J479="",""," siderite in "))</f>
        <v/>
      </c>
    </row>
    <row r="463" spans="1:14" x14ac:dyDescent="0.25">
      <c r="A463" s="51" t="str">
        <f>IF('Input Sheet'!C480="","",CONCATENATE("Sample ", 'Input Sheet'!B480, "m: ", L463, F463, "% ", "Siltstone, ", N463, 'Input Sheet'!C480, "% ", H463, " Sandstone, ", J463, I463, " FLUOR in SST. ", "TG ", 'Input Sheet'!H480, "U"))</f>
        <v/>
      </c>
      <c r="F463" s="36" t="str">
        <f>IF('Input Sheet'!C480="","",100-'Input Sheet'!C480)</f>
        <v/>
      </c>
      <c r="G4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3" s="36" t="str">
        <f t="shared" si="7"/>
        <v/>
      </c>
      <c r="I4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3" s="36" t="str">
        <f>IF('Input Sheet'!F480=0, "NO",CONCATENATE('Input Sheet'!F480, IF('Input Sheet'!F480&gt;0,"% ","")))</f>
        <v>NO</v>
      </c>
      <c r="K4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3" s="36" t="str">
        <f>CONCATENATE(K463, IF('Input Sheet'!I480="",""," siderite in "))</f>
        <v/>
      </c>
      <c r="M4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3" s="36" t="str">
        <f>CONCATENATE(M463, IF('Input Sheet'!J480="",""," siderite in "))</f>
        <v/>
      </c>
    </row>
    <row r="464" spans="1:14" x14ac:dyDescent="0.25">
      <c r="A464" s="51" t="str">
        <f>IF('Input Sheet'!C481="","",CONCATENATE("Sample ", 'Input Sheet'!B481, "m: ", L464, F464, "% ", "Siltstone, ", N464, 'Input Sheet'!C481, "% ", H464, " Sandstone, ", J464, I464, " FLUOR in SST. ", "TG ", 'Input Sheet'!H481, "U"))</f>
        <v/>
      </c>
      <c r="F464" s="36" t="str">
        <f>IF('Input Sheet'!C481="","",100-'Input Sheet'!C481)</f>
        <v/>
      </c>
      <c r="G4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4" s="36" t="str">
        <f t="shared" si="7"/>
        <v/>
      </c>
      <c r="I4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4" s="36" t="str">
        <f>IF('Input Sheet'!F481=0, "NO",CONCATENATE('Input Sheet'!F481, IF('Input Sheet'!F481&gt;0,"% ","")))</f>
        <v>NO</v>
      </c>
      <c r="K4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4" s="36" t="str">
        <f>CONCATENATE(K464, IF('Input Sheet'!I481="",""," siderite in "))</f>
        <v/>
      </c>
      <c r="M4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4" s="36" t="str">
        <f>CONCATENATE(M464, IF('Input Sheet'!J481="",""," siderite in "))</f>
        <v/>
      </c>
    </row>
    <row r="465" spans="1:14" x14ac:dyDescent="0.25">
      <c r="A465" s="51" t="str">
        <f>IF('Input Sheet'!C482="","",CONCATENATE("Sample ", 'Input Sheet'!B482, "m: ", L465, F465, "% ", "Siltstone, ", N465, 'Input Sheet'!C482, "% ", H465, " Sandstone, ", J465, I465, " FLUOR in SST. ", "TG ", 'Input Sheet'!H482, "U"))</f>
        <v/>
      </c>
      <c r="F465" s="36" t="str">
        <f>IF('Input Sheet'!C482="","",100-'Input Sheet'!C482)</f>
        <v/>
      </c>
      <c r="G4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5" s="36" t="str">
        <f t="shared" si="7"/>
        <v/>
      </c>
      <c r="I4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5" s="36" t="str">
        <f>IF('Input Sheet'!F482=0, "NO",CONCATENATE('Input Sheet'!F482, IF('Input Sheet'!F482&gt;0,"% ","")))</f>
        <v>NO</v>
      </c>
      <c r="K4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5" s="36" t="str">
        <f>CONCATENATE(K465, IF('Input Sheet'!I482="",""," siderite in "))</f>
        <v/>
      </c>
      <c r="M4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5" s="36" t="str">
        <f>CONCATENATE(M465, IF('Input Sheet'!J482="",""," siderite in "))</f>
        <v/>
      </c>
    </row>
    <row r="466" spans="1:14" x14ac:dyDescent="0.25">
      <c r="A466" s="51" t="str">
        <f>IF('Input Sheet'!C483="","",CONCATENATE("Sample ", 'Input Sheet'!B483, "m: ", L466, F466, "% ", "Siltstone, ", N466, 'Input Sheet'!C483, "% ", H466, " Sandstone, ", J466, I466, " FLUOR in SST. ", "TG ", 'Input Sheet'!H483, "U"))</f>
        <v/>
      </c>
      <c r="F466" s="36" t="str">
        <f>IF('Input Sheet'!C483="","",100-'Input Sheet'!C483)</f>
        <v/>
      </c>
      <c r="G4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6" s="36" t="str">
        <f t="shared" si="7"/>
        <v/>
      </c>
      <c r="I4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6" s="36" t="str">
        <f>IF('Input Sheet'!F483=0, "NO",CONCATENATE('Input Sheet'!F483, IF('Input Sheet'!F483&gt;0,"% ","")))</f>
        <v>NO</v>
      </c>
      <c r="K4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6" s="36" t="str">
        <f>CONCATENATE(K466, IF('Input Sheet'!I483="",""," siderite in "))</f>
        <v/>
      </c>
      <c r="M4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6" s="36" t="str">
        <f>CONCATENATE(M466, IF('Input Sheet'!J483="",""," siderite in "))</f>
        <v/>
      </c>
    </row>
    <row r="467" spans="1:14" x14ac:dyDescent="0.25">
      <c r="A467" s="51" t="str">
        <f>IF('Input Sheet'!C484="","",CONCATENATE("Sample ", 'Input Sheet'!B484, "m: ", L467, F467, "% ", "Siltstone, ", N467, 'Input Sheet'!C484, "% ", H467, " Sandstone, ", J467, I467, " FLUOR in SST. ", "TG ", 'Input Sheet'!H484, "U"))</f>
        <v/>
      </c>
      <c r="F467" s="36" t="str">
        <f>IF('Input Sheet'!C484="","",100-'Input Sheet'!C484)</f>
        <v/>
      </c>
      <c r="G4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7" s="36" t="str">
        <f t="shared" si="7"/>
        <v/>
      </c>
      <c r="I4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7" s="36" t="str">
        <f>IF('Input Sheet'!F484=0, "NO",CONCATENATE('Input Sheet'!F484, IF('Input Sheet'!F484&gt;0,"% ","")))</f>
        <v>NO</v>
      </c>
      <c r="K4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7" s="36" t="str">
        <f>CONCATENATE(K467, IF('Input Sheet'!I484="",""," siderite in "))</f>
        <v/>
      </c>
      <c r="M4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7" s="36" t="str">
        <f>CONCATENATE(M467, IF('Input Sheet'!J484="",""," siderite in "))</f>
        <v/>
      </c>
    </row>
    <row r="468" spans="1:14" x14ac:dyDescent="0.25">
      <c r="A468" s="51" t="str">
        <f>IF('Input Sheet'!C485="","",CONCATENATE("Sample ", 'Input Sheet'!B485, "m: ", L468, F468, "% ", "Siltstone, ", N468, 'Input Sheet'!C485, "% ", H468, " Sandstone, ", J468, I468, " FLUOR in SST. ", "TG ", 'Input Sheet'!H485, "U"))</f>
        <v/>
      </c>
      <c r="F468" s="36" t="str">
        <f>IF('Input Sheet'!C485="","",100-'Input Sheet'!C485)</f>
        <v/>
      </c>
      <c r="G4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8" s="36" t="str">
        <f t="shared" si="7"/>
        <v/>
      </c>
      <c r="I4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8" s="36" t="str">
        <f>IF('Input Sheet'!F485=0, "NO",CONCATENATE('Input Sheet'!F485, IF('Input Sheet'!F485&gt;0,"% ","")))</f>
        <v>NO</v>
      </c>
      <c r="K4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8" s="36" t="str">
        <f>CONCATENATE(K468, IF('Input Sheet'!I485="",""," siderite in "))</f>
        <v/>
      </c>
      <c r="M4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8" s="36" t="str">
        <f>CONCATENATE(M468, IF('Input Sheet'!J485="",""," siderite in "))</f>
        <v/>
      </c>
    </row>
    <row r="469" spans="1:14" x14ac:dyDescent="0.25">
      <c r="A469" s="51" t="str">
        <f>IF('Input Sheet'!C486="","",CONCATENATE("Sample ", 'Input Sheet'!B486, "m: ", L469, F469, "% ", "Siltstone, ", N469, 'Input Sheet'!C486, "% ", H469, " Sandstone, ", J469, I469, " FLUOR in SST. ", "TG ", 'Input Sheet'!H486, "U"))</f>
        <v/>
      </c>
      <c r="F469" s="36" t="str">
        <f>IF('Input Sheet'!C486="","",100-'Input Sheet'!C486)</f>
        <v/>
      </c>
      <c r="G4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69" s="36" t="str">
        <f t="shared" si="7"/>
        <v/>
      </c>
      <c r="I4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69" s="36" t="str">
        <f>IF('Input Sheet'!F486=0, "NO",CONCATENATE('Input Sheet'!F486, IF('Input Sheet'!F486&gt;0,"% ","")))</f>
        <v>NO</v>
      </c>
      <c r="K4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69" s="36" t="str">
        <f>CONCATENATE(K469, IF('Input Sheet'!I486="",""," siderite in "))</f>
        <v/>
      </c>
      <c r="M4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69" s="36" t="str">
        <f>CONCATENATE(M469, IF('Input Sheet'!J486="",""," siderite in "))</f>
        <v/>
      </c>
    </row>
    <row r="470" spans="1:14" x14ac:dyDescent="0.25">
      <c r="A470" s="51" t="str">
        <f>IF('Input Sheet'!C487="","",CONCATENATE("Sample ", 'Input Sheet'!B487, "m: ", L470, F470, "% ", "Siltstone, ", N470, 'Input Sheet'!C487, "% ", H470, " Sandstone, ", J470, I470, " FLUOR in SST. ", "TG ", 'Input Sheet'!H487, "U"))</f>
        <v/>
      </c>
      <c r="F470" s="36" t="str">
        <f>IF('Input Sheet'!C487="","",100-'Input Sheet'!C487)</f>
        <v/>
      </c>
      <c r="G4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0" s="36" t="str">
        <f t="shared" si="7"/>
        <v/>
      </c>
      <c r="I4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0" s="36" t="str">
        <f>IF('Input Sheet'!F487=0, "NO",CONCATENATE('Input Sheet'!F487, IF('Input Sheet'!F487&gt;0,"% ","")))</f>
        <v>NO</v>
      </c>
      <c r="K4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0" s="36" t="str">
        <f>CONCATENATE(K470, IF('Input Sheet'!I487="",""," siderite in "))</f>
        <v/>
      </c>
      <c r="M4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0" s="36" t="str">
        <f>CONCATENATE(M470, IF('Input Sheet'!J487="",""," siderite in "))</f>
        <v/>
      </c>
    </row>
    <row r="471" spans="1:14" x14ac:dyDescent="0.25">
      <c r="A471" s="51" t="str">
        <f>IF('Input Sheet'!C488="","",CONCATENATE("Sample ", 'Input Sheet'!B488, "m: ", L471, F471, "% ", "Siltstone, ", N471, 'Input Sheet'!C488, "% ", H471, " Sandstone, ", J471, I471, " FLUOR in SST. ", "TG ", 'Input Sheet'!H488, "U"))</f>
        <v/>
      </c>
      <c r="F471" s="36" t="str">
        <f>IF('Input Sheet'!C488="","",100-'Input Sheet'!C488)</f>
        <v/>
      </c>
      <c r="G4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1" s="36" t="str">
        <f t="shared" si="7"/>
        <v/>
      </c>
      <c r="I4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1" s="36" t="str">
        <f>IF('Input Sheet'!F488=0, "NO",CONCATENATE('Input Sheet'!F488, IF('Input Sheet'!F488&gt;0,"% ","")))</f>
        <v>NO</v>
      </c>
      <c r="K4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1" s="36" t="str">
        <f>CONCATENATE(K471, IF('Input Sheet'!I488="",""," siderite in "))</f>
        <v/>
      </c>
      <c r="M4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1" s="36" t="str">
        <f>CONCATENATE(M471, IF('Input Sheet'!J488="",""," siderite in "))</f>
        <v/>
      </c>
    </row>
    <row r="472" spans="1:14" x14ac:dyDescent="0.25">
      <c r="A472" s="51" t="str">
        <f>IF('Input Sheet'!C489="","",CONCATENATE("Sample ", 'Input Sheet'!B489, "m: ", L472, F472, "% ", "Siltstone, ", N472, 'Input Sheet'!C489, "% ", H472, " Sandstone, ", J472, I472, " FLUOR in SST. ", "TG ", 'Input Sheet'!H489, "U"))</f>
        <v/>
      </c>
      <c r="F472" s="36" t="str">
        <f>IF('Input Sheet'!C489="","",100-'Input Sheet'!C489)</f>
        <v/>
      </c>
      <c r="G4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2" s="36" t="str">
        <f t="shared" si="7"/>
        <v/>
      </c>
      <c r="I4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2" s="36" t="str">
        <f>IF('Input Sheet'!F489=0, "NO",CONCATENATE('Input Sheet'!F489, IF('Input Sheet'!F489&gt;0,"% ","")))</f>
        <v>NO</v>
      </c>
      <c r="K4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2" s="36" t="str">
        <f>CONCATENATE(K472, IF('Input Sheet'!I489="",""," siderite in "))</f>
        <v/>
      </c>
      <c r="M4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2" s="36" t="str">
        <f>CONCATENATE(M472, IF('Input Sheet'!J489="",""," siderite in "))</f>
        <v/>
      </c>
    </row>
    <row r="473" spans="1:14" x14ac:dyDescent="0.25">
      <c r="A473" s="51" t="str">
        <f>IF('Input Sheet'!C490="","",CONCATENATE("Sample ", 'Input Sheet'!B490, "m: ", L473, F473, "% ", "Siltstone, ", N473, 'Input Sheet'!C490, "% ", H473, " Sandstone, ", J473, I473, " FLUOR in SST. ", "TG ", 'Input Sheet'!H490, "U"))</f>
        <v/>
      </c>
      <c r="F473" s="36" t="str">
        <f>IF('Input Sheet'!C490="","",100-'Input Sheet'!C490)</f>
        <v/>
      </c>
      <c r="G4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3" s="36" t="str">
        <f t="shared" si="7"/>
        <v/>
      </c>
      <c r="I4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3" s="36" t="str">
        <f>IF('Input Sheet'!F490=0, "NO",CONCATENATE('Input Sheet'!F490, IF('Input Sheet'!F490&gt;0,"% ","")))</f>
        <v>NO</v>
      </c>
      <c r="K4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3" s="36" t="str">
        <f>CONCATENATE(K473, IF('Input Sheet'!I490="",""," siderite in "))</f>
        <v/>
      </c>
      <c r="M4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3" s="36" t="str">
        <f>CONCATENATE(M473, IF('Input Sheet'!J490="",""," siderite in "))</f>
        <v/>
      </c>
    </row>
    <row r="474" spans="1:14" x14ac:dyDescent="0.25">
      <c r="A474" s="51" t="str">
        <f>IF('Input Sheet'!C491="","",CONCATENATE("Sample ", 'Input Sheet'!B491, "m: ", L474, F474, "% ", "Siltstone, ", N474, 'Input Sheet'!C491, "% ", H474, " Sandstone, ", J474, I474, " FLUOR in SST. ", "TG ", 'Input Sheet'!H491, "U"))</f>
        <v/>
      </c>
      <c r="F474" s="36" t="str">
        <f>IF('Input Sheet'!C491="","",100-'Input Sheet'!C491)</f>
        <v/>
      </c>
      <c r="G4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4" s="36" t="str">
        <f t="shared" si="7"/>
        <v/>
      </c>
      <c r="I4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4" s="36" t="str">
        <f>IF('Input Sheet'!F491=0, "NO",CONCATENATE('Input Sheet'!F491, IF('Input Sheet'!F491&gt;0,"% ","")))</f>
        <v>NO</v>
      </c>
      <c r="K4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4" s="36" t="str">
        <f>CONCATENATE(K474, IF('Input Sheet'!I491="",""," siderite in "))</f>
        <v/>
      </c>
      <c r="M4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4" s="36" t="str">
        <f>CONCATENATE(M474, IF('Input Sheet'!J491="",""," siderite in "))</f>
        <v/>
      </c>
    </row>
    <row r="475" spans="1:14" x14ac:dyDescent="0.25">
      <c r="A475" s="51" t="str">
        <f>IF('Input Sheet'!C492="","",CONCATENATE("Sample ", 'Input Sheet'!B492, "m: ", L475, F475, "% ", "Siltstone, ", N475, 'Input Sheet'!C492, "% ", H475, " Sandstone, ", J475, I475, " FLUOR in SST. ", "TG ", 'Input Sheet'!H492, "U"))</f>
        <v/>
      </c>
      <c r="F475" s="36" t="str">
        <f>IF('Input Sheet'!C492="","",100-'Input Sheet'!C492)</f>
        <v/>
      </c>
      <c r="G4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5" s="36" t="str">
        <f t="shared" si="7"/>
        <v/>
      </c>
      <c r="I4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5" s="36" t="str">
        <f>IF('Input Sheet'!F492=0, "NO",CONCATENATE('Input Sheet'!F492, IF('Input Sheet'!F492&gt;0,"% ","")))</f>
        <v>NO</v>
      </c>
      <c r="K4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5" s="36" t="str">
        <f>CONCATENATE(K475, IF('Input Sheet'!I492="",""," siderite in "))</f>
        <v/>
      </c>
      <c r="M4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5" s="36" t="str">
        <f>CONCATENATE(M475, IF('Input Sheet'!J492="",""," siderite in "))</f>
        <v/>
      </c>
    </row>
    <row r="476" spans="1:14" x14ac:dyDescent="0.25">
      <c r="A476" s="51" t="str">
        <f>IF('Input Sheet'!C493="","",CONCATENATE("Sample ", 'Input Sheet'!B493, "m: ", L476, F476, "% ", "Siltstone, ", N476, 'Input Sheet'!C493, "% ", H476, " Sandstone, ", J476, I476, " FLUOR in SST. ", "TG ", 'Input Sheet'!H493, "U"))</f>
        <v/>
      </c>
      <c r="F476" s="36" t="str">
        <f>IF('Input Sheet'!C493="","",100-'Input Sheet'!C493)</f>
        <v/>
      </c>
      <c r="G4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6" s="36" t="str">
        <f t="shared" si="7"/>
        <v/>
      </c>
      <c r="I4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6" s="36" t="str">
        <f>IF('Input Sheet'!F493=0, "NO",CONCATENATE('Input Sheet'!F493, IF('Input Sheet'!F493&gt;0,"% ","")))</f>
        <v>NO</v>
      </c>
      <c r="K4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6" s="36" t="str">
        <f>CONCATENATE(K476, IF('Input Sheet'!I493="",""," siderite in "))</f>
        <v/>
      </c>
      <c r="M4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6" s="36" t="str">
        <f>CONCATENATE(M476, IF('Input Sheet'!J493="",""," siderite in "))</f>
        <v/>
      </c>
    </row>
    <row r="477" spans="1:14" x14ac:dyDescent="0.25">
      <c r="A477" s="51" t="str">
        <f>IF('Input Sheet'!C494="","",CONCATENATE("Sample ", 'Input Sheet'!B494, "m: ", L477, F477, "% ", "Siltstone, ", N477, 'Input Sheet'!C494, "% ", H477, " Sandstone, ", J477, I477, " FLUOR in SST. ", "TG ", 'Input Sheet'!H494, "U"))</f>
        <v/>
      </c>
      <c r="F477" s="36" t="str">
        <f>IF('Input Sheet'!C494="","",100-'Input Sheet'!C494)</f>
        <v/>
      </c>
      <c r="G4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7" s="36" t="str">
        <f t="shared" si="7"/>
        <v/>
      </c>
      <c r="I4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7" s="36" t="str">
        <f>IF('Input Sheet'!F494=0, "NO",CONCATENATE('Input Sheet'!F494, IF('Input Sheet'!F494&gt;0,"% ","")))</f>
        <v>NO</v>
      </c>
      <c r="K4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7" s="36" t="str">
        <f>CONCATENATE(K477, IF('Input Sheet'!I494="",""," siderite in "))</f>
        <v/>
      </c>
      <c r="M4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7" s="36" t="str">
        <f>CONCATENATE(M477, IF('Input Sheet'!J494="",""," siderite in "))</f>
        <v/>
      </c>
    </row>
    <row r="478" spans="1:14" x14ac:dyDescent="0.25">
      <c r="A478" s="51" t="str">
        <f>IF('Input Sheet'!C495="","",CONCATENATE("Sample ", 'Input Sheet'!B495, "m: ", L478, F478, "% ", "Siltstone, ", N478, 'Input Sheet'!C495, "% ", H478, " Sandstone, ", J478, I478, " FLUOR in SST. ", "TG ", 'Input Sheet'!H495, "U"))</f>
        <v/>
      </c>
      <c r="F478" s="36" t="str">
        <f>IF('Input Sheet'!C495="","",100-'Input Sheet'!C495)</f>
        <v/>
      </c>
      <c r="G4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8" s="36" t="str">
        <f t="shared" si="7"/>
        <v/>
      </c>
      <c r="I4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8" s="36" t="str">
        <f>IF('Input Sheet'!F495=0, "NO",CONCATENATE('Input Sheet'!F495, IF('Input Sheet'!F495&gt;0,"% ","")))</f>
        <v>NO</v>
      </c>
      <c r="K4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8" s="36" t="str">
        <f>CONCATENATE(K478, IF('Input Sheet'!I495="",""," siderite in "))</f>
        <v/>
      </c>
      <c r="M4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8" s="36" t="str">
        <f>CONCATENATE(M478, IF('Input Sheet'!J495="",""," siderite in "))</f>
        <v/>
      </c>
    </row>
    <row r="479" spans="1:14" x14ac:dyDescent="0.25">
      <c r="A479" s="51" t="str">
        <f>IF('Input Sheet'!C496="","",CONCATENATE("Sample ", 'Input Sheet'!B496, "m: ", L479, F479, "% ", "Siltstone, ", N479, 'Input Sheet'!C496, "% ", H479, " Sandstone, ", J479, I479, " FLUOR in SST. ", "TG ", 'Input Sheet'!H496, "U"))</f>
        <v/>
      </c>
      <c r="F479" s="36" t="str">
        <f>IF('Input Sheet'!C496="","",100-'Input Sheet'!C496)</f>
        <v/>
      </c>
      <c r="G4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79" s="36" t="str">
        <f t="shared" si="7"/>
        <v/>
      </c>
      <c r="I4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79" s="36" t="str">
        <f>IF('Input Sheet'!F496=0, "NO",CONCATENATE('Input Sheet'!F496, IF('Input Sheet'!F496&gt;0,"% ","")))</f>
        <v>NO</v>
      </c>
      <c r="K4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79" s="36" t="str">
        <f>CONCATENATE(K479, IF('Input Sheet'!I496="",""," siderite in "))</f>
        <v/>
      </c>
      <c r="M4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79" s="36" t="str">
        <f>CONCATENATE(M479, IF('Input Sheet'!J496="",""," siderite in "))</f>
        <v/>
      </c>
    </row>
    <row r="480" spans="1:14" x14ac:dyDescent="0.25">
      <c r="A480" s="51" t="str">
        <f>IF('Input Sheet'!C497="","",CONCATENATE("Sample ", 'Input Sheet'!B497, "m: ", L480, F480, "% ", "Siltstone, ", N480, 'Input Sheet'!C497, "% ", H480, " Sandstone, ", J480, I480, " FLUOR in SST. ", "TG ", 'Input Sheet'!H497, "U"))</f>
        <v/>
      </c>
      <c r="F480" s="36" t="str">
        <f>IF('Input Sheet'!C497="","",100-'Input Sheet'!C497)</f>
        <v/>
      </c>
      <c r="G4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0" s="36" t="str">
        <f t="shared" si="7"/>
        <v/>
      </c>
      <c r="I4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0" s="36" t="str">
        <f>IF('Input Sheet'!F497=0, "NO",CONCATENATE('Input Sheet'!F497, IF('Input Sheet'!F497&gt;0,"% ","")))</f>
        <v>NO</v>
      </c>
      <c r="K4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0" s="36" t="str">
        <f>CONCATENATE(K480, IF('Input Sheet'!I497="",""," siderite in "))</f>
        <v/>
      </c>
      <c r="M4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0" s="36" t="str">
        <f>CONCATENATE(M480, IF('Input Sheet'!J497="",""," siderite in "))</f>
        <v/>
      </c>
    </row>
    <row r="481" spans="1:14" x14ac:dyDescent="0.25">
      <c r="A481" s="51" t="str">
        <f>IF('Input Sheet'!C498="","",CONCATENATE("Sample ", 'Input Sheet'!B498, "m: ", L481, F481, "% ", "Siltstone, ", N481, 'Input Sheet'!C498, "% ", H481, " Sandstone, ", J481, I481, " FLUOR in SST. ", "TG ", 'Input Sheet'!H498, "U"))</f>
        <v/>
      </c>
      <c r="F481" s="36" t="str">
        <f>IF('Input Sheet'!C498="","",100-'Input Sheet'!C498)</f>
        <v/>
      </c>
      <c r="G4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1" s="36" t="str">
        <f t="shared" si="7"/>
        <v/>
      </c>
      <c r="I4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1" s="36" t="str">
        <f>IF('Input Sheet'!F498=0, "NO",CONCATENATE('Input Sheet'!F498, IF('Input Sheet'!F498&gt;0,"% ","")))</f>
        <v>NO</v>
      </c>
      <c r="K4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1" s="36" t="str">
        <f>CONCATENATE(K481, IF('Input Sheet'!I498="",""," siderite in "))</f>
        <v/>
      </c>
      <c r="M4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1" s="36" t="str">
        <f>CONCATENATE(M481, IF('Input Sheet'!J498="",""," siderite in "))</f>
        <v/>
      </c>
    </row>
    <row r="482" spans="1:14" x14ac:dyDescent="0.25">
      <c r="A482" s="51" t="str">
        <f>IF('Input Sheet'!C499="","",CONCATENATE("Sample ", 'Input Sheet'!B499, "m: ", L482, F482, "% ", "Siltstone, ", N482, 'Input Sheet'!C499, "% ", H482, " Sandstone, ", J482, I482, " FLUOR in SST. ", "TG ", 'Input Sheet'!H499, "U"))</f>
        <v/>
      </c>
      <c r="F482" s="36" t="str">
        <f>IF('Input Sheet'!C499="","",100-'Input Sheet'!C499)</f>
        <v/>
      </c>
      <c r="G4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499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2" s="36" t="str">
        <f t="shared" si="7"/>
        <v/>
      </c>
      <c r="I4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499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2" s="36" t="str">
        <f>IF('Input Sheet'!F499=0, "NO",CONCATENATE('Input Sheet'!F499, IF('Input Sheet'!F499&gt;0,"% ","")))</f>
        <v>NO</v>
      </c>
      <c r="K4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499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2" s="36" t="str">
        <f>CONCATENATE(K482, IF('Input Sheet'!I499="",""," siderite in "))</f>
        <v/>
      </c>
      <c r="M4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499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2" s="36" t="str">
        <f>CONCATENATE(M482, IF('Input Sheet'!J499="",""," siderite in "))</f>
        <v/>
      </c>
    </row>
    <row r="483" spans="1:14" x14ac:dyDescent="0.25">
      <c r="A483" s="51" t="str">
        <f>IF('Input Sheet'!C500="","",CONCATENATE("Sample ", 'Input Sheet'!B500, "m: ", L483, F483, "% ", "Siltstone, ", N483, 'Input Sheet'!C500, "% ", H483, " Sandstone, ", J483, I483, " FLUOR in SST. ", "TG ", 'Input Sheet'!H500, "U"))</f>
        <v/>
      </c>
      <c r="F483" s="36" t="str">
        <f>IF('Input Sheet'!C500="","",100-'Input Sheet'!C500)</f>
        <v/>
      </c>
      <c r="G4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3" s="36" t="str">
        <f t="shared" si="7"/>
        <v/>
      </c>
      <c r="I4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3" s="36" t="str">
        <f>IF('Input Sheet'!F500=0, "NO",CONCATENATE('Input Sheet'!F500, IF('Input Sheet'!F500&gt;0,"% ","")))</f>
        <v>NO</v>
      </c>
      <c r="K4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3" s="36" t="str">
        <f>CONCATENATE(K483, IF('Input Sheet'!I500="",""," siderite in "))</f>
        <v/>
      </c>
      <c r="M4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3" s="36" t="str">
        <f>CONCATENATE(M483, IF('Input Sheet'!J500="",""," siderite in "))</f>
        <v/>
      </c>
    </row>
    <row r="484" spans="1:14" x14ac:dyDescent="0.25">
      <c r="A484" s="51" t="str">
        <f>IF('Input Sheet'!C501="","",CONCATENATE("Sample ", 'Input Sheet'!B501, "m: ", L484, F484, "% ", "Siltstone, ", N484, 'Input Sheet'!C501, "% ", H484, " Sandstone, ", J484, I484, " FLUOR in SST. ", "TG ", 'Input Sheet'!H501, "U"))</f>
        <v/>
      </c>
      <c r="F484" s="36" t="str">
        <f>IF('Input Sheet'!C501="","",100-'Input Sheet'!C501)</f>
        <v/>
      </c>
      <c r="G4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4" s="36" t="str">
        <f t="shared" si="7"/>
        <v/>
      </c>
      <c r="I4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4" s="36" t="str">
        <f>IF('Input Sheet'!F501=0, "NO",CONCATENATE('Input Sheet'!F501, IF('Input Sheet'!F501&gt;0,"% ","")))</f>
        <v>NO</v>
      </c>
      <c r="K4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4" s="36" t="str">
        <f>CONCATENATE(K484, IF('Input Sheet'!I501="",""," siderite in "))</f>
        <v/>
      </c>
      <c r="M4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4" s="36" t="str">
        <f>CONCATENATE(M484, IF('Input Sheet'!J501="",""," siderite in "))</f>
        <v/>
      </c>
    </row>
    <row r="485" spans="1:14" x14ac:dyDescent="0.25">
      <c r="A485" s="51" t="str">
        <f>IF('Input Sheet'!C502="","",CONCATENATE("Sample ", 'Input Sheet'!B502, "m: ", L485, F485, "% ", "Siltstone, ", N485, 'Input Sheet'!C502, "% ", H485, " Sandstone, ", J485, I485, " FLUOR in SST. ", "TG ", 'Input Sheet'!H502, "U"))</f>
        <v/>
      </c>
      <c r="F485" s="36" t="str">
        <f>IF('Input Sheet'!C502="","",100-'Input Sheet'!C502)</f>
        <v/>
      </c>
      <c r="G4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5" s="36" t="str">
        <f t="shared" si="7"/>
        <v/>
      </c>
      <c r="I4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5" s="36" t="str">
        <f>IF('Input Sheet'!F502=0, "NO",CONCATENATE('Input Sheet'!F502, IF('Input Sheet'!F502&gt;0,"% ","")))</f>
        <v>NO</v>
      </c>
      <c r="K4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5" s="36" t="str">
        <f>CONCATENATE(K485, IF('Input Sheet'!I502="",""," siderite in "))</f>
        <v/>
      </c>
      <c r="M4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5" s="36" t="str">
        <f>CONCATENATE(M485, IF('Input Sheet'!J502="",""," siderite in "))</f>
        <v/>
      </c>
    </row>
    <row r="486" spans="1:14" x14ac:dyDescent="0.25">
      <c r="A486" s="51" t="str">
        <f>IF('Input Sheet'!C503="","",CONCATENATE("Sample ", 'Input Sheet'!B503, "m: ", L486, F486, "% ", "Siltstone, ", N486, 'Input Sheet'!C503, "% ", H486, " Sandstone, ", J486, I486, " FLUOR in SST. ", "TG ", 'Input Sheet'!H503, "U"))</f>
        <v/>
      </c>
      <c r="F486" s="36" t="str">
        <f>IF('Input Sheet'!C503="","",100-'Input Sheet'!C503)</f>
        <v/>
      </c>
      <c r="G4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6" s="36" t="str">
        <f t="shared" si="7"/>
        <v/>
      </c>
      <c r="I4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6" s="36" t="str">
        <f>IF('Input Sheet'!F503=0, "NO",CONCATENATE('Input Sheet'!F503, IF('Input Sheet'!F503&gt;0,"% ","")))</f>
        <v>NO</v>
      </c>
      <c r="K4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6" s="36" t="str">
        <f>CONCATENATE(K486, IF('Input Sheet'!I503="",""," siderite in "))</f>
        <v/>
      </c>
      <c r="M4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6" s="36" t="str">
        <f>CONCATENATE(M486, IF('Input Sheet'!J503="",""," siderite in "))</f>
        <v/>
      </c>
    </row>
    <row r="487" spans="1:14" x14ac:dyDescent="0.25">
      <c r="A487" s="51" t="str">
        <f>IF('Input Sheet'!C504="","",CONCATENATE("Sample ", 'Input Sheet'!B504, "m: ", L487, F487, "% ", "Siltstone, ", N487, 'Input Sheet'!C504, "% ", H487, " Sandstone, ", J487, I487, " FLUOR in SST. ", "TG ", 'Input Sheet'!H504, "U"))</f>
        <v/>
      </c>
      <c r="F487" s="36" t="str">
        <f>IF('Input Sheet'!C504="","",100-'Input Sheet'!C504)</f>
        <v/>
      </c>
      <c r="G4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7" s="36" t="str">
        <f t="shared" si="7"/>
        <v/>
      </c>
      <c r="I4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7" s="36" t="str">
        <f>IF('Input Sheet'!F504=0, "NO",CONCATENATE('Input Sheet'!F504, IF('Input Sheet'!F504&gt;0,"% ","")))</f>
        <v>NO</v>
      </c>
      <c r="K4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7" s="36" t="str">
        <f>CONCATENATE(K487, IF('Input Sheet'!I504="",""," siderite in "))</f>
        <v/>
      </c>
      <c r="M4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7" s="36" t="str">
        <f>CONCATENATE(M487, IF('Input Sheet'!J504="",""," siderite in "))</f>
        <v/>
      </c>
    </row>
    <row r="488" spans="1:14" x14ac:dyDescent="0.25">
      <c r="A488" s="51" t="str">
        <f>IF('Input Sheet'!C505="","",CONCATENATE("Sample ", 'Input Sheet'!B505, "m: ", L488, F488, "% ", "Siltstone, ", N488, 'Input Sheet'!C505, "% ", H488, " Sandstone, ", J488, I488, " FLUOR in SST. ", "TG ", 'Input Sheet'!H505, "U"))</f>
        <v/>
      </c>
      <c r="F488" s="36" t="str">
        <f>IF('Input Sheet'!C505="","",100-'Input Sheet'!C505)</f>
        <v/>
      </c>
      <c r="G4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8" s="36" t="str">
        <f t="shared" si="7"/>
        <v/>
      </c>
      <c r="I4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8" s="36" t="str">
        <f>IF('Input Sheet'!F505=0, "NO",CONCATENATE('Input Sheet'!F505, IF('Input Sheet'!F505&gt;0,"% ","")))</f>
        <v>NO</v>
      </c>
      <c r="K4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8" s="36" t="str">
        <f>CONCATENATE(K488, IF('Input Sheet'!I505="",""," siderite in "))</f>
        <v/>
      </c>
      <c r="M4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8" s="36" t="str">
        <f>CONCATENATE(M488, IF('Input Sheet'!J505="",""," siderite in "))</f>
        <v/>
      </c>
    </row>
    <row r="489" spans="1:14" x14ac:dyDescent="0.25">
      <c r="A489" s="51" t="str">
        <f>IF('Input Sheet'!C506="","",CONCATENATE("Sample ", 'Input Sheet'!B506, "m: ", L489, F489, "% ", "Siltstone, ", N489, 'Input Sheet'!C506, "% ", H489, " Sandstone, ", J489, I489, " FLUOR in SST. ", "TG ", 'Input Sheet'!H506, "U"))</f>
        <v/>
      </c>
      <c r="F489" s="36" t="str">
        <f>IF('Input Sheet'!C506="","",100-'Input Sheet'!C506)</f>
        <v/>
      </c>
      <c r="G4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89" s="36" t="str">
        <f t="shared" si="7"/>
        <v/>
      </c>
      <c r="I4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89" s="36" t="str">
        <f>IF('Input Sheet'!F506=0, "NO",CONCATENATE('Input Sheet'!F506, IF('Input Sheet'!F506&gt;0,"% ","")))</f>
        <v>NO</v>
      </c>
      <c r="K4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89" s="36" t="str">
        <f>CONCATENATE(K489, IF('Input Sheet'!I506="",""," siderite in "))</f>
        <v/>
      </c>
      <c r="M4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89" s="36" t="str">
        <f>CONCATENATE(M489, IF('Input Sheet'!J506="",""," siderite in "))</f>
        <v/>
      </c>
    </row>
    <row r="490" spans="1:14" x14ac:dyDescent="0.25">
      <c r="A490" s="51" t="str">
        <f>IF('Input Sheet'!C507="","",CONCATENATE("Sample ", 'Input Sheet'!B507, "m: ", L490, F490, "% ", "Siltstone, ", N490, 'Input Sheet'!C507, "% ", H490, " Sandstone, ", J490, I490, " FLUOR in SST. ", "TG ", 'Input Sheet'!H507, "U"))</f>
        <v/>
      </c>
      <c r="F490" s="36" t="str">
        <f>IF('Input Sheet'!C507="","",100-'Input Sheet'!C507)</f>
        <v/>
      </c>
      <c r="G4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0" s="36" t="str">
        <f t="shared" si="7"/>
        <v/>
      </c>
      <c r="I4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0" s="36" t="str">
        <f>IF('Input Sheet'!F507=0, "NO",CONCATENATE('Input Sheet'!F507, IF('Input Sheet'!F507&gt;0,"% ","")))</f>
        <v>NO</v>
      </c>
      <c r="K4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0" s="36" t="str">
        <f>CONCATENATE(K490, IF('Input Sheet'!I507="",""," siderite in "))</f>
        <v/>
      </c>
      <c r="M4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0" s="36" t="str">
        <f>CONCATENATE(M490, IF('Input Sheet'!J507="",""," siderite in "))</f>
        <v/>
      </c>
    </row>
    <row r="491" spans="1:14" x14ac:dyDescent="0.25">
      <c r="A491" s="51" t="str">
        <f>IF('Input Sheet'!C508="","",CONCATENATE("Sample ", 'Input Sheet'!B508, "m: ", L491, F491, "% ", "Siltstone, ", N491, 'Input Sheet'!C508, "% ", H491, " Sandstone, ", J491, I491, " FLUOR in SST. ", "TG ", 'Input Sheet'!H508, "U"))</f>
        <v/>
      </c>
      <c r="F491" s="36" t="str">
        <f>IF('Input Sheet'!C508="","",100-'Input Sheet'!C508)</f>
        <v/>
      </c>
      <c r="G4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1" s="36" t="str">
        <f t="shared" si="7"/>
        <v/>
      </c>
      <c r="I4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1" s="36" t="str">
        <f>IF('Input Sheet'!F508=0, "NO",CONCATENATE('Input Sheet'!F508, IF('Input Sheet'!F508&gt;0,"% ","")))</f>
        <v>NO</v>
      </c>
      <c r="K4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1" s="36" t="str">
        <f>CONCATENATE(K491, IF('Input Sheet'!I508="",""," siderite in "))</f>
        <v/>
      </c>
      <c r="M4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1" s="36" t="str">
        <f>CONCATENATE(M491, IF('Input Sheet'!J508="",""," siderite in "))</f>
        <v/>
      </c>
    </row>
    <row r="492" spans="1:14" x14ac:dyDescent="0.25">
      <c r="A492" s="51" t="str">
        <f>IF('Input Sheet'!C509="","",CONCATENATE("Sample ", 'Input Sheet'!B509, "m: ", L492, F492, "% ", "Siltstone, ", N492, 'Input Sheet'!C509, "% ", H492, " Sandstone, ", J492, I492, " FLUOR in SST. ", "TG ", 'Input Sheet'!H509, "U"))</f>
        <v/>
      </c>
      <c r="F492" s="36" t="str">
        <f>IF('Input Sheet'!C509="","",100-'Input Sheet'!C509)</f>
        <v/>
      </c>
      <c r="G4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2" s="36" t="str">
        <f t="shared" si="7"/>
        <v/>
      </c>
      <c r="I4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2" s="36" t="str">
        <f>IF('Input Sheet'!F509=0, "NO",CONCATENATE('Input Sheet'!F509, IF('Input Sheet'!F509&gt;0,"% ","")))</f>
        <v>NO</v>
      </c>
      <c r="K4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2" s="36" t="str">
        <f>CONCATENATE(K492, IF('Input Sheet'!I509="",""," siderite in "))</f>
        <v/>
      </c>
      <c r="M4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2" s="36" t="str">
        <f>CONCATENATE(M492, IF('Input Sheet'!J509="",""," siderite in "))</f>
        <v/>
      </c>
    </row>
    <row r="493" spans="1:14" x14ac:dyDescent="0.25">
      <c r="A493" s="51" t="str">
        <f>IF('Input Sheet'!C510="","",CONCATENATE("Sample ", 'Input Sheet'!B510, "m: ", L493, F493, "% ", "Siltstone, ", N493, 'Input Sheet'!C510, "% ", H493, " Sandstone, ", J493, I493, " FLUOR in SST. ", "TG ", 'Input Sheet'!H510, "U"))</f>
        <v/>
      </c>
      <c r="F493" s="36" t="str">
        <f>IF('Input Sheet'!C510="","",100-'Input Sheet'!C510)</f>
        <v/>
      </c>
      <c r="G4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3" s="36" t="str">
        <f t="shared" si="7"/>
        <v/>
      </c>
      <c r="I4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3" s="36" t="str">
        <f>IF('Input Sheet'!F510=0, "NO",CONCATENATE('Input Sheet'!F510, IF('Input Sheet'!F510&gt;0,"% ","")))</f>
        <v>NO</v>
      </c>
      <c r="K4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3" s="36" t="str">
        <f>CONCATENATE(K493, IF('Input Sheet'!I510="",""," siderite in "))</f>
        <v/>
      </c>
      <c r="M4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3" s="36" t="str">
        <f>CONCATENATE(M493, IF('Input Sheet'!J510="",""," siderite in "))</f>
        <v/>
      </c>
    </row>
    <row r="494" spans="1:14" x14ac:dyDescent="0.25">
      <c r="A494" s="51" t="str">
        <f>IF('Input Sheet'!C511="","",CONCATENATE("Sample ", 'Input Sheet'!B511, "m: ", L494, F494, "% ", "Siltstone, ", N494, 'Input Sheet'!C511, "% ", H494, " Sandstone, ", J494, I494, " FLUOR in SST. ", "TG ", 'Input Sheet'!H511, "U"))</f>
        <v/>
      </c>
      <c r="F494" s="36" t="str">
        <f>IF('Input Sheet'!C511="","",100-'Input Sheet'!C511)</f>
        <v/>
      </c>
      <c r="G4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4" s="36" t="str">
        <f t="shared" si="7"/>
        <v/>
      </c>
      <c r="I4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4" s="36" t="str">
        <f>IF('Input Sheet'!F511=0, "NO",CONCATENATE('Input Sheet'!F511, IF('Input Sheet'!F511&gt;0,"% ","")))</f>
        <v>NO</v>
      </c>
      <c r="K4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4" s="36" t="str">
        <f>CONCATENATE(K494, IF('Input Sheet'!I511="",""," siderite in "))</f>
        <v/>
      </c>
      <c r="M4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4" s="36" t="str">
        <f>CONCATENATE(M494, IF('Input Sheet'!J511="",""," siderite in "))</f>
        <v/>
      </c>
    </row>
    <row r="495" spans="1:14" x14ac:dyDescent="0.25">
      <c r="A495" s="51" t="str">
        <f>IF('Input Sheet'!C512="","",CONCATENATE("Sample ", 'Input Sheet'!B512, "m: ", L495, F495, "% ", "Siltstone, ", N495, 'Input Sheet'!C512, "% ", H495, " Sandstone, ", J495, I495, " FLUOR in SST. ", "TG ", 'Input Sheet'!H512, "U"))</f>
        <v/>
      </c>
      <c r="F495" s="36" t="str">
        <f>IF('Input Sheet'!C512="","",100-'Input Sheet'!C512)</f>
        <v/>
      </c>
      <c r="G4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5" s="36" t="str">
        <f t="shared" si="7"/>
        <v/>
      </c>
      <c r="I4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5" s="36" t="str">
        <f>IF('Input Sheet'!F512=0, "NO",CONCATENATE('Input Sheet'!F512, IF('Input Sheet'!F512&gt;0,"% ","")))</f>
        <v>NO</v>
      </c>
      <c r="K4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5" s="36" t="str">
        <f>CONCATENATE(K495, IF('Input Sheet'!I512="",""," siderite in "))</f>
        <v/>
      </c>
      <c r="M4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5" s="36" t="str">
        <f>CONCATENATE(M495, IF('Input Sheet'!J512="",""," siderite in "))</f>
        <v/>
      </c>
    </row>
    <row r="496" spans="1:14" x14ac:dyDescent="0.25">
      <c r="A496" s="51" t="str">
        <f>IF('Input Sheet'!C513="","",CONCATENATE("Sample ", 'Input Sheet'!B513, "m: ", L496, F496, "% ", "Siltstone, ", N496, 'Input Sheet'!C513, "% ", H496, " Sandstone, ", J496, I496, " FLUOR in SST. ", "TG ", 'Input Sheet'!H513, "U"))</f>
        <v/>
      </c>
      <c r="F496" s="36" t="str">
        <f>IF('Input Sheet'!C513="","",100-'Input Sheet'!C513)</f>
        <v/>
      </c>
      <c r="G4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6" s="36" t="str">
        <f t="shared" si="7"/>
        <v/>
      </c>
      <c r="I4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6" s="36" t="str">
        <f>IF('Input Sheet'!F513=0, "NO",CONCATENATE('Input Sheet'!F513, IF('Input Sheet'!F513&gt;0,"% ","")))</f>
        <v>NO</v>
      </c>
      <c r="K4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6" s="36" t="str">
        <f>CONCATENATE(K496, IF('Input Sheet'!I513="",""," siderite in "))</f>
        <v/>
      </c>
      <c r="M4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6" s="36" t="str">
        <f>CONCATENATE(M496, IF('Input Sheet'!J513="",""," siderite in "))</f>
        <v/>
      </c>
    </row>
    <row r="497" spans="1:14" x14ac:dyDescent="0.25">
      <c r="A497" s="51" t="str">
        <f>IF('Input Sheet'!C514="","",CONCATENATE("Sample ", 'Input Sheet'!B514, "m: ", L497, F497, "% ", "Siltstone, ", N497, 'Input Sheet'!C514, "% ", H497, " Sandstone, ", J497, I497, " FLUOR in SST. ", "TG ", 'Input Sheet'!H514, "U"))</f>
        <v/>
      </c>
      <c r="F497" s="36" t="str">
        <f>IF('Input Sheet'!C514="","",100-'Input Sheet'!C514)</f>
        <v/>
      </c>
      <c r="G4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7" s="36" t="str">
        <f t="shared" si="7"/>
        <v/>
      </c>
      <c r="I4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7" s="36" t="str">
        <f>IF('Input Sheet'!F514=0, "NO",CONCATENATE('Input Sheet'!F514, IF('Input Sheet'!F514&gt;0,"% ","")))</f>
        <v>NO</v>
      </c>
      <c r="K4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7" s="36" t="str">
        <f>CONCATENATE(K497, IF('Input Sheet'!I514="",""," siderite in "))</f>
        <v/>
      </c>
      <c r="M4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7" s="36" t="str">
        <f>CONCATENATE(M497, IF('Input Sheet'!J514="",""," siderite in "))</f>
        <v/>
      </c>
    </row>
    <row r="498" spans="1:14" x14ac:dyDescent="0.25">
      <c r="A498" s="51" t="str">
        <f>IF('Input Sheet'!C515="","",CONCATENATE("Sample ", 'Input Sheet'!B515, "m: ", L498, F498, "% ", "Siltstone, ", N498, 'Input Sheet'!C515, "% ", H498, " Sandstone, ", J498, I498, " FLUOR in SST. ", "TG ", 'Input Sheet'!H515, "U"))</f>
        <v/>
      </c>
      <c r="F498" s="36" t="str">
        <f>IF('Input Sheet'!C515="","",100-'Input Sheet'!C515)</f>
        <v/>
      </c>
      <c r="G4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8" s="36" t="str">
        <f t="shared" si="7"/>
        <v/>
      </c>
      <c r="I4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8" s="36" t="str">
        <f>IF('Input Sheet'!F515=0, "NO",CONCATENATE('Input Sheet'!F515, IF('Input Sheet'!F515&gt;0,"% ","")))</f>
        <v>NO</v>
      </c>
      <c r="K4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8" s="36" t="str">
        <f>CONCATENATE(K498, IF('Input Sheet'!I515="",""," siderite in "))</f>
        <v/>
      </c>
      <c r="M4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8" s="36" t="str">
        <f>CONCATENATE(M498, IF('Input Sheet'!J515="",""," siderite in "))</f>
        <v/>
      </c>
    </row>
    <row r="499" spans="1:14" x14ac:dyDescent="0.25">
      <c r="A499" s="51" t="str">
        <f>IF('Input Sheet'!C516="","",CONCATENATE("Sample ", 'Input Sheet'!B516, "m: ", L499, F499, "% ", "Siltstone, ", N499, 'Input Sheet'!C516, "% ", H499, " Sandstone, ", J499, I499, " FLUOR in SST. ", "TG ", 'Input Sheet'!H516, "U"))</f>
        <v/>
      </c>
      <c r="F499" s="36" t="str">
        <f>IF('Input Sheet'!C516="","",100-'Input Sheet'!C516)</f>
        <v/>
      </c>
      <c r="G4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499" s="36" t="str">
        <f t="shared" si="7"/>
        <v/>
      </c>
      <c r="I4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499" s="36" t="str">
        <f>IF('Input Sheet'!F516=0, "NO",CONCATENATE('Input Sheet'!F516, IF('Input Sheet'!F516&gt;0,"% ","")))</f>
        <v>NO</v>
      </c>
      <c r="K4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499" s="36" t="str">
        <f>CONCATENATE(K499, IF('Input Sheet'!I516="",""," siderite in "))</f>
        <v/>
      </c>
      <c r="M4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499" s="36" t="str">
        <f>CONCATENATE(M499, IF('Input Sheet'!J516="",""," siderite in "))</f>
        <v/>
      </c>
    </row>
    <row r="500" spans="1:14" x14ac:dyDescent="0.25">
      <c r="A500" s="51" t="str">
        <f>IF('Input Sheet'!C517="","",CONCATENATE("Sample ", 'Input Sheet'!B517, "m: ", L500, F500, "% ", "Siltstone, ", N500, 'Input Sheet'!C517, "% ", H500, " Sandstone, ", J500, I500, " FLUOR in SST. ", "TG ", 'Input Sheet'!H517, "U"))</f>
        <v/>
      </c>
      <c r="F500" s="36" t="str">
        <f>IF('Input Sheet'!C517="","",100-'Input Sheet'!C517)</f>
        <v/>
      </c>
      <c r="G5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0" s="36" t="str">
        <f t="shared" si="7"/>
        <v/>
      </c>
      <c r="I5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0" s="36" t="str">
        <f>IF('Input Sheet'!F517=0, "NO",CONCATENATE('Input Sheet'!F517, IF('Input Sheet'!F517&gt;0,"% ","")))</f>
        <v>NO</v>
      </c>
      <c r="K5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0" s="36" t="str">
        <f>CONCATENATE(K500, IF('Input Sheet'!I517="",""," siderite in "))</f>
        <v/>
      </c>
      <c r="M5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0" s="36" t="str">
        <f>CONCATENATE(M500, IF('Input Sheet'!J517="",""," siderite in "))</f>
        <v/>
      </c>
    </row>
    <row r="501" spans="1:14" x14ac:dyDescent="0.25">
      <c r="A501" s="51" t="str">
        <f>IF('Input Sheet'!C518="","",CONCATENATE("Sample ", 'Input Sheet'!B518, "m: ", L501, F501, "% ", "Siltstone, ", N501, 'Input Sheet'!C518, "% ", H501, " Sandstone, ", J501, I501, " FLUOR in SST. ", "TG ", 'Input Sheet'!H518, "U"))</f>
        <v/>
      </c>
      <c r="F501" s="36" t="str">
        <f>IF('Input Sheet'!C518="","",100-'Input Sheet'!C518)</f>
        <v/>
      </c>
      <c r="G5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1" s="36" t="str">
        <f t="shared" si="7"/>
        <v/>
      </c>
      <c r="I5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1" s="36" t="str">
        <f>IF('Input Sheet'!F518=0, "NO",CONCATENATE('Input Sheet'!F518, IF('Input Sheet'!F518&gt;0,"% ","")))</f>
        <v>NO</v>
      </c>
      <c r="K5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1" s="36" t="str">
        <f>CONCATENATE(K501, IF('Input Sheet'!I518="",""," siderite in "))</f>
        <v/>
      </c>
      <c r="M5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1" s="36" t="str">
        <f>CONCATENATE(M501, IF('Input Sheet'!J518="",""," siderite in "))</f>
        <v/>
      </c>
    </row>
    <row r="502" spans="1:14" x14ac:dyDescent="0.25">
      <c r="A502" s="51" t="str">
        <f>IF('Input Sheet'!C519="","",CONCATENATE("Sample ", 'Input Sheet'!B519, "m: ", L502, F502, "% ", "Siltstone, ", N502, 'Input Sheet'!C519, "% ", H502, " Sandstone, ", J502, I502, " FLUOR in SST. ", "TG ", 'Input Sheet'!H519, "U"))</f>
        <v/>
      </c>
      <c r="F502" s="36" t="str">
        <f>IF('Input Sheet'!C519="","",100-'Input Sheet'!C519)</f>
        <v/>
      </c>
      <c r="G5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2" s="36" t="str">
        <f t="shared" si="7"/>
        <v/>
      </c>
      <c r="I5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2" s="36" t="str">
        <f>IF('Input Sheet'!F519=0, "NO",CONCATENATE('Input Sheet'!F519, IF('Input Sheet'!F519&gt;0,"% ","")))</f>
        <v>NO</v>
      </c>
      <c r="K5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2" s="36" t="str">
        <f>CONCATENATE(K502, IF('Input Sheet'!I519="",""," siderite in "))</f>
        <v/>
      </c>
      <c r="M5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2" s="36" t="str">
        <f>CONCATENATE(M502, IF('Input Sheet'!J519="",""," siderite in "))</f>
        <v/>
      </c>
    </row>
    <row r="503" spans="1:14" x14ac:dyDescent="0.25">
      <c r="A503" s="51" t="str">
        <f>IF('Input Sheet'!C520="","",CONCATENATE("Sample ", 'Input Sheet'!B520, "m: ", L503, F503, "% ", "Siltstone, ", N503, 'Input Sheet'!C520, "% ", H503, " Sandstone, ", J503, I503, " FLUOR in SST. ", "TG ", 'Input Sheet'!H520, "U"))</f>
        <v/>
      </c>
      <c r="F503" s="36" t="str">
        <f>IF('Input Sheet'!C520="","",100-'Input Sheet'!C520)</f>
        <v/>
      </c>
      <c r="G5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3" s="36" t="str">
        <f t="shared" si="7"/>
        <v/>
      </c>
      <c r="I5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3" s="36" t="str">
        <f>IF('Input Sheet'!F520=0, "NO",CONCATENATE('Input Sheet'!F520, IF('Input Sheet'!F520&gt;0,"% ","")))</f>
        <v>NO</v>
      </c>
      <c r="K5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3" s="36" t="str">
        <f>CONCATENATE(K503, IF('Input Sheet'!I520="",""," siderite in "))</f>
        <v/>
      </c>
      <c r="M5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3" s="36" t="str">
        <f>CONCATENATE(M503, IF('Input Sheet'!J520="",""," siderite in "))</f>
        <v/>
      </c>
    </row>
    <row r="504" spans="1:14" x14ac:dyDescent="0.25">
      <c r="A504" s="51" t="str">
        <f>IF('Input Sheet'!C521="","",CONCATENATE("Sample ", 'Input Sheet'!B521, "m: ", L504, F504, "% ", "Siltstone, ", N504, 'Input Sheet'!C521, "% ", H504, " Sandstone, ", J504, I504, " FLUOR in SST. ", "TG ", 'Input Sheet'!H521, "U"))</f>
        <v/>
      </c>
      <c r="F504" s="36" t="str">
        <f>IF('Input Sheet'!C521="","",100-'Input Sheet'!C521)</f>
        <v/>
      </c>
      <c r="G5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4" s="36" t="str">
        <f t="shared" si="7"/>
        <v/>
      </c>
      <c r="I5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4" s="36" t="str">
        <f>IF('Input Sheet'!F521=0, "NO",CONCATENATE('Input Sheet'!F521, IF('Input Sheet'!F521&gt;0,"% ","")))</f>
        <v>NO</v>
      </c>
      <c r="K5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4" s="36" t="str">
        <f>CONCATENATE(K504, IF('Input Sheet'!I521="",""," siderite in "))</f>
        <v/>
      </c>
      <c r="M5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4" s="36" t="str">
        <f>CONCATENATE(M504, IF('Input Sheet'!J521="",""," siderite in "))</f>
        <v/>
      </c>
    </row>
    <row r="505" spans="1:14" x14ac:dyDescent="0.25">
      <c r="A505" s="51" t="str">
        <f>IF('Input Sheet'!C522="","",CONCATENATE("Sample ", 'Input Sheet'!B522, "m: ", L505, F505, "% ", "Siltstone, ", N505, 'Input Sheet'!C522, "% ", H505, " Sandstone, ", J505, I505, " FLUOR in SST. ", "TG ", 'Input Sheet'!H522, "U"))</f>
        <v/>
      </c>
      <c r="F505" s="36" t="str">
        <f>IF('Input Sheet'!C522="","",100-'Input Sheet'!C522)</f>
        <v/>
      </c>
      <c r="G5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5" s="36" t="str">
        <f t="shared" si="7"/>
        <v/>
      </c>
      <c r="I5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5" s="36" t="str">
        <f>IF('Input Sheet'!F522=0, "NO",CONCATENATE('Input Sheet'!F522, IF('Input Sheet'!F522&gt;0,"% ","")))</f>
        <v>NO</v>
      </c>
      <c r="K5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5" s="36" t="str">
        <f>CONCATENATE(K505, IF('Input Sheet'!I522="",""," siderite in "))</f>
        <v/>
      </c>
      <c r="M5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5" s="36" t="str">
        <f>CONCATENATE(M505, IF('Input Sheet'!J522="",""," siderite in "))</f>
        <v/>
      </c>
    </row>
    <row r="506" spans="1:14" x14ac:dyDescent="0.25">
      <c r="A506" s="51" t="str">
        <f>IF('Input Sheet'!C523="","",CONCATENATE("Sample ", 'Input Sheet'!B523, "m: ", L506, F506, "% ", "Siltstone, ", N506, 'Input Sheet'!C523, "% ", H506, " Sandstone, ", J506, I506, " FLUOR in SST. ", "TG ", 'Input Sheet'!H523, "U"))</f>
        <v/>
      </c>
      <c r="F506" s="36" t="str">
        <f>IF('Input Sheet'!C523="","",100-'Input Sheet'!C523)</f>
        <v/>
      </c>
      <c r="G5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6" s="36" t="str">
        <f t="shared" si="7"/>
        <v/>
      </c>
      <c r="I5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6" s="36" t="str">
        <f>IF('Input Sheet'!F523=0, "NO",CONCATENATE('Input Sheet'!F523, IF('Input Sheet'!F523&gt;0,"% ","")))</f>
        <v>NO</v>
      </c>
      <c r="K5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6" s="36" t="str">
        <f>CONCATENATE(K506, IF('Input Sheet'!I523="",""," siderite in "))</f>
        <v/>
      </c>
      <c r="M5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6" s="36" t="str">
        <f>CONCATENATE(M506, IF('Input Sheet'!J523="",""," siderite in "))</f>
        <v/>
      </c>
    </row>
    <row r="507" spans="1:14" x14ac:dyDescent="0.25">
      <c r="A507" s="51" t="str">
        <f>IF('Input Sheet'!C524="","",CONCATENATE("Sample ", 'Input Sheet'!B524, "m: ", L507, F507, "% ", "Siltstone, ", N507, 'Input Sheet'!C524, "% ", H507, " Sandstone, ", J507, I507, " FLUOR in SST. ", "TG ", 'Input Sheet'!H524, "U"))</f>
        <v/>
      </c>
      <c r="F507" s="36" t="str">
        <f>IF('Input Sheet'!C524="","",100-'Input Sheet'!C524)</f>
        <v/>
      </c>
      <c r="G5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7" s="36" t="str">
        <f t="shared" si="7"/>
        <v/>
      </c>
      <c r="I5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7" s="36" t="str">
        <f>IF('Input Sheet'!F524=0, "NO",CONCATENATE('Input Sheet'!F524, IF('Input Sheet'!F524&gt;0,"% ","")))</f>
        <v>NO</v>
      </c>
      <c r="K5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7" s="36" t="str">
        <f>CONCATENATE(K507, IF('Input Sheet'!I524="",""," siderite in "))</f>
        <v/>
      </c>
      <c r="M5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7" s="36" t="str">
        <f>CONCATENATE(M507, IF('Input Sheet'!J524="",""," siderite in "))</f>
        <v/>
      </c>
    </row>
    <row r="508" spans="1:14" x14ac:dyDescent="0.25">
      <c r="A508" s="51" t="str">
        <f>IF('Input Sheet'!C525="","",CONCATENATE("Sample ", 'Input Sheet'!B525, "m: ", L508, F508, "% ", "Siltstone, ", N508, 'Input Sheet'!C525, "% ", H508, " Sandstone, ", J508, I508, " FLUOR in SST. ", "TG ", 'Input Sheet'!H525, "U"))</f>
        <v/>
      </c>
      <c r="F508" s="36" t="str">
        <f>IF('Input Sheet'!C525="","",100-'Input Sheet'!C525)</f>
        <v/>
      </c>
      <c r="G5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8" s="36" t="str">
        <f t="shared" si="7"/>
        <v/>
      </c>
      <c r="I5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8" s="36" t="str">
        <f>IF('Input Sheet'!F525=0, "NO",CONCATENATE('Input Sheet'!F525, IF('Input Sheet'!F525&gt;0,"% ","")))</f>
        <v>NO</v>
      </c>
      <c r="K5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8" s="36" t="str">
        <f>CONCATENATE(K508, IF('Input Sheet'!I525="",""," siderite in "))</f>
        <v/>
      </c>
      <c r="M5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8" s="36" t="str">
        <f>CONCATENATE(M508, IF('Input Sheet'!J525="",""," siderite in "))</f>
        <v/>
      </c>
    </row>
    <row r="509" spans="1:14" x14ac:dyDescent="0.25">
      <c r="A509" s="51" t="str">
        <f>IF('Input Sheet'!C526="","",CONCATENATE("Sample ", 'Input Sheet'!B526, "m: ", L509, F509, "% ", "Siltstone, ", N509, 'Input Sheet'!C526, "% ", H509, " Sandstone, ", J509, I509, " FLUOR in SST. ", "TG ", 'Input Sheet'!H526, "U"))</f>
        <v/>
      </c>
      <c r="F509" s="36" t="str">
        <f>IF('Input Sheet'!C526="","",100-'Input Sheet'!C526)</f>
        <v/>
      </c>
      <c r="G5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09" s="36" t="str">
        <f t="shared" si="7"/>
        <v/>
      </c>
      <c r="I5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09" s="36" t="str">
        <f>IF('Input Sheet'!F526=0, "NO",CONCATENATE('Input Sheet'!F526, IF('Input Sheet'!F526&gt;0,"% ","")))</f>
        <v>NO</v>
      </c>
      <c r="K5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09" s="36" t="str">
        <f>CONCATENATE(K509, IF('Input Sheet'!I526="",""," siderite in "))</f>
        <v/>
      </c>
      <c r="M5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09" s="36" t="str">
        <f>CONCATENATE(M509, IF('Input Sheet'!J526="",""," siderite in "))</f>
        <v/>
      </c>
    </row>
    <row r="510" spans="1:14" x14ac:dyDescent="0.25">
      <c r="A510" s="51" t="str">
        <f>IF('Input Sheet'!C527="","",CONCATENATE("Sample ", 'Input Sheet'!B527, "m: ", L510, F510, "% ", "Siltstone, ", N510, 'Input Sheet'!C527, "% ", H510, " Sandstone, ", J510, I510, " FLUOR in SST. ", "TG ", 'Input Sheet'!H527, "U"))</f>
        <v/>
      </c>
      <c r="F510" s="36" t="str">
        <f>IF('Input Sheet'!C527="","",100-'Input Sheet'!C527)</f>
        <v/>
      </c>
      <c r="G5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0" s="36" t="str">
        <f t="shared" si="7"/>
        <v/>
      </c>
      <c r="I5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0" s="36" t="str">
        <f>IF('Input Sheet'!F527=0, "NO",CONCATENATE('Input Sheet'!F527, IF('Input Sheet'!F527&gt;0,"% ","")))</f>
        <v>NO</v>
      </c>
      <c r="K5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0" s="36" t="str">
        <f>CONCATENATE(K510, IF('Input Sheet'!I527="",""," siderite in "))</f>
        <v/>
      </c>
      <c r="M5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0" s="36" t="str">
        <f>CONCATENATE(M510, IF('Input Sheet'!J527="",""," siderite in "))</f>
        <v/>
      </c>
    </row>
    <row r="511" spans="1:14" x14ac:dyDescent="0.25">
      <c r="A511" s="51" t="str">
        <f>IF('Input Sheet'!C528="","",CONCATENATE("Sample ", 'Input Sheet'!B528, "m: ", L511, F511, "% ", "Siltstone, ", N511, 'Input Sheet'!C528, "% ", H511, " Sandstone, ", J511, I511, " FLUOR in SST. ", "TG ", 'Input Sheet'!H528, "U"))</f>
        <v/>
      </c>
      <c r="F511" s="36" t="str">
        <f>IF('Input Sheet'!C528="","",100-'Input Sheet'!C528)</f>
        <v/>
      </c>
      <c r="G5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1" s="36" t="str">
        <f t="shared" si="7"/>
        <v/>
      </c>
      <c r="I5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1" s="36" t="str">
        <f>IF('Input Sheet'!F528=0, "NO",CONCATENATE('Input Sheet'!F528, IF('Input Sheet'!F528&gt;0,"% ","")))</f>
        <v>NO</v>
      </c>
      <c r="K5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1" s="36" t="str">
        <f>CONCATENATE(K511, IF('Input Sheet'!I528="",""," siderite in "))</f>
        <v/>
      </c>
      <c r="M5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1" s="36" t="str">
        <f>CONCATENATE(M511, IF('Input Sheet'!J528="",""," siderite in "))</f>
        <v/>
      </c>
    </row>
    <row r="512" spans="1:14" x14ac:dyDescent="0.25">
      <c r="A512" s="51" t="str">
        <f>IF('Input Sheet'!C529="","",CONCATENATE("Sample ", 'Input Sheet'!B529, "m: ", L512, F512, "% ", "Siltstone, ", N512, 'Input Sheet'!C529, "% ", H512, " Sandstone, ", J512, I512, " FLUOR in SST. ", "TG ", 'Input Sheet'!H529, "U"))</f>
        <v/>
      </c>
      <c r="F512" s="36" t="str">
        <f>IF('Input Sheet'!C529="","",100-'Input Sheet'!C529)</f>
        <v/>
      </c>
      <c r="G5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2" s="36" t="str">
        <f t="shared" si="7"/>
        <v/>
      </c>
      <c r="I5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2" s="36" t="str">
        <f>IF('Input Sheet'!F529=0, "NO",CONCATENATE('Input Sheet'!F529, IF('Input Sheet'!F529&gt;0,"% ","")))</f>
        <v>NO</v>
      </c>
      <c r="K5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2" s="36" t="str">
        <f>CONCATENATE(K512, IF('Input Sheet'!I529="",""," siderite in "))</f>
        <v/>
      </c>
      <c r="M5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2" s="36" t="str">
        <f>CONCATENATE(M512, IF('Input Sheet'!J529="",""," siderite in "))</f>
        <v/>
      </c>
    </row>
    <row r="513" spans="1:14" x14ac:dyDescent="0.25">
      <c r="A513" s="51" t="str">
        <f>IF('Input Sheet'!C530="","",CONCATENATE("Sample ", 'Input Sheet'!B530, "m: ", L513, F513, "% ", "Siltstone, ", N513, 'Input Sheet'!C530, "% ", H513, " Sandstone, ", J513, I513, " FLUOR in SST. ", "TG ", 'Input Sheet'!H530, "U"))</f>
        <v/>
      </c>
      <c r="F513" s="36" t="str">
        <f>IF('Input Sheet'!C530="","",100-'Input Sheet'!C530)</f>
        <v/>
      </c>
      <c r="G5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3" s="36" t="str">
        <f t="shared" si="7"/>
        <v/>
      </c>
      <c r="I5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3" s="36" t="str">
        <f>IF('Input Sheet'!F530=0, "NO",CONCATENATE('Input Sheet'!F530, IF('Input Sheet'!F530&gt;0,"% ","")))</f>
        <v>NO</v>
      </c>
      <c r="K5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3" s="36" t="str">
        <f>CONCATENATE(K513, IF('Input Sheet'!I530="",""," siderite in "))</f>
        <v/>
      </c>
      <c r="M5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3" s="36" t="str">
        <f>CONCATENATE(M513, IF('Input Sheet'!J530="",""," siderite in "))</f>
        <v/>
      </c>
    </row>
    <row r="514" spans="1:14" x14ac:dyDescent="0.25">
      <c r="A514" s="51" t="str">
        <f>IF('Input Sheet'!C531="","",CONCATENATE("Sample ", 'Input Sheet'!B531, "m: ", L514, F514, "% ", "Siltstone, ", N514, 'Input Sheet'!C531, "% ", H514, " Sandstone, ", J514, I514, " FLUOR in SST. ", "TG ", 'Input Sheet'!H531, "U"))</f>
        <v/>
      </c>
      <c r="F514" s="36" t="str">
        <f>IF('Input Sheet'!C531="","",100-'Input Sheet'!C531)</f>
        <v/>
      </c>
      <c r="G5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4" s="36" t="str">
        <f t="shared" ref="H514:H577" si="8">SUBSTITUTE(G514, "veryfine", "very fine")</f>
        <v/>
      </c>
      <c r="I5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4" s="36" t="str">
        <f>IF('Input Sheet'!F531=0, "NO",CONCATENATE('Input Sheet'!F531, IF('Input Sheet'!F531&gt;0,"% ","")))</f>
        <v>NO</v>
      </c>
      <c r="K5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4" s="36" t="str">
        <f>CONCATENATE(K514, IF('Input Sheet'!I531="",""," siderite in "))</f>
        <v/>
      </c>
      <c r="M5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4" s="36" t="str">
        <f>CONCATENATE(M514, IF('Input Sheet'!J531="",""," siderite in "))</f>
        <v/>
      </c>
    </row>
    <row r="515" spans="1:14" x14ac:dyDescent="0.25">
      <c r="A515" s="51" t="str">
        <f>IF('Input Sheet'!C532="","",CONCATENATE("Sample ", 'Input Sheet'!B532, "m: ", L515, F515, "% ", "Siltstone, ", N515, 'Input Sheet'!C532, "% ", H515, " Sandstone, ", J515, I515, " FLUOR in SST. ", "TG ", 'Input Sheet'!H532, "U"))</f>
        <v/>
      </c>
      <c r="F515" s="36" t="str">
        <f>IF('Input Sheet'!C532="","",100-'Input Sheet'!C532)</f>
        <v/>
      </c>
      <c r="G5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5" s="36" t="str">
        <f t="shared" si="8"/>
        <v/>
      </c>
      <c r="I5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5" s="36" t="str">
        <f>IF('Input Sheet'!F532=0, "NO",CONCATENATE('Input Sheet'!F532, IF('Input Sheet'!F532&gt;0,"% ","")))</f>
        <v>NO</v>
      </c>
      <c r="K5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5" s="36" t="str">
        <f>CONCATENATE(K515, IF('Input Sheet'!I532="",""," siderite in "))</f>
        <v/>
      </c>
      <c r="M5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5" s="36" t="str">
        <f>CONCATENATE(M515, IF('Input Sheet'!J532="",""," siderite in "))</f>
        <v/>
      </c>
    </row>
    <row r="516" spans="1:14" x14ac:dyDescent="0.25">
      <c r="A516" s="51" t="str">
        <f>IF('Input Sheet'!C533="","",CONCATENATE("Sample ", 'Input Sheet'!B533, "m: ", L516, F516, "% ", "Siltstone, ", N516, 'Input Sheet'!C533, "% ", H516, " Sandstone, ", J516, I516, " FLUOR in SST. ", "TG ", 'Input Sheet'!H533, "U"))</f>
        <v/>
      </c>
      <c r="F516" s="36" t="str">
        <f>IF('Input Sheet'!C533="","",100-'Input Sheet'!C533)</f>
        <v/>
      </c>
      <c r="G5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6" s="36" t="str">
        <f t="shared" si="8"/>
        <v/>
      </c>
      <c r="I5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6" s="36" t="str">
        <f>IF('Input Sheet'!F533=0, "NO",CONCATENATE('Input Sheet'!F533, IF('Input Sheet'!F533&gt;0,"% ","")))</f>
        <v>NO</v>
      </c>
      <c r="K5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6" s="36" t="str">
        <f>CONCATENATE(K516, IF('Input Sheet'!I533="",""," siderite in "))</f>
        <v/>
      </c>
      <c r="M5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6" s="36" t="str">
        <f>CONCATENATE(M516, IF('Input Sheet'!J533="",""," siderite in "))</f>
        <v/>
      </c>
    </row>
    <row r="517" spans="1:14" x14ac:dyDescent="0.25">
      <c r="A517" s="51" t="str">
        <f>IF('Input Sheet'!C534="","",CONCATENATE("Sample ", 'Input Sheet'!B534, "m: ", L517, F517, "% ", "Siltstone, ", N517, 'Input Sheet'!C534, "% ", H517, " Sandstone, ", J517, I517, " FLUOR in SST. ", "TG ", 'Input Sheet'!H534, "U"))</f>
        <v/>
      </c>
      <c r="F517" s="36" t="str">
        <f>IF('Input Sheet'!C534="","",100-'Input Sheet'!C534)</f>
        <v/>
      </c>
      <c r="G5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7" s="36" t="str">
        <f t="shared" si="8"/>
        <v/>
      </c>
      <c r="I5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7" s="36" t="str">
        <f>IF('Input Sheet'!F534=0, "NO",CONCATENATE('Input Sheet'!F534, IF('Input Sheet'!F534&gt;0,"% ","")))</f>
        <v>NO</v>
      </c>
      <c r="K5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7" s="36" t="str">
        <f>CONCATENATE(K517, IF('Input Sheet'!I534="",""," siderite in "))</f>
        <v/>
      </c>
      <c r="M5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7" s="36" t="str">
        <f>CONCATENATE(M517, IF('Input Sheet'!J534="",""," siderite in "))</f>
        <v/>
      </c>
    </row>
    <row r="518" spans="1:14" x14ac:dyDescent="0.25">
      <c r="A518" s="51" t="str">
        <f>IF('Input Sheet'!C535="","",CONCATENATE("Sample ", 'Input Sheet'!B535, "m: ", L518, F518, "% ", "Siltstone, ", N518, 'Input Sheet'!C535, "% ", H518, " Sandstone, ", J518, I518, " FLUOR in SST. ", "TG ", 'Input Sheet'!H535, "U"))</f>
        <v/>
      </c>
      <c r="F518" s="36" t="str">
        <f>IF('Input Sheet'!C535="","",100-'Input Sheet'!C535)</f>
        <v/>
      </c>
      <c r="G5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8" s="36" t="str">
        <f t="shared" si="8"/>
        <v/>
      </c>
      <c r="I5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8" s="36" t="str">
        <f>IF('Input Sheet'!F535=0, "NO",CONCATENATE('Input Sheet'!F535, IF('Input Sheet'!F535&gt;0,"% ","")))</f>
        <v>NO</v>
      </c>
      <c r="K5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8" s="36" t="str">
        <f>CONCATENATE(K518, IF('Input Sheet'!I535="",""," siderite in "))</f>
        <v/>
      </c>
      <c r="M5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8" s="36" t="str">
        <f>CONCATENATE(M518, IF('Input Sheet'!J535="",""," siderite in "))</f>
        <v/>
      </c>
    </row>
    <row r="519" spans="1:14" x14ac:dyDescent="0.25">
      <c r="A519" s="51" t="str">
        <f>IF('Input Sheet'!C536="","",CONCATENATE("Sample ", 'Input Sheet'!B536, "m: ", L519, F519, "% ", "Siltstone, ", N519, 'Input Sheet'!C536, "% ", H519, " Sandstone, ", J519, I519, " FLUOR in SST. ", "TG ", 'Input Sheet'!H536, "U"))</f>
        <v/>
      </c>
      <c r="F519" s="36" t="str">
        <f>IF('Input Sheet'!C536="","",100-'Input Sheet'!C536)</f>
        <v/>
      </c>
      <c r="G5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19" s="36" t="str">
        <f t="shared" si="8"/>
        <v/>
      </c>
      <c r="I5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19" s="36" t="str">
        <f>IF('Input Sheet'!F536=0, "NO",CONCATENATE('Input Sheet'!F536, IF('Input Sheet'!F536&gt;0,"% ","")))</f>
        <v>NO</v>
      </c>
      <c r="K5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19" s="36" t="str">
        <f>CONCATENATE(K519, IF('Input Sheet'!I536="",""," siderite in "))</f>
        <v/>
      </c>
      <c r="M5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19" s="36" t="str">
        <f>CONCATENATE(M519, IF('Input Sheet'!J536="",""," siderite in "))</f>
        <v/>
      </c>
    </row>
    <row r="520" spans="1:14" x14ac:dyDescent="0.25">
      <c r="A520" s="51" t="str">
        <f>IF('Input Sheet'!C537="","",CONCATENATE("Sample ", 'Input Sheet'!B537, "m: ", L520, F520, "% ", "Siltstone, ", N520, 'Input Sheet'!C537, "% ", H520, " Sandstone, ", J520, I520, " FLUOR in SST. ", "TG ", 'Input Sheet'!H537, "U"))</f>
        <v/>
      </c>
      <c r="F520" s="36" t="str">
        <f>IF('Input Sheet'!C537="","",100-'Input Sheet'!C537)</f>
        <v/>
      </c>
      <c r="G5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0" s="36" t="str">
        <f t="shared" si="8"/>
        <v/>
      </c>
      <c r="I5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0" s="36" t="str">
        <f>IF('Input Sheet'!F537=0, "NO",CONCATENATE('Input Sheet'!F537, IF('Input Sheet'!F537&gt;0,"% ","")))</f>
        <v>NO</v>
      </c>
      <c r="K5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0" s="36" t="str">
        <f>CONCATENATE(K520, IF('Input Sheet'!I537="",""," siderite in "))</f>
        <v/>
      </c>
      <c r="M5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0" s="36" t="str">
        <f>CONCATENATE(M520, IF('Input Sheet'!J537="",""," siderite in "))</f>
        <v/>
      </c>
    </row>
    <row r="521" spans="1:14" x14ac:dyDescent="0.25">
      <c r="A521" s="51" t="str">
        <f>IF('Input Sheet'!C538="","",CONCATENATE("Sample ", 'Input Sheet'!B538, "m: ", L521, F521, "% ", "Siltstone, ", N521, 'Input Sheet'!C538, "% ", H521, " Sandstone, ", J521, I521, " FLUOR in SST. ", "TG ", 'Input Sheet'!H538, "U"))</f>
        <v/>
      </c>
      <c r="F521" s="36" t="str">
        <f>IF('Input Sheet'!C538="","",100-'Input Sheet'!C538)</f>
        <v/>
      </c>
      <c r="G5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1" s="36" t="str">
        <f t="shared" si="8"/>
        <v/>
      </c>
      <c r="I5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1" s="36" t="str">
        <f>IF('Input Sheet'!F538=0, "NO",CONCATENATE('Input Sheet'!F538, IF('Input Sheet'!F538&gt;0,"% ","")))</f>
        <v>NO</v>
      </c>
      <c r="K5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1" s="36" t="str">
        <f>CONCATENATE(K521, IF('Input Sheet'!I538="",""," siderite in "))</f>
        <v/>
      </c>
      <c r="M5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1" s="36" t="str">
        <f>CONCATENATE(M521, IF('Input Sheet'!J538="",""," siderite in "))</f>
        <v/>
      </c>
    </row>
    <row r="522" spans="1:14" x14ac:dyDescent="0.25">
      <c r="A522" s="51" t="str">
        <f>IF('Input Sheet'!C539="","",CONCATENATE("Sample ", 'Input Sheet'!B539, "m: ", L522, F522, "% ", "Siltstone, ", N522, 'Input Sheet'!C539, "% ", H522, " Sandstone, ", J522, I522, " FLUOR in SST. ", "TG ", 'Input Sheet'!H539, "U"))</f>
        <v/>
      </c>
      <c r="F522" s="36" t="str">
        <f>IF('Input Sheet'!C539="","",100-'Input Sheet'!C539)</f>
        <v/>
      </c>
      <c r="G5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2" s="36" t="str">
        <f t="shared" si="8"/>
        <v/>
      </c>
      <c r="I5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2" s="36" t="str">
        <f>IF('Input Sheet'!F539=0, "NO",CONCATENATE('Input Sheet'!F539, IF('Input Sheet'!F539&gt;0,"% ","")))</f>
        <v>NO</v>
      </c>
      <c r="K5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2" s="36" t="str">
        <f>CONCATENATE(K522, IF('Input Sheet'!I539="",""," siderite in "))</f>
        <v/>
      </c>
      <c r="M5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2" s="36" t="str">
        <f>CONCATENATE(M522, IF('Input Sheet'!J539="",""," siderite in "))</f>
        <v/>
      </c>
    </row>
    <row r="523" spans="1:14" x14ac:dyDescent="0.25">
      <c r="A523" s="51" t="str">
        <f>IF('Input Sheet'!C540="","",CONCATENATE("Sample ", 'Input Sheet'!B540, "m: ", L523, F523, "% ", "Siltstone, ", N523, 'Input Sheet'!C540, "% ", H523, " Sandstone, ", J523, I523, " FLUOR in SST. ", "TG ", 'Input Sheet'!H540, "U"))</f>
        <v/>
      </c>
      <c r="F523" s="36" t="str">
        <f>IF('Input Sheet'!C540="","",100-'Input Sheet'!C540)</f>
        <v/>
      </c>
      <c r="G5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3" s="36" t="str">
        <f t="shared" si="8"/>
        <v/>
      </c>
      <c r="I5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3" s="36" t="str">
        <f>IF('Input Sheet'!F540=0, "NO",CONCATENATE('Input Sheet'!F540, IF('Input Sheet'!F540&gt;0,"% ","")))</f>
        <v>NO</v>
      </c>
      <c r="K5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3" s="36" t="str">
        <f>CONCATENATE(K523, IF('Input Sheet'!I540="",""," siderite in "))</f>
        <v/>
      </c>
      <c r="M5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3" s="36" t="str">
        <f>CONCATENATE(M523, IF('Input Sheet'!J540="",""," siderite in "))</f>
        <v/>
      </c>
    </row>
    <row r="524" spans="1:14" x14ac:dyDescent="0.25">
      <c r="A524" s="51" t="str">
        <f>IF('Input Sheet'!C541="","",CONCATENATE("Sample ", 'Input Sheet'!B541, "m: ", L524, F524, "% ", "Siltstone, ", N524, 'Input Sheet'!C541, "% ", H524, " Sandstone, ", J524, I524, " FLUOR in SST. ", "TG ", 'Input Sheet'!H541, "U"))</f>
        <v/>
      </c>
      <c r="F524" s="36" t="str">
        <f>IF('Input Sheet'!C541="","",100-'Input Sheet'!C541)</f>
        <v/>
      </c>
      <c r="G5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4" s="36" t="str">
        <f t="shared" si="8"/>
        <v/>
      </c>
      <c r="I5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4" s="36" t="str">
        <f>IF('Input Sheet'!F541=0, "NO",CONCATENATE('Input Sheet'!F541, IF('Input Sheet'!F541&gt;0,"% ","")))</f>
        <v>NO</v>
      </c>
      <c r="K5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4" s="36" t="str">
        <f>CONCATENATE(K524, IF('Input Sheet'!I541="",""," siderite in "))</f>
        <v/>
      </c>
      <c r="M5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4" s="36" t="str">
        <f>CONCATENATE(M524, IF('Input Sheet'!J541="",""," siderite in "))</f>
        <v/>
      </c>
    </row>
    <row r="525" spans="1:14" x14ac:dyDescent="0.25">
      <c r="A525" s="51" t="str">
        <f>IF('Input Sheet'!C542="","",CONCATENATE("Sample ", 'Input Sheet'!B542, "m: ", L525, F525, "% ", "Siltstone, ", N525, 'Input Sheet'!C542, "% ", H525, " Sandstone, ", J525, I525, " FLUOR in SST. ", "TG ", 'Input Sheet'!H542, "U"))</f>
        <v/>
      </c>
      <c r="F525" s="36" t="str">
        <f>IF('Input Sheet'!C542="","",100-'Input Sheet'!C542)</f>
        <v/>
      </c>
      <c r="G5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5" s="36" t="str">
        <f t="shared" si="8"/>
        <v/>
      </c>
      <c r="I5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5" s="36" t="str">
        <f>IF('Input Sheet'!F542=0, "NO",CONCATENATE('Input Sheet'!F542, IF('Input Sheet'!F542&gt;0,"% ","")))</f>
        <v>NO</v>
      </c>
      <c r="K5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5" s="36" t="str">
        <f>CONCATENATE(K525, IF('Input Sheet'!I542="",""," siderite in "))</f>
        <v/>
      </c>
      <c r="M5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5" s="36" t="str">
        <f>CONCATENATE(M525, IF('Input Sheet'!J542="",""," siderite in "))</f>
        <v/>
      </c>
    </row>
    <row r="526" spans="1:14" x14ac:dyDescent="0.25">
      <c r="A526" s="51" t="str">
        <f>IF('Input Sheet'!C543="","",CONCATENATE("Sample ", 'Input Sheet'!B543, "m: ", L526, F526, "% ", "Siltstone, ", N526, 'Input Sheet'!C543, "% ", H526, " Sandstone, ", J526, I526, " FLUOR in SST. ", "TG ", 'Input Sheet'!H543, "U"))</f>
        <v/>
      </c>
      <c r="F526" s="36" t="str">
        <f>IF('Input Sheet'!C543="","",100-'Input Sheet'!C543)</f>
        <v/>
      </c>
      <c r="G5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6" s="36" t="str">
        <f t="shared" si="8"/>
        <v/>
      </c>
      <c r="I5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6" s="36" t="str">
        <f>IF('Input Sheet'!F543=0, "NO",CONCATENATE('Input Sheet'!F543, IF('Input Sheet'!F543&gt;0,"% ","")))</f>
        <v>NO</v>
      </c>
      <c r="K5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6" s="36" t="str">
        <f>CONCATENATE(K526, IF('Input Sheet'!I543="",""," siderite in "))</f>
        <v/>
      </c>
      <c r="M5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6" s="36" t="str">
        <f>CONCATENATE(M526, IF('Input Sheet'!J543="",""," siderite in "))</f>
        <v/>
      </c>
    </row>
    <row r="527" spans="1:14" x14ac:dyDescent="0.25">
      <c r="A527" s="51" t="str">
        <f>IF('Input Sheet'!C544="","",CONCATENATE("Sample ", 'Input Sheet'!B544, "m: ", L527, F527, "% ", "Siltstone, ", N527, 'Input Sheet'!C544, "% ", H527, " Sandstone, ", J527, I527, " FLUOR in SST. ", "TG ", 'Input Sheet'!H544, "U"))</f>
        <v/>
      </c>
      <c r="F527" s="36" t="str">
        <f>IF('Input Sheet'!C544="","",100-'Input Sheet'!C544)</f>
        <v/>
      </c>
      <c r="G5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7" s="36" t="str">
        <f t="shared" si="8"/>
        <v/>
      </c>
      <c r="I5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7" s="36" t="str">
        <f>IF('Input Sheet'!F544=0, "NO",CONCATENATE('Input Sheet'!F544, IF('Input Sheet'!F544&gt;0,"% ","")))</f>
        <v>NO</v>
      </c>
      <c r="K5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7" s="36" t="str">
        <f>CONCATENATE(K527, IF('Input Sheet'!I544="",""," siderite in "))</f>
        <v/>
      </c>
      <c r="M5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7" s="36" t="str">
        <f>CONCATENATE(M527, IF('Input Sheet'!J544="",""," siderite in "))</f>
        <v/>
      </c>
    </row>
    <row r="528" spans="1:14" x14ac:dyDescent="0.25">
      <c r="A528" s="51" t="str">
        <f>IF('Input Sheet'!C545="","",CONCATENATE("Sample ", 'Input Sheet'!B545, "m: ", L528, F528, "% ", "Siltstone, ", N528, 'Input Sheet'!C545, "% ", H528, " Sandstone, ", J528, I528, " FLUOR in SST. ", "TG ", 'Input Sheet'!H545, "U"))</f>
        <v/>
      </c>
      <c r="F528" s="36" t="str">
        <f>IF('Input Sheet'!C545="","",100-'Input Sheet'!C545)</f>
        <v/>
      </c>
      <c r="G5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8" s="36" t="str">
        <f t="shared" si="8"/>
        <v/>
      </c>
      <c r="I5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8" s="36" t="str">
        <f>IF('Input Sheet'!F545=0, "NO",CONCATENATE('Input Sheet'!F545, IF('Input Sheet'!F545&gt;0,"% ","")))</f>
        <v>NO</v>
      </c>
      <c r="K5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8" s="36" t="str">
        <f>CONCATENATE(K528, IF('Input Sheet'!I545="",""," siderite in "))</f>
        <v/>
      </c>
      <c r="M5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8" s="36" t="str">
        <f>CONCATENATE(M528, IF('Input Sheet'!J545="",""," siderite in "))</f>
        <v/>
      </c>
    </row>
    <row r="529" spans="1:14" x14ac:dyDescent="0.25">
      <c r="A529" s="51" t="str">
        <f>IF('Input Sheet'!C546="","",CONCATENATE("Sample ", 'Input Sheet'!B546, "m: ", L529, F529, "% ", "Siltstone, ", N529, 'Input Sheet'!C546, "% ", H529, " Sandstone, ", J529, I529, " FLUOR in SST. ", "TG ", 'Input Sheet'!H546, "U"))</f>
        <v/>
      </c>
      <c r="F529" s="36" t="str">
        <f>IF('Input Sheet'!C546="","",100-'Input Sheet'!C546)</f>
        <v/>
      </c>
      <c r="G5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29" s="36" t="str">
        <f t="shared" si="8"/>
        <v/>
      </c>
      <c r="I5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29" s="36" t="str">
        <f>IF('Input Sheet'!F546=0, "NO",CONCATENATE('Input Sheet'!F546, IF('Input Sheet'!F546&gt;0,"% ","")))</f>
        <v>NO</v>
      </c>
      <c r="K5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29" s="36" t="str">
        <f>CONCATENATE(K529, IF('Input Sheet'!I546="",""," siderite in "))</f>
        <v/>
      </c>
      <c r="M5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29" s="36" t="str">
        <f>CONCATENATE(M529, IF('Input Sheet'!J546="",""," siderite in "))</f>
        <v/>
      </c>
    </row>
    <row r="530" spans="1:14" x14ac:dyDescent="0.25">
      <c r="A530" s="51" t="str">
        <f>IF('Input Sheet'!C547="","",CONCATENATE("Sample ", 'Input Sheet'!B547, "m: ", L530, F530, "% ", "Siltstone, ", N530, 'Input Sheet'!C547, "% ", H530, " Sandstone, ", J530, I530, " FLUOR in SST. ", "TG ", 'Input Sheet'!H547, "U"))</f>
        <v/>
      </c>
      <c r="F530" s="36" t="str">
        <f>IF('Input Sheet'!C547="","",100-'Input Sheet'!C547)</f>
        <v/>
      </c>
      <c r="G5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0" s="36" t="str">
        <f t="shared" si="8"/>
        <v/>
      </c>
      <c r="I5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0" s="36" t="str">
        <f>IF('Input Sheet'!F547=0, "NO",CONCATENATE('Input Sheet'!F547, IF('Input Sheet'!F547&gt;0,"% ","")))</f>
        <v>NO</v>
      </c>
      <c r="K5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0" s="36" t="str">
        <f>CONCATENATE(K530, IF('Input Sheet'!I547="",""," siderite in "))</f>
        <v/>
      </c>
      <c r="M5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0" s="36" t="str">
        <f>CONCATENATE(M530, IF('Input Sheet'!J547="",""," siderite in "))</f>
        <v/>
      </c>
    </row>
    <row r="531" spans="1:14" x14ac:dyDescent="0.25">
      <c r="A531" s="51" t="str">
        <f>IF('Input Sheet'!C548="","",CONCATENATE("Sample ", 'Input Sheet'!B548, "m: ", L531, F531, "% ", "Siltstone, ", N531, 'Input Sheet'!C548, "% ", H531, " Sandstone, ", J531, I531, " FLUOR in SST. ", "TG ", 'Input Sheet'!H548, "U"))</f>
        <v/>
      </c>
      <c r="F531" s="36" t="str">
        <f>IF('Input Sheet'!C548="","",100-'Input Sheet'!C548)</f>
        <v/>
      </c>
      <c r="G5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1" s="36" t="str">
        <f t="shared" si="8"/>
        <v/>
      </c>
      <c r="I5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1" s="36" t="str">
        <f>IF('Input Sheet'!F548=0, "NO",CONCATENATE('Input Sheet'!F548, IF('Input Sheet'!F548&gt;0,"% ","")))</f>
        <v>NO</v>
      </c>
      <c r="K5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1" s="36" t="str">
        <f>CONCATENATE(K531, IF('Input Sheet'!I548="",""," siderite in "))</f>
        <v/>
      </c>
      <c r="M5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1" s="36" t="str">
        <f>CONCATENATE(M531, IF('Input Sheet'!J548="",""," siderite in "))</f>
        <v/>
      </c>
    </row>
    <row r="532" spans="1:14" x14ac:dyDescent="0.25">
      <c r="A532" s="51" t="str">
        <f>IF('Input Sheet'!C549="","",CONCATENATE("Sample ", 'Input Sheet'!B549, "m: ", L532, F532, "% ", "Siltstone, ", N532, 'Input Sheet'!C549, "% ", H532, " Sandstone, ", J532, I532, " FLUOR in SST. ", "TG ", 'Input Sheet'!H549, "U"))</f>
        <v/>
      </c>
      <c r="F532" s="36" t="str">
        <f>IF('Input Sheet'!C549="","",100-'Input Sheet'!C549)</f>
        <v/>
      </c>
      <c r="G5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2" s="36" t="str">
        <f t="shared" si="8"/>
        <v/>
      </c>
      <c r="I5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2" s="36" t="str">
        <f>IF('Input Sheet'!F549=0, "NO",CONCATENATE('Input Sheet'!F549, IF('Input Sheet'!F549&gt;0,"% ","")))</f>
        <v>NO</v>
      </c>
      <c r="K5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2" s="36" t="str">
        <f>CONCATENATE(K532, IF('Input Sheet'!I549="",""," siderite in "))</f>
        <v/>
      </c>
      <c r="M5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2" s="36" t="str">
        <f>CONCATENATE(M532, IF('Input Sheet'!J549="",""," siderite in "))</f>
        <v/>
      </c>
    </row>
    <row r="533" spans="1:14" x14ac:dyDescent="0.25">
      <c r="A533" s="51" t="str">
        <f>IF('Input Sheet'!C550="","",CONCATENATE("Sample ", 'Input Sheet'!B550, "m: ", L533, F533, "% ", "Siltstone, ", N533, 'Input Sheet'!C550, "% ", H533, " Sandstone, ", J533, I533, " FLUOR in SST. ", "TG ", 'Input Sheet'!H550, "U"))</f>
        <v/>
      </c>
      <c r="F533" s="36" t="str">
        <f>IF('Input Sheet'!C550="","",100-'Input Sheet'!C550)</f>
        <v/>
      </c>
      <c r="G5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3" s="36" t="str">
        <f t="shared" si="8"/>
        <v/>
      </c>
      <c r="I5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3" s="36" t="str">
        <f>IF('Input Sheet'!F550=0, "NO",CONCATENATE('Input Sheet'!F550, IF('Input Sheet'!F550&gt;0,"% ","")))</f>
        <v>NO</v>
      </c>
      <c r="K5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3" s="36" t="str">
        <f>CONCATENATE(K533, IF('Input Sheet'!I550="",""," siderite in "))</f>
        <v/>
      </c>
      <c r="M5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3" s="36" t="str">
        <f>CONCATENATE(M533, IF('Input Sheet'!J550="",""," siderite in "))</f>
        <v/>
      </c>
    </row>
    <row r="534" spans="1:14" x14ac:dyDescent="0.25">
      <c r="A534" s="51" t="str">
        <f>IF('Input Sheet'!C551="","",CONCATENATE("Sample ", 'Input Sheet'!B551, "m: ", L534, F534, "% ", "Siltstone, ", N534, 'Input Sheet'!C551, "% ", H534, " Sandstone, ", J534, I534, " FLUOR in SST. ", "TG ", 'Input Sheet'!H551, "U"))</f>
        <v/>
      </c>
      <c r="F534" s="36" t="str">
        <f>IF('Input Sheet'!C551="","",100-'Input Sheet'!C551)</f>
        <v/>
      </c>
      <c r="G5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4" s="36" t="str">
        <f t="shared" si="8"/>
        <v/>
      </c>
      <c r="I5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4" s="36" t="str">
        <f>IF('Input Sheet'!F551=0, "NO",CONCATENATE('Input Sheet'!F551, IF('Input Sheet'!F551&gt;0,"% ","")))</f>
        <v>NO</v>
      </c>
      <c r="K5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4" s="36" t="str">
        <f>CONCATENATE(K534, IF('Input Sheet'!I551="",""," siderite in "))</f>
        <v/>
      </c>
      <c r="M5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4" s="36" t="str">
        <f>CONCATENATE(M534, IF('Input Sheet'!J551="",""," siderite in "))</f>
        <v/>
      </c>
    </row>
    <row r="535" spans="1:14" x14ac:dyDescent="0.25">
      <c r="A535" s="51" t="str">
        <f>IF('Input Sheet'!C552="","",CONCATENATE("Sample ", 'Input Sheet'!B552, "m: ", L535, F535, "% ", "Siltstone, ", N535, 'Input Sheet'!C552, "% ", H535, " Sandstone, ", J535, I535, " FLUOR in SST. ", "TG ", 'Input Sheet'!H552, "U"))</f>
        <v/>
      </c>
      <c r="F535" s="36" t="str">
        <f>IF('Input Sheet'!C552="","",100-'Input Sheet'!C552)</f>
        <v/>
      </c>
      <c r="G5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5" s="36" t="str">
        <f t="shared" si="8"/>
        <v/>
      </c>
      <c r="I5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5" s="36" t="str">
        <f>IF('Input Sheet'!F552=0, "NO",CONCATENATE('Input Sheet'!F552, IF('Input Sheet'!F552&gt;0,"% ","")))</f>
        <v>NO</v>
      </c>
      <c r="K5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5" s="36" t="str">
        <f>CONCATENATE(K535, IF('Input Sheet'!I552="",""," siderite in "))</f>
        <v/>
      </c>
      <c r="M5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5" s="36" t="str">
        <f>CONCATENATE(M535, IF('Input Sheet'!J552="",""," siderite in "))</f>
        <v/>
      </c>
    </row>
    <row r="536" spans="1:14" x14ac:dyDescent="0.25">
      <c r="A536" s="51" t="str">
        <f>IF('Input Sheet'!C553="","",CONCATENATE("Sample ", 'Input Sheet'!B553, "m: ", L536, F536, "% ", "Siltstone, ", N536, 'Input Sheet'!C553, "% ", H536, " Sandstone, ", J536, I536, " FLUOR in SST. ", "TG ", 'Input Sheet'!H553, "U"))</f>
        <v/>
      </c>
      <c r="F536" s="36" t="str">
        <f>IF('Input Sheet'!C553="","",100-'Input Sheet'!C553)</f>
        <v/>
      </c>
      <c r="G5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6" s="36" t="str">
        <f t="shared" si="8"/>
        <v/>
      </c>
      <c r="I5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6" s="36" t="str">
        <f>IF('Input Sheet'!F553=0, "NO",CONCATENATE('Input Sheet'!F553, IF('Input Sheet'!F553&gt;0,"% ","")))</f>
        <v>NO</v>
      </c>
      <c r="K5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6" s="36" t="str">
        <f>CONCATENATE(K536, IF('Input Sheet'!I553="",""," siderite in "))</f>
        <v/>
      </c>
      <c r="M5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6" s="36" t="str">
        <f>CONCATENATE(M536, IF('Input Sheet'!J553="",""," siderite in "))</f>
        <v/>
      </c>
    </row>
    <row r="537" spans="1:14" x14ac:dyDescent="0.25">
      <c r="A537" s="51" t="str">
        <f>IF('Input Sheet'!C554="","",CONCATENATE("Sample ", 'Input Sheet'!B554, "m: ", L537, F537, "% ", "Siltstone, ", N537, 'Input Sheet'!C554, "% ", H537, " Sandstone, ", J537, I537, " FLUOR in SST. ", "TG ", 'Input Sheet'!H554, "U"))</f>
        <v/>
      </c>
      <c r="F537" s="36" t="str">
        <f>IF('Input Sheet'!C554="","",100-'Input Sheet'!C554)</f>
        <v/>
      </c>
      <c r="G5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7" s="36" t="str">
        <f t="shared" si="8"/>
        <v/>
      </c>
      <c r="I5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7" s="36" t="str">
        <f>IF('Input Sheet'!F554=0, "NO",CONCATENATE('Input Sheet'!F554, IF('Input Sheet'!F554&gt;0,"% ","")))</f>
        <v>NO</v>
      </c>
      <c r="K5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7" s="36" t="str">
        <f>CONCATENATE(K537, IF('Input Sheet'!I554="",""," siderite in "))</f>
        <v/>
      </c>
      <c r="M5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7" s="36" t="str">
        <f>CONCATENATE(M537, IF('Input Sheet'!J554="",""," siderite in "))</f>
        <v/>
      </c>
    </row>
    <row r="538" spans="1:14" x14ac:dyDescent="0.25">
      <c r="A538" s="51" t="str">
        <f>IF('Input Sheet'!C555="","",CONCATENATE("Sample ", 'Input Sheet'!B555, "m: ", L538, F538, "% ", "Siltstone, ", N538, 'Input Sheet'!C555, "% ", H538, " Sandstone, ", J538, I538, " FLUOR in SST. ", "TG ", 'Input Sheet'!H555, "U"))</f>
        <v/>
      </c>
      <c r="F538" s="36" t="str">
        <f>IF('Input Sheet'!C555="","",100-'Input Sheet'!C555)</f>
        <v/>
      </c>
      <c r="G5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8" s="36" t="str">
        <f t="shared" si="8"/>
        <v/>
      </c>
      <c r="I5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8" s="36" t="str">
        <f>IF('Input Sheet'!F555=0, "NO",CONCATENATE('Input Sheet'!F555, IF('Input Sheet'!F555&gt;0,"% ","")))</f>
        <v>NO</v>
      </c>
      <c r="K5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8" s="36" t="str">
        <f>CONCATENATE(K538, IF('Input Sheet'!I555="",""," siderite in "))</f>
        <v/>
      </c>
      <c r="M5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8" s="36" t="str">
        <f>CONCATENATE(M538, IF('Input Sheet'!J555="",""," siderite in "))</f>
        <v/>
      </c>
    </row>
    <row r="539" spans="1:14" x14ac:dyDescent="0.25">
      <c r="A539" s="51" t="str">
        <f>IF('Input Sheet'!C556="","",CONCATENATE("Sample ", 'Input Sheet'!B556, "m: ", L539, F539, "% ", "Siltstone, ", N539, 'Input Sheet'!C556, "% ", H539, " Sandstone, ", J539, I539, " FLUOR in SST. ", "TG ", 'Input Sheet'!H556, "U"))</f>
        <v/>
      </c>
      <c r="F539" s="36" t="str">
        <f>IF('Input Sheet'!C556="","",100-'Input Sheet'!C556)</f>
        <v/>
      </c>
      <c r="G5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39" s="36" t="str">
        <f t="shared" si="8"/>
        <v/>
      </c>
      <c r="I5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39" s="36" t="str">
        <f>IF('Input Sheet'!F556=0, "NO",CONCATENATE('Input Sheet'!F556, IF('Input Sheet'!F556&gt;0,"% ","")))</f>
        <v>NO</v>
      </c>
      <c r="K5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39" s="36" t="str">
        <f>CONCATENATE(K539, IF('Input Sheet'!I556="",""," siderite in "))</f>
        <v/>
      </c>
      <c r="M5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39" s="36" t="str">
        <f>CONCATENATE(M539, IF('Input Sheet'!J556="",""," siderite in "))</f>
        <v/>
      </c>
    </row>
    <row r="540" spans="1:14" x14ac:dyDescent="0.25">
      <c r="A540" s="51" t="str">
        <f>IF('Input Sheet'!C557="","",CONCATENATE("Sample ", 'Input Sheet'!B557, "m: ", L540, F540, "% ", "Siltstone, ", N540, 'Input Sheet'!C557, "% ", H540, " Sandstone, ", J540, I540, " FLUOR in SST. ", "TG ", 'Input Sheet'!H557, "U"))</f>
        <v/>
      </c>
      <c r="F540" s="36" t="str">
        <f>IF('Input Sheet'!C557="","",100-'Input Sheet'!C557)</f>
        <v/>
      </c>
      <c r="G5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0" s="36" t="str">
        <f t="shared" si="8"/>
        <v/>
      </c>
      <c r="I5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0" s="36" t="str">
        <f>IF('Input Sheet'!F557=0, "NO",CONCATENATE('Input Sheet'!F557, IF('Input Sheet'!F557&gt;0,"% ","")))</f>
        <v>NO</v>
      </c>
      <c r="K5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0" s="36" t="str">
        <f>CONCATENATE(K540, IF('Input Sheet'!I557="",""," siderite in "))</f>
        <v/>
      </c>
      <c r="M5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0" s="36" t="str">
        <f>CONCATENATE(M540, IF('Input Sheet'!J557="",""," siderite in "))</f>
        <v/>
      </c>
    </row>
    <row r="541" spans="1:14" x14ac:dyDescent="0.25">
      <c r="A541" s="51" t="str">
        <f>IF('Input Sheet'!C558="","",CONCATENATE("Sample ", 'Input Sheet'!B558, "m: ", L541, F541, "% ", "Siltstone, ", N541, 'Input Sheet'!C558, "% ", H541, " Sandstone, ", J541, I541, " FLUOR in SST. ", "TG ", 'Input Sheet'!H558, "U"))</f>
        <v/>
      </c>
      <c r="F541" s="36" t="str">
        <f>IF('Input Sheet'!C558="","",100-'Input Sheet'!C558)</f>
        <v/>
      </c>
      <c r="G5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1" s="36" t="str">
        <f t="shared" si="8"/>
        <v/>
      </c>
      <c r="I5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1" s="36" t="str">
        <f>IF('Input Sheet'!F558=0, "NO",CONCATENATE('Input Sheet'!F558, IF('Input Sheet'!F558&gt;0,"% ","")))</f>
        <v>NO</v>
      </c>
      <c r="K5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1" s="36" t="str">
        <f>CONCATENATE(K541, IF('Input Sheet'!I558="",""," siderite in "))</f>
        <v/>
      </c>
      <c r="M5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1" s="36" t="str">
        <f>CONCATENATE(M541, IF('Input Sheet'!J558="",""," siderite in "))</f>
        <v/>
      </c>
    </row>
    <row r="542" spans="1:14" x14ac:dyDescent="0.25">
      <c r="A542" s="51" t="str">
        <f>IF('Input Sheet'!C559="","",CONCATENATE("Sample ", 'Input Sheet'!B559, "m: ", L542, F542, "% ", "Siltstone, ", N542, 'Input Sheet'!C559, "% ", H542, " Sandstone, ", J542, I542, " FLUOR in SST. ", "TG ", 'Input Sheet'!H559, "U"))</f>
        <v/>
      </c>
      <c r="F542" s="36" t="str">
        <f>IF('Input Sheet'!C559="","",100-'Input Sheet'!C559)</f>
        <v/>
      </c>
      <c r="G5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2" s="36" t="str">
        <f t="shared" si="8"/>
        <v/>
      </c>
      <c r="I5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2" s="36" t="str">
        <f>IF('Input Sheet'!F559=0, "NO",CONCATENATE('Input Sheet'!F559, IF('Input Sheet'!F559&gt;0,"% ","")))</f>
        <v>NO</v>
      </c>
      <c r="K5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2" s="36" t="str">
        <f>CONCATENATE(K542, IF('Input Sheet'!I559="",""," siderite in "))</f>
        <v/>
      </c>
      <c r="M5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2" s="36" t="str">
        <f>CONCATENATE(M542, IF('Input Sheet'!J559="",""," siderite in "))</f>
        <v/>
      </c>
    </row>
    <row r="543" spans="1:14" x14ac:dyDescent="0.25">
      <c r="A543" s="51" t="str">
        <f>IF('Input Sheet'!C560="","",CONCATENATE("Sample ", 'Input Sheet'!B560, "m: ", L543, F543, "% ", "Siltstone, ", N543, 'Input Sheet'!C560, "% ", H543, " Sandstone, ", J543, I543, " FLUOR in SST. ", "TG ", 'Input Sheet'!H560, "U"))</f>
        <v/>
      </c>
      <c r="F543" s="36" t="str">
        <f>IF('Input Sheet'!C560="","",100-'Input Sheet'!C560)</f>
        <v/>
      </c>
      <c r="G5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3" s="36" t="str">
        <f t="shared" si="8"/>
        <v/>
      </c>
      <c r="I5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3" s="36" t="str">
        <f>IF('Input Sheet'!F560=0, "NO",CONCATENATE('Input Sheet'!F560, IF('Input Sheet'!F560&gt;0,"% ","")))</f>
        <v>NO</v>
      </c>
      <c r="K5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3" s="36" t="str">
        <f>CONCATENATE(K543, IF('Input Sheet'!I560="",""," siderite in "))</f>
        <v/>
      </c>
      <c r="M5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3" s="36" t="str">
        <f>CONCATENATE(M543, IF('Input Sheet'!J560="",""," siderite in "))</f>
        <v/>
      </c>
    </row>
    <row r="544" spans="1:14" x14ac:dyDescent="0.25">
      <c r="A544" s="51" t="str">
        <f>IF('Input Sheet'!C561="","",CONCATENATE("Sample ", 'Input Sheet'!B561, "m: ", L544, F544, "% ", "Siltstone, ", N544, 'Input Sheet'!C561, "% ", H544, " Sandstone, ", J544, I544, " FLUOR in SST. ", "TG ", 'Input Sheet'!H561, "U"))</f>
        <v/>
      </c>
      <c r="F544" s="36" t="str">
        <f>IF('Input Sheet'!C561="","",100-'Input Sheet'!C561)</f>
        <v/>
      </c>
      <c r="G5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4" s="36" t="str">
        <f t="shared" si="8"/>
        <v/>
      </c>
      <c r="I5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4" s="36" t="str">
        <f>IF('Input Sheet'!F561=0, "NO",CONCATENATE('Input Sheet'!F561, IF('Input Sheet'!F561&gt;0,"% ","")))</f>
        <v>NO</v>
      </c>
      <c r="K5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4" s="36" t="str">
        <f>CONCATENATE(K544, IF('Input Sheet'!I561="",""," siderite in "))</f>
        <v/>
      </c>
      <c r="M5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4" s="36" t="str">
        <f>CONCATENATE(M544, IF('Input Sheet'!J561="",""," siderite in "))</f>
        <v/>
      </c>
    </row>
    <row r="545" spans="1:14" x14ac:dyDescent="0.25">
      <c r="A545" s="51" t="str">
        <f>IF('Input Sheet'!C562="","",CONCATENATE("Sample ", 'Input Sheet'!B562, "m: ", L545, F545, "% ", "Siltstone, ", N545, 'Input Sheet'!C562, "% ", H545, " Sandstone, ", J545, I545, " FLUOR in SST. ", "TG ", 'Input Sheet'!H562, "U"))</f>
        <v/>
      </c>
      <c r="F545" s="36" t="str">
        <f>IF('Input Sheet'!C562="","",100-'Input Sheet'!C562)</f>
        <v/>
      </c>
      <c r="G5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5" s="36" t="str">
        <f t="shared" si="8"/>
        <v/>
      </c>
      <c r="I5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5" s="36" t="str">
        <f>IF('Input Sheet'!F562=0, "NO",CONCATENATE('Input Sheet'!F562, IF('Input Sheet'!F562&gt;0,"% ","")))</f>
        <v>NO</v>
      </c>
      <c r="K5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5" s="36" t="str">
        <f>CONCATENATE(K545, IF('Input Sheet'!I562="",""," siderite in "))</f>
        <v/>
      </c>
      <c r="M5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5" s="36" t="str">
        <f>CONCATENATE(M545, IF('Input Sheet'!J562="",""," siderite in "))</f>
        <v/>
      </c>
    </row>
    <row r="546" spans="1:14" x14ac:dyDescent="0.25">
      <c r="A546" s="51" t="str">
        <f>IF('Input Sheet'!C563="","",CONCATENATE("Sample ", 'Input Sheet'!B563, "m: ", L546, F546, "% ", "Siltstone, ", N546, 'Input Sheet'!C563, "% ", H546, " Sandstone, ", J546, I546, " FLUOR in SST. ", "TG ", 'Input Sheet'!H563, "U"))</f>
        <v/>
      </c>
      <c r="F546" s="36" t="str">
        <f>IF('Input Sheet'!C563="","",100-'Input Sheet'!C563)</f>
        <v/>
      </c>
      <c r="G5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6" s="36" t="str">
        <f t="shared" si="8"/>
        <v/>
      </c>
      <c r="I5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6" s="36" t="str">
        <f>IF('Input Sheet'!F563=0, "NO",CONCATENATE('Input Sheet'!F563, IF('Input Sheet'!F563&gt;0,"% ","")))</f>
        <v>NO</v>
      </c>
      <c r="K5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6" s="36" t="str">
        <f>CONCATENATE(K546, IF('Input Sheet'!I563="",""," siderite in "))</f>
        <v/>
      </c>
      <c r="M5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6" s="36" t="str">
        <f>CONCATENATE(M546, IF('Input Sheet'!J563="",""," siderite in "))</f>
        <v/>
      </c>
    </row>
    <row r="547" spans="1:14" x14ac:dyDescent="0.25">
      <c r="A547" s="51" t="str">
        <f>IF('Input Sheet'!C564="","",CONCATENATE("Sample ", 'Input Sheet'!B564, "m: ", L547, F547, "% ", "Siltstone, ", N547, 'Input Sheet'!C564, "% ", H547, " Sandstone, ", J547, I547, " FLUOR in SST. ", "TG ", 'Input Sheet'!H564, "U"))</f>
        <v/>
      </c>
      <c r="F547" s="36" t="str">
        <f>IF('Input Sheet'!C564="","",100-'Input Sheet'!C564)</f>
        <v/>
      </c>
      <c r="G5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7" s="36" t="str">
        <f t="shared" si="8"/>
        <v/>
      </c>
      <c r="I5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7" s="36" t="str">
        <f>IF('Input Sheet'!F564=0, "NO",CONCATENATE('Input Sheet'!F564, IF('Input Sheet'!F564&gt;0,"% ","")))</f>
        <v>NO</v>
      </c>
      <c r="K5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7" s="36" t="str">
        <f>CONCATENATE(K547, IF('Input Sheet'!I564="",""," siderite in "))</f>
        <v/>
      </c>
      <c r="M5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7" s="36" t="str">
        <f>CONCATENATE(M547, IF('Input Sheet'!J564="",""," siderite in "))</f>
        <v/>
      </c>
    </row>
    <row r="548" spans="1:14" x14ac:dyDescent="0.25">
      <c r="A548" s="51" t="str">
        <f>IF('Input Sheet'!C565="","",CONCATENATE("Sample ", 'Input Sheet'!B565, "m: ", L548, F548, "% ", "Siltstone, ", N548, 'Input Sheet'!C565, "% ", H548, " Sandstone, ", J548, I548, " FLUOR in SST. ", "TG ", 'Input Sheet'!H565, "U"))</f>
        <v/>
      </c>
      <c r="F548" s="36" t="str">
        <f>IF('Input Sheet'!C565="","",100-'Input Sheet'!C565)</f>
        <v/>
      </c>
      <c r="G5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8" s="36" t="str">
        <f t="shared" si="8"/>
        <v/>
      </c>
      <c r="I5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8" s="36" t="str">
        <f>IF('Input Sheet'!F565=0, "NO",CONCATENATE('Input Sheet'!F565, IF('Input Sheet'!F565&gt;0,"% ","")))</f>
        <v>NO</v>
      </c>
      <c r="K5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8" s="36" t="str">
        <f>CONCATENATE(K548, IF('Input Sheet'!I565="",""," siderite in "))</f>
        <v/>
      </c>
      <c r="M5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8" s="36" t="str">
        <f>CONCATENATE(M548, IF('Input Sheet'!J565="",""," siderite in "))</f>
        <v/>
      </c>
    </row>
    <row r="549" spans="1:14" x14ac:dyDescent="0.25">
      <c r="A549" s="51" t="str">
        <f>IF('Input Sheet'!C566="","",CONCATENATE("Sample ", 'Input Sheet'!B566, "m: ", L549, F549, "% ", "Siltstone, ", N549, 'Input Sheet'!C566, "% ", H549, " Sandstone, ", J549, I549, " FLUOR in SST. ", "TG ", 'Input Sheet'!H566, "U"))</f>
        <v/>
      </c>
      <c r="F549" s="36" t="str">
        <f>IF('Input Sheet'!C566="","",100-'Input Sheet'!C566)</f>
        <v/>
      </c>
      <c r="G5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49" s="36" t="str">
        <f t="shared" si="8"/>
        <v/>
      </c>
      <c r="I5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49" s="36" t="str">
        <f>IF('Input Sheet'!F566=0, "NO",CONCATENATE('Input Sheet'!F566, IF('Input Sheet'!F566&gt;0,"% ","")))</f>
        <v>NO</v>
      </c>
      <c r="K5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49" s="36" t="str">
        <f>CONCATENATE(K549, IF('Input Sheet'!I566="",""," siderite in "))</f>
        <v/>
      </c>
      <c r="M5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49" s="36" t="str">
        <f>CONCATENATE(M549, IF('Input Sheet'!J566="",""," siderite in "))</f>
        <v/>
      </c>
    </row>
    <row r="550" spans="1:14" x14ac:dyDescent="0.25">
      <c r="A550" s="51" t="str">
        <f>IF('Input Sheet'!C567="","",CONCATENATE("Sample ", 'Input Sheet'!B567, "m: ", L550, F550, "% ", "Siltstone, ", N550, 'Input Sheet'!C567, "% ", H550, " Sandstone, ", J550, I550, " FLUOR in SST. ", "TG ", 'Input Sheet'!H567, "U"))</f>
        <v/>
      </c>
      <c r="F550" s="36" t="str">
        <f>IF('Input Sheet'!C567="","",100-'Input Sheet'!C567)</f>
        <v/>
      </c>
      <c r="G5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0" s="36" t="str">
        <f t="shared" si="8"/>
        <v/>
      </c>
      <c r="I5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0" s="36" t="str">
        <f>IF('Input Sheet'!F567=0, "NO",CONCATENATE('Input Sheet'!F567, IF('Input Sheet'!F567&gt;0,"% ","")))</f>
        <v>NO</v>
      </c>
      <c r="K5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0" s="36" t="str">
        <f>CONCATENATE(K550, IF('Input Sheet'!I567="",""," siderite in "))</f>
        <v/>
      </c>
      <c r="M5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0" s="36" t="str">
        <f>CONCATENATE(M550, IF('Input Sheet'!J567="",""," siderite in "))</f>
        <v/>
      </c>
    </row>
    <row r="551" spans="1:14" x14ac:dyDescent="0.25">
      <c r="A551" s="51" t="str">
        <f>IF('Input Sheet'!C568="","",CONCATENATE("Sample ", 'Input Sheet'!B568, "m: ", L551, F551, "% ", "Siltstone, ", N551, 'Input Sheet'!C568, "% ", H551, " Sandstone, ", J551, I551, " FLUOR in SST. ", "TG ", 'Input Sheet'!H568, "U"))</f>
        <v/>
      </c>
      <c r="F551" s="36" t="str">
        <f>IF('Input Sheet'!C568="","",100-'Input Sheet'!C568)</f>
        <v/>
      </c>
      <c r="G5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1" s="36" t="str">
        <f t="shared" si="8"/>
        <v/>
      </c>
      <c r="I5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1" s="36" t="str">
        <f>IF('Input Sheet'!F568=0, "NO",CONCATENATE('Input Sheet'!F568, IF('Input Sheet'!F568&gt;0,"% ","")))</f>
        <v>NO</v>
      </c>
      <c r="K5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1" s="36" t="str">
        <f>CONCATENATE(K551, IF('Input Sheet'!I568="",""," siderite in "))</f>
        <v/>
      </c>
      <c r="M5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1" s="36" t="str">
        <f>CONCATENATE(M551, IF('Input Sheet'!J568="",""," siderite in "))</f>
        <v/>
      </c>
    </row>
    <row r="552" spans="1:14" x14ac:dyDescent="0.25">
      <c r="A552" s="51" t="str">
        <f>IF('Input Sheet'!C569="","",CONCATENATE("Sample ", 'Input Sheet'!B569, "m: ", L552, F552, "% ", "Siltstone, ", N552, 'Input Sheet'!C569, "% ", H552, " Sandstone, ", J552, I552, " FLUOR in SST. ", "TG ", 'Input Sheet'!H569, "U"))</f>
        <v/>
      </c>
      <c r="F552" s="36" t="str">
        <f>IF('Input Sheet'!C569="","",100-'Input Sheet'!C569)</f>
        <v/>
      </c>
      <c r="G5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2" s="36" t="str">
        <f t="shared" si="8"/>
        <v/>
      </c>
      <c r="I5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2" s="36" t="str">
        <f>IF('Input Sheet'!F569=0, "NO",CONCATENATE('Input Sheet'!F569, IF('Input Sheet'!F569&gt;0,"% ","")))</f>
        <v>NO</v>
      </c>
      <c r="K5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2" s="36" t="str">
        <f>CONCATENATE(K552, IF('Input Sheet'!I569="",""," siderite in "))</f>
        <v/>
      </c>
      <c r="M5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2" s="36" t="str">
        <f>CONCATENATE(M552, IF('Input Sheet'!J569="",""," siderite in "))</f>
        <v/>
      </c>
    </row>
    <row r="553" spans="1:14" x14ac:dyDescent="0.25">
      <c r="A553" s="51" t="str">
        <f>IF('Input Sheet'!C570="","",CONCATENATE("Sample ", 'Input Sheet'!B570, "m: ", L553, F553, "% ", "Siltstone, ", N553, 'Input Sheet'!C570, "% ", H553, " Sandstone, ", J553, I553, " FLUOR in SST. ", "TG ", 'Input Sheet'!H570, "U"))</f>
        <v/>
      </c>
      <c r="F553" s="36" t="str">
        <f>IF('Input Sheet'!C570="","",100-'Input Sheet'!C570)</f>
        <v/>
      </c>
      <c r="G5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3" s="36" t="str">
        <f t="shared" si="8"/>
        <v/>
      </c>
      <c r="I5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3" s="36" t="str">
        <f>IF('Input Sheet'!F570=0, "NO",CONCATENATE('Input Sheet'!F570, IF('Input Sheet'!F570&gt;0,"% ","")))</f>
        <v>NO</v>
      </c>
      <c r="K5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3" s="36" t="str">
        <f>CONCATENATE(K553, IF('Input Sheet'!I570="",""," siderite in "))</f>
        <v/>
      </c>
      <c r="M5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3" s="36" t="str">
        <f>CONCATENATE(M553, IF('Input Sheet'!J570="",""," siderite in "))</f>
        <v/>
      </c>
    </row>
    <row r="554" spans="1:14" x14ac:dyDescent="0.25">
      <c r="A554" s="51" t="str">
        <f>IF('Input Sheet'!C571="","",CONCATENATE("Sample ", 'Input Sheet'!B571, "m: ", L554, F554, "% ", "Siltstone, ", N554, 'Input Sheet'!C571, "% ", H554, " Sandstone, ", J554, I554, " FLUOR in SST. ", "TG ", 'Input Sheet'!H571, "U"))</f>
        <v/>
      </c>
      <c r="F554" s="36" t="str">
        <f>IF('Input Sheet'!C571="","",100-'Input Sheet'!C571)</f>
        <v/>
      </c>
      <c r="G5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4" s="36" t="str">
        <f t="shared" si="8"/>
        <v/>
      </c>
      <c r="I5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4" s="36" t="str">
        <f>IF('Input Sheet'!F571=0, "NO",CONCATENATE('Input Sheet'!F571, IF('Input Sheet'!F571&gt;0,"% ","")))</f>
        <v>NO</v>
      </c>
      <c r="K5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4" s="36" t="str">
        <f>CONCATENATE(K554, IF('Input Sheet'!I571="",""," siderite in "))</f>
        <v/>
      </c>
      <c r="M5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4" s="36" t="str">
        <f>CONCATENATE(M554, IF('Input Sheet'!J571="",""," siderite in "))</f>
        <v/>
      </c>
    </row>
    <row r="555" spans="1:14" x14ac:dyDescent="0.25">
      <c r="A555" s="51" t="str">
        <f>IF('Input Sheet'!C572="","",CONCATENATE("Sample ", 'Input Sheet'!B572, "m: ", L555, F555, "% ", "Siltstone, ", N555, 'Input Sheet'!C572, "% ", H555, " Sandstone, ", J555, I555, " FLUOR in SST. ", "TG ", 'Input Sheet'!H572, "U"))</f>
        <v/>
      </c>
      <c r="F555" s="36" t="str">
        <f>IF('Input Sheet'!C572="","",100-'Input Sheet'!C572)</f>
        <v/>
      </c>
      <c r="G5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5" s="36" t="str">
        <f t="shared" si="8"/>
        <v/>
      </c>
      <c r="I5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5" s="36" t="str">
        <f>IF('Input Sheet'!F572=0, "NO",CONCATENATE('Input Sheet'!F572, IF('Input Sheet'!F572&gt;0,"% ","")))</f>
        <v>NO</v>
      </c>
      <c r="K5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5" s="36" t="str">
        <f>CONCATENATE(K555, IF('Input Sheet'!I572="",""," siderite in "))</f>
        <v/>
      </c>
      <c r="M5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5" s="36" t="str">
        <f>CONCATENATE(M555, IF('Input Sheet'!J572="",""," siderite in "))</f>
        <v/>
      </c>
    </row>
    <row r="556" spans="1:14" x14ac:dyDescent="0.25">
      <c r="A556" s="51" t="str">
        <f>IF('Input Sheet'!C573="","",CONCATENATE("Sample ", 'Input Sheet'!B573, "m: ", L556, F556, "% ", "Siltstone, ", N556, 'Input Sheet'!C573, "% ", H556, " Sandstone, ", J556, I556, " FLUOR in SST. ", "TG ", 'Input Sheet'!H573, "U"))</f>
        <v/>
      </c>
      <c r="F556" s="36" t="str">
        <f>IF('Input Sheet'!C573="","",100-'Input Sheet'!C573)</f>
        <v/>
      </c>
      <c r="G5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6" s="36" t="str">
        <f t="shared" si="8"/>
        <v/>
      </c>
      <c r="I5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6" s="36" t="str">
        <f>IF('Input Sheet'!F573=0, "NO",CONCATENATE('Input Sheet'!F573, IF('Input Sheet'!F573&gt;0,"% ","")))</f>
        <v>NO</v>
      </c>
      <c r="K5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6" s="36" t="str">
        <f>CONCATENATE(K556, IF('Input Sheet'!I573="",""," siderite in "))</f>
        <v/>
      </c>
      <c r="M5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6" s="36" t="str">
        <f>CONCATENATE(M556, IF('Input Sheet'!J573="",""," siderite in "))</f>
        <v/>
      </c>
    </row>
    <row r="557" spans="1:14" x14ac:dyDescent="0.25">
      <c r="A557" s="51" t="str">
        <f>IF('Input Sheet'!C574="","",CONCATENATE("Sample ", 'Input Sheet'!B574, "m: ", L557, F557, "% ", "Siltstone, ", N557, 'Input Sheet'!C574, "% ", H557, " Sandstone, ", J557, I557, " FLUOR in SST. ", "TG ", 'Input Sheet'!H574, "U"))</f>
        <v/>
      </c>
      <c r="F557" s="36" t="str">
        <f>IF('Input Sheet'!C574="","",100-'Input Sheet'!C574)</f>
        <v/>
      </c>
      <c r="G5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7" s="36" t="str">
        <f t="shared" si="8"/>
        <v/>
      </c>
      <c r="I5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7" s="36" t="str">
        <f>IF('Input Sheet'!F574=0, "NO",CONCATENATE('Input Sheet'!F574, IF('Input Sheet'!F574&gt;0,"% ","")))</f>
        <v>NO</v>
      </c>
      <c r="K5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7" s="36" t="str">
        <f>CONCATENATE(K557, IF('Input Sheet'!I574="",""," siderite in "))</f>
        <v/>
      </c>
      <c r="M5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7" s="36" t="str">
        <f>CONCATENATE(M557, IF('Input Sheet'!J574="",""," siderite in "))</f>
        <v/>
      </c>
    </row>
    <row r="558" spans="1:14" x14ac:dyDescent="0.25">
      <c r="A558" s="51" t="str">
        <f>IF('Input Sheet'!C575="","",CONCATENATE("Sample ", 'Input Sheet'!B575, "m: ", L558, F558, "% ", "Siltstone, ", N558, 'Input Sheet'!C575, "% ", H558, " Sandstone, ", J558, I558, " FLUOR in SST. ", "TG ", 'Input Sheet'!H575, "U"))</f>
        <v/>
      </c>
      <c r="F558" s="36" t="str">
        <f>IF('Input Sheet'!C575="","",100-'Input Sheet'!C575)</f>
        <v/>
      </c>
      <c r="G5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8" s="36" t="str">
        <f t="shared" si="8"/>
        <v/>
      </c>
      <c r="I5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8" s="36" t="str">
        <f>IF('Input Sheet'!F575=0, "NO",CONCATENATE('Input Sheet'!F575, IF('Input Sheet'!F575&gt;0,"% ","")))</f>
        <v>NO</v>
      </c>
      <c r="K5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8" s="36" t="str">
        <f>CONCATENATE(K558, IF('Input Sheet'!I575="",""," siderite in "))</f>
        <v/>
      </c>
      <c r="M5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8" s="36" t="str">
        <f>CONCATENATE(M558, IF('Input Sheet'!J575="",""," siderite in "))</f>
        <v/>
      </c>
    </row>
    <row r="559" spans="1:14" x14ac:dyDescent="0.25">
      <c r="A559" s="51" t="str">
        <f>IF('Input Sheet'!C576="","",CONCATENATE("Sample ", 'Input Sheet'!B576, "m: ", L559, F559, "% ", "Siltstone, ", N559, 'Input Sheet'!C576, "% ", H559, " Sandstone, ", J559, I559, " FLUOR in SST. ", "TG ", 'Input Sheet'!H576, "U"))</f>
        <v/>
      </c>
      <c r="F559" s="36" t="str">
        <f>IF('Input Sheet'!C576="","",100-'Input Sheet'!C576)</f>
        <v/>
      </c>
      <c r="G5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59" s="36" t="str">
        <f t="shared" si="8"/>
        <v/>
      </c>
      <c r="I5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59" s="36" t="str">
        <f>IF('Input Sheet'!F576=0, "NO",CONCATENATE('Input Sheet'!F576, IF('Input Sheet'!F576&gt;0,"% ","")))</f>
        <v>NO</v>
      </c>
      <c r="K5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59" s="36" t="str">
        <f>CONCATENATE(K559, IF('Input Sheet'!I576="",""," siderite in "))</f>
        <v/>
      </c>
      <c r="M5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59" s="36" t="str">
        <f>CONCATENATE(M559, IF('Input Sheet'!J576="",""," siderite in "))</f>
        <v/>
      </c>
    </row>
    <row r="560" spans="1:14" x14ac:dyDescent="0.25">
      <c r="A560" s="51" t="str">
        <f>IF('Input Sheet'!C577="","",CONCATENATE("Sample ", 'Input Sheet'!B577, "m: ", L560, F560, "% ", "Siltstone, ", N560, 'Input Sheet'!C577, "% ", H560, " Sandstone, ", J560, I560, " FLUOR in SST. ", "TG ", 'Input Sheet'!H577, "U"))</f>
        <v/>
      </c>
      <c r="F560" s="36" t="str">
        <f>IF('Input Sheet'!C577="","",100-'Input Sheet'!C577)</f>
        <v/>
      </c>
      <c r="G5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0" s="36" t="str">
        <f t="shared" si="8"/>
        <v/>
      </c>
      <c r="I5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0" s="36" t="str">
        <f>IF('Input Sheet'!F577=0, "NO",CONCATENATE('Input Sheet'!F577, IF('Input Sheet'!F577&gt;0,"% ","")))</f>
        <v>NO</v>
      </c>
      <c r="K5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0" s="36" t="str">
        <f>CONCATENATE(K560, IF('Input Sheet'!I577="",""," siderite in "))</f>
        <v/>
      </c>
      <c r="M5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0" s="36" t="str">
        <f>CONCATENATE(M560, IF('Input Sheet'!J577="",""," siderite in "))</f>
        <v/>
      </c>
    </row>
    <row r="561" spans="1:14" x14ac:dyDescent="0.25">
      <c r="A561" s="51" t="str">
        <f>IF('Input Sheet'!C578="","",CONCATENATE("Sample ", 'Input Sheet'!B578, "m: ", L561, F561, "% ", "Siltstone, ", N561, 'Input Sheet'!C578, "% ", H561, " Sandstone, ", J561, I561, " FLUOR in SST. ", "TG ", 'Input Sheet'!H578, "U"))</f>
        <v/>
      </c>
      <c r="F561" s="36" t="str">
        <f>IF('Input Sheet'!C578="","",100-'Input Sheet'!C578)</f>
        <v/>
      </c>
      <c r="G5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1" s="36" t="str">
        <f t="shared" si="8"/>
        <v/>
      </c>
      <c r="I5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1" s="36" t="str">
        <f>IF('Input Sheet'!F578=0, "NO",CONCATENATE('Input Sheet'!F578, IF('Input Sheet'!F578&gt;0,"% ","")))</f>
        <v>NO</v>
      </c>
      <c r="K5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1" s="36" t="str">
        <f>CONCATENATE(K561, IF('Input Sheet'!I578="",""," siderite in "))</f>
        <v/>
      </c>
      <c r="M5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1" s="36" t="str">
        <f>CONCATENATE(M561, IF('Input Sheet'!J578="",""," siderite in "))</f>
        <v/>
      </c>
    </row>
    <row r="562" spans="1:14" x14ac:dyDescent="0.25">
      <c r="A562" s="51" t="str">
        <f>IF('Input Sheet'!C579="","",CONCATENATE("Sample ", 'Input Sheet'!B579, "m: ", L562, F562, "% ", "Siltstone, ", N562, 'Input Sheet'!C579, "% ", H562, " Sandstone, ", J562, I562, " FLUOR in SST. ", "TG ", 'Input Sheet'!H579, "U"))</f>
        <v/>
      </c>
      <c r="F562" s="36" t="str">
        <f>IF('Input Sheet'!C579="","",100-'Input Sheet'!C579)</f>
        <v/>
      </c>
      <c r="G5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2" s="36" t="str">
        <f t="shared" si="8"/>
        <v/>
      </c>
      <c r="I5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2" s="36" t="str">
        <f>IF('Input Sheet'!F579=0, "NO",CONCATENATE('Input Sheet'!F579, IF('Input Sheet'!F579&gt;0,"% ","")))</f>
        <v>NO</v>
      </c>
      <c r="K5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2" s="36" t="str">
        <f>CONCATENATE(K562, IF('Input Sheet'!I579="",""," siderite in "))</f>
        <v/>
      </c>
      <c r="M5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2" s="36" t="str">
        <f>CONCATENATE(M562, IF('Input Sheet'!J579="",""," siderite in "))</f>
        <v/>
      </c>
    </row>
    <row r="563" spans="1:14" x14ac:dyDescent="0.25">
      <c r="A563" s="51" t="str">
        <f>IF('Input Sheet'!C580="","",CONCATENATE("Sample ", 'Input Sheet'!B580, "m: ", L563, F563, "% ", "Siltstone, ", N563, 'Input Sheet'!C580, "% ", H563, " Sandstone, ", J563, I563, " FLUOR in SST. ", "TG ", 'Input Sheet'!H580, "U"))</f>
        <v/>
      </c>
      <c r="F563" s="36" t="str">
        <f>IF('Input Sheet'!C580="","",100-'Input Sheet'!C580)</f>
        <v/>
      </c>
      <c r="G5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3" s="36" t="str">
        <f t="shared" si="8"/>
        <v/>
      </c>
      <c r="I5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3" s="36" t="str">
        <f>IF('Input Sheet'!F580=0, "NO",CONCATENATE('Input Sheet'!F580, IF('Input Sheet'!F580&gt;0,"% ","")))</f>
        <v>NO</v>
      </c>
      <c r="K5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3" s="36" t="str">
        <f>CONCATENATE(K563, IF('Input Sheet'!I580="",""," siderite in "))</f>
        <v/>
      </c>
      <c r="M5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3" s="36" t="str">
        <f>CONCATENATE(M563, IF('Input Sheet'!J580="",""," siderite in "))</f>
        <v/>
      </c>
    </row>
    <row r="564" spans="1:14" x14ac:dyDescent="0.25">
      <c r="A564" s="51" t="str">
        <f>IF('Input Sheet'!C581="","",CONCATENATE("Sample ", 'Input Sheet'!B581, "m: ", L564, F564, "% ", "Siltstone, ", N564, 'Input Sheet'!C581, "% ", H564, " Sandstone, ", J564, I564, " FLUOR in SST. ", "TG ", 'Input Sheet'!H581, "U"))</f>
        <v/>
      </c>
      <c r="F564" s="36" t="str">
        <f>IF('Input Sheet'!C581="","",100-'Input Sheet'!C581)</f>
        <v/>
      </c>
      <c r="G5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4" s="36" t="str">
        <f t="shared" si="8"/>
        <v/>
      </c>
      <c r="I5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4" s="36" t="str">
        <f>IF('Input Sheet'!F581=0, "NO",CONCATENATE('Input Sheet'!F581, IF('Input Sheet'!F581&gt;0,"% ","")))</f>
        <v>NO</v>
      </c>
      <c r="K5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4" s="36" t="str">
        <f>CONCATENATE(K564, IF('Input Sheet'!I581="",""," siderite in "))</f>
        <v/>
      </c>
      <c r="M5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4" s="36" t="str">
        <f>CONCATENATE(M564, IF('Input Sheet'!J581="",""," siderite in "))</f>
        <v/>
      </c>
    </row>
    <row r="565" spans="1:14" x14ac:dyDescent="0.25">
      <c r="A565" s="51" t="str">
        <f>IF('Input Sheet'!C582="","",CONCATENATE("Sample ", 'Input Sheet'!B582, "m: ", L565, F565, "% ", "Siltstone, ", N565, 'Input Sheet'!C582, "% ", H565, " Sandstone, ", J565, I565, " FLUOR in SST. ", "TG ", 'Input Sheet'!H582, "U"))</f>
        <v/>
      </c>
      <c r="F565" s="36" t="str">
        <f>IF('Input Sheet'!C582="","",100-'Input Sheet'!C582)</f>
        <v/>
      </c>
      <c r="G5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5" s="36" t="str">
        <f t="shared" si="8"/>
        <v/>
      </c>
      <c r="I5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5" s="36" t="str">
        <f>IF('Input Sheet'!F582=0, "NO",CONCATENATE('Input Sheet'!F582, IF('Input Sheet'!F582&gt;0,"% ","")))</f>
        <v>NO</v>
      </c>
      <c r="K5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5" s="36" t="str">
        <f>CONCATENATE(K565, IF('Input Sheet'!I582="",""," siderite in "))</f>
        <v/>
      </c>
      <c r="M5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5" s="36" t="str">
        <f>CONCATENATE(M565, IF('Input Sheet'!J582="",""," siderite in "))</f>
        <v/>
      </c>
    </row>
    <row r="566" spans="1:14" x14ac:dyDescent="0.25">
      <c r="A566" s="51" t="str">
        <f>IF('Input Sheet'!C583="","",CONCATENATE("Sample ", 'Input Sheet'!B583, "m: ", L566, F566, "% ", "Siltstone, ", N566, 'Input Sheet'!C583, "% ", H566, " Sandstone, ", J566, I566, " FLUOR in SST. ", "TG ", 'Input Sheet'!H583, "U"))</f>
        <v/>
      </c>
      <c r="F566" s="36" t="str">
        <f>IF('Input Sheet'!C583="","",100-'Input Sheet'!C583)</f>
        <v/>
      </c>
      <c r="G5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6" s="36" t="str">
        <f t="shared" si="8"/>
        <v/>
      </c>
      <c r="I5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6" s="36" t="str">
        <f>IF('Input Sheet'!F583=0, "NO",CONCATENATE('Input Sheet'!F583, IF('Input Sheet'!F583&gt;0,"% ","")))</f>
        <v>NO</v>
      </c>
      <c r="K5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6" s="36" t="str">
        <f>CONCATENATE(K566, IF('Input Sheet'!I583="",""," siderite in "))</f>
        <v/>
      </c>
      <c r="M5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6" s="36" t="str">
        <f>CONCATENATE(M566, IF('Input Sheet'!J583="",""," siderite in "))</f>
        <v/>
      </c>
    </row>
    <row r="567" spans="1:14" x14ac:dyDescent="0.25">
      <c r="A567" s="51" t="str">
        <f>IF('Input Sheet'!C584="","",CONCATENATE("Sample ", 'Input Sheet'!B584, "m: ", L567, F567, "% ", "Siltstone, ", N567, 'Input Sheet'!C584, "% ", H567, " Sandstone, ", J567, I567, " FLUOR in SST. ", "TG ", 'Input Sheet'!H584, "U"))</f>
        <v/>
      </c>
      <c r="F567" s="36" t="str">
        <f>IF('Input Sheet'!C584="","",100-'Input Sheet'!C584)</f>
        <v/>
      </c>
      <c r="G5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7" s="36" t="str">
        <f t="shared" si="8"/>
        <v/>
      </c>
      <c r="I5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7" s="36" t="str">
        <f>IF('Input Sheet'!F584=0, "NO",CONCATENATE('Input Sheet'!F584, IF('Input Sheet'!F584&gt;0,"% ","")))</f>
        <v>NO</v>
      </c>
      <c r="K5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7" s="36" t="str">
        <f>CONCATENATE(K567, IF('Input Sheet'!I584="",""," siderite in "))</f>
        <v/>
      </c>
      <c r="M5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7" s="36" t="str">
        <f>CONCATENATE(M567, IF('Input Sheet'!J584="",""," siderite in "))</f>
        <v/>
      </c>
    </row>
    <row r="568" spans="1:14" x14ac:dyDescent="0.25">
      <c r="A568" s="51" t="str">
        <f>IF('Input Sheet'!C585="","",CONCATENATE("Sample ", 'Input Sheet'!B585, "m: ", L568, F568, "% ", "Siltstone, ", N568, 'Input Sheet'!C585, "% ", H568, " Sandstone, ", J568, I568, " FLUOR in SST. ", "TG ", 'Input Sheet'!H585, "U"))</f>
        <v/>
      </c>
      <c r="F568" s="36" t="str">
        <f>IF('Input Sheet'!C585="","",100-'Input Sheet'!C585)</f>
        <v/>
      </c>
      <c r="G5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8" s="36" t="str">
        <f t="shared" si="8"/>
        <v/>
      </c>
      <c r="I5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8" s="36" t="str">
        <f>IF('Input Sheet'!F585=0, "NO",CONCATENATE('Input Sheet'!F585, IF('Input Sheet'!F585&gt;0,"% ","")))</f>
        <v>NO</v>
      </c>
      <c r="K5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8" s="36" t="str">
        <f>CONCATENATE(K568, IF('Input Sheet'!I585="",""," siderite in "))</f>
        <v/>
      </c>
      <c r="M5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8" s="36" t="str">
        <f>CONCATENATE(M568, IF('Input Sheet'!J585="",""," siderite in "))</f>
        <v/>
      </c>
    </row>
    <row r="569" spans="1:14" x14ac:dyDescent="0.25">
      <c r="A569" s="51" t="str">
        <f>IF('Input Sheet'!C586="","",CONCATENATE("Sample ", 'Input Sheet'!B586, "m: ", L569, F569, "% ", "Siltstone, ", N569, 'Input Sheet'!C586, "% ", H569, " Sandstone, ", J569, I569, " FLUOR in SST. ", "TG ", 'Input Sheet'!H586, "U"))</f>
        <v/>
      </c>
      <c r="F569" s="36" t="str">
        <f>IF('Input Sheet'!C586="","",100-'Input Sheet'!C586)</f>
        <v/>
      </c>
      <c r="G5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69" s="36" t="str">
        <f t="shared" si="8"/>
        <v/>
      </c>
      <c r="I5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69" s="36" t="str">
        <f>IF('Input Sheet'!F586=0, "NO",CONCATENATE('Input Sheet'!F586, IF('Input Sheet'!F586&gt;0,"% ","")))</f>
        <v>NO</v>
      </c>
      <c r="K5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69" s="36" t="str">
        <f>CONCATENATE(K569, IF('Input Sheet'!I586="",""," siderite in "))</f>
        <v/>
      </c>
      <c r="M5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69" s="36" t="str">
        <f>CONCATENATE(M569, IF('Input Sheet'!J586="",""," siderite in "))</f>
        <v/>
      </c>
    </row>
    <row r="570" spans="1:14" x14ac:dyDescent="0.25">
      <c r="A570" s="51" t="str">
        <f>IF('Input Sheet'!C587="","",CONCATENATE("Sample ", 'Input Sheet'!B587, "m: ", L570, F570, "% ", "Siltstone, ", N570, 'Input Sheet'!C587, "% ", H570, " Sandstone, ", J570, I570, " FLUOR in SST. ", "TG ", 'Input Sheet'!H587, "U"))</f>
        <v/>
      </c>
      <c r="F570" s="36" t="str">
        <f>IF('Input Sheet'!C587="","",100-'Input Sheet'!C587)</f>
        <v/>
      </c>
      <c r="G5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0" s="36" t="str">
        <f t="shared" si="8"/>
        <v/>
      </c>
      <c r="I5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0" s="36" t="str">
        <f>IF('Input Sheet'!F587=0, "NO",CONCATENATE('Input Sheet'!F587, IF('Input Sheet'!F587&gt;0,"% ","")))</f>
        <v>NO</v>
      </c>
      <c r="K5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0" s="36" t="str">
        <f>CONCATENATE(K570, IF('Input Sheet'!I587="",""," siderite in "))</f>
        <v/>
      </c>
      <c r="M5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0" s="36" t="str">
        <f>CONCATENATE(M570, IF('Input Sheet'!J587="",""," siderite in "))</f>
        <v/>
      </c>
    </row>
    <row r="571" spans="1:14" x14ac:dyDescent="0.25">
      <c r="A571" s="51" t="str">
        <f>IF('Input Sheet'!C588="","",CONCATENATE("Sample ", 'Input Sheet'!B588, "m: ", L571, F571, "% ", "Siltstone, ", N571, 'Input Sheet'!C588, "% ", H571, " Sandstone, ", J571, I571, " FLUOR in SST. ", "TG ", 'Input Sheet'!H588, "U"))</f>
        <v/>
      </c>
      <c r="F571" s="36" t="str">
        <f>IF('Input Sheet'!C588="","",100-'Input Sheet'!C588)</f>
        <v/>
      </c>
      <c r="G5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1" s="36" t="str">
        <f t="shared" si="8"/>
        <v/>
      </c>
      <c r="I5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1" s="36" t="str">
        <f>IF('Input Sheet'!F588=0, "NO",CONCATENATE('Input Sheet'!F588, IF('Input Sheet'!F588&gt;0,"% ","")))</f>
        <v>NO</v>
      </c>
      <c r="K5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1" s="36" t="str">
        <f>CONCATENATE(K571, IF('Input Sheet'!I588="",""," siderite in "))</f>
        <v/>
      </c>
      <c r="M5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1" s="36" t="str">
        <f>CONCATENATE(M571, IF('Input Sheet'!J588="",""," siderite in "))</f>
        <v/>
      </c>
    </row>
    <row r="572" spans="1:14" x14ac:dyDescent="0.25">
      <c r="A572" s="51" t="str">
        <f>IF('Input Sheet'!C589="","",CONCATENATE("Sample ", 'Input Sheet'!B589, "m: ", L572, F572, "% ", "Siltstone, ", N572, 'Input Sheet'!C589, "% ", H572, " Sandstone, ", J572, I572, " FLUOR in SST. ", "TG ", 'Input Sheet'!H589, "U"))</f>
        <v/>
      </c>
      <c r="F572" s="36" t="str">
        <f>IF('Input Sheet'!C589="","",100-'Input Sheet'!C589)</f>
        <v/>
      </c>
      <c r="G5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2" s="36" t="str">
        <f t="shared" si="8"/>
        <v/>
      </c>
      <c r="I5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2" s="36" t="str">
        <f>IF('Input Sheet'!F589=0, "NO",CONCATENATE('Input Sheet'!F589, IF('Input Sheet'!F589&gt;0,"% ","")))</f>
        <v>NO</v>
      </c>
      <c r="K5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2" s="36" t="str">
        <f>CONCATENATE(K572, IF('Input Sheet'!I589="",""," siderite in "))</f>
        <v/>
      </c>
      <c r="M5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2" s="36" t="str">
        <f>CONCATENATE(M572, IF('Input Sheet'!J589="",""," siderite in "))</f>
        <v/>
      </c>
    </row>
    <row r="573" spans="1:14" x14ac:dyDescent="0.25">
      <c r="A573" s="51" t="str">
        <f>IF('Input Sheet'!C590="","",CONCATENATE("Sample ", 'Input Sheet'!B590, "m: ", L573, F573, "% ", "Siltstone, ", N573, 'Input Sheet'!C590, "% ", H573, " Sandstone, ", J573, I573, " FLUOR in SST. ", "TG ", 'Input Sheet'!H590, "U"))</f>
        <v/>
      </c>
      <c r="F573" s="36" t="str">
        <f>IF('Input Sheet'!C590="","",100-'Input Sheet'!C590)</f>
        <v/>
      </c>
      <c r="G5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3" s="36" t="str">
        <f t="shared" si="8"/>
        <v/>
      </c>
      <c r="I5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3" s="36" t="str">
        <f>IF('Input Sheet'!F590=0, "NO",CONCATENATE('Input Sheet'!F590, IF('Input Sheet'!F590&gt;0,"% ","")))</f>
        <v>NO</v>
      </c>
      <c r="K5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3" s="36" t="str">
        <f>CONCATENATE(K573, IF('Input Sheet'!I590="",""," siderite in "))</f>
        <v/>
      </c>
      <c r="M5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3" s="36" t="str">
        <f>CONCATENATE(M573, IF('Input Sheet'!J590="",""," siderite in "))</f>
        <v/>
      </c>
    </row>
    <row r="574" spans="1:14" x14ac:dyDescent="0.25">
      <c r="A574" s="51" t="str">
        <f>IF('Input Sheet'!C591="","",CONCATENATE("Sample ", 'Input Sheet'!B591, "m: ", L574, F574, "% ", "Siltstone, ", N574, 'Input Sheet'!C591, "% ", H574, " Sandstone, ", J574, I574, " FLUOR in SST. ", "TG ", 'Input Sheet'!H591, "U"))</f>
        <v/>
      </c>
      <c r="F574" s="36" t="str">
        <f>IF('Input Sheet'!C591="","",100-'Input Sheet'!C591)</f>
        <v/>
      </c>
      <c r="G5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4" s="36" t="str">
        <f t="shared" si="8"/>
        <v/>
      </c>
      <c r="I5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4" s="36" t="str">
        <f>IF('Input Sheet'!F591=0, "NO",CONCATENATE('Input Sheet'!F591, IF('Input Sheet'!F591&gt;0,"% ","")))</f>
        <v>NO</v>
      </c>
      <c r="K5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4" s="36" t="str">
        <f>CONCATENATE(K574, IF('Input Sheet'!I591="",""," siderite in "))</f>
        <v/>
      </c>
      <c r="M5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4" s="36" t="str">
        <f>CONCATENATE(M574, IF('Input Sheet'!J591="",""," siderite in "))</f>
        <v/>
      </c>
    </row>
    <row r="575" spans="1:14" x14ac:dyDescent="0.25">
      <c r="A575" s="51" t="str">
        <f>IF('Input Sheet'!C592="","",CONCATENATE("Sample ", 'Input Sheet'!B592, "m: ", L575, F575, "% ", "Siltstone, ", N575, 'Input Sheet'!C592, "% ", H575, " Sandstone, ", J575, I575, " FLUOR in SST. ", "TG ", 'Input Sheet'!H592, "U"))</f>
        <v/>
      </c>
      <c r="F575" s="36" t="str">
        <f>IF('Input Sheet'!C592="","",100-'Input Sheet'!C592)</f>
        <v/>
      </c>
      <c r="G5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5" s="36" t="str">
        <f t="shared" si="8"/>
        <v/>
      </c>
      <c r="I5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5" s="36" t="str">
        <f>IF('Input Sheet'!F592=0, "NO",CONCATENATE('Input Sheet'!F592, IF('Input Sheet'!F592&gt;0,"% ","")))</f>
        <v>NO</v>
      </c>
      <c r="K5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5" s="36" t="str">
        <f>CONCATENATE(K575, IF('Input Sheet'!I592="",""," siderite in "))</f>
        <v/>
      </c>
      <c r="M5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5" s="36" t="str">
        <f>CONCATENATE(M575, IF('Input Sheet'!J592="",""," siderite in "))</f>
        <v/>
      </c>
    </row>
    <row r="576" spans="1:14" x14ac:dyDescent="0.25">
      <c r="A576" s="51" t="str">
        <f>IF('Input Sheet'!C593="","",CONCATENATE("Sample ", 'Input Sheet'!B593, "m: ", L576, F576, "% ", "Siltstone, ", N576, 'Input Sheet'!C593, "% ", H576, " Sandstone, ", J576, I576, " FLUOR in SST. ", "TG ", 'Input Sheet'!H593, "U"))</f>
        <v/>
      </c>
      <c r="F576" s="36" t="str">
        <f>IF('Input Sheet'!C593="","",100-'Input Sheet'!C593)</f>
        <v/>
      </c>
      <c r="G5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6" s="36" t="str">
        <f t="shared" si="8"/>
        <v/>
      </c>
      <c r="I5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6" s="36" t="str">
        <f>IF('Input Sheet'!F593=0, "NO",CONCATENATE('Input Sheet'!F593, IF('Input Sheet'!F593&gt;0,"% ","")))</f>
        <v>NO</v>
      </c>
      <c r="K5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6" s="36" t="str">
        <f>CONCATENATE(K576, IF('Input Sheet'!I593="",""," siderite in "))</f>
        <v/>
      </c>
      <c r="M5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6" s="36" t="str">
        <f>CONCATENATE(M576, IF('Input Sheet'!J593="",""," siderite in "))</f>
        <v/>
      </c>
    </row>
    <row r="577" spans="1:14" x14ac:dyDescent="0.25">
      <c r="A577" s="51" t="str">
        <f>IF('Input Sheet'!C594="","",CONCATENATE("Sample ", 'Input Sheet'!B594, "m: ", L577, F577, "% ", "Siltstone, ", N577, 'Input Sheet'!C594, "% ", H577, " Sandstone, ", J577, I577, " FLUOR in SST. ", "TG ", 'Input Sheet'!H594, "U"))</f>
        <v/>
      </c>
      <c r="F577" s="36" t="str">
        <f>IF('Input Sheet'!C594="","",100-'Input Sheet'!C594)</f>
        <v/>
      </c>
      <c r="G5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7" s="36" t="str">
        <f t="shared" si="8"/>
        <v/>
      </c>
      <c r="I5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7" s="36" t="str">
        <f>IF('Input Sheet'!F594=0, "NO",CONCATENATE('Input Sheet'!F594, IF('Input Sheet'!F594&gt;0,"% ","")))</f>
        <v>NO</v>
      </c>
      <c r="K5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7" s="36" t="str">
        <f>CONCATENATE(K577, IF('Input Sheet'!I594="",""," siderite in "))</f>
        <v/>
      </c>
      <c r="M5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7" s="36" t="str">
        <f>CONCATENATE(M577, IF('Input Sheet'!J594="",""," siderite in "))</f>
        <v/>
      </c>
    </row>
    <row r="578" spans="1:14" x14ac:dyDescent="0.25">
      <c r="A578" s="51" t="str">
        <f>IF('Input Sheet'!C595="","",CONCATENATE("Sample ", 'Input Sheet'!B595, "m: ", L578, F578, "% ", "Siltstone, ", N578, 'Input Sheet'!C595, "% ", H578, " Sandstone, ", J578, I578, " FLUOR in SST. ", "TG ", 'Input Sheet'!H595, "U"))</f>
        <v/>
      </c>
      <c r="F578" s="36" t="str">
        <f>IF('Input Sheet'!C595="","",100-'Input Sheet'!C595)</f>
        <v/>
      </c>
      <c r="G5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8" s="36" t="str">
        <f t="shared" ref="H578:H641" si="9">SUBSTITUTE(G578, "veryfine", "very fine")</f>
        <v/>
      </c>
      <c r="I5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8" s="36" t="str">
        <f>IF('Input Sheet'!F595=0, "NO",CONCATENATE('Input Sheet'!F595, IF('Input Sheet'!F595&gt;0,"% ","")))</f>
        <v>NO</v>
      </c>
      <c r="K5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8" s="36" t="str">
        <f>CONCATENATE(K578, IF('Input Sheet'!I595="",""," siderite in "))</f>
        <v/>
      </c>
      <c r="M5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8" s="36" t="str">
        <f>CONCATENATE(M578, IF('Input Sheet'!J595="",""," siderite in "))</f>
        <v/>
      </c>
    </row>
    <row r="579" spans="1:14" x14ac:dyDescent="0.25">
      <c r="A579" s="51" t="str">
        <f>IF('Input Sheet'!C596="","",CONCATENATE("Sample ", 'Input Sheet'!B596, "m: ", L579, F579, "% ", "Siltstone, ", N579, 'Input Sheet'!C596, "% ", H579, " Sandstone, ", J579, I579, " FLUOR in SST. ", "TG ", 'Input Sheet'!H596, "U"))</f>
        <v/>
      </c>
      <c r="F579" s="36" t="str">
        <f>IF('Input Sheet'!C596="","",100-'Input Sheet'!C596)</f>
        <v/>
      </c>
      <c r="G5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79" s="36" t="str">
        <f t="shared" si="9"/>
        <v/>
      </c>
      <c r="I5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79" s="36" t="str">
        <f>IF('Input Sheet'!F596=0, "NO",CONCATENATE('Input Sheet'!F596, IF('Input Sheet'!F596&gt;0,"% ","")))</f>
        <v>NO</v>
      </c>
      <c r="K5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79" s="36" t="str">
        <f>CONCATENATE(K579, IF('Input Sheet'!I596="",""," siderite in "))</f>
        <v/>
      </c>
      <c r="M5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79" s="36" t="str">
        <f>CONCATENATE(M579, IF('Input Sheet'!J596="",""," siderite in "))</f>
        <v/>
      </c>
    </row>
    <row r="580" spans="1:14" x14ac:dyDescent="0.25">
      <c r="A580" s="51" t="str">
        <f>IF('Input Sheet'!C597="","",CONCATENATE("Sample ", 'Input Sheet'!B597, "m: ", L580, F580, "% ", "Siltstone, ", N580, 'Input Sheet'!C597, "% ", H580, " Sandstone, ", J580, I580, " FLUOR in SST. ", "TG ", 'Input Sheet'!H597, "U"))</f>
        <v/>
      </c>
      <c r="F580" s="36" t="str">
        <f>IF('Input Sheet'!C597="","",100-'Input Sheet'!C597)</f>
        <v/>
      </c>
      <c r="G5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0" s="36" t="str">
        <f t="shared" si="9"/>
        <v/>
      </c>
      <c r="I5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0" s="36" t="str">
        <f>IF('Input Sheet'!F597=0, "NO",CONCATENATE('Input Sheet'!F597, IF('Input Sheet'!F597&gt;0,"% ","")))</f>
        <v>NO</v>
      </c>
      <c r="K5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0" s="36" t="str">
        <f>CONCATENATE(K580, IF('Input Sheet'!I597="",""," siderite in "))</f>
        <v/>
      </c>
      <c r="M5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0" s="36" t="str">
        <f>CONCATENATE(M580, IF('Input Sheet'!J597="",""," siderite in "))</f>
        <v/>
      </c>
    </row>
    <row r="581" spans="1:14" x14ac:dyDescent="0.25">
      <c r="A581" s="51" t="str">
        <f>IF('Input Sheet'!C598="","",CONCATENATE("Sample ", 'Input Sheet'!B598, "m: ", L581, F581, "% ", "Siltstone, ", N581, 'Input Sheet'!C598, "% ", H581, " Sandstone, ", J581, I581, " FLUOR in SST. ", "TG ", 'Input Sheet'!H598, "U"))</f>
        <v/>
      </c>
      <c r="F581" s="36" t="str">
        <f>IF('Input Sheet'!C598="","",100-'Input Sheet'!C598)</f>
        <v/>
      </c>
      <c r="G5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1" s="36" t="str">
        <f t="shared" si="9"/>
        <v/>
      </c>
      <c r="I5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1" s="36" t="str">
        <f>IF('Input Sheet'!F598=0, "NO",CONCATENATE('Input Sheet'!F598, IF('Input Sheet'!F598&gt;0,"% ","")))</f>
        <v>NO</v>
      </c>
      <c r="K5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1" s="36" t="str">
        <f>CONCATENATE(K581, IF('Input Sheet'!I598="",""," siderite in "))</f>
        <v/>
      </c>
      <c r="M5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1" s="36" t="str">
        <f>CONCATENATE(M581, IF('Input Sheet'!J598="",""," siderite in "))</f>
        <v/>
      </c>
    </row>
    <row r="582" spans="1:14" x14ac:dyDescent="0.25">
      <c r="A582" s="51" t="str">
        <f>IF('Input Sheet'!C599="","",CONCATENATE("Sample ", 'Input Sheet'!B599, "m: ", L582, F582, "% ", "Siltstone, ", N582, 'Input Sheet'!C599, "% ", H582, " Sandstone, ", J582, I582, " FLUOR in SST. ", "TG ", 'Input Sheet'!H599, "U"))</f>
        <v/>
      </c>
      <c r="F582" s="36" t="str">
        <f>IF('Input Sheet'!C599="","",100-'Input Sheet'!C599)</f>
        <v/>
      </c>
      <c r="G5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599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2" s="36" t="str">
        <f t="shared" si="9"/>
        <v/>
      </c>
      <c r="I5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599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2" s="36" t="str">
        <f>IF('Input Sheet'!F599=0, "NO",CONCATENATE('Input Sheet'!F599, IF('Input Sheet'!F599&gt;0,"% ","")))</f>
        <v>NO</v>
      </c>
      <c r="K5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599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2" s="36" t="str">
        <f>CONCATENATE(K582, IF('Input Sheet'!I599="",""," siderite in "))</f>
        <v/>
      </c>
      <c r="M5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599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2" s="36" t="str">
        <f>CONCATENATE(M582, IF('Input Sheet'!J599="",""," siderite in "))</f>
        <v/>
      </c>
    </row>
    <row r="583" spans="1:14" x14ac:dyDescent="0.25">
      <c r="A583" s="51" t="str">
        <f>IF('Input Sheet'!C600="","",CONCATENATE("Sample ", 'Input Sheet'!B600, "m: ", L583, F583, "% ", "Siltstone, ", N583, 'Input Sheet'!C600, "% ", H583, " Sandstone, ", J583, I583, " FLUOR in SST. ", "TG ", 'Input Sheet'!H600, "U"))</f>
        <v/>
      </c>
      <c r="F583" s="36" t="str">
        <f>IF('Input Sheet'!C600="","",100-'Input Sheet'!C600)</f>
        <v/>
      </c>
      <c r="G5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3" s="36" t="str">
        <f t="shared" si="9"/>
        <v/>
      </c>
      <c r="I5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3" s="36" t="str">
        <f>IF('Input Sheet'!F600=0, "NO",CONCATENATE('Input Sheet'!F600, IF('Input Sheet'!F600&gt;0,"% ","")))</f>
        <v>NO</v>
      </c>
      <c r="K5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3" s="36" t="str">
        <f>CONCATENATE(K583, IF('Input Sheet'!I600="",""," siderite in "))</f>
        <v/>
      </c>
      <c r="M5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3" s="36" t="str">
        <f>CONCATENATE(M583, IF('Input Sheet'!J600="",""," siderite in "))</f>
        <v/>
      </c>
    </row>
    <row r="584" spans="1:14" x14ac:dyDescent="0.25">
      <c r="A584" s="51" t="str">
        <f>IF('Input Sheet'!C601="","",CONCATENATE("Sample ", 'Input Sheet'!B601, "m: ", L584, F584, "% ", "Siltstone, ", N584, 'Input Sheet'!C601, "% ", H584, " Sandstone, ", J584, I584, " FLUOR in SST. ", "TG ", 'Input Sheet'!H601, "U"))</f>
        <v/>
      </c>
      <c r="F584" s="36" t="str">
        <f>IF('Input Sheet'!C601="","",100-'Input Sheet'!C601)</f>
        <v/>
      </c>
      <c r="G5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4" s="36" t="str">
        <f t="shared" si="9"/>
        <v/>
      </c>
      <c r="I5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4" s="36" t="str">
        <f>IF('Input Sheet'!F601=0, "NO",CONCATENATE('Input Sheet'!F601, IF('Input Sheet'!F601&gt;0,"% ","")))</f>
        <v>NO</v>
      </c>
      <c r="K5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4" s="36" t="str">
        <f>CONCATENATE(K584, IF('Input Sheet'!I601="",""," siderite in "))</f>
        <v/>
      </c>
      <c r="M5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4" s="36" t="str">
        <f>CONCATENATE(M584, IF('Input Sheet'!J601="",""," siderite in "))</f>
        <v/>
      </c>
    </row>
    <row r="585" spans="1:14" x14ac:dyDescent="0.25">
      <c r="A585" s="51" t="str">
        <f>IF('Input Sheet'!C602="","",CONCATENATE("Sample ", 'Input Sheet'!B602, "m: ", L585, F585, "% ", "Siltstone, ", N585, 'Input Sheet'!C602, "% ", H585, " Sandstone, ", J585, I585, " FLUOR in SST. ", "TG ", 'Input Sheet'!H602, "U"))</f>
        <v/>
      </c>
      <c r="F585" s="36" t="str">
        <f>IF('Input Sheet'!C602="","",100-'Input Sheet'!C602)</f>
        <v/>
      </c>
      <c r="G5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5" s="36" t="str">
        <f t="shared" si="9"/>
        <v/>
      </c>
      <c r="I5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5" s="36" t="str">
        <f>IF('Input Sheet'!F602=0, "NO",CONCATENATE('Input Sheet'!F602, IF('Input Sheet'!F602&gt;0,"% ","")))</f>
        <v>NO</v>
      </c>
      <c r="K5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5" s="36" t="str">
        <f>CONCATENATE(K585, IF('Input Sheet'!I602="",""," siderite in "))</f>
        <v/>
      </c>
      <c r="M5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5" s="36" t="str">
        <f>CONCATENATE(M585, IF('Input Sheet'!J602="",""," siderite in "))</f>
        <v/>
      </c>
    </row>
    <row r="586" spans="1:14" x14ac:dyDescent="0.25">
      <c r="A586" s="51" t="str">
        <f>IF('Input Sheet'!C603="","",CONCATENATE("Sample ", 'Input Sheet'!B603, "m: ", L586, F586, "% ", "Siltstone, ", N586, 'Input Sheet'!C603, "% ", H586, " Sandstone, ", J586, I586, " FLUOR in SST. ", "TG ", 'Input Sheet'!H603, "U"))</f>
        <v/>
      </c>
      <c r="F586" s="36" t="str">
        <f>IF('Input Sheet'!C603="","",100-'Input Sheet'!C603)</f>
        <v/>
      </c>
      <c r="G5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6" s="36" t="str">
        <f t="shared" si="9"/>
        <v/>
      </c>
      <c r="I5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6" s="36" t="str">
        <f>IF('Input Sheet'!F603=0, "NO",CONCATENATE('Input Sheet'!F603, IF('Input Sheet'!F603&gt;0,"% ","")))</f>
        <v>NO</v>
      </c>
      <c r="K5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6" s="36" t="str">
        <f>CONCATENATE(K586, IF('Input Sheet'!I603="",""," siderite in "))</f>
        <v/>
      </c>
      <c r="M5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6" s="36" t="str">
        <f>CONCATENATE(M586, IF('Input Sheet'!J603="",""," siderite in "))</f>
        <v/>
      </c>
    </row>
    <row r="587" spans="1:14" x14ac:dyDescent="0.25">
      <c r="A587" s="51" t="str">
        <f>IF('Input Sheet'!C604="","",CONCATENATE("Sample ", 'Input Sheet'!B604, "m: ", L587, F587, "% ", "Siltstone, ", N587, 'Input Sheet'!C604, "% ", H587, " Sandstone, ", J587, I587, " FLUOR in SST. ", "TG ", 'Input Sheet'!H604, "U"))</f>
        <v/>
      </c>
      <c r="F587" s="36" t="str">
        <f>IF('Input Sheet'!C604="","",100-'Input Sheet'!C604)</f>
        <v/>
      </c>
      <c r="G5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7" s="36" t="str">
        <f t="shared" si="9"/>
        <v/>
      </c>
      <c r="I5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7" s="36" t="str">
        <f>IF('Input Sheet'!F604=0, "NO",CONCATENATE('Input Sheet'!F604, IF('Input Sheet'!F604&gt;0,"% ","")))</f>
        <v>NO</v>
      </c>
      <c r="K5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7" s="36" t="str">
        <f>CONCATENATE(K587, IF('Input Sheet'!I604="",""," siderite in "))</f>
        <v/>
      </c>
      <c r="M5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7" s="36" t="str">
        <f>CONCATENATE(M587, IF('Input Sheet'!J604="",""," siderite in "))</f>
        <v/>
      </c>
    </row>
    <row r="588" spans="1:14" x14ac:dyDescent="0.25">
      <c r="A588" s="51" t="str">
        <f>IF('Input Sheet'!C605="","",CONCATENATE("Sample ", 'Input Sheet'!B605, "m: ", L588, F588, "% ", "Siltstone, ", N588, 'Input Sheet'!C605, "% ", H588, " Sandstone, ", J588, I588, " FLUOR in SST. ", "TG ", 'Input Sheet'!H605, "U"))</f>
        <v/>
      </c>
      <c r="F588" s="36" t="str">
        <f>IF('Input Sheet'!C605="","",100-'Input Sheet'!C605)</f>
        <v/>
      </c>
      <c r="G5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8" s="36" t="str">
        <f t="shared" si="9"/>
        <v/>
      </c>
      <c r="I5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8" s="36" t="str">
        <f>IF('Input Sheet'!F605=0, "NO",CONCATENATE('Input Sheet'!F605, IF('Input Sheet'!F605&gt;0,"% ","")))</f>
        <v>NO</v>
      </c>
      <c r="K5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8" s="36" t="str">
        <f>CONCATENATE(K588, IF('Input Sheet'!I605="",""," siderite in "))</f>
        <v/>
      </c>
      <c r="M5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8" s="36" t="str">
        <f>CONCATENATE(M588, IF('Input Sheet'!J605="",""," siderite in "))</f>
        <v/>
      </c>
    </row>
    <row r="589" spans="1:14" x14ac:dyDescent="0.25">
      <c r="A589" s="51" t="str">
        <f>IF('Input Sheet'!C606="","",CONCATENATE("Sample ", 'Input Sheet'!B606, "m: ", L589, F589, "% ", "Siltstone, ", N589, 'Input Sheet'!C606, "% ", H589, " Sandstone, ", J589, I589, " FLUOR in SST. ", "TG ", 'Input Sheet'!H606, "U"))</f>
        <v/>
      </c>
      <c r="F589" s="36" t="str">
        <f>IF('Input Sheet'!C606="","",100-'Input Sheet'!C606)</f>
        <v/>
      </c>
      <c r="G5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89" s="36" t="str">
        <f t="shared" si="9"/>
        <v/>
      </c>
      <c r="I5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89" s="36" t="str">
        <f>IF('Input Sheet'!F606=0, "NO",CONCATENATE('Input Sheet'!F606, IF('Input Sheet'!F606&gt;0,"% ","")))</f>
        <v>NO</v>
      </c>
      <c r="K5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89" s="36" t="str">
        <f>CONCATENATE(K589, IF('Input Sheet'!I606="",""," siderite in "))</f>
        <v/>
      </c>
      <c r="M5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89" s="36" t="str">
        <f>CONCATENATE(M589, IF('Input Sheet'!J606="",""," siderite in "))</f>
        <v/>
      </c>
    </row>
    <row r="590" spans="1:14" x14ac:dyDescent="0.25">
      <c r="A590" s="51" t="str">
        <f>IF('Input Sheet'!C607="","",CONCATENATE("Sample ", 'Input Sheet'!B607, "m: ", L590, F590, "% ", "Siltstone, ", N590, 'Input Sheet'!C607, "% ", H590, " Sandstone, ", J590, I590, " FLUOR in SST. ", "TG ", 'Input Sheet'!H607, "U"))</f>
        <v/>
      </c>
      <c r="F590" s="36" t="str">
        <f>IF('Input Sheet'!C607="","",100-'Input Sheet'!C607)</f>
        <v/>
      </c>
      <c r="G5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0" s="36" t="str">
        <f t="shared" si="9"/>
        <v/>
      </c>
      <c r="I5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0" s="36" t="str">
        <f>IF('Input Sheet'!F607=0, "NO",CONCATENATE('Input Sheet'!F607, IF('Input Sheet'!F607&gt;0,"% ","")))</f>
        <v>NO</v>
      </c>
      <c r="K5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0" s="36" t="str">
        <f>CONCATENATE(K590, IF('Input Sheet'!I607="",""," siderite in "))</f>
        <v/>
      </c>
      <c r="M5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0" s="36" t="str">
        <f>CONCATENATE(M590, IF('Input Sheet'!J607="",""," siderite in "))</f>
        <v/>
      </c>
    </row>
    <row r="591" spans="1:14" x14ac:dyDescent="0.25">
      <c r="A591" s="51" t="str">
        <f>IF('Input Sheet'!C608="","",CONCATENATE("Sample ", 'Input Sheet'!B608, "m: ", L591, F591, "% ", "Siltstone, ", N591, 'Input Sheet'!C608, "% ", H591, " Sandstone, ", J591, I591, " FLUOR in SST. ", "TG ", 'Input Sheet'!H608, "U"))</f>
        <v/>
      </c>
      <c r="F591" s="36" t="str">
        <f>IF('Input Sheet'!C608="","",100-'Input Sheet'!C608)</f>
        <v/>
      </c>
      <c r="G5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1" s="36" t="str">
        <f t="shared" si="9"/>
        <v/>
      </c>
      <c r="I5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1" s="36" t="str">
        <f>IF('Input Sheet'!F608=0, "NO",CONCATENATE('Input Sheet'!F608, IF('Input Sheet'!F608&gt;0,"% ","")))</f>
        <v>NO</v>
      </c>
      <c r="K5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1" s="36" t="str">
        <f>CONCATENATE(K591, IF('Input Sheet'!I608="",""," siderite in "))</f>
        <v/>
      </c>
      <c r="M5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1" s="36" t="str">
        <f>CONCATENATE(M591, IF('Input Sheet'!J608="",""," siderite in "))</f>
        <v/>
      </c>
    </row>
    <row r="592" spans="1:14" x14ac:dyDescent="0.25">
      <c r="A592" s="51" t="str">
        <f>IF('Input Sheet'!C609="","",CONCATENATE("Sample ", 'Input Sheet'!B609, "m: ", L592, F592, "% ", "Siltstone, ", N592, 'Input Sheet'!C609, "% ", H592, " Sandstone, ", J592, I592, " FLUOR in SST. ", "TG ", 'Input Sheet'!H609, "U"))</f>
        <v/>
      </c>
      <c r="F592" s="36" t="str">
        <f>IF('Input Sheet'!C609="","",100-'Input Sheet'!C609)</f>
        <v/>
      </c>
      <c r="G5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2" s="36" t="str">
        <f t="shared" si="9"/>
        <v/>
      </c>
      <c r="I5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2" s="36" t="str">
        <f>IF('Input Sheet'!F609=0, "NO",CONCATENATE('Input Sheet'!F609, IF('Input Sheet'!F609&gt;0,"% ","")))</f>
        <v>NO</v>
      </c>
      <c r="K5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2" s="36" t="str">
        <f>CONCATENATE(K592, IF('Input Sheet'!I609="",""," siderite in "))</f>
        <v/>
      </c>
      <c r="M5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2" s="36" t="str">
        <f>CONCATENATE(M592, IF('Input Sheet'!J609="",""," siderite in "))</f>
        <v/>
      </c>
    </row>
    <row r="593" spans="1:14" x14ac:dyDescent="0.25">
      <c r="A593" s="51" t="str">
        <f>IF('Input Sheet'!C610="","",CONCATENATE("Sample ", 'Input Sheet'!B610, "m: ", L593, F593, "% ", "Siltstone, ", N593, 'Input Sheet'!C610, "% ", H593, " Sandstone, ", J593, I593, " FLUOR in SST. ", "TG ", 'Input Sheet'!H610, "U"))</f>
        <v/>
      </c>
      <c r="F593" s="36" t="str">
        <f>IF('Input Sheet'!C610="","",100-'Input Sheet'!C610)</f>
        <v/>
      </c>
      <c r="G5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3" s="36" t="str">
        <f t="shared" si="9"/>
        <v/>
      </c>
      <c r="I5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3" s="36" t="str">
        <f>IF('Input Sheet'!F610=0, "NO",CONCATENATE('Input Sheet'!F610, IF('Input Sheet'!F610&gt;0,"% ","")))</f>
        <v>NO</v>
      </c>
      <c r="K5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3" s="36" t="str">
        <f>CONCATENATE(K593, IF('Input Sheet'!I610="",""," siderite in "))</f>
        <v/>
      </c>
      <c r="M5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3" s="36" t="str">
        <f>CONCATENATE(M593, IF('Input Sheet'!J610="",""," siderite in "))</f>
        <v/>
      </c>
    </row>
    <row r="594" spans="1:14" x14ac:dyDescent="0.25">
      <c r="A594" s="51" t="str">
        <f>IF('Input Sheet'!C611="","",CONCATENATE("Sample ", 'Input Sheet'!B611, "m: ", L594, F594, "% ", "Siltstone, ", N594, 'Input Sheet'!C611, "% ", H594, " Sandstone, ", J594, I594, " FLUOR in SST. ", "TG ", 'Input Sheet'!H611, "U"))</f>
        <v/>
      </c>
      <c r="F594" s="36" t="str">
        <f>IF('Input Sheet'!C611="","",100-'Input Sheet'!C611)</f>
        <v/>
      </c>
      <c r="G5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4" s="36" t="str">
        <f t="shared" si="9"/>
        <v/>
      </c>
      <c r="I5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4" s="36" t="str">
        <f>IF('Input Sheet'!F611=0, "NO",CONCATENATE('Input Sheet'!F611, IF('Input Sheet'!F611&gt;0,"% ","")))</f>
        <v>NO</v>
      </c>
      <c r="K5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4" s="36" t="str">
        <f>CONCATENATE(K594, IF('Input Sheet'!I611="",""," siderite in "))</f>
        <v/>
      </c>
      <c r="M5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4" s="36" t="str">
        <f>CONCATENATE(M594, IF('Input Sheet'!J611="",""," siderite in "))</f>
        <v/>
      </c>
    </row>
    <row r="595" spans="1:14" x14ac:dyDescent="0.25">
      <c r="A595" s="51" t="str">
        <f>IF('Input Sheet'!C612="","",CONCATENATE("Sample ", 'Input Sheet'!B612, "m: ", L595, F595, "% ", "Siltstone, ", N595, 'Input Sheet'!C612, "% ", H595, " Sandstone, ", J595, I595, " FLUOR in SST. ", "TG ", 'Input Sheet'!H612, "U"))</f>
        <v/>
      </c>
      <c r="F595" s="36" t="str">
        <f>IF('Input Sheet'!C612="","",100-'Input Sheet'!C612)</f>
        <v/>
      </c>
      <c r="G5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5" s="36" t="str">
        <f t="shared" si="9"/>
        <v/>
      </c>
      <c r="I5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5" s="36" t="str">
        <f>IF('Input Sheet'!F612=0, "NO",CONCATENATE('Input Sheet'!F612, IF('Input Sheet'!F612&gt;0,"% ","")))</f>
        <v>NO</v>
      </c>
      <c r="K5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5" s="36" t="str">
        <f>CONCATENATE(K595, IF('Input Sheet'!I612="",""," siderite in "))</f>
        <v/>
      </c>
      <c r="M5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5" s="36" t="str">
        <f>CONCATENATE(M595, IF('Input Sheet'!J612="",""," siderite in "))</f>
        <v/>
      </c>
    </row>
    <row r="596" spans="1:14" x14ac:dyDescent="0.25">
      <c r="A596" s="51" t="str">
        <f>IF('Input Sheet'!C613="","",CONCATENATE("Sample ", 'Input Sheet'!B613, "m: ", L596, F596, "% ", "Siltstone, ", N596, 'Input Sheet'!C613, "% ", H596, " Sandstone, ", J596, I596, " FLUOR in SST. ", "TG ", 'Input Sheet'!H613, "U"))</f>
        <v/>
      </c>
      <c r="F596" s="36" t="str">
        <f>IF('Input Sheet'!C613="","",100-'Input Sheet'!C613)</f>
        <v/>
      </c>
      <c r="G5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6" s="36" t="str">
        <f t="shared" si="9"/>
        <v/>
      </c>
      <c r="I5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6" s="36" t="str">
        <f>IF('Input Sheet'!F613=0, "NO",CONCATENATE('Input Sheet'!F613, IF('Input Sheet'!F613&gt;0,"% ","")))</f>
        <v>NO</v>
      </c>
      <c r="K5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6" s="36" t="str">
        <f>CONCATENATE(K596, IF('Input Sheet'!I613="",""," siderite in "))</f>
        <v/>
      </c>
      <c r="M5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6" s="36" t="str">
        <f>CONCATENATE(M596, IF('Input Sheet'!J613="",""," siderite in "))</f>
        <v/>
      </c>
    </row>
    <row r="597" spans="1:14" x14ac:dyDescent="0.25">
      <c r="A597" s="51" t="str">
        <f>IF('Input Sheet'!C614="","",CONCATENATE("Sample ", 'Input Sheet'!B614, "m: ", L597, F597, "% ", "Siltstone, ", N597, 'Input Sheet'!C614, "% ", H597, " Sandstone, ", J597, I597, " FLUOR in SST. ", "TG ", 'Input Sheet'!H614, "U"))</f>
        <v/>
      </c>
      <c r="F597" s="36" t="str">
        <f>IF('Input Sheet'!C614="","",100-'Input Sheet'!C614)</f>
        <v/>
      </c>
      <c r="G5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7" s="36" t="str">
        <f t="shared" si="9"/>
        <v/>
      </c>
      <c r="I5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7" s="36" t="str">
        <f>IF('Input Sheet'!F614=0, "NO",CONCATENATE('Input Sheet'!F614, IF('Input Sheet'!F614&gt;0,"% ","")))</f>
        <v>NO</v>
      </c>
      <c r="K5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7" s="36" t="str">
        <f>CONCATENATE(K597, IF('Input Sheet'!I614="",""," siderite in "))</f>
        <v/>
      </c>
      <c r="M5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7" s="36" t="str">
        <f>CONCATENATE(M597, IF('Input Sheet'!J614="",""," siderite in "))</f>
        <v/>
      </c>
    </row>
    <row r="598" spans="1:14" x14ac:dyDescent="0.25">
      <c r="A598" s="51" t="str">
        <f>IF('Input Sheet'!C615="","",CONCATENATE("Sample ", 'Input Sheet'!B615, "m: ", L598, F598, "% ", "Siltstone, ", N598, 'Input Sheet'!C615, "% ", H598, " Sandstone, ", J598, I598, " FLUOR in SST. ", "TG ", 'Input Sheet'!H615, "U"))</f>
        <v/>
      </c>
      <c r="F598" s="36" t="str">
        <f>IF('Input Sheet'!C615="","",100-'Input Sheet'!C615)</f>
        <v/>
      </c>
      <c r="G5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8" s="36" t="str">
        <f t="shared" si="9"/>
        <v/>
      </c>
      <c r="I5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8" s="36" t="str">
        <f>IF('Input Sheet'!F615=0, "NO",CONCATENATE('Input Sheet'!F615, IF('Input Sheet'!F615&gt;0,"% ","")))</f>
        <v>NO</v>
      </c>
      <c r="K5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8" s="36" t="str">
        <f>CONCATENATE(K598, IF('Input Sheet'!I615="",""," siderite in "))</f>
        <v/>
      </c>
      <c r="M5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8" s="36" t="str">
        <f>CONCATENATE(M598, IF('Input Sheet'!J615="",""," siderite in "))</f>
        <v/>
      </c>
    </row>
    <row r="599" spans="1:14" x14ac:dyDescent="0.25">
      <c r="A599" s="51" t="str">
        <f>IF('Input Sheet'!C616="","",CONCATENATE("Sample ", 'Input Sheet'!B616, "m: ", L599, F599, "% ", "Siltstone, ", N599, 'Input Sheet'!C616, "% ", H599, " Sandstone, ", J599, I599, " FLUOR in SST. ", "TG ", 'Input Sheet'!H616, "U"))</f>
        <v/>
      </c>
      <c r="F599" s="36" t="str">
        <f>IF('Input Sheet'!C616="","",100-'Input Sheet'!C616)</f>
        <v/>
      </c>
      <c r="G5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599" s="36" t="str">
        <f t="shared" si="9"/>
        <v/>
      </c>
      <c r="I5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599" s="36" t="str">
        <f>IF('Input Sheet'!F616=0, "NO",CONCATENATE('Input Sheet'!F616, IF('Input Sheet'!F616&gt;0,"% ","")))</f>
        <v>NO</v>
      </c>
      <c r="K5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599" s="36" t="str">
        <f>CONCATENATE(K599, IF('Input Sheet'!I616="",""," siderite in "))</f>
        <v/>
      </c>
      <c r="M5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599" s="36" t="str">
        <f>CONCATENATE(M599, IF('Input Sheet'!J616="",""," siderite in "))</f>
        <v/>
      </c>
    </row>
    <row r="600" spans="1:14" x14ac:dyDescent="0.25">
      <c r="A600" s="51" t="str">
        <f>IF('Input Sheet'!C617="","",CONCATENATE("Sample ", 'Input Sheet'!B617, "m: ", L600, F600, "% ", "Siltstone, ", N600, 'Input Sheet'!C617, "% ", H600, " Sandstone, ", J600, I600, " FLUOR in SST. ", "TG ", 'Input Sheet'!H617, "U"))</f>
        <v/>
      </c>
      <c r="F600" s="36" t="str">
        <f>IF('Input Sheet'!C617="","",100-'Input Sheet'!C617)</f>
        <v/>
      </c>
      <c r="G6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0" s="36" t="str">
        <f t="shared" si="9"/>
        <v/>
      </c>
      <c r="I6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0" s="36" t="str">
        <f>IF('Input Sheet'!F617=0, "NO",CONCATENATE('Input Sheet'!F617, IF('Input Sheet'!F617&gt;0,"% ","")))</f>
        <v>NO</v>
      </c>
      <c r="K6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0" s="36" t="str">
        <f>CONCATENATE(K600, IF('Input Sheet'!I617="",""," siderite in "))</f>
        <v/>
      </c>
      <c r="M6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0" s="36" t="str">
        <f>CONCATENATE(M600, IF('Input Sheet'!J617="",""," siderite in "))</f>
        <v/>
      </c>
    </row>
    <row r="601" spans="1:14" x14ac:dyDescent="0.25">
      <c r="A601" s="51" t="str">
        <f>IF('Input Sheet'!C618="","",CONCATENATE("Sample ", 'Input Sheet'!B618, "m: ", L601, F601, "% ", "Siltstone, ", N601, 'Input Sheet'!C618, "% ", H601, " Sandstone, ", J601, I601, " FLUOR in SST. ", "TG ", 'Input Sheet'!H618, "U"))</f>
        <v/>
      </c>
      <c r="F601" s="36" t="str">
        <f>IF('Input Sheet'!C618="","",100-'Input Sheet'!C618)</f>
        <v/>
      </c>
      <c r="G6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1" s="36" t="str">
        <f t="shared" si="9"/>
        <v/>
      </c>
      <c r="I6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1" s="36" t="str">
        <f>IF('Input Sheet'!F618=0, "NO",CONCATENATE('Input Sheet'!F618, IF('Input Sheet'!F618&gt;0,"% ","")))</f>
        <v>NO</v>
      </c>
      <c r="K6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1" s="36" t="str">
        <f>CONCATENATE(K601, IF('Input Sheet'!I618="",""," siderite in "))</f>
        <v/>
      </c>
      <c r="M6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1" s="36" t="str">
        <f>CONCATENATE(M601, IF('Input Sheet'!J618="",""," siderite in "))</f>
        <v/>
      </c>
    </row>
    <row r="602" spans="1:14" x14ac:dyDescent="0.25">
      <c r="A602" s="51" t="str">
        <f>IF('Input Sheet'!C619="","",CONCATENATE("Sample ", 'Input Sheet'!B619, "m: ", L602, F602, "% ", "Siltstone, ", N602, 'Input Sheet'!C619, "% ", H602, " Sandstone, ", J602, I602, " FLUOR in SST. ", "TG ", 'Input Sheet'!H619, "U"))</f>
        <v/>
      </c>
      <c r="F602" s="36" t="str">
        <f>IF('Input Sheet'!C619="","",100-'Input Sheet'!C619)</f>
        <v/>
      </c>
      <c r="G6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2" s="36" t="str">
        <f t="shared" si="9"/>
        <v/>
      </c>
      <c r="I6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2" s="36" t="str">
        <f>IF('Input Sheet'!F619=0, "NO",CONCATENATE('Input Sheet'!F619, IF('Input Sheet'!F619&gt;0,"% ","")))</f>
        <v>NO</v>
      </c>
      <c r="K6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2" s="36" t="str">
        <f>CONCATENATE(K602, IF('Input Sheet'!I619="",""," siderite in "))</f>
        <v/>
      </c>
      <c r="M6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2" s="36" t="str">
        <f>CONCATENATE(M602, IF('Input Sheet'!J619="",""," siderite in "))</f>
        <v/>
      </c>
    </row>
    <row r="603" spans="1:14" x14ac:dyDescent="0.25">
      <c r="A603" s="51" t="str">
        <f>IF('Input Sheet'!C620="","",CONCATENATE("Sample ", 'Input Sheet'!B620, "m: ", L603, F603, "% ", "Siltstone, ", N603, 'Input Sheet'!C620, "% ", H603, " Sandstone, ", J603, I603, " FLUOR in SST. ", "TG ", 'Input Sheet'!H620, "U"))</f>
        <v/>
      </c>
      <c r="F603" s="36" t="str">
        <f>IF('Input Sheet'!C620="","",100-'Input Sheet'!C620)</f>
        <v/>
      </c>
      <c r="G6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3" s="36" t="str">
        <f t="shared" si="9"/>
        <v/>
      </c>
      <c r="I6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3" s="36" t="str">
        <f>IF('Input Sheet'!F620=0, "NO",CONCATENATE('Input Sheet'!F620, IF('Input Sheet'!F620&gt;0,"% ","")))</f>
        <v>NO</v>
      </c>
      <c r="K6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3" s="36" t="str">
        <f>CONCATENATE(K603, IF('Input Sheet'!I620="",""," siderite in "))</f>
        <v/>
      </c>
      <c r="M6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3" s="36" t="str">
        <f>CONCATENATE(M603, IF('Input Sheet'!J620="",""," siderite in "))</f>
        <v/>
      </c>
    </row>
    <row r="604" spans="1:14" x14ac:dyDescent="0.25">
      <c r="A604" s="51" t="str">
        <f>IF('Input Sheet'!C621="","",CONCATENATE("Sample ", 'Input Sheet'!B621, "m: ", L604, F604, "% ", "Siltstone, ", N604, 'Input Sheet'!C621, "% ", H604, " Sandstone, ", J604, I604, " FLUOR in SST. ", "TG ", 'Input Sheet'!H621, "U"))</f>
        <v/>
      </c>
      <c r="F604" s="36" t="str">
        <f>IF('Input Sheet'!C621="","",100-'Input Sheet'!C621)</f>
        <v/>
      </c>
      <c r="G6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4" s="36" t="str">
        <f t="shared" si="9"/>
        <v/>
      </c>
      <c r="I6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4" s="36" t="str">
        <f>IF('Input Sheet'!F621=0, "NO",CONCATENATE('Input Sheet'!F621, IF('Input Sheet'!F621&gt;0,"% ","")))</f>
        <v>NO</v>
      </c>
      <c r="K6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4" s="36" t="str">
        <f>CONCATENATE(K604, IF('Input Sheet'!I621="",""," siderite in "))</f>
        <v/>
      </c>
      <c r="M6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4" s="36" t="str">
        <f>CONCATENATE(M604, IF('Input Sheet'!J621="",""," siderite in "))</f>
        <v/>
      </c>
    </row>
    <row r="605" spans="1:14" x14ac:dyDescent="0.25">
      <c r="A605" s="51" t="str">
        <f>IF('Input Sheet'!C622="","",CONCATENATE("Sample ", 'Input Sheet'!B622, "m: ", L605, F605, "% ", "Siltstone, ", N605, 'Input Sheet'!C622, "% ", H605, " Sandstone, ", J605, I605, " FLUOR in SST. ", "TG ", 'Input Sheet'!H622, "U"))</f>
        <v/>
      </c>
      <c r="F605" s="36" t="str">
        <f>IF('Input Sheet'!C622="","",100-'Input Sheet'!C622)</f>
        <v/>
      </c>
      <c r="G6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5" s="36" t="str">
        <f t="shared" si="9"/>
        <v/>
      </c>
      <c r="I6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5" s="36" t="str">
        <f>IF('Input Sheet'!F622=0, "NO",CONCATENATE('Input Sheet'!F622, IF('Input Sheet'!F622&gt;0,"% ","")))</f>
        <v>NO</v>
      </c>
      <c r="K6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5" s="36" t="str">
        <f>CONCATENATE(K605, IF('Input Sheet'!I622="",""," siderite in "))</f>
        <v/>
      </c>
      <c r="M6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5" s="36" t="str">
        <f>CONCATENATE(M605, IF('Input Sheet'!J622="",""," siderite in "))</f>
        <v/>
      </c>
    </row>
    <row r="606" spans="1:14" x14ac:dyDescent="0.25">
      <c r="A606" s="51" t="str">
        <f>IF('Input Sheet'!C623="","",CONCATENATE("Sample ", 'Input Sheet'!B623, "m: ", L606, F606, "% ", "Siltstone, ", N606, 'Input Sheet'!C623, "% ", H606, " Sandstone, ", J606, I606, " FLUOR in SST. ", "TG ", 'Input Sheet'!H623, "U"))</f>
        <v/>
      </c>
      <c r="F606" s="36" t="str">
        <f>IF('Input Sheet'!C623="","",100-'Input Sheet'!C623)</f>
        <v/>
      </c>
      <c r="G6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6" s="36" t="str">
        <f t="shared" si="9"/>
        <v/>
      </c>
      <c r="I6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6" s="36" t="str">
        <f>IF('Input Sheet'!F623=0, "NO",CONCATENATE('Input Sheet'!F623, IF('Input Sheet'!F623&gt;0,"% ","")))</f>
        <v>NO</v>
      </c>
      <c r="K6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6" s="36" t="str">
        <f>CONCATENATE(K606, IF('Input Sheet'!I623="",""," siderite in "))</f>
        <v/>
      </c>
      <c r="M6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6" s="36" t="str">
        <f>CONCATENATE(M606, IF('Input Sheet'!J623="",""," siderite in "))</f>
        <v/>
      </c>
    </row>
    <row r="607" spans="1:14" x14ac:dyDescent="0.25">
      <c r="A607" s="51" t="str">
        <f>IF('Input Sheet'!C624="","",CONCATENATE("Sample ", 'Input Sheet'!B624, "m: ", L607, F607, "% ", "Siltstone, ", N607, 'Input Sheet'!C624, "% ", H607, " Sandstone, ", J607, I607, " FLUOR in SST. ", "TG ", 'Input Sheet'!H624, "U"))</f>
        <v/>
      </c>
      <c r="F607" s="36" t="str">
        <f>IF('Input Sheet'!C624="","",100-'Input Sheet'!C624)</f>
        <v/>
      </c>
      <c r="G6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7" s="36" t="str">
        <f t="shared" si="9"/>
        <v/>
      </c>
      <c r="I6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7" s="36" t="str">
        <f>IF('Input Sheet'!F624=0, "NO",CONCATENATE('Input Sheet'!F624, IF('Input Sheet'!F624&gt;0,"% ","")))</f>
        <v>NO</v>
      </c>
      <c r="K6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7" s="36" t="str">
        <f>CONCATENATE(K607, IF('Input Sheet'!I624="",""," siderite in "))</f>
        <v/>
      </c>
      <c r="M6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7" s="36" t="str">
        <f>CONCATENATE(M607, IF('Input Sheet'!J624="",""," siderite in "))</f>
        <v/>
      </c>
    </row>
    <row r="608" spans="1:14" x14ac:dyDescent="0.25">
      <c r="A608" s="51" t="str">
        <f>IF('Input Sheet'!C625="","",CONCATENATE("Sample ", 'Input Sheet'!B625, "m: ", L608, F608, "% ", "Siltstone, ", N608, 'Input Sheet'!C625, "% ", H608, " Sandstone, ", J608, I608, " FLUOR in SST. ", "TG ", 'Input Sheet'!H625, "U"))</f>
        <v/>
      </c>
      <c r="F608" s="36" t="str">
        <f>IF('Input Sheet'!C625="","",100-'Input Sheet'!C625)</f>
        <v/>
      </c>
      <c r="G6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8" s="36" t="str">
        <f t="shared" si="9"/>
        <v/>
      </c>
      <c r="I6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8" s="36" t="str">
        <f>IF('Input Sheet'!F625=0, "NO",CONCATENATE('Input Sheet'!F625, IF('Input Sheet'!F625&gt;0,"% ","")))</f>
        <v>NO</v>
      </c>
      <c r="K6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8" s="36" t="str">
        <f>CONCATENATE(K608, IF('Input Sheet'!I625="",""," siderite in "))</f>
        <v/>
      </c>
      <c r="M6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8" s="36" t="str">
        <f>CONCATENATE(M608, IF('Input Sheet'!J625="",""," siderite in "))</f>
        <v/>
      </c>
    </row>
    <row r="609" spans="1:14" x14ac:dyDescent="0.25">
      <c r="A609" s="51" t="str">
        <f>IF('Input Sheet'!C626="","",CONCATENATE("Sample ", 'Input Sheet'!B626, "m: ", L609, F609, "% ", "Siltstone, ", N609, 'Input Sheet'!C626, "% ", H609, " Sandstone, ", J609, I609, " FLUOR in SST. ", "TG ", 'Input Sheet'!H626, "U"))</f>
        <v/>
      </c>
      <c r="F609" s="36" t="str">
        <f>IF('Input Sheet'!C626="","",100-'Input Sheet'!C626)</f>
        <v/>
      </c>
      <c r="G6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09" s="36" t="str">
        <f t="shared" si="9"/>
        <v/>
      </c>
      <c r="I6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09" s="36" t="str">
        <f>IF('Input Sheet'!F626=0, "NO",CONCATENATE('Input Sheet'!F626, IF('Input Sheet'!F626&gt;0,"% ","")))</f>
        <v>NO</v>
      </c>
      <c r="K6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09" s="36" t="str">
        <f>CONCATENATE(K609, IF('Input Sheet'!I626="",""," siderite in "))</f>
        <v/>
      </c>
      <c r="M6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09" s="36" t="str">
        <f>CONCATENATE(M609, IF('Input Sheet'!J626="",""," siderite in "))</f>
        <v/>
      </c>
    </row>
    <row r="610" spans="1:14" x14ac:dyDescent="0.25">
      <c r="A610" s="51" t="str">
        <f>IF('Input Sheet'!C627="","",CONCATENATE("Sample ", 'Input Sheet'!B627, "m: ", L610, F610, "% ", "Siltstone, ", N610, 'Input Sheet'!C627, "% ", H610, " Sandstone, ", J610, I610, " FLUOR in SST. ", "TG ", 'Input Sheet'!H627, "U"))</f>
        <v/>
      </c>
      <c r="F610" s="36" t="str">
        <f>IF('Input Sheet'!C627="","",100-'Input Sheet'!C627)</f>
        <v/>
      </c>
      <c r="G6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0" s="36" t="str">
        <f t="shared" si="9"/>
        <v/>
      </c>
      <c r="I6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0" s="36" t="str">
        <f>IF('Input Sheet'!F627=0, "NO",CONCATENATE('Input Sheet'!F627, IF('Input Sheet'!F627&gt;0,"% ","")))</f>
        <v>NO</v>
      </c>
      <c r="K6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0" s="36" t="str">
        <f>CONCATENATE(K610, IF('Input Sheet'!I627="",""," siderite in "))</f>
        <v/>
      </c>
      <c r="M6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0" s="36" t="str">
        <f>CONCATENATE(M610, IF('Input Sheet'!J627="",""," siderite in "))</f>
        <v/>
      </c>
    </row>
    <row r="611" spans="1:14" x14ac:dyDescent="0.25">
      <c r="A611" s="51" t="str">
        <f>IF('Input Sheet'!C628="","",CONCATENATE("Sample ", 'Input Sheet'!B628, "m: ", L611, F611, "% ", "Siltstone, ", N611, 'Input Sheet'!C628, "% ", H611, " Sandstone, ", J611, I611, " FLUOR in SST. ", "TG ", 'Input Sheet'!H628, "U"))</f>
        <v/>
      </c>
      <c r="F611" s="36" t="str">
        <f>IF('Input Sheet'!C628="","",100-'Input Sheet'!C628)</f>
        <v/>
      </c>
      <c r="G6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1" s="36" t="str">
        <f t="shared" si="9"/>
        <v/>
      </c>
      <c r="I6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1" s="36" t="str">
        <f>IF('Input Sheet'!F628=0, "NO",CONCATENATE('Input Sheet'!F628, IF('Input Sheet'!F628&gt;0,"% ","")))</f>
        <v>NO</v>
      </c>
      <c r="K6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1" s="36" t="str">
        <f>CONCATENATE(K611, IF('Input Sheet'!I628="",""," siderite in "))</f>
        <v/>
      </c>
      <c r="M6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1" s="36" t="str">
        <f>CONCATENATE(M611, IF('Input Sheet'!J628="",""," siderite in "))</f>
        <v/>
      </c>
    </row>
    <row r="612" spans="1:14" x14ac:dyDescent="0.25">
      <c r="A612" s="51" t="str">
        <f>IF('Input Sheet'!C629="","",CONCATENATE("Sample ", 'Input Sheet'!B629, "m: ", L612, F612, "% ", "Siltstone, ", N612, 'Input Sheet'!C629, "% ", H612, " Sandstone, ", J612, I612, " FLUOR in SST. ", "TG ", 'Input Sheet'!H629, "U"))</f>
        <v/>
      </c>
      <c r="F612" s="36" t="str">
        <f>IF('Input Sheet'!C629="","",100-'Input Sheet'!C629)</f>
        <v/>
      </c>
      <c r="G6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2" s="36" t="str">
        <f t="shared" si="9"/>
        <v/>
      </c>
      <c r="I6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2" s="36" t="str">
        <f>IF('Input Sheet'!F629=0, "NO",CONCATENATE('Input Sheet'!F629, IF('Input Sheet'!F629&gt;0,"% ","")))</f>
        <v>NO</v>
      </c>
      <c r="K6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2" s="36" t="str">
        <f>CONCATENATE(K612, IF('Input Sheet'!I629="",""," siderite in "))</f>
        <v/>
      </c>
      <c r="M6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2" s="36" t="str">
        <f>CONCATENATE(M612, IF('Input Sheet'!J629="",""," siderite in "))</f>
        <v/>
      </c>
    </row>
    <row r="613" spans="1:14" x14ac:dyDescent="0.25">
      <c r="A613" s="51" t="str">
        <f>IF('Input Sheet'!C630="","",CONCATENATE("Sample ", 'Input Sheet'!B630, "m: ", L613, F613, "% ", "Siltstone, ", N613, 'Input Sheet'!C630, "% ", H613, " Sandstone, ", J613, I613, " FLUOR in SST. ", "TG ", 'Input Sheet'!H630, "U"))</f>
        <v/>
      </c>
      <c r="F613" s="36" t="str">
        <f>IF('Input Sheet'!C630="","",100-'Input Sheet'!C630)</f>
        <v/>
      </c>
      <c r="G6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3" s="36" t="str">
        <f t="shared" si="9"/>
        <v/>
      </c>
      <c r="I6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3" s="36" t="str">
        <f>IF('Input Sheet'!F630=0, "NO",CONCATENATE('Input Sheet'!F630, IF('Input Sheet'!F630&gt;0,"% ","")))</f>
        <v>NO</v>
      </c>
      <c r="K6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3" s="36" t="str">
        <f>CONCATENATE(K613, IF('Input Sheet'!I630="",""," siderite in "))</f>
        <v/>
      </c>
      <c r="M6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3" s="36" t="str">
        <f>CONCATENATE(M613, IF('Input Sheet'!J630="",""," siderite in "))</f>
        <v/>
      </c>
    </row>
    <row r="614" spans="1:14" x14ac:dyDescent="0.25">
      <c r="A614" s="51" t="str">
        <f>IF('Input Sheet'!C631="","",CONCATENATE("Sample ", 'Input Sheet'!B631, "m: ", L614, F614, "% ", "Siltstone, ", N614, 'Input Sheet'!C631, "% ", H614, " Sandstone, ", J614, I614, " FLUOR in SST. ", "TG ", 'Input Sheet'!H631, "U"))</f>
        <v/>
      </c>
      <c r="F614" s="36" t="str">
        <f>IF('Input Sheet'!C631="","",100-'Input Sheet'!C631)</f>
        <v/>
      </c>
      <c r="G6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4" s="36" t="str">
        <f t="shared" si="9"/>
        <v/>
      </c>
      <c r="I6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4" s="36" t="str">
        <f>IF('Input Sheet'!F631=0, "NO",CONCATENATE('Input Sheet'!F631, IF('Input Sheet'!F631&gt;0,"% ","")))</f>
        <v>NO</v>
      </c>
      <c r="K6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4" s="36" t="str">
        <f>CONCATENATE(K614, IF('Input Sheet'!I631="",""," siderite in "))</f>
        <v/>
      </c>
      <c r="M6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4" s="36" t="str">
        <f>CONCATENATE(M614, IF('Input Sheet'!J631="",""," siderite in "))</f>
        <v/>
      </c>
    </row>
    <row r="615" spans="1:14" x14ac:dyDescent="0.25">
      <c r="A615" s="51" t="str">
        <f>IF('Input Sheet'!C632="","",CONCATENATE("Sample ", 'Input Sheet'!B632, "m: ", L615, F615, "% ", "Siltstone, ", N615, 'Input Sheet'!C632, "% ", H615, " Sandstone, ", J615, I615, " FLUOR in SST. ", "TG ", 'Input Sheet'!H632, "U"))</f>
        <v/>
      </c>
      <c r="F615" s="36" t="str">
        <f>IF('Input Sheet'!C632="","",100-'Input Sheet'!C632)</f>
        <v/>
      </c>
      <c r="G6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5" s="36" t="str">
        <f t="shared" si="9"/>
        <v/>
      </c>
      <c r="I6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5" s="36" t="str">
        <f>IF('Input Sheet'!F632=0, "NO",CONCATENATE('Input Sheet'!F632, IF('Input Sheet'!F632&gt;0,"% ","")))</f>
        <v>NO</v>
      </c>
      <c r="K6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5" s="36" t="str">
        <f>CONCATENATE(K615, IF('Input Sheet'!I632="",""," siderite in "))</f>
        <v/>
      </c>
      <c r="M6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5" s="36" t="str">
        <f>CONCATENATE(M615, IF('Input Sheet'!J632="",""," siderite in "))</f>
        <v/>
      </c>
    </row>
    <row r="616" spans="1:14" x14ac:dyDescent="0.25">
      <c r="A616" s="51" t="str">
        <f>IF('Input Sheet'!C633="","",CONCATENATE("Sample ", 'Input Sheet'!B633, "m: ", L616, F616, "% ", "Siltstone, ", N616, 'Input Sheet'!C633, "% ", H616, " Sandstone, ", J616, I616, " FLUOR in SST. ", "TG ", 'Input Sheet'!H633, "U"))</f>
        <v/>
      </c>
      <c r="F616" s="36" t="str">
        <f>IF('Input Sheet'!C633="","",100-'Input Sheet'!C633)</f>
        <v/>
      </c>
      <c r="G6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6" s="36" t="str">
        <f t="shared" si="9"/>
        <v/>
      </c>
      <c r="I6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6" s="36" t="str">
        <f>IF('Input Sheet'!F633=0, "NO",CONCATENATE('Input Sheet'!F633, IF('Input Sheet'!F633&gt;0,"% ","")))</f>
        <v>NO</v>
      </c>
      <c r="K6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6" s="36" t="str">
        <f>CONCATENATE(K616, IF('Input Sheet'!I633="",""," siderite in "))</f>
        <v/>
      </c>
      <c r="M6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6" s="36" t="str">
        <f>CONCATENATE(M616, IF('Input Sheet'!J633="",""," siderite in "))</f>
        <v/>
      </c>
    </row>
    <row r="617" spans="1:14" x14ac:dyDescent="0.25">
      <c r="A617" s="51" t="str">
        <f>IF('Input Sheet'!C634="","",CONCATENATE("Sample ", 'Input Sheet'!B634, "m: ", L617, F617, "% ", "Siltstone, ", N617, 'Input Sheet'!C634, "% ", H617, " Sandstone, ", J617, I617, " FLUOR in SST. ", "TG ", 'Input Sheet'!H634, "U"))</f>
        <v/>
      </c>
      <c r="F617" s="36" t="str">
        <f>IF('Input Sheet'!C634="","",100-'Input Sheet'!C634)</f>
        <v/>
      </c>
      <c r="G6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7" s="36" t="str">
        <f t="shared" si="9"/>
        <v/>
      </c>
      <c r="I6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7" s="36" t="str">
        <f>IF('Input Sheet'!F634=0, "NO",CONCATENATE('Input Sheet'!F634, IF('Input Sheet'!F634&gt;0,"% ","")))</f>
        <v>NO</v>
      </c>
      <c r="K6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7" s="36" t="str">
        <f>CONCATENATE(K617, IF('Input Sheet'!I634="",""," siderite in "))</f>
        <v/>
      </c>
      <c r="M6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7" s="36" t="str">
        <f>CONCATENATE(M617, IF('Input Sheet'!J634="",""," siderite in "))</f>
        <v/>
      </c>
    </row>
    <row r="618" spans="1:14" x14ac:dyDescent="0.25">
      <c r="A618" s="51" t="str">
        <f>IF('Input Sheet'!C635="","",CONCATENATE("Sample ", 'Input Sheet'!B635, "m: ", L618, F618, "% ", "Siltstone, ", N618, 'Input Sheet'!C635, "% ", H618, " Sandstone, ", J618, I618, " FLUOR in SST. ", "TG ", 'Input Sheet'!H635, "U"))</f>
        <v/>
      </c>
      <c r="F618" s="36" t="str">
        <f>IF('Input Sheet'!C635="","",100-'Input Sheet'!C635)</f>
        <v/>
      </c>
      <c r="G6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8" s="36" t="str">
        <f t="shared" si="9"/>
        <v/>
      </c>
      <c r="I6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8" s="36" t="str">
        <f>IF('Input Sheet'!F635=0, "NO",CONCATENATE('Input Sheet'!F635, IF('Input Sheet'!F635&gt;0,"% ","")))</f>
        <v>NO</v>
      </c>
      <c r="K6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8" s="36" t="str">
        <f>CONCATENATE(K618, IF('Input Sheet'!I635="",""," siderite in "))</f>
        <v/>
      </c>
      <c r="M6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8" s="36" t="str">
        <f>CONCATENATE(M618, IF('Input Sheet'!J635="",""," siderite in "))</f>
        <v/>
      </c>
    </row>
    <row r="619" spans="1:14" x14ac:dyDescent="0.25">
      <c r="A619" s="51" t="str">
        <f>IF('Input Sheet'!C636="","",CONCATENATE("Sample ", 'Input Sheet'!B636, "m: ", L619, F619, "% ", "Siltstone, ", N619, 'Input Sheet'!C636, "% ", H619, " Sandstone, ", J619, I619, " FLUOR in SST. ", "TG ", 'Input Sheet'!H636, "U"))</f>
        <v/>
      </c>
      <c r="F619" s="36" t="str">
        <f>IF('Input Sheet'!C636="","",100-'Input Sheet'!C636)</f>
        <v/>
      </c>
      <c r="G6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19" s="36" t="str">
        <f t="shared" si="9"/>
        <v/>
      </c>
      <c r="I6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19" s="36" t="str">
        <f>IF('Input Sheet'!F636=0, "NO",CONCATENATE('Input Sheet'!F636, IF('Input Sheet'!F636&gt;0,"% ","")))</f>
        <v>NO</v>
      </c>
      <c r="K6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19" s="36" t="str">
        <f>CONCATENATE(K619, IF('Input Sheet'!I636="",""," siderite in "))</f>
        <v/>
      </c>
      <c r="M6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19" s="36" t="str">
        <f>CONCATENATE(M619, IF('Input Sheet'!J636="",""," siderite in "))</f>
        <v/>
      </c>
    </row>
    <row r="620" spans="1:14" x14ac:dyDescent="0.25">
      <c r="A620" s="51" t="str">
        <f>IF('Input Sheet'!C637="","",CONCATENATE("Sample ", 'Input Sheet'!B637, "m: ", L620, F620, "% ", "Siltstone, ", N620, 'Input Sheet'!C637, "% ", H620, " Sandstone, ", J620, I620, " FLUOR in SST. ", "TG ", 'Input Sheet'!H637, "U"))</f>
        <v/>
      </c>
      <c r="F620" s="36" t="str">
        <f>IF('Input Sheet'!C637="","",100-'Input Sheet'!C637)</f>
        <v/>
      </c>
      <c r="G6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0" s="36" t="str">
        <f t="shared" si="9"/>
        <v/>
      </c>
      <c r="I6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0" s="36" t="str">
        <f>IF('Input Sheet'!F637=0, "NO",CONCATENATE('Input Sheet'!F637, IF('Input Sheet'!F637&gt;0,"% ","")))</f>
        <v>NO</v>
      </c>
      <c r="K6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0" s="36" t="str">
        <f>CONCATENATE(K620, IF('Input Sheet'!I637="",""," siderite in "))</f>
        <v/>
      </c>
      <c r="M6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0" s="36" t="str">
        <f>CONCATENATE(M620, IF('Input Sheet'!J637="",""," siderite in "))</f>
        <v/>
      </c>
    </row>
    <row r="621" spans="1:14" x14ac:dyDescent="0.25">
      <c r="A621" s="51" t="str">
        <f>IF('Input Sheet'!C638="","",CONCATENATE("Sample ", 'Input Sheet'!B638, "m: ", L621, F621, "% ", "Siltstone, ", N621, 'Input Sheet'!C638, "% ", H621, " Sandstone, ", J621, I621, " FLUOR in SST. ", "TG ", 'Input Sheet'!H638, "U"))</f>
        <v/>
      </c>
      <c r="F621" s="36" t="str">
        <f>IF('Input Sheet'!C638="","",100-'Input Sheet'!C638)</f>
        <v/>
      </c>
      <c r="G6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1" s="36" t="str">
        <f t="shared" si="9"/>
        <v/>
      </c>
      <c r="I6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1" s="36" t="str">
        <f>IF('Input Sheet'!F638=0, "NO",CONCATENATE('Input Sheet'!F638, IF('Input Sheet'!F638&gt;0,"% ","")))</f>
        <v>NO</v>
      </c>
      <c r="K6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1" s="36" t="str">
        <f>CONCATENATE(K621, IF('Input Sheet'!I638="",""," siderite in "))</f>
        <v/>
      </c>
      <c r="M6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1" s="36" t="str">
        <f>CONCATENATE(M621, IF('Input Sheet'!J638="",""," siderite in "))</f>
        <v/>
      </c>
    </row>
    <row r="622" spans="1:14" x14ac:dyDescent="0.25">
      <c r="A622" s="51" t="str">
        <f>IF('Input Sheet'!C639="","",CONCATENATE("Sample ", 'Input Sheet'!B639, "m: ", L622, F622, "% ", "Siltstone, ", N622, 'Input Sheet'!C639, "% ", H622, " Sandstone, ", J622, I622, " FLUOR in SST. ", "TG ", 'Input Sheet'!H639, "U"))</f>
        <v/>
      </c>
      <c r="F622" s="36" t="str">
        <f>IF('Input Sheet'!C639="","",100-'Input Sheet'!C639)</f>
        <v/>
      </c>
      <c r="G6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2" s="36" t="str">
        <f t="shared" si="9"/>
        <v/>
      </c>
      <c r="I6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2" s="36" t="str">
        <f>IF('Input Sheet'!F639=0, "NO",CONCATENATE('Input Sheet'!F639, IF('Input Sheet'!F639&gt;0,"% ","")))</f>
        <v>NO</v>
      </c>
      <c r="K6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2" s="36" t="str">
        <f>CONCATENATE(K622, IF('Input Sheet'!I639="",""," siderite in "))</f>
        <v/>
      </c>
      <c r="M6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2" s="36" t="str">
        <f>CONCATENATE(M622, IF('Input Sheet'!J639="",""," siderite in "))</f>
        <v/>
      </c>
    </row>
    <row r="623" spans="1:14" x14ac:dyDescent="0.25">
      <c r="A623" s="51" t="str">
        <f>IF('Input Sheet'!C640="","",CONCATENATE("Sample ", 'Input Sheet'!B640, "m: ", L623, F623, "% ", "Siltstone, ", N623, 'Input Sheet'!C640, "% ", H623, " Sandstone, ", J623, I623, " FLUOR in SST. ", "TG ", 'Input Sheet'!H640, "U"))</f>
        <v/>
      </c>
      <c r="F623" s="36" t="str">
        <f>IF('Input Sheet'!C640="","",100-'Input Sheet'!C640)</f>
        <v/>
      </c>
      <c r="G6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3" s="36" t="str">
        <f t="shared" si="9"/>
        <v/>
      </c>
      <c r="I6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3" s="36" t="str">
        <f>IF('Input Sheet'!F640=0, "NO",CONCATENATE('Input Sheet'!F640, IF('Input Sheet'!F640&gt;0,"% ","")))</f>
        <v>NO</v>
      </c>
      <c r="K6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3" s="36" t="str">
        <f>CONCATENATE(K623, IF('Input Sheet'!I640="",""," siderite in "))</f>
        <v/>
      </c>
      <c r="M6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3" s="36" t="str">
        <f>CONCATENATE(M623, IF('Input Sheet'!J640="",""," siderite in "))</f>
        <v/>
      </c>
    </row>
    <row r="624" spans="1:14" x14ac:dyDescent="0.25">
      <c r="A624" s="51" t="str">
        <f>IF('Input Sheet'!C641="","",CONCATENATE("Sample ", 'Input Sheet'!B641, "m: ", L624, F624, "% ", "Siltstone, ", N624, 'Input Sheet'!C641, "% ", H624, " Sandstone, ", J624, I624, " FLUOR in SST. ", "TG ", 'Input Sheet'!H641, "U"))</f>
        <v/>
      </c>
      <c r="F624" s="36" t="str">
        <f>IF('Input Sheet'!C641="","",100-'Input Sheet'!C641)</f>
        <v/>
      </c>
      <c r="G6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4" s="36" t="str">
        <f t="shared" si="9"/>
        <v/>
      </c>
      <c r="I6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4" s="36" t="str">
        <f>IF('Input Sheet'!F641=0, "NO",CONCATENATE('Input Sheet'!F641, IF('Input Sheet'!F641&gt;0,"% ","")))</f>
        <v>NO</v>
      </c>
      <c r="K6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4" s="36" t="str">
        <f>CONCATENATE(K624, IF('Input Sheet'!I641="",""," siderite in "))</f>
        <v/>
      </c>
      <c r="M6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4" s="36" t="str">
        <f>CONCATENATE(M624, IF('Input Sheet'!J641="",""," siderite in "))</f>
        <v/>
      </c>
    </row>
    <row r="625" spans="1:14" x14ac:dyDescent="0.25">
      <c r="A625" s="51" t="str">
        <f>IF('Input Sheet'!C642="","",CONCATENATE("Sample ", 'Input Sheet'!B642, "m: ", L625, F625, "% ", "Siltstone, ", N625, 'Input Sheet'!C642, "% ", H625, " Sandstone, ", J625, I625, " FLUOR in SST. ", "TG ", 'Input Sheet'!H642, "U"))</f>
        <v/>
      </c>
      <c r="F625" s="36" t="str">
        <f>IF('Input Sheet'!C642="","",100-'Input Sheet'!C642)</f>
        <v/>
      </c>
      <c r="G6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5" s="36" t="str">
        <f t="shared" si="9"/>
        <v/>
      </c>
      <c r="I6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5" s="36" t="str">
        <f>IF('Input Sheet'!F642=0, "NO",CONCATENATE('Input Sheet'!F642, IF('Input Sheet'!F642&gt;0,"% ","")))</f>
        <v>NO</v>
      </c>
      <c r="K6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5" s="36" t="str">
        <f>CONCATENATE(K625, IF('Input Sheet'!I642="",""," siderite in "))</f>
        <v/>
      </c>
      <c r="M6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5" s="36" t="str">
        <f>CONCATENATE(M625, IF('Input Sheet'!J642="",""," siderite in "))</f>
        <v/>
      </c>
    </row>
    <row r="626" spans="1:14" x14ac:dyDescent="0.25">
      <c r="A626" s="51" t="str">
        <f>IF('Input Sheet'!C643="","",CONCATENATE("Sample ", 'Input Sheet'!B643, "m: ", L626, F626, "% ", "Siltstone, ", N626, 'Input Sheet'!C643, "% ", H626, " Sandstone, ", J626, I626, " FLUOR in SST. ", "TG ", 'Input Sheet'!H643, "U"))</f>
        <v/>
      </c>
      <c r="F626" s="36" t="str">
        <f>IF('Input Sheet'!C643="","",100-'Input Sheet'!C643)</f>
        <v/>
      </c>
      <c r="G6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6" s="36" t="str">
        <f t="shared" si="9"/>
        <v/>
      </c>
      <c r="I6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6" s="36" t="str">
        <f>IF('Input Sheet'!F643=0, "NO",CONCATENATE('Input Sheet'!F643, IF('Input Sheet'!F643&gt;0,"% ","")))</f>
        <v>NO</v>
      </c>
      <c r="K6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6" s="36" t="str">
        <f>CONCATENATE(K626, IF('Input Sheet'!I643="",""," siderite in "))</f>
        <v/>
      </c>
      <c r="M6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6" s="36" t="str">
        <f>CONCATENATE(M626, IF('Input Sheet'!J643="",""," siderite in "))</f>
        <v/>
      </c>
    </row>
    <row r="627" spans="1:14" x14ac:dyDescent="0.25">
      <c r="A627" s="51" t="str">
        <f>IF('Input Sheet'!C644="","",CONCATENATE("Sample ", 'Input Sheet'!B644, "m: ", L627, F627, "% ", "Siltstone, ", N627, 'Input Sheet'!C644, "% ", H627, " Sandstone, ", J627, I627, " FLUOR in SST. ", "TG ", 'Input Sheet'!H644, "U"))</f>
        <v/>
      </c>
      <c r="F627" s="36" t="str">
        <f>IF('Input Sheet'!C644="","",100-'Input Sheet'!C644)</f>
        <v/>
      </c>
      <c r="G6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7" s="36" t="str">
        <f t="shared" si="9"/>
        <v/>
      </c>
      <c r="I6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7" s="36" t="str">
        <f>IF('Input Sheet'!F644=0, "NO",CONCATENATE('Input Sheet'!F644, IF('Input Sheet'!F644&gt;0,"% ","")))</f>
        <v>NO</v>
      </c>
      <c r="K6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7" s="36" t="str">
        <f>CONCATENATE(K627, IF('Input Sheet'!I644="",""," siderite in "))</f>
        <v/>
      </c>
      <c r="M6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7" s="36" t="str">
        <f>CONCATENATE(M627, IF('Input Sheet'!J644="",""," siderite in "))</f>
        <v/>
      </c>
    </row>
    <row r="628" spans="1:14" x14ac:dyDescent="0.25">
      <c r="A628" s="51" t="str">
        <f>IF('Input Sheet'!C645="","",CONCATENATE("Sample ", 'Input Sheet'!B645, "m: ", L628, F628, "% ", "Siltstone, ", N628, 'Input Sheet'!C645, "% ", H628, " Sandstone, ", J628, I628, " FLUOR in SST. ", "TG ", 'Input Sheet'!H645, "U"))</f>
        <v/>
      </c>
      <c r="F628" s="36" t="str">
        <f>IF('Input Sheet'!C645="","",100-'Input Sheet'!C645)</f>
        <v/>
      </c>
      <c r="G6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8" s="36" t="str">
        <f t="shared" si="9"/>
        <v/>
      </c>
      <c r="I6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8" s="36" t="str">
        <f>IF('Input Sheet'!F645=0, "NO",CONCATENATE('Input Sheet'!F645, IF('Input Sheet'!F645&gt;0,"% ","")))</f>
        <v>NO</v>
      </c>
      <c r="K6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8" s="36" t="str">
        <f>CONCATENATE(K628, IF('Input Sheet'!I645="",""," siderite in "))</f>
        <v/>
      </c>
      <c r="M6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8" s="36" t="str">
        <f>CONCATENATE(M628, IF('Input Sheet'!J645="",""," siderite in "))</f>
        <v/>
      </c>
    </row>
    <row r="629" spans="1:14" x14ac:dyDescent="0.25">
      <c r="A629" s="51" t="str">
        <f>IF('Input Sheet'!C646="","",CONCATENATE("Sample ", 'Input Sheet'!B646, "m: ", L629, F629, "% ", "Siltstone, ", N629, 'Input Sheet'!C646, "% ", H629, " Sandstone, ", J629, I629, " FLUOR in SST. ", "TG ", 'Input Sheet'!H646, "U"))</f>
        <v/>
      </c>
      <c r="F629" s="36" t="str">
        <f>IF('Input Sheet'!C646="","",100-'Input Sheet'!C646)</f>
        <v/>
      </c>
      <c r="G6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29" s="36" t="str">
        <f t="shared" si="9"/>
        <v/>
      </c>
      <c r="I6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29" s="36" t="str">
        <f>IF('Input Sheet'!F646=0, "NO",CONCATENATE('Input Sheet'!F646, IF('Input Sheet'!F646&gt;0,"% ","")))</f>
        <v>NO</v>
      </c>
      <c r="K6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29" s="36" t="str">
        <f>CONCATENATE(K629, IF('Input Sheet'!I646="",""," siderite in "))</f>
        <v/>
      </c>
      <c r="M6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29" s="36" t="str">
        <f>CONCATENATE(M629, IF('Input Sheet'!J646="",""," siderite in "))</f>
        <v/>
      </c>
    </row>
    <row r="630" spans="1:14" x14ac:dyDescent="0.25">
      <c r="A630" s="51" t="str">
        <f>IF('Input Sheet'!C647="","",CONCATENATE("Sample ", 'Input Sheet'!B647, "m: ", L630, F630, "% ", "Siltstone, ", N630, 'Input Sheet'!C647, "% ", H630, " Sandstone, ", J630, I630, " FLUOR in SST. ", "TG ", 'Input Sheet'!H647, "U"))</f>
        <v/>
      </c>
      <c r="F630" s="36" t="str">
        <f>IF('Input Sheet'!C647="","",100-'Input Sheet'!C647)</f>
        <v/>
      </c>
      <c r="G6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0" s="36" t="str">
        <f t="shared" si="9"/>
        <v/>
      </c>
      <c r="I6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0" s="36" t="str">
        <f>IF('Input Sheet'!F647=0, "NO",CONCATENATE('Input Sheet'!F647, IF('Input Sheet'!F647&gt;0,"% ","")))</f>
        <v>NO</v>
      </c>
      <c r="K6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0" s="36" t="str">
        <f>CONCATENATE(K630, IF('Input Sheet'!I647="",""," siderite in "))</f>
        <v/>
      </c>
      <c r="M6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0" s="36" t="str">
        <f>CONCATENATE(M630, IF('Input Sheet'!J647="",""," siderite in "))</f>
        <v/>
      </c>
    </row>
    <row r="631" spans="1:14" x14ac:dyDescent="0.25">
      <c r="A631" s="51" t="str">
        <f>IF('Input Sheet'!C648="","",CONCATENATE("Sample ", 'Input Sheet'!B648, "m: ", L631, F631, "% ", "Siltstone, ", N631, 'Input Sheet'!C648, "% ", H631, " Sandstone, ", J631, I631, " FLUOR in SST. ", "TG ", 'Input Sheet'!H648, "U"))</f>
        <v/>
      </c>
      <c r="F631" s="36" t="str">
        <f>IF('Input Sheet'!C648="","",100-'Input Sheet'!C648)</f>
        <v/>
      </c>
      <c r="G6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1" s="36" t="str">
        <f t="shared" si="9"/>
        <v/>
      </c>
      <c r="I6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1" s="36" t="str">
        <f>IF('Input Sheet'!F648=0, "NO",CONCATENATE('Input Sheet'!F648, IF('Input Sheet'!F648&gt;0,"% ","")))</f>
        <v>NO</v>
      </c>
      <c r="K6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1" s="36" t="str">
        <f>CONCATENATE(K631, IF('Input Sheet'!I648="",""," siderite in "))</f>
        <v/>
      </c>
      <c r="M6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1" s="36" t="str">
        <f>CONCATENATE(M631, IF('Input Sheet'!J648="",""," siderite in "))</f>
        <v/>
      </c>
    </row>
    <row r="632" spans="1:14" x14ac:dyDescent="0.25">
      <c r="A632" s="51" t="str">
        <f>IF('Input Sheet'!C649="","",CONCATENATE("Sample ", 'Input Sheet'!B649, "m: ", L632, F632, "% ", "Siltstone, ", N632, 'Input Sheet'!C649, "% ", H632, " Sandstone, ", J632, I632, " FLUOR in SST. ", "TG ", 'Input Sheet'!H649, "U"))</f>
        <v/>
      </c>
      <c r="F632" s="36" t="str">
        <f>IF('Input Sheet'!C649="","",100-'Input Sheet'!C649)</f>
        <v/>
      </c>
      <c r="G6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2" s="36" t="str">
        <f t="shared" si="9"/>
        <v/>
      </c>
      <c r="I6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2" s="36" t="str">
        <f>IF('Input Sheet'!F649=0, "NO",CONCATENATE('Input Sheet'!F649, IF('Input Sheet'!F649&gt;0,"% ","")))</f>
        <v>NO</v>
      </c>
      <c r="K6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2" s="36" t="str">
        <f>CONCATENATE(K632, IF('Input Sheet'!I649="",""," siderite in "))</f>
        <v/>
      </c>
      <c r="M6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2" s="36" t="str">
        <f>CONCATENATE(M632, IF('Input Sheet'!J649="",""," siderite in "))</f>
        <v/>
      </c>
    </row>
    <row r="633" spans="1:14" x14ac:dyDescent="0.25">
      <c r="A633" s="51" t="str">
        <f>IF('Input Sheet'!C650="","",CONCATENATE("Sample ", 'Input Sheet'!B650, "m: ", L633, F633, "% ", "Siltstone, ", N633, 'Input Sheet'!C650, "% ", H633, " Sandstone, ", J633, I633, " FLUOR in SST. ", "TG ", 'Input Sheet'!H650, "U"))</f>
        <v/>
      </c>
      <c r="F633" s="36" t="str">
        <f>IF('Input Sheet'!C650="","",100-'Input Sheet'!C650)</f>
        <v/>
      </c>
      <c r="G6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3" s="36" t="str">
        <f t="shared" si="9"/>
        <v/>
      </c>
      <c r="I6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3" s="36" t="str">
        <f>IF('Input Sheet'!F650=0, "NO",CONCATENATE('Input Sheet'!F650, IF('Input Sheet'!F650&gt;0,"% ","")))</f>
        <v>NO</v>
      </c>
      <c r="K6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3" s="36" t="str">
        <f>CONCATENATE(K633, IF('Input Sheet'!I650="",""," siderite in "))</f>
        <v/>
      </c>
      <c r="M6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3" s="36" t="str">
        <f>CONCATENATE(M633, IF('Input Sheet'!J650="",""," siderite in "))</f>
        <v/>
      </c>
    </row>
    <row r="634" spans="1:14" x14ac:dyDescent="0.25">
      <c r="A634" s="51" t="str">
        <f>IF('Input Sheet'!C651="","",CONCATENATE("Sample ", 'Input Sheet'!B651, "m: ", L634, F634, "% ", "Siltstone, ", N634, 'Input Sheet'!C651, "% ", H634, " Sandstone, ", J634, I634, " FLUOR in SST. ", "TG ", 'Input Sheet'!H651, "U"))</f>
        <v/>
      </c>
      <c r="F634" s="36" t="str">
        <f>IF('Input Sheet'!C651="","",100-'Input Sheet'!C651)</f>
        <v/>
      </c>
      <c r="G6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4" s="36" t="str">
        <f t="shared" si="9"/>
        <v/>
      </c>
      <c r="I6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4" s="36" t="str">
        <f>IF('Input Sheet'!F651=0, "NO",CONCATENATE('Input Sheet'!F651, IF('Input Sheet'!F651&gt;0,"% ","")))</f>
        <v>NO</v>
      </c>
      <c r="K6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4" s="36" t="str">
        <f>CONCATENATE(K634, IF('Input Sheet'!I651="",""," siderite in "))</f>
        <v/>
      </c>
      <c r="M6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4" s="36" t="str">
        <f>CONCATENATE(M634, IF('Input Sheet'!J651="",""," siderite in "))</f>
        <v/>
      </c>
    </row>
    <row r="635" spans="1:14" x14ac:dyDescent="0.25">
      <c r="A635" s="51" t="str">
        <f>IF('Input Sheet'!C652="","",CONCATENATE("Sample ", 'Input Sheet'!B652, "m: ", L635, F635, "% ", "Siltstone, ", N635, 'Input Sheet'!C652, "% ", H635, " Sandstone, ", J635, I635, " FLUOR in SST. ", "TG ", 'Input Sheet'!H652, "U"))</f>
        <v/>
      </c>
      <c r="F635" s="36" t="str">
        <f>IF('Input Sheet'!C652="","",100-'Input Sheet'!C652)</f>
        <v/>
      </c>
      <c r="G6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5" s="36" t="str">
        <f t="shared" si="9"/>
        <v/>
      </c>
      <c r="I6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5" s="36" t="str">
        <f>IF('Input Sheet'!F652=0, "NO",CONCATENATE('Input Sheet'!F652, IF('Input Sheet'!F652&gt;0,"% ","")))</f>
        <v>NO</v>
      </c>
      <c r="K6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5" s="36" t="str">
        <f>CONCATENATE(K635, IF('Input Sheet'!I652="",""," siderite in "))</f>
        <v/>
      </c>
      <c r="M6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5" s="36" t="str">
        <f>CONCATENATE(M635, IF('Input Sheet'!J652="",""," siderite in "))</f>
        <v/>
      </c>
    </row>
    <row r="636" spans="1:14" x14ac:dyDescent="0.25">
      <c r="A636" s="51" t="str">
        <f>IF('Input Sheet'!C653="","",CONCATENATE("Sample ", 'Input Sheet'!B653, "m: ", L636, F636, "% ", "Siltstone, ", N636, 'Input Sheet'!C653, "% ", H636, " Sandstone, ", J636, I636, " FLUOR in SST. ", "TG ", 'Input Sheet'!H653, "U"))</f>
        <v/>
      </c>
      <c r="F636" s="36" t="str">
        <f>IF('Input Sheet'!C653="","",100-'Input Sheet'!C653)</f>
        <v/>
      </c>
      <c r="G6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6" s="36" t="str">
        <f t="shared" si="9"/>
        <v/>
      </c>
      <c r="I6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6" s="36" t="str">
        <f>IF('Input Sheet'!F653=0, "NO",CONCATENATE('Input Sheet'!F653, IF('Input Sheet'!F653&gt;0,"% ","")))</f>
        <v>NO</v>
      </c>
      <c r="K6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6" s="36" t="str">
        <f>CONCATENATE(K636, IF('Input Sheet'!I653="",""," siderite in "))</f>
        <v/>
      </c>
      <c r="M6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6" s="36" t="str">
        <f>CONCATENATE(M636, IF('Input Sheet'!J653="",""," siderite in "))</f>
        <v/>
      </c>
    </row>
    <row r="637" spans="1:14" x14ac:dyDescent="0.25">
      <c r="A637" s="51" t="str">
        <f>IF('Input Sheet'!C654="","",CONCATENATE("Sample ", 'Input Sheet'!B654, "m: ", L637, F637, "% ", "Siltstone, ", N637, 'Input Sheet'!C654, "% ", H637, " Sandstone, ", J637, I637, " FLUOR in SST. ", "TG ", 'Input Sheet'!H654, "U"))</f>
        <v/>
      </c>
      <c r="F637" s="36" t="str">
        <f>IF('Input Sheet'!C654="","",100-'Input Sheet'!C654)</f>
        <v/>
      </c>
      <c r="G6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7" s="36" t="str">
        <f t="shared" si="9"/>
        <v/>
      </c>
      <c r="I6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7" s="36" t="str">
        <f>IF('Input Sheet'!F654=0, "NO",CONCATENATE('Input Sheet'!F654, IF('Input Sheet'!F654&gt;0,"% ","")))</f>
        <v>NO</v>
      </c>
      <c r="K6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7" s="36" t="str">
        <f>CONCATENATE(K637, IF('Input Sheet'!I654="",""," siderite in "))</f>
        <v/>
      </c>
      <c r="M6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7" s="36" t="str">
        <f>CONCATENATE(M637, IF('Input Sheet'!J654="",""," siderite in "))</f>
        <v/>
      </c>
    </row>
    <row r="638" spans="1:14" x14ac:dyDescent="0.25">
      <c r="A638" s="51" t="str">
        <f>IF('Input Sheet'!C655="","",CONCATENATE("Sample ", 'Input Sheet'!B655, "m: ", L638, F638, "% ", "Siltstone, ", N638, 'Input Sheet'!C655, "% ", H638, " Sandstone, ", J638, I638, " FLUOR in SST. ", "TG ", 'Input Sheet'!H655, "U"))</f>
        <v/>
      </c>
      <c r="F638" s="36" t="str">
        <f>IF('Input Sheet'!C655="","",100-'Input Sheet'!C655)</f>
        <v/>
      </c>
      <c r="G6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8" s="36" t="str">
        <f t="shared" si="9"/>
        <v/>
      </c>
      <c r="I6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8" s="36" t="str">
        <f>IF('Input Sheet'!F655=0, "NO",CONCATENATE('Input Sheet'!F655, IF('Input Sheet'!F655&gt;0,"% ","")))</f>
        <v>NO</v>
      </c>
      <c r="K6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8" s="36" t="str">
        <f>CONCATENATE(K638, IF('Input Sheet'!I655="",""," siderite in "))</f>
        <v/>
      </c>
      <c r="M6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8" s="36" t="str">
        <f>CONCATENATE(M638, IF('Input Sheet'!J655="",""," siderite in "))</f>
        <v/>
      </c>
    </row>
    <row r="639" spans="1:14" x14ac:dyDescent="0.25">
      <c r="A639" s="51" t="str">
        <f>IF('Input Sheet'!C656="","",CONCATENATE("Sample ", 'Input Sheet'!B656, "m: ", L639, F639, "% ", "Siltstone, ", N639, 'Input Sheet'!C656, "% ", H639, " Sandstone, ", J639, I639, " FLUOR in SST. ", "TG ", 'Input Sheet'!H656, "U"))</f>
        <v/>
      </c>
      <c r="F639" s="36" t="str">
        <f>IF('Input Sheet'!C656="","",100-'Input Sheet'!C656)</f>
        <v/>
      </c>
      <c r="G6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39" s="36" t="str">
        <f t="shared" si="9"/>
        <v/>
      </c>
      <c r="I6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39" s="36" t="str">
        <f>IF('Input Sheet'!F656=0, "NO",CONCATENATE('Input Sheet'!F656, IF('Input Sheet'!F656&gt;0,"% ","")))</f>
        <v>NO</v>
      </c>
      <c r="K6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39" s="36" t="str">
        <f>CONCATENATE(K639, IF('Input Sheet'!I656="",""," siderite in "))</f>
        <v/>
      </c>
      <c r="M6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39" s="36" t="str">
        <f>CONCATENATE(M639, IF('Input Sheet'!J656="",""," siderite in "))</f>
        <v/>
      </c>
    </row>
    <row r="640" spans="1:14" x14ac:dyDescent="0.25">
      <c r="A640" s="51" t="str">
        <f>IF('Input Sheet'!C657="","",CONCATENATE("Sample ", 'Input Sheet'!B657, "m: ", L640, F640, "% ", "Siltstone, ", N640, 'Input Sheet'!C657, "% ", H640, " Sandstone, ", J640, I640, " FLUOR in SST. ", "TG ", 'Input Sheet'!H657, "U"))</f>
        <v/>
      </c>
      <c r="F640" s="36" t="str">
        <f>IF('Input Sheet'!C657="","",100-'Input Sheet'!C657)</f>
        <v/>
      </c>
      <c r="G6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0" s="36" t="str">
        <f t="shared" si="9"/>
        <v/>
      </c>
      <c r="I6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0" s="36" t="str">
        <f>IF('Input Sheet'!F657=0, "NO",CONCATENATE('Input Sheet'!F657, IF('Input Sheet'!F657&gt;0,"% ","")))</f>
        <v>NO</v>
      </c>
      <c r="K6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0" s="36" t="str">
        <f>CONCATENATE(K640, IF('Input Sheet'!I657="",""," siderite in "))</f>
        <v/>
      </c>
      <c r="M6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0" s="36" t="str">
        <f>CONCATENATE(M640, IF('Input Sheet'!J657="",""," siderite in "))</f>
        <v/>
      </c>
    </row>
    <row r="641" spans="1:14" x14ac:dyDescent="0.25">
      <c r="A641" s="51" t="str">
        <f>IF('Input Sheet'!C658="","",CONCATENATE("Sample ", 'Input Sheet'!B658, "m: ", L641, F641, "% ", "Siltstone, ", N641, 'Input Sheet'!C658, "% ", H641, " Sandstone, ", J641, I641, " FLUOR in SST. ", "TG ", 'Input Sheet'!H658, "U"))</f>
        <v/>
      </c>
      <c r="F641" s="36" t="str">
        <f>IF('Input Sheet'!C658="","",100-'Input Sheet'!C658)</f>
        <v/>
      </c>
      <c r="G6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1" s="36" t="str">
        <f t="shared" si="9"/>
        <v/>
      </c>
      <c r="I6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1" s="36" t="str">
        <f>IF('Input Sheet'!F658=0, "NO",CONCATENATE('Input Sheet'!F658, IF('Input Sheet'!F658&gt;0,"% ","")))</f>
        <v>NO</v>
      </c>
      <c r="K6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1" s="36" t="str">
        <f>CONCATENATE(K641, IF('Input Sheet'!I658="",""," siderite in "))</f>
        <v/>
      </c>
      <c r="M6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1" s="36" t="str">
        <f>CONCATENATE(M641, IF('Input Sheet'!J658="",""," siderite in "))</f>
        <v/>
      </c>
    </row>
    <row r="642" spans="1:14" x14ac:dyDescent="0.25">
      <c r="A642" s="51" t="str">
        <f>IF('Input Sheet'!C659="","",CONCATENATE("Sample ", 'Input Sheet'!B659, "m: ", L642, F642, "% ", "Siltstone, ", N642, 'Input Sheet'!C659, "% ", H642, " Sandstone, ", J642, I642, " FLUOR in SST. ", "TG ", 'Input Sheet'!H659, "U"))</f>
        <v/>
      </c>
      <c r="F642" s="36" t="str">
        <f>IF('Input Sheet'!C659="","",100-'Input Sheet'!C659)</f>
        <v/>
      </c>
      <c r="G6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2" s="36" t="str">
        <f t="shared" ref="H642:H705" si="10">SUBSTITUTE(G642, "veryfine", "very fine")</f>
        <v/>
      </c>
      <c r="I6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2" s="36" t="str">
        <f>IF('Input Sheet'!F659=0, "NO",CONCATENATE('Input Sheet'!F659, IF('Input Sheet'!F659&gt;0,"% ","")))</f>
        <v>NO</v>
      </c>
      <c r="K6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2" s="36" t="str">
        <f>CONCATENATE(K642, IF('Input Sheet'!I659="",""," siderite in "))</f>
        <v/>
      </c>
      <c r="M6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2" s="36" t="str">
        <f>CONCATENATE(M642, IF('Input Sheet'!J659="",""," siderite in "))</f>
        <v/>
      </c>
    </row>
    <row r="643" spans="1:14" x14ac:dyDescent="0.25">
      <c r="A643" s="51" t="str">
        <f>IF('Input Sheet'!C660="","",CONCATENATE("Sample ", 'Input Sheet'!B660, "m: ", L643, F643, "% ", "Siltstone, ", N643, 'Input Sheet'!C660, "% ", H643, " Sandstone, ", J643, I643, " FLUOR in SST. ", "TG ", 'Input Sheet'!H660, "U"))</f>
        <v/>
      </c>
      <c r="F643" s="36" t="str">
        <f>IF('Input Sheet'!C660="","",100-'Input Sheet'!C660)</f>
        <v/>
      </c>
      <c r="G6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3" s="36" t="str">
        <f t="shared" si="10"/>
        <v/>
      </c>
      <c r="I6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3" s="36" t="str">
        <f>IF('Input Sheet'!F660=0, "NO",CONCATENATE('Input Sheet'!F660, IF('Input Sheet'!F660&gt;0,"% ","")))</f>
        <v>NO</v>
      </c>
      <c r="K6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3" s="36" t="str">
        <f>CONCATENATE(K643, IF('Input Sheet'!I660="",""," siderite in "))</f>
        <v/>
      </c>
      <c r="M6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3" s="36" t="str">
        <f>CONCATENATE(M643, IF('Input Sheet'!J660="",""," siderite in "))</f>
        <v/>
      </c>
    </row>
    <row r="644" spans="1:14" x14ac:dyDescent="0.25">
      <c r="A644" s="51" t="str">
        <f>IF('Input Sheet'!C661="","",CONCATENATE("Sample ", 'Input Sheet'!B661, "m: ", L644, F644, "% ", "Siltstone, ", N644, 'Input Sheet'!C661, "% ", H644, " Sandstone, ", J644, I644, " FLUOR in SST. ", "TG ", 'Input Sheet'!H661, "U"))</f>
        <v/>
      </c>
      <c r="F644" s="36" t="str">
        <f>IF('Input Sheet'!C661="","",100-'Input Sheet'!C661)</f>
        <v/>
      </c>
      <c r="G6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4" s="36" t="str">
        <f t="shared" si="10"/>
        <v/>
      </c>
      <c r="I6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4" s="36" t="str">
        <f>IF('Input Sheet'!F661=0, "NO",CONCATENATE('Input Sheet'!F661, IF('Input Sheet'!F661&gt;0,"% ","")))</f>
        <v>NO</v>
      </c>
      <c r="K6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4" s="36" t="str">
        <f>CONCATENATE(K644, IF('Input Sheet'!I661="",""," siderite in "))</f>
        <v/>
      </c>
      <c r="M6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4" s="36" t="str">
        <f>CONCATENATE(M644, IF('Input Sheet'!J661="",""," siderite in "))</f>
        <v/>
      </c>
    </row>
    <row r="645" spans="1:14" x14ac:dyDescent="0.25">
      <c r="A645" s="51" t="str">
        <f>IF('Input Sheet'!C662="","",CONCATENATE("Sample ", 'Input Sheet'!B662, "m: ", L645, F645, "% ", "Siltstone, ", N645, 'Input Sheet'!C662, "% ", H645, " Sandstone, ", J645, I645, " FLUOR in SST. ", "TG ", 'Input Sheet'!H662, "U"))</f>
        <v/>
      </c>
      <c r="F645" s="36" t="str">
        <f>IF('Input Sheet'!C662="","",100-'Input Sheet'!C662)</f>
        <v/>
      </c>
      <c r="G6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5" s="36" t="str">
        <f t="shared" si="10"/>
        <v/>
      </c>
      <c r="I6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5" s="36" t="str">
        <f>IF('Input Sheet'!F662=0, "NO",CONCATENATE('Input Sheet'!F662, IF('Input Sheet'!F662&gt;0,"% ","")))</f>
        <v>NO</v>
      </c>
      <c r="K6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5" s="36" t="str">
        <f>CONCATENATE(K645, IF('Input Sheet'!I662="",""," siderite in "))</f>
        <v/>
      </c>
      <c r="M6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5" s="36" t="str">
        <f>CONCATENATE(M645, IF('Input Sheet'!J662="",""," siderite in "))</f>
        <v/>
      </c>
    </row>
    <row r="646" spans="1:14" x14ac:dyDescent="0.25">
      <c r="A646" s="51" t="str">
        <f>IF('Input Sheet'!C663="","",CONCATENATE("Sample ", 'Input Sheet'!B663, "m: ", L646, F646, "% ", "Siltstone, ", N646, 'Input Sheet'!C663, "% ", H646, " Sandstone, ", J646, I646, " FLUOR in SST. ", "TG ", 'Input Sheet'!H663, "U"))</f>
        <v/>
      </c>
      <c r="F646" s="36" t="str">
        <f>IF('Input Sheet'!C663="","",100-'Input Sheet'!C663)</f>
        <v/>
      </c>
      <c r="G6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6" s="36" t="str">
        <f t="shared" si="10"/>
        <v/>
      </c>
      <c r="I6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6" s="36" t="str">
        <f>IF('Input Sheet'!F663=0, "NO",CONCATENATE('Input Sheet'!F663, IF('Input Sheet'!F663&gt;0,"% ","")))</f>
        <v>NO</v>
      </c>
      <c r="K6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6" s="36" t="str">
        <f>CONCATENATE(K646, IF('Input Sheet'!I663="",""," siderite in "))</f>
        <v/>
      </c>
      <c r="M6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6" s="36" t="str">
        <f>CONCATENATE(M646, IF('Input Sheet'!J663="",""," siderite in "))</f>
        <v/>
      </c>
    </row>
    <row r="647" spans="1:14" x14ac:dyDescent="0.25">
      <c r="A647" s="51" t="str">
        <f>IF('Input Sheet'!C664="","",CONCATENATE("Sample ", 'Input Sheet'!B664, "m: ", L647, F647, "% ", "Siltstone, ", N647, 'Input Sheet'!C664, "% ", H647, " Sandstone, ", J647, I647, " FLUOR in SST. ", "TG ", 'Input Sheet'!H664, "U"))</f>
        <v/>
      </c>
      <c r="F647" s="36" t="str">
        <f>IF('Input Sheet'!C664="","",100-'Input Sheet'!C664)</f>
        <v/>
      </c>
      <c r="G6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7" s="36" t="str">
        <f t="shared" si="10"/>
        <v/>
      </c>
      <c r="I6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7" s="36" t="str">
        <f>IF('Input Sheet'!F664=0, "NO",CONCATENATE('Input Sheet'!F664, IF('Input Sheet'!F664&gt;0,"% ","")))</f>
        <v>NO</v>
      </c>
      <c r="K6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7" s="36" t="str">
        <f>CONCATENATE(K647, IF('Input Sheet'!I664="",""," siderite in "))</f>
        <v/>
      </c>
      <c r="M6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7" s="36" t="str">
        <f>CONCATENATE(M647, IF('Input Sheet'!J664="",""," siderite in "))</f>
        <v/>
      </c>
    </row>
    <row r="648" spans="1:14" x14ac:dyDescent="0.25">
      <c r="A648" s="51" t="str">
        <f>IF('Input Sheet'!C665="","",CONCATENATE("Sample ", 'Input Sheet'!B665, "m: ", L648, F648, "% ", "Siltstone, ", N648, 'Input Sheet'!C665, "% ", H648, " Sandstone, ", J648, I648, " FLUOR in SST. ", "TG ", 'Input Sheet'!H665, "U"))</f>
        <v/>
      </c>
      <c r="F648" s="36" t="str">
        <f>IF('Input Sheet'!C665="","",100-'Input Sheet'!C665)</f>
        <v/>
      </c>
      <c r="G6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8" s="36" t="str">
        <f t="shared" si="10"/>
        <v/>
      </c>
      <c r="I6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8" s="36" t="str">
        <f>IF('Input Sheet'!F665=0, "NO",CONCATENATE('Input Sheet'!F665, IF('Input Sheet'!F665&gt;0,"% ","")))</f>
        <v>NO</v>
      </c>
      <c r="K6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8" s="36" t="str">
        <f>CONCATENATE(K648, IF('Input Sheet'!I665="",""," siderite in "))</f>
        <v/>
      </c>
      <c r="M6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8" s="36" t="str">
        <f>CONCATENATE(M648, IF('Input Sheet'!J665="",""," siderite in "))</f>
        <v/>
      </c>
    </row>
    <row r="649" spans="1:14" x14ac:dyDescent="0.25">
      <c r="A649" s="51" t="str">
        <f>IF('Input Sheet'!C666="","",CONCATENATE("Sample ", 'Input Sheet'!B666, "m: ", L649, F649, "% ", "Siltstone, ", N649, 'Input Sheet'!C666, "% ", H649, " Sandstone, ", J649, I649, " FLUOR in SST. ", "TG ", 'Input Sheet'!H666, "U"))</f>
        <v/>
      </c>
      <c r="F649" s="36" t="str">
        <f>IF('Input Sheet'!C666="","",100-'Input Sheet'!C666)</f>
        <v/>
      </c>
      <c r="G6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49" s="36" t="str">
        <f t="shared" si="10"/>
        <v/>
      </c>
      <c r="I6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49" s="36" t="str">
        <f>IF('Input Sheet'!F666=0, "NO",CONCATENATE('Input Sheet'!F666, IF('Input Sheet'!F666&gt;0,"% ","")))</f>
        <v>NO</v>
      </c>
      <c r="K6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49" s="36" t="str">
        <f>CONCATENATE(K649, IF('Input Sheet'!I666="",""," siderite in "))</f>
        <v/>
      </c>
      <c r="M6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49" s="36" t="str">
        <f>CONCATENATE(M649, IF('Input Sheet'!J666="",""," siderite in "))</f>
        <v/>
      </c>
    </row>
    <row r="650" spans="1:14" x14ac:dyDescent="0.25">
      <c r="A650" s="51" t="str">
        <f>IF('Input Sheet'!C667="","",CONCATENATE("Sample ", 'Input Sheet'!B667, "m: ", L650, F650, "% ", "Siltstone, ", N650, 'Input Sheet'!C667, "% ", H650, " Sandstone, ", J650, I650, " FLUOR in SST. ", "TG ", 'Input Sheet'!H667, "U"))</f>
        <v/>
      </c>
      <c r="F650" s="36" t="str">
        <f>IF('Input Sheet'!C667="","",100-'Input Sheet'!C667)</f>
        <v/>
      </c>
      <c r="G6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0" s="36" t="str">
        <f t="shared" si="10"/>
        <v/>
      </c>
      <c r="I6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0" s="36" t="str">
        <f>IF('Input Sheet'!F667=0, "NO",CONCATENATE('Input Sheet'!F667, IF('Input Sheet'!F667&gt;0,"% ","")))</f>
        <v>NO</v>
      </c>
      <c r="K6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0" s="36" t="str">
        <f>CONCATENATE(K650, IF('Input Sheet'!I667="",""," siderite in "))</f>
        <v/>
      </c>
      <c r="M6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0" s="36" t="str">
        <f>CONCATENATE(M650, IF('Input Sheet'!J667="",""," siderite in "))</f>
        <v/>
      </c>
    </row>
    <row r="651" spans="1:14" x14ac:dyDescent="0.25">
      <c r="A651" s="51" t="str">
        <f>IF('Input Sheet'!C668="","",CONCATENATE("Sample ", 'Input Sheet'!B668, "m: ", L651, F651, "% ", "Siltstone, ", N651, 'Input Sheet'!C668, "% ", H651, " Sandstone, ", J651, I651, " FLUOR in SST. ", "TG ", 'Input Sheet'!H668, "U"))</f>
        <v/>
      </c>
      <c r="F651" s="36" t="str">
        <f>IF('Input Sheet'!C668="","",100-'Input Sheet'!C668)</f>
        <v/>
      </c>
      <c r="G6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1" s="36" t="str">
        <f t="shared" si="10"/>
        <v/>
      </c>
      <c r="I6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1" s="36" t="str">
        <f>IF('Input Sheet'!F668=0, "NO",CONCATENATE('Input Sheet'!F668, IF('Input Sheet'!F668&gt;0,"% ","")))</f>
        <v>NO</v>
      </c>
      <c r="K6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1" s="36" t="str">
        <f>CONCATENATE(K651, IF('Input Sheet'!I668="",""," siderite in "))</f>
        <v/>
      </c>
      <c r="M6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1" s="36" t="str">
        <f>CONCATENATE(M651, IF('Input Sheet'!J668="",""," siderite in "))</f>
        <v/>
      </c>
    </row>
    <row r="652" spans="1:14" x14ac:dyDescent="0.25">
      <c r="A652" s="51" t="str">
        <f>IF('Input Sheet'!C669="","",CONCATENATE("Sample ", 'Input Sheet'!B669, "m: ", L652, F652, "% ", "Siltstone, ", N652, 'Input Sheet'!C669, "% ", H652, " Sandstone, ", J652, I652, " FLUOR in SST. ", "TG ", 'Input Sheet'!H669, "U"))</f>
        <v/>
      </c>
      <c r="F652" s="36" t="str">
        <f>IF('Input Sheet'!C669="","",100-'Input Sheet'!C669)</f>
        <v/>
      </c>
      <c r="G6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2" s="36" t="str">
        <f t="shared" si="10"/>
        <v/>
      </c>
      <c r="I6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2" s="36" t="str">
        <f>IF('Input Sheet'!F669=0, "NO",CONCATENATE('Input Sheet'!F669, IF('Input Sheet'!F669&gt;0,"% ","")))</f>
        <v>NO</v>
      </c>
      <c r="K6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2" s="36" t="str">
        <f>CONCATENATE(K652, IF('Input Sheet'!I669="",""," siderite in "))</f>
        <v/>
      </c>
      <c r="M6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2" s="36" t="str">
        <f>CONCATENATE(M652, IF('Input Sheet'!J669="",""," siderite in "))</f>
        <v/>
      </c>
    </row>
    <row r="653" spans="1:14" x14ac:dyDescent="0.25">
      <c r="A653" s="51" t="str">
        <f>IF('Input Sheet'!C670="","",CONCATENATE("Sample ", 'Input Sheet'!B670, "m: ", L653, F653, "% ", "Siltstone, ", N653, 'Input Sheet'!C670, "% ", H653, " Sandstone, ", J653, I653, " FLUOR in SST. ", "TG ", 'Input Sheet'!H670, "U"))</f>
        <v/>
      </c>
      <c r="F653" s="36" t="str">
        <f>IF('Input Sheet'!C670="","",100-'Input Sheet'!C670)</f>
        <v/>
      </c>
      <c r="G6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3" s="36" t="str">
        <f t="shared" si="10"/>
        <v/>
      </c>
      <c r="I6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3" s="36" t="str">
        <f>IF('Input Sheet'!F670=0, "NO",CONCATENATE('Input Sheet'!F670, IF('Input Sheet'!F670&gt;0,"% ","")))</f>
        <v>NO</v>
      </c>
      <c r="K6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3" s="36" t="str">
        <f>CONCATENATE(K653, IF('Input Sheet'!I670="",""," siderite in "))</f>
        <v/>
      </c>
      <c r="M6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3" s="36" t="str">
        <f>CONCATENATE(M653, IF('Input Sheet'!J670="",""," siderite in "))</f>
        <v/>
      </c>
    </row>
    <row r="654" spans="1:14" x14ac:dyDescent="0.25">
      <c r="A654" s="51" t="str">
        <f>IF('Input Sheet'!C671="","",CONCATENATE("Sample ", 'Input Sheet'!B671, "m: ", L654, F654, "% ", "Siltstone, ", N654, 'Input Sheet'!C671, "% ", H654, " Sandstone, ", J654, I654, " FLUOR in SST. ", "TG ", 'Input Sheet'!H671, "U"))</f>
        <v/>
      </c>
      <c r="F654" s="36" t="str">
        <f>IF('Input Sheet'!C671="","",100-'Input Sheet'!C671)</f>
        <v/>
      </c>
      <c r="G6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4" s="36" t="str">
        <f t="shared" si="10"/>
        <v/>
      </c>
      <c r="I6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4" s="36" t="str">
        <f>IF('Input Sheet'!F671=0, "NO",CONCATENATE('Input Sheet'!F671, IF('Input Sheet'!F671&gt;0,"% ","")))</f>
        <v>NO</v>
      </c>
      <c r="K6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4" s="36" t="str">
        <f>CONCATENATE(K654, IF('Input Sheet'!I671="",""," siderite in "))</f>
        <v/>
      </c>
      <c r="M6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4" s="36" t="str">
        <f>CONCATENATE(M654, IF('Input Sheet'!J671="",""," siderite in "))</f>
        <v/>
      </c>
    </row>
    <row r="655" spans="1:14" x14ac:dyDescent="0.25">
      <c r="A655" s="51" t="str">
        <f>IF('Input Sheet'!C672="","",CONCATENATE("Sample ", 'Input Sheet'!B672, "m: ", L655, F655, "% ", "Siltstone, ", N655, 'Input Sheet'!C672, "% ", H655, " Sandstone, ", J655, I655, " FLUOR in SST. ", "TG ", 'Input Sheet'!H672, "U"))</f>
        <v/>
      </c>
      <c r="F655" s="36" t="str">
        <f>IF('Input Sheet'!C672="","",100-'Input Sheet'!C672)</f>
        <v/>
      </c>
      <c r="G6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5" s="36" t="str">
        <f t="shared" si="10"/>
        <v/>
      </c>
      <c r="I6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5" s="36" t="str">
        <f>IF('Input Sheet'!F672=0, "NO",CONCATENATE('Input Sheet'!F672, IF('Input Sheet'!F672&gt;0,"% ","")))</f>
        <v>NO</v>
      </c>
      <c r="K6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5" s="36" t="str">
        <f>CONCATENATE(K655, IF('Input Sheet'!I672="",""," siderite in "))</f>
        <v/>
      </c>
      <c r="M6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5" s="36" t="str">
        <f>CONCATENATE(M655, IF('Input Sheet'!J672="",""," siderite in "))</f>
        <v/>
      </c>
    </row>
    <row r="656" spans="1:14" x14ac:dyDescent="0.25">
      <c r="A656" s="51" t="str">
        <f>IF('Input Sheet'!C673="","",CONCATENATE("Sample ", 'Input Sheet'!B673, "m: ", L656, F656, "% ", "Siltstone, ", N656, 'Input Sheet'!C673, "% ", H656, " Sandstone, ", J656, I656, " FLUOR in SST. ", "TG ", 'Input Sheet'!H673, "U"))</f>
        <v/>
      </c>
      <c r="F656" s="36" t="str">
        <f>IF('Input Sheet'!C673="","",100-'Input Sheet'!C673)</f>
        <v/>
      </c>
      <c r="G6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6" s="36" t="str">
        <f t="shared" si="10"/>
        <v/>
      </c>
      <c r="I6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6" s="36" t="str">
        <f>IF('Input Sheet'!F673=0, "NO",CONCATENATE('Input Sheet'!F673, IF('Input Sheet'!F673&gt;0,"% ","")))</f>
        <v>NO</v>
      </c>
      <c r="K6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6" s="36" t="str">
        <f>CONCATENATE(K656, IF('Input Sheet'!I673="",""," siderite in "))</f>
        <v/>
      </c>
      <c r="M6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6" s="36" t="str">
        <f>CONCATENATE(M656, IF('Input Sheet'!J673="",""," siderite in "))</f>
        <v/>
      </c>
    </row>
    <row r="657" spans="1:14" x14ac:dyDescent="0.25">
      <c r="A657" s="51" t="str">
        <f>IF('Input Sheet'!C674="","",CONCATENATE("Sample ", 'Input Sheet'!B674, "m: ", L657, F657, "% ", "Siltstone, ", N657, 'Input Sheet'!C674, "% ", H657, " Sandstone, ", J657, I657, " FLUOR in SST. ", "TG ", 'Input Sheet'!H674, "U"))</f>
        <v/>
      </c>
      <c r="F657" s="36" t="str">
        <f>IF('Input Sheet'!C674="","",100-'Input Sheet'!C674)</f>
        <v/>
      </c>
      <c r="G6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7" s="36" t="str">
        <f t="shared" si="10"/>
        <v/>
      </c>
      <c r="I6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7" s="36" t="str">
        <f>IF('Input Sheet'!F674=0, "NO",CONCATENATE('Input Sheet'!F674, IF('Input Sheet'!F674&gt;0,"% ","")))</f>
        <v>NO</v>
      </c>
      <c r="K6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7" s="36" t="str">
        <f>CONCATENATE(K657, IF('Input Sheet'!I674="",""," siderite in "))</f>
        <v/>
      </c>
      <c r="M6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7" s="36" t="str">
        <f>CONCATENATE(M657, IF('Input Sheet'!J674="",""," siderite in "))</f>
        <v/>
      </c>
    </row>
    <row r="658" spans="1:14" x14ac:dyDescent="0.25">
      <c r="A658" s="51" t="str">
        <f>IF('Input Sheet'!C675="","",CONCATENATE("Sample ", 'Input Sheet'!B675, "m: ", L658, F658, "% ", "Siltstone, ", N658, 'Input Sheet'!C675, "% ", H658, " Sandstone, ", J658, I658, " FLUOR in SST. ", "TG ", 'Input Sheet'!H675, "U"))</f>
        <v/>
      </c>
      <c r="F658" s="36" t="str">
        <f>IF('Input Sheet'!C675="","",100-'Input Sheet'!C675)</f>
        <v/>
      </c>
      <c r="G6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8" s="36" t="str">
        <f t="shared" si="10"/>
        <v/>
      </c>
      <c r="I6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8" s="36" t="str">
        <f>IF('Input Sheet'!F675=0, "NO",CONCATENATE('Input Sheet'!F675, IF('Input Sheet'!F675&gt;0,"% ","")))</f>
        <v>NO</v>
      </c>
      <c r="K6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8" s="36" t="str">
        <f>CONCATENATE(K658, IF('Input Sheet'!I675="",""," siderite in "))</f>
        <v/>
      </c>
      <c r="M6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8" s="36" t="str">
        <f>CONCATENATE(M658, IF('Input Sheet'!J675="",""," siderite in "))</f>
        <v/>
      </c>
    </row>
    <row r="659" spans="1:14" x14ac:dyDescent="0.25">
      <c r="A659" s="51" t="str">
        <f>IF('Input Sheet'!C676="","",CONCATENATE("Sample ", 'Input Sheet'!B676, "m: ", L659, F659, "% ", "Siltstone, ", N659, 'Input Sheet'!C676, "% ", H659, " Sandstone, ", J659, I659, " FLUOR in SST. ", "TG ", 'Input Sheet'!H676, "U"))</f>
        <v/>
      </c>
      <c r="F659" s="36" t="str">
        <f>IF('Input Sheet'!C676="","",100-'Input Sheet'!C676)</f>
        <v/>
      </c>
      <c r="G6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59" s="36" t="str">
        <f t="shared" si="10"/>
        <v/>
      </c>
      <c r="I6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59" s="36" t="str">
        <f>IF('Input Sheet'!F676=0, "NO",CONCATENATE('Input Sheet'!F676, IF('Input Sheet'!F676&gt;0,"% ","")))</f>
        <v>NO</v>
      </c>
      <c r="K6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59" s="36" t="str">
        <f>CONCATENATE(K659, IF('Input Sheet'!I676="",""," siderite in "))</f>
        <v/>
      </c>
      <c r="M6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59" s="36" t="str">
        <f>CONCATENATE(M659, IF('Input Sheet'!J676="",""," siderite in "))</f>
        <v/>
      </c>
    </row>
    <row r="660" spans="1:14" x14ac:dyDescent="0.25">
      <c r="A660" s="51" t="str">
        <f>IF('Input Sheet'!C677="","",CONCATENATE("Sample ", 'Input Sheet'!B677, "m: ", L660, F660, "% ", "Siltstone, ", N660, 'Input Sheet'!C677, "% ", H660, " Sandstone, ", J660, I660, " FLUOR in SST. ", "TG ", 'Input Sheet'!H677, "U"))</f>
        <v/>
      </c>
      <c r="F660" s="36" t="str">
        <f>IF('Input Sheet'!C677="","",100-'Input Sheet'!C677)</f>
        <v/>
      </c>
      <c r="G6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0" s="36" t="str">
        <f t="shared" si="10"/>
        <v/>
      </c>
      <c r="I6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0" s="36" t="str">
        <f>IF('Input Sheet'!F677=0, "NO",CONCATENATE('Input Sheet'!F677, IF('Input Sheet'!F677&gt;0,"% ","")))</f>
        <v>NO</v>
      </c>
      <c r="K6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0" s="36" t="str">
        <f>CONCATENATE(K660, IF('Input Sheet'!I677="",""," siderite in "))</f>
        <v/>
      </c>
      <c r="M6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0" s="36" t="str">
        <f>CONCATENATE(M660, IF('Input Sheet'!J677="",""," siderite in "))</f>
        <v/>
      </c>
    </row>
    <row r="661" spans="1:14" x14ac:dyDescent="0.25">
      <c r="A661" s="51" t="str">
        <f>IF('Input Sheet'!C678="","",CONCATENATE("Sample ", 'Input Sheet'!B678, "m: ", L661, F661, "% ", "Siltstone, ", N661, 'Input Sheet'!C678, "% ", H661, " Sandstone, ", J661, I661, " FLUOR in SST. ", "TG ", 'Input Sheet'!H678, "U"))</f>
        <v/>
      </c>
      <c r="F661" s="36" t="str">
        <f>IF('Input Sheet'!C678="","",100-'Input Sheet'!C678)</f>
        <v/>
      </c>
      <c r="G6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1" s="36" t="str">
        <f t="shared" si="10"/>
        <v/>
      </c>
      <c r="I6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1" s="36" t="str">
        <f>IF('Input Sheet'!F678=0, "NO",CONCATENATE('Input Sheet'!F678, IF('Input Sheet'!F678&gt;0,"% ","")))</f>
        <v>NO</v>
      </c>
      <c r="K6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1" s="36" t="str">
        <f>CONCATENATE(K661, IF('Input Sheet'!I678="",""," siderite in "))</f>
        <v/>
      </c>
      <c r="M6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1" s="36" t="str">
        <f>CONCATENATE(M661, IF('Input Sheet'!J678="",""," siderite in "))</f>
        <v/>
      </c>
    </row>
    <row r="662" spans="1:14" x14ac:dyDescent="0.25">
      <c r="A662" s="51" t="str">
        <f>IF('Input Sheet'!C679="","",CONCATENATE("Sample ", 'Input Sheet'!B679, "m: ", L662, F662, "% ", "Siltstone, ", N662, 'Input Sheet'!C679, "% ", H662, " Sandstone, ", J662, I662, " FLUOR in SST. ", "TG ", 'Input Sheet'!H679, "U"))</f>
        <v/>
      </c>
      <c r="F662" s="36" t="str">
        <f>IF('Input Sheet'!C679="","",100-'Input Sheet'!C679)</f>
        <v/>
      </c>
      <c r="G6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2" s="36" t="str">
        <f t="shared" si="10"/>
        <v/>
      </c>
      <c r="I6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2" s="36" t="str">
        <f>IF('Input Sheet'!F679=0, "NO",CONCATENATE('Input Sheet'!F679, IF('Input Sheet'!F679&gt;0,"% ","")))</f>
        <v>NO</v>
      </c>
      <c r="K6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2" s="36" t="str">
        <f>CONCATENATE(K662, IF('Input Sheet'!I679="",""," siderite in "))</f>
        <v/>
      </c>
      <c r="M6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2" s="36" t="str">
        <f>CONCATENATE(M662, IF('Input Sheet'!J679="",""," siderite in "))</f>
        <v/>
      </c>
    </row>
    <row r="663" spans="1:14" x14ac:dyDescent="0.25">
      <c r="A663" s="51" t="str">
        <f>IF('Input Sheet'!C680="","",CONCATENATE("Sample ", 'Input Sheet'!B680, "m: ", L663, F663, "% ", "Siltstone, ", N663, 'Input Sheet'!C680, "% ", H663, " Sandstone, ", J663, I663, " FLUOR in SST. ", "TG ", 'Input Sheet'!H680, "U"))</f>
        <v/>
      </c>
      <c r="F663" s="36" t="str">
        <f>IF('Input Sheet'!C680="","",100-'Input Sheet'!C680)</f>
        <v/>
      </c>
      <c r="G6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3" s="36" t="str">
        <f t="shared" si="10"/>
        <v/>
      </c>
      <c r="I6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3" s="36" t="str">
        <f>IF('Input Sheet'!F680=0, "NO",CONCATENATE('Input Sheet'!F680, IF('Input Sheet'!F680&gt;0,"% ","")))</f>
        <v>NO</v>
      </c>
      <c r="K6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3" s="36" t="str">
        <f>CONCATENATE(K663, IF('Input Sheet'!I680="",""," siderite in "))</f>
        <v/>
      </c>
      <c r="M6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3" s="36" t="str">
        <f>CONCATENATE(M663, IF('Input Sheet'!J680="",""," siderite in "))</f>
        <v/>
      </c>
    </row>
    <row r="664" spans="1:14" x14ac:dyDescent="0.25">
      <c r="A664" s="51" t="str">
        <f>IF('Input Sheet'!C681="","",CONCATENATE("Sample ", 'Input Sheet'!B681, "m: ", L664, F664, "% ", "Siltstone, ", N664, 'Input Sheet'!C681, "% ", H664, " Sandstone, ", J664, I664, " FLUOR in SST. ", "TG ", 'Input Sheet'!H681, "U"))</f>
        <v/>
      </c>
      <c r="F664" s="36" t="str">
        <f>IF('Input Sheet'!C681="","",100-'Input Sheet'!C681)</f>
        <v/>
      </c>
      <c r="G6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4" s="36" t="str">
        <f t="shared" si="10"/>
        <v/>
      </c>
      <c r="I6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4" s="36" t="str">
        <f>IF('Input Sheet'!F681=0, "NO",CONCATENATE('Input Sheet'!F681, IF('Input Sheet'!F681&gt;0,"% ","")))</f>
        <v>NO</v>
      </c>
      <c r="K6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4" s="36" t="str">
        <f>CONCATENATE(K664, IF('Input Sheet'!I681="",""," siderite in "))</f>
        <v/>
      </c>
      <c r="M6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4" s="36" t="str">
        <f>CONCATENATE(M664, IF('Input Sheet'!J681="",""," siderite in "))</f>
        <v/>
      </c>
    </row>
    <row r="665" spans="1:14" x14ac:dyDescent="0.25">
      <c r="A665" s="51" t="str">
        <f>IF('Input Sheet'!C682="","",CONCATENATE("Sample ", 'Input Sheet'!B682, "m: ", L665, F665, "% ", "Siltstone, ", N665, 'Input Sheet'!C682, "% ", H665, " Sandstone, ", J665, I665, " FLUOR in SST. ", "TG ", 'Input Sheet'!H682, "U"))</f>
        <v/>
      </c>
      <c r="F665" s="36" t="str">
        <f>IF('Input Sheet'!C682="","",100-'Input Sheet'!C682)</f>
        <v/>
      </c>
      <c r="G6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5" s="36" t="str">
        <f t="shared" si="10"/>
        <v/>
      </c>
      <c r="I6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5" s="36" t="str">
        <f>IF('Input Sheet'!F682=0, "NO",CONCATENATE('Input Sheet'!F682, IF('Input Sheet'!F682&gt;0,"% ","")))</f>
        <v>NO</v>
      </c>
      <c r="K6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5" s="36" t="str">
        <f>CONCATENATE(K665, IF('Input Sheet'!I682="",""," siderite in "))</f>
        <v/>
      </c>
      <c r="M6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5" s="36" t="str">
        <f>CONCATENATE(M665, IF('Input Sheet'!J682="",""," siderite in "))</f>
        <v/>
      </c>
    </row>
    <row r="666" spans="1:14" x14ac:dyDescent="0.25">
      <c r="A666" s="51" t="str">
        <f>IF('Input Sheet'!C683="","",CONCATENATE("Sample ", 'Input Sheet'!B683, "m: ", L666, F666, "% ", "Siltstone, ", N666, 'Input Sheet'!C683, "% ", H666, " Sandstone, ", J666, I666, " FLUOR in SST. ", "TG ", 'Input Sheet'!H683, "U"))</f>
        <v/>
      </c>
      <c r="F666" s="36" t="str">
        <f>IF('Input Sheet'!C683="","",100-'Input Sheet'!C683)</f>
        <v/>
      </c>
      <c r="G6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6" s="36" t="str">
        <f t="shared" si="10"/>
        <v/>
      </c>
      <c r="I6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6" s="36" t="str">
        <f>IF('Input Sheet'!F683=0, "NO",CONCATENATE('Input Sheet'!F683, IF('Input Sheet'!F683&gt;0,"% ","")))</f>
        <v>NO</v>
      </c>
      <c r="K6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6" s="36" t="str">
        <f>CONCATENATE(K666, IF('Input Sheet'!I683="",""," siderite in "))</f>
        <v/>
      </c>
      <c r="M6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6" s="36" t="str">
        <f>CONCATENATE(M666, IF('Input Sheet'!J683="",""," siderite in "))</f>
        <v/>
      </c>
    </row>
    <row r="667" spans="1:14" x14ac:dyDescent="0.25">
      <c r="A667" s="51" t="str">
        <f>IF('Input Sheet'!C684="","",CONCATENATE("Sample ", 'Input Sheet'!B684, "m: ", L667, F667, "% ", "Siltstone, ", N667, 'Input Sheet'!C684, "% ", H667, " Sandstone, ", J667, I667, " FLUOR in SST. ", "TG ", 'Input Sheet'!H684, "U"))</f>
        <v/>
      </c>
      <c r="F667" s="36" t="str">
        <f>IF('Input Sheet'!C684="","",100-'Input Sheet'!C684)</f>
        <v/>
      </c>
      <c r="G6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7" s="36" t="str">
        <f t="shared" si="10"/>
        <v/>
      </c>
      <c r="I6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7" s="36" t="str">
        <f>IF('Input Sheet'!F684=0, "NO",CONCATENATE('Input Sheet'!F684, IF('Input Sheet'!F684&gt;0,"% ","")))</f>
        <v>NO</v>
      </c>
      <c r="K6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7" s="36" t="str">
        <f>CONCATENATE(K667, IF('Input Sheet'!I684="",""," siderite in "))</f>
        <v/>
      </c>
      <c r="M6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7" s="36" t="str">
        <f>CONCATENATE(M667, IF('Input Sheet'!J684="",""," siderite in "))</f>
        <v/>
      </c>
    </row>
    <row r="668" spans="1:14" x14ac:dyDescent="0.25">
      <c r="A668" s="51" t="str">
        <f>IF('Input Sheet'!C685="","",CONCATENATE("Sample ", 'Input Sheet'!B685, "m: ", L668, F668, "% ", "Siltstone, ", N668, 'Input Sheet'!C685, "% ", H668, " Sandstone, ", J668, I668, " FLUOR in SST. ", "TG ", 'Input Sheet'!H685, "U"))</f>
        <v/>
      </c>
      <c r="F668" s="36" t="str">
        <f>IF('Input Sheet'!C685="","",100-'Input Sheet'!C685)</f>
        <v/>
      </c>
      <c r="G6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8" s="36" t="str">
        <f t="shared" si="10"/>
        <v/>
      </c>
      <c r="I6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8" s="36" t="str">
        <f>IF('Input Sheet'!F685=0, "NO",CONCATENATE('Input Sheet'!F685, IF('Input Sheet'!F685&gt;0,"% ","")))</f>
        <v>NO</v>
      </c>
      <c r="K6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8" s="36" t="str">
        <f>CONCATENATE(K668, IF('Input Sheet'!I685="",""," siderite in "))</f>
        <v/>
      </c>
      <c r="M6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8" s="36" t="str">
        <f>CONCATENATE(M668, IF('Input Sheet'!J685="",""," siderite in "))</f>
        <v/>
      </c>
    </row>
    <row r="669" spans="1:14" x14ac:dyDescent="0.25">
      <c r="A669" s="51" t="str">
        <f>IF('Input Sheet'!C686="","",CONCATENATE("Sample ", 'Input Sheet'!B686, "m: ", L669, F669, "% ", "Siltstone, ", N669, 'Input Sheet'!C686, "% ", H669, " Sandstone, ", J669, I669, " FLUOR in SST. ", "TG ", 'Input Sheet'!H686, "U"))</f>
        <v/>
      </c>
      <c r="F669" s="36" t="str">
        <f>IF('Input Sheet'!C686="","",100-'Input Sheet'!C686)</f>
        <v/>
      </c>
      <c r="G6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69" s="36" t="str">
        <f t="shared" si="10"/>
        <v/>
      </c>
      <c r="I6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69" s="36" t="str">
        <f>IF('Input Sheet'!F686=0, "NO",CONCATENATE('Input Sheet'!F686, IF('Input Sheet'!F686&gt;0,"% ","")))</f>
        <v>NO</v>
      </c>
      <c r="K6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69" s="36" t="str">
        <f>CONCATENATE(K669, IF('Input Sheet'!I686="",""," siderite in "))</f>
        <v/>
      </c>
      <c r="M6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69" s="36" t="str">
        <f>CONCATENATE(M669, IF('Input Sheet'!J686="",""," siderite in "))</f>
        <v/>
      </c>
    </row>
    <row r="670" spans="1:14" x14ac:dyDescent="0.25">
      <c r="A670" s="51" t="str">
        <f>IF('Input Sheet'!C687="","",CONCATENATE("Sample ", 'Input Sheet'!B687, "m: ", L670, F670, "% ", "Siltstone, ", N670, 'Input Sheet'!C687, "% ", H670, " Sandstone, ", J670, I670, " FLUOR in SST. ", "TG ", 'Input Sheet'!H687, "U"))</f>
        <v/>
      </c>
      <c r="F670" s="36" t="str">
        <f>IF('Input Sheet'!C687="","",100-'Input Sheet'!C687)</f>
        <v/>
      </c>
      <c r="G6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0" s="36" t="str">
        <f t="shared" si="10"/>
        <v/>
      </c>
      <c r="I6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0" s="36" t="str">
        <f>IF('Input Sheet'!F687=0, "NO",CONCATENATE('Input Sheet'!F687, IF('Input Sheet'!F687&gt;0,"% ","")))</f>
        <v>NO</v>
      </c>
      <c r="K6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0" s="36" t="str">
        <f>CONCATENATE(K670, IF('Input Sheet'!I687="",""," siderite in "))</f>
        <v/>
      </c>
      <c r="M6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0" s="36" t="str">
        <f>CONCATENATE(M670, IF('Input Sheet'!J687="",""," siderite in "))</f>
        <v/>
      </c>
    </row>
    <row r="671" spans="1:14" x14ac:dyDescent="0.25">
      <c r="A671" s="51" t="str">
        <f>IF('Input Sheet'!C688="","",CONCATENATE("Sample ", 'Input Sheet'!B688, "m: ", L671, F671, "% ", "Siltstone, ", N671, 'Input Sheet'!C688, "% ", H671, " Sandstone, ", J671, I671, " FLUOR in SST. ", "TG ", 'Input Sheet'!H688, "U"))</f>
        <v/>
      </c>
      <c r="F671" s="36" t="str">
        <f>IF('Input Sheet'!C688="","",100-'Input Sheet'!C688)</f>
        <v/>
      </c>
      <c r="G6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1" s="36" t="str">
        <f t="shared" si="10"/>
        <v/>
      </c>
      <c r="I6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1" s="36" t="str">
        <f>IF('Input Sheet'!F688=0, "NO",CONCATENATE('Input Sheet'!F688, IF('Input Sheet'!F688&gt;0,"% ","")))</f>
        <v>NO</v>
      </c>
      <c r="K6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1" s="36" t="str">
        <f>CONCATENATE(K671, IF('Input Sheet'!I688="",""," siderite in "))</f>
        <v/>
      </c>
      <c r="M6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1" s="36" t="str">
        <f>CONCATENATE(M671, IF('Input Sheet'!J688="",""," siderite in "))</f>
        <v/>
      </c>
    </row>
    <row r="672" spans="1:14" x14ac:dyDescent="0.25">
      <c r="A672" s="51" t="str">
        <f>IF('Input Sheet'!C689="","",CONCATENATE("Sample ", 'Input Sheet'!B689, "m: ", L672, F672, "% ", "Siltstone, ", N672, 'Input Sheet'!C689, "% ", H672, " Sandstone, ", J672, I672, " FLUOR in SST. ", "TG ", 'Input Sheet'!H689, "U"))</f>
        <v/>
      </c>
      <c r="F672" s="36" t="str">
        <f>IF('Input Sheet'!C689="","",100-'Input Sheet'!C689)</f>
        <v/>
      </c>
      <c r="G6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2" s="36" t="str">
        <f t="shared" si="10"/>
        <v/>
      </c>
      <c r="I6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2" s="36" t="str">
        <f>IF('Input Sheet'!F689=0, "NO",CONCATENATE('Input Sheet'!F689, IF('Input Sheet'!F689&gt;0,"% ","")))</f>
        <v>NO</v>
      </c>
      <c r="K6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2" s="36" t="str">
        <f>CONCATENATE(K672, IF('Input Sheet'!I689="",""," siderite in "))</f>
        <v/>
      </c>
      <c r="M6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2" s="36" t="str">
        <f>CONCATENATE(M672, IF('Input Sheet'!J689="",""," siderite in "))</f>
        <v/>
      </c>
    </row>
    <row r="673" spans="1:14" x14ac:dyDescent="0.25">
      <c r="A673" s="51" t="str">
        <f>IF('Input Sheet'!C690="","",CONCATENATE("Sample ", 'Input Sheet'!B690, "m: ", L673, F673, "% ", "Siltstone, ", N673, 'Input Sheet'!C690, "% ", H673, " Sandstone, ", J673, I673, " FLUOR in SST. ", "TG ", 'Input Sheet'!H690, "U"))</f>
        <v/>
      </c>
      <c r="F673" s="36" t="str">
        <f>IF('Input Sheet'!C690="","",100-'Input Sheet'!C690)</f>
        <v/>
      </c>
      <c r="G6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3" s="36" t="str">
        <f t="shared" si="10"/>
        <v/>
      </c>
      <c r="I6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3" s="36" t="str">
        <f>IF('Input Sheet'!F690=0, "NO",CONCATENATE('Input Sheet'!F690, IF('Input Sheet'!F690&gt;0,"% ","")))</f>
        <v>NO</v>
      </c>
      <c r="K6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3" s="36" t="str">
        <f>CONCATENATE(K673, IF('Input Sheet'!I690="",""," siderite in "))</f>
        <v/>
      </c>
      <c r="M6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3" s="36" t="str">
        <f>CONCATENATE(M673, IF('Input Sheet'!J690="",""," siderite in "))</f>
        <v/>
      </c>
    </row>
    <row r="674" spans="1:14" x14ac:dyDescent="0.25">
      <c r="A674" s="51" t="str">
        <f>IF('Input Sheet'!C691="","",CONCATENATE("Sample ", 'Input Sheet'!B691, "m: ", L674, F674, "% ", "Siltstone, ", N674, 'Input Sheet'!C691, "% ", H674, " Sandstone, ", J674, I674, " FLUOR in SST. ", "TG ", 'Input Sheet'!H691, "U"))</f>
        <v/>
      </c>
      <c r="F674" s="36" t="str">
        <f>IF('Input Sheet'!C691="","",100-'Input Sheet'!C691)</f>
        <v/>
      </c>
      <c r="G6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4" s="36" t="str">
        <f t="shared" si="10"/>
        <v/>
      </c>
      <c r="I6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4" s="36" t="str">
        <f>IF('Input Sheet'!F691=0, "NO",CONCATENATE('Input Sheet'!F691, IF('Input Sheet'!F691&gt;0,"% ","")))</f>
        <v>NO</v>
      </c>
      <c r="K6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4" s="36" t="str">
        <f>CONCATENATE(K674, IF('Input Sheet'!I691="",""," siderite in "))</f>
        <v/>
      </c>
      <c r="M6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4" s="36" t="str">
        <f>CONCATENATE(M674, IF('Input Sheet'!J691="",""," siderite in "))</f>
        <v/>
      </c>
    </row>
    <row r="675" spans="1:14" x14ac:dyDescent="0.25">
      <c r="A675" s="51" t="str">
        <f>IF('Input Sheet'!C692="","",CONCATENATE("Sample ", 'Input Sheet'!B692, "m: ", L675, F675, "% ", "Siltstone, ", N675, 'Input Sheet'!C692, "% ", H675, " Sandstone, ", J675, I675, " FLUOR in SST. ", "TG ", 'Input Sheet'!H692, "U"))</f>
        <v/>
      </c>
      <c r="F675" s="36" t="str">
        <f>IF('Input Sheet'!C692="","",100-'Input Sheet'!C692)</f>
        <v/>
      </c>
      <c r="G6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5" s="36" t="str">
        <f t="shared" si="10"/>
        <v/>
      </c>
      <c r="I6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5" s="36" t="str">
        <f>IF('Input Sheet'!F692=0, "NO",CONCATENATE('Input Sheet'!F692, IF('Input Sheet'!F692&gt;0,"% ","")))</f>
        <v>NO</v>
      </c>
      <c r="K6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5" s="36" t="str">
        <f>CONCATENATE(K675, IF('Input Sheet'!I692="",""," siderite in "))</f>
        <v/>
      </c>
      <c r="M6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5" s="36" t="str">
        <f>CONCATENATE(M675, IF('Input Sheet'!J692="",""," siderite in "))</f>
        <v/>
      </c>
    </row>
    <row r="676" spans="1:14" x14ac:dyDescent="0.25">
      <c r="A676" s="51" t="str">
        <f>IF('Input Sheet'!C693="","",CONCATENATE("Sample ", 'Input Sheet'!B693, "m: ", L676, F676, "% ", "Siltstone, ", N676, 'Input Sheet'!C693, "% ", H676, " Sandstone, ", J676, I676, " FLUOR in SST. ", "TG ", 'Input Sheet'!H693, "U"))</f>
        <v/>
      </c>
      <c r="F676" s="36" t="str">
        <f>IF('Input Sheet'!C693="","",100-'Input Sheet'!C693)</f>
        <v/>
      </c>
      <c r="G6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6" s="36" t="str">
        <f t="shared" si="10"/>
        <v/>
      </c>
      <c r="I6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6" s="36" t="str">
        <f>IF('Input Sheet'!F693=0, "NO",CONCATENATE('Input Sheet'!F693, IF('Input Sheet'!F693&gt;0,"% ","")))</f>
        <v>NO</v>
      </c>
      <c r="K6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6" s="36" t="str">
        <f>CONCATENATE(K676, IF('Input Sheet'!I693="",""," siderite in "))</f>
        <v/>
      </c>
      <c r="M6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6" s="36" t="str">
        <f>CONCATENATE(M676, IF('Input Sheet'!J693="",""," siderite in "))</f>
        <v/>
      </c>
    </row>
    <row r="677" spans="1:14" x14ac:dyDescent="0.25">
      <c r="A677" s="51" t="str">
        <f>IF('Input Sheet'!C694="","",CONCATENATE("Sample ", 'Input Sheet'!B694, "m: ", L677, F677, "% ", "Siltstone, ", N677, 'Input Sheet'!C694, "% ", H677, " Sandstone, ", J677, I677, " FLUOR in SST. ", "TG ", 'Input Sheet'!H694, "U"))</f>
        <v/>
      </c>
      <c r="F677" s="36" t="str">
        <f>IF('Input Sheet'!C694="","",100-'Input Sheet'!C694)</f>
        <v/>
      </c>
      <c r="G6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7" s="36" t="str">
        <f t="shared" si="10"/>
        <v/>
      </c>
      <c r="I6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7" s="36" t="str">
        <f>IF('Input Sheet'!F694=0, "NO",CONCATENATE('Input Sheet'!F694, IF('Input Sheet'!F694&gt;0,"% ","")))</f>
        <v>NO</v>
      </c>
      <c r="K6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7" s="36" t="str">
        <f>CONCATENATE(K677, IF('Input Sheet'!I694="",""," siderite in "))</f>
        <v/>
      </c>
      <c r="M6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7" s="36" t="str">
        <f>CONCATENATE(M677, IF('Input Sheet'!J694="",""," siderite in "))</f>
        <v/>
      </c>
    </row>
    <row r="678" spans="1:14" x14ac:dyDescent="0.25">
      <c r="A678" s="51" t="str">
        <f>IF('Input Sheet'!C695="","",CONCATENATE("Sample ", 'Input Sheet'!B695, "m: ", L678, F678, "% ", "Siltstone, ", N678, 'Input Sheet'!C695, "% ", H678, " Sandstone, ", J678, I678, " FLUOR in SST. ", "TG ", 'Input Sheet'!H695, "U"))</f>
        <v/>
      </c>
      <c r="F678" s="36" t="str">
        <f>IF('Input Sheet'!C695="","",100-'Input Sheet'!C695)</f>
        <v/>
      </c>
      <c r="G6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8" s="36" t="str">
        <f t="shared" si="10"/>
        <v/>
      </c>
      <c r="I6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8" s="36" t="str">
        <f>IF('Input Sheet'!F695=0, "NO",CONCATENATE('Input Sheet'!F695, IF('Input Sheet'!F695&gt;0,"% ","")))</f>
        <v>NO</v>
      </c>
      <c r="K6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8" s="36" t="str">
        <f>CONCATENATE(K678, IF('Input Sheet'!I695="",""," siderite in "))</f>
        <v/>
      </c>
      <c r="M6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8" s="36" t="str">
        <f>CONCATENATE(M678, IF('Input Sheet'!J695="",""," siderite in "))</f>
        <v/>
      </c>
    </row>
    <row r="679" spans="1:14" x14ac:dyDescent="0.25">
      <c r="A679" s="51" t="str">
        <f>IF('Input Sheet'!C696="","",CONCATENATE("Sample ", 'Input Sheet'!B696, "m: ", L679, F679, "% ", "Siltstone, ", N679, 'Input Sheet'!C696, "% ", H679, " Sandstone, ", J679, I679, " FLUOR in SST. ", "TG ", 'Input Sheet'!H696, "U"))</f>
        <v/>
      </c>
      <c r="F679" s="36" t="str">
        <f>IF('Input Sheet'!C696="","",100-'Input Sheet'!C696)</f>
        <v/>
      </c>
      <c r="G6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79" s="36" t="str">
        <f t="shared" si="10"/>
        <v/>
      </c>
      <c r="I6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79" s="36" t="str">
        <f>IF('Input Sheet'!F696=0, "NO",CONCATENATE('Input Sheet'!F696, IF('Input Sheet'!F696&gt;0,"% ","")))</f>
        <v>NO</v>
      </c>
      <c r="K6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79" s="36" t="str">
        <f>CONCATENATE(K679, IF('Input Sheet'!I696="",""," siderite in "))</f>
        <v/>
      </c>
      <c r="M6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79" s="36" t="str">
        <f>CONCATENATE(M679, IF('Input Sheet'!J696="",""," siderite in "))</f>
        <v/>
      </c>
    </row>
    <row r="680" spans="1:14" x14ac:dyDescent="0.25">
      <c r="A680" s="51" t="str">
        <f>IF('Input Sheet'!C697="","",CONCATENATE("Sample ", 'Input Sheet'!B697, "m: ", L680, F680, "% ", "Siltstone, ", N680, 'Input Sheet'!C697, "% ", H680, " Sandstone, ", J680, I680, " FLUOR in SST. ", "TG ", 'Input Sheet'!H697, "U"))</f>
        <v/>
      </c>
      <c r="F680" s="36" t="str">
        <f>IF('Input Sheet'!C697="","",100-'Input Sheet'!C697)</f>
        <v/>
      </c>
      <c r="G6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0" s="36" t="str">
        <f t="shared" si="10"/>
        <v/>
      </c>
      <c r="I6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0" s="36" t="str">
        <f>IF('Input Sheet'!F697=0, "NO",CONCATENATE('Input Sheet'!F697, IF('Input Sheet'!F697&gt;0,"% ","")))</f>
        <v>NO</v>
      </c>
      <c r="K6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0" s="36" t="str">
        <f>CONCATENATE(K680, IF('Input Sheet'!I697="",""," siderite in "))</f>
        <v/>
      </c>
      <c r="M6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0" s="36" t="str">
        <f>CONCATENATE(M680, IF('Input Sheet'!J697="",""," siderite in "))</f>
        <v/>
      </c>
    </row>
    <row r="681" spans="1:14" x14ac:dyDescent="0.25">
      <c r="A681" s="51" t="str">
        <f>IF('Input Sheet'!C698="","",CONCATENATE("Sample ", 'Input Sheet'!B698, "m: ", L681, F681, "% ", "Siltstone, ", N681, 'Input Sheet'!C698, "% ", H681, " Sandstone, ", J681, I681, " FLUOR in SST. ", "TG ", 'Input Sheet'!H698, "U"))</f>
        <v/>
      </c>
      <c r="F681" s="36" t="str">
        <f>IF('Input Sheet'!C698="","",100-'Input Sheet'!C698)</f>
        <v/>
      </c>
      <c r="G6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1" s="36" t="str">
        <f t="shared" si="10"/>
        <v/>
      </c>
      <c r="I6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1" s="36" t="str">
        <f>IF('Input Sheet'!F698=0, "NO",CONCATENATE('Input Sheet'!F698, IF('Input Sheet'!F698&gt;0,"% ","")))</f>
        <v>NO</v>
      </c>
      <c r="K6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1" s="36" t="str">
        <f>CONCATENATE(K681, IF('Input Sheet'!I698="",""," siderite in "))</f>
        <v/>
      </c>
      <c r="M6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1" s="36" t="str">
        <f>CONCATENATE(M681, IF('Input Sheet'!J698="",""," siderite in "))</f>
        <v/>
      </c>
    </row>
    <row r="682" spans="1:14" x14ac:dyDescent="0.25">
      <c r="A682" s="51" t="str">
        <f>IF('Input Sheet'!C699="","",CONCATENATE("Sample ", 'Input Sheet'!B699, "m: ", L682, F682, "% ", "Siltstone, ", N682, 'Input Sheet'!C699, "% ", H682, " Sandstone, ", J682, I682, " FLUOR in SST. ", "TG ", 'Input Sheet'!H699, "U"))</f>
        <v/>
      </c>
      <c r="F682" s="36" t="str">
        <f>IF('Input Sheet'!C699="","",100-'Input Sheet'!C699)</f>
        <v/>
      </c>
      <c r="G6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699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2" s="36" t="str">
        <f t="shared" si="10"/>
        <v/>
      </c>
      <c r="I6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699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2" s="36" t="str">
        <f>IF('Input Sheet'!F699=0, "NO",CONCATENATE('Input Sheet'!F699, IF('Input Sheet'!F699&gt;0,"% ","")))</f>
        <v>NO</v>
      </c>
      <c r="K6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699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2" s="36" t="str">
        <f>CONCATENATE(K682, IF('Input Sheet'!I699="",""," siderite in "))</f>
        <v/>
      </c>
      <c r="M6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699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2" s="36" t="str">
        <f>CONCATENATE(M682, IF('Input Sheet'!J699="",""," siderite in "))</f>
        <v/>
      </c>
    </row>
    <row r="683" spans="1:14" x14ac:dyDescent="0.25">
      <c r="A683" s="51" t="str">
        <f>IF('Input Sheet'!C700="","",CONCATENATE("Sample ", 'Input Sheet'!B700, "m: ", L683, F683, "% ", "Siltstone, ", N683, 'Input Sheet'!C700, "% ", H683, " Sandstone, ", J683, I683, " FLUOR in SST. ", "TG ", 'Input Sheet'!H700, "U"))</f>
        <v/>
      </c>
      <c r="F683" s="36" t="str">
        <f>IF('Input Sheet'!C700="","",100-'Input Sheet'!C700)</f>
        <v/>
      </c>
      <c r="G6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3" s="36" t="str">
        <f t="shared" si="10"/>
        <v/>
      </c>
      <c r="I6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3" s="36" t="str">
        <f>IF('Input Sheet'!F700=0, "NO",CONCATENATE('Input Sheet'!F700, IF('Input Sheet'!F700&gt;0,"% ","")))</f>
        <v>NO</v>
      </c>
      <c r="K6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3" s="36" t="str">
        <f>CONCATENATE(K683, IF('Input Sheet'!I700="",""," siderite in "))</f>
        <v/>
      </c>
      <c r="M6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3" s="36" t="str">
        <f>CONCATENATE(M683, IF('Input Sheet'!J700="",""," siderite in "))</f>
        <v/>
      </c>
    </row>
    <row r="684" spans="1:14" x14ac:dyDescent="0.25">
      <c r="A684" s="51" t="str">
        <f>IF('Input Sheet'!C701="","",CONCATENATE("Sample ", 'Input Sheet'!B701, "m: ", L684, F684, "% ", "Siltstone, ", N684, 'Input Sheet'!C701, "% ", H684, " Sandstone, ", J684, I684, " FLUOR in SST. ", "TG ", 'Input Sheet'!H701, "U"))</f>
        <v/>
      </c>
      <c r="F684" s="36" t="str">
        <f>IF('Input Sheet'!C701="","",100-'Input Sheet'!C701)</f>
        <v/>
      </c>
      <c r="G6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4" s="36" t="str">
        <f t="shared" si="10"/>
        <v/>
      </c>
      <c r="I6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4" s="36" t="str">
        <f>IF('Input Sheet'!F701=0, "NO",CONCATENATE('Input Sheet'!F701, IF('Input Sheet'!F701&gt;0,"% ","")))</f>
        <v>NO</v>
      </c>
      <c r="K6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4" s="36" t="str">
        <f>CONCATENATE(K684, IF('Input Sheet'!I701="",""," siderite in "))</f>
        <v/>
      </c>
      <c r="M6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4" s="36" t="str">
        <f>CONCATENATE(M684, IF('Input Sheet'!J701="",""," siderite in "))</f>
        <v/>
      </c>
    </row>
    <row r="685" spans="1:14" x14ac:dyDescent="0.25">
      <c r="A685" s="51" t="str">
        <f>IF('Input Sheet'!C702="","",CONCATENATE("Sample ", 'Input Sheet'!B702, "m: ", L685, F685, "% ", "Siltstone, ", N685, 'Input Sheet'!C702, "% ", H685, " Sandstone, ", J685, I685, " FLUOR in SST. ", "TG ", 'Input Sheet'!H702, "U"))</f>
        <v/>
      </c>
      <c r="F685" s="36" t="str">
        <f>IF('Input Sheet'!C702="","",100-'Input Sheet'!C702)</f>
        <v/>
      </c>
      <c r="G6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5" s="36" t="str">
        <f t="shared" si="10"/>
        <v/>
      </c>
      <c r="I6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5" s="36" t="str">
        <f>IF('Input Sheet'!F702=0, "NO",CONCATENATE('Input Sheet'!F702, IF('Input Sheet'!F702&gt;0,"% ","")))</f>
        <v>NO</v>
      </c>
      <c r="K6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5" s="36" t="str">
        <f>CONCATENATE(K685, IF('Input Sheet'!I702="",""," siderite in "))</f>
        <v/>
      </c>
      <c r="M6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5" s="36" t="str">
        <f>CONCATENATE(M685, IF('Input Sheet'!J702="",""," siderite in "))</f>
        <v/>
      </c>
    </row>
    <row r="686" spans="1:14" x14ac:dyDescent="0.25">
      <c r="A686" s="51" t="str">
        <f>IF('Input Sheet'!C703="","",CONCATENATE("Sample ", 'Input Sheet'!B703, "m: ", L686, F686, "% ", "Siltstone, ", N686, 'Input Sheet'!C703, "% ", H686, " Sandstone, ", J686, I686, " FLUOR in SST. ", "TG ", 'Input Sheet'!H703, "U"))</f>
        <v/>
      </c>
      <c r="F686" s="36" t="str">
        <f>IF('Input Sheet'!C703="","",100-'Input Sheet'!C703)</f>
        <v/>
      </c>
      <c r="G6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6" s="36" t="str">
        <f t="shared" si="10"/>
        <v/>
      </c>
      <c r="I6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6" s="36" t="str">
        <f>IF('Input Sheet'!F703=0, "NO",CONCATENATE('Input Sheet'!F703, IF('Input Sheet'!F703&gt;0,"% ","")))</f>
        <v>NO</v>
      </c>
      <c r="K6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6" s="36" t="str">
        <f>CONCATENATE(K686, IF('Input Sheet'!I703="",""," siderite in "))</f>
        <v/>
      </c>
      <c r="M6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6" s="36" t="str">
        <f>CONCATENATE(M686, IF('Input Sheet'!J703="",""," siderite in "))</f>
        <v/>
      </c>
    </row>
    <row r="687" spans="1:14" x14ac:dyDescent="0.25">
      <c r="A687" s="51" t="str">
        <f>IF('Input Sheet'!C704="","",CONCATENATE("Sample ", 'Input Sheet'!B704, "m: ", L687, F687, "% ", "Siltstone, ", N687, 'Input Sheet'!C704, "% ", H687, " Sandstone, ", J687, I687, " FLUOR in SST. ", "TG ", 'Input Sheet'!H704, "U"))</f>
        <v/>
      </c>
      <c r="F687" s="36" t="str">
        <f>IF('Input Sheet'!C704="","",100-'Input Sheet'!C704)</f>
        <v/>
      </c>
      <c r="G6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7" s="36" t="str">
        <f t="shared" si="10"/>
        <v/>
      </c>
      <c r="I6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7" s="36" t="str">
        <f>IF('Input Sheet'!F704=0, "NO",CONCATENATE('Input Sheet'!F704, IF('Input Sheet'!F704&gt;0,"% ","")))</f>
        <v>NO</v>
      </c>
      <c r="K6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7" s="36" t="str">
        <f>CONCATENATE(K687, IF('Input Sheet'!I704="",""," siderite in "))</f>
        <v/>
      </c>
      <c r="M6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7" s="36" t="str">
        <f>CONCATENATE(M687, IF('Input Sheet'!J704="",""," siderite in "))</f>
        <v/>
      </c>
    </row>
    <row r="688" spans="1:14" x14ac:dyDescent="0.25">
      <c r="A688" s="51" t="str">
        <f>IF('Input Sheet'!C705="","",CONCATENATE("Sample ", 'Input Sheet'!B705, "m: ", L688, F688, "% ", "Siltstone, ", N688, 'Input Sheet'!C705, "% ", H688, " Sandstone, ", J688, I688, " FLUOR in SST. ", "TG ", 'Input Sheet'!H705, "U"))</f>
        <v/>
      </c>
      <c r="F688" s="36" t="str">
        <f>IF('Input Sheet'!C705="","",100-'Input Sheet'!C705)</f>
        <v/>
      </c>
      <c r="G6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8" s="36" t="str">
        <f t="shared" si="10"/>
        <v/>
      </c>
      <c r="I6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8" s="36" t="str">
        <f>IF('Input Sheet'!F705=0, "NO",CONCATENATE('Input Sheet'!F705, IF('Input Sheet'!F705&gt;0,"% ","")))</f>
        <v>NO</v>
      </c>
      <c r="K6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8" s="36" t="str">
        <f>CONCATENATE(K688, IF('Input Sheet'!I705="",""," siderite in "))</f>
        <v/>
      </c>
      <c r="M6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8" s="36" t="str">
        <f>CONCATENATE(M688, IF('Input Sheet'!J705="",""," siderite in "))</f>
        <v/>
      </c>
    </row>
    <row r="689" spans="1:14" x14ac:dyDescent="0.25">
      <c r="A689" s="51" t="str">
        <f>IF('Input Sheet'!C706="","",CONCATENATE("Sample ", 'Input Sheet'!B706, "m: ", L689, F689, "% ", "Siltstone, ", N689, 'Input Sheet'!C706, "% ", H689, " Sandstone, ", J689, I689, " FLUOR in SST. ", "TG ", 'Input Sheet'!H706, "U"))</f>
        <v/>
      </c>
      <c r="F689" s="36" t="str">
        <f>IF('Input Sheet'!C706="","",100-'Input Sheet'!C706)</f>
        <v/>
      </c>
      <c r="G6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89" s="36" t="str">
        <f t="shared" si="10"/>
        <v/>
      </c>
      <c r="I6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89" s="36" t="str">
        <f>IF('Input Sheet'!F706=0, "NO",CONCATENATE('Input Sheet'!F706, IF('Input Sheet'!F706&gt;0,"% ","")))</f>
        <v>NO</v>
      </c>
      <c r="K6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89" s="36" t="str">
        <f>CONCATENATE(K689, IF('Input Sheet'!I706="",""," siderite in "))</f>
        <v/>
      </c>
      <c r="M6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89" s="36" t="str">
        <f>CONCATENATE(M689, IF('Input Sheet'!J706="",""," siderite in "))</f>
        <v/>
      </c>
    </row>
    <row r="690" spans="1:14" x14ac:dyDescent="0.25">
      <c r="A690" s="51" t="str">
        <f>IF('Input Sheet'!C707="","",CONCATENATE("Sample ", 'Input Sheet'!B707, "m: ", L690, F690, "% ", "Siltstone, ", N690, 'Input Sheet'!C707, "% ", H690, " Sandstone, ", J690, I690, " FLUOR in SST. ", "TG ", 'Input Sheet'!H707, "U"))</f>
        <v/>
      </c>
      <c r="F690" s="36" t="str">
        <f>IF('Input Sheet'!C707="","",100-'Input Sheet'!C707)</f>
        <v/>
      </c>
      <c r="G6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0" s="36" t="str">
        <f t="shared" si="10"/>
        <v/>
      </c>
      <c r="I6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0" s="36" t="str">
        <f>IF('Input Sheet'!F707=0, "NO",CONCATENATE('Input Sheet'!F707, IF('Input Sheet'!F707&gt;0,"% ","")))</f>
        <v>NO</v>
      </c>
      <c r="K6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0" s="36" t="str">
        <f>CONCATENATE(K690, IF('Input Sheet'!I707="",""," siderite in "))</f>
        <v/>
      </c>
      <c r="M6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0" s="36" t="str">
        <f>CONCATENATE(M690, IF('Input Sheet'!J707="",""," siderite in "))</f>
        <v/>
      </c>
    </row>
    <row r="691" spans="1:14" x14ac:dyDescent="0.25">
      <c r="A691" s="51" t="str">
        <f>IF('Input Sheet'!C708="","",CONCATENATE("Sample ", 'Input Sheet'!B708, "m: ", L691, F691, "% ", "Siltstone, ", N691, 'Input Sheet'!C708, "% ", H691, " Sandstone, ", J691, I691, " FLUOR in SST. ", "TG ", 'Input Sheet'!H708, "U"))</f>
        <v/>
      </c>
      <c r="F691" s="36" t="str">
        <f>IF('Input Sheet'!C708="","",100-'Input Sheet'!C708)</f>
        <v/>
      </c>
      <c r="G6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1" s="36" t="str">
        <f t="shared" si="10"/>
        <v/>
      </c>
      <c r="I6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1" s="36" t="str">
        <f>IF('Input Sheet'!F708=0, "NO",CONCATENATE('Input Sheet'!F708, IF('Input Sheet'!F708&gt;0,"% ","")))</f>
        <v>NO</v>
      </c>
      <c r="K6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1" s="36" t="str">
        <f>CONCATENATE(K691, IF('Input Sheet'!I708="",""," siderite in "))</f>
        <v/>
      </c>
      <c r="M6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1" s="36" t="str">
        <f>CONCATENATE(M691, IF('Input Sheet'!J708="",""," siderite in "))</f>
        <v/>
      </c>
    </row>
    <row r="692" spans="1:14" x14ac:dyDescent="0.25">
      <c r="A692" s="51" t="str">
        <f>IF('Input Sheet'!C709="","",CONCATENATE("Sample ", 'Input Sheet'!B709, "m: ", L692, F692, "% ", "Siltstone, ", N692, 'Input Sheet'!C709, "% ", H692, " Sandstone, ", J692, I692, " FLUOR in SST. ", "TG ", 'Input Sheet'!H709, "U"))</f>
        <v/>
      </c>
      <c r="F692" s="36" t="str">
        <f>IF('Input Sheet'!C709="","",100-'Input Sheet'!C709)</f>
        <v/>
      </c>
      <c r="G6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2" s="36" t="str">
        <f t="shared" si="10"/>
        <v/>
      </c>
      <c r="I6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2" s="36" t="str">
        <f>IF('Input Sheet'!F709=0, "NO",CONCATENATE('Input Sheet'!F709, IF('Input Sheet'!F709&gt;0,"% ","")))</f>
        <v>NO</v>
      </c>
      <c r="K6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2" s="36" t="str">
        <f>CONCATENATE(K692, IF('Input Sheet'!I709="",""," siderite in "))</f>
        <v/>
      </c>
      <c r="M6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2" s="36" t="str">
        <f>CONCATENATE(M692, IF('Input Sheet'!J709="",""," siderite in "))</f>
        <v/>
      </c>
    </row>
    <row r="693" spans="1:14" x14ac:dyDescent="0.25">
      <c r="A693" s="51" t="str">
        <f>IF('Input Sheet'!C710="","",CONCATENATE("Sample ", 'Input Sheet'!B710, "m: ", L693, F693, "% ", "Siltstone, ", N693, 'Input Sheet'!C710, "% ", H693, " Sandstone, ", J693, I693, " FLUOR in SST. ", "TG ", 'Input Sheet'!H710, "U"))</f>
        <v/>
      </c>
      <c r="F693" s="36" t="str">
        <f>IF('Input Sheet'!C710="","",100-'Input Sheet'!C710)</f>
        <v/>
      </c>
      <c r="G6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3" s="36" t="str">
        <f t="shared" si="10"/>
        <v/>
      </c>
      <c r="I6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3" s="36" t="str">
        <f>IF('Input Sheet'!F710=0, "NO",CONCATENATE('Input Sheet'!F710, IF('Input Sheet'!F710&gt;0,"% ","")))</f>
        <v>NO</v>
      </c>
      <c r="K6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3" s="36" t="str">
        <f>CONCATENATE(K693, IF('Input Sheet'!I710="",""," siderite in "))</f>
        <v/>
      </c>
      <c r="M6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3" s="36" t="str">
        <f>CONCATENATE(M693, IF('Input Sheet'!J710="",""," siderite in "))</f>
        <v/>
      </c>
    </row>
    <row r="694" spans="1:14" x14ac:dyDescent="0.25">
      <c r="A694" s="51" t="str">
        <f>IF('Input Sheet'!C711="","",CONCATENATE("Sample ", 'Input Sheet'!B711, "m: ", L694, F694, "% ", "Siltstone, ", N694, 'Input Sheet'!C711, "% ", H694, " Sandstone, ", J694, I694, " FLUOR in SST. ", "TG ", 'Input Sheet'!H711, "U"))</f>
        <v/>
      </c>
      <c r="F694" s="36" t="str">
        <f>IF('Input Sheet'!C711="","",100-'Input Sheet'!C711)</f>
        <v/>
      </c>
      <c r="G6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4" s="36" t="str">
        <f t="shared" si="10"/>
        <v/>
      </c>
      <c r="I6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4" s="36" t="str">
        <f>IF('Input Sheet'!F711=0, "NO",CONCATENATE('Input Sheet'!F711, IF('Input Sheet'!F711&gt;0,"% ","")))</f>
        <v>NO</v>
      </c>
      <c r="K6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4" s="36" t="str">
        <f>CONCATENATE(K694, IF('Input Sheet'!I711="",""," siderite in "))</f>
        <v/>
      </c>
      <c r="M6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4" s="36" t="str">
        <f>CONCATENATE(M694, IF('Input Sheet'!J711="",""," siderite in "))</f>
        <v/>
      </c>
    </row>
    <row r="695" spans="1:14" x14ac:dyDescent="0.25">
      <c r="A695" s="51" t="str">
        <f>IF('Input Sheet'!C712="","",CONCATENATE("Sample ", 'Input Sheet'!B712, "m: ", L695, F695, "% ", "Siltstone, ", N695, 'Input Sheet'!C712, "% ", H695, " Sandstone, ", J695, I695, " FLUOR in SST. ", "TG ", 'Input Sheet'!H712, "U"))</f>
        <v/>
      </c>
      <c r="F695" s="36" t="str">
        <f>IF('Input Sheet'!C712="","",100-'Input Sheet'!C712)</f>
        <v/>
      </c>
      <c r="G6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5" s="36" t="str">
        <f t="shared" si="10"/>
        <v/>
      </c>
      <c r="I6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5" s="36" t="str">
        <f>IF('Input Sheet'!F712=0, "NO",CONCATENATE('Input Sheet'!F712, IF('Input Sheet'!F712&gt;0,"% ","")))</f>
        <v>NO</v>
      </c>
      <c r="K6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5" s="36" t="str">
        <f>CONCATENATE(K695, IF('Input Sheet'!I712="",""," siderite in "))</f>
        <v/>
      </c>
      <c r="M6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5" s="36" t="str">
        <f>CONCATENATE(M695, IF('Input Sheet'!J712="",""," siderite in "))</f>
        <v/>
      </c>
    </row>
    <row r="696" spans="1:14" x14ac:dyDescent="0.25">
      <c r="A696" s="51" t="str">
        <f>IF('Input Sheet'!C713="","",CONCATENATE("Sample ", 'Input Sheet'!B713, "m: ", L696, F696, "% ", "Siltstone, ", N696, 'Input Sheet'!C713, "% ", H696, " Sandstone, ", J696, I696, " FLUOR in SST. ", "TG ", 'Input Sheet'!H713, "U"))</f>
        <v/>
      </c>
      <c r="F696" s="36" t="str">
        <f>IF('Input Sheet'!C713="","",100-'Input Sheet'!C713)</f>
        <v/>
      </c>
      <c r="G6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6" s="36" t="str">
        <f t="shared" si="10"/>
        <v/>
      </c>
      <c r="I6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6" s="36" t="str">
        <f>IF('Input Sheet'!F713=0, "NO",CONCATENATE('Input Sheet'!F713, IF('Input Sheet'!F713&gt;0,"% ","")))</f>
        <v>NO</v>
      </c>
      <c r="K6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6" s="36" t="str">
        <f>CONCATENATE(K696, IF('Input Sheet'!I713="",""," siderite in "))</f>
        <v/>
      </c>
      <c r="M6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6" s="36" t="str">
        <f>CONCATENATE(M696, IF('Input Sheet'!J713="",""," siderite in "))</f>
        <v/>
      </c>
    </row>
    <row r="697" spans="1:14" x14ac:dyDescent="0.25">
      <c r="A697" s="51" t="str">
        <f>IF('Input Sheet'!C714="","",CONCATENATE("Sample ", 'Input Sheet'!B714, "m: ", L697, F697, "% ", "Siltstone, ", N697, 'Input Sheet'!C714, "% ", H697, " Sandstone, ", J697, I697, " FLUOR in SST. ", "TG ", 'Input Sheet'!H714, "U"))</f>
        <v/>
      </c>
      <c r="F697" s="36" t="str">
        <f>IF('Input Sheet'!C714="","",100-'Input Sheet'!C714)</f>
        <v/>
      </c>
      <c r="G6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7" s="36" t="str">
        <f t="shared" si="10"/>
        <v/>
      </c>
      <c r="I6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7" s="36" t="str">
        <f>IF('Input Sheet'!F714=0, "NO",CONCATENATE('Input Sheet'!F714, IF('Input Sheet'!F714&gt;0,"% ","")))</f>
        <v>NO</v>
      </c>
      <c r="K6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7" s="36" t="str">
        <f>CONCATENATE(K697, IF('Input Sheet'!I714="",""," siderite in "))</f>
        <v/>
      </c>
      <c r="M6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7" s="36" t="str">
        <f>CONCATENATE(M697, IF('Input Sheet'!J714="",""," siderite in "))</f>
        <v/>
      </c>
    </row>
    <row r="698" spans="1:14" x14ac:dyDescent="0.25">
      <c r="A698" s="51" t="str">
        <f>IF('Input Sheet'!C715="","",CONCATENATE("Sample ", 'Input Sheet'!B715, "m: ", L698, F698, "% ", "Siltstone, ", N698, 'Input Sheet'!C715, "% ", H698, " Sandstone, ", J698, I698, " FLUOR in SST. ", "TG ", 'Input Sheet'!H715, "U"))</f>
        <v/>
      </c>
      <c r="F698" s="36" t="str">
        <f>IF('Input Sheet'!C715="","",100-'Input Sheet'!C715)</f>
        <v/>
      </c>
      <c r="G6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8" s="36" t="str">
        <f t="shared" si="10"/>
        <v/>
      </c>
      <c r="I6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8" s="36" t="str">
        <f>IF('Input Sheet'!F715=0, "NO",CONCATENATE('Input Sheet'!F715, IF('Input Sheet'!F715&gt;0,"% ","")))</f>
        <v>NO</v>
      </c>
      <c r="K6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8" s="36" t="str">
        <f>CONCATENATE(K698, IF('Input Sheet'!I715="",""," siderite in "))</f>
        <v/>
      </c>
      <c r="M6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8" s="36" t="str">
        <f>CONCATENATE(M698, IF('Input Sheet'!J715="",""," siderite in "))</f>
        <v/>
      </c>
    </row>
    <row r="699" spans="1:14" x14ac:dyDescent="0.25">
      <c r="A699" s="51" t="str">
        <f>IF('Input Sheet'!C716="","",CONCATENATE("Sample ", 'Input Sheet'!B716, "m: ", L699, F699, "% ", "Siltstone, ", N699, 'Input Sheet'!C716, "% ", H699, " Sandstone, ", J699, I699, " FLUOR in SST. ", "TG ", 'Input Sheet'!H716, "U"))</f>
        <v/>
      </c>
      <c r="F699" s="36" t="str">
        <f>IF('Input Sheet'!C716="","",100-'Input Sheet'!C716)</f>
        <v/>
      </c>
      <c r="G6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699" s="36" t="str">
        <f t="shared" si="10"/>
        <v/>
      </c>
      <c r="I6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699" s="36" t="str">
        <f>IF('Input Sheet'!F716=0, "NO",CONCATENATE('Input Sheet'!F716, IF('Input Sheet'!F716&gt;0,"% ","")))</f>
        <v>NO</v>
      </c>
      <c r="K6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699" s="36" t="str">
        <f>CONCATENATE(K699, IF('Input Sheet'!I716="",""," siderite in "))</f>
        <v/>
      </c>
      <c r="M6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699" s="36" t="str">
        <f>CONCATENATE(M699, IF('Input Sheet'!J716="",""," siderite in "))</f>
        <v/>
      </c>
    </row>
    <row r="700" spans="1:14" x14ac:dyDescent="0.25">
      <c r="A700" s="51" t="str">
        <f>IF('Input Sheet'!C717="","",CONCATENATE("Sample ", 'Input Sheet'!B717, "m: ", L700, F700, "% ", "Siltstone, ", N700, 'Input Sheet'!C717, "% ", H700, " Sandstone, ", J700, I700, " FLUOR in SST. ", "TG ", 'Input Sheet'!H717, "U"))</f>
        <v/>
      </c>
      <c r="F700" s="36" t="str">
        <f>IF('Input Sheet'!C717="","",100-'Input Sheet'!C717)</f>
        <v/>
      </c>
      <c r="G7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0" s="36" t="str">
        <f t="shared" si="10"/>
        <v/>
      </c>
      <c r="I7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0" s="36" t="str">
        <f>IF('Input Sheet'!F717=0, "NO",CONCATENATE('Input Sheet'!F717, IF('Input Sheet'!F717&gt;0,"% ","")))</f>
        <v>NO</v>
      </c>
      <c r="K7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0" s="36" t="str">
        <f>CONCATENATE(K700, IF('Input Sheet'!I717="",""," siderite in "))</f>
        <v/>
      </c>
      <c r="M7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0" s="36" t="str">
        <f>CONCATENATE(M700, IF('Input Sheet'!J717="",""," siderite in "))</f>
        <v/>
      </c>
    </row>
    <row r="701" spans="1:14" x14ac:dyDescent="0.25">
      <c r="A701" s="51" t="str">
        <f>IF('Input Sheet'!C718="","",CONCATENATE("Sample ", 'Input Sheet'!B718, "m: ", L701, F701, "% ", "Siltstone, ", N701, 'Input Sheet'!C718, "% ", H701, " Sandstone, ", J701, I701, " FLUOR in SST. ", "TG ", 'Input Sheet'!H718, "U"))</f>
        <v/>
      </c>
      <c r="F701" s="36" t="str">
        <f>IF('Input Sheet'!C718="","",100-'Input Sheet'!C718)</f>
        <v/>
      </c>
      <c r="G7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1" s="36" t="str">
        <f t="shared" si="10"/>
        <v/>
      </c>
      <c r="I7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1" s="36" t="str">
        <f>IF('Input Sheet'!F718=0, "NO",CONCATENATE('Input Sheet'!F718, IF('Input Sheet'!F718&gt;0,"% ","")))</f>
        <v>NO</v>
      </c>
      <c r="K7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1" s="36" t="str">
        <f>CONCATENATE(K701, IF('Input Sheet'!I718="",""," siderite in "))</f>
        <v/>
      </c>
      <c r="M7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1" s="36" t="str">
        <f>CONCATENATE(M701, IF('Input Sheet'!J718="",""," siderite in "))</f>
        <v/>
      </c>
    </row>
    <row r="702" spans="1:14" x14ac:dyDescent="0.25">
      <c r="A702" s="51" t="str">
        <f>IF('Input Sheet'!C719="","",CONCATENATE("Sample ", 'Input Sheet'!B719, "m: ", L702, F702, "% ", "Siltstone, ", N702, 'Input Sheet'!C719, "% ", H702, " Sandstone, ", J702, I702, " FLUOR in SST. ", "TG ", 'Input Sheet'!H719, "U"))</f>
        <v/>
      </c>
      <c r="F702" s="36" t="str">
        <f>IF('Input Sheet'!C719="","",100-'Input Sheet'!C719)</f>
        <v/>
      </c>
      <c r="G7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2" s="36" t="str">
        <f t="shared" si="10"/>
        <v/>
      </c>
      <c r="I7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2" s="36" t="str">
        <f>IF('Input Sheet'!F719=0, "NO",CONCATENATE('Input Sheet'!F719, IF('Input Sheet'!F719&gt;0,"% ","")))</f>
        <v>NO</v>
      </c>
      <c r="K7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2" s="36" t="str">
        <f>CONCATENATE(K702, IF('Input Sheet'!I719="",""," siderite in "))</f>
        <v/>
      </c>
      <c r="M7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2" s="36" t="str">
        <f>CONCATENATE(M702, IF('Input Sheet'!J719="",""," siderite in "))</f>
        <v/>
      </c>
    </row>
    <row r="703" spans="1:14" x14ac:dyDescent="0.25">
      <c r="A703" s="51" t="str">
        <f>IF('Input Sheet'!C720="","",CONCATENATE("Sample ", 'Input Sheet'!B720, "m: ", L703, F703, "% ", "Siltstone, ", N703, 'Input Sheet'!C720, "% ", H703, " Sandstone, ", J703, I703, " FLUOR in SST. ", "TG ", 'Input Sheet'!H720, "U"))</f>
        <v/>
      </c>
      <c r="F703" s="36" t="str">
        <f>IF('Input Sheet'!C720="","",100-'Input Sheet'!C720)</f>
        <v/>
      </c>
      <c r="G7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3" s="36" t="str">
        <f t="shared" si="10"/>
        <v/>
      </c>
      <c r="I7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3" s="36" t="str">
        <f>IF('Input Sheet'!F720=0, "NO",CONCATENATE('Input Sheet'!F720, IF('Input Sheet'!F720&gt;0,"% ","")))</f>
        <v>NO</v>
      </c>
      <c r="K7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3" s="36" t="str">
        <f>CONCATENATE(K703, IF('Input Sheet'!I720="",""," siderite in "))</f>
        <v/>
      </c>
      <c r="M7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3" s="36" t="str">
        <f>CONCATENATE(M703, IF('Input Sheet'!J720="",""," siderite in "))</f>
        <v/>
      </c>
    </row>
    <row r="704" spans="1:14" x14ac:dyDescent="0.25">
      <c r="A704" s="51" t="str">
        <f>IF('Input Sheet'!C721="","",CONCATENATE("Sample ", 'Input Sheet'!B721, "m: ", L704, F704, "% ", "Siltstone, ", N704, 'Input Sheet'!C721, "% ", H704, " Sandstone, ", J704, I704, " FLUOR in SST. ", "TG ", 'Input Sheet'!H721, "U"))</f>
        <v/>
      </c>
      <c r="F704" s="36" t="str">
        <f>IF('Input Sheet'!C721="","",100-'Input Sheet'!C721)</f>
        <v/>
      </c>
      <c r="G7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4" s="36" t="str">
        <f t="shared" si="10"/>
        <v/>
      </c>
      <c r="I7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4" s="36" t="str">
        <f>IF('Input Sheet'!F721=0, "NO",CONCATENATE('Input Sheet'!F721, IF('Input Sheet'!F721&gt;0,"% ","")))</f>
        <v>NO</v>
      </c>
      <c r="K7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4" s="36" t="str">
        <f>CONCATENATE(K704, IF('Input Sheet'!I721="",""," siderite in "))</f>
        <v/>
      </c>
      <c r="M7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4" s="36" t="str">
        <f>CONCATENATE(M704, IF('Input Sheet'!J721="",""," siderite in "))</f>
        <v/>
      </c>
    </row>
    <row r="705" spans="1:14" x14ac:dyDescent="0.25">
      <c r="A705" s="51" t="str">
        <f>IF('Input Sheet'!C722="","",CONCATENATE("Sample ", 'Input Sheet'!B722, "m: ", L705, F705, "% ", "Siltstone, ", N705, 'Input Sheet'!C722, "% ", H705, " Sandstone, ", J705, I705, " FLUOR in SST. ", "TG ", 'Input Sheet'!H722, "U"))</f>
        <v/>
      </c>
      <c r="F705" s="36" t="str">
        <f>IF('Input Sheet'!C722="","",100-'Input Sheet'!C722)</f>
        <v/>
      </c>
      <c r="G7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5" s="36" t="str">
        <f t="shared" si="10"/>
        <v/>
      </c>
      <c r="I7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5" s="36" t="str">
        <f>IF('Input Sheet'!F722=0, "NO",CONCATENATE('Input Sheet'!F722, IF('Input Sheet'!F722&gt;0,"% ","")))</f>
        <v>NO</v>
      </c>
      <c r="K7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5" s="36" t="str">
        <f>CONCATENATE(K705, IF('Input Sheet'!I722="",""," siderite in "))</f>
        <v/>
      </c>
      <c r="M7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5" s="36" t="str">
        <f>CONCATENATE(M705, IF('Input Sheet'!J722="",""," siderite in "))</f>
        <v/>
      </c>
    </row>
    <row r="706" spans="1:14" x14ac:dyDescent="0.25">
      <c r="A706" s="51" t="str">
        <f>IF('Input Sheet'!C723="","",CONCATENATE("Sample ", 'Input Sheet'!B723, "m: ", L706, F706, "% ", "Siltstone, ", N706, 'Input Sheet'!C723, "% ", H706, " Sandstone, ", J706, I706, " FLUOR in SST. ", "TG ", 'Input Sheet'!H723, "U"))</f>
        <v/>
      </c>
      <c r="F706" s="36" t="str">
        <f>IF('Input Sheet'!C723="","",100-'Input Sheet'!C723)</f>
        <v/>
      </c>
      <c r="G7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6" s="36" t="str">
        <f t="shared" ref="H706:H769" si="11">SUBSTITUTE(G706, "veryfine", "very fine")</f>
        <v/>
      </c>
      <c r="I7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6" s="36" t="str">
        <f>IF('Input Sheet'!F723=0, "NO",CONCATENATE('Input Sheet'!F723, IF('Input Sheet'!F723&gt;0,"% ","")))</f>
        <v>NO</v>
      </c>
      <c r="K7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6" s="36" t="str">
        <f>CONCATENATE(K706, IF('Input Sheet'!I723="",""," siderite in "))</f>
        <v/>
      </c>
      <c r="M7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6" s="36" t="str">
        <f>CONCATENATE(M706, IF('Input Sheet'!J723="",""," siderite in "))</f>
        <v/>
      </c>
    </row>
    <row r="707" spans="1:14" x14ac:dyDescent="0.25">
      <c r="A707" s="51" t="str">
        <f>IF('Input Sheet'!C724="","",CONCATENATE("Sample ", 'Input Sheet'!B724, "m: ", L707, F707, "% ", "Siltstone, ", N707, 'Input Sheet'!C724, "% ", H707, " Sandstone, ", J707, I707, " FLUOR in SST. ", "TG ", 'Input Sheet'!H724, "U"))</f>
        <v/>
      </c>
      <c r="F707" s="36" t="str">
        <f>IF('Input Sheet'!C724="","",100-'Input Sheet'!C724)</f>
        <v/>
      </c>
      <c r="G7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7" s="36" t="str">
        <f t="shared" si="11"/>
        <v/>
      </c>
      <c r="I7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7" s="36" t="str">
        <f>IF('Input Sheet'!F724=0, "NO",CONCATENATE('Input Sheet'!F724, IF('Input Sheet'!F724&gt;0,"% ","")))</f>
        <v>NO</v>
      </c>
      <c r="K7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7" s="36" t="str">
        <f>CONCATENATE(K707, IF('Input Sheet'!I724="",""," siderite in "))</f>
        <v/>
      </c>
      <c r="M7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7" s="36" t="str">
        <f>CONCATENATE(M707, IF('Input Sheet'!J724="",""," siderite in "))</f>
        <v/>
      </c>
    </row>
    <row r="708" spans="1:14" x14ac:dyDescent="0.25">
      <c r="A708" s="51" t="str">
        <f>IF('Input Sheet'!C725="","",CONCATENATE("Sample ", 'Input Sheet'!B725, "m: ", L708, F708, "% ", "Siltstone, ", N708, 'Input Sheet'!C725, "% ", H708, " Sandstone, ", J708, I708, " FLUOR in SST. ", "TG ", 'Input Sheet'!H725, "U"))</f>
        <v/>
      </c>
      <c r="F708" s="36" t="str">
        <f>IF('Input Sheet'!C725="","",100-'Input Sheet'!C725)</f>
        <v/>
      </c>
      <c r="G7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8" s="36" t="str">
        <f t="shared" si="11"/>
        <v/>
      </c>
      <c r="I7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8" s="36" t="str">
        <f>IF('Input Sheet'!F725=0, "NO",CONCATENATE('Input Sheet'!F725, IF('Input Sheet'!F725&gt;0,"% ","")))</f>
        <v>NO</v>
      </c>
      <c r="K7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8" s="36" t="str">
        <f>CONCATENATE(K708, IF('Input Sheet'!I725="",""," siderite in "))</f>
        <v/>
      </c>
      <c r="M7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8" s="36" t="str">
        <f>CONCATENATE(M708, IF('Input Sheet'!J725="",""," siderite in "))</f>
        <v/>
      </c>
    </row>
    <row r="709" spans="1:14" x14ac:dyDescent="0.25">
      <c r="A709" s="51" t="str">
        <f>IF('Input Sheet'!C726="","",CONCATENATE("Sample ", 'Input Sheet'!B726, "m: ", L709, F709, "% ", "Siltstone, ", N709, 'Input Sheet'!C726, "% ", H709, " Sandstone, ", J709, I709, " FLUOR in SST. ", "TG ", 'Input Sheet'!H726, "U"))</f>
        <v/>
      </c>
      <c r="F709" s="36" t="str">
        <f>IF('Input Sheet'!C726="","",100-'Input Sheet'!C726)</f>
        <v/>
      </c>
      <c r="G7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09" s="36" t="str">
        <f t="shared" si="11"/>
        <v/>
      </c>
      <c r="I7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09" s="36" t="str">
        <f>IF('Input Sheet'!F726=0, "NO",CONCATENATE('Input Sheet'!F726, IF('Input Sheet'!F726&gt;0,"% ","")))</f>
        <v>NO</v>
      </c>
      <c r="K7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09" s="36" t="str">
        <f>CONCATENATE(K709, IF('Input Sheet'!I726="",""," siderite in "))</f>
        <v/>
      </c>
      <c r="M7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09" s="36" t="str">
        <f>CONCATENATE(M709, IF('Input Sheet'!J726="",""," siderite in "))</f>
        <v/>
      </c>
    </row>
    <row r="710" spans="1:14" x14ac:dyDescent="0.25">
      <c r="A710" s="51" t="str">
        <f>IF('Input Sheet'!C727="","",CONCATENATE("Sample ", 'Input Sheet'!B727, "m: ", L710, F710, "% ", "Siltstone, ", N710, 'Input Sheet'!C727, "% ", H710, " Sandstone, ", J710, I710, " FLUOR in SST. ", "TG ", 'Input Sheet'!H727, "U"))</f>
        <v/>
      </c>
      <c r="F710" s="36" t="str">
        <f>IF('Input Sheet'!C727="","",100-'Input Sheet'!C727)</f>
        <v/>
      </c>
      <c r="G7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0" s="36" t="str">
        <f t="shared" si="11"/>
        <v/>
      </c>
      <c r="I7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0" s="36" t="str">
        <f>IF('Input Sheet'!F727=0, "NO",CONCATENATE('Input Sheet'!F727, IF('Input Sheet'!F727&gt;0,"% ","")))</f>
        <v>NO</v>
      </c>
      <c r="K7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0" s="36" t="str">
        <f>CONCATENATE(K710, IF('Input Sheet'!I727="",""," siderite in "))</f>
        <v/>
      </c>
      <c r="M7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0" s="36" t="str">
        <f>CONCATENATE(M710, IF('Input Sheet'!J727="",""," siderite in "))</f>
        <v/>
      </c>
    </row>
    <row r="711" spans="1:14" x14ac:dyDescent="0.25">
      <c r="A711" s="51" t="str">
        <f>IF('Input Sheet'!C728="","",CONCATENATE("Sample ", 'Input Sheet'!B728, "m: ", L711, F711, "% ", "Siltstone, ", N711, 'Input Sheet'!C728, "% ", H711, " Sandstone, ", J711, I711, " FLUOR in SST. ", "TG ", 'Input Sheet'!H728, "U"))</f>
        <v/>
      </c>
      <c r="F711" s="36" t="str">
        <f>IF('Input Sheet'!C728="","",100-'Input Sheet'!C728)</f>
        <v/>
      </c>
      <c r="G7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1" s="36" t="str">
        <f t="shared" si="11"/>
        <v/>
      </c>
      <c r="I7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1" s="36" t="str">
        <f>IF('Input Sheet'!F728=0, "NO",CONCATENATE('Input Sheet'!F728, IF('Input Sheet'!F728&gt;0,"% ","")))</f>
        <v>NO</v>
      </c>
      <c r="K7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1" s="36" t="str">
        <f>CONCATENATE(K711, IF('Input Sheet'!I728="",""," siderite in "))</f>
        <v/>
      </c>
      <c r="M7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1" s="36" t="str">
        <f>CONCATENATE(M711, IF('Input Sheet'!J728="",""," siderite in "))</f>
        <v/>
      </c>
    </row>
    <row r="712" spans="1:14" x14ac:dyDescent="0.25">
      <c r="A712" s="51" t="str">
        <f>IF('Input Sheet'!C729="","",CONCATENATE("Sample ", 'Input Sheet'!B729, "m: ", L712, F712, "% ", "Siltstone, ", N712, 'Input Sheet'!C729, "% ", H712, " Sandstone, ", J712, I712, " FLUOR in SST. ", "TG ", 'Input Sheet'!H729, "U"))</f>
        <v/>
      </c>
      <c r="F712" s="36" t="str">
        <f>IF('Input Sheet'!C729="","",100-'Input Sheet'!C729)</f>
        <v/>
      </c>
      <c r="G7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2" s="36" t="str">
        <f t="shared" si="11"/>
        <v/>
      </c>
      <c r="I7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2" s="36" t="str">
        <f>IF('Input Sheet'!F729=0, "NO",CONCATENATE('Input Sheet'!F729, IF('Input Sheet'!F729&gt;0,"% ","")))</f>
        <v>NO</v>
      </c>
      <c r="K7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2" s="36" t="str">
        <f>CONCATENATE(K712, IF('Input Sheet'!I729="",""," siderite in "))</f>
        <v/>
      </c>
      <c r="M7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2" s="36" t="str">
        <f>CONCATENATE(M712, IF('Input Sheet'!J729="",""," siderite in "))</f>
        <v/>
      </c>
    </row>
    <row r="713" spans="1:14" x14ac:dyDescent="0.25">
      <c r="A713" s="51" t="str">
        <f>IF('Input Sheet'!C730="","",CONCATENATE("Sample ", 'Input Sheet'!B730, "m: ", L713, F713, "% ", "Siltstone, ", N713, 'Input Sheet'!C730, "% ", H713, " Sandstone, ", J713, I713, " FLUOR in SST. ", "TG ", 'Input Sheet'!H730, "U"))</f>
        <v/>
      </c>
      <c r="F713" s="36" t="str">
        <f>IF('Input Sheet'!C730="","",100-'Input Sheet'!C730)</f>
        <v/>
      </c>
      <c r="G7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3" s="36" t="str">
        <f t="shared" si="11"/>
        <v/>
      </c>
      <c r="I7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3" s="36" t="str">
        <f>IF('Input Sheet'!F730=0, "NO",CONCATENATE('Input Sheet'!F730, IF('Input Sheet'!F730&gt;0,"% ","")))</f>
        <v>NO</v>
      </c>
      <c r="K7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3" s="36" t="str">
        <f>CONCATENATE(K713, IF('Input Sheet'!I730="",""," siderite in "))</f>
        <v/>
      </c>
      <c r="M7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3" s="36" t="str">
        <f>CONCATENATE(M713, IF('Input Sheet'!J730="",""," siderite in "))</f>
        <v/>
      </c>
    </row>
    <row r="714" spans="1:14" x14ac:dyDescent="0.25">
      <c r="A714" s="51" t="str">
        <f>IF('Input Sheet'!C731="","",CONCATENATE("Sample ", 'Input Sheet'!B731, "m: ", L714, F714, "% ", "Siltstone, ", N714, 'Input Sheet'!C731, "% ", H714, " Sandstone, ", J714, I714, " FLUOR in SST. ", "TG ", 'Input Sheet'!H731, "U"))</f>
        <v/>
      </c>
      <c r="F714" s="36" t="str">
        <f>IF('Input Sheet'!C731="","",100-'Input Sheet'!C731)</f>
        <v/>
      </c>
      <c r="G7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4" s="36" t="str">
        <f t="shared" si="11"/>
        <v/>
      </c>
      <c r="I7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4" s="36" t="str">
        <f>IF('Input Sheet'!F731=0, "NO",CONCATENATE('Input Sheet'!F731, IF('Input Sheet'!F731&gt;0,"% ","")))</f>
        <v>NO</v>
      </c>
      <c r="K7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4" s="36" t="str">
        <f>CONCATENATE(K714, IF('Input Sheet'!I731="",""," siderite in "))</f>
        <v/>
      </c>
      <c r="M7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4" s="36" t="str">
        <f>CONCATENATE(M714, IF('Input Sheet'!J731="",""," siderite in "))</f>
        <v/>
      </c>
    </row>
    <row r="715" spans="1:14" x14ac:dyDescent="0.25">
      <c r="A715" s="51" t="str">
        <f>IF('Input Sheet'!C732="","",CONCATENATE("Sample ", 'Input Sheet'!B732, "m: ", L715, F715, "% ", "Siltstone, ", N715, 'Input Sheet'!C732, "% ", H715, " Sandstone, ", J715, I715, " FLUOR in SST. ", "TG ", 'Input Sheet'!H732, "U"))</f>
        <v/>
      </c>
      <c r="F715" s="36" t="str">
        <f>IF('Input Sheet'!C732="","",100-'Input Sheet'!C732)</f>
        <v/>
      </c>
      <c r="G7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5" s="36" t="str">
        <f t="shared" si="11"/>
        <v/>
      </c>
      <c r="I7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5" s="36" t="str">
        <f>IF('Input Sheet'!F732=0, "NO",CONCATENATE('Input Sheet'!F732, IF('Input Sheet'!F732&gt;0,"% ","")))</f>
        <v>NO</v>
      </c>
      <c r="K7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5" s="36" t="str">
        <f>CONCATENATE(K715, IF('Input Sheet'!I732="",""," siderite in "))</f>
        <v/>
      </c>
      <c r="M7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5" s="36" t="str">
        <f>CONCATENATE(M715, IF('Input Sheet'!J732="",""," siderite in "))</f>
        <v/>
      </c>
    </row>
    <row r="716" spans="1:14" x14ac:dyDescent="0.25">
      <c r="A716" s="51" t="str">
        <f>IF('Input Sheet'!C733="","",CONCATENATE("Sample ", 'Input Sheet'!B733, "m: ", L716, F716, "% ", "Siltstone, ", N716, 'Input Sheet'!C733, "% ", H716, " Sandstone, ", J716, I716, " FLUOR in SST. ", "TG ", 'Input Sheet'!H733, "U"))</f>
        <v/>
      </c>
      <c r="F716" s="36" t="str">
        <f>IF('Input Sheet'!C733="","",100-'Input Sheet'!C733)</f>
        <v/>
      </c>
      <c r="G7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6" s="36" t="str">
        <f t="shared" si="11"/>
        <v/>
      </c>
      <c r="I7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6" s="36" t="str">
        <f>IF('Input Sheet'!F733=0, "NO",CONCATENATE('Input Sheet'!F733, IF('Input Sheet'!F733&gt;0,"% ","")))</f>
        <v>NO</v>
      </c>
      <c r="K7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6" s="36" t="str">
        <f>CONCATENATE(K716, IF('Input Sheet'!I733="",""," siderite in "))</f>
        <v/>
      </c>
      <c r="M7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6" s="36" t="str">
        <f>CONCATENATE(M716, IF('Input Sheet'!J733="",""," siderite in "))</f>
        <v/>
      </c>
    </row>
    <row r="717" spans="1:14" x14ac:dyDescent="0.25">
      <c r="A717" s="51" t="str">
        <f>IF('Input Sheet'!C734="","",CONCATENATE("Sample ", 'Input Sheet'!B734, "m: ", L717, F717, "% ", "Siltstone, ", N717, 'Input Sheet'!C734, "% ", H717, " Sandstone, ", J717, I717, " FLUOR in SST. ", "TG ", 'Input Sheet'!H734, "U"))</f>
        <v/>
      </c>
      <c r="F717" s="36" t="str">
        <f>IF('Input Sheet'!C734="","",100-'Input Sheet'!C734)</f>
        <v/>
      </c>
      <c r="G7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7" s="36" t="str">
        <f t="shared" si="11"/>
        <v/>
      </c>
      <c r="I7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7" s="36" t="str">
        <f>IF('Input Sheet'!F734=0, "NO",CONCATENATE('Input Sheet'!F734, IF('Input Sheet'!F734&gt;0,"% ","")))</f>
        <v>NO</v>
      </c>
      <c r="K7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7" s="36" t="str">
        <f>CONCATENATE(K717, IF('Input Sheet'!I734="",""," siderite in "))</f>
        <v/>
      </c>
      <c r="M7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7" s="36" t="str">
        <f>CONCATENATE(M717, IF('Input Sheet'!J734="",""," siderite in "))</f>
        <v/>
      </c>
    </row>
    <row r="718" spans="1:14" x14ac:dyDescent="0.25">
      <c r="A718" s="51" t="str">
        <f>IF('Input Sheet'!C735="","",CONCATENATE("Sample ", 'Input Sheet'!B735, "m: ", L718, F718, "% ", "Siltstone, ", N718, 'Input Sheet'!C735, "% ", H718, " Sandstone, ", J718, I718, " FLUOR in SST. ", "TG ", 'Input Sheet'!H735, "U"))</f>
        <v/>
      </c>
      <c r="F718" s="36" t="str">
        <f>IF('Input Sheet'!C735="","",100-'Input Sheet'!C735)</f>
        <v/>
      </c>
      <c r="G7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8" s="36" t="str">
        <f t="shared" si="11"/>
        <v/>
      </c>
      <c r="I7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8" s="36" t="str">
        <f>IF('Input Sheet'!F735=0, "NO",CONCATENATE('Input Sheet'!F735, IF('Input Sheet'!F735&gt;0,"% ","")))</f>
        <v>NO</v>
      </c>
      <c r="K7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8" s="36" t="str">
        <f>CONCATENATE(K718, IF('Input Sheet'!I735="",""," siderite in "))</f>
        <v/>
      </c>
      <c r="M7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8" s="36" t="str">
        <f>CONCATENATE(M718, IF('Input Sheet'!J735="",""," siderite in "))</f>
        <v/>
      </c>
    </row>
    <row r="719" spans="1:14" x14ac:dyDescent="0.25">
      <c r="A719" s="51" t="str">
        <f>IF('Input Sheet'!C736="","",CONCATENATE("Sample ", 'Input Sheet'!B736, "m: ", L719, F719, "% ", "Siltstone, ", N719, 'Input Sheet'!C736, "% ", H719, " Sandstone, ", J719, I719, " FLUOR in SST. ", "TG ", 'Input Sheet'!H736, "U"))</f>
        <v/>
      </c>
      <c r="F719" s="36" t="str">
        <f>IF('Input Sheet'!C736="","",100-'Input Sheet'!C736)</f>
        <v/>
      </c>
      <c r="G7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19" s="36" t="str">
        <f t="shared" si="11"/>
        <v/>
      </c>
      <c r="I7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19" s="36" t="str">
        <f>IF('Input Sheet'!F736=0, "NO",CONCATENATE('Input Sheet'!F736, IF('Input Sheet'!F736&gt;0,"% ","")))</f>
        <v>NO</v>
      </c>
      <c r="K7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19" s="36" t="str">
        <f>CONCATENATE(K719, IF('Input Sheet'!I736="",""," siderite in "))</f>
        <v/>
      </c>
      <c r="M7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19" s="36" t="str">
        <f>CONCATENATE(M719, IF('Input Sheet'!J736="",""," siderite in "))</f>
        <v/>
      </c>
    </row>
    <row r="720" spans="1:14" x14ac:dyDescent="0.25">
      <c r="A720" s="51" t="str">
        <f>IF('Input Sheet'!C737="","",CONCATENATE("Sample ", 'Input Sheet'!B737, "m: ", L720, F720, "% ", "Siltstone, ", N720, 'Input Sheet'!C737, "% ", H720, " Sandstone, ", J720, I720, " FLUOR in SST. ", "TG ", 'Input Sheet'!H737, "U"))</f>
        <v/>
      </c>
      <c r="F720" s="36" t="str">
        <f>IF('Input Sheet'!C737="","",100-'Input Sheet'!C737)</f>
        <v/>
      </c>
      <c r="G7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0" s="36" t="str">
        <f t="shared" si="11"/>
        <v/>
      </c>
      <c r="I7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0" s="36" t="str">
        <f>IF('Input Sheet'!F737=0, "NO",CONCATENATE('Input Sheet'!F737, IF('Input Sheet'!F737&gt;0,"% ","")))</f>
        <v>NO</v>
      </c>
      <c r="K7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0" s="36" t="str">
        <f>CONCATENATE(K720, IF('Input Sheet'!I737="",""," siderite in "))</f>
        <v/>
      </c>
      <c r="M7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0" s="36" t="str">
        <f>CONCATENATE(M720, IF('Input Sheet'!J737="",""," siderite in "))</f>
        <v/>
      </c>
    </row>
    <row r="721" spans="1:14" x14ac:dyDescent="0.25">
      <c r="A721" s="51" t="str">
        <f>IF('Input Sheet'!C738="","",CONCATENATE("Sample ", 'Input Sheet'!B738, "m: ", L721, F721, "% ", "Siltstone, ", N721, 'Input Sheet'!C738, "% ", H721, " Sandstone, ", J721, I721, " FLUOR in SST. ", "TG ", 'Input Sheet'!H738, "U"))</f>
        <v/>
      </c>
      <c r="F721" s="36" t="str">
        <f>IF('Input Sheet'!C738="","",100-'Input Sheet'!C738)</f>
        <v/>
      </c>
      <c r="G7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1" s="36" t="str">
        <f t="shared" si="11"/>
        <v/>
      </c>
      <c r="I7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1" s="36" t="str">
        <f>IF('Input Sheet'!F738=0, "NO",CONCATENATE('Input Sheet'!F738, IF('Input Sheet'!F738&gt;0,"% ","")))</f>
        <v>NO</v>
      </c>
      <c r="K7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1" s="36" t="str">
        <f>CONCATENATE(K721, IF('Input Sheet'!I738="",""," siderite in "))</f>
        <v/>
      </c>
      <c r="M7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1" s="36" t="str">
        <f>CONCATENATE(M721, IF('Input Sheet'!J738="",""," siderite in "))</f>
        <v/>
      </c>
    </row>
    <row r="722" spans="1:14" x14ac:dyDescent="0.25">
      <c r="A722" s="51" t="str">
        <f>IF('Input Sheet'!C739="","",CONCATENATE("Sample ", 'Input Sheet'!B739, "m: ", L722, F722, "% ", "Siltstone, ", N722, 'Input Sheet'!C739, "% ", H722, " Sandstone, ", J722, I722, " FLUOR in SST. ", "TG ", 'Input Sheet'!H739, "U"))</f>
        <v/>
      </c>
      <c r="F722" s="36" t="str">
        <f>IF('Input Sheet'!C739="","",100-'Input Sheet'!C739)</f>
        <v/>
      </c>
      <c r="G7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2" s="36" t="str">
        <f t="shared" si="11"/>
        <v/>
      </c>
      <c r="I7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2" s="36" t="str">
        <f>IF('Input Sheet'!F739=0, "NO",CONCATENATE('Input Sheet'!F739, IF('Input Sheet'!F739&gt;0,"% ","")))</f>
        <v>NO</v>
      </c>
      <c r="K7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2" s="36" t="str">
        <f>CONCATENATE(K722, IF('Input Sheet'!I739="",""," siderite in "))</f>
        <v/>
      </c>
      <c r="M7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2" s="36" t="str">
        <f>CONCATENATE(M722, IF('Input Sheet'!J739="",""," siderite in "))</f>
        <v/>
      </c>
    </row>
    <row r="723" spans="1:14" x14ac:dyDescent="0.25">
      <c r="A723" s="51" t="str">
        <f>IF('Input Sheet'!C740="","",CONCATENATE("Sample ", 'Input Sheet'!B740, "m: ", L723, F723, "% ", "Siltstone, ", N723, 'Input Sheet'!C740, "% ", H723, " Sandstone, ", J723, I723, " FLUOR in SST. ", "TG ", 'Input Sheet'!H740, "U"))</f>
        <v/>
      </c>
      <c r="F723" s="36" t="str">
        <f>IF('Input Sheet'!C740="","",100-'Input Sheet'!C740)</f>
        <v/>
      </c>
      <c r="G7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3" s="36" t="str">
        <f t="shared" si="11"/>
        <v/>
      </c>
      <c r="I7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3" s="36" t="str">
        <f>IF('Input Sheet'!F740=0, "NO",CONCATENATE('Input Sheet'!F740, IF('Input Sheet'!F740&gt;0,"% ","")))</f>
        <v>NO</v>
      </c>
      <c r="K7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3" s="36" t="str">
        <f>CONCATENATE(K723, IF('Input Sheet'!I740="",""," siderite in "))</f>
        <v/>
      </c>
      <c r="M7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3" s="36" t="str">
        <f>CONCATENATE(M723, IF('Input Sheet'!J740="",""," siderite in "))</f>
        <v/>
      </c>
    </row>
    <row r="724" spans="1:14" x14ac:dyDescent="0.25">
      <c r="A724" s="51" t="str">
        <f>IF('Input Sheet'!C741="","",CONCATENATE("Sample ", 'Input Sheet'!B741, "m: ", L724, F724, "% ", "Siltstone, ", N724, 'Input Sheet'!C741, "% ", H724, " Sandstone, ", J724, I724, " FLUOR in SST. ", "TG ", 'Input Sheet'!H741, "U"))</f>
        <v/>
      </c>
      <c r="F724" s="36" t="str">
        <f>IF('Input Sheet'!C741="","",100-'Input Sheet'!C741)</f>
        <v/>
      </c>
      <c r="G7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4" s="36" t="str">
        <f t="shared" si="11"/>
        <v/>
      </c>
      <c r="I7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4" s="36" t="str">
        <f>IF('Input Sheet'!F741=0, "NO",CONCATENATE('Input Sheet'!F741, IF('Input Sheet'!F741&gt;0,"% ","")))</f>
        <v>NO</v>
      </c>
      <c r="K7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4" s="36" t="str">
        <f>CONCATENATE(K724, IF('Input Sheet'!I741="",""," siderite in "))</f>
        <v/>
      </c>
      <c r="M7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4" s="36" t="str">
        <f>CONCATENATE(M724, IF('Input Sheet'!J741="",""," siderite in "))</f>
        <v/>
      </c>
    </row>
    <row r="725" spans="1:14" x14ac:dyDescent="0.25">
      <c r="A725" s="51" t="str">
        <f>IF('Input Sheet'!C742="","",CONCATENATE("Sample ", 'Input Sheet'!B742, "m: ", L725, F725, "% ", "Siltstone, ", N725, 'Input Sheet'!C742, "% ", H725, " Sandstone, ", J725, I725, " FLUOR in SST. ", "TG ", 'Input Sheet'!H742, "U"))</f>
        <v/>
      </c>
      <c r="F725" s="36" t="str">
        <f>IF('Input Sheet'!C742="","",100-'Input Sheet'!C742)</f>
        <v/>
      </c>
      <c r="G7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5" s="36" t="str">
        <f t="shared" si="11"/>
        <v/>
      </c>
      <c r="I7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5" s="36" t="str">
        <f>IF('Input Sheet'!F742=0, "NO",CONCATENATE('Input Sheet'!F742, IF('Input Sheet'!F742&gt;0,"% ","")))</f>
        <v>NO</v>
      </c>
      <c r="K7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5" s="36" t="str">
        <f>CONCATENATE(K725, IF('Input Sheet'!I742="",""," siderite in "))</f>
        <v/>
      </c>
      <c r="M7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5" s="36" t="str">
        <f>CONCATENATE(M725, IF('Input Sheet'!J742="",""," siderite in "))</f>
        <v/>
      </c>
    </row>
    <row r="726" spans="1:14" x14ac:dyDescent="0.25">
      <c r="A726" s="51" t="str">
        <f>IF('Input Sheet'!C743="","",CONCATENATE("Sample ", 'Input Sheet'!B743, "m: ", L726, F726, "% ", "Siltstone, ", N726, 'Input Sheet'!C743, "% ", H726, " Sandstone, ", J726, I726, " FLUOR in SST. ", "TG ", 'Input Sheet'!H743, "U"))</f>
        <v/>
      </c>
      <c r="F726" s="36" t="str">
        <f>IF('Input Sheet'!C743="","",100-'Input Sheet'!C743)</f>
        <v/>
      </c>
      <c r="G7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6" s="36" t="str">
        <f t="shared" si="11"/>
        <v/>
      </c>
      <c r="I7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6" s="36" t="str">
        <f>IF('Input Sheet'!F743=0, "NO",CONCATENATE('Input Sheet'!F743, IF('Input Sheet'!F743&gt;0,"% ","")))</f>
        <v>NO</v>
      </c>
      <c r="K7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6" s="36" t="str">
        <f>CONCATENATE(K726, IF('Input Sheet'!I743="",""," siderite in "))</f>
        <v/>
      </c>
      <c r="M7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6" s="36" t="str">
        <f>CONCATENATE(M726, IF('Input Sheet'!J743="",""," siderite in "))</f>
        <v/>
      </c>
    </row>
    <row r="727" spans="1:14" x14ac:dyDescent="0.25">
      <c r="A727" s="51" t="str">
        <f>IF('Input Sheet'!C744="","",CONCATENATE("Sample ", 'Input Sheet'!B744, "m: ", L727, F727, "% ", "Siltstone, ", N727, 'Input Sheet'!C744, "% ", H727, " Sandstone, ", J727, I727, " FLUOR in SST. ", "TG ", 'Input Sheet'!H744, "U"))</f>
        <v/>
      </c>
      <c r="F727" s="36" t="str">
        <f>IF('Input Sheet'!C744="","",100-'Input Sheet'!C744)</f>
        <v/>
      </c>
      <c r="G7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7" s="36" t="str">
        <f t="shared" si="11"/>
        <v/>
      </c>
      <c r="I7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7" s="36" t="str">
        <f>IF('Input Sheet'!F744=0, "NO",CONCATENATE('Input Sheet'!F744, IF('Input Sheet'!F744&gt;0,"% ","")))</f>
        <v>NO</v>
      </c>
      <c r="K7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7" s="36" t="str">
        <f>CONCATENATE(K727, IF('Input Sheet'!I744="",""," siderite in "))</f>
        <v/>
      </c>
      <c r="M7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7" s="36" t="str">
        <f>CONCATENATE(M727, IF('Input Sheet'!J744="",""," siderite in "))</f>
        <v/>
      </c>
    </row>
    <row r="728" spans="1:14" x14ac:dyDescent="0.25">
      <c r="A728" s="51" t="str">
        <f>IF('Input Sheet'!C745="","",CONCATENATE("Sample ", 'Input Sheet'!B745, "m: ", L728, F728, "% ", "Siltstone, ", N728, 'Input Sheet'!C745, "% ", H728, " Sandstone, ", J728, I728, " FLUOR in SST. ", "TG ", 'Input Sheet'!H745, "U"))</f>
        <v/>
      </c>
      <c r="F728" s="36" t="str">
        <f>IF('Input Sheet'!C745="","",100-'Input Sheet'!C745)</f>
        <v/>
      </c>
      <c r="G7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8" s="36" t="str">
        <f t="shared" si="11"/>
        <v/>
      </c>
      <c r="I7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8" s="36" t="str">
        <f>IF('Input Sheet'!F745=0, "NO",CONCATENATE('Input Sheet'!F745, IF('Input Sheet'!F745&gt;0,"% ","")))</f>
        <v>NO</v>
      </c>
      <c r="K7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8" s="36" t="str">
        <f>CONCATENATE(K728, IF('Input Sheet'!I745="",""," siderite in "))</f>
        <v/>
      </c>
      <c r="M7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8" s="36" t="str">
        <f>CONCATENATE(M728, IF('Input Sheet'!J745="",""," siderite in "))</f>
        <v/>
      </c>
    </row>
    <row r="729" spans="1:14" x14ac:dyDescent="0.25">
      <c r="A729" s="51" t="str">
        <f>IF('Input Sheet'!C746="","",CONCATENATE("Sample ", 'Input Sheet'!B746, "m: ", L729, F729, "% ", "Siltstone, ", N729, 'Input Sheet'!C746, "% ", H729, " Sandstone, ", J729, I729, " FLUOR in SST. ", "TG ", 'Input Sheet'!H746, "U"))</f>
        <v/>
      </c>
      <c r="F729" s="36" t="str">
        <f>IF('Input Sheet'!C746="","",100-'Input Sheet'!C746)</f>
        <v/>
      </c>
      <c r="G7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29" s="36" t="str">
        <f t="shared" si="11"/>
        <v/>
      </c>
      <c r="I7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29" s="36" t="str">
        <f>IF('Input Sheet'!F746=0, "NO",CONCATENATE('Input Sheet'!F746, IF('Input Sheet'!F746&gt;0,"% ","")))</f>
        <v>NO</v>
      </c>
      <c r="K7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29" s="36" t="str">
        <f>CONCATENATE(K729, IF('Input Sheet'!I746="",""," siderite in "))</f>
        <v/>
      </c>
      <c r="M7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29" s="36" t="str">
        <f>CONCATENATE(M729, IF('Input Sheet'!J746="",""," siderite in "))</f>
        <v/>
      </c>
    </row>
    <row r="730" spans="1:14" x14ac:dyDescent="0.25">
      <c r="A730" s="51" t="str">
        <f>IF('Input Sheet'!C747="","",CONCATENATE("Sample ", 'Input Sheet'!B747, "m: ", L730, F730, "% ", "Siltstone, ", N730, 'Input Sheet'!C747, "% ", H730, " Sandstone, ", J730, I730, " FLUOR in SST. ", "TG ", 'Input Sheet'!H747, "U"))</f>
        <v/>
      </c>
      <c r="F730" s="36" t="str">
        <f>IF('Input Sheet'!C747="","",100-'Input Sheet'!C747)</f>
        <v/>
      </c>
      <c r="G7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0" s="36" t="str">
        <f t="shared" si="11"/>
        <v/>
      </c>
      <c r="I7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0" s="36" t="str">
        <f>IF('Input Sheet'!F747=0, "NO",CONCATENATE('Input Sheet'!F747, IF('Input Sheet'!F747&gt;0,"% ","")))</f>
        <v>NO</v>
      </c>
      <c r="K7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0" s="36" t="str">
        <f>CONCATENATE(K730, IF('Input Sheet'!I747="",""," siderite in "))</f>
        <v/>
      </c>
      <c r="M7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0" s="36" t="str">
        <f>CONCATENATE(M730, IF('Input Sheet'!J747="",""," siderite in "))</f>
        <v/>
      </c>
    </row>
    <row r="731" spans="1:14" x14ac:dyDescent="0.25">
      <c r="A731" s="51" t="str">
        <f>IF('Input Sheet'!C748="","",CONCATENATE("Sample ", 'Input Sheet'!B748, "m: ", L731, F731, "% ", "Siltstone, ", N731, 'Input Sheet'!C748, "% ", H731, " Sandstone, ", J731, I731, " FLUOR in SST. ", "TG ", 'Input Sheet'!H748, "U"))</f>
        <v/>
      </c>
      <c r="F731" s="36" t="str">
        <f>IF('Input Sheet'!C748="","",100-'Input Sheet'!C748)</f>
        <v/>
      </c>
      <c r="G7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1" s="36" t="str">
        <f t="shared" si="11"/>
        <v/>
      </c>
      <c r="I7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1" s="36" t="str">
        <f>IF('Input Sheet'!F748=0, "NO",CONCATENATE('Input Sheet'!F748, IF('Input Sheet'!F748&gt;0,"% ","")))</f>
        <v>NO</v>
      </c>
      <c r="K7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1" s="36" t="str">
        <f>CONCATENATE(K731, IF('Input Sheet'!I748="",""," siderite in "))</f>
        <v/>
      </c>
      <c r="M7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1" s="36" t="str">
        <f>CONCATENATE(M731, IF('Input Sheet'!J748="",""," siderite in "))</f>
        <v/>
      </c>
    </row>
    <row r="732" spans="1:14" x14ac:dyDescent="0.25">
      <c r="A732" s="51" t="str">
        <f>IF('Input Sheet'!C749="","",CONCATENATE("Sample ", 'Input Sheet'!B749, "m: ", L732, F732, "% ", "Siltstone, ", N732, 'Input Sheet'!C749, "% ", H732, " Sandstone, ", J732, I732, " FLUOR in SST. ", "TG ", 'Input Sheet'!H749, "U"))</f>
        <v/>
      </c>
      <c r="F732" s="36" t="str">
        <f>IF('Input Sheet'!C749="","",100-'Input Sheet'!C749)</f>
        <v/>
      </c>
      <c r="G7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2" s="36" t="str">
        <f t="shared" si="11"/>
        <v/>
      </c>
      <c r="I7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2" s="36" t="str">
        <f>IF('Input Sheet'!F749=0, "NO",CONCATENATE('Input Sheet'!F749, IF('Input Sheet'!F749&gt;0,"% ","")))</f>
        <v>NO</v>
      </c>
      <c r="K7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2" s="36" t="str">
        <f>CONCATENATE(K732, IF('Input Sheet'!I749="",""," siderite in "))</f>
        <v/>
      </c>
      <c r="M7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2" s="36" t="str">
        <f>CONCATENATE(M732, IF('Input Sheet'!J749="",""," siderite in "))</f>
        <v/>
      </c>
    </row>
    <row r="733" spans="1:14" x14ac:dyDescent="0.25">
      <c r="A733" s="51" t="str">
        <f>IF('Input Sheet'!C750="","",CONCATENATE("Sample ", 'Input Sheet'!B750, "m: ", L733, F733, "% ", "Siltstone, ", N733, 'Input Sheet'!C750, "% ", H733, " Sandstone, ", J733, I733, " FLUOR in SST. ", "TG ", 'Input Sheet'!H750, "U"))</f>
        <v/>
      </c>
      <c r="F733" s="36" t="str">
        <f>IF('Input Sheet'!C750="","",100-'Input Sheet'!C750)</f>
        <v/>
      </c>
      <c r="G7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3" s="36" t="str">
        <f t="shared" si="11"/>
        <v/>
      </c>
      <c r="I7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3" s="36" t="str">
        <f>IF('Input Sheet'!F750=0, "NO",CONCATENATE('Input Sheet'!F750, IF('Input Sheet'!F750&gt;0,"% ","")))</f>
        <v>NO</v>
      </c>
      <c r="K7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3" s="36" t="str">
        <f>CONCATENATE(K733, IF('Input Sheet'!I750="",""," siderite in "))</f>
        <v/>
      </c>
      <c r="M7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3" s="36" t="str">
        <f>CONCATENATE(M733, IF('Input Sheet'!J750="",""," siderite in "))</f>
        <v/>
      </c>
    </row>
    <row r="734" spans="1:14" x14ac:dyDescent="0.25">
      <c r="A734" s="51" t="str">
        <f>IF('Input Sheet'!C751="","",CONCATENATE("Sample ", 'Input Sheet'!B751, "m: ", L734, F734, "% ", "Siltstone, ", N734, 'Input Sheet'!C751, "% ", H734, " Sandstone, ", J734, I734, " FLUOR in SST. ", "TG ", 'Input Sheet'!H751, "U"))</f>
        <v/>
      </c>
      <c r="F734" s="36" t="str">
        <f>IF('Input Sheet'!C751="","",100-'Input Sheet'!C751)</f>
        <v/>
      </c>
      <c r="G7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4" s="36" t="str">
        <f t="shared" si="11"/>
        <v/>
      </c>
      <c r="I7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4" s="36" t="str">
        <f>IF('Input Sheet'!F751=0, "NO",CONCATENATE('Input Sheet'!F751, IF('Input Sheet'!F751&gt;0,"% ","")))</f>
        <v>NO</v>
      </c>
      <c r="K7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4" s="36" t="str">
        <f>CONCATENATE(K734, IF('Input Sheet'!I751="",""," siderite in "))</f>
        <v/>
      </c>
      <c r="M7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4" s="36" t="str">
        <f>CONCATENATE(M734, IF('Input Sheet'!J751="",""," siderite in "))</f>
        <v/>
      </c>
    </row>
    <row r="735" spans="1:14" x14ac:dyDescent="0.25">
      <c r="A735" s="51" t="str">
        <f>IF('Input Sheet'!C752="","",CONCATENATE("Sample ", 'Input Sheet'!B752, "m: ", L735, F735, "% ", "Siltstone, ", N735, 'Input Sheet'!C752, "% ", H735, " Sandstone, ", J735, I735, " FLUOR in SST. ", "TG ", 'Input Sheet'!H752, "U"))</f>
        <v/>
      </c>
      <c r="F735" s="36" t="str">
        <f>IF('Input Sheet'!C752="","",100-'Input Sheet'!C752)</f>
        <v/>
      </c>
      <c r="G7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5" s="36" t="str">
        <f t="shared" si="11"/>
        <v/>
      </c>
      <c r="I7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5" s="36" t="str">
        <f>IF('Input Sheet'!F752=0, "NO",CONCATENATE('Input Sheet'!F752, IF('Input Sheet'!F752&gt;0,"% ","")))</f>
        <v>NO</v>
      </c>
      <c r="K7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5" s="36" t="str">
        <f>CONCATENATE(K735, IF('Input Sheet'!I752="",""," siderite in "))</f>
        <v/>
      </c>
      <c r="M7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5" s="36" t="str">
        <f>CONCATENATE(M735, IF('Input Sheet'!J752="",""," siderite in "))</f>
        <v/>
      </c>
    </row>
    <row r="736" spans="1:14" x14ac:dyDescent="0.25">
      <c r="A736" s="51" t="str">
        <f>IF('Input Sheet'!C753="","",CONCATENATE("Sample ", 'Input Sheet'!B753, "m: ", L736, F736, "% ", "Siltstone, ", N736, 'Input Sheet'!C753, "% ", H736, " Sandstone, ", J736, I736, " FLUOR in SST. ", "TG ", 'Input Sheet'!H753, "U"))</f>
        <v/>
      </c>
      <c r="F736" s="36" t="str">
        <f>IF('Input Sheet'!C753="","",100-'Input Sheet'!C753)</f>
        <v/>
      </c>
      <c r="G7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6" s="36" t="str">
        <f t="shared" si="11"/>
        <v/>
      </c>
      <c r="I7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6" s="36" t="str">
        <f>IF('Input Sheet'!F753=0, "NO",CONCATENATE('Input Sheet'!F753, IF('Input Sheet'!F753&gt;0,"% ","")))</f>
        <v>NO</v>
      </c>
      <c r="K7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6" s="36" t="str">
        <f>CONCATENATE(K736, IF('Input Sheet'!I753="",""," siderite in "))</f>
        <v/>
      </c>
      <c r="M7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6" s="36" t="str">
        <f>CONCATENATE(M736, IF('Input Sheet'!J753="",""," siderite in "))</f>
        <v/>
      </c>
    </row>
    <row r="737" spans="1:14" x14ac:dyDescent="0.25">
      <c r="A737" s="51" t="str">
        <f>IF('Input Sheet'!C754="","",CONCATENATE("Sample ", 'Input Sheet'!B754, "m: ", L737, F737, "% ", "Siltstone, ", N737, 'Input Sheet'!C754, "% ", H737, " Sandstone, ", J737, I737, " FLUOR in SST. ", "TG ", 'Input Sheet'!H754, "U"))</f>
        <v/>
      </c>
      <c r="F737" s="36" t="str">
        <f>IF('Input Sheet'!C754="","",100-'Input Sheet'!C754)</f>
        <v/>
      </c>
      <c r="G7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7" s="36" t="str">
        <f t="shared" si="11"/>
        <v/>
      </c>
      <c r="I7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7" s="36" t="str">
        <f>IF('Input Sheet'!F754=0, "NO",CONCATENATE('Input Sheet'!F754, IF('Input Sheet'!F754&gt;0,"% ","")))</f>
        <v>NO</v>
      </c>
      <c r="K7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7" s="36" t="str">
        <f>CONCATENATE(K737, IF('Input Sheet'!I754="",""," siderite in "))</f>
        <v/>
      </c>
      <c r="M7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7" s="36" t="str">
        <f>CONCATENATE(M737, IF('Input Sheet'!J754="",""," siderite in "))</f>
        <v/>
      </c>
    </row>
    <row r="738" spans="1:14" x14ac:dyDescent="0.25">
      <c r="A738" s="51" t="str">
        <f>IF('Input Sheet'!C755="","",CONCATENATE("Sample ", 'Input Sheet'!B755, "m: ", L738, F738, "% ", "Siltstone, ", N738, 'Input Sheet'!C755, "% ", H738, " Sandstone, ", J738, I738, " FLUOR in SST. ", "TG ", 'Input Sheet'!H755, "U"))</f>
        <v/>
      </c>
      <c r="F738" s="36" t="str">
        <f>IF('Input Sheet'!C755="","",100-'Input Sheet'!C755)</f>
        <v/>
      </c>
      <c r="G7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8" s="36" t="str">
        <f t="shared" si="11"/>
        <v/>
      </c>
      <c r="I7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8" s="36" t="str">
        <f>IF('Input Sheet'!F755=0, "NO",CONCATENATE('Input Sheet'!F755, IF('Input Sheet'!F755&gt;0,"% ","")))</f>
        <v>NO</v>
      </c>
      <c r="K7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8" s="36" t="str">
        <f>CONCATENATE(K738, IF('Input Sheet'!I755="",""," siderite in "))</f>
        <v/>
      </c>
      <c r="M7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8" s="36" t="str">
        <f>CONCATENATE(M738, IF('Input Sheet'!J755="",""," siderite in "))</f>
        <v/>
      </c>
    </row>
    <row r="739" spans="1:14" x14ac:dyDescent="0.25">
      <c r="A739" s="51" t="str">
        <f>IF('Input Sheet'!C756="","",CONCATENATE("Sample ", 'Input Sheet'!B756, "m: ", L739, F739, "% ", "Siltstone, ", N739, 'Input Sheet'!C756, "% ", H739, " Sandstone, ", J739, I739, " FLUOR in SST. ", "TG ", 'Input Sheet'!H756, "U"))</f>
        <v/>
      </c>
      <c r="F739" s="36" t="str">
        <f>IF('Input Sheet'!C756="","",100-'Input Sheet'!C756)</f>
        <v/>
      </c>
      <c r="G7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39" s="36" t="str">
        <f t="shared" si="11"/>
        <v/>
      </c>
      <c r="I7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39" s="36" t="str">
        <f>IF('Input Sheet'!F756=0, "NO",CONCATENATE('Input Sheet'!F756, IF('Input Sheet'!F756&gt;0,"% ","")))</f>
        <v>NO</v>
      </c>
      <c r="K7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39" s="36" t="str">
        <f>CONCATENATE(K739, IF('Input Sheet'!I756="",""," siderite in "))</f>
        <v/>
      </c>
      <c r="M7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39" s="36" t="str">
        <f>CONCATENATE(M739, IF('Input Sheet'!J756="",""," siderite in "))</f>
        <v/>
      </c>
    </row>
    <row r="740" spans="1:14" x14ac:dyDescent="0.25">
      <c r="A740" s="51" t="str">
        <f>IF('Input Sheet'!C757="","",CONCATENATE("Sample ", 'Input Sheet'!B757, "m: ", L740, F740, "% ", "Siltstone, ", N740, 'Input Sheet'!C757, "% ", H740, " Sandstone, ", J740, I740, " FLUOR in SST. ", "TG ", 'Input Sheet'!H757, "U"))</f>
        <v/>
      </c>
      <c r="F740" s="36" t="str">
        <f>IF('Input Sheet'!C757="","",100-'Input Sheet'!C757)</f>
        <v/>
      </c>
      <c r="G7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0" s="36" t="str">
        <f t="shared" si="11"/>
        <v/>
      </c>
      <c r="I7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0" s="36" t="str">
        <f>IF('Input Sheet'!F757=0, "NO",CONCATENATE('Input Sheet'!F757, IF('Input Sheet'!F757&gt;0,"% ","")))</f>
        <v>NO</v>
      </c>
      <c r="K7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0" s="36" t="str">
        <f>CONCATENATE(K740, IF('Input Sheet'!I757="",""," siderite in "))</f>
        <v/>
      </c>
      <c r="M7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0" s="36" t="str">
        <f>CONCATENATE(M740, IF('Input Sheet'!J757="",""," siderite in "))</f>
        <v/>
      </c>
    </row>
    <row r="741" spans="1:14" x14ac:dyDescent="0.25">
      <c r="A741" s="51" t="str">
        <f>IF('Input Sheet'!C758="","",CONCATENATE("Sample ", 'Input Sheet'!B758, "m: ", L741, F741, "% ", "Siltstone, ", N741, 'Input Sheet'!C758, "% ", H741, " Sandstone, ", J741, I741, " FLUOR in SST. ", "TG ", 'Input Sheet'!H758, "U"))</f>
        <v/>
      </c>
      <c r="F741" s="36" t="str">
        <f>IF('Input Sheet'!C758="","",100-'Input Sheet'!C758)</f>
        <v/>
      </c>
      <c r="G7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1" s="36" t="str">
        <f t="shared" si="11"/>
        <v/>
      </c>
      <c r="I7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1" s="36" t="str">
        <f>IF('Input Sheet'!F758=0, "NO",CONCATENATE('Input Sheet'!F758, IF('Input Sheet'!F758&gt;0,"% ","")))</f>
        <v>NO</v>
      </c>
      <c r="K7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1" s="36" t="str">
        <f>CONCATENATE(K741, IF('Input Sheet'!I758="",""," siderite in "))</f>
        <v/>
      </c>
      <c r="M7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1" s="36" t="str">
        <f>CONCATENATE(M741, IF('Input Sheet'!J758="",""," siderite in "))</f>
        <v/>
      </c>
    </row>
    <row r="742" spans="1:14" x14ac:dyDescent="0.25">
      <c r="A742" s="51" t="str">
        <f>IF('Input Sheet'!C759="","",CONCATENATE("Sample ", 'Input Sheet'!B759, "m: ", L742, F742, "% ", "Siltstone, ", N742, 'Input Sheet'!C759, "% ", H742, " Sandstone, ", J742, I742, " FLUOR in SST. ", "TG ", 'Input Sheet'!H759, "U"))</f>
        <v/>
      </c>
      <c r="F742" s="36" t="str">
        <f>IF('Input Sheet'!C759="","",100-'Input Sheet'!C759)</f>
        <v/>
      </c>
      <c r="G7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2" s="36" t="str">
        <f t="shared" si="11"/>
        <v/>
      </c>
      <c r="I7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2" s="36" t="str">
        <f>IF('Input Sheet'!F759=0, "NO",CONCATENATE('Input Sheet'!F759, IF('Input Sheet'!F759&gt;0,"% ","")))</f>
        <v>NO</v>
      </c>
      <c r="K7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2" s="36" t="str">
        <f>CONCATENATE(K742, IF('Input Sheet'!I759="",""," siderite in "))</f>
        <v/>
      </c>
      <c r="M7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2" s="36" t="str">
        <f>CONCATENATE(M742, IF('Input Sheet'!J759="",""," siderite in "))</f>
        <v/>
      </c>
    </row>
    <row r="743" spans="1:14" x14ac:dyDescent="0.25">
      <c r="A743" s="51" t="str">
        <f>IF('Input Sheet'!C760="","",CONCATENATE("Sample ", 'Input Sheet'!B760, "m: ", L743, F743, "% ", "Siltstone, ", N743, 'Input Sheet'!C760, "% ", H743, " Sandstone, ", J743, I743, " FLUOR in SST. ", "TG ", 'Input Sheet'!H760, "U"))</f>
        <v/>
      </c>
      <c r="F743" s="36" t="str">
        <f>IF('Input Sheet'!C760="","",100-'Input Sheet'!C760)</f>
        <v/>
      </c>
      <c r="G7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3" s="36" t="str">
        <f t="shared" si="11"/>
        <v/>
      </c>
      <c r="I7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3" s="36" t="str">
        <f>IF('Input Sheet'!F760=0, "NO",CONCATENATE('Input Sheet'!F760, IF('Input Sheet'!F760&gt;0,"% ","")))</f>
        <v>NO</v>
      </c>
      <c r="K7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3" s="36" t="str">
        <f>CONCATENATE(K743, IF('Input Sheet'!I760="",""," siderite in "))</f>
        <v/>
      </c>
      <c r="M7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3" s="36" t="str">
        <f>CONCATENATE(M743, IF('Input Sheet'!J760="",""," siderite in "))</f>
        <v/>
      </c>
    </row>
    <row r="744" spans="1:14" x14ac:dyDescent="0.25">
      <c r="A744" s="51" t="str">
        <f>IF('Input Sheet'!C761="","",CONCATENATE("Sample ", 'Input Sheet'!B761, "m: ", L744, F744, "% ", "Siltstone, ", N744, 'Input Sheet'!C761, "% ", H744, " Sandstone, ", J744, I744, " FLUOR in SST. ", "TG ", 'Input Sheet'!H761, "U"))</f>
        <v/>
      </c>
      <c r="F744" s="36" t="str">
        <f>IF('Input Sheet'!C761="","",100-'Input Sheet'!C761)</f>
        <v/>
      </c>
      <c r="G7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4" s="36" t="str">
        <f t="shared" si="11"/>
        <v/>
      </c>
      <c r="I7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4" s="36" t="str">
        <f>IF('Input Sheet'!F761=0, "NO",CONCATENATE('Input Sheet'!F761, IF('Input Sheet'!F761&gt;0,"% ","")))</f>
        <v>NO</v>
      </c>
      <c r="K7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4" s="36" t="str">
        <f>CONCATENATE(K744, IF('Input Sheet'!I761="",""," siderite in "))</f>
        <v/>
      </c>
      <c r="M7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4" s="36" t="str">
        <f>CONCATENATE(M744, IF('Input Sheet'!J761="",""," siderite in "))</f>
        <v/>
      </c>
    </row>
    <row r="745" spans="1:14" x14ac:dyDescent="0.25">
      <c r="A745" s="51" t="str">
        <f>IF('Input Sheet'!C762="","",CONCATENATE("Sample ", 'Input Sheet'!B762, "m: ", L745, F745, "% ", "Siltstone, ", N745, 'Input Sheet'!C762, "% ", H745, " Sandstone, ", J745, I745, " FLUOR in SST. ", "TG ", 'Input Sheet'!H762, "U"))</f>
        <v/>
      </c>
      <c r="F745" s="36" t="str">
        <f>IF('Input Sheet'!C762="","",100-'Input Sheet'!C762)</f>
        <v/>
      </c>
      <c r="G7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5" s="36" t="str">
        <f t="shared" si="11"/>
        <v/>
      </c>
      <c r="I7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5" s="36" t="str">
        <f>IF('Input Sheet'!F762=0, "NO",CONCATENATE('Input Sheet'!F762, IF('Input Sheet'!F762&gt;0,"% ","")))</f>
        <v>NO</v>
      </c>
      <c r="K7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5" s="36" t="str">
        <f>CONCATENATE(K745, IF('Input Sheet'!I762="",""," siderite in "))</f>
        <v/>
      </c>
      <c r="M7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5" s="36" t="str">
        <f>CONCATENATE(M745, IF('Input Sheet'!J762="",""," siderite in "))</f>
        <v/>
      </c>
    </row>
    <row r="746" spans="1:14" x14ac:dyDescent="0.25">
      <c r="A746" s="51" t="str">
        <f>IF('Input Sheet'!C763="","",CONCATENATE("Sample ", 'Input Sheet'!B763, "m: ", L746, F746, "% ", "Siltstone, ", N746, 'Input Sheet'!C763, "% ", H746, " Sandstone, ", J746, I746, " FLUOR in SST. ", "TG ", 'Input Sheet'!H763, "U"))</f>
        <v/>
      </c>
      <c r="F746" s="36" t="str">
        <f>IF('Input Sheet'!C763="","",100-'Input Sheet'!C763)</f>
        <v/>
      </c>
      <c r="G7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6" s="36" t="str">
        <f t="shared" si="11"/>
        <v/>
      </c>
      <c r="I7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6" s="36" t="str">
        <f>IF('Input Sheet'!F763=0, "NO",CONCATENATE('Input Sheet'!F763, IF('Input Sheet'!F763&gt;0,"% ","")))</f>
        <v>NO</v>
      </c>
      <c r="K7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6" s="36" t="str">
        <f>CONCATENATE(K746, IF('Input Sheet'!I763="",""," siderite in "))</f>
        <v/>
      </c>
      <c r="M7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6" s="36" t="str">
        <f>CONCATENATE(M746, IF('Input Sheet'!J763="",""," siderite in "))</f>
        <v/>
      </c>
    </row>
    <row r="747" spans="1:14" x14ac:dyDescent="0.25">
      <c r="A747" s="51" t="str">
        <f>IF('Input Sheet'!C764="","",CONCATENATE("Sample ", 'Input Sheet'!B764, "m: ", L747, F747, "% ", "Siltstone, ", N747, 'Input Sheet'!C764, "% ", H747, " Sandstone, ", J747, I747, " FLUOR in SST. ", "TG ", 'Input Sheet'!H764, "U"))</f>
        <v/>
      </c>
      <c r="F747" s="36" t="str">
        <f>IF('Input Sheet'!C764="","",100-'Input Sheet'!C764)</f>
        <v/>
      </c>
      <c r="G7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7" s="36" t="str">
        <f t="shared" si="11"/>
        <v/>
      </c>
      <c r="I7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7" s="36" t="str">
        <f>IF('Input Sheet'!F764=0, "NO",CONCATENATE('Input Sheet'!F764, IF('Input Sheet'!F764&gt;0,"% ","")))</f>
        <v>NO</v>
      </c>
      <c r="K7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7" s="36" t="str">
        <f>CONCATENATE(K747, IF('Input Sheet'!I764="",""," siderite in "))</f>
        <v/>
      </c>
      <c r="M7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7" s="36" t="str">
        <f>CONCATENATE(M747, IF('Input Sheet'!J764="",""," siderite in "))</f>
        <v/>
      </c>
    </row>
    <row r="748" spans="1:14" x14ac:dyDescent="0.25">
      <c r="A748" s="51" t="str">
        <f>IF('Input Sheet'!C765="","",CONCATENATE("Sample ", 'Input Sheet'!B765, "m: ", L748, F748, "% ", "Siltstone, ", N748, 'Input Sheet'!C765, "% ", H748, " Sandstone, ", J748, I748, " FLUOR in SST. ", "TG ", 'Input Sheet'!H765, "U"))</f>
        <v/>
      </c>
      <c r="F748" s="36" t="str">
        <f>IF('Input Sheet'!C765="","",100-'Input Sheet'!C765)</f>
        <v/>
      </c>
      <c r="G7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8" s="36" t="str">
        <f t="shared" si="11"/>
        <v/>
      </c>
      <c r="I7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8" s="36" t="str">
        <f>IF('Input Sheet'!F765=0, "NO",CONCATENATE('Input Sheet'!F765, IF('Input Sheet'!F765&gt;0,"% ","")))</f>
        <v>NO</v>
      </c>
      <c r="K7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8" s="36" t="str">
        <f>CONCATENATE(K748, IF('Input Sheet'!I765="",""," siderite in "))</f>
        <v/>
      </c>
      <c r="M7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8" s="36" t="str">
        <f>CONCATENATE(M748, IF('Input Sheet'!J765="",""," siderite in "))</f>
        <v/>
      </c>
    </row>
    <row r="749" spans="1:14" x14ac:dyDescent="0.25">
      <c r="A749" s="51" t="str">
        <f>IF('Input Sheet'!C766="","",CONCATENATE("Sample ", 'Input Sheet'!B766, "m: ", L749, F749, "% ", "Siltstone, ", N749, 'Input Sheet'!C766, "% ", H749, " Sandstone, ", J749, I749, " FLUOR in SST. ", "TG ", 'Input Sheet'!H766, "U"))</f>
        <v/>
      </c>
      <c r="F749" s="36" t="str">
        <f>IF('Input Sheet'!C766="","",100-'Input Sheet'!C766)</f>
        <v/>
      </c>
      <c r="G7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49" s="36" t="str">
        <f t="shared" si="11"/>
        <v/>
      </c>
      <c r="I7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49" s="36" t="str">
        <f>IF('Input Sheet'!F766=0, "NO",CONCATENATE('Input Sheet'!F766, IF('Input Sheet'!F766&gt;0,"% ","")))</f>
        <v>NO</v>
      </c>
      <c r="K7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49" s="36" t="str">
        <f>CONCATENATE(K749, IF('Input Sheet'!I766="",""," siderite in "))</f>
        <v/>
      </c>
      <c r="M7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49" s="36" t="str">
        <f>CONCATENATE(M749, IF('Input Sheet'!J766="",""," siderite in "))</f>
        <v/>
      </c>
    </row>
    <row r="750" spans="1:14" x14ac:dyDescent="0.25">
      <c r="A750" s="51" t="str">
        <f>IF('Input Sheet'!C767="","",CONCATENATE("Sample ", 'Input Sheet'!B767, "m: ", L750, F750, "% ", "Siltstone, ", N750, 'Input Sheet'!C767, "% ", H750, " Sandstone, ", J750, I750, " FLUOR in SST. ", "TG ", 'Input Sheet'!H767, "U"))</f>
        <v/>
      </c>
      <c r="F750" s="36" t="str">
        <f>IF('Input Sheet'!C767="","",100-'Input Sheet'!C767)</f>
        <v/>
      </c>
      <c r="G7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0" s="36" t="str">
        <f t="shared" si="11"/>
        <v/>
      </c>
      <c r="I7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0" s="36" t="str">
        <f>IF('Input Sheet'!F767=0, "NO",CONCATENATE('Input Sheet'!F767, IF('Input Sheet'!F767&gt;0,"% ","")))</f>
        <v>NO</v>
      </c>
      <c r="K7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0" s="36" t="str">
        <f>CONCATENATE(K750, IF('Input Sheet'!I767="",""," siderite in "))</f>
        <v/>
      </c>
      <c r="M7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0" s="36" t="str">
        <f>CONCATENATE(M750, IF('Input Sheet'!J767="",""," siderite in "))</f>
        <v/>
      </c>
    </row>
    <row r="751" spans="1:14" x14ac:dyDescent="0.25">
      <c r="A751" s="51" t="str">
        <f>IF('Input Sheet'!C768="","",CONCATENATE("Sample ", 'Input Sheet'!B768, "m: ", L751, F751, "% ", "Siltstone, ", N751, 'Input Sheet'!C768, "% ", H751, " Sandstone, ", J751, I751, " FLUOR in SST. ", "TG ", 'Input Sheet'!H768, "U"))</f>
        <v/>
      </c>
      <c r="F751" s="36" t="str">
        <f>IF('Input Sheet'!C768="","",100-'Input Sheet'!C768)</f>
        <v/>
      </c>
      <c r="G7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1" s="36" t="str">
        <f t="shared" si="11"/>
        <v/>
      </c>
      <c r="I7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1" s="36" t="str">
        <f>IF('Input Sheet'!F768=0, "NO",CONCATENATE('Input Sheet'!F768, IF('Input Sheet'!F768&gt;0,"% ","")))</f>
        <v>NO</v>
      </c>
      <c r="K7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1" s="36" t="str">
        <f>CONCATENATE(K751, IF('Input Sheet'!I768="",""," siderite in "))</f>
        <v/>
      </c>
      <c r="M7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1" s="36" t="str">
        <f>CONCATENATE(M751, IF('Input Sheet'!J768="",""," siderite in "))</f>
        <v/>
      </c>
    </row>
    <row r="752" spans="1:14" x14ac:dyDescent="0.25">
      <c r="A752" s="51" t="str">
        <f>IF('Input Sheet'!C769="","",CONCATENATE("Sample ", 'Input Sheet'!B769, "m: ", L752, F752, "% ", "Siltstone, ", N752, 'Input Sheet'!C769, "% ", H752, " Sandstone, ", J752, I752, " FLUOR in SST. ", "TG ", 'Input Sheet'!H769, "U"))</f>
        <v/>
      </c>
      <c r="F752" s="36" t="str">
        <f>IF('Input Sheet'!C769="","",100-'Input Sheet'!C769)</f>
        <v/>
      </c>
      <c r="G7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2" s="36" t="str">
        <f t="shared" si="11"/>
        <v/>
      </c>
      <c r="I7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2" s="36" t="str">
        <f>IF('Input Sheet'!F769=0, "NO",CONCATENATE('Input Sheet'!F769, IF('Input Sheet'!F769&gt;0,"% ","")))</f>
        <v>NO</v>
      </c>
      <c r="K7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2" s="36" t="str">
        <f>CONCATENATE(K752, IF('Input Sheet'!I769="",""," siderite in "))</f>
        <v/>
      </c>
      <c r="M7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2" s="36" t="str">
        <f>CONCATENATE(M752, IF('Input Sheet'!J769="",""," siderite in "))</f>
        <v/>
      </c>
    </row>
    <row r="753" spans="1:14" x14ac:dyDescent="0.25">
      <c r="A753" s="51" t="str">
        <f>IF('Input Sheet'!C770="","",CONCATENATE("Sample ", 'Input Sheet'!B770, "m: ", L753, F753, "% ", "Siltstone, ", N753, 'Input Sheet'!C770, "% ", H753, " Sandstone, ", J753, I753, " FLUOR in SST. ", "TG ", 'Input Sheet'!H770, "U"))</f>
        <v/>
      </c>
      <c r="F753" s="36" t="str">
        <f>IF('Input Sheet'!C770="","",100-'Input Sheet'!C770)</f>
        <v/>
      </c>
      <c r="G7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3" s="36" t="str">
        <f t="shared" si="11"/>
        <v/>
      </c>
      <c r="I7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3" s="36" t="str">
        <f>IF('Input Sheet'!F770=0, "NO",CONCATENATE('Input Sheet'!F770, IF('Input Sheet'!F770&gt;0,"% ","")))</f>
        <v>NO</v>
      </c>
      <c r="K7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3" s="36" t="str">
        <f>CONCATENATE(K753, IF('Input Sheet'!I770="",""," siderite in "))</f>
        <v/>
      </c>
      <c r="M7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3" s="36" t="str">
        <f>CONCATENATE(M753, IF('Input Sheet'!J770="",""," siderite in "))</f>
        <v/>
      </c>
    </row>
    <row r="754" spans="1:14" x14ac:dyDescent="0.25">
      <c r="A754" s="51" t="str">
        <f>IF('Input Sheet'!C771="","",CONCATENATE("Sample ", 'Input Sheet'!B771, "m: ", L754, F754, "% ", "Siltstone, ", N754, 'Input Sheet'!C771, "% ", H754, " Sandstone, ", J754, I754, " FLUOR in SST. ", "TG ", 'Input Sheet'!H771, "U"))</f>
        <v/>
      </c>
      <c r="F754" s="36" t="str">
        <f>IF('Input Sheet'!C771="","",100-'Input Sheet'!C771)</f>
        <v/>
      </c>
      <c r="G7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4" s="36" t="str">
        <f t="shared" si="11"/>
        <v/>
      </c>
      <c r="I7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4" s="36" t="str">
        <f>IF('Input Sheet'!F771=0, "NO",CONCATENATE('Input Sheet'!F771, IF('Input Sheet'!F771&gt;0,"% ","")))</f>
        <v>NO</v>
      </c>
      <c r="K7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4" s="36" t="str">
        <f>CONCATENATE(K754, IF('Input Sheet'!I771="",""," siderite in "))</f>
        <v/>
      </c>
      <c r="M7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4" s="36" t="str">
        <f>CONCATENATE(M754, IF('Input Sheet'!J771="",""," siderite in "))</f>
        <v/>
      </c>
    </row>
    <row r="755" spans="1:14" x14ac:dyDescent="0.25">
      <c r="A755" s="51" t="str">
        <f>IF('Input Sheet'!C772="","",CONCATENATE("Sample ", 'Input Sheet'!B772, "m: ", L755, F755, "% ", "Siltstone, ", N755, 'Input Sheet'!C772, "% ", H755, " Sandstone, ", J755, I755, " FLUOR in SST. ", "TG ", 'Input Sheet'!H772, "U"))</f>
        <v/>
      </c>
      <c r="F755" s="36" t="str">
        <f>IF('Input Sheet'!C772="","",100-'Input Sheet'!C772)</f>
        <v/>
      </c>
      <c r="G7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5" s="36" t="str">
        <f t="shared" si="11"/>
        <v/>
      </c>
      <c r="I7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5" s="36" t="str">
        <f>IF('Input Sheet'!F772=0, "NO",CONCATENATE('Input Sheet'!F772, IF('Input Sheet'!F772&gt;0,"% ","")))</f>
        <v>NO</v>
      </c>
      <c r="K7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5" s="36" t="str">
        <f>CONCATENATE(K755, IF('Input Sheet'!I772="",""," siderite in "))</f>
        <v/>
      </c>
      <c r="M7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5" s="36" t="str">
        <f>CONCATENATE(M755, IF('Input Sheet'!J772="",""," siderite in "))</f>
        <v/>
      </c>
    </row>
    <row r="756" spans="1:14" x14ac:dyDescent="0.25">
      <c r="A756" s="51" t="str">
        <f>IF('Input Sheet'!C773="","",CONCATENATE("Sample ", 'Input Sheet'!B773, "m: ", L756, F756, "% ", "Siltstone, ", N756, 'Input Sheet'!C773, "% ", H756, " Sandstone, ", J756, I756, " FLUOR in SST. ", "TG ", 'Input Sheet'!H773, "U"))</f>
        <v/>
      </c>
      <c r="F756" s="36" t="str">
        <f>IF('Input Sheet'!C773="","",100-'Input Sheet'!C773)</f>
        <v/>
      </c>
      <c r="G7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6" s="36" t="str">
        <f t="shared" si="11"/>
        <v/>
      </c>
      <c r="I7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6" s="36" t="str">
        <f>IF('Input Sheet'!F773=0, "NO",CONCATENATE('Input Sheet'!F773, IF('Input Sheet'!F773&gt;0,"% ","")))</f>
        <v>NO</v>
      </c>
      <c r="K7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6" s="36" t="str">
        <f>CONCATENATE(K756, IF('Input Sheet'!I773="",""," siderite in "))</f>
        <v/>
      </c>
      <c r="M7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6" s="36" t="str">
        <f>CONCATENATE(M756, IF('Input Sheet'!J773="",""," siderite in "))</f>
        <v/>
      </c>
    </row>
    <row r="757" spans="1:14" x14ac:dyDescent="0.25">
      <c r="A757" s="51" t="str">
        <f>IF('Input Sheet'!C774="","",CONCATENATE("Sample ", 'Input Sheet'!B774, "m: ", L757, F757, "% ", "Siltstone, ", N757, 'Input Sheet'!C774, "% ", H757, " Sandstone, ", J757, I757, " FLUOR in SST. ", "TG ", 'Input Sheet'!H774, "U"))</f>
        <v/>
      </c>
      <c r="F757" s="36" t="str">
        <f>IF('Input Sheet'!C774="","",100-'Input Sheet'!C774)</f>
        <v/>
      </c>
      <c r="G7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7" s="36" t="str">
        <f t="shared" si="11"/>
        <v/>
      </c>
      <c r="I7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7" s="36" t="str">
        <f>IF('Input Sheet'!F774=0, "NO",CONCATENATE('Input Sheet'!F774, IF('Input Sheet'!F774&gt;0,"% ","")))</f>
        <v>NO</v>
      </c>
      <c r="K7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7" s="36" t="str">
        <f>CONCATENATE(K757, IF('Input Sheet'!I774="",""," siderite in "))</f>
        <v/>
      </c>
      <c r="M7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7" s="36" t="str">
        <f>CONCATENATE(M757, IF('Input Sheet'!J774="",""," siderite in "))</f>
        <v/>
      </c>
    </row>
    <row r="758" spans="1:14" x14ac:dyDescent="0.25">
      <c r="A758" s="51" t="str">
        <f>IF('Input Sheet'!C775="","",CONCATENATE("Sample ", 'Input Sheet'!B775, "m: ", L758, F758, "% ", "Siltstone, ", N758, 'Input Sheet'!C775, "% ", H758, " Sandstone, ", J758, I758, " FLUOR in SST. ", "TG ", 'Input Sheet'!H775, "U"))</f>
        <v/>
      </c>
      <c r="F758" s="36" t="str">
        <f>IF('Input Sheet'!C775="","",100-'Input Sheet'!C775)</f>
        <v/>
      </c>
      <c r="G7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8" s="36" t="str">
        <f t="shared" si="11"/>
        <v/>
      </c>
      <c r="I7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8" s="36" t="str">
        <f>IF('Input Sheet'!F775=0, "NO",CONCATENATE('Input Sheet'!F775, IF('Input Sheet'!F775&gt;0,"% ","")))</f>
        <v>NO</v>
      </c>
      <c r="K7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8" s="36" t="str">
        <f>CONCATENATE(K758, IF('Input Sheet'!I775="",""," siderite in "))</f>
        <v/>
      </c>
      <c r="M7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8" s="36" t="str">
        <f>CONCATENATE(M758, IF('Input Sheet'!J775="",""," siderite in "))</f>
        <v/>
      </c>
    </row>
    <row r="759" spans="1:14" x14ac:dyDescent="0.25">
      <c r="A759" s="51" t="str">
        <f>IF('Input Sheet'!C776="","",CONCATENATE("Sample ", 'Input Sheet'!B776, "m: ", L759, F759, "% ", "Siltstone, ", N759, 'Input Sheet'!C776, "% ", H759, " Sandstone, ", J759, I759, " FLUOR in SST. ", "TG ", 'Input Sheet'!H776, "U"))</f>
        <v/>
      </c>
      <c r="F759" s="36" t="str">
        <f>IF('Input Sheet'!C776="","",100-'Input Sheet'!C776)</f>
        <v/>
      </c>
      <c r="G7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59" s="36" t="str">
        <f t="shared" si="11"/>
        <v/>
      </c>
      <c r="I7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59" s="36" t="str">
        <f>IF('Input Sheet'!F776=0, "NO",CONCATENATE('Input Sheet'!F776, IF('Input Sheet'!F776&gt;0,"% ","")))</f>
        <v>NO</v>
      </c>
      <c r="K7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59" s="36" t="str">
        <f>CONCATENATE(K759, IF('Input Sheet'!I776="",""," siderite in "))</f>
        <v/>
      </c>
      <c r="M7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59" s="36" t="str">
        <f>CONCATENATE(M759, IF('Input Sheet'!J776="",""," siderite in "))</f>
        <v/>
      </c>
    </row>
    <row r="760" spans="1:14" x14ac:dyDescent="0.25">
      <c r="A760" s="51" t="str">
        <f>IF('Input Sheet'!C777="","",CONCATENATE("Sample ", 'Input Sheet'!B777, "m: ", L760, F760, "% ", "Siltstone, ", N760, 'Input Sheet'!C777, "% ", H760, " Sandstone, ", J760, I760, " FLUOR in SST. ", "TG ", 'Input Sheet'!H777, "U"))</f>
        <v/>
      </c>
      <c r="F760" s="36" t="str">
        <f>IF('Input Sheet'!C777="","",100-'Input Sheet'!C777)</f>
        <v/>
      </c>
      <c r="G7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0" s="36" t="str">
        <f t="shared" si="11"/>
        <v/>
      </c>
      <c r="I7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0" s="36" t="str">
        <f>IF('Input Sheet'!F777=0, "NO",CONCATENATE('Input Sheet'!F777, IF('Input Sheet'!F777&gt;0,"% ","")))</f>
        <v>NO</v>
      </c>
      <c r="K7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0" s="36" t="str">
        <f>CONCATENATE(K760, IF('Input Sheet'!I777="",""," siderite in "))</f>
        <v/>
      </c>
      <c r="M7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0" s="36" t="str">
        <f>CONCATENATE(M760, IF('Input Sheet'!J777="",""," siderite in "))</f>
        <v/>
      </c>
    </row>
    <row r="761" spans="1:14" x14ac:dyDescent="0.25">
      <c r="A761" s="51" t="str">
        <f>IF('Input Sheet'!C778="","",CONCATENATE("Sample ", 'Input Sheet'!B778, "m: ", L761, F761, "% ", "Siltstone, ", N761, 'Input Sheet'!C778, "% ", H761, " Sandstone, ", J761, I761, " FLUOR in SST. ", "TG ", 'Input Sheet'!H778, "U"))</f>
        <v/>
      </c>
      <c r="F761" s="36" t="str">
        <f>IF('Input Sheet'!C778="","",100-'Input Sheet'!C778)</f>
        <v/>
      </c>
      <c r="G7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1" s="36" t="str">
        <f t="shared" si="11"/>
        <v/>
      </c>
      <c r="I7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1" s="36" t="str">
        <f>IF('Input Sheet'!F778=0, "NO",CONCATENATE('Input Sheet'!F778, IF('Input Sheet'!F778&gt;0,"% ","")))</f>
        <v>NO</v>
      </c>
      <c r="K7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1" s="36" t="str">
        <f>CONCATENATE(K761, IF('Input Sheet'!I778="",""," siderite in "))</f>
        <v/>
      </c>
      <c r="M7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1" s="36" t="str">
        <f>CONCATENATE(M761, IF('Input Sheet'!J778="",""," siderite in "))</f>
        <v/>
      </c>
    </row>
    <row r="762" spans="1:14" x14ac:dyDescent="0.25">
      <c r="A762" s="51" t="str">
        <f>IF('Input Sheet'!C779="","",CONCATENATE("Sample ", 'Input Sheet'!B779, "m: ", L762, F762, "% ", "Siltstone, ", N762, 'Input Sheet'!C779, "% ", H762, " Sandstone, ", J762, I762, " FLUOR in SST. ", "TG ", 'Input Sheet'!H779, "U"))</f>
        <v/>
      </c>
      <c r="F762" s="36" t="str">
        <f>IF('Input Sheet'!C779="","",100-'Input Sheet'!C779)</f>
        <v/>
      </c>
      <c r="G7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2" s="36" t="str">
        <f t="shared" si="11"/>
        <v/>
      </c>
      <c r="I7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2" s="36" t="str">
        <f>IF('Input Sheet'!F779=0, "NO",CONCATENATE('Input Sheet'!F779, IF('Input Sheet'!F779&gt;0,"% ","")))</f>
        <v>NO</v>
      </c>
      <c r="K7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2" s="36" t="str">
        <f>CONCATENATE(K762, IF('Input Sheet'!I779="",""," siderite in "))</f>
        <v/>
      </c>
      <c r="M7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2" s="36" t="str">
        <f>CONCATENATE(M762, IF('Input Sheet'!J779="",""," siderite in "))</f>
        <v/>
      </c>
    </row>
    <row r="763" spans="1:14" x14ac:dyDescent="0.25">
      <c r="A763" s="51" t="str">
        <f>IF('Input Sheet'!C780="","",CONCATENATE("Sample ", 'Input Sheet'!B780, "m: ", L763, F763, "% ", "Siltstone, ", N763, 'Input Sheet'!C780, "% ", H763, " Sandstone, ", J763, I763, " FLUOR in SST. ", "TG ", 'Input Sheet'!H780, "U"))</f>
        <v/>
      </c>
      <c r="F763" s="36" t="str">
        <f>IF('Input Sheet'!C780="","",100-'Input Sheet'!C780)</f>
        <v/>
      </c>
      <c r="G7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3" s="36" t="str">
        <f t="shared" si="11"/>
        <v/>
      </c>
      <c r="I7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3" s="36" t="str">
        <f>IF('Input Sheet'!F780=0, "NO",CONCATENATE('Input Sheet'!F780, IF('Input Sheet'!F780&gt;0,"% ","")))</f>
        <v>NO</v>
      </c>
      <c r="K7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3" s="36" t="str">
        <f>CONCATENATE(K763, IF('Input Sheet'!I780="",""," siderite in "))</f>
        <v/>
      </c>
      <c r="M7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3" s="36" t="str">
        <f>CONCATENATE(M763, IF('Input Sheet'!J780="",""," siderite in "))</f>
        <v/>
      </c>
    </row>
    <row r="764" spans="1:14" x14ac:dyDescent="0.25">
      <c r="A764" s="51" t="str">
        <f>IF('Input Sheet'!C781="","",CONCATENATE("Sample ", 'Input Sheet'!B781, "m: ", L764, F764, "% ", "Siltstone, ", N764, 'Input Sheet'!C781, "% ", H764, " Sandstone, ", J764, I764, " FLUOR in SST. ", "TG ", 'Input Sheet'!H781, "U"))</f>
        <v/>
      </c>
      <c r="F764" s="36" t="str">
        <f>IF('Input Sheet'!C781="","",100-'Input Sheet'!C781)</f>
        <v/>
      </c>
      <c r="G7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4" s="36" t="str">
        <f t="shared" si="11"/>
        <v/>
      </c>
      <c r="I7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4" s="36" t="str">
        <f>IF('Input Sheet'!F781=0, "NO",CONCATENATE('Input Sheet'!F781, IF('Input Sheet'!F781&gt;0,"% ","")))</f>
        <v>NO</v>
      </c>
      <c r="K7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4" s="36" t="str">
        <f>CONCATENATE(K764, IF('Input Sheet'!I781="",""," siderite in "))</f>
        <v/>
      </c>
      <c r="M7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4" s="36" t="str">
        <f>CONCATENATE(M764, IF('Input Sheet'!J781="",""," siderite in "))</f>
        <v/>
      </c>
    </row>
    <row r="765" spans="1:14" x14ac:dyDescent="0.25">
      <c r="A765" s="51" t="str">
        <f>IF('Input Sheet'!C782="","",CONCATENATE("Sample ", 'Input Sheet'!B782, "m: ", L765, F765, "% ", "Siltstone, ", N765, 'Input Sheet'!C782, "% ", H765, " Sandstone, ", J765, I765, " FLUOR in SST. ", "TG ", 'Input Sheet'!H782, "U"))</f>
        <v/>
      </c>
      <c r="F765" s="36" t="str">
        <f>IF('Input Sheet'!C782="","",100-'Input Sheet'!C782)</f>
        <v/>
      </c>
      <c r="G7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5" s="36" t="str">
        <f t="shared" si="11"/>
        <v/>
      </c>
      <c r="I7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5" s="36" t="str">
        <f>IF('Input Sheet'!F782=0, "NO",CONCATENATE('Input Sheet'!F782, IF('Input Sheet'!F782&gt;0,"% ","")))</f>
        <v>NO</v>
      </c>
      <c r="K7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5" s="36" t="str">
        <f>CONCATENATE(K765, IF('Input Sheet'!I782="",""," siderite in "))</f>
        <v/>
      </c>
      <c r="M7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5" s="36" t="str">
        <f>CONCATENATE(M765, IF('Input Sheet'!J782="",""," siderite in "))</f>
        <v/>
      </c>
    </row>
    <row r="766" spans="1:14" x14ac:dyDescent="0.25">
      <c r="A766" s="51" t="str">
        <f>IF('Input Sheet'!C783="","",CONCATENATE("Sample ", 'Input Sheet'!B783, "m: ", L766, F766, "% ", "Siltstone, ", N766, 'Input Sheet'!C783, "% ", H766, " Sandstone, ", J766, I766, " FLUOR in SST. ", "TG ", 'Input Sheet'!H783, "U"))</f>
        <v/>
      </c>
      <c r="F766" s="36" t="str">
        <f>IF('Input Sheet'!C783="","",100-'Input Sheet'!C783)</f>
        <v/>
      </c>
      <c r="G7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6" s="36" t="str">
        <f t="shared" si="11"/>
        <v/>
      </c>
      <c r="I7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6" s="36" t="str">
        <f>IF('Input Sheet'!F783=0, "NO",CONCATENATE('Input Sheet'!F783, IF('Input Sheet'!F783&gt;0,"% ","")))</f>
        <v>NO</v>
      </c>
      <c r="K7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6" s="36" t="str">
        <f>CONCATENATE(K766, IF('Input Sheet'!I783="",""," siderite in "))</f>
        <v/>
      </c>
      <c r="M7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6" s="36" t="str">
        <f>CONCATENATE(M766, IF('Input Sheet'!J783="",""," siderite in "))</f>
        <v/>
      </c>
    </row>
    <row r="767" spans="1:14" x14ac:dyDescent="0.25">
      <c r="A767" s="51" t="str">
        <f>IF('Input Sheet'!C784="","",CONCATENATE("Sample ", 'Input Sheet'!B784, "m: ", L767, F767, "% ", "Siltstone, ", N767, 'Input Sheet'!C784, "% ", H767, " Sandstone, ", J767, I767, " FLUOR in SST. ", "TG ", 'Input Sheet'!H784, "U"))</f>
        <v/>
      </c>
      <c r="F767" s="36" t="str">
        <f>IF('Input Sheet'!C784="","",100-'Input Sheet'!C784)</f>
        <v/>
      </c>
      <c r="G7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7" s="36" t="str">
        <f t="shared" si="11"/>
        <v/>
      </c>
      <c r="I7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7" s="36" t="str">
        <f>IF('Input Sheet'!F784=0, "NO",CONCATENATE('Input Sheet'!F784, IF('Input Sheet'!F784&gt;0,"% ","")))</f>
        <v>NO</v>
      </c>
      <c r="K7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7" s="36" t="str">
        <f>CONCATENATE(K767, IF('Input Sheet'!I784="",""," siderite in "))</f>
        <v/>
      </c>
      <c r="M7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7" s="36" t="str">
        <f>CONCATENATE(M767, IF('Input Sheet'!J784="",""," siderite in "))</f>
        <v/>
      </c>
    </row>
    <row r="768" spans="1:14" x14ac:dyDescent="0.25">
      <c r="A768" s="51" t="str">
        <f>IF('Input Sheet'!C785="","",CONCATENATE("Sample ", 'Input Sheet'!B785, "m: ", L768, F768, "% ", "Siltstone, ", N768, 'Input Sheet'!C785, "% ", H768, " Sandstone, ", J768, I768, " FLUOR in SST. ", "TG ", 'Input Sheet'!H785, "U"))</f>
        <v/>
      </c>
      <c r="F768" s="36" t="str">
        <f>IF('Input Sheet'!C785="","",100-'Input Sheet'!C785)</f>
        <v/>
      </c>
      <c r="G7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8" s="36" t="str">
        <f t="shared" si="11"/>
        <v/>
      </c>
      <c r="I7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8" s="36" t="str">
        <f>IF('Input Sheet'!F785=0, "NO",CONCATENATE('Input Sheet'!F785, IF('Input Sheet'!F785&gt;0,"% ","")))</f>
        <v>NO</v>
      </c>
      <c r="K7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8" s="36" t="str">
        <f>CONCATENATE(K768, IF('Input Sheet'!I785="",""," siderite in "))</f>
        <v/>
      </c>
      <c r="M7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8" s="36" t="str">
        <f>CONCATENATE(M768, IF('Input Sheet'!J785="",""," siderite in "))</f>
        <v/>
      </c>
    </row>
    <row r="769" spans="1:14" x14ac:dyDescent="0.25">
      <c r="A769" s="51" t="str">
        <f>IF('Input Sheet'!C786="","",CONCATENATE("Sample ", 'Input Sheet'!B786, "m: ", L769, F769, "% ", "Siltstone, ", N769, 'Input Sheet'!C786, "% ", H769, " Sandstone, ", J769, I769, " FLUOR in SST. ", "TG ", 'Input Sheet'!H786, "U"))</f>
        <v/>
      </c>
      <c r="F769" s="36" t="str">
        <f>IF('Input Sheet'!C786="","",100-'Input Sheet'!C786)</f>
        <v/>
      </c>
      <c r="G7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69" s="36" t="str">
        <f t="shared" si="11"/>
        <v/>
      </c>
      <c r="I7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69" s="36" t="str">
        <f>IF('Input Sheet'!F786=0, "NO",CONCATENATE('Input Sheet'!F786, IF('Input Sheet'!F786&gt;0,"% ","")))</f>
        <v>NO</v>
      </c>
      <c r="K7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69" s="36" t="str">
        <f>CONCATENATE(K769, IF('Input Sheet'!I786="",""," siderite in "))</f>
        <v/>
      </c>
      <c r="M7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69" s="36" t="str">
        <f>CONCATENATE(M769, IF('Input Sheet'!J786="",""," siderite in "))</f>
        <v/>
      </c>
    </row>
    <row r="770" spans="1:14" x14ac:dyDescent="0.25">
      <c r="A770" s="51" t="str">
        <f>IF('Input Sheet'!C787="","",CONCATENATE("Sample ", 'Input Sheet'!B787, "m: ", L770, F770, "% ", "Siltstone, ", N770, 'Input Sheet'!C787, "% ", H770, " Sandstone, ", J770, I770, " FLUOR in SST. ", "TG ", 'Input Sheet'!H787, "U"))</f>
        <v/>
      </c>
      <c r="F770" s="36" t="str">
        <f>IF('Input Sheet'!C787="","",100-'Input Sheet'!C787)</f>
        <v/>
      </c>
      <c r="G7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0" s="36" t="str">
        <f t="shared" ref="H770:H833" si="12">SUBSTITUTE(G770, "veryfine", "very fine")</f>
        <v/>
      </c>
      <c r="I7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0" s="36" t="str">
        <f>IF('Input Sheet'!F787=0, "NO",CONCATENATE('Input Sheet'!F787, IF('Input Sheet'!F787&gt;0,"% ","")))</f>
        <v>NO</v>
      </c>
      <c r="K7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0" s="36" t="str">
        <f>CONCATENATE(K770, IF('Input Sheet'!I787="",""," siderite in "))</f>
        <v/>
      </c>
      <c r="M7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0" s="36" t="str">
        <f>CONCATENATE(M770, IF('Input Sheet'!J787="",""," siderite in "))</f>
        <v/>
      </c>
    </row>
    <row r="771" spans="1:14" x14ac:dyDescent="0.25">
      <c r="A771" s="51" t="str">
        <f>IF('Input Sheet'!C788="","",CONCATENATE("Sample ", 'Input Sheet'!B788, "m: ", L771, F771, "% ", "Siltstone, ", N771, 'Input Sheet'!C788, "% ", H771, " Sandstone, ", J771, I771, " FLUOR in SST. ", "TG ", 'Input Sheet'!H788, "U"))</f>
        <v/>
      </c>
      <c r="F771" s="36" t="str">
        <f>IF('Input Sheet'!C788="","",100-'Input Sheet'!C788)</f>
        <v/>
      </c>
      <c r="G7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1" s="36" t="str">
        <f t="shared" si="12"/>
        <v/>
      </c>
      <c r="I7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1" s="36" t="str">
        <f>IF('Input Sheet'!F788=0, "NO",CONCATENATE('Input Sheet'!F788, IF('Input Sheet'!F788&gt;0,"% ","")))</f>
        <v>NO</v>
      </c>
      <c r="K7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1" s="36" t="str">
        <f>CONCATENATE(K771, IF('Input Sheet'!I788="",""," siderite in "))</f>
        <v/>
      </c>
      <c r="M7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1" s="36" t="str">
        <f>CONCATENATE(M771, IF('Input Sheet'!J788="",""," siderite in "))</f>
        <v/>
      </c>
    </row>
    <row r="772" spans="1:14" x14ac:dyDescent="0.25">
      <c r="A772" s="51" t="str">
        <f>IF('Input Sheet'!C789="","",CONCATENATE("Sample ", 'Input Sheet'!B789, "m: ", L772, F772, "% ", "Siltstone, ", N772, 'Input Sheet'!C789, "% ", H772, " Sandstone, ", J772, I772, " FLUOR in SST. ", "TG ", 'Input Sheet'!H789, "U"))</f>
        <v/>
      </c>
      <c r="F772" s="36" t="str">
        <f>IF('Input Sheet'!C789="","",100-'Input Sheet'!C789)</f>
        <v/>
      </c>
      <c r="G7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2" s="36" t="str">
        <f t="shared" si="12"/>
        <v/>
      </c>
      <c r="I7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2" s="36" t="str">
        <f>IF('Input Sheet'!F789=0, "NO",CONCATENATE('Input Sheet'!F789, IF('Input Sheet'!F789&gt;0,"% ","")))</f>
        <v>NO</v>
      </c>
      <c r="K7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2" s="36" t="str">
        <f>CONCATENATE(K772, IF('Input Sheet'!I789="",""," siderite in "))</f>
        <v/>
      </c>
      <c r="M7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2" s="36" t="str">
        <f>CONCATENATE(M772, IF('Input Sheet'!J789="",""," siderite in "))</f>
        <v/>
      </c>
    </row>
    <row r="773" spans="1:14" x14ac:dyDescent="0.25">
      <c r="A773" s="51" t="str">
        <f>IF('Input Sheet'!C790="","",CONCATENATE("Sample ", 'Input Sheet'!B790, "m: ", L773, F773, "% ", "Siltstone, ", N773, 'Input Sheet'!C790, "% ", H773, " Sandstone, ", J773, I773, " FLUOR in SST. ", "TG ", 'Input Sheet'!H790, "U"))</f>
        <v/>
      </c>
      <c r="F773" s="36" t="str">
        <f>IF('Input Sheet'!C790="","",100-'Input Sheet'!C790)</f>
        <v/>
      </c>
      <c r="G7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3" s="36" t="str">
        <f t="shared" si="12"/>
        <v/>
      </c>
      <c r="I7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3" s="36" t="str">
        <f>IF('Input Sheet'!F790=0, "NO",CONCATENATE('Input Sheet'!F790, IF('Input Sheet'!F790&gt;0,"% ","")))</f>
        <v>NO</v>
      </c>
      <c r="K7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3" s="36" t="str">
        <f>CONCATENATE(K773, IF('Input Sheet'!I790="",""," siderite in "))</f>
        <v/>
      </c>
      <c r="M7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3" s="36" t="str">
        <f>CONCATENATE(M773, IF('Input Sheet'!J790="",""," siderite in "))</f>
        <v/>
      </c>
    </row>
    <row r="774" spans="1:14" x14ac:dyDescent="0.25">
      <c r="A774" s="51" t="str">
        <f>IF('Input Sheet'!C791="","",CONCATENATE("Sample ", 'Input Sheet'!B791, "m: ", L774, F774, "% ", "Siltstone, ", N774, 'Input Sheet'!C791, "% ", H774, " Sandstone, ", J774, I774, " FLUOR in SST. ", "TG ", 'Input Sheet'!H791, "U"))</f>
        <v/>
      </c>
      <c r="F774" s="36" t="str">
        <f>IF('Input Sheet'!C791="","",100-'Input Sheet'!C791)</f>
        <v/>
      </c>
      <c r="G7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4" s="36" t="str">
        <f t="shared" si="12"/>
        <v/>
      </c>
      <c r="I7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4" s="36" t="str">
        <f>IF('Input Sheet'!F791=0, "NO",CONCATENATE('Input Sheet'!F791, IF('Input Sheet'!F791&gt;0,"% ","")))</f>
        <v>NO</v>
      </c>
      <c r="K7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4" s="36" t="str">
        <f>CONCATENATE(K774, IF('Input Sheet'!I791="",""," siderite in "))</f>
        <v/>
      </c>
      <c r="M7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4" s="36" t="str">
        <f>CONCATENATE(M774, IF('Input Sheet'!J791="",""," siderite in "))</f>
        <v/>
      </c>
    </row>
    <row r="775" spans="1:14" x14ac:dyDescent="0.25">
      <c r="A775" s="51" t="str">
        <f>IF('Input Sheet'!C792="","",CONCATENATE("Sample ", 'Input Sheet'!B792, "m: ", L775, F775, "% ", "Siltstone, ", N775, 'Input Sheet'!C792, "% ", H775, " Sandstone, ", J775, I775, " FLUOR in SST. ", "TG ", 'Input Sheet'!H792, "U"))</f>
        <v/>
      </c>
      <c r="F775" s="36" t="str">
        <f>IF('Input Sheet'!C792="","",100-'Input Sheet'!C792)</f>
        <v/>
      </c>
      <c r="G7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5" s="36" t="str">
        <f t="shared" si="12"/>
        <v/>
      </c>
      <c r="I7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5" s="36" t="str">
        <f>IF('Input Sheet'!F792=0, "NO",CONCATENATE('Input Sheet'!F792, IF('Input Sheet'!F792&gt;0,"% ","")))</f>
        <v>NO</v>
      </c>
      <c r="K7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5" s="36" t="str">
        <f>CONCATENATE(K775, IF('Input Sheet'!I792="",""," siderite in "))</f>
        <v/>
      </c>
      <c r="M7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5" s="36" t="str">
        <f>CONCATENATE(M775, IF('Input Sheet'!J792="",""," siderite in "))</f>
        <v/>
      </c>
    </row>
    <row r="776" spans="1:14" x14ac:dyDescent="0.25">
      <c r="A776" s="51" t="str">
        <f>IF('Input Sheet'!C793="","",CONCATENATE("Sample ", 'Input Sheet'!B793, "m: ", L776, F776, "% ", "Siltstone, ", N776, 'Input Sheet'!C793, "% ", H776, " Sandstone, ", J776, I776, " FLUOR in SST. ", "TG ", 'Input Sheet'!H793, "U"))</f>
        <v/>
      </c>
      <c r="F776" s="36" t="str">
        <f>IF('Input Sheet'!C793="","",100-'Input Sheet'!C793)</f>
        <v/>
      </c>
      <c r="G7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6" s="36" t="str">
        <f t="shared" si="12"/>
        <v/>
      </c>
      <c r="I7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6" s="36" t="str">
        <f>IF('Input Sheet'!F793=0, "NO",CONCATENATE('Input Sheet'!F793, IF('Input Sheet'!F793&gt;0,"% ","")))</f>
        <v>NO</v>
      </c>
      <c r="K7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6" s="36" t="str">
        <f>CONCATENATE(K776, IF('Input Sheet'!I793="",""," siderite in "))</f>
        <v/>
      </c>
      <c r="M7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6" s="36" t="str">
        <f>CONCATENATE(M776, IF('Input Sheet'!J793="",""," siderite in "))</f>
        <v/>
      </c>
    </row>
    <row r="777" spans="1:14" x14ac:dyDescent="0.25">
      <c r="A777" s="51" t="str">
        <f>IF('Input Sheet'!C794="","",CONCATENATE("Sample ", 'Input Sheet'!B794, "m: ", L777, F777, "% ", "Siltstone, ", N777, 'Input Sheet'!C794, "% ", H777, " Sandstone, ", J777, I777, " FLUOR in SST. ", "TG ", 'Input Sheet'!H794, "U"))</f>
        <v/>
      </c>
      <c r="F777" s="36" t="str">
        <f>IF('Input Sheet'!C794="","",100-'Input Sheet'!C794)</f>
        <v/>
      </c>
      <c r="G7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7" s="36" t="str">
        <f t="shared" si="12"/>
        <v/>
      </c>
      <c r="I7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7" s="36" t="str">
        <f>IF('Input Sheet'!F794=0, "NO",CONCATENATE('Input Sheet'!F794, IF('Input Sheet'!F794&gt;0,"% ","")))</f>
        <v>NO</v>
      </c>
      <c r="K7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7" s="36" t="str">
        <f>CONCATENATE(K777, IF('Input Sheet'!I794="",""," siderite in "))</f>
        <v/>
      </c>
      <c r="M7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7" s="36" t="str">
        <f>CONCATENATE(M777, IF('Input Sheet'!J794="",""," siderite in "))</f>
        <v/>
      </c>
    </row>
    <row r="778" spans="1:14" x14ac:dyDescent="0.25">
      <c r="A778" s="51" t="str">
        <f>IF('Input Sheet'!C795="","",CONCATENATE("Sample ", 'Input Sheet'!B795, "m: ", L778, F778, "% ", "Siltstone, ", N778, 'Input Sheet'!C795, "% ", H778, " Sandstone, ", J778, I778, " FLUOR in SST. ", "TG ", 'Input Sheet'!H795, "U"))</f>
        <v/>
      </c>
      <c r="F778" s="36" t="str">
        <f>IF('Input Sheet'!C795="","",100-'Input Sheet'!C795)</f>
        <v/>
      </c>
      <c r="G7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8" s="36" t="str">
        <f t="shared" si="12"/>
        <v/>
      </c>
      <c r="I7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8" s="36" t="str">
        <f>IF('Input Sheet'!F795=0, "NO",CONCATENATE('Input Sheet'!F795, IF('Input Sheet'!F795&gt;0,"% ","")))</f>
        <v>NO</v>
      </c>
      <c r="K7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8" s="36" t="str">
        <f>CONCATENATE(K778, IF('Input Sheet'!I795="",""," siderite in "))</f>
        <v/>
      </c>
      <c r="M7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8" s="36" t="str">
        <f>CONCATENATE(M778, IF('Input Sheet'!J795="",""," siderite in "))</f>
        <v/>
      </c>
    </row>
    <row r="779" spans="1:14" x14ac:dyDescent="0.25">
      <c r="A779" s="51" t="str">
        <f>IF('Input Sheet'!C796="","",CONCATENATE("Sample ", 'Input Sheet'!B796, "m: ", L779, F779, "% ", "Siltstone, ", N779, 'Input Sheet'!C796, "% ", H779, " Sandstone, ", J779, I779, " FLUOR in SST. ", "TG ", 'Input Sheet'!H796, "U"))</f>
        <v/>
      </c>
      <c r="F779" s="36" t="str">
        <f>IF('Input Sheet'!C796="","",100-'Input Sheet'!C796)</f>
        <v/>
      </c>
      <c r="G7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79" s="36" t="str">
        <f t="shared" si="12"/>
        <v/>
      </c>
      <c r="I7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79" s="36" t="str">
        <f>IF('Input Sheet'!F796=0, "NO",CONCATENATE('Input Sheet'!F796, IF('Input Sheet'!F796&gt;0,"% ","")))</f>
        <v>NO</v>
      </c>
      <c r="K7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79" s="36" t="str">
        <f>CONCATENATE(K779, IF('Input Sheet'!I796="",""," siderite in "))</f>
        <v/>
      </c>
      <c r="M7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79" s="36" t="str">
        <f>CONCATENATE(M779, IF('Input Sheet'!J796="",""," siderite in "))</f>
        <v/>
      </c>
    </row>
    <row r="780" spans="1:14" x14ac:dyDescent="0.25">
      <c r="A780" s="51" t="str">
        <f>IF('Input Sheet'!C797="","",CONCATENATE("Sample ", 'Input Sheet'!B797, "m: ", L780, F780, "% ", "Siltstone, ", N780, 'Input Sheet'!C797, "% ", H780, " Sandstone, ", J780, I780, " FLUOR in SST. ", "TG ", 'Input Sheet'!H797, "U"))</f>
        <v/>
      </c>
      <c r="F780" s="36" t="str">
        <f>IF('Input Sheet'!C797="","",100-'Input Sheet'!C797)</f>
        <v/>
      </c>
      <c r="G7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0" s="36" t="str">
        <f t="shared" si="12"/>
        <v/>
      </c>
      <c r="I7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0" s="36" t="str">
        <f>IF('Input Sheet'!F797=0, "NO",CONCATENATE('Input Sheet'!F797, IF('Input Sheet'!F797&gt;0,"% ","")))</f>
        <v>NO</v>
      </c>
      <c r="K7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0" s="36" t="str">
        <f>CONCATENATE(K780, IF('Input Sheet'!I797="",""," siderite in "))</f>
        <v/>
      </c>
      <c r="M7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0" s="36" t="str">
        <f>CONCATENATE(M780, IF('Input Sheet'!J797="",""," siderite in "))</f>
        <v/>
      </c>
    </row>
    <row r="781" spans="1:14" x14ac:dyDescent="0.25">
      <c r="A781" s="51" t="str">
        <f>IF('Input Sheet'!C798="","",CONCATENATE("Sample ", 'Input Sheet'!B798, "m: ", L781, F781, "% ", "Siltstone, ", N781, 'Input Sheet'!C798, "% ", H781, " Sandstone, ", J781, I781, " FLUOR in SST. ", "TG ", 'Input Sheet'!H798, "U"))</f>
        <v/>
      </c>
      <c r="F781" s="36" t="str">
        <f>IF('Input Sheet'!C798="","",100-'Input Sheet'!C798)</f>
        <v/>
      </c>
      <c r="G7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1" s="36" t="str">
        <f t="shared" si="12"/>
        <v/>
      </c>
      <c r="I7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1" s="36" t="str">
        <f>IF('Input Sheet'!F798=0, "NO",CONCATENATE('Input Sheet'!F798, IF('Input Sheet'!F798&gt;0,"% ","")))</f>
        <v>NO</v>
      </c>
      <c r="K7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1" s="36" t="str">
        <f>CONCATENATE(K781, IF('Input Sheet'!I798="",""," siderite in "))</f>
        <v/>
      </c>
      <c r="M7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1" s="36" t="str">
        <f>CONCATENATE(M781, IF('Input Sheet'!J798="",""," siderite in "))</f>
        <v/>
      </c>
    </row>
    <row r="782" spans="1:14" x14ac:dyDescent="0.25">
      <c r="A782" s="51" t="str">
        <f>IF('Input Sheet'!C799="","",CONCATENATE("Sample ", 'Input Sheet'!B799, "m: ", L782, F782, "% ", "Siltstone, ", N782, 'Input Sheet'!C799, "% ", H782, " Sandstone, ", J782, I782, " FLUOR in SST. ", "TG ", 'Input Sheet'!H799, "U"))</f>
        <v/>
      </c>
      <c r="F782" s="36" t="str">
        <f>IF('Input Sheet'!C799="","",100-'Input Sheet'!C799)</f>
        <v/>
      </c>
      <c r="G7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799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2" s="36" t="str">
        <f t="shared" si="12"/>
        <v/>
      </c>
      <c r="I7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799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2" s="36" t="str">
        <f>IF('Input Sheet'!F799=0, "NO",CONCATENATE('Input Sheet'!F799, IF('Input Sheet'!F799&gt;0,"% ","")))</f>
        <v>NO</v>
      </c>
      <c r="K7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799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2" s="36" t="str">
        <f>CONCATENATE(K782, IF('Input Sheet'!I799="",""," siderite in "))</f>
        <v/>
      </c>
      <c r="M7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799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2" s="36" t="str">
        <f>CONCATENATE(M782, IF('Input Sheet'!J799="",""," siderite in "))</f>
        <v/>
      </c>
    </row>
    <row r="783" spans="1:14" x14ac:dyDescent="0.25">
      <c r="A783" s="51" t="str">
        <f>IF('Input Sheet'!C800="","",CONCATENATE("Sample ", 'Input Sheet'!B800, "m: ", L783, F783, "% ", "Siltstone, ", N783, 'Input Sheet'!C800, "% ", H783, " Sandstone, ", J783, I783, " FLUOR in SST. ", "TG ", 'Input Sheet'!H800, "U"))</f>
        <v/>
      </c>
      <c r="F783" s="36" t="str">
        <f>IF('Input Sheet'!C800="","",100-'Input Sheet'!C800)</f>
        <v/>
      </c>
      <c r="G7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3" s="36" t="str">
        <f t="shared" si="12"/>
        <v/>
      </c>
      <c r="I7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3" s="36" t="str">
        <f>IF('Input Sheet'!F800=0, "NO",CONCATENATE('Input Sheet'!F800, IF('Input Sheet'!F800&gt;0,"% ","")))</f>
        <v>NO</v>
      </c>
      <c r="K7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3" s="36" t="str">
        <f>CONCATENATE(K783, IF('Input Sheet'!I800="",""," siderite in "))</f>
        <v/>
      </c>
      <c r="M7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3" s="36" t="str">
        <f>CONCATENATE(M783, IF('Input Sheet'!J800="",""," siderite in "))</f>
        <v/>
      </c>
    </row>
    <row r="784" spans="1:14" x14ac:dyDescent="0.25">
      <c r="A784" s="51" t="str">
        <f>IF('Input Sheet'!C801="","",CONCATENATE("Sample ", 'Input Sheet'!B801, "m: ", L784, F784, "% ", "Siltstone, ", N784, 'Input Sheet'!C801, "% ", H784, " Sandstone, ", J784, I784, " FLUOR in SST. ", "TG ", 'Input Sheet'!H801, "U"))</f>
        <v/>
      </c>
      <c r="F784" s="36" t="str">
        <f>IF('Input Sheet'!C801="","",100-'Input Sheet'!C801)</f>
        <v/>
      </c>
      <c r="G7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4" s="36" t="str">
        <f t="shared" si="12"/>
        <v/>
      </c>
      <c r="I7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4" s="36" t="str">
        <f>IF('Input Sheet'!F801=0, "NO",CONCATENATE('Input Sheet'!F801, IF('Input Sheet'!F801&gt;0,"% ","")))</f>
        <v>NO</v>
      </c>
      <c r="K7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4" s="36" t="str">
        <f>CONCATENATE(K784, IF('Input Sheet'!I801="",""," siderite in "))</f>
        <v/>
      </c>
      <c r="M7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4" s="36" t="str">
        <f>CONCATENATE(M784, IF('Input Sheet'!J801="",""," siderite in "))</f>
        <v/>
      </c>
    </row>
    <row r="785" spans="1:14" x14ac:dyDescent="0.25">
      <c r="A785" s="51" t="str">
        <f>IF('Input Sheet'!C802="","",CONCATENATE("Sample ", 'Input Sheet'!B802, "m: ", L785, F785, "% ", "Siltstone, ", N785, 'Input Sheet'!C802, "% ", H785, " Sandstone, ", J785, I785, " FLUOR in SST. ", "TG ", 'Input Sheet'!H802, "U"))</f>
        <v/>
      </c>
      <c r="F785" s="36" t="str">
        <f>IF('Input Sheet'!C802="","",100-'Input Sheet'!C802)</f>
        <v/>
      </c>
      <c r="G7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5" s="36" t="str">
        <f t="shared" si="12"/>
        <v/>
      </c>
      <c r="I7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5" s="36" t="str">
        <f>IF('Input Sheet'!F802=0, "NO",CONCATENATE('Input Sheet'!F802, IF('Input Sheet'!F802&gt;0,"% ","")))</f>
        <v>NO</v>
      </c>
      <c r="K7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5" s="36" t="str">
        <f>CONCATENATE(K785, IF('Input Sheet'!I802="",""," siderite in "))</f>
        <v/>
      </c>
      <c r="M7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5" s="36" t="str">
        <f>CONCATENATE(M785, IF('Input Sheet'!J802="",""," siderite in "))</f>
        <v/>
      </c>
    </row>
    <row r="786" spans="1:14" x14ac:dyDescent="0.25">
      <c r="A786" s="51" t="str">
        <f>IF('Input Sheet'!C803="","",CONCATENATE("Sample ", 'Input Sheet'!B803, "m: ", L786, F786, "% ", "Siltstone, ", N786, 'Input Sheet'!C803, "% ", H786, " Sandstone, ", J786, I786, " FLUOR in SST. ", "TG ", 'Input Sheet'!H803, "U"))</f>
        <v/>
      </c>
      <c r="F786" s="36" t="str">
        <f>IF('Input Sheet'!C803="","",100-'Input Sheet'!C803)</f>
        <v/>
      </c>
      <c r="G7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6" s="36" t="str">
        <f t="shared" si="12"/>
        <v/>
      </c>
      <c r="I7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6" s="36" t="str">
        <f>IF('Input Sheet'!F803=0, "NO",CONCATENATE('Input Sheet'!F803, IF('Input Sheet'!F803&gt;0,"% ","")))</f>
        <v>NO</v>
      </c>
      <c r="K7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6" s="36" t="str">
        <f>CONCATENATE(K786, IF('Input Sheet'!I803="",""," siderite in "))</f>
        <v/>
      </c>
      <c r="M7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6" s="36" t="str">
        <f>CONCATENATE(M786, IF('Input Sheet'!J803="",""," siderite in "))</f>
        <v/>
      </c>
    </row>
    <row r="787" spans="1:14" x14ac:dyDescent="0.25">
      <c r="A787" s="51" t="str">
        <f>IF('Input Sheet'!C804="","",CONCATENATE("Sample ", 'Input Sheet'!B804, "m: ", L787, F787, "% ", "Siltstone, ", N787, 'Input Sheet'!C804, "% ", H787, " Sandstone, ", J787, I787, " FLUOR in SST. ", "TG ", 'Input Sheet'!H804, "U"))</f>
        <v/>
      </c>
      <c r="F787" s="36" t="str">
        <f>IF('Input Sheet'!C804="","",100-'Input Sheet'!C804)</f>
        <v/>
      </c>
      <c r="G7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7" s="36" t="str">
        <f t="shared" si="12"/>
        <v/>
      </c>
      <c r="I7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7" s="36" t="str">
        <f>IF('Input Sheet'!F804=0, "NO",CONCATENATE('Input Sheet'!F804, IF('Input Sheet'!F804&gt;0,"% ","")))</f>
        <v>NO</v>
      </c>
      <c r="K7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7" s="36" t="str">
        <f>CONCATENATE(K787, IF('Input Sheet'!I804="",""," siderite in "))</f>
        <v/>
      </c>
      <c r="M7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7" s="36" t="str">
        <f>CONCATENATE(M787, IF('Input Sheet'!J804="",""," siderite in "))</f>
        <v/>
      </c>
    </row>
    <row r="788" spans="1:14" x14ac:dyDescent="0.25">
      <c r="A788" s="51" t="str">
        <f>IF('Input Sheet'!C805="","",CONCATENATE("Sample ", 'Input Sheet'!B805, "m: ", L788, F788, "% ", "Siltstone, ", N788, 'Input Sheet'!C805, "% ", H788, " Sandstone, ", J788, I788, " FLUOR in SST. ", "TG ", 'Input Sheet'!H805, "U"))</f>
        <v/>
      </c>
      <c r="F788" s="36" t="str">
        <f>IF('Input Sheet'!C805="","",100-'Input Sheet'!C805)</f>
        <v/>
      </c>
      <c r="G7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8" s="36" t="str">
        <f t="shared" si="12"/>
        <v/>
      </c>
      <c r="I7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8" s="36" t="str">
        <f>IF('Input Sheet'!F805=0, "NO",CONCATENATE('Input Sheet'!F805, IF('Input Sheet'!F805&gt;0,"% ","")))</f>
        <v>NO</v>
      </c>
      <c r="K7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8" s="36" t="str">
        <f>CONCATENATE(K788, IF('Input Sheet'!I805="",""," siderite in "))</f>
        <v/>
      </c>
      <c r="M7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8" s="36" t="str">
        <f>CONCATENATE(M788, IF('Input Sheet'!J805="",""," siderite in "))</f>
        <v/>
      </c>
    </row>
    <row r="789" spans="1:14" x14ac:dyDescent="0.25">
      <c r="A789" s="51" t="str">
        <f>IF('Input Sheet'!C806="","",CONCATENATE("Sample ", 'Input Sheet'!B806, "m: ", L789, F789, "% ", "Siltstone, ", N789, 'Input Sheet'!C806, "% ", H789, " Sandstone, ", J789, I789, " FLUOR in SST. ", "TG ", 'Input Sheet'!H806, "U"))</f>
        <v/>
      </c>
      <c r="F789" s="36" t="str">
        <f>IF('Input Sheet'!C806="","",100-'Input Sheet'!C806)</f>
        <v/>
      </c>
      <c r="G7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89" s="36" t="str">
        <f t="shared" si="12"/>
        <v/>
      </c>
      <c r="I7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89" s="36" t="str">
        <f>IF('Input Sheet'!F806=0, "NO",CONCATENATE('Input Sheet'!F806, IF('Input Sheet'!F806&gt;0,"% ","")))</f>
        <v>NO</v>
      </c>
      <c r="K7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89" s="36" t="str">
        <f>CONCATENATE(K789, IF('Input Sheet'!I806="",""," siderite in "))</f>
        <v/>
      </c>
      <c r="M7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89" s="36" t="str">
        <f>CONCATENATE(M789, IF('Input Sheet'!J806="",""," siderite in "))</f>
        <v/>
      </c>
    </row>
    <row r="790" spans="1:14" x14ac:dyDescent="0.25">
      <c r="A790" s="51" t="str">
        <f>IF('Input Sheet'!C807="","",CONCATENATE("Sample ", 'Input Sheet'!B807, "m: ", L790, F790, "% ", "Siltstone, ", N790, 'Input Sheet'!C807, "% ", H790, " Sandstone, ", J790, I790, " FLUOR in SST. ", "TG ", 'Input Sheet'!H807, "U"))</f>
        <v/>
      </c>
      <c r="F790" s="36" t="str">
        <f>IF('Input Sheet'!C807="","",100-'Input Sheet'!C807)</f>
        <v/>
      </c>
      <c r="G7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0" s="36" t="str">
        <f t="shared" si="12"/>
        <v/>
      </c>
      <c r="I7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0" s="36" t="str">
        <f>IF('Input Sheet'!F807=0, "NO",CONCATENATE('Input Sheet'!F807, IF('Input Sheet'!F807&gt;0,"% ","")))</f>
        <v>NO</v>
      </c>
      <c r="K7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0" s="36" t="str">
        <f>CONCATENATE(K790, IF('Input Sheet'!I807="",""," siderite in "))</f>
        <v/>
      </c>
      <c r="M7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0" s="36" t="str">
        <f>CONCATENATE(M790, IF('Input Sheet'!J807="",""," siderite in "))</f>
        <v/>
      </c>
    </row>
    <row r="791" spans="1:14" x14ac:dyDescent="0.25">
      <c r="A791" s="51" t="str">
        <f>IF('Input Sheet'!C808="","",CONCATENATE("Sample ", 'Input Sheet'!B808, "m: ", L791, F791, "% ", "Siltstone, ", N791, 'Input Sheet'!C808, "% ", H791, " Sandstone, ", J791, I791, " FLUOR in SST. ", "TG ", 'Input Sheet'!H808, "U"))</f>
        <v/>
      </c>
      <c r="F791" s="36" t="str">
        <f>IF('Input Sheet'!C808="","",100-'Input Sheet'!C808)</f>
        <v/>
      </c>
      <c r="G7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1" s="36" t="str">
        <f t="shared" si="12"/>
        <v/>
      </c>
      <c r="I7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1" s="36" t="str">
        <f>IF('Input Sheet'!F808=0, "NO",CONCATENATE('Input Sheet'!F808, IF('Input Sheet'!F808&gt;0,"% ","")))</f>
        <v>NO</v>
      </c>
      <c r="K7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1" s="36" t="str">
        <f>CONCATENATE(K791, IF('Input Sheet'!I808="",""," siderite in "))</f>
        <v/>
      </c>
      <c r="M7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1" s="36" t="str">
        <f>CONCATENATE(M791, IF('Input Sheet'!J808="",""," siderite in "))</f>
        <v/>
      </c>
    </row>
    <row r="792" spans="1:14" x14ac:dyDescent="0.25">
      <c r="A792" s="51" t="str">
        <f>IF('Input Sheet'!C809="","",CONCATENATE("Sample ", 'Input Sheet'!B809, "m: ", L792, F792, "% ", "Siltstone, ", N792, 'Input Sheet'!C809, "% ", H792, " Sandstone, ", J792, I792, " FLUOR in SST. ", "TG ", 'Input Sheet'!H809, "U"))</f>
        <v/>
      </c>
      <c r="F792" s="36" t="str">
        <f>IF('Input Sheet'!C809="","",100-'Input Sheet'!C809)</f>
        <v/>
      </c>
      <c r="G7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2" s="36" t="str">
        <f t="shared" si="12"/>
        <v/>
      </c>
      <c r="I7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2" s="36" t="str">
        <f>IF('Input Sheet'!F809=0, "NO",CONCATENATE('Input Sheet'!F809, IF('Input Sheet'!F809&gt;0,"% ","")))</f>
        <v>NO</v>
      </c>
      <c r="K7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2" s="36" t="str">
        <f>CONCATENATE(K792, IF('Input Sheet'!I809="",""," siderite in "))</f>
        <v/>
      </c>
      <c r="M7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2" s="36" t="str">
        <f>CONCATENATE(M792, IF('Input Sheet'!J809="",""," siderite in "))</f>
        <v/>
      </c>
    </row>
    <row r="793" spans="1:14" x14ac:dyDescent="0.25">
      <c r="A793" s="51" t="str">
        <f>IF('Input Sheet'!C810="","",CONCATENATE("Sample ", 'Input Sheet'!B810, "m: ", L793, F793, "% ", "Siltstone, ", N793, 'Input Sheet'!C810, "% ", H793, " Sandstone, ", J793, I793, " FLUOR in SST. ", "TG ", 'Input Sheet'!H810, "U"))</f>
        <v/>
      </c>
      <c r="F793" s="36" t="str">
        <f>IF('Input Sheet'!C810="","",100-'Input Sheet'!C810)</f>
        <v/>
      </c>
      <c r="G7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3" s="36" t="str">
        <f t="shared" si="12"/>
        <v/>
      </c>
      <c r="I7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3" s="36" t="str">
        <f>IF('Input Sheet'!F810=0, "NO",CONCATENATE('Input Sheet'!F810, IF('Input Sheet'!F810&gt;0,"% ","")))</f>
        <v>NO</v>
      </c>
      <c r="K7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3" s="36" t="str">
        <f>CONCATENATE(K793, IF('Input Sheet'!I810="",""," siderite in "))</f>
        <v/>
      </c>
      <c r="M7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3" s="36" t="str">
        <f>CONCATENATE(M793, IF('Input Sheet'!J810="",""," siderite in "))</f>
        <v/>
      </c>
    </row>
    <row r="794" spans="1:14" x14ac:dyDescent="0.25">
      <c r="A794" s="51" t="str">
        <f>IF('Input Sheet'!C811="","",CONCATENATE("Sample ", 'Input Sheet'!B811, "m: ", L794, F794, "% ", "Siltstone, ", N794, 'Input Sheet'!C811, "% ", H794, " Sandstone, ", J794, I794, " FLUOR in SST. ", "TG ", 'Input Sheet'!H811, "U"))</f>
        <v/>
      </c>
      <c r="F794" s="36" t="str">
        <f>IF('Input Sheet'!C811="","",100-'Input Sheet'!C811)</f>
        <v/>
      </c>
      <c r="G7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4" s="36" t="str">
        <f t="shared" si="12"/>
        <v/>
      </c>
      <c r="I7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4" s="36" t="str">
        <f>IF('Input Sheet'!F811=0, "NO",CONCATENATE('Input Sheet'!F811, IF('Input Sheet'!F811&gt;0,"% ","")))</f>
        <v>NO</v>
      </c>
      <c r="K7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4" s="36" t="str">
        <f>CONCATENATE(K794, IF('Input Sheet'!I811="",""," siderite in "))</f>
        <v/>
      </c>
      <c r="M7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4" s="36" t="str">
        <f>CONCATENATE(M794, IF('Input Sheet'!J811="",""," siderite in "))</f>
        <v/>
      </c>
    </row>
    <row r="795" spans="1:14" x14ac:dyDescent="0.25">
      <c r="A795" s="51" t="str">
        <f>IF('Input Sheet'!C812="","",CONCATENATE("Sample ", 'Input Sheet'!B812, "m: ", L795, F795, "% ", "Siltstone, ", N795, 'Input Sheet'!C812, "% ", H795, " Sandstone, ", J795, I795, " FLUOR in SST. ", "TG ", 'Input Sheet'!H812, "U"))</f>
        <v/>
      </c>
      <c r="F795" s="36" t="str">
        <f>IF('Input Sheet'!C812="","",100-'Input Sheet'!C812)</f>
        <v/>
      </c>
      <c r="G7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5" s="36" t="str">
        <f t="shared" si="12"/>
        <v/>
      </c>
      <c r="I7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5" s="36" t="str">
        <f>IF('Input Sheet'!F812=0, "NO",CONCATENATE('Input Sheet'!F812, IF('Input Sheet'!F812&gt;0,"% ","")))</f>
        <v>NO</v>
      </c>
      <c r="K7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5" s="36" t="str">
        <f>CONCATENATE(K795, IF('Input Sheet'!I812="",""," siderite in "))</f>
        <v/>
      </c>
      <c r="M7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5" s="36" t="str">
        <f>CONCATENATE(M795, IF('Input Sheet'!J812="",""," siderite in "))</f>
        <v/>
      </c>
    </row>
    <row r="796" spans="1:14" x14ac:dyDescent="0.25">
      <c r="A796" s="51" t="str">
        <f>IF('Input Sheet'!C813="","",CONCATENATE("Sample ", 'Input Sheet'!B813, "m: ", L796, F796, "% ", "Siltstone, ", N796, 'Input Sheet'!C813, "% ", H796, " Sandstone, ", J796, I796, " FLUOR in SST. ", "TG ", 'Input Sheet'!H813, "U"))</f>
        <v/>
      </c>
      <c r="F796" s="36" t="str">
        <f>IF('Input Sheet'!C813="","",100-'Input Sheet'!C813)</f>
        <v/>
      </c>
      <c r="G7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6" s="36" t="str">
        <f t="shared" si="12"/>
        <v/>
      </c>
      <c r="I7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6" s="36" t="str">
        <f>IF('Input Sheet'!F813=0, "NO",CONCATENATE('Input Sheet'!F813, IF('Input Sheet'!F813&gt;0,"% ","")))</f>
        <v>NO</v>
      </c>
      <c r="K7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6" s="36" t="str">
        <f>CONCATENATE(K796, IF('Input Sheet'!I813="",""," siderite in "))</f>
        <v/>
      </c>
      <c r="M7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6" s="36" t="str">
        <f>CONCATENATE(M796, IF('Input Sheet'!J813="",""," siderite in "))</f>
        <v/>
      </c>
    </row>
    <row r="797" spans="1:14" x14ac:dyDescent="0.25">
      <c r="A797" s="51" t="str">
        <f>IF('Input Sheet'!C814="","",CONCATENATE("Sample ", 'Input Sheet'!B814, "m: ", L797, F797, "% ", "Siltstone, ", N797, 'Input Sheet'!C814, "% ", H797, " Sandstone, ", J797, I797, " FLUOR in SST. ", "TG ", 'Input Sheet'!H814, "U"))</f>
        <v/>
      </c>
      <c r="F797" s="36" t="str">
        <f>IF('Input Sheet'!C814="","",100-'Input Sheet'!C814)</f>
        <v/>
      </c>
      <c r="G7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7" s="36" t="str">
        <f t="shared" si="12"/>
        <v/>
      </c>
      <c r="I7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7" s="36" t="str">
        <f>IF('Input Sheet'!F814=0, "NO",CONCATENATE('Input Sheet'!F814, IF('Input Sheet'!F814&gt;0,"% ","")))</f>
        <v>NO</v>
      </c>
      <c r="K7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7" s="36" t="str">
        <f>CONCATENATE(K797, IF('Input Sheet'!I814="",""," siderite in "))</f>
        <v/>
      </c>
      <c r="M7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7" s="36" t="str">
        <f>CONCATENATE(M797, IF('Input Sheet'!J814="",""," siderite in "))</f>
        <v/>
      </c>
    </row>
    <row r="798" spans="1:14" x14ac:dyDescent="0.25">
      <c r="A798" s="51" t="str">
        <f>IF('Input Sheet'!C815="","",CONCATENATE("Sample ", 'Input Sheet'!B815, "m: ", L798, F798, "% ", "Siltstone, ", N798, 'Input Sheet'!C815, "% ", H798, " Sandstone, ", J798, I798, " FLUOR in SST. ", "TG ", 'Input Sheet'!H815, "U"))</f>
        <v/>
      </c>
      <c r="F798" s="36" t="str">
        <f>IF('Input Sheet'!C815="","",100-'Input Sheet'!C815)</f>
        <v/>
      </c>
      <c r="G7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8" s="36" t="str">
        <f t="shared" si="12"/>
        <v/>
      </c>
      <c r="I7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8" s="36" t="str">
        <f>IF('Input Sheet'!F815=0, "NO",CONCATENATE('Input Sheet'!F815, IF('Input Sheet'!F815&gt;0,"% ","")))</f>
        <v>NO</v>
      </c>
      <c r="K7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8" s="36" t="str">
        <f>CONCATENATE(K798, IF('Input Sheet'!I815="",""," siderite in "))</f>
        <v/>
      </c>
      <c r="M7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8" s="36" t="str">
        <f>CONCATENATE(M798, IF('Input Sheet'!J815="",""," siderite in "))</f>
        <v/>
      </c>
    </row>
    <row r="799" spans="1:14" x14ac:dyDescent="0.25">
      <c r="A799" s="51" t="str">
        <f>IF('Input Sheet'!C816="","",CONCATENATE("Sample ", 'Input Sheet'!B816, "m: ", L799, F799, "% ", "Siltstone, ", N799, 'Input Sheet'!C816, "% ", H799, " Sandstone, ", J799, I799, " FLUOR in SST. ", "TG ", 'Input Sheet'!H816, "U"))</f>
        <v/>
      </c>
      <c r="F799" s="36" t="str">
        <f>IF('Input Sheet'!C816="","",100-'Input Sheet'!C816)</f>
        <v/>
      </c>
      <c r="G7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799" s="36" t="str">
        <f t="shared" si="12"/>
        <v/>
      </c>
      <c r="I7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799" s="36" t="str">
        <f>IF('Input Sheet'!F816=0, "NO",CONCATENATE('Input Sheet'!F816, IF('Input Sheet'!F816&gt;0,"% ","")))</f>
        <v>NO</v>
      </c>
      <c r="K7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799" s="36" t="str">
        <f>CONCATENATE(K799, IF('Input Sheet'!I816="",""," siderite in "))</f>
        <v/>
      </c>
      <c r="M7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799" s="36" t="str">
        <f>CONCATENATE(M799, IF('Input Sheet'!J816="",""," siderite in "))</f>
        <v/>
      </c>
    </row>
    <row r="800" spans="1:14" x14ac:dyDescent="0.25">
      <c r="A800" s="51" t="str">
        <f>IF('Input Sheet'!C817="","",CONCATENATE("Sample ", 'Input Sheet'!B817, "m: ", L800, F800, "% ", "Siltstone, ", N800, 'Input Sheet'!C817, "% ", H800, " Sandstone, ", J800, I800, " FLUOR in SST. ", "TG ", 'Input Sheet'!H817, "U"))</f>
        <v/>
      </c>
      <c r="F800" s="36" t="str">
        <f>IF('Input Sheet'!C817="","",100-'Input Sheet'!C817)</f>
        <v/>
      </c>
      <c r="G8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0" s="36" t="str">
        <f t="shared" si="12"/>
        <v/>
      </c>
      <c r="I8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0" s="36" t="str">
        <f>IF('Input Sheet'!F817=0, "NO",CONCATENATE('Input Sheet'!F817, IF('Input Sheet'!F817&gt;0,"% ","")))</f>
        <v>NO</v>
      </c>
      <c r="K8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0" s="36" t="str">
        <f>CONCATENATE(K800, IF('Input Sheet'!I817="",""," siderite in "))</f>
        <v/>
      </c>
      <c r="M8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0" s="36" t="str">
        <f>CONCATENATE(M800, IF('Input Sheet'!J817="",""," siderite in "))</f>
        <v/>
      </c>
    </row>
    <row r="801" spans="1:14" x14ac:dyDescent="0.25">
      <c r="A801" s="51" t="str">
        <f>IF('Input Sheet'!C818="","",CONCATENATE("Sample ", 'Input Sheet'!B818, "m: ", L801, F801, "% ", "Siltstone, ", N801, 'Input Sheet'!C818, "% ", H801, " Sandstone, ", J801, I801, " FLUOR in SST. ", "TG ", 'Input Sheet'!H818, "U"))</f>
        <v/>
      </c>
      <c r="F801" s="36" t="str">
        <f>IF('Input Sheet'!C818="","",100-'Input Sheet'!C818)</f>
        <v/>
      </c>
      <c r="G8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1" s="36" t="str">
        <f t="shared" si="12"/>
        <v/>
      </c>
      <c r="I8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1" s="36" t="str">
        <f>IF('Input Sheet'!F818=0, "NO",CONCATENATE('Input Sheet'!F818, IF('Input Sheet'!F818&gt;0,"% ","")))</f>
        <v>NO</v>
      </c>
      <c r="K8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1" s="36" t="str">
        <f>CONCATENATE(K801, IF('Input Sheet'!I818="",""," siderite in "))</f>
        <v/>
      </c>
      <c r="M8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1" s="36" t="str">
        <f>CONCATENATE(M801, IF('Input Sheet'!J818="",""," siderite in "))</f>
        <v/>
      </c>
    </row>
    <row r="802" spans="1:14" x14ac:dyDescent="0.25">
      <c r="A802" s="51" t="str">
        <f>IF('Input Sheet'!C819="","",CONCATENATE("Sample ", 'Input Sheet'!B819, "m: ", L802, F802, "% ", "Siltstone, ", N802, 'Input Sheet'!C819, "% ", H802, " Sandstone, ", J802, I802, " FLUOR in SST. ", "TG ", 'Input Sheet'!H819, "U"))</f>
        <v/>
      </c>
      <c r="F802" s="36" t="str">
        <f>IF('Input Sheet'!C819="","",100-'Input Sheet'!C819)</f>
        <v/>
      </c>
      <c r="G8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2" s="36" t="str">
        <f t="shared" si="12"/>
        <v/>
      </c>
      <c r="I8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2" s="36" t="str">
        <f>IF('Input Sheet'!F819=0, "NO",CONCATENATE('Input Sheet'!F819, IF('Input Sheet'!F819&gt;0,"% ","")))</f>
        <v>NO</v>
      </c>
      <c r="K8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2" s="36" t="str">
        <f>CONCATENATE(K802, IF('Input Sheet'!I819="",""," siderite in "))</f>
        <v/>
      </c>
      <c r="M8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2" s="36" t="str">
        <f>CONCATENATE(M802, IF('Input Sheet'!J819="",""," siderite in "))</f>
        <v/>
      </c>
    </row>
    <row r="803" spans="1:14" x14ac:dyDescent="0.25">
      <c r="A803" s="51" t="str">
        <f>IF('Input Sheet'!C820="","",CONCATENATE("Sample ", 'Input Sheet'!B820, "m: ", L803, F803, "% ", "Siltstone, ", N803, 'Input Sheet'!C820, "% ", H803, " Sandstone, ", J803, I803, " FLUOR in SST. ", "TG ", 'Input Sheet'!H820, "U"))</f>
        <v/>
      </c>
      <c r="F803" s="36" t="str">
        <f>IF('Input Sheet'!C820="","",100-'Input Sheet'!C820)</f>
        <v/>
      </c>
      <c r="G8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3" s="36" t="str">
        <f t="shared" si="12"/>
        <v/>
      </c>
      <c r="I8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3" s="36" t="str">
        <f>IF('Input Sheet'!F820=0, "NO",CONCATENATE('Input Sheet'!F820, IF('Input Sheet'!F820&gt;0,"% ","")))</f>
        <v>NO</v>
      </c>
      <c r="K8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3" s="36" t="str">
        <f>CONCATENATE(K803, IF('Input Sheet'!I820="",""," siderite in "))</f>
        <v/>
      </c>
      <c r="M8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3" s="36" t="str">
        <f>CONCATENATE(M803, IF('Input Sheet'!J820="",""," siderite in "))</f>
        <v/>
      </c>
    </row>
    <row r="804" spans="1:14" x14ac:dyDescent="0.25">
      <c r="A804" s="51" t="str">
        <f>IF('Input Sheet'!C821="","",CONCATENATE("Sample ", 'Input Sheet'!B821, "m: ", L804, F804, "% ", "Siltstone, ", N804, 'Input Sheet'!C821, "% ", H804, " Sandstone, ", J804, I804, " FLUOR in SST. ", "TG ", 'Input Sheet'!H821, "U"))</f>
        <v/>
      </c>
      <c r="F804" s="36" t="str">
        <f>IF('Input Sheet'!C821="","",100-'Input Sheet'!C821)</f>
        <v/>
      </c>
      <c r="G8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4" s="36" t="str">
        <f t="shared" si="12"/>
        <v/>
      </c>
      <c r="I8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4" s="36" t="str">
        <f>IF('Input Sheet'!F821=0, "NO",CONCATENATE('Input Sheet'!F821, IF('Input Sheet'!F821&gt;0,"% ","")))</f>
        <v>NO</v>
      </c>
      <c r="K8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4" s="36" t="str">
        <f>CONCATENATE(K804, IF('Input Sheet'!I821="",""," siderite in "))</f>
        <v/>
      </c>
      <c r="M8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4" s="36" t="str">
        <f>CONCATENATE(M804, IF('Input Sheet'!J821="",""," siderite in "))</f>
        <v/>
      </c>
    </row>
    <row r="805" spans="1:14" x14ac:dyDescent="0.25">
      <c r="A805" s="51" t="str">
        <f>IF('Input Sheet'!C822="","",CONCATENATE("Sample ", 'Input Sheet'!B822, "m: ", L805, F805, "% ", "Siltstone, ", N805, 'Input Sheet'!C822, "% ", H805, " Sandstone, ", J805, I805, " FLUOR in SST. ", "TG ", 'Input Sheet'!H822, "U"))</f>
        <v/>
      </c>
      <c r="F805" s="36" t="str">
        <f>IF('Input Sheet'!C822="","",100-'Input Sheet'!C822)</f>
        <v/>
      </c>
      <c r="G8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5" s="36" t="str">
        <f t="shared" si="12"/>
        <v/>
      </c>
      <c r="I8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5" s="36" t="str">
        <f>IF('Input Sheet'!F822=0, "NO",CONCATENATE('Input Sheet'!F822, IF('Input Sheet'!F822&gt;0,"% ","")))</f>
        <v>NO</v>
      </c>
      <c r="K8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5" s="36" t="str">
        <f>CONCATENATE(K805, IF('Input Sheet'!I822="",""," siderite in "))</f>
        <v/>
      </c>
      <c r="M8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5" s="36" t="str">
        <f>CONCATENATE(M805, IF('Input Sheet'!J822="",""," siderite in "))</f>
        <v/>
      </c>
    </row>
    <row r="806" spans="1:14" x14ac:dyDescent="0.25">
      <c r="A806" s="51" t="str">
        <f>IF('Input Sheet'!C823="","",CONCATENATE("Sample ", 'Input Sheet'!B823, "m: ", L806, F806, "% ", "Siltstone, ", N806, 'Input Sheet'!C823, "% ", H806, " Sandstone, ", J806, I806, " FLUOR in SST. ", "TG ", 'Input Sheet'!H823, "U"))</f>
        <v/>
      </c>
      <c r="F806" s="36" t="str">
        <f>IF('Input Sheet'!C823="","",100-'Input Sheet'!C823)</f>
        <v/>
      </c>
      <c r="G8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6" s="36" t="str">
        <f t="shared" si="12"/>
        <v/>
      </c>
      <c r="I8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6" s="36" t="str">
        <f>IF('Input Sheet'!F823=0, "NO",CONCATENATE('Input Sheet'!F823, IF('Input Sheet'!F823&gt;0,"% ","")))</f>
        <v>NO</v>
      </c>
      <c r="K8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6" s="36" t="str">
        <f>CONCATENATE(K806, IF('Input Sheet'!I823="",""," siderite in "))</f>
        <v/>
      </c>
      <c r="M8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6" s="36" t="str">
        <f>CONCATENATE(M806, IF('Input Sheet'!J823="",""," siderite in "))</f>
        <v/>
      </c>
    </row>
    <row r="807" spans="1:14" x14ac:dyDescent="0.25">
      <c r="A807" s="51" t="str">
        <f>IF('Input Sheet'!C824="","",CONCATENATE("Sample ", 'Input Sheet'!B824, "m: ", L807, F807, "% ", "Siltstone, ", N807, 'Input Sheet'!C824, "% ", H807, " Sandstone, ", J807, I807, " FLUOR in SST. ", "TG ", 'Input Sheet'!H824, "U"))</f>
        <v/>
      </c>
      <c r="F807" s="36" t="str">
        <f>IF('Input Sheet'!C824="","",100-'Input Sheet'!C824)</f>
        <v/>
      </c>
      <c r="G8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7" s="36" t="str">
        <f t="shared" si="12"/>
        <v/>
      </c>
      <c r="I8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7" s="36" t="str">
        <f>IF('Input Sheet'!F824=0, "NO",CONCATENATE('Input Sheet'!F824, IF('Input Sheet'!F824&gt;0,"% ","")))</f>
        <v>NO</v>
      </c>
      <c r="K8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7" s="36" t="str">
        <f>CONCATENATE(K807, IF('Input Sheet'!I824="",""," siderite in "))</f>
        <v/>
      </c>
      <c r="M8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7" s="36" t="str">
        <f>CONCATENATE(M807, IF('Input Sheet'!J824="",""," siderite in "))</f>
        <v/>
      </c>
    </row>
    <row r="808" spans="1:14" x14ac:dyDescent="0.25">
      <c r="A808" s="51" t="str">
        <f>IF('Input Sheet'!C825="","",CONCATENATE("Sample ", 'Input Sheet'!B825, "m: ", L808, F808, "% ", "Siltstone, ", N808, 'Input Sheet'!C825, "% ", H808, " Sandstone, ", J808, I808, " FLUOR in SST. ", "TG ", 'Input Sheet'!H825, "U"))</f>
        <v/>
      </c>
      <c r="F808" s="36" t="str">
        <f>IF('Input Sheet'!C825="","",100-'Input Sheet'!C825)</f>
        <v/>
      </c>
      <c r="G8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8" s="36" t="str">
        <f t="shared" si="12"/>
        <v/>
      </c>
      <c r="I8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8" s="36" t="str">
        <f>IF('Input Sheet'!F825=0, "NO",CONCATENATE('Input Sheet'!F825, IF('Input Sheet'!F825&gt;0,"% ","")))</f>
        <v>NO</v>
      </c>
      <c r="K8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8" s="36" t="str">
        <f>CONCATENATE(K808, IF('Input Sheet'!I825="",""," siderite in "))</f>
        <v/>
      </c>
      <c r="M8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8" s="36" t="str">
        <f>CONCATENATE(M808, IF('Input Sheet'!J825="",""," siderite in "))</f>
        <v/>
      </c>
    </row>
    <row r="809" spans="1:14" x14ac:dyDescent="0.25">
      <c r="A809" s="51" t="str">
        <f>IF('Input Sheet'!C826="","",CONCATENATE("Sample ", 'Input Sheet'!B826, "m: ", L809, F809, "% ", "Siltstone, ", N809, 'Input Sheet'!C826, "% ", H809, " Sandstone, ", J809, I809, " FLUOR in SST. ", "TG ", 'Input Sheet'!H826, "U"))</f>
        <v/>
      </c>
      <c r="F809" s="36" t="str">
        <f>IF('Input Sheet'!C826="","",100-'Input Sheet'!C826)</f>
        <v/>
      </c>
      <c r="G8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09" s="36" t="str">
        <f t="shared" si="12"/>
        <v/>
      </c>
      <c r="I8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09" s="36" t="str">
        <f>IF('Input Sheet'!F826=0, "NO",CONCATENATE('Input Sheet'!F826, IF('Input Sheet'!F826&gt;0,"% ","")))</f>
        <v>NO</v>
      </c>
      <c r="K8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09" s="36" t="str">
        <f>CONCATENATE(K809, IF('Input Sheet'!I826="",""," siderite in "))</f>
        <v/>
      </c>
      <c r="M8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09" s="36" t="str">
        <f>CONCATENATE(M809, IF('Input Sheet'!J826="",""," siderite in "))</f>
        <v/>
      </c>
    </row>
    <row r="810" spans="1:14" x14ac:dyDescent="0.25">
      <c r="A810" s="51" t="str">
        <f>IF('Input Sheet'!C827="","",CONCATENATE("Sample ", 'Input Sheet'!B827, "m: ", L810, F810, "% ", "Siltstone, ", N810, 'Input Sheet'!C827, "% ", H810, " Sandstone, ", J810, I810, " FLUOR in SST. ", "TG ", 'Input Sheet'!H827, "U"))</f>
        <v/>
      </c>
      <c r="F810" s="36" t="str">
        <f>IF('Input Sheet'!C827="","",100-'Input Sheet'!C827)</f>
        <v/>
      </c>
      <c r="G8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0" s="36" t="str">
        <f t="shared" si="12"/>
        <v/>
      </c>
      <c r="I8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0" s="36" t="str">
        <f>IF('Input Sheet'!F827=0, "NO",CONCATENATE('Input Sheet'!F827, IF('Input Sheet'!F827&gt;0,"% ","")))</f>
        <v>NO</v>
      </c>
      <c r="K8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0" s="36" t="str">
        <f>CONCATENATE(K810, IF('Input Sheet'!I827="",""," siderite in "))</f>
        <v/>
      </c>
      <c r="M8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0" s="36" t="str">
        <f>CONCATENATE(M810, IF('Input Sheet'!J827="",""," siderite in "))</f>
        <v/>
      </c>
    </row>
    <row r="811" spans="1:14" x14ac:dyDescent="0.25">
      <c r="A811" s="51" t="str">
        <f>IF('Input Sheet'!C828="","",CONCATENATE("Sample ", 'Input Sheet'!B828, "m: ", L811, F811, "% ", "Siltstone, ", N811, 'Input Sheet'!C828, "% ", H811, " Sandstone, ", J811, I811, " FLUOR in SST. ", "TG ", 'Input Sheet'!H828, "U"))</f>
        <v/>
      </c>
      <c r="F811" s="36" t="str">
        <f>IF('Input Sheet'!C828="","",100-'Input Sheet'!C828)</f>
        <v/>
      </c>
      <c r="G8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1" s="36" t="str">
        <f t="shared" si="12"/>
        <v/>
      </c>
      <c r="I8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1" s="36" t="str">
        <f>IF('Input Sheet'!F828=0, "NO",CONCATENATE('Input Sheet'!F828, IF('Input Sheet'!F828&gt;0,"% ","")))</f>
        <v>NO</v>
      </c>
      <c r="K8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1" s="36" t="str">
        <f>CONCATENATE(K811, IF('Input Sheet'!I828="",""," siderite in "))</f>
        <v/>
      </c>
      <c r="M8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1" s="36" t="str">
        <f>CONCATENATE(M811, IF('Input Sheet'!J828="",""," siderite in "))</f>
        <v/>
      </c>
    </row>
    <row r="812" spans="1:14" x14ac:dyDescent="0.25">
      <c r="A812" s="51" t="str">
        <f>IF('Input Sheet'!C829="","",CONCATENATE("Sample ", 'Input Sheet'!B829, "m: ", L812, F812, "% ", "Siltstone, ", N812, 'Input Sheet'!C829, "% ", H812, " Sandstone, ", J812, I812, " FLUOR in SST. ", "TG ", 'Input Sheet'!H829, "U"))</f>
        <v/>
      </c>
      <c r="F812" s="36" t="str">
        <f>IF('Input Sheet'!C829="","",100-'Input Sheet'!C829)</f>
        <v/>
      </c>
      <c r="G8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2" s="36" t="str">
        <f t="shared" si="12"/>
        <v/>
      </c>
      <c r="I8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2" s="36" t="str">
        <f>IF('Input Sheet'!F829=0, "NO",CONCATENATE('Input Sheet'!F829, IF('Input Sheet'!F829&gt;0,"% ","")))</f>
        <v>NO</v>
      </c>
      <c r="K8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2" s="36" t="str">
        <f>CONCATENATE(K812, IF('Input Sheet'!I829="",""," siderite in "))</f>
        <v/>
      </c>
      <c r="M8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2" s="36" t="str">
        <f>CONCATENATE(M812, IF('Input Sheet'!J829="",""," siderite in "))</f>
        <v/>
      </c>
    </row>
    <row r="813" spans="1:14" x14ac:dyDescent="0.25">
      <c r="A813" s="51" t="str">
        <f>IF('Input Sheet'!C830="","",CONCATENATE("Sample ", 'Input Sheet'!B830, "m: ", L813, F813, "% ", "Siltstone, ", N813, 'Input Sheet'!C830, "% ", H813, " Sandstone, ", J813, I813, " FLUOR in SST. ", "TG ", 'Input Sheet'!H830, "U"))</f>
        <v/>
      </c>
      <c r="F813" s="36" t="str">
        <f>IF('Input Sheet'!C830="","",100-'Input Sheet'!C830)</f>
        <v/>
      </c>
      <c r="G8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3" s="36" t="str">
        <f t="shared" si="12"/>
        <v/>
      </c>
      <c r="I8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3" s="36" t="str">
        <f>IF('Input Sheet'!F830=0, "NO",CONCATENATE('Input Sheet'!F830, IF('Input Sheet'!F830&gt;0,"% ","")))</f>
        <v>NO</v>
      </c>
      <c r="K8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3" s="36" t="str">
        <f>CONCATENATE(K813, IF('Input Sheet'!I830="",""," siderite in "))</f>
        <v/>
      </c>
      <c r="M8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3" s="36" t="str">
        <f>CONCATENATE(M813, IF('Input Sheet'!J830="",""," siderite in "))</f>
        <v/>
      </c>
    </row>
    <row r="814" spans="1:14" x14ac:dyDescent="0.25">
      <c r="A814" s="51" t="str">
        <f>IF('Input Sheet'!C831="","",CONCATENATE("Sample ", 'Input Sheet'!B831, "m: ", L814, F814, "% ", "Siltstone, ", N814, 'Input Sheet'!C831, "% ", H814, " Sandstone, ", J814, I814, " FLUOR in SST. ", "TG ", 'Input Sheet'!H831, "U"))</f>
        <v/>
      </c>
      <c r="F814" s="36" t="str">
        <f>IF('Input Sheet'!C831="","",100-'Input Sheet'!C831)</f>
        <v/>
      </c>
      <c r="G8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4" s="36" t="str">
        <f t="shared" si="12"/>
        <v/>
      </c>
      <c r="I8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4" s="36" t="str">
        <f>IF('Input Sheet'!F831=0, "NO",CONCATENATE('Input Sheet'!F831, IF('Input Sheet'!F831&gt;0,"% ","")))</f>
        <v>NO</v>
      </c>
      <c r="K8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4" s="36" t="str">
        <f>CONCATENATE(K814, IF('Input Sheet'!I831="",""," siderite in "))</f>
        <v/>
      </c>
      <c r="M8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4" s="36" t="str">
        <f>CONCATENATE(M814, IF('Input Sheet'!J831="",""," siderite in "))</f>
        <v/>
      </c>
    </row>
    <row r="815" spans="1:14" x14ac:dyDescent="0.25">
      <c r="A815" s="51" t="str">
        <f>IF('Input Sheet'!C832="","",CONCATENATE("Sample ", 'Input Sheet'!B832, "m: ", L815, F815, "% ", "Siltstone, ", N815, 'Input Sheet'!C832, "% ", H815, " Sandstone, ", J815, I815, " FLUOR in SST. ", "TG ", 'Input Sheet'!H832, "U"))</f>
        <v/>
      </c>
      <c r="F815" s="36" t="str">
        <f>IF('Input Sheet'!C832="","",100-'Input Sheet'!C832)</f>
        <v/>
      </c>
      <c r="G8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5" s="36" t="str">
        <f t="shared" si="12"/>
        <v/>
      </c>
      <c r="I8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5" s="36" t="str">
        <f>IF('Input Sheet'!F832=0, "NO",CONCATENATE('Input Sheet'!F832, IF('Input Sheet'!F832&gt;0,"% ","")))</f>
        <v>NO</v>
      </c>
      <c r="K8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5" s="36" t="str">
        <f>CONCATENATE(K815, IF('Input Sheet'!I832="",""," siderite in "))</f>
        <v/>
      </c>
      <c r="M8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5" s="36" t="str">
        <f>CONCATENATE(M815, IF('Input Sheet'!J832="",""," siderite in "))</f>
        <v/>
      </c>
    </row>
    <row r="816" spans="1:14" x14ac:dyDescent="0.25">
      <c r="A816" s="51" t="str">
        <f>IF('Input Sheet'!C833="","",CONCATENATE("Sample ", 'Input Sheet'!B833, "m: ", L816, F816, "% ", "Siltstone, ", N816, 'Input Sheet'!C833, "% ", H816, " Sandstone, ", J816, I816, " FLUOR in SST. ", "TG ", 'Input Sheet'!H833, "U"))</f>
        <v/>
      </c>
      <c r="F816" s="36" t="str">
        <f>IF('Input Sheet'!C833="","",100-'Input Sheet'!C833)</f>
        <v/>
      </c>
      <c r="G8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6" s="36" t="str">
        <f t="shared" si="12"/>
        <v/>
      </c>
      <c r="I8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6" s="36" t="str">
        <f>IF('Input Sheet'!F833=0, "NO",CONCATENATE('Input Sheet'!F833, IF('Input Sheet'!F833&gt;0,"% ","")))</f>
        <v>NO</v>
      </c>
      <c r="K8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6" s="36" t="str">
        <f>CONCATENATE(K816, IF('Input Sheet'!I833="",""," siderite in "))</f>
        <v/>
      </c>
      <c r="M8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6" s="36" t="str">
        <f>CONCATENATE(M816, IF('Input Sheet'!J833="",""," siderite in "))</f>
        <v/>
      </c>
    </row>
    <row r="817" spans="1:14" x14ac:dyDescent="0.25">
      <c r="A817" s="51" t="str">
        <f>IF('Input Sheet'!C834="","",CONCATENATE("Sample ", 'Input Sheet'!B834, "m: ", L817, F817, "% ", "Siltstone, ", N817, 'Input Sheet'!C834, "% ", H817, " Sandstone, ", J817, I817, " FLUOR in SST. ", "TG ", 'Input Sheet'!H834, "U"))</f>
        <v/>
      </c>
      <c r="F817" s="36" t="str">
        <f>IF('Input Sheet'!C834="","",100-'Input Sheet'!C834)</f>
        <v/>
      </c>
      <c r="G8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7" s="36" t="str">
        <f t="shared" si="12"/>
        <v/>
      </c>
      <c r="I8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7" s="36" t="str">
        <f>IF('Input Sheet'!F834=0, "NO",CONCATENATE('Input Sheet'!F834, IF('Input Sheet'!F834&gt;0,"% ","")))</f>
        <v>NO</v>
      </c>
      <c r="K8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7" s="36" t="str">
        <f>CONCATENATE(K817, IF('Input Sheet'!I834="",""," siderite in "))</f>
        <v/>
      </c>
      <c r="M8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7" s="36" t="str">
        <f>CONCATENATE(M817, IF('Input Sheet'!J834="",""," siderite in "))</f>
        <v/>
      </c>
    </row>
    <row r="818" spans="1:14" x14ac:dyDescent="0.25">
      <c r="A818" s="51" t="str">
        <f>IF('Input Sheet'!C835="","",CONCATENATE("Sample ", 'Input Sheet'!B835, "m: ", L818, F818, "% ", "Siltstone, ", N818, 'Input Sheet'!C835, "% ", H818, " Sandstone, ", J818, I818, " FLUOR in SST. ", "TG ", 'Input Sheet'!H835, "U"))</f>
        <v/>
      </c>
      <c r="F818" s="36" t="str">
        <f>IF('Input Sheet'!C835="","",100-'Input Sheet'!C835)</f>
        <v/>
      </c>
      <c r="G8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8" s="36" t="str">
        <f t="shared" si="12"/>
        <v/>
      </c>
      <c r="I8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8" s="36" t="str">
        <f>IF('Input Sheet'!F835=0, "NO",CONCATENATE('Input Sheet'!F835, IF('Input Sheet'!F835&gt;0,"% ","")))</f>
        <v>NO</v>
      </c>
      <c r="K8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8" s="36" t="str">
        <f>CONCATENATE(K818, IF('Input Sheet'!I835="",""," siderite in "))</f>
        <v/>
      </c>
      <c r="M8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8" s="36" t="str">
        <f>CONCATENATE(M818, IF('Input Sheet'!J835="",""," siderite in "))</f>
        <v/>
      </c>
    </row>
    <row r="819" spans="1:14" x14ac:dyDescent="0.25">
      <c r="A819" s="51" t="str">
        <f>IF('Input Sheet'!C836="","",CONCATENATE("Sample ", 'Input Sheet'!B836, "m: ", L819, F819, "% ", "Siltstone, ", N819, 'Input Sheet'!C836, "% ", H819, " Sandstone, ", J819, I819, " FLUOR in SST. ", "TG ", 'Input Sheet'!H836, "U"))</f>
        <v/>
      </c>
      <c r="F819" s="36" t="str">
        <f>IF('Input Sheet'!C836="","",100-'Input Sheet'!C836)</f>
        <v/>
      </c>
      <c r="G8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19" s="36" t="str">
        <f t="shared" si="12"/>
        <v/>
      </c>
      <c r="I8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19" s="36" t="str">
        <f>IF('Input Sheet'!F836=0, "NO",CONCATENATE('Input Sheet'!F836, IF('Input Sheet'!F836&gt;0,"% ","")))</f>
        <v>NO</v>
      </c>
      <c r="K8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19" s="36" t="str">
        <f>CONCATENATE(K819, IF('Input Sheet'!I836="",""," siderite in "))</f>
        <v/>
      </c>
      <c r="M8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19" s="36" t="str">
        <f>CONCATENATE(M819, IF('Input Sheet'!J836="",""," siderite in "))</f>
        <v/>
      </c>
    </row>
    <row r="820" spans="1:14" x14ac:dyDescent="0.25">
      <c r="A820" s="51" t="str">
        <f>IF('Input Sheet'!C837="","",CONCATENATE("Sample ", 'Input Sheet'!B837, "m: ", L820, F820, "% ", "Siltstone, ", N820, 'Input Sheet'!C837, "% ", H820, " Sandstone, ", J820, I820, " FLUOR in SST. ", "TG ", 'Input Sheet'!H837, "U"))</f>
        <v/>
      </c>
      <c r="F820" s="36" t="str">
        <f>IF('Input Sheet'!C837="","",100-'Input Sheet'!C837)</f>
        <v/>
      </c>
      <c r="G8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0" s="36" t="str">
        <f t="shared" si="12"/>
        <v/>
      </c>
      <c r="I8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0" s="36" t="str">
        <f>IF('Input Sheet'!F837=0, "NO",CONCATENATE('Input Sheet'!F837, IF('Input Sheet'!F837&gt;0,"% ","")))</f>
        <v>NO</v>
      </c>
      <c r="K8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0" s="36" t="str">
        <f>CONCATENATE(K820, IF('Input Sheet'!I837="",""," siderite in "))</f>
        <v/>
      </c>
      <c r="M8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0" s="36" t="str">
        <f>CONCATENATE(M820, IF('Input Sheet'!J837="",""," siderite in "))</f>
        <v/>
      </c>
    </row>
    <row r="821" spans="1:14" x14ac:dyDescent="0.25">
      <c r="A821" s="51" t="str">
        <f>IF('Input Sheet'!C838="","",CONCATENATE("Sample ", 'Input Sheet'!B838, "m: ", L821, F821, "% ", "Siltstone, ", N821, 'Input Sheet'!C838, "% ", H821, " Sandstone, ", J821, I821, " FLUOR in SST. ", "TG ", 'Input Sheet'!H838, "U"))</f>
        <v/>
      </c>
      <c r="F821" s="36" t="str">
        <f>IF('Input Sheet'!C838="","",100-'Input Sheet'!C838)</f>
        <v/>
      </c>
      <c r="G8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1" s="36" t="str">
        <f t="shared" si="12"/>
        <v/>
      </c>
      <c r="I8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1" s="36" t="str">
        <f>IF('Input Sheet'!F838=0, "NO",CONCATENATE('Input Sheet'!F838, IF('Input Sheet'!F838&gt;0,"% ","")))</f>
        <v>NO</v>
      </c>
      <c r="K8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1" s="36" t="str">
        <f>CONCATENATE(K821, IF('Input Sheet'!I838="",""," siderite in "))</f>
        <v/>
      </c>
      <c r="M8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1" s="36" t="str">
        <f>CONCATENATE(M821, IF('Input Sheet'!J838="",""," siderite in "))</f>
        <v/>
      </c>
    </row>
    <row r="822" spans="1:14" x14ac:dyDescent="0.25">
      <c r="A822" s="51" t="str">
        <f>IF('Input Sheet'!C839="","",CONCATENATE("Sample ", 'Input Sheet'!B839, "m: ", L822, F822, "% ", "Siltstone, ", N822, 'Input Sheet'!C839, "% ", H822, " Sandstone, ", J822, I822, " FLUOR in SST. ", "TG ", 'Input Sheet'!H839, "U"))</f>
        <v/>
      </c>
      <c r="F822" s="36" t="str">
        <f>IF('Input Sheet'!C839="","",100-'Input Sheet'!C839)</f>
        <v/>
      </c>
      <c r="G8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2" s="36" t="str">
        <f t="shared" si="12"/>
        <v/>
      </c>
      <c r="I8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2" s="36" t="str">
        <f>IF('Input Sheet'!F839=0, "NO",CONCATENATE('Input Sheet'!F839, IF('Input Sheet'!F839&gt;0,"% ","")))</f>
        <v>NO</v>
      </c>
      <c r="K8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2" s="36" t="str">
        <f>CONCATENATE(K822, IF('Input Sheet'!I839="",""," siderite in "))</f>
        <v/>
      </c>
      <c r="M8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2" s="36" t="str">
        <f>CONCATENATE(M822, IF('Input Sheet'!J839="",""," siderite in "))</f>
        <v/>
      </c>
    </row>
    <row r="823" spans="1:14" x14ac:dyDescent="0.25">
      <c r="A823" s="51" t="str">
        <f>IF('Input Sheet'!C840="","",CONCATENATE("Sample ", 'Input Sheet'!B840, "m: ", L823, F823, "% ", "Siltstone, ", N823, 'Input Sheet'!C840, "% ", H823, " Sandstone, ", J823, I823, " FLUOR in SST. ", "TG ", 'Input Sheet'!H840, "U"))</f>
        <v/>
      </c>
      <c r="F823" s="36" t="str">
        <f>IF('Input Sheet'!C840="","",100-'Input Sheet'!C840)</f>
        <v/>
      </c>
      <c r="G8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3" s="36" t="str">
        <f t="shared" si="12"/>
        <v/>
      </c>
      <c r="I8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3" s="36" t="str">
        <f>IF('Input Sheet'!F840=0, "NO",CONCATENATE('Input Sheet'!F840, IF('Input Sheet'!F840&gt;0,"% ","")))</f>
        <v>NO</v>
      </c>
      <c r="K8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3" s="36" t="str">
        <f>CONCATENATE(K823, IF('Input Sheet'!I840="",""," siderite in "))</f>
        <v/>
      </c>
      <c r="M8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3" s="36" t="str">
        <f>CONCATENATE(M823, IF('Input Sheet'!J840="",""," siderite in "))</f>
        <v/>
      </c>
    </row>
    <row r="824" spans="1:14" x14ac:dyDescent="0.25">
      <c r="A824" s="51" t="str">
        <f>IF('Input Sheet'!C841="","",CONCATENATE("Sample ", 'Input Sheet'!B841, "m: ", L824, F824, "% ", "Siltstone, ", N824, 'Input Sheet'!C841, "% ", H824, " Sandstone, ", J824, I824, " FLUOR in SST. ", "TG ", 'Input Sheet'!H841, "U"))</f>
        <v/>
      </c>
      <c r="F824" s="36" t="str">
        <f>IF('Input Sheet'!C841="","",100-'Input Sheet'!C841)</f>
        <v/>
      </c>
      <c r="G8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4" s="36" t="str">
        <f t="shared" si="12"/>
        <v/>
      </c>
      <c r="I8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4" s="36" t="str">
        <f>IF('Input Sheet'!F841=0, "NO",CONCATENATE('Input Sheet'!F841, IF('Input Sheet'!F841&gt;0,"% ","")))</f>
        <v>NO</v>
      </c>
      <c r="K8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4" s="36" t="str">
        <f>CONCATENATE(K824, IF('Input Sheet'!I841="",""," siderite in "))</f>
        <v/>
      </c>
      <c r="M8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4" s="36" t="str">
        <f>CONCATENATE(M824, IF('Input Sheet'!J841="",""," siderite in "))</f>
        <v/>
      </c>
    </row>
    <row r="825" spans="1:14" x14ac:dyDescent="0.25">
      <c r="A825" s="51" t="str">
        <f>IF('Input Sheet'!C842="","",CONCATENATE("Sample ", 'Input Sheet'!B842, "m: ", L825, F825, "% ", "Siltstone, ", N825, 'Input Sheet'!C842, "% ", H825, " Sandstone, ", J825, I825, " FLUOR in SST. ", "TG ", 'Input Sheet'!H842, "U"))</f>
        <v/>
      </c>
      <c r="F825" s="36" t="str">
        <f>IF('Input Sheet'!C842="","",100-'Input Sheet'!C842)</f>
        <v/>
      </c>
      <c r="G8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5" s="36" t="str">
        <f t="shared" si="12"/>
        <v/>
      </c>
      <c r="I8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5" s="36" t="str">
        <f>IF('Input Sheet'!F842=0, "NO",CONCATENATE('Input Sheet'!F842, IF('Input Sheet'!F842&gt;0,"% ","")))</f>
        <v>NO</v>
      </c>
      <c r="K8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5" s="36" t="str">
        <f>CONCATENATE(K825, IF('Input Sheet'!I842="",""," siderite in "))</f>
        <v/>
      </c>
      <c r="M8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5" s="36" t="str">
        <f>CONCATENATE(M825, IF('Input Sheet'!J842="",""," siderite in "))</f>
        <v/>
      </c>
    </row>
    <row r="826" spans="1:14" x14ac:dyDescent="0.25">
      <c r="A826" s="51" t="str">
        <f>IF('Input Sheet'!C843="","",CONCATENATE("Sample ", 'Input Sheet'!B843, "m: ", L826, F826, "% ", "Siltstone, ", N826, 'Input Sheet'!C843, "% ", H826, " Sandstone, ", J826, I826, " FLUOR in SST. ", "TG ", 'Input Sheet'!H843, "U"))</f>
        <v/>
      </c>
      <c r="F826" s="36" t="str">
        <f>IF('Input Sheet'!C843="","",100-'Input Sheet'!C843)</f>
        <v/>
      </c>
      <c r="G8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6" s="36" t="str">
        <f t="shared" si="12"/>
        <v/>
      </c>
      <c r="I8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6" s="36" t="str">
        <f>IF('Input Sheet'!F843=0, "NO",CONCATENATE('Input Sheet'!F843, IF('Input Sheet'!F843&gt;0,"% ","")))</f>
        <v>NO</v>
      </c>
      <c r="K8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6" s="36" t="str">
        <f>CONCATENATE(K826, IF('Input Sheet'!I843="",""," siderite in "))</f>
        <v/>
      </c>
      <c r="M8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6" s="36" t="str">
        <f>CONCATENATE(M826, IF('Input Sheet'!J843="",""," siderite in "))</f>
        <v/>
      </c>
    </row>
    <row r="827" spans="1:14" x14ac:dyDescent="0.25">
      <c r="A827" s="51" t="str">
        <f>IF('Input Sheet'!C844="","",CONCATENATE("Sample ", 'Input Sheet'!B844, "m: ", L827, F827, "% ", "Siltstone, ", N827, 'Input Sheet'!C844, "% ", H827, " Sandstone, ", J827, I827, " FLUOR in SST. ", "TG ", 'Input Sheet'!H844, "U"))</f>
        <v/>
      </c>
      <c r="F827" s="36" t="str">
        <f>IF('Input Sheet'!C844="","",100-'Input Sheet'!C844)</f>
        <v/>
      </c>
      <c r="G8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7" s="36" t="str">
        <f t="shared" si="12"/>
        <v/>
      </c>
      <c r="I8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7" s="36" t="str">
        <f>IF('Input Sheet'!F844=0, "NO",CONCATENATE('Input Sheet'!F844, IF('Input Sheet'!F844&gt;0,"% ","")))</f>
        <v>NO</v>
      </c>
      <c r="K8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7" s="36" t="str">
        <f>CONCATENATE(K827, IF('Input Sheet'!I844="",""," siderite in "))</f>
        <v/>
      </c>
      <c r="M8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7" s="36" t="str">
        <f>CONCATENATE(M827, IF('Input Sheet'!J844="",""," siderite in "))</f>
        <v/>
      </c>
    </row>
    <row r="828" spans="1:14" x14ac:dyDescent="0.25">
      <c r="A828" s="51" t="str">
        <f>IF('Input Sheet'!C845="","",CONCATENATE("Sample ", 'Input Sheet'!B845, "m: ", L828, F828, "% ", "Siltstone, ", N828, 'Input Sheet'!C845, "% ", H828, " Sandstone, ", J828, I828, " FLUOR in SST. ", "TG ", 'Input Sheet'!H845, "U"))</f>
        <v/>
      </c>
      <c r="F828" s="36" t="str">
        <f>IF('Input Sheet'!C845="","",100-'Input Sheet'!C845)</f>
        <v/>
      </c>
      <c r="G8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8" s="36" t="str">
        <f t="shared" si="12"/>
        <v/>
      </c>
      <c r="I8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8" s="36" t="str">
        <f>IF('Input Sheet'!F845=0, "NO",CONCATENATE('Input Sheet'!F845, IF('Input Sheet'!F845&gt;0,"% ","")))</f>
        <v>NO</v>
      </c>
      <c r="K8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8" s="36" t="str">
        <f>CONCATENATE(K828, IF('Input Sheet'!I845="",""," siderite in "))</f>
        <v/>
      </c>
      <c r="M8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8" s="36" t="str">
        <f>CONCATENATE(M828, IF('Input Sheet'!J845="",""," siderite in "))</f>
        <v/>
      </c>
    </row>
    <row r="829" spans="1:14" x14ac:dyDescent="0.25">
      <c r="A829" s="51" t="str">
        <f>IF('Input Sheet'!C846="","",CONCATENATE("Sample ", 'Input Sheet'!B846, "m: ", L829, F829, "% ", "Siltstone, ", N829, 'Input Sheet'!C846, "% ", H829, " Sandstone, ", J829, I829, " FLUOR in SST. ", "TG ", 'Input Sheet'!H846, "U"))</f>
        <v/>
      </c>
      <c r="F829" s="36" t="str">
        <f>IF('Input Sheet'!C846="","",100-'Input Sheet'!C846)</f>
        <v/>
      </c>
      <c r="G8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29" s="36" t="str">
        <f t="shared" si="12"/>
        <v/>
      </c>
      <c r="I8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29" s="36" t="str">
        <f>IF('Input Sheet'!F846=0, "NO",CONCATENATE('Input Sheet'!F846, IF('Input Sheet'!F846&gt;0,"% ","")))</f>
        <v>NO</v>
      </c>
      <c r="K8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29" s="36" t="str">
        <f>CONCATENATE(K829, IF('Input Sheet'!I846="",""," siderite in "))</f>
        <v/>
      </c>
      <c r="M8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29" s="36" t="str">
        <f>CONCATENATE(M829, IF('Input Sheet'!J846="",""," siderite in "))</f>
        <v/>
      </c>
    </row>
    <row r="830" spans="1:14" x14ac:dyDescent="0.25">
      <c r="A830" s="51" t="str">
        <f>IF('Input Sheet'!C847="","",CONCATENATE("Sample ", 'Input Sheet'!B847, "m: ", L830, F830, "% ", "Siltstone, ", N830, 'Input Sheet'!C847, "% ", H830, " Sandstone, ", J830, I830, " FLUOR in SST. ", "TG ", 'Input Sheet'!H847, "U"))</f>
        <v/>
      </c>
      <c r="F830" s="36" t="str">
        <f>IF('Input Sheet'!C847="","",100-'Input Sheet'!C847)</f>
        <v/>
      </c>
      <c r="G8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0" s="36" t="str">
        <f t="shared" si="12"/>
        <v/>
      </c>
      <c r="I8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0" s="36" t="str">
        <f>IF('Input Sheet'!F847=0, "NO",CONCATENATE('Input Sheet'!F847, IF('Input Sheet'!F847&gt;0,"% ","")))</f>
        <v>NO</v>
      </c>
      <c r="K8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0" s="36" t="str">
        <f>CONCATENATE(K830, IF('Input Sheet'!I847="",""," siderite in "))</f>
        <v/>
      </c>
      <c r="M8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0" s="36" t="str">
        <f>CONCATENATE(M830, IF('Input Sheet'!J847="",""," siderite in "))</f>
        <v/>
      </c>
    </row>
    <row r="831" spans="1:14" x14ac:dyDescent="0.25">
      <c r="A831" s="51" t="str">
        <f>IF('Input Sheet'!C848="","",CONCATENATE("Sample ", 'Input Sheet'!B848, "m: ", L831, F831, "% ", "Siltstone, ", N831, 'Input Sheet'!C848, "% ", H831, " Sandstone, ", J831, I831, " FLUOR in SST. ", "TG ", 'Input Sheet'!H848, "U"))</f>
        <v/>
      </c>
      <c r="F831" s="36" t="str">
        <f>IF('Input Sheet'!C848="","",100-'Input Sheet'!C848)</f>
        <v/>
      </c>
      <c r="G8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1" s="36" t="str">
        <f t="shared" si="12"/>
        <v/>
      </c>
      <c r="I8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1" s="36" t="str">
        <f>IF('Input Sheet'!F848=0, "NO",CONCATENATE('Input Sheet'!F848, IF('Input Sheet'!F848&gt;0,"% ","")))</f>
        <v>NO</v>
      </c>
      <c r="K8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1" s="36" t="str">
        <f>CONCATENATE(K831, IF('Input Sheet'!I848="",""," siderite in "))</f>
        <v/>
      </c>
      <c r="M8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1" s="36" t="str">
        <f>CONCATENATE(M831, IF('Input Sheet'!J848="",""," siderite in "))</f>
        <v/>
      </c>
    </row>
    <row r="832" spans="1:14" x14ac:dyDescent="0.25">
      <c r="A832" s="51" t="str">
        <f>IF('Input Sheet'!C849="","",CONCATENATE("Sample ", 'Input Sheet'!B849, "m: ", L832, F832, "% ", "Siltstone, ", N832, 'Input Sheet'!C849, "% ", H832, " Sandstone, ", J832, I832, " FLUOR in SST. ", "TG ", 'Input Sheet'!H849, "U"))</f>
        <v/>
      </c>
      <c r="F832" s="36" t="str">
        <f>IF('Input Sheet'!C849="","",100-'Input Sheet'!C849)</f>
        <v/>
      </c>
      <c r="G8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2" s="36" t="str">
        <f t="shared" si="12"/>
        <v/>
      </c>
      <c r="I8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2" s="36" t="str">
        <f>IF('Input Sheet'!F849=0, "NO",CONCATENATE('Input Sheet'!F849, IF('Input Sheet'!F849&gt;0,"% ","")))</f>
        <v>NO</v>
      </c>
      <c r="K8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2" s="36" t="str">
        <f>CONCATENATE(K832, IF('Input Sheet'!I849="",""," siderite in "))</f>
        <v/>
      </c>
      <c r="M8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2" s="36" t="str">
        <f>CONCATENATE(M832, IF('Input Sheet'!J849="",""," siderite in "))</f>
        <v/>
      </c>
    </row>
    <row r="833" spans="1:14" x14ac:dyDescent="0.25">
      <c r="A833" s="51" t="str">
        <f>IF('Input Sheet'!C850="","",CONCATENATE("Sample ", 'Input Sheet'!B850, "m: ", L833, F833, "% ", "Siltstone, ", N833, 'Input Sheet'!C850, "% ", H833, " Sandstone, ", J833, I833, " FLUOR in SST. ", "TG ", 'Input Sheet'!H850, "U"))</f>
        <v/>
      </c>
      <c r="F833" s="36" t="str">
        <f>IF('Input Sheet'!C850="","",100-'Input Sheet'!C850)</f>
        <v/>
      </c>
      <c r="G8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3" s="36" t="str">
        <f t="shared" si="12"/>
        <v/>
      </c>
      <c r="I8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3" s="36" t="str">
        <f>IF('Input Sheet'!F850=0, "NO",CONCATENATE('Input Sheet'!F850, IF('Input Sheet'!F850&gt;0,"% ","")))</f>
        <v>NO</v>
      </c>
      <c r="K8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3" s="36" t="str">
        <f>CONCATENATE(K833, IF('Input Sheet'!I850="",""," siderite in "))</f>
        <v/>
      </c>
      <c r="M8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3" s="36" t="str">
        <f>CONCATENATE(M833, IF('Input Sheet'!J850="",""," siderite in "))</f>
        <v/>
      </c>
    </row>
    <row r="834" spans="1:14" x14ac:dyDescent="0.25">
      <c r="A834" s="51" t="str">
        <f>IF('Input Sheet'!C851="","",CONCATENATE("Sample ", 'Input Sheet'!B851, "m: ", L834, F834, "% ", "Siltstone, ", N834, 'Input Sheet'!C851, "% ", H834, " Sandstone, ", J834, I834, " FLUOR in SST. ", "TG ", 'Input Sheet'!H851, "U"))</f>
        <v/>
      </c>
      <c r="F834" s="36" t="str">
        <f>IF('Input Sheet'!C851="","",100-'Input Sheet'!C851)</f>
        <v/>
      </c>
      <c r="G8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4" s="36" t="str">
        <f t="shared" ref="H834:H897" si="13">SUBSTITUTE(G834, "veryfine", "very fine")</f>
        <v/>
      </c>
      <c r="I8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4" s="36" t="str">
        <f>IF('Input Sheet'!F851=0, "NO",CONCATENATE('Input Sheet'!F851, IF('Input Sheet'!F851&gt;0,"% ","")))</f>
        <v>NO</v>
      </c>
      <c r="K8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4" s="36" t="str">
        <f>CONCATENATE(K834, IF('Input Sheet'!I851="",""," siderite in "))</f>
        <v/>
      </c>
      <c r="M8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4" s="36" t="str">
        <f>CONCATENATE(M834, IF('Input Sheet'!J851="",""," siderite in "))</f>
        <v/>
      </c>
    </row>
    <row r="835" spans="1:14" x14ac:dyDescent="0.25">
      <c r="A835" s="51" t="str">
        <f>IF('Input Sheet'!C852="","",CONCATENATE("Sample ", 'Input Sheet'!B852, "m: ", L835, F835, "% ", "Siltstone, ", N835, 'Input Sheet'!C852, "% ", H835, " Sandstone, ", J835, I835, " FLUOR in SST. ", "TG ", 'Input Sheet'!H852, "U"))</f>
        <v/>
      </c>
      <c r="F835" s="36" t="str">
        <f>IF('Input Sheet'!C852="","",100-'Input Sheet'!C852)</f>
        <v/>
      </c>
      <c r="G8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5" s="36" t="str">
        <f t="shared" si="13"/>
        <v/>
      </c>
      <c r="I8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5" s="36" t="str">
        <f>IF('Input Sheet'!F852=0, "NO",CONCATENATE('Input Sheet'!F852, IF('Input Sheet'!F852&gt;0,"% ","")))</f>
        <v>NO</v>
      </c>
      <c r="K8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5" s="36" t="str">
        <f>CONCATENATE(K835, IF('Input Sheet'!I852="",""," siderite in "))</f>
        <v/>
      </c>
      <c r="M8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5" s="36" t="str">
        <f>CONCATENATE(M835, IF('Input Sheet'!J852="",""," siderite in "))</f>
        <v/>
      </c>
    </row>
    <row r="836" spans="1:14" x14ac:dyDescent="0.25">
      <c r="A836" s="51" t="str">
        <f>IF('Input Sheet'!C853="","",CONCATENATE("Sample ", 'Input Sheet'!B853, "m: ", L836, F836, "% ", "Siltstone, ", N836, 'Input Sheet'!C853, "% ", H836, " Sandstone, ", J836, I836, " FLUOR in SST. ", "TG ", 'Input Sheet'!H853, "U"))</f>
        <v/>
      </c>
      <c r="F836" s="36" t="str">
        <f>IF('Input Sheet'!C853="","",100-'Input Sheet'!C853)</f>
        <v/>
      </c>
      <c r="G8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6" s="36" t="str">
        <f t="shared" si="13"/>
        <v/>
      </c>
      <c r="I8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6" s="36" t="str">
        <f>IF('Input Sheet'!F853=0, "NO",CONCATENATE('Input Sheet'!F853, IF('Input Sheet'!F853&gt;0,"% ","")))</f>
        <v>NO</v>
      </c>
      <c r="K8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6" s="36" t="str">
        <f>CONCATENATE(K836, IF('Input Sheet'!I853="",""," siderite in "))</f>
        <v/>
      </c>
      <c r="M8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6" s="36" t="str">
        <f>CONCATENATE(M836, IF('Input Sheet'!J853="",""," siderite in "))</f>
        <v/>
      </c>
    </row>
    <row r="837" spans="1:14" x14ac:dyDescent="0.25">
      <c r="A837" s="51" t="str">
        <f>IF('Input Sheet'!C854="","",CONCATENATE("Sample ", 'Input Sheet'!B854, "m: ", L837, F837, "% ", "Siltstone, ", N837, 'Input Sheet'!C854, "% ", H837, " Sandstone, ", J837, I837, " FLUOR in SST. ", "TG ", 'Input Sheet'!H854, "U"))</f>
        <v/>
      </c>
      <c r="F837" s="36" t="str">
        <f>IF('Input Sheet'!C854="","",100-'Input Sheet'!C854)</f>
        <v/>
      </c>
      <c r="G8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7" s="36" t="str">
        <f t="shared" si="13"/>
        <v/>
      </c>
      <c r="I8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7" s="36" t="str">
        <f>IF('Input Sheet'!F854=0, "NO",CONCATENATE('Input Sheet'!F854, IF('Input Sheet'!F854&gt;0,"% ","")))</f>
        <v>NO</v>
      </c>
      <c r="K8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7" s="36" t="str">
        <f>CONCATENATE(K837, IF('Input Sheet'!I854="",""," siderite in "))</f>
        <v/>
      </c>
      <c r="M8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7" s="36" t="str">
        <f>CONCATENATE(M837, IF('Input Sheet'!J854="",""," siderite in "))</f>
        <v/>
      </c>
    </row>
    <row r="838" spans="1:14" x14ac:dyDescent="0.25">
      <c r="A838" s="51" t="str">
        <f>IF('Input Sheet'!C855="","",CONCATENATE("Sample ", 'Input Sheet'!B855, "m: ", L838, F838, "% ", "Siltstone, ", N838, 'Input Sheet'!C855, "% ", H838, " Sandstone, ", J838, I838, " FLUOR in SST. ", "TG ", 'Input Sheet'!H855, "U"))</f>
        <v/>
      </c>
      <c r="F838" s="36" t="str">
        <f>IF('Input Sheet'!C855="","",100-'Input Sheet'!C855)</f>
        <v/>
      </c>
      <c r="G8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8" s="36" t="str">
        <f t="shared" si="13"/>
        <v/>
      </c>
      <c r="I8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8" s="36" t="str">
        <f>IF('Input Sheet'!F855=0, "NO",CONCATENATE('Input Sheet'!F855, IF('Input Sheet'!F855&gt;0,"% ","")))</f>
        <v>NO</v>
      </c>
      <c r="K8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8" s="36" t="str">
        <f>CONCATENATE(K838, IF('Input Sheet'!I855="",""," siderite in "))</f>
        <v/>
      </c>
      <c r="M8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8" s="36" t="str">
        <f>CONCATENATE(M838, IF('Input Sheet'!J855="",""," siderite in "))</f>
        <v/>
      </c>
    </row>
    <row r="839" spans="1:14" x14ac:dyDescent="0.25">
      <c r="A839" s="51" t="str">
        <f>IF('Input Sheet'!C856="","",CONCATENATE("Sample ", 'Input Sheet'!B856, "m: ", L839, F839, "% ", "Siltstone, ", N839, 'Input Sheet'!C856, "% ", H839, " Sandstone, ", J839, I839, " FLUOR in SST. ", "TG ", 'Input Sheet'!H856, "U"))</f>
        <v/>
      </c>
      <c r="F839" s="36" t="str">
        <f>IF('Input Sheet'!C856="","",100-'Input Sheet'!C856)</f>
        <v/>
      </c>
      <c r="G8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39" s="36" t="str">
        <f t="shared" si="13"/>
        <v/>
      </c>
      <c r="I8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39" s="36" t="str">
        <f>IF('Input Sheet'!F856=0, "NO",CONCATENATE('Input Sheet'!F856, IF('Input Sheet'!F856&gt;0,"% ","")))</f>
        <v>NO</v>
      </c>
      <c r="K8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39" s="36" t="str">
        <f>CONCATENATE(K839, IF('Input Sheet'!I856="",""," siderite in "))</f>
        <v/>
      </c>
      <c r="M8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39" s="36" t="str">
        <f>CONCATENATE(M839, IF('Input Sheet'!J856="",""," siderite in "))</f>
        <v/>
      </c>
    </row>
    <row r="840" spans="1:14" x14ac:dyDescent="0.25">
      <c r="A840" s="51" t="str">
        <f>IF('Input Sheet'!C857="","",CONCATENATE("Sample ", 'Input Sheet'!B857, "m: ", L840, F840, "% ", "Siltstone, ", N840, 'Input Sheet'!C857, "% ", H840, " Sandstone, ", J840, I840, " FLUOR in SST. ", "TG ", 'Input Sheet'!H857, "U"))</f>
        <v/>
      </c>
      <c r="F840" s="36" t="str">
        <f>IF('Input Sheet'!C857="","",100-'Input Sheet'!C857)</f>
        <v/>
      </c>
      <c r="G8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0" s="36" t="str">
        <f t="shared" si="13"/>
        <v/>
      </c>
      <c r="I8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0" s="36" t="str">
        <f>IF('Input Sheet'!F857=0, "NO",CONCATENATE('Input Sheet'!F857, IF('Input Sheet'!F857&gt;0,"% ","")))</f>
        <v>NO</v>
      </c>
      <c r="K8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0" s="36" t="str">
        <f>CONCATENATE(K840, IF('Input Sheet'!I857="",""," siderite in "))</f>
        <v/>
      </c>
      <c r="M8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0" s="36" t="str">
        <f>CONCATENATE(M840, IF('Input Sheet'!J857="",""," siderite in "))</f>
        <v/>
      </c>
    </row>
    <row r="841" spans="1:14" x14ac:dyDescent="0.25">
      <c r="A841" s="51" t="str">
        <f>IF('Input Sheet'!C858="","",CONCATENATE("Sample ", 'Input Sheet'!B858, "m: ", L841, F841, "% ", "Siltstone, ", N841, 'Input Sheet'!C858, "% ", H841, " Sandstone, ", J841, I841, " FLUOR in SST. ", "TG ", 'Input Sheet'!H858, "U"))</f>
        <v/>
      </c>
      <c r="F841" s="36" t="str">
        <f>IF('Input Sheet'!C858="","",100-'Input Sheet'!C858)</f>
        <v/>
      </c>
      <c r="G8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1" s="36" t="str">
        <f t="shared" si="13"/>
        <v/>
      </c>
      <c r="I8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1" s="36" t="str">
        <f>IF('Input Sheet'!F858=0, "NO",CONCATENATE('Input Sheet'!F858, IF('Input Sheet'!F858&gt;0,"% ","")))</f>
        <v>NO</v>
      </c>
      <c r="K8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1" s="36" t="str">
        <f>CONCATENATE(K841, IF('Input Sheet'!I858="",""," siderite in "))</f>
        <v/>
      </c>
      <c r="M8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1" s="36" t="str">
        <f>CONCATENATE(M841, IF('Input Sheet'!J858="",""," siderite in "))</f>
        <v/>
      </c>
    </row>
    <row r="842" spans="1:14" x14ac:dyDescent="0.25">
      <c r="A842" s="51" t="str">
        <f>IF('Input Sheet'!C859="","",CONCATENATE("Sample ", 'Input Sheet'!B859, "m: ", L842, F842, "% ", "Siltstone, ", N842, 'Input Sheet'!C859, "% ", H842, " Sandstone, ", J842, I842, " FLUOR in SST. ", "TG ", 'Input Sheet'!H859, "U"))</f>
        <v/>
      </c>
      <c r="F842" s="36" t="str">
        <f>IF('Input Sheet'!C859="","",100-'Input Sheet'!C859)</f>
        <v/>
      </c>
      <c r="G8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2" s="36" t="str">
        <f t="shared" si="13"/>
        <v/>
      </c>
      <c r="I8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2" s="36" t="str">
        <f>IF('Input Sheet'!F859=0, "NO",CONCATENATE('Input Sheet'!F859, IF('Input Sheet'!F859&gt;0,"% ","")))</f>
        <v>NO</v>
      </c>
      <c r="K8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2" s="36" t="str">
        <f>CONCATENATE(K842, IF('Input Sheet'!I859="",""," siderite in "))</f>
        <v/>
      </c>
      <c r="M8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2" s="36" t="str">
        <f>CONCATENATE(M842, IF('Input Sheet'!J859="",""," siderite in "))</f>
        <v/>
      </c>
    </row>
    <row r="843" spans="1:14" x14ac:dyDescent="0.25">
      <c r="A843" s="51" t="str">
        <f>IF('Input Sheet'!C860="","",CONCATENATE("Sample ", 'Input Sheet'!B860, "m: ", L843, F843, "% ", "Siltstone, ", N843, 'Input Sheet'!C860, "% ", H843, " Sandstone, ", J843, I843, " FLUOR in SST. ", "TG ", 'Input Sheet'!H860, "U"))</f>
        <v/>
      </c>
      <c r="F843" s="36" t="str">
        <f>IF('Input Sheet'!C860="","",100-'Input Sheet'!C860)</f>
        <v/>
      </c>
      <c r="G8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3" s="36" t="str">
        <f t="shared" si="13"/>
        <v/>
      </c>
      <c r="I8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3" s="36" t="str">
        <f>IF('Input Sheet'!F860=0, "NO",CONCATENATE('Input Sheet'!F860, IF('Input Sheet'!F860&gt;0,"% ","")))</f>
        <v>NO</v>
      </c>
      <c r="K8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3" s="36" t="str">
        <f>CONCATENATE(K843, IF('Input Sheet'!I860="",""," siderite in "))</f>
        <v/>
      </c>
      <c r="M8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3" s="36" t="str">
        <f>CONCATENATE(M843, IF('Input Sheet'!J860="",""," siderite in "))</f>
        <v/>
      </c>
    </row>
    <row r="844" spans="1:14" x14ac:dyDescent="0.25">
      <c r="A844" s="51" t="str">
        <f>IF('Input Sheet'!C861="","",CONCATENATE("Sample ", 'Input Sheet'!B861, "m: ", L844, F844, "% ", "Siltstone, ", N844, 'Input Sheet'!C861, "% ", H844, " Sandstone, ", J844, I844, " FLUOR in SST. ", "TG ", 'Input Sheet'!H861, "U"))</f>
        <v/>
      </c>
      <c r="F844" s="36" t="str">
        <f>IF('Input Sheet'!C861="","",100-'Input Sheet'!C861)</f>
        <v/>
      </c>
      <c r="G8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4" s="36" t="str">
        <f t="shared" si="13"/>
        <v/>
      </c>
      <c r="I8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4" s="36" t="str">
        <f>IF('Input Sheet'!F861=0, "NO",CONCATENATE('Input Sheet'!F861, IF('Input Sheet'!F861&gt;0,"% ","")))</f>
        <v>NO</v>
      </c>
      <c r="K8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4" s="36" t="str">
        <f>CONCATENATE(K844, IF('Input Sheet'!I861="",""," siderite in "))</f>
        <v/>
      </c>
      <c r="M8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4" s="36" t="str">
        <f>CONCATENATE(M844, IF('Input Sheet'!J861="",""," siderite in "))</f>
        <v/>
      </c>
    </row>
    <row r="845" spans="1:14" x14ac:dyDescent="0.25">
      <c r="A845" s="51" t="str">
        <f>IF('Input Sheet'!C862="","",CONCATENATE("Sample ", 'Input Sheet'!B862, "m: ", L845, F845, "% ", "Siltstone, ", N845, 'Input Sheet'!C862, "% ", H845, " Sandstone, ", J845, I845, " FLUOR in SST. ", "TG ", 'Input Sheet'!H862, "U"))</f>
        <v/>
      </c>
      <c r="F845" s="36" t="str">
        <f>IF('Input Sheet'!C862="","",100-'Input Sheet'!C862)</f>
        <v/>
      </c>
      <c r="G8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5" s="36" t="str">
        <f t="shared" si="13"/>
        <v/>
      </c>
      <c r="I8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5" s="36" t="str">
        <f>IF('Input Sheet'!F862=0, "NO",CONCATENATE('Input Sheet'!F862, IF('Input Sheet'!F862&gt;0,"% ","")))</f>
        <v>NO</v>
      </c>
      <c r="K8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5" s="36" t="str">
        <f>CONCATENATE(K845, IF('Input Sheet'!I862="",""," siderite in "))</f>
        <v/>
      </c>
      <c r="M8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5" s="36" t="str">
        <f>CONCATENATE(M845, IF('Input Sheet'!J862="",""," siderite in "))</f>
        <v/>
      </c>
    </row>
    <row r="846" spans="1:14" x14ac:dyDescent="0.25">
      <c r="A846" s="51" t="str">
        <f>IF('Input Sheet'!C863="","",CONCATENATE("Sample ", 'Input Sheet'!B863, "m: ", L846, F846, "% ", "Siltstone, ", N846, 'Input Sheet'!C863, "% ", H846, " Sandstone, ", J846, I846, " FLUOR in SST. ", "TG ", 'Input Sheet'!H863, "U"))</f>
        <v/>
      </c>
      <c r="F846" s="36" t="str">
        <f>IF('Input Sheet'!C863="","",100-'Input Sheet'!C863)</f>
        <v/>
      </c>
      <c r="G8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6" s="36" t="str">
        <f t="shared" si="13"/>
        <v/>
      </c>
      <c r="I8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6" s="36" t="str">
        <f>IF('Input Sheet'!F863=0, "NO",CONCATENATE('Input Sheet'!F863, IF('Input Sheet'!F863&gt;0,"% ","")))</f>
        <v>NO</v>
      </c>
      <c r="K8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6" s="36" t="str">
        <f>CONCATENATE(K846, IF('Input Sheet'!I863="",""," siderite in "))</f>
        <v/>
      </c>
      <c r="M8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6" s="36" t="str">
        <f>CONCATENATE(M846, IF('Input Sheet'!J863="",""," siderite in "))</f>
        <v/>
      </c>
    </row>
    <row r="847" spans="1:14" x14ac:dyDescent="0.25">
      <c r="A847" s="51" t="str">
        <f>IF('Input Sheet'!C864="","",CONCATENATE("Sample ", 'Input Sheet'!B864, "m: ", L847, F847, "% ", "Siltstone, ", N847, 'Input Sheet'!C864, "% ", H847, " Sandstone, ", J847, I847, " FLUOR in SST. ", "TG ", 'Input Sheet'!H864, "U"))</f>
        <v/>
      </c>
      <c r="F847" s="36" t="str">
        <f>IF('Input Sheet'!C864="","",100-'Input Sheet'!C864)</f>
        <v/>
      </c>
      <c r="G8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7" s="36" t="str">
        <f t="shared" si="13"/>
        <v/>
      </c>
      <c r="I8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7" s="36" t="str">
        <f>IF('Input Sheet'!F864=0, "NO",CONCATENATE('Input Sheet'!F864, IF('Input Sheet'!F864&gt;0,"% ","")))</f>
        <v>NO</v>
      </c>
      <c r="K8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7" s="36" t="str">
        <f>CONCATENATE(K847, IF('Input Sheet'!I864="",""," siderite in "))</f>
        <v/>
      </c>
      <c r="M8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7" s="36" t="str">
        <f>CONCATENATE(M847, IF('Input Sheet'!J864="",""," siderite in "))</f>
        <v/>
      </c>
    </row>
    <row r="848" spans="1:14" x14ac:dyDescent="0.25">
      <c r="A848" s="51" t="str">
        <f>IF('Input Sheet'!C865="","",CONCATENATE("Sample ", 'Input Sheet'!B865, "m: ", L848, F848, "% ", "Siltstone, ", N848, 'Input Sheet'!C865, "% ", H848, " Sandstone, ", J848, I848, " FLUOR in SST. ", "TG ", 'Input Sheet'!H865, "U"))</f>
        <v/>
      </c>
      <c r="F848" s="36" t="str">
        <f>IF('Input Sheet'!C865="","",100-'Input Sheet'!C865)</f>
        <v/>
      </c>
      <c r="G8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8" s="36" t="str">
        <f t="shared" si="13"/>
        <v/>
      </c>
      <c r="I8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8" s="36" t="str">
        <f>IF('Input Sheet'!F865=0, "NO",CONCATENATE('Input Sheet'!F865, IF('Input Sheet'!F865&gt;0,"% ","")))</f>
        <v>NO</v>
      </c>
      <c r="K8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8" s="36" t="str">
        <f>CONCATENATE(K848, IF('Input Sheet'!I865="",""," siderite in "))</f>
        <v/>
      </c>
      <c r="M8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8" s="36" t="str">
        <f>CONCATENATE(M848, IF('Input Sheet'!J865="",""," siderite in "))</f>
        <v/>
      </c>
    </row>
    <row r="849" spans="1:14" x14ac:dyDescent="0.25">
      <c r="A849" s="51" t="str">
        <f>IF('Input Sheet'!C866="","",CONCATENATE("Sample ", 'Input Sheet'!B866, "m: ", L849, F849, "% ", "Siltstone, ", N849, 'Input Sheet'!C866, "% ", H849, " Sandstone, ", J849, I849, " FLUOR in SST. ", "TG ", 'Input Sheet'!H866, "U"))</f>
        <v/>
      </c>
      <c r="F849" s="36" t="str">
        <f>IF('Input Sheet'!C866="","",100-'Input Sheet'!C866)</f>
        <v/>
      </c>
      <c r="G8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49" s="36" t="str">
        <f t="shared" si="13"/>
        <v/>
      </c>
      <c r="I8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49" s="36" t="str">
        <f>IF('Input Sheet'!F866=0, "NO",CONCATENATE('Input Sheet'!F866, IF('Input Sheet'!F866&gt;0,"% ","")))</f>
        <v>NO</v>
      </c>
      <c r="K8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49" s="36" t="str">
        <f>CONCATENATE(K849, IF('Input Sheet'!I866="",""," siderite in "))</f>
        <v/>
      </c>
      <c r="M8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49" s="36" t="str">
        <f>CONCATENATE(M849, IF('Input Sheet'!J866="",""," siderite in "))</f>
        <v/>
      </c>
    </row>
    <row r="850" spans="1:14" x14ac:dyDescent="0.25">
      <c r="A850" s="51" t="str">
        <f>IF('Input Sheet'!C867="","",CONCATENATE("Sample ", 'Input Sheet'!B867, "m: ", L850, F850, "% ", "Siltstone, ", N850, 'Input Sheet'!C867, "% ", H850, " Sandstone, ", J850, I850, " FLUOR in SST. ", "TG ", 'Input Sheet'!H867, "U"))</f>
        <v/>
      </c>
      <c r="F850" s="36" t="str">
        <f>IF('Input Sheet'!C867="","",100-'Input Sheet'!C867)</f>
        <v/>
      </c>
      <c r="G8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0" s="36" t="str">
        <f t="shared" si="13"/>
        <v/>
      </c>
      <c r="I8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0" s="36" t="str">
        <f>IF('Input Sheet'!F867=0, "NO",CONCATENATE('Input Sheet'!F867, IF('Input Sheet'!F867&gt;0,"% ","")))</f>
        <v>NO</v>
      </c>
      <c r="K8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0" s="36" t="str">
        <f>CONCATENATE(K850, IF('Input Sheet'!I867="",""," siderite in "))</f>
        <v/>
      </c>
      <c r="M8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0" s="36" t="str">
        <f>CONCATENATE(M850, IF('Input Sheet'!J867="",""," siderite in "))</f>
        <v/>
      </c>
    </row>
    <row r="851" spans="1:14" x14ac:dyDescent="0.25">
      <c r="A851" s="51" t="str">
        <f>IF('Input Sheet'!C868="","",CONCATENATE("Sample ", 'Input Sheet'!B868, "m: ", L851, F851, "% ", "Siltstone, ", N851, 'Input Sheet'!C868, "% ", H851, " Sandstone, ", J851, I851, " FLUOR in SST. ", "TG ", 'Input Sheet'!H868, "U"))</f>
        <v/>
      </c>
      <c r="F851" s="36" t="str">
        <f>IF('Input Sheet'!C868="","",100-'Input Sheet'!C868)</f>
        <v/>
      </c>
      <c r="G8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1" s="36" t="str">
        <f t="shared" si="13"/>
        <v/>
      </c>
      <c r="I8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1" s="36" t="str">
        <f>IF('Input Sheet'!F868=0, "NO",CONCATENATE('Input Sheet'!F868, IF('Input Sheet'!F868&gt;0,"% ","")))</f>
        <v>NO</v>
      </c>
      <c r="K8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1" s="36" t="str">
        <f>CONCATENATE(K851, IF('Input Sheet'!I868="",""," siderite in "))</f>
        <v/>
      </c>
      <c r="M8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1" s="36" t="str">
        <f>CONCATENATE(M851, IF('Input Sheet'!J868="",""," siderite in "))</f>
        <v/>
      </c>
    </row>
    <row r="852" spans="1:14" x14ac:dyDescent="0.25">
      <c r="A852" s="51" t="str">
        <f>IF('Input Sheet'!C869="","",CONCATENATE("Sample ", 'Input Sheet'!B869, "m: ", L852, F852, "% ", "Siltstone, ", N852, 'Input Sheet'!C869, "% ", H852, " Sandstone, ", J852, I852, " FLUOR in SST. ", "TG ", 'Input Sheet'!H869, "U"))</f>
        <v/>
      </c>
      <c r="F852" s="36" t="str">
        <f>IF('Input Sheet'!C869="","",100-'Input Sheet'!C869)</f>
        <v/>
      </c>
      <c r="G8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2" s="36" t="str">
        <f t="shared" si="13"/>
        <v/>
      </c>
      <c r="I8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2" s="36" t="str">
        <f>IF('Input Sheet'!F869=0, "NO",CONCATENATE('Input Sheet'!F869, IF('Input Sheet'!F869&gt;0,"% ","")))</f>
        <v>NO</v>
      </c>
      <c r="K8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2" s="36" t="str">
        <f>CONCATENATE(K852, IF('Input Sheet'!I869="",""," siderite in "))</f>
        <v/>
      </c>
      <c r="M8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2" s="36" t="str">
        <f>CONCATENATE(M852, IF('Input Sheet'!J869="",""," siderite in "))</f>
        <v/>
      </c>
    </row>
    <row r="853" spans="1:14" x14ac:dyDescent="0.25">
      <c r="A853" s="51" t="str">
        <f>IF('Input Sheet'!C870="","",CONCATENATE("Sample ", 'Input Sheet'!B870, "m: ", L853, F853, "% ", "Siltstone, ", N853, 'Input Sheet'!C870, "% ", H853, " Sandstone, ", J853, I853, " FLUOR in SST. ", "TG ", 'Input Sheet'!H870, "U"))</f>
        <v/>
      </c>
      <c r="F853" s="36" t="str">
        <f>IF('Input Sheet'!C870="","",100-'Input Sheet'!C870)</f>
        <v/>
      </c>
      <c r="G8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3" s="36" t="str">
        <f t="shared" si="13"/>
        <v/>
      </c>
      <c r="I8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3" s="36" t="str">
        <f>IF('Input Sheet'!F870=0, "NO",CONCATENATE('Input Sheet'!F870, IF('Input Sheet'!F870&gt;0,"% ","")))</f>
        <v>NO</v>
      </c>
      <c r="K8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3" s="36" t="str">
        <f>CONCATENATE(K853, IF('Input Sheet'!I870="",""," siderite in "))</f>
        <v/>
      </c>
      <c r="M8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3" s="36" t="str">
        <f>CONCATENATE(M853, IF('Input Sheet'!J870="",""," siderite in "))</f>
        <v/>
      </c>
    </row>
    <row r="854" spans="1:14" x14ac:dyDescent="0.25">
      <c r="A854" s="51" t="str">
        <f>IF('Input Sheet'!C871="","",CONCATENATE("Sample ", 'Input Sheet'!B871, "m: ", L854, F854, "% ", "Siltstone, ", N854, 'Input Sheet'!C871, "% ", H854, " Sandstone, ", J854, I854, " FLUOR in SST. ", "TG ", 'Input Sheet'!H871, "U"))</f>
        <v/>
      </c>
      <c r="F854" s="36" t="str">
        <f>IF('Input Sheet'!C871="","",100-'Input Sheet'!C871)</f>
        <v/>
      </c>
      <c r="G8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4" s="36" t="str">
        <f t="shared" si="13"/>
        <v/>
      </c>
      <c r="I8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4" s="36" t="str">
        <f>IF('Input Sheet'!F871=0, "NO",CONCATENATE('Input Sheet'!F871, IF('Input Sheet'!F871&gt;0,"% ","")))</f>
        <v>NO</v>
      </c>
      <c r="K8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4" s="36" t="str">
        <f>CONCATENATE(K854, IF('Input Sheet'!I871="",""," siderite in "))</f>
        <v/>
      </c>
      <c r="M8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4" s="36" t="str">
        <f>CONCATENATE(M854, IF('Input Sheet'!J871="",""," siderite in "))</f>
        <v/>
      </c>
    </row>
    <row r="855" spans="1:14" x14ac:dyDescent="0.25">
      <c r="A855" s="51" t="str">
        <f>IF('Input Sheet'!C872="","",CONCATENATE("Sample ", 'Input Sheet'!B872, "m: ", L855, F855, "% ", "Siltstone, ", N855, 'Input Sheet'!C872, "% ", H855, " Sandstone, ", J855, I855, " FLUOR in SST. ", "TG ", 'Input Sheet'!H872, "U"))</f>
        <v/>
      </c>
      <c r="F855" s="36" t="str">
        <f>IF('Input Sheet'!C872="","",100-'Input Sheet'!C872)</f>
        <v/>
      </c>
      <c r="G8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5" s="36" t="str">
        <f t="shared" si="13"/>
        <v/>
      </c>
      <c r="I8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5" s="36" t="str">
        <f>IF('Input Sheet'!F872=0, "NO",CONCATENATE('Input Sheet'!F872, IF('Input Sheet'!F872&gt;0,"% ","")))</f>
        <v>NO</v>
      </c>
      <c r="K8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5" s="36" t="str">
        <f>CONCATENATE(K855, IF('Input Sheet'!I872="",""," siderite in "))</f>
        <v/>
      </c>
      <c r="M8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5" s="36" t="str">
        <f>CONCATENATE(M855, IF('Input Sheet'!J872="",""," siderite in "))</f>
        <v/>
      </c>
    </row>
    <row r="856" spans="1:14" x14ac:dyDescent="0.25">
      <c r="A856" s="51" t="str">
        <f>IF('Input Sheet'!C873="","",CONCATENATE("Sample ", 'Input Sheet'!B873, "m: ", L856, F856, "% ", "Siltstone, ", N856, 'Input Sheet'!C873, "% ", H856, " Sandstone, ", J856, I856, " FLUOR in SST. ", "TG ", 'Input Sheet'!H873, "U"))</f>
        <v/>
      </c>
      <c r="F856" s="36" t="str">
        <f>IF('Input Sheet'!C873="","",100-'Input Sheet'!C873)</f>
        <v/>
      </c>
      <c r="G8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6" s="36" t="str">
        <f t="shared" si="13"/>
        <v/>
      </c>
      <c r="I8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6" s="36" t="str">
        <f>IF('Input Sheet'!F873=0, "NO",CONCATENATE('Input Sheet'!F873, IF('Input Sheet'!F873&gt;0,"% ","")))</f>
        <v>NO</v>
      </c>
      <c r="K8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6" s="36" t="str">
        <f>CONCATENATE(K856, IF('Input Sheet'!I873="",""," siderite in "))</f>
        <v/>
      </c>
      <c r="M8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6" s="36" t="str">
        <f>CONCATENATE(M856, IF('Input Sheet'!J873="",""," siderite in "))</f>
        <v/>
      </c>
    </row>
    <row r="857" spans="1:14" x14ac:dyDescent="0.25">
      <c r="A857" s="51" t="str">
        <f>IF('Input Sheet'!C874="","",CONCATENATE("Sample ", 'Input Sheet'!B874, "m: ", L857, F857, "% ", "Siltstone, ", N857, 'Input Sheet'!C874, "% ", H857, " Sandstone, ", J857, I857, " FLUOR in SST. ", "TG ", 'Input Sheet'!H874, "U"))</f>
        <v/>
      </c>
      <c r="F857" s="36" t="str">
        <f>IF('Input Sheet'!C874="","",100-'Input Sheet'!C874)</f>
        <v/>
      </c>
      <c r="G8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7" s="36" t="str">
        <f t="shared" si="13"/>
        <v/>
      </c>
      <c r="I8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7" s="36" t="str">
        <f>IF('Input Sheet'!F874=0, "NO",CONCATENATE('Input Sheet'!F874, IF('Input Sheet'!F874&gt;0,"% ","")))</f>
        <v>NO</v>
      </c>
      <c r="K8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7" s="36" t="str">
        <f>CONCATENATE(K857, IF('Input Sheet'!I874="",""," siderite in "))</f>
        <v/>
      </c>
      <c r="M8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7" s="36" t="str">
        <f>CONCATENATE(M857, IF('Input Sheet'!J874="",""," siderite in "))</f>
        <v/>
      </c>
    </row>
    <row r="858" spans="1:14" x14ac:dyDescent="0.25">
      <c r="A858" s="51" t="str">
        <f>IF('Input Sheet'!C875="","",CONCATENATE("Sample ", 'Input Sheet'!B875, "m: ", L858, F858, "% ", "Siltstone, ", N858, 'Input Sheet'!C875, "% ", H858, " Sandstone, ", J858, I858, " FLUOR in SST. ", "TG ", 'Input Sheet'!H875, "U"))</f>
        <v/>
      </c>
      <c r="F858" s="36" t="str">
        <f>IF('Input Sheet'!C875="","",100-'Input Sheet'!C875)</f>
        <v/>
      </c>
      <c r="G8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8" s="36" t="str">
        <f t="shared" si="13"/>
        <v/>
      </c>
      <c r="I8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8" s="36" t="str">
        <f>IF('Input Sheet'!F875=0, "NO",CONCATENATE('Input Sheet'!F875, IF('Input Sheet'!F875&gt;0,"% ","")))</f>
        <v>NO</v>
      </c>
      <c r="K8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8" s="36" t="str">
        <f>CONCATENATE(K858, IF('Input Sheet'!I875="",""," siderite in "))</f>
        <v/>
      </c>
      <c r="M8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8" s="36" t="str">
        <f>CONCATENATE(M858, IF('Input Sheet'!J875="",""," siderite in "))</f>
        <v/>
      </c>
    </row>
    <row r="859" spans="1:14" x14ac:dyDescent="0.25">
      <c r="A859" s="51" t="str">
        <f>IF('Input Sheet'!C876="","",CONCATENATE("Sample ", 'Input Sheet'!B876, "m: ", L859, F859, "% ", "Siltstone, ", N859, 'Input Sheet'!C876, "% ", H859, " Sandstone, ", J859, I859, " FLUOR in SST. ", "TG ", 'Input Sheet'!H876, "U"))</f>
        <v/>
      </c>
      <c r="F859" s="36" t="str">
        <f>IF('Input Sheet'!C876="","",100-'Input Sheet'!C876)</f>
        <v/>
      </c>
      <c r="G8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59" s="36" t="str">
        <f t="shared" si="13"/>
        <v/>
      </c>
      <c r="I8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59" s="36" t="str">
        <f>IF('Input Sheet'!F876=0, "NO",CONCATENATE('Input Sheet'!F876, IF('Input Sheet'!F876&gt;0,"% ","")))</f>
        <v>NO</v>
      </c>
      <c r="K8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59" s="36" t="str">
        <f>CONCATENATE(K859, IF('Input Sheet'!I876="",""," siderite in "))</f>
        <v/>
      </c>
      <c r="M8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59" s="36" t="str">
        <f>CONCATENATE(M859, IF('Input Sheet'!J876="",""," siderite in "))</f>
        <v/>
      </c>
    </row>
    <row r="860" spans="1:14" x14ac:dyDescent="0.25">
      <c r="A860" s="51" t="str">
        <f>IF('Input Sheet'!C877="","",CONCATENATE("Sample ", 'Input Sheet'!B877, "m: ", L860, F860, "% ", "Siltstone, ", N860, 'Input Sheet'!C877, "% ", H860, " Sandstone, ", J860, I860, " FLUOR in SST. ", "TG ", 'Input Sheet'!H877, "U"))</f>
        <v/>
      </c>
      <c r="F860" s="36" t="str">
        <f>IF('Input Sheet'!C877="","",100-'Input Sheet'!C877)</f>
        <v/>
      </c>
      <c r="G8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0" s="36" t="str">
        <f t="shared" si="13"/>
        <v/>
      </c>
      <c r="I8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0" s="36" t="str">
        <f>IF('Input Sheet'!F877=0, "NO",CONCATENATE('Input Sheet'!F877, IF('Input Sheet'!F877&gt;0,"% ","")))</f>
        <v>NO</v>
      </c>
      <c r="K8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0" s="36" t="str">
        <f>CONCATENATE(K860, IF('Input Sheet'!I877="",""," siderite in "))</f>
        <v/>
      </c>
      <c r="M8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0" s="36" t="str">
        <f>CONCATENATE(M860, IF('Input Sheet'!J877="",""," siderite in "))</f>
        <v/>
      </c>
    </row>
    <row r="861" spans="1:14" x14ac:dyDescent="0.25">
      <c r="A861" s="51" t="str">
        <f>IF('Input Sheet'!C878="","",CONCATENATE("Sample ", 'Input Sheet'!B878, "m: ", L861, F861, "% ", "Siltstone, ", N861, 'Input Sheet'!C878, "% ", H861, " Sandstone, ", J861, I861, " FLUOR in SST. ", "TG ", 'Input Sheet'!H878, "U"))</f>
        <v/>
      </c>
      <c r="F861" s="36" t="str">
        <f>IF('Input Sheet'!C878="","",100-'Input Sheet'!C878)</f>
        <v/>
      </c>
      <c r="G8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1" s="36" t="str">
        <f t="shared" si="13"/>
        <v/>
      </c>
      <c r="I8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1" s="36" t="str">
        <f>IF('Input Sheet'!F878=0, "NO",CONCATENATE('Input Sheet'!F878, IF('Input Sheet'!F878&gt;0,"% ","")))</f>
        <v>NO</v>
      </c>
      <c r="K8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1" s="36" t="str">
        <f>CONCATENATE(K861, IF('Input Sheet'!I878="",""," siderite in "))</f>
        <v/>
      </c>
      <c r="M8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1" s="36" t="str">
        <f>CONCATENATE(M861, IF('Input Sheet'!J878="",""," siderite in "))</f>
        <v/>
      </c>
    </row>
    <row r="862" spans="1:14" x14ac:dyDescent="0.25">
      <c r="A862" s="51" t="str">
        <f>IF('Input Sheet'!C879="","",CONCATENATE("Sample ", 'Input Sheet'!B879, "m: ", L862, F862, "% ", "Siltstone, ", N862, 'Input Sheet'!C879, "% ", H862, " Sandstone, ", J862, I862, " FLUOR in SST. ", "TG ", 'Input Sheet'!H879, "U"))</f>
        <v/>
      </c>
      <c r="F862" s="36" t="str">
        <f>IF('Input Sheet'!C879="","",100-'Input Sheet'!C879)</f>
        <v/>
      </c>
      <c r="G8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2" s="36" t="str">
        <f t="shared" si="13"/>
        <v/>
      </c>
      <c r="I8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2" s="36" t="str">
        <f>IF('Input Sheet'!F879=0, "NO",CONCATENATE('Input Sheet'!F879, IF('Input Sheet'!F879&gt;0,"% ","")))</f>
        <v>NO</v>
      </c>
      <c r="K8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2" s="36" t="str">
        <f>CONCATENATE(K862, IF('Input Sheet'!I879="",""," siderite in "))</f>
        <v/>
      </c>
      <c r="M8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2" s="36" t="str">
        <f>CONCATENATE(M862, IF('Input Sheet'!J879="",""," siderite in "))</f>
        <v/>
      </c>
    </row>
    <row r="863" spans="1:14" x14ac:dyDescent="0.25">
      <c r="A863" s="51" t="str">
        <f>IF('Input Sheet'!C880="","",CONCATENATE("Sample ", 'Input Sheet'!B880, "m: ", L863, F863, "% ", "Siltstone, ", N863, 'Input Sheet'!C880, "% ", H863, " Sandstone, ", J863, I863, " FLUOR in SST. ", "TG ", 'Input Sheet'!H880, "U"))</f>
        <v/>
      </c>
      <c r="F863" s="36" t="str">
        <f>IF('Input Sheet'!C880="","",100-'Input Sheet'!C880)</f>
        <v/>
      </c>
      <c r="G8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3" s="36" t="str">
        <f t="shared" si="13"/>
        <v/>
      </c>
      <c r="I8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3" s="36" t="str">
        <f>IF('Input Sheet'!F880=0, "NO",CONCATENATE('Input Sheet'!F880, IF('Input Sheet'!F880&gt;0,"% ","")))</f>
        <v>NO</v>
      </c>
      <c r="K8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3" s="36" t="str">
        <f>CONCATENATE(K863, IF('Input Sheet'!I880="",""," siderite in "))</f>
        <v/>
      </c>
      <c r="M8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3" s="36" t="str">
        <f>CONCATENATE(M863, IF('Input Sheet'!J880="",""," siderite in "))</f>
        <v/>
      </c>
    </row>
    <row r="864" spans="1:14" x14ac:dyDescent="0.25">
      <c r="A864" s="51" t="str">
        <f>IF('Input Sheet'!C881="","",CONCATENATE("Sample ", 'Input Sheet'!B881, "m: ", L864, F864, "% ", "Siltstone, ", N864, 'Input Sheet'!C881, "% ", H864, " Sandstone, ", J864, I864, " FLUOR in SST. ", "TG ", 'Input Sheet'!H881, "U"))</f>
        <v/>
      </c>
      <c r="F864" s="36" t="str">
        <f>IF('Input Sheet'!C881="","",100-'Input Sheet'!C881)</f>
        <v/>
      </c>
      <c r="G8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4" s="36" t="str">
        <f t="shared" si="13"/>
        <v/>
      </c>
      <c r="I8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4" s="36" t="str">
        <f>IF('Input Sheet'!F881=0, "NO",CONCATENATE('Input Sheet'!F881, IF('Input Sheet'!F881&gt;0,"% ","")))</f>
        <v>NO</v>
      </c>
      <c r="K8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4" s="36" t="str">
        <f>CONCATENATE(K864, IF('Input Sheet'!I881="",""," siderite in "))</f>
        <v/>
      </c>
      <c r="M8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4" s="36" t="str">
        <f>CONCATENATE(M864, IF('Input Sheet'!J881="",""," siderite in "))</f>
        <v/>
      </c>
    </row>
    <row r="865" spans="1:14" x14ac:dyDescent="0.25">
      <c r="A865" s="51" t="str">
        <f>IF('Input Sheet'!C882="","",CONCATENATE("Sample ", 'Input Sheet'!B882, "m: ", L865, F865, "% ", "Siltstone, ", N865, 'Input Sheet'!C882, "% ", H865, " Sandstone, ", J865, I865, " FLUOR in SST. ", "TG ", 'Input Sheet'!H882, "U"))</f>
        <v/>
      </c>
      <c r="F865" s="36" t="str">
        <f>IF('Input Sheet'!C882="","",100-'Input Sheet'!C882)</f>
        <v/>
      </c>
      <c r="G8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5" s="36" t="str">
        <f t="shared" si="13"/>
        <v/>
      </c>
      <c r="I8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5" s="36" t="str">
        <f>IF('Input Sheet'!F882=0, "NO",CONCATENATE('Input Sheet'!F882, IF('Input Sheet'!F882&gt;0,"% ","")))</f>
        <v>NO</v>
      </c>
      <c r="K8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5" s="36" t="str">
        <f>CONCATENATE(K865, IF('Input Sheet'!I882="",""," siderite in "))</f>
        <v/>
      </c>
      <c r="M8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5" s="36" t="str">
        <f>CONCATENATE(M865, IF('Input Sheet'!J882="",""," siderite in "))</f>
        <v/>
      </c>
    </row>
    <row r="866" spans="1:14" x14ac:dyDescent="0.25">
      <c r="A866" s="51" t="str">
        <f>IF('Input Sheet'!C883="","",CONCATENATE("Sample ", 'Input Sheet'!B883, "m: ", L866, F866, "% ", "Siltstone, ", N866, 'Input Sheet'!C883, "% ", H866, " Sandstone, ", J866, I866, " FLUOR in SST. ", "TG ", 'Input Sheet'!H883, "U"))</f>
        <v/>
      </c>
      <c r="F866" s="36" t="str">
        <f>IF('Input Sheet'!C883="","",100-'Input Sheet'!C883)</f>
        <v/>
      </c>
      <c r="G8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6" s="36" t="str">
        <f t="shared" si="13"/>
        <v/>
      </c>
      <c r="I8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6" s="36" t="str">
        <f>IF('Input Sheet'!F883=0, "NO",CONCATENATE('Input Sheet'!F883, IF('Input Sheet'!F883&gt;0,"% ","")))</f>
        <v>NO</v>
      </c>
      <c r="K8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6" s="36" t="str">
        <f>CONCATENATE(K866, IF('Input Sheet'!I883="",""," siderite in "))</f>
        <v/>
      </c>
      <c r="M8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6" s="36" t="str">
        <f>CONCATENATE(M866, IF('Input Sheet'!J883="",""," siderite in "))</f>
        <v/>
      </c>
    </row>
    <row r="867" spans="1:14" x14ac:dyDescent="0.25">
      <c r="A867" s="51" t="str">
        <f>IF('Input Sheet'!C884="","",CONCATENATE("Sample ", 'Input Sheet'!B884, "m: ", L867, F867, "% ", "Siltstone, ", N867, 'Input Sheet'!C884, "% ", H867, " Sandstone, ", J867, I867, " FLUOR in SST. ", "TG ", 'Input Sheet'!H884, "U"))</f>
        <v/>
      </c>
      <c r="F867" s="36" t="str">
        <f>IF('Input Sheet'!C884="","",100-'Input Sheet'!C884)</f>
        <v/>
      </c>
      <c r="G8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7" s="36" t="str">
        <f t="shared" si="13"/>
        <v/>
      </c>
      <c r="I8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7" s="36" t="str">
        <f>IF('Input Sheet'!F884=0, "NO",CONCATENATE('Input Sheet'!F884, IF('Input Sheet'!F884&gt;0,"% ","")))</f>
        <v>NO</v>
      </c>
      <c r="K8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7" s="36" t="str">
        <f>CONCATENATE(K867, IF('Input Sheet'!I884="",""," siderite in "))</f>
        <v/>
      </c>
      <c r="M8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7" s="36" t="str">
        <f>CONCATENATE(M867, IF('Input Sheet'!J884="",""," siderite in "))</f>
        <v/>
      </c>
    </row>
    <row r="868" spans="1:14" x14ac:dyDescent="0.25">
      <c r="A868" s="51" t="str">
        <f>IF('Input Sheet'!C885="","",CONCATENATE("Sample ", 'Input Sheet'!B885, "m: ", L868, F868, "% ", "Siltstone, ", N868, 'Input Sheet'!C885, "% ", H868, " Sandstone, ", J868, I868, " FLUOR in SST. ", "TG ", 'Input Sheet'!H885, "U"))</f>
        <v/>
      </c>
      <c r="F868" s="36" t="str">
        <f>IF('Input Sheet'!C885="","",100-'Input Sheet'!C885)</f>
        <v/>
      </c>
      <c r="G8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8" s="36" t="str">
        <f t="shared" si="13"/>
        <v/>
      </c>
      <c r="I8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8" s="36" t="str">
        <f>IF('Input Sheet'!F885=0, "NO",CONCATENATE('Input Sheet'!F885, IF('Input Sheet'!F885&gt;0,"% ","")))</f>
        <v>NO</v>
      </c>
      <c r="K8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8" s="36" t="str">
        <f>CONCATENATE(K868, IF('Input Sheet'!I885="",""," siderite in "))</f>
        <v/>
      </c>
      <c r="M8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8" s="36" t="str">
        <f>CONCATENATE(M868, IF('Input Sheet'!J885="",""," siderite in "))</f>
        <v/>
      </c>
    </row>
    <row r="869" spans="1:14" x14ac:dyDescent="0.25">
      <c r="A869" s="51" t="str">
        <f>IF('Input Sheet'!C886="","",CONCATENATE("Sample ", 'Input Sheet'!B886, "m: ", L869, F869, "% ", "Siltstone, ", N869, 'Input Sheet'!C886, "% ", H869, " Sandstone, ", J869, I869, " FLUOR in SST. ", "TG ", 'Input Sheet'!H886, "U"))</f>
        <v/>
      </c>
      <c r="F869" s="36" t="str">
        <f>IF('Input Sheet'!C886="","",100-'Input Sheet'!C886)</f>
        <v/>
      </c>
      <c r="G8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69" s="36" t="str">
        <f t="shared" si="13"/>
        <v/>
      </c>
      <c r="I8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69" s="36" t="str">
        <f>IF('Input Sheet'!F886=0, "NO",CONCATENATE('Input Sheet'!F886, IF('Input Sheet'!F886&gt;0,"% ","")))</f>
        <v>NO</v>
      </c>
      <c r="K8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69" s="36" t="str">
        <f>CONCATENATE(K869, IF('Input Sheet'!I886="",""," siderite in "))</f>
        <v/>
      </c>
      <c r="M8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69" s="36" t="str">
        <f>CONCATENATE(M869, IF('Input Sheet'!J886="",""," siderite in "))</f>
        <v/>
      </c>
    </row>
    <row r="870" spans="1:14" x14ac:dyDescent="0.25">
      <c r="A870" s="51" t="str">
        <f>IF('Input Sheet'!C887="","",CONCATENATE("Sample ", 'Input Sheet'!B887, "m: ", L870, F870, "% ", "Siltstone, ", N870, 'Input Sheet'!C887, "% ", H870, " Sandstone, ", J870, I870, " FLUOR in SST. ", "TG ", 'Input Sheet'!H887, "U"))</f>
        <v/>
      </c>
      <c r="F870" s="36" t="str">
        <f>IF('Input Sheet'!C887="","",100-'Input Sheet'!C887)</f>
        <v/>
      </c>
      <c r="G8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0" s="36" t="str">
        <f t="shared" si="13"/>
        <v/>
      </c>
      <c r="I8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0" s="36" t="str">
        <f>IF('Input Sheet'!F887=0, "NO",CONCATENATE('Input Sheet'!F887, IF('Input Sheet'!F887&gt;0,"% ","")))</f>
        <v>NO</v>
      </c>
      <c r="K8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0" s="36" t="str">
        <f>CONCATENATE(K870, IF('Input Sheet'!I887="",""," siderite in "))</f>
        <v/>
      </c>
      <c r="M8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0" s="36" t="str">
        <f>CONCATENATE(M870, IF('Input Sheet'!J887="",""," siderite in "))</f>
        <v/>
      </c>
    </row>
    <row r="871" spans="1:14" x14ac:dyDescent="0.25">
      <c r="A871" s="51" t="str">
        <f>IF('Input Sheet'!C888="","",CONCATENATE("Sample ", 'Input Sheet'!B888, "m: ", L871, F871, "% ", "Siltstone, ", N871, 'Input Sheet'!C888, "% ", H871, " Sandstone, ", J871, I871, " FLUOR in SST. ", "TG ", 'Input Sheet'!H888, "U"))</f>
        <v/>
      </c>
      <c r="F871" s="36" t="str">
        <f>IF('Input Sheet'!C888="","",100-'Input Sheet'!C888)</f>
        <v/>
      </c>
      <c r="G8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1" s="36" t="str">
        <f t="shared" si="13"/>
        <v/>
      </c>
      <c r="I8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1" s="36" t="str">
        <f>IF('Input Sheet'!F888=0, "NO",CONCATENATE('Input Sheet'!F888, IF('Input Sheet'!F888&gt;0,"% ","")))</f>
        <v>NO</v>
      </c>
      <c r="K8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1" s="36" t="str">
        <f>CONCATENATE(K871, IF('Input Sheet'!I888="",""," siderite in "))</f>
        <v/>
      </c>
      <c r="M8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1" s="36" t="str">
        <f>CONCATENATE(M871, IF('Input Sheet'!J888="",""," siderite in "))</f>
        <v/>
      </c>
    </row>
    <row r="872" spans="1:14" x14ac:dyDescent="0.25">
      <c r="A872" s="51" t="str">
        <f>IF('Input Sheet'!C889="","",CONCATENATE("Sample ", 'Input Sheet'!B889, "m: ", L872, F872, "% ", "Siltstone, ", N872, 'Input Sheet'!C889, "% ", H872, " Sandstone, ", J872, I872, " FLUOR in SST. ", "TG ", 'Input Sheet'!H889, "U"))</f>
        <v/>
      </c>
      <c r="F872" s="36" t="str">
        <f>IF('Input Sheet'!C889="","",100-'Input Sheet'!C889)</f>
        <v/>
      </c>
      <c r="G8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2" s="36" t="str">
        <f t="shared" si="13"/>
        <v/>
      </c>
      <c r="I8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2" s="36" t="str">
        <f>IF('Input Sheet'!F889=0, "NO",CONCATENATE('Input Sheet'!F889, IF('Input Sheet'!F889&gt;0,"% ","")))</f>
        <v>NO</v>
      </c>
      <c r="K8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2" s="36" t="str">
        <f>CONCATENATE(K872, IF('Input Sheet'!I889="",""," siderite in "))</f>
        <v/>
      </c>
      <c r="M8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2" s="36" t="str">
        <f>CONCATENATE(M872, IF('Input Sheet'!J889="",""," siderite in "))</f>
        <v/>
      </c>
    </row>
    <row r="873" spans="1:14" x14ac:dyDescent="0.25">
      <c r="A873" s="51" t="str">
        <f>IF('Input Sheet'!C890="","",CONCATENATE("Sample ", 'Input Sheet'!B890, "m: ", L873, F873, "% ", "Siltstone, ", N873, 'Input Sheet'!C890, "% ", H873, " Sandstone, ", J873, I873, " FLUOR in SST. ", "TG ", 'Input Sheet'!H890, "U"))</f>
        <v/>
      </c>
      <c r="F873" s="36" t="str">
        <f>IF('Input Sheet'!C890="","",100-'Input Sheet'!C890)</f>
        <v/>
      </c>
      <c r="G8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3" s="36" t="str">
        <f t="shared" si="13"/>
        <v/>
      </c>
      <c r="I8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3" s="36" t="str">
        <f>IF('Input Sheet'!F890=0, "NO",CONCATENATE('Input Sheet'!F890, IF('Input Sheet'!F890&gt;0,"% ","")))</f>
        <v>NO</v>
      </c>
      <c r="K8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3" s="36" t="str">
        <f>CONCATENATE(K873, IF('Input Sheet'!I890="",""," siderite in "))</f>
        <v/>
      </c>
      <c r="M8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3" s="36" t="str">
        <f>CONCATENATE(M873, IF('Input Sheet'!J890="",""," siderite in "))</f>
        <v/>
      </c>
    </row>
    <row r="874" spans="1:14" x14ac:dyDescent="0.25">
      <c r="A874" s="51" t="str">
        <f>IF('Input Sheet'!C891="","",CONCATENATE("Sample ", 'Input Sheet'!B891, "m: ", L874, F874, "% ", "Siltstone, ", N874, 'Input Sheet'!C891, "% ", H874, " Sandstone, ", J874, I874, " FLUOR in SST. ", "TG ", 'Input Sheet'!H891, "U"))</f>
        <v/>
      </c>
      <c r="F874" s="36" t="str">
        <f>IF('Input Sheet'!C891="","",100-'Input Sheet'!C891)</f>
        <v/>
      </c>
      <c r="G8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4" s="36" t="str">
        <f t="shared" si="13"/>
        <v/>
      </c>
      <c r="I8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4" s="36" t="str">
        <f>IF('Input Sheet'!F891=0, "NO",CONCATENATE('Input Sheet'!F891, IF('Input Sheet'!F891&gt;0,"% ","")))</f>
        <v>NO</v>
      </c>
      <c r="K8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4" s="36" t="str">
        <f>CONCATENATE(K874, IF('Input Sheet'!I891="",""," siderite in "))</f>
        <v/>
      </c>
      <c r="M8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4" s="36" t="str">
        <f>CONCATENATE(M874, IF('Input Sheet'!J891="",""," siderite in "))</f>
        <v/>
      </c>
    </row>
    <row r="875" spans="1:14" x14ac:dyDescent="0.25">
      <c r="A875" s="51" t="str">
        <f>IF('Input Sheet'!C892="","",CONCATENATE("Sample ", 'Input Sheet'!B892, "m: ", L875, F875, "% ", "Siltstone, ", N875, 'Input Sheet'!C892, "% ", H875, " Sandstone, ", J875, I875, " FLUOR in SST. ", "TG ", 'Input Sheet'!H892, "U"))</f>
        <v/>
      </c>
      <c r="F875" s="36" t="str">
        <f>IF('Input Sheet'!C892="","",100-'Input Sheet'!C892)</f>
        <v/>
      </c>
      <c r="G8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5" s="36" t="str">
        <f t="shared" si="13"/>
        <v/>
      </c>
      <c r="I8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5" s="36" t="str">
        <f>IF('Input Sheet'!F892=0, "NO",CONCATENATE('Input Sheet'!F892, IF('Input Sheet'!F892&gt;0,"% ","")))</f>
        <v>NO</v>
      </c>
      <c r="K8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5" s="36" t="str">
        <f>CONCATENATE(K875, IF('Input Sheet'!I892="",""," siderite in "))</f>
        <v/>
      </c>
      <c r="M8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5" s="36" t="str">
        <f>CONCATENATE(M875, IF('Input Sheet'!J892="",""," siderite in "))</f>
        <v/>
      </c>
    </row>
    <row r="876" spans="1:14" x14ac:dyDescent="0.25">
      <c r="A876" s="51" t="str">
        <f>IF('Input Sheet'!C893="","",CONCATENATE("Sample ", 'Input Sheet'!B893, "m: ", L876, F876, "% ", "Siltstone, ", N876, 'Input Sheet'!C893, "% ", H876, " Sandstone, ", J876, I876, " FLUOR in SST. ", "TG ", 'Input Sheet'!H893, "U"))</f>
        <v/>
      </c>
      <c r="F876" s="36" t="str">
        <f>IF('Input Sheet'!C893="","",100-'Input Sheet'!C893)</f>
        <v/>
      </c>
      <c r="G8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6" s="36" t="str">
        <f t="shared" si="13"/>
        <v/>
      </c>
      <c r="I8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6" s="36" t="str">
        <f>IF('Input Sheet'!F893=0, "NO",CONCATENATE('Input Sheet'!F893, IF('Input Sheet'!F893&gt;0,"% ","")))</f>
        <v>NO</v>
      </c>
      <c r="K8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6" s="36" t="str">
        <f>CONCATENATE(K876, IF('Input Sheet'!I893="",""," siderite in "))</f>
        <v/>
      </c>
      <c r="M8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6" s="36" t="str">
        <f>CONCATENATE(M876, IF('Input Sheet'!J893="",""," siderite in "))</f>
        <v/>
      </c>
    </row>
    <row r="877" spans="1:14" x14ac:dyDescent="0.25">
      <c r="A877" s="51" t="str">
        <f>IF('Input Sheet'!C894="","",CONCATENATE("Sample ", 'Input Sheet'!B894, "m: ", L877, F877, "% ", "Siltstone, ", N877, 'Input Sheet'!C894, "% ", H877, " Sandstone, ", J877, I877, " FLUOR in SST. ", "TG ", 'Input Sheet'!H894, "U"))</f>
        <v/>
      </c>
      <c r="F877" s="36" t="str">
        <f>IF('Input Sheet'!C894="","",100-'Input Sheet'!C894)</f>
        <v/>
      </c>
      <c r="G8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7" s="36" t="str">
        <f t="shared" si="13"/>
        <v/>
      </c>
      <c r="I8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7" s="36" t="str">
        <f>IF('Input Sheet'!F894=0, "NO",CONCATENATE('Input Sheet'!F894, IF('Input Sheet'!F894&gt;0,"% ","")))</f>
        <v>NO</v>
      </c>
      <c r="K8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7" s="36" t="str">
        <f>CONCATENATE(K877, IF('Input Sheet'!I894="",""," siderite in "))</f>
        <v/>
      </c>
      <c r="M8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7" s="36" t="str">
        <f>CONCATENATE(M877, IF('Input Sheet'!J894="",""," siderite in "))</f>
        <v/>
      </c>
    </row>
    <row r="878" spans="1:14" x14ac:dyDescent="0.25">
      <c r="A878" s="51" t="str">
        <f>IF('Input Sheet'!C895="","",CONCATENATE("Sample ", 'Input Sheet'!B895, "m: ", L878, F878, "% ", "Siltstone, ", N878, 'Input Sheet'!C895, "% ", H878, " Sandstone, ", J878, I878, " FLUOR in SST. ", "TG ", 'Input Sheet'!H895, "U"))</f>
        <v/>
      </c>
      <c r="F878" s="36" t="str">
        <f>IF('Input Sheet'!C895="","",100-'Input Sheet'!C895)</f>
        <v/>
      </c>
      <c r="G8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8" s="36" t="str">
        <f t="shared" si="13"/>
        <v/>
      </c>
      <c r="I8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8" s="36" t="str">
        <f>IF('Input Sheet'!F895=0, "NO",CONCATENATE('Input Sheet'!F895, IF('Input Sheet'!F895&gt;0,"% ","")))</f>
        <v>NO</v>
      </c>
      <c r="K8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8" s="36" t="str">
        <f>CONCATENATE(K878, IF('Input Sheet'!I895="",""," siderite in "))</f>
        <v/>
      </c>
      <c r="M8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8" s="36" t="str">
        <f>CONCATENATE(M878, IF('Input Sheet'!J895="",""," siderite in "))</f>
        <v/>
      </c>
    </row>
    <row r="879" spans="1:14" x14ac:dyDescent="0.25">
      <c r="A879" s="51" t="str">
        <f>IF('Input Sheet'!C896="","",CONCATENATE("Sample ", 'Input Sheet'!B896, "m: ", L879, F879, "% ", "Siltstone, ", N879, 'Input Sheet'!C896, "% ", H879, " Sandstone, ", J879, I879, " FLUOR in SST. ", "TG ", 'Input Sheet'!H896, "U"))</f>
        <v/>
      </c>
      <c r="F879" s="36" t="str">
        <f>IF('Input Sheet'!C896="","",100-'Input Sheet'!C896)</f>
        <v/>
      </c>
      <c r="G8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79" s="36" t="str">
        <f t="shared" si="13"/>
        <v/>
      </c>
      <c r="I8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79" s="36" t="str">
        <f>IF('Input Sheet'!F896=0, "NO",CONCATENATE('Input Sheet'!F896, IF('Input Sheet'!F896&gt;0,"% ","")))</f>
        <v>NO</v>
      </c>
      <c r="K8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79" s="36" t="str">
        <f>CONCATENATE(K879, IF('Input Sheet'!I896="",""," siderite in "))</f>
        <v/>
      </c>
      <c r="M8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79" s="36" t="str">
        <f>CONCATENATE(M879, IF('Input Sheet'!J896="",""," siderite in "))</f>
        <v/>
      </c>
    </row>
    <row r="880" spans="1:14" x14ac:dyDescent="0.25">
      <c r="A880" s="51" t="str">
        <f>IF('Input Sheet'!C897="","",CONCATENATE("Sample ", 'Input Sheet'!B897, "m: ", L880, F880, "% ", "Siltstone, ", N880, 'Input Sheet'!C897, "% ", H880, " Sandstone, ", J880, I880, " FLUOR in SST. ", "TG ", 'Input Sheet'!H897, "U"))</f>
        <v/>
      </c>
      <c r="F880" s="36" t="str">
        <f>IF('Input Sheet'!C897="","",100-'Input Sheet'!C897)</f>
        <v/>
      </c>
      <c r="G8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0" s="36" t="str">
        <f t="shared" si="13"/>
        <v/>
      </c>
      <c r="I8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0" s="36" t="str">
        <f>IF('Input Sheet'!F897=0, "NO",CONCATENATE('Input Sheet'!F897, IF('Input Sheet'!F897&gt;0,"% ","")))</f>
        <v>NO</v>
      </c>
      <c r="K8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0" s="36" t="str">
        <f>CONCATENATE(K880, IF('Input Sheet'!I897="",""," siderite in "))</f>
        <v/>
      </c>
      <c r="M8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0" s="36" t="str">
        <f>CONCATENATE(M880, IF('Input Sheet'!J897="",""," siderite in "))</f>
        <v/>
      </c>
    </row>
    <row r="881" spans="1:14" x14ac:dyDescent="0.25">
      <c r="A881" s="51" t="str">
        <f>IF('Input Sheet'!C898="","",CONCATENATE("Sample ", 'Input Sheet'!B898, "m: ", L881, F881, "% ", "Siltstone, ", N881, 'Input Sheet'!C898, "% ", H881, " Sandstone, ", J881, I881, " FLUOR in SST. ", "TG ", 'Input Sheet'!H898, "U"))</f>
        <v/>
      </c>
      <c r="F881" s="36" t="str">
        <f>IF('Input Sheet'!C898="","",100-'Input Sheet'!C898)</f>
        <v/>
      </c>
      <c r="G8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1" s="36" t="str">
        <f t="shared" si="13"/>
        <v/>
      </c>
      <c r="I8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1" s="36" t="str">
        <f>IF('Input Sheet'!F898=0, "NO",CONCATENATE('Input Sheet'!F898, IF('Input Sheet'!F898&gt;0,"% ","")))</f>
        <v>NO</v>
      </c>
      <c r="K8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1" s="36" t="str">
        <f>CONCATENATE(K881, IF('Input Sheet'!I898="",""," siderite in "))</f>
        <v/>
      </c>
      <c r="M8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1" s="36" t="str">
        <f>CONCATENATE(M881, IF('Input Sheet'!J898="",""," siderite in "))</f>
        <v/>
      </c>
    </row>
    <row r="882" spans="1:14" x14ac:dyDescent="0.25">
      <c r="A882" s="51" t="str">
        <f>IF('Input Sheet'!C899="","",CONCATENATE("Sample ", 'Input Sheet'!B899, "m: ", L882, F882, "% ", "Siltstone, ", N882, 'Input Sheet'!C899, "% ", H882, " Sandstone, ", J882, I882, " FLUOR in SST. ", "TG ", 'Input Sheet'!H899, "U"))</f>
        <v/>
      </c>
      <c r="F882" s="36" t="str">
        <f>IF('Input Sheet'!C899="","",100-'Input Sheet'!C899)</f>
        <v/>
      </c>
      <c r="G8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899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2" s="36" t="str">
        <f t="shared" si="13"/>
        <v/>
      </c>
      <c r="I8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899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2" s="36" t="str">
        <f>IF('Input Sheet'!F899=0, "NO",CONCATENATE('Input Sheet'!F899, IF('Input Sheet'!F899&gt;0,"% ","")))</f>
        <v>NO</v>
      </c>
      <c r="K8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899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2" s="36" t="str">
        <f>CONCATENATE(K882, IF('Input Sheet'!I899="",""," siderite in "))</f>
        <v/>
      </c>
      <c r="M8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899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2" s="36" t="str">
        <f>CONCATENATE(M882, IF('Input Sheet'!J899="",""," siderite in "))</f>
        <v/>
      </c>
    </row>
    <row r="883" spans="1:14" x14ac:dyDescent="0.25">
      <c r="A883" s="51" t="str">
        <f>IF('Input Sheet'!C900="","",CONCATENATE("Sample ", 'Input Sheet'!B900, "m: ", L883, F883, "% ", "Siltstone, ", N883, 'Input Sheet'!C900, "% ", H883, " Sandstone, ", J883, I883, " FLUOR in SST. ", "TG ", 'Input Sheet'!H900, "U"))</f>
        <v/>
      </c>
      <c r="F883" s="36" t="str">
        <f>IF('Input Sheet'!C900="","",100-'Input Sheet'!C900)</f>
        <v/>
      </c>
      <c r="G8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3" s="36" t="str">
        <f t="shared" si="13"/>
        <v/>
      </c>
      <c r="I8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3" s="36" t="str">
        <f>IF('Input Sheet'!F900=0, "NO",CONCATENATE('Input Sheet'!F900, IF('Input Sheet'!F900&gt;0,"% ","")))</f>
        <v>NO</v>
      </c>
      <c r="K8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3" s="36" t="str">
        <f>CONCATENATE(K883, IF('Input Sheet'!I900="",""," siderite in "))</f>
        <v/>
      </c>
      <c r="M8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3" s="36" t="str">
        <f>CONCATENATE(M883, IF('Input Sheet'!J900="",""," siderite in "))</f>
        <v/>
      </c>
    </row>
    <row r="884" spans="1:14" x14ac:dyDescent="0.25">
      <c r="A884" s="51" t="str">
        <f>IF('Input Sheet'!C901="","",CONCATENATE("Sample ", 'Input Sheet'!B901, "m: ", L884, F884, "% ", "Siltstone, ", N884, 'Input Sheet'!C901, "% ", H884, " Sandstone, ", J884, I884, " FLUOR in SST. ", "TG ", 'Input Sheet'!H901, "U"))</f>
        <v/>
      </c>
      <c r="F884" s="36" t="str">
        <f>IF('Input Sheet'!C901="","",100-'Input Sheet'!C901)</f>
        <v/>
      </c>
      <c r="G8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4" s="36" t="str">
        <f t="shared" si="13"/>
        <v/>
      </c>
      <c r="I8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4" s="36" t="str">
        <f>IF('Input Sheet'!F901=0, "NO",CONCATENATE('Input Sheet'!F901, IF('Input Sheet'!F901&gt;0,"% ","")))</f>
        <v>NO</v>
      </c>
      <c r="K8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4" s="36" t="str">
        <f>CONCATENATE(K884, IF('Input Sheet'!I901="",""," siderite in "))</f>
        <v/>
      </c>
      <c r="M8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4" s="36" t="str">
        <f>CONCATENATE(M884, IF('Input Sheet'!J901="",""," siderite in "))</f>
        <v/>
      </c>
    </row>
    <row r="885" spans="1:14" x14ac:dyDescent="0.25">
      <c r="A885" s="51" t="str">
        <f>IF('Input Sheet'!C902="","",CONCATENATE("Sample ", 'Input Sheet'!B902, "m: ", L885, F885, "% ", "Siltstone, ", N885, 'Input Sheet'!C902, "% ", H885, " Sandstone, ", J885, I885, " FLUOR in SST. ", "TG ", 'Input Sheet'!H902, "U"))</f>
        <v/>
      </c>
      <c r="F885" s="36" t="str">
        <f>IF('Input Sheet'!C902="","",100-'Input Sheet'!C902)</f>
        <v/>
      </c>
      <c r="G8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5" s="36" t="str">
        <f t="shared" si="13"/>
        <v/>
      </c>
      <c r="I8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5" s="36" t="str">
        <f>IF('Input Sheet'!F902=0, "NO",CONCATENATE('Input Sheet'!F902, IF('Input Sheet'!F902&gt;0,"% ","")))</f>
        <v>NO</v>
      </c>
      <c r="K8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5" s="36" t="str">
        <f>CONCATENATE(K885, IF('Input Sheet'!I902="",""," siderite in "))</f>
        <v/>
      </c>
      <c r="M8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5" s="36" t="str">
        <f>CONCATENATE(M885, IF('Input Sheet'!J902="",""," siderite in "))</f>
        <v/>
      </c>
    </row>
    <row r="886" spans="1:14" x14ac:dyDescent="0.25">
      <c r="A886" s="51" t="str">
        <f>IF('Input Sheet'!C903="","",CONCATENATE("Sample ", 'Input Sheet'!B903, "m: ", L886, F886, "% ", "Siltstone, ", N886, 'Input Sheet'!C903, "% ", H886, " Sandstone, ", J886, I886, " FLUOR in SST. ", "TG ", 'Input Sheet'!H903, "U"))</f>
        <v/>
      </c>
      <c r="F886" s="36" t="str">
        <f>IF('Input Sheet'!C903="","",100-'Input Sheet'!C903)</f>
        <v/>
      </c>
      <c r="G8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6" s="36" t="str">
        <f t="shared" si="13"/>
        <v/>
      </c>
      <c r="I8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6" s="36" t="str">
        <f>IF('Input Sheet'!F903=0, "NO",CONCATENATE('Input Sheet'!F903, IF('Input Sheet'!F903&gt;0,"% ","")))</f>
        <v>NO</v>
      </c>
      <c r="K8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6" s="36" t="str">
        <f>CONCATENATE(K886, IF('Input Sheet'!I903="",""," siderite in "))</f>
        <v/>
      </c>
      <c r="M8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6" s="36" t="str">
        <f>CONCATENATE(M886, IF('Input Sheet'!J903="",""," siderite in "))</f>
        <v/>
      </c>
    </row>
    <row r="887" spans="1:14" x14ac:dyDescent="0.25">
      <c r="A887" s="51" t="str">
        <f>IF('Input Sheet'!C904="","",CONCATENATE("Sample ", 'Input Sheet'!B904, "m: ", L887, F887, "% ", "Siltstone, ", N887, 'Input Sheet'!C904, "% ", H887, " Sandstone, ", J887, I887, " FLUOR in SST. ", "TG ", 'Input Sheet'!H904, "U"))</f>
        <v/>
      </c>
      <c r="F887" s="36" t="str">
        <f>IF('Input Sheet'!C904="","",100-'Input Sheet'!C904)</f>
        <v/>
      </c>
      <c r="G8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7" s="36" t="str">
        <f t="shared" si="13"/>
        <v/>
      </c>
      <c r="I8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7" s="36" t="str">
        <f>IF('Input Sheet'!F904=0, "NO",CONCATENATE('Input Sheet'!F904, IF('Input Sheet'!F904&gt;0,"% ","")))</f>
        <v>NO</v>
      </c>
      <c r="K8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7" s="36" t="str">
        <f>CONCATENATE(K887, IF('Input Sheet'!I904="",""," siderite in "))</f>
        <v/>
      </c>
      <c r="M8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7" s="36" t="str">
        <f>CONCATENATE(M887, IF('Input Sheet'!J904="",""," siderite in "))</f>
        <v/>
      </c>
    </row>
    <row r="888" spans="1:14" x14ac:dyDescent="0.25">
      <c r="A888" s="51" t="str">
        <f>IF('Input Sheet'!C905="","",CONCATENATE("Sample ", 'Input Sheet'!B905, "m: ", L888, F888, "% ", "Siltstone, ", N888, 'Input Sheet'!C905, "% ", H888, " Sandstone, ", J888, I888, " FLUOR in SST. ", "TG ", 'Input Sheet'!H905, "U"))</f>
        <v/>
      </c>
      <c r="F888" s="36" t="str">
        <f>IF('Input Sheet'!C905="","",100-'Input Sheet'!C905)</f>
        <v/>
      </c>
      <c r="G8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8" s="36" t="str">
        <f t="shared" si="13"/>
        <v/>
      </c>
      <c r="I8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8" s="36" t="str">
        <f>IF('Input Sheet'!F905=0, "NO",CONCATENATE('Input Sheet'!F905, IF('Input Sheet'!F905&gt;0,"% ","")))</f>
        <v>NO</v>
      </c>
      <c r="K8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8" s="36" t="str">
        <f>CONCATENATE(K888, IF('Input Sheet'!I905="",""," siderite in "))</f>
        <v/>
      </c>
      <c r="M8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8" s="36" t="str">
        <f>CONCATENATE(M888, IF('Input Sheet'!J905="",""," siderite in "))</f>
        <v/>
      </c>
    </row>
    <row r="889" spans="1:14" x14ac:dyDescent="0.25">
      <c r="A889" s="51" t="str">
        <f>IF('Input Sheet'!C906="","",CONCATENATE("Sample ", 'Input Sheet'!B906, "m: ", L889, F889, "% ", "Siltstone, ", N889, 'Input Sheet'!C906, "% ", H889, " Sandstone, ", J889, I889, " FLUOR in SST. ", "TG ", 'Input Sheet'!H906, "U"))</f>
        <v/>
      </c>
      <c r="F889" s="36" t="str">
        <f>IF('Input Sheet'!C906="","",100-'Input Sheet'!C906)</f>
        <v/>
      </c>
      <c r="G8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89" s="36" t="str">
        <f t="shared" si="13"/>
        <v/>
      </c>
      <c r="I8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89" s="36" t="str">
        <f>IF('Input Sheet'!F906=0, "NO",CONCATENATE('Input Sheet'!F906, IF('Input Sheet'!F906&gt;0,"% ","")))</f>
        <v>NO</v>
      </c>
      <c r="K8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89" s="36" t="str">
        <f>CONCATENATE(K889, IF('Input Sheet'!I906="",""," siderite in "))</f>
        <v/>
      </c>
      <c r="M8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89" s="36" t="str">
        <f>CONCATENATE(M889, IF('Input Sheet'!J906="",""," siderite in "))</f>
        <v/>
      </c>
    </row>
    <row r="890" spans="1:14" x14ac:dyDescent="0.25">
      <c r="A890" s="51" t="str">
        <f>IF('Input Sheet'!C907="","",CONCATENATE("Sample ", 'Input Sheet'!B907, "m: ", L890, F890, "% ", "Siltstone, ", N890, 'Input Sheet'!C907, "% ", H890, " Sandstone, ", J890, I890, " FLUOR in SST. ", "TG ", 'Input Sheet'!H907, "U"))</f>
        <v/>
      </c>
      <c r="F890" s="36" t="str">
        <f>IF('Input Sheet'!C907="","",100-'Input Sheet'!C907)</f>
        <v/>
      </c>
      <c r="G8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0" s="36" t="str">
        <f t="shared" si="13"/>
        <v/>
      </c>
      <c r="I8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0" s="36" t="str">
        <f>IF('Input Sheet'!F907=0, "NO",CONCATENATE('Input Sheet'!F907, IF('Input Sheet'!F907&gt;0,"% ","")))</f>
        <v>NO</v>
      </c>
      <c r="K8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0" s="36" t="str">
        <f>CONCATENATE(K890, IF('Input Sheet'!I907="",""," siderite in "))</f>
        <v/>
      </c>
      <c r="M8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0" s="36" t="str">
        <f>CONCATENATE(M890, IF('Input Sheet'!J907="",""," siderite in "))</f>
        <v/>
      </c>
    </row>
    <row r="891" spans="1:14" x14ac:dyDescent="0.25">
      <c r="A891" s="51" t="str">
        <f>IF('Input Sheet'!C908="","",CONCATENATE("Sample ", 'Input Sheet'!B908, "m: ", L891, F891, "% ", "Siltstone, ", N891, 'Input Sheet'!C908, "% ", H891, " Sandstone, ", J891, I891, " FLUOR in SST. ", "TG ", 'Input Sheet'!H908, "U"))</f>
        <v/>
      </c>
      <c r="F891" s="36" t="str">
        <f>IF('Input Sheet'!C908="","",100-'Input Sheet'!C908)</f>
        <v/>
      </c>
      <c r="G8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1" s="36" t="str">
        <f t="shared" si="13"/>
        <v/>
      </c>
      <c r="I8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1" s="36" t="str">
        <f>IF('Input Sheet'!F908=0, "NO",CONCATENATE('Input Sheet'!F908, IF('Input Sheet'!F908&gt;0,"% ","")))</f>
        <v>NO</v>
      </c>
      <c r="K8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1" s="36" t="str">
        <f>CONCATENATE(K891, IF('Input Sheet'!I908="",""," siderite in "))</f>
        <v/>
      </c>
      <c r="M8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1" s="36" t="str">
        <f>CONCATENATE(M891, IF('Input Sheet'!J908="",""," siderite in "))</f>
        <v/>
      </c>
    </row>
    <row r="892" spans="1:14" x14ac:dyDescent="0.25">
      <c r="A892" s="51" t="str">
        <f>IF('Input Sheet'!C909="","",CONCATENATE("Sample ", 'Input Sheet'!B909, "m: ", L892, F892, "% ", "Siltstone, ", N892, 'Input Sheet'!C909, "% ", H892, " Sandstone, ", J892, I892, " FLUOR in SST. ", "TG ", 'Input Sheet'!H909, "U"))</f>
        <v/>
      </c>
      <c r="F892" s="36" t="str">
        <f>IF('Input Sheet'!C909="","",100-'Input Sheet'!C909)</f>
        <v/>
      </c>
      <c r="G8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2" s="36" t="str">
        <f t="shared" si="13"/>
        <v/>
      </c>
      <c r="I8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2" s="36" t="str">
        <f>IF('Input Sheet'!F909=0, "NO",CONCATENATE('Input Sheet'!F909, IF('Input Sheet'!F909&gt;0,"% ","")))</f>
        <v>NO</v>
      </c>
      <c r="K8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2" s="36" t="str">
        <f>CONCATENATE(K892, IF('Input Sheet'!I909="",""," siderite in "))</f>
        <v/>
      </c>
      <c r="M8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2" s="36" t="str">
        <f>CONCATENATE(M892, IF('Input Sheet'!J909="",""," siderite in "))</f>
        <v/>
      </c>
    </row>
    <row r="893" spans="1:14" x14ac:dyDescent="0.25">
      <c r="A893" s="51" t="str">
        <f>IF('Input Sheet'!C910="","",CONCATENATE("Sample ", 'Input Sheet'!B910, "m: ", L893, F893, "% ", "Siltstone, ", N893, 'Input Sheet'!C910, "% ", H893, " Sandstone, ", J893, I893, " FLUOR in SST. ", "TG ", 'Input Sheet'!H910, "U"))</f>
        <v/>
      </c>
      <c r="F893" s="36" t="str">
        <f>IF('Input Sheet'!C910="","",100-'Input Sheet'!C910)</f>
        <v/>
      </c>
      <c r="G8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3" s="36" t="str">
        <f t="shared" si="13"/>
        <v/>
      </c>
      <c r="I8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3" s="36" t="str">
        <f>IF('Input Sheet'!F910=0, "NO",CONCATENATE('Input Sheet'!F910, IF('Input Sheet'!F910&gt;0,"% ","")))</f>
        <v>NO</v>
      </c>
      <c r="K8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3" s="36" t="str">
        <f>CONCATENATE(K893, IF('Input Sheet'!I910="",""," siderite in "))</f>
        <v/>
      </c>
      <c r="M8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3" s="36" t="str">
        <f>CONCATENATE(M893, IF('Input Sheet'!J910="",""," siderite in "))</f>
        <v/>
      </c>
    </row>
    <row r="894" spans="1:14" x14ac:dyDescent="0.25">
      <c r="A894" s="51" t="str">
        <f>IF('Input Sheet'!C911="","",CONCATENATE("Sample ", 'Input Sheet'!B911, "m: ", L894, F894, "% ", "Siltstone, ", N894, 'Input Sheet'!C911, "% ", H894, " Sandstone, ", J894, I894, " FLUOR in SST. ", "TG ", 'Input Sheet'!H911, "U"))</f>
        <v/>
      </c>
      <c r="F894" s="36" t="str">
        <f>IF('Input Sheet'!C911="","",100-'Input Sheet'!C911)</f>
        <v/>
      </c>
      <c r="G8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4" s="36" t="str">
        <f t="shared" si="13"/>
        <v/>
      </c>
      <c r="I8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4" s="36" t="str">
        <f>IF('Input Sheet'!F911=0, "NO",CONCATENATE('Input Sheet'!F911, IF('Input Sheet'!F911&gt;0,"% ","")))</f>
        <v>NO</v>
      </c>
      <c r="K8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4" s="36" t="str">
        <f>CONCATENATE(K894, IF('Input Sheet'!I911="",""," siderite in "))</f>
        <v/>
      </c>
      <c r="M8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4" s="36" t="str">
        <f>CONCATENATE(M894, IF('Input Sheet'!J911="",""," siderite in "))</f>
        <v/>
      </c>
    </row>
    <row r="895" spans="1:14" x14ac:dyDescent="0.25">
      <c r="A895" s="51" t="str">
        <f>IF('Input Sheet'!C912="","",CONCATENATE("Sample ", 'Input Sheet'!B912, "m: ", L895, F895, "% ", "Siltstone, ", N895, 'Input Sheet'!C912, "% ", H895, " Sandstone, ", J895, I895, " FLUOR in SST. ", "TG ", 'Input Sheet'!H912, "U"))</f>
        <v/>
      </c>
      <c r="F895" s="36" t="str">
        <f>IF('Input Sheet'!C912="","",100-'Input Sheet'!C912)</f>
        <v/>
      </c>
      <c r="G8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5" s="36" t="str">
        <f t="shared" si="13"/>
        <v/>
      </c>
      <c r="I8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5" s="36" t="str">
        <f>IF('Input Sheet'!F912=0, "NO",CONCATENATE('Input Sheet'!F912, IF('Input Sheet'!F912&gt;0,"% ","")))</f>
        <v>NO</v>
      </c>
      <c r="K8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5" s="36" t="str">
        <f>CONCATENATE(K895, IF('Input Sheet'!I912="",""," siderite in "))</f>
        <v/>
      </c>
      <c r="M8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5" s="36" t="str">
        <f>CONCATENATE(M895, IF('Input Sheet'!J912="",""," siderite in "))</f>
        <v/>
      </c>
    </row>
    <row r="896" spans="1:14" x14ac:dyDescent="0.25">
      <c r="A896" s="51" t="str">
        <f>IF('Input Sheet'!C913="","",CONCATENATE("Sample ", 'Input Sheet'!B913, "m: ", L896, F896, "% ", "Siltstone, ", N896, 'Input Sheet'!C913, "% ", H896, " Sandstone, ", J896, I896, " FLUOR in SST. ", "TG ", 'Input Sheet'!H913, "U"))</f>
        <v/>
      </c>
      <c r="F896" s="36" t="str">
        <f>IF('Input Sheet'!C913="","",100-'Input Sheet'!C913)</f>
        <v/>
      </c>
      <c r="G8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6" s="36" t="str">
        <f t="shared" si="13"/>
        <v/>
      </c>
      <c r="I8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6" s="36" t="str">
        <f>IF('Input Sheet'!F913=0, "NO",CONCATENATE('Input Sheet'!F913, IF('Input Sheet'!F913&gt;0,"% ","")))</f>
        <v>NO</v>
      </c>
      <c r="K8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6" s="36" t="str">
        <f>CONCATENATE(K896, IF('Input Sheet'!I913="",""," siderite in "))</f>
        <v/>
      </c>
      <c r="M8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6" s="36" t="str">
        <f>CONCATENATE(M896, IF('Input Sheet'!J913="",""," siderite in "))</f>
        <v/>
      </c>
    </row>
    <row r="897" spans="1:14" x14ac:dyDescent="0.25">
      <c r="A897" s="51" t="str">
        <f>IF('Input Sheet'!C914="","",CONCATENATE("Sample ", 'Input Sheet'!B914, "m: ", L897, F897, "% ", "Siltstone, ", N897, 'Input Sheet'!C914, "% ", H897, " Sandstone, ", J897, I897, " FLUOR in SST. ", "TG ", 'Input Sheet'!H914, "U"))</f>
        <v/>
      </c>
      <c r="F897" s="36" t="str">
        <f>IF('Input Sheet'!C914="","",100-'Input Sheet'!C914)</f>
        <v/>
      </c>
      <c r="G8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7" s="36" t="str">
        <f t="shared" si="13"/>
        <v/>
      </c>
      <c r="I8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7" s="36" t="str">
        <f>IF('Input Sheet'!F914=0, "NO",CONCATENATE('Input Sheet'!F914, IF('Input Sheet'!F914&gt;0,"% ","")))</f>
        <v>NO</v>
      </c>
      <c r="K8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7" s="36" t="str">
        <f>CONCATENATE(K897, IF('Input Sheet'!I914="",""," siderite in "))</f>
        <v/>
      </c>
      <c r="M8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7" s="36" t="str">
        <f>CONCATENATE(M897, IF('Input Sheet'!J914="",""," siderite in "))</f>
        <v/>
      </c>
    </row>
    <row r="898" spans="1:14" x14ac:dyDescent="0.25">
      <c r="A898" s="51" t="str">
        <f>IF('Input Sheet'!C915="","",CONCATENATE("Sample ", 'Input Sheet'!B915, "m: ", L898, F898, "% ", "Siltstone, ", N898, 'Input Sheet'!C915, "% ", H898, " Sandstone, ", J898, I898, " FLUOR in SST. ", "TG ", 'Input Sheet'!H915, "U"))</f>
        <v/>
      </c>
      <c r="F898" s="36" t="str">
        <f>IF('Input Sheet'!C915="","",100-'Input Sheet'!C915)</f>
        <v/>
      </c>
      <c r="G8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8" s="36" t="str">
        <f t="shared" ref="H898:H961" si="14">SUBSTITUTE(G898, "veryfine", "very fine")</f>
        <v/>
      </c>
      <c r="I8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8" s="36" t="str">
        <f>IF('Input Sheet'!F915=0, "NO",CONCATENATE('Input Sheet'!F915, IF('Input Sheet'!F915&gt;0,"% ","")))</f>
        <v>NO</v>
      </c>
      <c r="K8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8" s="36" t="str">
        <f>CONCATENATE(K898, IF('Input Sheet'!I915="",""," siderite in "))</f>
        <v/>
      </c>
      <c r="M8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8" s="36" t="str">
        <f>CONCATENATE(M898, IF('Input Sheet'!J915="",""," siderite in "))</f>
        <v/>
      </c>
    </row>
    <row r="899" spans="1:14" x14ac:dyDescent="0.25">
      <c r="A899" s="51" t="str">
        <f>IF('Input Sheet'!C916="","",CONCATENATE("Sample ", 'Input Sheet'!B916, "m: ", L899, F899, "% ", "Siltstone, ", N899, 'Input Sheet'!C916, "% ", H899, " Sandstone, ", J899, I899, " FLUOR in SST. ", "TG ", 'Input Sheet'!H916, "U"))</f>
        <v/>
      </c>
      <c r="F899" s="36" t="str">
        <f>IF('Input Sheet'!C916="","",100-'Input Sheet'!C916)</f>
        <v/>
      </c>
      <c r="G8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899" s="36" t="str">
        <f t="shared" si="14"/>
        <v/>
      </c>
      <c r="I8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899" s="36" t="str">
        <f>IF('Input Sheet'!F916=0, "NO",CONCATENATE('Input Sheet'!F916, IF('Input Sheet'!F916&gt;0,"% ","")))</f>
        <v>NO</v>
      </c>
      <c r="K8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899" s="36" t="str">
        <f>CONCATENATE(K899, IF('Input Sheet'!I916="",""," siderite in "))</f>
        <v/>
      </c>
      <c r="M8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899" s="36" t="str">
        <f>CONCATENATE(M899, IF('Input Sheet'!J916="",""," siderite in "))</f>
        <v/>
      </c>
    </row>
    <row r="900" spans="1:14" x14ac:dyDescent="0.25">
      <c r="A900" s="51" t="str">
        <f>IF('Input Sheet'!C917="","",CONCATENATE("Sample ", 'Input Sheet'!B917, "m: ", L900, F900, "% ", "Siltstone, ", N900, 'Input Sheet'!C917, "% ", H900, " Sandstone, ", J900, I900, " FLUOR in SST. ", "TG ", 'Input Sheet'!H917, "U"))</f>
        <v/>
      </c>
      <c r="F900" s="36" t="str">
        <f>IF('Input Sheet'!C917="","",100-'Input Sheet'!C917)</f>
        <v/>
      </c>
      <c r="G9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0" s="36" t="str">
        <f t="shared" si="14"/>
        <v/>
      </c>
      <c r="I9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0" s="36" t="str">
        <f>IF('Input Sheet'!F917=0, "NO",CONCATENATE('Input Sheet'!F917, IF('Input Sheet'!F917&gt;0,"% ","")))</f>
        <v>NO</v>
      </c>
      <c r="K9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0" s="36" t="str">
        <f>CONCATENATE(K900, IF('Input Sheet'!I917="",""," siderite in "))</f>
        <v/>
      </c>
      <c r="M90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0" s="36" t="str">
        <f>CONCATENATE(M900, IF('Input Sheet'!J917="",""," siderite in "))</f>
        <v/>
      </c>
    </row>
    <row r="901" spans="1:14" x14ac:dyDescent="0.25">
      <c r="A901" s="51" t="str">
        <f>IF('Input Sheet'!C918="","",CONCATENATE("Sample ", 'Input Sheet'!B918, "m: ", L901, F901, "% ", "Siltstone, ", N901, 'Input Sheet'!C918, "% ", H901, " Sandstone, ", J901, I901, " FLUOR in SST. ", "TG ", 'Input Sheet'!H918, "U"))</f>
        <v/>
      </c>
      <c r="F901" s="36" t="str">
        <f>IF('Input Sheet'!C918="","",100-'Input Sheet'!C918)</f>
        <v/>
      </c>
      <c r="G9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1" s="36" t="str">
        <f t="shared" si="14"/>
        <v/>
      </c>
      <c r="I9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1" s="36" t="str">
        <f>IF('Input Sheet'!F918=0, "NO",CONCATENATE('Input Sheet'!F918, IF('Input Sheet'!F918&gt;0,"% ","")))</f>
        <v>NO</v>
      </c>
      <c r="K9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1" s="36" t="str">
        <f>CONCATENATE(K901, IF('Input Sheet'!I918="",""," siderite in "))</f>
        <v/>
      </c>
      <c r="M90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1" s="36" t="str">
        <f>CONCATENATE(M901, IF('Input Sheet'!J918="",""," siderite in "))</f>
        <v/>
      </c>
    </row>
    <row r="902" spans="1:14" x14ac:dyDescent="0.25">
      <c r="A902" s="51" t="str">
        <f>IF('Input Sheet'!C919="","",CONCATENATE("Sample ", 'Input Sheet'!B919, "m: ", L902, F902, "% ", "Siltstone, ", N902, 'Input Sheet'!C919, "% ", H902, " Sandstone, ", J902, I902, " FLUOR in SST. ", "TG ", 'Input Sheet'!H919, "U"))</f>
        <v/>
      </c>
      <c r="F902" s="36" t="str">
        <f>IF('Input Sheet'!C919="","",100-'Input Sheet'!C919)</f>
        <v/>
      </c>
      <c r="G9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2" s="36" t="str">
        <f t="shared" si="14"/>
        <v/>
      </c>
      <c r="I9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2" s="36" t="str">
        <f>IF('Input Sheet'!F919=0, "NO",CONCATENATE('Input Sheet'!F919, IF('Input Sheet'!F919&gt;0,"% ","")))</f>
        <v>NO</v>
      </c>
      <c r="K9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2" s="36" t="str">
        <f>CONCATENATE(K902, IF('Input Sheet'!I919="",""," siderite in "))</f>
        <v/>
      </c>
      <c r="M90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919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2" s="36" t="str">
        <f>CONCATENATE(M902, IF('Input Sheet'!J919="",""," siderite in "))</f>
        <v/>
      </c>
    </row>
    <row r="903" spans="1:14" x14ac:dyDescent="0.25">
      <c r="A903" s="51" t="str">
        <f>IF('Input Sheet'!C920="","",CONCATENATE("Sample ", 'Input Sheet'!B920, "m: ", L903, F903, "% ", "Siltstone, ", N903, 'Input Sheet'!C920, "% ", H903, " Sandstone, ", J903, I903, " FLUOR in SST. ", "TG ", 'Input Sheet'!H920, "U"))</f>
        <v/>
      </c>
      <c r="F903" s="36" t="str">
        <f>IF('Input Sheet'!C920="","",100-'Input Sheet'!C920)</f>
        <v/>
      </c>
      <c r="G9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3" s="36" t="str">
        <f t="shared" si="14"/>
        <v/>
      </c>
      <c r="I9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3" s="36" t="str">
        <f>IF('Input Sheet'!F920=0, "NO",CONCATENATE('Input Sheet'!F920, IF('Input Sheet'!F920&gt;0,"% ","")))</f>
        <v>NO</v>
      </c>
      <c r="K9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3" s="36" t="str">
        <f>CONCATENATE(K903, IF('Input Sheet'!I920="",""," siderite in "))</f>
        <v/>
      </c>
      <c r="M90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3" s="36" t="str">
        <f>CONCATENATE(M903, IF('Input Sheet'!J920="",""," siderite in "))</f>
        <v/>
      </c>
    </row>
    <row r="904" spans="1:14" x14ac:dyDescent="0.25">
      <c r="A904" s="51" t="str">
        <f>IF('Input Sheet'!C921="","",CONCATENATE("Sample ", 'Input Sheet'!B921, "m: ", L904, F904, "% ", "Siltstone, ", N904, 'Input Sheet'!C921, "% ", H904, " Sandstone, ", J904, I904, " FLUOR in SST. ", "TG ", 'Input Sheet'!H921, "U"))</f>
        <v/>
      </c>
      <c r="F904" s="36" t="str">
        <f>IF('Input Sheet'!C921="","",100-'Input Sheet'!C921)</f>
        <v/>
      </c>
      <c r="G9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4" s="36" t="str">
        <f t="shared" si="14"/>
        <v/>
      </c>
      <c r="I9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4" s="36" t="str">
        <f>IF('Input Sheet'!F921=0, "NO",CONCATENATE('Input Sheet'!F921, IF('Input Sheet'!F921&gt;0,"% ","")))</f>
        <v>NO</v>
      </c>
      <c r="K9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4" s="36" t="str">
        <f>CONCATENATE(K904, IF('Input Sheet'!I921="",""," siderite in "))</f>
        <v/>
      </c>
      <c r="M90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4" s="36" t="str">
        <f>CONCATENATE(M904, IF('Input Sheet'!J921="",""," siderite in "))</f>
        <v/>
      </c>
    </row>
    <row r="905" spans="1:14" x14ac:dyDescent="0.25">
      <c r="A905" s="51" t="str">
        <f>IF('Input Sheet'!C922="","",CONCATENATE("Sample ", 'Input Sheet'!B922, "m: ", L905, F905, "% ", "Siltstone, ", N905, 'Input Sheet'!C922, "% ", H905, " Sandstone, ", J905, I905, " FLUOR in SST. ", "TG ", 'Input Sheet'!H922, "U"))</f>
        <v/>
      </c>
      <c r="F905" s="36" t="str">
        <f>IF('Input Sheet'!C922="","",100-'Input Sheet'!C922)</f>
        <v/>
      </c>
      <c r="G9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5" s="36" t="str">
        <f t="shared" si="14"/>
        <v/>
      </c>
      <c r="I9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5" s="36" t="str">
        <f>IF('Input Sheet'!F922=0, "NO",CONCATENATE('Input Sheet'!F922, IF('Input Sheet'!F922&gt;0,"% ","")))</f>
        <v>NO</v>
      </c>
      <c r="K9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5" s="36" t="str">
        <f>CONCATENATE(K905, IF('Input Sheet'!I922="",""," siderite in "))</f>
        <v/>
      </c>
      <c r="M90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5" s="36" t="str">
        <f>CONCATENATE(M905, IF('Input Sheet'!J922="",""," siderite in "))</f>
        <v/>
      </c>
    </row>
    <row r="906" spans="1:14" x14ac:dyDescent="0.25">
      <c r="A906" s="51" t="str">
        <f>IF('Input Sheet'!C923="","",CONCATENATE("Sample ", 'Input Sheet'!B923, "m: ", L906, F906, "% ", "Siltstone, ", N906, 'Input Sheet'!C923, "% ", H906, " Sandstone, ", J906, I906, " FLUOR in SST. ", "TG ", 'Input Sheet'!H923, "U"))</f>
        <v/>
      </c>
      <c r="F906" s="36" t="str">
        <f>IF('Input Sheet'!C923="","",100-'Input Sheet'!C923)</f>
        <v/>
      </c>
      <c r="G9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6" s="36" t="str">
        <f t="shared" si="14"/>
        <v/>
      </c>
      <c r="I9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6" s="36" t="str">
        <f>IF('Input Sheet'!F923=0, "NO",CONCATENATE('Input Sheet'!F923, IF('Input Sheet'!F923&gt;0,"% ","")))</f>
        <v>NO</v>
      </c>
      <c r="K9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6" s="36" t="str">
        <f>CONCATENATE(K906, IF('Input Sheet'!I923="",""," siderite in "))</f>
        <v/>
      </c>
      <c r="M90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6" s="36" t="str">
        <f>CONCATENATE(M906, IF('Input Sheet'!J923="",""," siderite in "))</f>
        <v/>
      </c>
    </row>
    <row r="907" spans="1:14" x14ac:dyDescent="0.25">
      <c r="A907" s="51" t="str">
        <f>IF('Input Sheet'!C924="","",CONCATENATE("Sample ", 'Input Sheet'!B924, "m: ", L907, F907, "% ", "Siltstone, ", N907, 'Input Sheet'!C924, "% ", H907, " Sandstone, ", J907, I907, " FLUOR in SST. ", "TG ", 'Input Sheet'!H924, "U"))</f>
        <v/>
      </c>
      <c r="F907" s="36" t="str">
        <f>IF('Input Sheet'!C924="","",100-'Input Sheet'!C924)</f>
        <v/>
      </c>
      <c r="G9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7" s="36" t="str">
        <f t="shared" si="14"/>
        <v/>
      </c>
      <c r="I9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7" s="36" t="str">
        <f>IF('Input Sheet'!F924=0, "NO",CONCATENATE('Input Sheet'!F924, IF('Input Sheet'!F924&gt;0,"% ","")))</f>
        <v>NO</v>
      </c>
      <c r="K9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7" s="36" t="str">
        <f>CONCATENATE(K907, IF('Input Sheet'!I924="",""," siderite in "))</f>
        <v/>
      </c>
      <c r="M90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7" s="36" t="str">
        <f>CONCATENATE(M907, IF('Input Sheet'!J924="",""," siderite in "))</f>
        <v/>
      </c>
    </row>
    <row r="908" spans="1:14" x14ac:dyDescent="0.25">
      <c r="A908" s="51" t="str">
        <f>IF('Input Sheet'!C925="","",CONCATENATE("Sample ", 'Input Sheet'!B925, "m: ", L908, F908, "% ", "Siltstone, ", N908, 'Input Sheet'!C925, "% ", H908, " Sandstone, ", J908, I908, " FLUOR in SST. ", "TG ", 'Input Sheet'!H925, "U"))</f>
        <v/>
      </c>
      <c r="F908" s="36" t="str">
        <f>IF('Input Sheet'!C925="","",100-'Input Sheet'!C925)</f>
        <v/>
      </c>
      <c r="G9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8" s="36" t="str">
        <f t="shared" si="14"/>
        <v/>
      </c>
      <c r="I9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8" s="36" t="str">
        <f>IF('Input Sheet'!F925=0, "NO",CONCATENATE('Input Sheet'!F925, IF('Input Sheet'!F925&gt;0,"% ","")))</f>
        <v>NO</v>
      </c>
      <c r="K9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8" s="36" t="str">
        <f>CONCATENATE(K908, IF('Input Sheet'!I925="",""," siderite in "))</f>
        <v/>
      </c>
      <c r="M90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8" s="36" t="str">
        <f>CONCATENATE(M908, IF('Input Sheet'!J925="",""," siderite in "))</f>
        <v/>
      </c>
    </row>
    <row r="909" spans="1:14" x14ac:dyDescent="0.25">
      <c r="A909" s="51" t="str">
        <f>IF('Input Sheet'!C926="","",CONCATENATE("Sample ", 'Input Sheet'!B926, "m: ", L909, F909, "% ", "Siltstone, ", N909, 'Input Sheet'!C926, "% ", H909, " Sandstone, ", J909, I909, " FLUOR in SST. ", "TG ", 'Input Sheet'!H926, "U"))</f>
        <v/>
      </c>
      <c r="F909" s="36" t="str">
        <f>IF('Input Sheet'!C926="","",100-'Input Sheet'!C926)</f>
        <v/>
      </c>
      <c r="G9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09" s="36" t="str">
        <f t="shared" si="14"/>
        <v/>
      </c>
      <c r="I9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09" s="36" t="str">
        <f>IF('Input Sheet'!F926=0, "NO",CONCATENATE('Input Sheet'!F926, IF('Input Sheet'!F926&gt;0,"% ","")))</f>
        <v>NO</v>
      </c>
      <c r="K9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09" s="36" t="str">
        <f>CONCATENATE(K909, IF('Input Sheet'!I926="",""," siderite in "))</f>
        <v/>
      </c>
      <c r="M90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09" s="36" t="str">
        <f>CONCATENATE(M909, IF('Input Sheet'!J926="",""," siderite in "))</f>
        <v/>
      </c>
    </row>
    <row r="910" spans="1:14" x14ac:dyDescent="0.25">
      <c r="A910" s="51" t="str">
        <f>IF('Input Sheet'!C927="","",CONCATENATE("Sample ", 'Input Sheet'!B927, "m: ", L910, F910, "% ", "Siltstone, ", N910, 'Input Sheet'!C927, "% ", H910, " Sandstone, ", J910, I910, " FLUOR in SST. ", "TG ", 'Input Sheet'!H927, "U"))</f>
        <v/>
      </c>
      <c r="F910" s="36" t="str">
        <f>IF('Input Sheet'!C927="","",100-'Input Sheet'!C927)</f>
        <v/>
      </c>
      <c r="G9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0" s="36" t="str">
        <f t="shared" si="14"/>
        <v/>
      </c>
      <c r="I9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0" s="36" t="str">
        <f>IF('Input Sheet'!F927=0, "NO",CONCATENATE('Input Sheet'!F927, IF('Input Sheet'!F927&gt;0,"% ","")))</f>
        <v>NO</v>
      </c>
      <c r="K9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0" s="36" t="str">
        <f>CONCATENATE(K910, IF('Input Sheet'!I927="",""," siderite in "))</f>
        <v/>
      </c>
      <c r="M91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0" s="36" t="str">
        <f>CONCATENATE(M910, IF('Input Sheet'!J927="",""," siderite in "))</f>
        <v/>
      </c>
    </row>
    <row r="911" spans="1:14" x14ac:dyDescent="0.25">
      <c r="A911" s="51" t="str">
        <f>IF('Input Sheet'!C928="","",CONCATENATE("Sample ", 'Input Sheet'!B928, "m: ", L911, F911, "% ", "Siltstone, ", N911, 'Input Sheet'!C928, "% ", H911, " Sandstone, ", J911, I911, " FLUOR in SST. ", "TG ", 'Input Sheet'!H928, "U"))</f>
        <v/>
      </c>
      <c r="F911" s="36" t="str">
        <f>IF('Input Sheet'!C928="","",100-'Input Sheet'!C928)</f>
        <v/>
      </c>
      <c r="G9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1" s="36" t="str">
        <f t="shared" si="14"/>
        <v/>
      </c>
      <c r="I9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1" s="36" t="str">
        <f>IF('Input Sheet'!F928=0, "NO",CONCATENATE('Input Sheet'!F928, IF('Input Sheet'!F928&gt;0,"% ","")))</f>
        <v>NO</v>
      </c>
      <c r="K9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1" s="36" t="str">
        <f>CONCATENATE(K911, IF('Input Sheet'!I928="",""," siderite in "))</f>
        <v/>
      </c>
      <c r="M91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1" s="36" t="str">
        <f>CONCATENATE(M911, IF('Input Sheet'!J928="",""," siderite in "))</f>
        <v/>
      </c>
    </row>
    <row r="912" spans="1:14" x14ac:dyDescent="0.25">
      <c r="A912" s="51" t="str">
        <f>IF('Input Sheet'!C929="","",CONCATENATE("Sample ", 'Input Sheet'!B929, "m: ", L912, F912, "% ", "Siltstone, ", N912, 'Input Sheet'!C929, "% ", H912, " Sandstone, ", J912, I912, " FLUOR in SST. ", "TG ", 'Input Sheet'!H929, "U"))</f>
        <v/>
      </c>
      <c r="F912" s="36" t="str">
        <f>IF('Input Sheet'!C929="","",100-'Input Sheet'!C929)</f>
        <v/>
      </c>
      <c r="G9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2" s="36" t="str">
        <f t="shared" si="14"/>
        <v/>
      </c>
      <c r="I9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2" s="36" t="str">
        <f>IF('Input Sheet'!F929=0, "NO",CONCATENATE('Input Sheet'!F929, IF('Input Sheet'!F929&gt;0,"% ","")))</f>
        <v>NO</v>
      </c>
      <c r="K9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2" s="36" t="str">
        <f>CONCATENATE(K912, IF('Input Sheet'!I929="",""," siderite in "))</f>
        <v/>
      </c>
      <c r="M91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929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2" s="36" t="str">
        <f>CONCATENATE(M912, IF('Input Sheet'!J929="",""," siderite in "))</f>
        <v/>
      </c>
    </row>
    <row r="913" spans="1:14" x14ac:dyDescent="0.25">
      <c r="A913" s="51" t="str">
        <f>IF('Input Sheet'!C930="","",CONCATENATE("Sample ", 'Input Sheet'!B930, "m: ", L913, F913, "% ", "Siltstone, ", N913, 'Input Sheet'!C930, "% ", H913, " Sandstone, ", J913, I913, " FLUOR in SST. ", "TG ", 'Input Sheet'!H930, "U"))</f>
        <v/>
      </c>
      <c r="F913" s="36" t="str">
        <f>IF('Input Sheet'!C930="","",100-'Input Sheet'!C930)</f>
        <v/>
      </c>
      <c r="G9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3" s="36" t="str">
        <f t="shared" si="14"/>
        <v/>
      </c>
      <c r="I9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3" s="36" t="str">
        <f>IF('Input Sheet'!F930=0, "NO",CONCATENATE('Input Sheet'!F930, IF('Input Sheet'!F930&gt;0,"% ","")))</f>
        <v>NO</v>
      </c>
      <c r="K9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3" s="36" t="str">
        <f>CONCATENATE(K913, IF('Input Sheet'!I930="",""," siderite in "))</f>
        <v/>
      </c>
      <c r="M91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3" s="36" t="str">
        <f>CONCATENATE(M913, IF('Input Sheet'!J930="",""," siderite in "))</f>
        <v/>
      </c>
    </row>
    <row r="914" spans="1:14" x14ac:dyDescent="0.25">
      <c r="A914" s="51" t="str">
        <f>IF('Input Sheet'!C931="","",CONCATENATE("Sample ", 'Input Sheet'!B931, "m: ", L914, F914, "% ", "Siltstone, ", N914, 'Input Sheet'!C931, "% ", H914, " Sandstone, ", J914, I914, " FLUOR in SST. ", "TG ", 'Input Sheet'!H931, "U"))</f>
        <v/>
      </c>
      <c r="F914" s="36" t="str">
        <f>IF('Input Sheet'!C931="","",100-'Input Sheet'!C931)</f>
        <v/>
      </c>
      <c r="G9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4" s="36" t="str">
        <f t="shared" si="14"/>
        <v/>
      </c>
      <c r="I9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4" s="36" t="str">
        <f>IF('Input Sheet'!F931=0, "NO",CONCATENATE('Input Sheet'!F931, IF('Input Sheet'!F931&gt;0,"% ","")))</f>
        <v>NO</v>
      </c>
      <c r="K9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4" s="36" t="str">
        <f>CONCATENATE(K914, IF('Input Sheet'!I931="",""," siderite in "))</f>
        <v/>
      </c>
      <c r="M91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4" s="36" t="str">
        <f>CONCATENATE(M914, IF('Input Sheet'!J931="",""," siderite in "))</f>
        <v/>
      </c>
    </row>
    <row r="915" spans="1:14" x14ac:dyDescent="0.25">
      <c r="A915" s="51" t="str">
        <f>IF('Input Sheet'!C932="","",CONCATENATE("Sample ", 'Input Sheet'!B932, "m: ", L915, F915, "% ", "Siltstone, ", N915, 'Input Sheet'!C932, "% ", H915, " Sandstone, ", J915, I915, " FLUOR in SST. ", "TG ", 'Input Sheet'!H932, "U"))</f>
        <v/>
      </c>
      <c r="F915" s="36" t="str">
        <f>IF('Input Sheet'!C932="","",100-'Input Sheet'!C932)</f>
        <v/>
      </c>
      <c r="G9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5" s="36" t="str">
        <f t="shared" si="14"/>
        <v/>
      </c>
      <c r="I9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5" s="36" t="str">
        <f>IF('Input Sheet'!F932=0, "NO",CONCATENATE('Input Sheet'!F932, IF('Input Sheet'!F932&gt;0,"% ","")))</f>
        <v>NO</v>
      </c>
      <c r="K9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5" s="36" t="str">
        <f>CONCATENATE(K915, IF('Input Sheet'!I932="",""," siderite in "))</f>
        <v/>
      </c>
      <c r="M91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5" s="36" t="str">
        <f>CONCATENATE(M915, IF('Input Sheet'!J932="",""," siderite in "))</f>
        <v/>
      </c>
    </row>
    <row r="916" spans="1:14" x14ac:dyDescent="0.25">
      <c r="A916" s="51" t="str">
        <f>IF('Input Sheet'!C933="","",CONCATENATE("Sample ", 'Input Sheet'!B933, "m: ", L916, F916, "% ", "Siltstone, ", N916, 'Input Sheet'!C933, "% ", H916, " Sandstone, ", J916, I916, " FLUOR in SST. ", "TG ", 'Input Sheet'!H933, "U"))</f>
        <v/>
      </c>
      <c r="F916" s="36" t="str">
        <f>IF('Input Sheet'!C933="","",100-'Input Sheet'!C933)</f>
        <v/>
      </c>
      <c r="G9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6" s="36" t="str">
        <f t="shared" si="14"/>
        <v/>
      </c>
      <c r="I9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6" s="36" t="str">
        <f>IF('Input Sheet'!F933=0, "NO",CONCATENATE('Input Sheet'!F933, IF('Input Sheet'!F933&gt;0,"% ","")))</f>
        <v>NO</v>
      </c>
      <c r="K9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6" s="36" t="str">
        <f>CONCATENATE(K916, IF('Input Sheet'!I933="",""," siderite in "))</f>
        <v/>
      </c>
      <c r="M91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6" s="36" t="str">
        <f>CONCATENATE(M916, IF('Input Sheet'!J933="",""," siderite in "))</f>
        <v/>
      </c>
    </row>
    <row r="917" spans="1:14" x14ac:dyDescent="0.25">
      <c r="A917" s="51" t="str">
        <f>IF('Input Sheet'!C934="","",CONCATENATE("Sample ", 'Input Sheet'!B934, "m: ", L917, F917, "% ", "Siltstone, ", N917, 'Input Sheet'!C934, "% ", H917, " Sandstone, ", J917, I917, " FLUOR in SST. ", "TG ", 'Input Sheet'!H934, "U"))</f>
        <v/>
      </c>
      <c r="F917" s="36" t="str">
        <f>IF('Input Sheet'!C934="","",100-'Input Sheet'!C934)</f>
        <v/>
      </c>
      <c r="G9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7" s="36" t="str">
        <f t="shared" si="14"/>
        <v/>
      </c>
      <c r="I9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7" s="36" t="str">
        <f>IF('Input Sheet'!F934=0, "NO",CONCATENATE('Input Sheet'!F934, IF('Input Sheet'!F934&gt;0,"% ","")))</f>
        <v>NO</v>
      </c>
      <c r="K9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7" s="36" t="str">
        <f>CONCATENATE(K917, IF('Input Sheet'!I934="",""," siderite in "))</f>
        <v/>
      </c>
      <c r="M91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7" s="36" t="str">
        <f>CONCATENATE(M917, IF('Input Sheet'!J934="",""," siderite in "))</f>
        <v/>
      </c>
    </row>
    <row r="918" spans="1:14" x14ac:dyDescent="0.25">
      <c r="A918" s="51" t="str">
        <f>IF('Input Sheet'!C935="","",CONCATENATE("Sample ", 'Input Sheet'!B935, "m: ", L918, F918, "% ", "Siltstone, ", N918, 'Input Sheet'!C935, "% ", H918, " Sandstone, ", J918, I918, " FLUOR in SST. ", "TG ", 'Input Sheet'!H935, "U"))</f>
        <v/>
      </c>
      <c r="F918" s="36" t="str">
        <f>IF('Input Sheet'!C935="","",100-'Input Sheet'!C935)</f>
        <v/>
      </c>
      <c r="G9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8" s="36" t="str">
        <f t="shared" si="14"/>
        <v/>
      </c>
      <c r="I9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8" s="36" t="str">
        <f>IF('Input Sheet'!F935=0, "NO",CONCATENATE('Input Sheet'!F935, IF('Input Sheet'!F935&gt;0,"% ","")))</f>
        <v>NO</v>
      </c>
      <c r="K9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8" s="36" t="str">
        <f>CONCATENATE(K918, IF('Input Sheet'!I935="",""," siderite in "))</f>
        <v/>
      </c>
      <c r="M91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8" s="36" t="str">
        <f>CONCATENATE(M918, IF('Input Sheet'!J935="",""," siderite in "))</f>
        <v/>
      </c>
    </row>
    <row r="919" spans="1:14" x14ac:dyDescent="0.25">
      <c r="A919" s="51" t="str">
        <f>IF('Input Sheet'!C936="","",CONCATENATE("Sample ", 'Input Sheet'!B936, "m: ", L919, F919, "% ", "Siltstone, ", N919, 'Input Sheet'!C936, "% ", H919, " Sandstone, ", J919, I919, " FLUOR in SST. ", "TG ", 'Input Sheet'!H936, "U"))</f>
        <v/>
      </c>
      <c r="F919" s="36" t="str">
        <f>IF('Input Sheet'!C936="","",100-'Input Sheet'!C936)</f>
        <v/>
      </c>
      <c r="G9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19" s="36" t="str">
        <f t="shared" si="14"/>
        <v/>
      </c>
      <c r="I9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19" s="36" t="str">
        <f>IF('Input Sheet'!F936=0, "NO",CONCATENATE('Input Sheet'!F936, IF('Input Sheet'!F936&gt;0,"% ","")))</f>
        <v>NO</v>
      </c>
      <c r="K9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19" s="36" t="str">
        <f>CONCATENATE(K919, IF('Input Sheet'!I936="",""," siderite in "))</f>
        <v/>
      </c>
      <c r="M91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19" s="36" t="str">
        <f>CONCATENATE(M919, IF('Input Sheet'!J936="",""," siderite in "))</f>
        <v/>
      </c>
    </row>
    <row r="920" spans="1:14" x14ac:dyDescent="0.25">
      <c r="A920" s="51" t="str">
        <f>IF('Input Sheet'!C937="","",CONCATENATE("Sample ", 'Input Sheet'!B937, "m: ", L920, F920, "% ", "Siltstone, ", N920, 'Input Sheet'!C937, "% ", H920, " Sandstone, ", J920, I920, " FLUOR in SST. ", "TG ", 'Input Sheet'!H937, "U"))</f>
        <v/>
      </c>
      <c r="F920" s="36" t="str">
        <f>IF('Input Sheet'!C937="","",100-'Input Sheet'!C937)</f>
        <v/>
      </c>
      <c r="G9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0" s="36" t="str">
        <f t="shared" si="14"/>
        <v/>
      </c>
      <c r="I9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0" s="36" t="str">
        <f>IF('Input Sheet'!F937=0, "NO",CONCATENATE('Input Sheet'!F937, IF('Input Sheet'!F937&gt;0,"% ","")))</f>
        <v>NO</v>
      </c>
      <c r="K9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0" s="36" t="str">
        <f>CONCATENATE(K920, IF('Input Sheet'!I937="",""," siderite in "))</f>
        <v/>
      </c>
      <c r="M92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0" s="36" t="str">
        <f>CONCATENATE(M920, IF('Input Sheet'!J937="",""," siderite in "))</f>
        <v/>
      </c>
    </row>
    <row r="921" spans="1:14" x14ac:dyDescent="0.25">
      <c r="A921" s="51" t="str">
        <f>IF('Input Sheet'!C938="","",CONCATENATE("Sample ", 'Input Sheet'!B938, "m: ", L921, F921, "% ", "Siltstone, ", N921, 'Input Sheet'!C938, "% ", H921, " Sandstone, ", J921, I921, " FLUOR in SST. ", "TG ", 'Input Sheet'!H938, "U"))</f>
        <v/>
      </c>
      <c r="F921" s="36" t="str">
        <f>IF('Input Sheet'!C938="","",100-'Input Sheet'!C938)</f>
        <v/>
      </c>
      <c r="G9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1" s="36" t="str">
        <f t="shared" si="14"/>
        <v/>
      </c>
      <c r="I9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1" s="36" t="str">
        <f>IF('Input Sheet'!F938=0, "NO",CONCATENATE('Input Sheet'!F938, IF('Input Sheet'!F938&gt;0,"% ","")))</f>
        <v>NO</v>
      </c>
      <c r="K9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1" s="36" t="str">
        <f>CONCATENATE(K921, IF('Input Sheet'!I938="",""," siderite in "))</f>
        <v/>
      </c>
      <c r="M92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1" s="36" t="str">
        <f>CONCATENATE(M921, IF('Input Sheet'!J938="",""," siderite in "))</f>
        <v/>
      </c>
    </row>
    <row r="922" spans="1:14" x14ac:dyDescent="0.25">
      <c r="A922" s="51" t="str">
        <f>IF('Input Sheet'!C939="","",CONCATENATE("Sample ", 'Input Sheet'!B939, "m: ", L922, F922, "% ", "Siltstone, ", N922, 'Input Sheet'!C939, "% ", H922, " Sandstone, ", J922, I922, " FLUOR in SST. ", "TG ", 'Input Sheet'!H939, "U"))</f>
        <v/>
      </c>
      <c r="F922" s="36" t="str">
        <f>IF('Input Sheet'!C939="","",100-'Input Sheet'!C939)</f>
        <v/>
      </c>
      <c r="G9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2" s="36" t="str">
        <f t="shared" si="14"/>
        <v/>
      </c>
      <c r="I9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2" s="36" t="str">
        <f>IF('Input Sheet'!F939=0, "NO",CONCATENATE('Input Sheet'!F939, IF('Input Sheet'!F939&gt;0,"% ","")))</f>
        <v>NO</v>
      </c>
      <c r="K9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2" s="36" t="str">
        <f>CONCATENATE(K922, IF('Input Sheet'!I939="",""," siderite in "))</f>
        <v/>
      </c>
      <c r="M92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939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2" s="36" t="str">
        <f>CONCATENATE(M922, IF('Input Sheet'!J939="",""," siderite in "))</f>
        <v/>
      </c>
    </row>
    <row r="923" spans="1:14" x14ac:dyDescent="0.25">
      <c r="A923" s="51" t="str">
        <f>IF('Input Sheet'!C940="","",CONCATENATE("Sample ", 'Input Sheet'!B940, "m: ", L923, F923, "% ", "Siltstone, ", N923, 'Input Sheet'!C940, "% ", H923, " Sandstone, ", J923, I923, " FLUOR in SST. ", "TG ", 'Input Sheet'!H940, "U"))</f>
        <v/>
      </c>
      <c r="F923" s="36" t="str">
        <f>IF('Input Sheet'!C940="","",100-'Input Sheet'!C940)</f>
        <v/>
      </c>
      <c r="G9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3" s="36" t="str">
        <f t="shared" si="14"/>
        <v/>
      </c>
      <c r="I9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3" s="36" t="str">
        <f>IF('Input Sheet'!F940=0, "NO",CONCATENATE('Input Sheet'!F940, IF('Input Sheet'!F940&gt;0,"% ","")))</f>
        <v>NO</v>
      </c>
      <c r="K9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3" s="36" t="str">
        <f>CONCATENATE(K923, IF('Input Sheet'!I940="",""," siderite in "))</f>
        <v/>
      </c>
      <c r="M92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3" s="36" t="str">
        <f>CONCATENATE(M923, IF('Input Sheet'!J940="",""," siderite in "))</f>
        <v/>
      </c>
    </row>
    <row r="924" spans="1:14" x14ac:dyDescent="0.25">
      <c r="A924" s="51" t="str">
        <f>IF('Input Sheet'!C941="","",CONCATENATE("Sample ", 'Input Sheet'!B941, "m: ", L924, F924, "% ", "Siltstone, ", N924, 'Input Sheet'!C941, "% ", H924, " Sandstone, ", J924, I924, " FLUOR in SST. ", "TG ", 'Input Sheet'!H941, "U"))</f>
        <v/>
      </c>
      <c r="F924" s="36" t="str">
        <f>IF('Input Sheet'!C941="","",100-'Input Sheet'!C941)</f>
        <v/>
      </c>
      <c r="G9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4" s="36" t="str">
        <f t="shared" si="14"/>
        <v/>
      </c>
      <c r="I9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4" s="36" t="str">
        <f>IF('Input Sheet'!F941=0, "NO",CONCATENATE('Input Sheet'!F941, IF('Input Sheet'!F941&gt;0,"% ","")))</f>
        <v>NO</v>
      </c>
      <c r="K9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4" s="36" t="str">
        <f>CONCATENATE(K924, IF('Input Sheet'!I941="",""," siderite in "))</f>
        <v/>
      </c>
      <c r="M92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4" s="36" t="str">
        <f>CONCATENATE(M924, IF('Input Sheet'!J941="",""," siderite in "))</f>
        <v/>
      </c>
    </row>
    <row r="925" spans="1:14" x14ac:dyDescent="0.25">
      <c r="A925" s="51" t="str">
        <f>IF('Input Sheet'!C942="","",CONCATENATE("Sample ", 'Input Sheet'!B942, "m: ", L925, F925, "% ", "Siltstone, ", N925, 'Input Sheet'!C942, "% ", H925, " Sandstone, ", J925, I925, " FLUOR in SST. ", "TG ", 'Input Sheet'!H942, "U"))</f>
        <v/>
      </c>
      <c r="F925" s="36" t="str">
        <f>IF('Input Sheet'!C942="","",100-'Input Sheet'!C942)</f>
        <v/>
      </c>
      <c r="G9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5" s="36" t="str">
        <f t="shared" si="14"/>
        <v/>
      </c>
      <c r="I9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5" s="36" t="str">
        <f>IF('Input Sheet'!F942=0, "NO",CONCATENATE('Input Sheet'!F942, IF('Input Sheet'!F942&gt;0,"% ","")))</f>
        <v>NO</v>
      </c>
      <c r="K9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5" s="36" t="str">
        <f>CONCATENATE(K925, IF('Input Sheet'!I942="",""," siderite in "))</f>
        <v/>
      </c>
      <c r="M92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5" s="36" t="str">
        <f>CONCATENATE(M925, IF('Input Sheet'!J942="",""," siderite in "))</f>
        <v/>
      </c>
    </row>
    <row r="926" spans="1:14" x14ac:dyDescent="0.25">
      <c r="A926" s="51" t="str">
        <f>IF('Input Sheet'!C943="","",CONCATENATE("Sample ", 'Input Sheet'!B943, "m: ", L926, F926, "% ", "Siltstone, ", N926, 'Input Sheet'!C943, "% ", H926, " Sandstone, ", J926, I926, " FLUOR in SST. ", "TG ", 'Input Sheet'!H943, "U"))</f>
        <v/>
      </c>
      <c r="F926" s="36" t="str">
        <f>IF('Input Sheet'!C943="","",100-'Input Sheet'!C943)</f>
        <v/>
      </c>
      <c r="G9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6" s="36" t="str">
        <f t="shared" si="14"/>
        <v/>
      </c>
      <c r="I9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6" s="36" t="str">
        <f>IF('Input Sheet'!F943=0, "NO",CONCATENATE('Input Sheet'!F943, IF('Input Sheet'!F943&gt;0,"% ","")))</f>
        <v>NO</v>
      </c>
      <c r="K9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6" s="36" t="str">
        <f>CONCATENATE(K926, IF('Input Sheet'!I943="",""," siderite in "))</f>
        <v/>
      </c>
      <c r="M92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6" s="36" t="str">
        <f>CONCATENATE(M926, IF('Input Sheet'!J943="",""," siderite in "))</f>
        <v/>
      </c>
    </row>
    <row r="927" spans="1:14" x14ac:dyDescent="0.25">
      <c r="A927" s="51" t="str">
        <f>IF('Input Sheet'!C944="","",CONCATENATE("Sample ", 'Input Sheet'!B944, "m: ", L927, F927, "% ", "Siltstone, ", N927, 'Input Sheet'!C944, "% ", H927, " Sandstone, ", J927, I927, " FLUOR in SST. ", "TG ", 'Input Sheet'!H944, "U"))</f>
        <v/>
      </c>
      <c r="F927" s="36" t="str">
        <f>IF('Input Sheet'!C944="","",100-'Input Sheet'!C944)</f>
        <v/>
      </c>
      <c r="G9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7" s="36" t="str">
        <f t="shared" si="14"/>
        <v/>
      </c>
      <c r="I9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7" s="36" t="str">
        <f>IF('Input Sheet'!F944=0, "NO",CONCATENATE('Input Sheet'!F944, IF('Input Sheet'!F944&gt;0,"% ","")))</f>
        <v>NO</v>
      </c>
      <c r="K9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7" s="36" t="str">
        <f>CONCATENATE(K927, IF('Input Sheet'!I944="",""," siderite in "))</f>
        <v/>
      </c>
      <c r="M92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7" s="36" t="str">
        <f>CONCATENATE(M927, IF('Input Sheet'!J944="",""," siderite in "))</f>
        <v/>
      </c>
    </row>
    <row r="928" spans="1:14" x14ac:dyDescent="0.25">
      <c r="A928" s="51" t="str">
        <f>IF('Input Sheet'!C945="","",CONCATENATE("Sample ", 'Input Sheet'!B945, "m: ", L928, F928, "% ", "Siltstone, ", N928, 'Input Sheet'!C945, "% ", H928, " Sandstone, ", J928, I928, " FLUOR in SST. ", "TG ", 'Input Sheet'!H945, "U"))</f>
        <v/>
      </c>
      <c r="F928" s="36" t="str">
        <f>IF('Input Sheet'!C945="","",100-'Input Sheet'!C945)</f>
        <v/>
      </c>
      <c r="G9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8" s="36" t="str">
        <f t="shared" si="14"/>
        <v/>
      </c>
      <c r="I9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8" s="36" t="str">
        <f>IF('Input Sheet'!F945=0, "NO",CONCATENATE('Input Sheet'!F945, IF('Input Sheet'!F945&gt;0,"% ","")))</f>
        <v>NO</v>
      </c>
      <c r="K9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8" s="36" t="str">
        <f>CONCATENATE(K928, IF('Input Sheet'!I945="",""," siderite in "))</f>
        <v/>
      </c>
      <c r="M92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8" s="36" t="str">
        <f>CONCATENATE(M928, IF('Input Sheet'!J945="",""," siderite in "))</f>
        <v/>
      </c>
    </row>
    <row r="929" spans="1:14" x14ac:dyDescent="0.25">
      <c r="A929" s="51" t="str">
        <f>IF('Input Sheet'!C946="","",CONCATENATE("Sample ", 'Input Sheet'!B946, "m: ", L929, F929, "% ", "Siltstone, ", N929, 'Input Sheet'!C946, "% ", H929, " Sandstone, ", J929, I929, " FLUOR in SST. ", "TG ", 'Input Sheet'!H946, "U"))</f>
        <v/>
      </c>
      <c r="F929" s="36" t="str">
        <f>IF('Input Sheet'!C946="","",100-'Input Sheet'!C946)</f>
        <v/>
      </c>
      <c r="G9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29" s="36" t="str">
        <f t="shared" si="14"/>
        <v/>
      </c>
      <c r="I9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29" s="36" t="str">
        <f>IF('Input Sheet'!F946=0, "NO",CONCATENATE('Input Sheet'!F946, IF('Input Sheet'!F946&gt;0,"% ","")))</f>
        <v>NO</v>
      </c>
      <c r="K9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29" s="36" t="str">
        <f>CONCATENATE(K929, IF('Input Sheet'!I946="",""," siderite in "))</f>
        <v/>
      </c>
      <c r="M92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29" s="36" t="str">
        <f>CONCATENATE(M929, IF('Input Sheet'!J946="",""," siderite in "))</f>
        <v/>
      </c>
    </row>
    <row r="930" spans="1:14" x14ac:dyDescent="0.25">
      <c r="A930" s="51" t="str">
        <f>IF('Input Sheet'!C947="","",CONCATENATE("Sample ", 'Input Sheet'!B947, "m: ", L930, F930, "% ", "Siltstone, ", N930, 'Input Sheet'!C947, "% ", H930, " Sandstone, ", J930, I930, " FLUOR in SST. ", "TG ", 'Input Sheet'!H947, "U"))</f>
        <v/>
      </c>
      <c r="F930" s="36" t="str">
        <f>IF('Input Sheet'!C947="","",100-'Input Sheet'!C947)</f>
        <v/>
      </c>
      <c r="G9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0" s="36" t="str">
        <f t="shared" si="14"/>
        <v/>
      </c>
      <c r="I9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0" s="36" t="str">
        <f>IF('Input Sheet'!F947=0, "NO",CONCATENATE('Input Sheet'!F947, IF('Input Sheet'!F947&gt;0,"% ","")))</f>
        <v>NO</v>
      </c>
      <c r="K9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0" s="36" t="str">
        <f>CONCATENATE(K930, IF('Input Sheet'!I947="",""," siderite in "))</f>
        <v/>
      </c>
      <c r="M93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0" s="36" t="str">
        <f>CONCATENATE(M930, IF('Input Sheet'!J947="",""," siderite in "))</f>
        <v/>
      </c>
    </row>
    <row r="931" spans="1:14" x14ac:dyDescent="0.25">
      <c r="A931" s="51" t="str">
        <f>IF('Input Sheet'!C948="","",CONCATENATE("Sample ", 'Input Sheet'!B948, "m: ", L931, F931, "% ", "Siltstone, ", N931, 'Input Sheet'!C948, "% ", H931, " Sandstone, ", J931, I931, " FLUOR in SST. ", "TG ", 'Input Sheet'!H948, "U"))</f>
        <v/>
      </c>
      <c r="F931" s="36" t="str">
        <f>IF('Input Sheet'!C948="","",100-'Input Sheet'!C948)</f>
        <v/>
      </c>
      <c r="G9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1" s="36" t="str">
        <f t="shared" si="14"/>
        <v/>
      </c>
      <c r="I9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1" s="36" t="str">
        <f>IF('Input Sheet'!F948=0, "NO",CONCATENATE('Input Sheet'!F948, IF('Input Sheet'!F948&gt;0,"% ","")))</f>
        <v>NO</v>
      </c>
      <c r="K9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1" s="36" t="str">
        <f>CONCATENATE(K931, IF('Input Sheet'!I948="",""," siderite in "))</f>
        <v/>
      </c>
      <c r="M93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1" s="36" t="str">
        <f>CONCATENATE(M931, IF('Input Sheet'!J948="",""," siderite in "))</f>
        <v/>
      </c>
    </row>
    <row r="932" spans="1:14" x14ac:dyDescent="0.25">
      <c r="A932" s="51" t="str">
        <f>IF('Input Sheet'!C949="","",CONCATENATE("Sample ", 'Input Sheet'!B949, "m: ", L932, F932, "% ", "Siltstone, ", N932, 'Input Sheet'!C949, "% ", H932, " Sandstone, ", J932, I932, " FLUOR in SST. ", "TG ", 'Input Sheet'!H949, "U"))</f>
        <v/>
      </c>
      <c r="F932" s="36" t="str">
        <f>IF('Input Sheet'!C949="","",100-'Input Sheet'!C949)</f>
        <v/>
      </c>
      <c r="G9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2" s="36" t="str">
        <f t="shared" si="14"/>
        <v/>
      </c>
      <c r="I9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2" s="36" t="str">
        <f>IF('Input Sheet'!F949=0, "NO",CONCATENATE('Input Sheet'!F949, IF('Input Sheet'!F949&gt;0,"% ","")))</f>
        <v>NO</v>
      </c>
      <c r="K9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2" s="36" t="str">
        <f>CONCATENATE(K932, IF('Input Sheet'!I949="",""," siderite in "))</f>
        <v/>
      </c>
      <c r="M93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949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2" s="36" t="str">
        <f>CONCATENATE(M932, IF('Input Sheet'!J949="",""," siderite in "))</f>
        <v/>
      </c>
    </row>
    <row r="933" spans="1:14" x14ac:dyDescent="0.25">
      <c r="A933" s="51" t="str">
        <f>IF('Input Sheet'!C950="","",CONCATENATE("Sample ", 'Input Sheet'!B950, "m: ", L933, F933, "% ", "Siltstone, ", N933, 'Input Sheet'!C950, "% ", H933, " Sandstone, ", J933, I933, " FLUOR in SST. ", "TG ", 'Input Sheet'!H950, "U"))</f>
        <v/>
      </c>
      <c r="F933" s="36" t="str">
        <f>IF('Input Sheet'!C950="","",100-'Input Sheet'!C950)</f>
        <v/>
      </c>
      <c r="G9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3" s="36" t="str">
        <f t="shared" si="14"/>
        <v/>
      </c>
      <c r="I9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3" s="36" t="str">
        <f>IF('Input Sheet'!F950=0, "NO",CONCATENATE('Input Sheet'!F950, IF('Input Sheet'!F950&gt;0,"% ","")))</f>
        <v>NO</v>
      </c>
      <c r="K9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3" s="36" t="str">
        <f>CONCATENATE(K933, IF('Input Sheet'!I950="",""," siderite in "))</f>
        <v/>
      </c>
      <c r="M93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3" s="36" t="str">
        <f>CONCATENATE(M933, IF('Input Sheet'!J950="",""," siderite in "))</f>
        <v/>
      </c>
    </row>
    <row r="934" spans="1:14" x14ac:dyDescent="0.25">
      <c r="A934" s="51" t="str">
        <f>IF('Input Sheet'!C951="","",CONCATENATE("Sample ", 'Input Sheet'!B951, "m: ", L934, F934, "% ", "Siltstone, ", N934, 'Input Sheet'!C951, "% ", H934, " Sandstone, ", J934, I934, " FLUOR in SST. ", "TG ", 'Input Sheet'!H951, "U"))</f>
        <v/>
      </c>
      <c r="F934" s="36" t="str">
        <f>IF('Input Sheet'!C951="","",100-'Input Sheet'!C951)</f>
        <v/>
      </c>
      <c r="G9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4" s="36" t="str">
        <f t="shared" si="14"/>
        <v/>
      </c>
      <c r="I9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4" s="36" t="str">
        <f>IF('Input Sheet'!F951=0, "NO",CONCATENATE('Input Sheet'!F951, IF('Input Sheet'!F951&gt;0,"% ","")))</f>
        <v>NO</v>
      </c>
      <c r="K9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4" s="36" t="str">
        <f>CONCATENATE(K934, IF('Input Sheet'!I951="",""," siderite in "))</f>
        <v/>
      </c>
      <c r="M93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4" s="36" t="str">
        <f>CONCATENATE(M934, IF('Input Sheet'!J951="",""," siderite in "))</f>
        <v/>
      </c>
    </row>
    <row r="935" spans="1:14" x14ac:dyDescent="0.25">
      <c r="A935" s="51" t="str">
        <f>IF('Input Sheet'!C952="","",CONCATENATE("Sample ", 'Input Sheet'!B952, "m: ", L935, F935, "% ", "Siltstone, ", N935, 'Input Sheet'!C952, "% ", H935, " Sandstone, ", J935, I935, " FLUOR in SST. ", "TG ", 'Input Sheet'!H952, "U"))</f>
        <v/>
      </c>
      <c r="F935" s="36" t="str">
        <f>IF('Input Sheet'!C952="","",100-'Input Sheet'!C952)</f>
        <v/>
      </c>
      <c r="G9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5" s="36" t="str">
        <f t="shared" si="14"/>
        <v/>
      </c>
      <c r="I9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5" s="36" t="str">
        <f>IF('Input Sheet'!F952=0, "NO",CONCATENATE('Input Sheet'!F952, IF('Input Sheet'!F952&gt;0,"% ","")))</f>
        <v>NO</v>
      </c>
      <c r="K9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5" s="36" t="str">
        <f>CONCATENATE(K935, IF('Input Sheet'!I952="",""," siderite in "))</f>
        <v/>
      </c>
      <c r="M93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5" s="36" t="str">
        <f>CONCATENATE(M935, IF('Input Sheet'!J952="",""," siderite in "))</f>
        <v/>
      </c>
    </row>
    <row r="936" spans="1:14" x14ac:dyDescent="0.25">
      <c r="A936" s="51" t="str">
        <f>IF('Input Sheet'!C953="","",CONCATENATE("Sample ", 'Input Sheet'!B953, "m: ", L936, F936, "% ", "Siltstone, ", N936, 'Input Sheet'!C953, "% ", H936, " Sandstone, ", J936, I936, " FLUOR in SST. ", "TG ", 'Input Sheet'!H953, "U"))</f>
        <v/>
      </c>
      <c r="F936" s="36" t="str">
        <f>IF('Input Sheet'!C953="","",100-'Input Sheet'!C953)</f>
        <v/>
      </c>
      <c r="G9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6" s="36" t="str">
        <f t="shared" si="14"/>
        <v/>
      </c>
      <c r="I9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6" s="36" t="str">
        <f>IF('Input Sheet'!F953=0, "NO",CONCATENATE('Input Sheet'!F953, IF('Input Sheet'!F953&gt;0,"% ","")))</f>
        <v>NO</v>
      </c>
      <c r="K9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6" s="36" t="str">
        <f>CONCATENATE(K936, IF('Input Sheet'!I953="",""," siderite in "))</f>
        <v/>
      </c>
      <c r="M93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6" s="36" t="str">
        <f>CONCATENATE(M936, IF('Input Sheet'!J953="",""," siderite in "))</f>
        <v/>
      </c>
    </row>
    <row r="937" spans="1:14" x14ac:dyDescent="0.25">
      <c r="A937" s="51" t="str">
        <f>IF('Input Sheet'!C954="","",CONCATENATE("Sample ", 'Input Sheet'!B954, "m: ", L937, F937, "% ", "Siltstone, ", N937, 'Input Sheet'!C954, "% ", H937, " Sandstone, ", J937, I937, " FLUOR in SST. ", "TG ", 'Input Sheet'!H954, "U"))</f>
        <v/>
      </c>
      <c r="F937" s="36" t="str">
        <f>IF('Input Sheet'!C954="","",100-'Input Sheet'!C954)</f>
        <v/>
      </c>
      <c r="G9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7" s="36" t="str">
        <f t="shared" si="14"/>
        <v/>
      </c>
      <c r="I9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7" s="36" t="str">
        <f>IF('Input Sheet'!F954=0, "NO",CONCATENATE('Input Sheet'!F954, IF('Input Sheet'!F954&gt;0,"% ","")))</f>
        <v>NO</v>
      </c>
      <c r="K9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7" s="36" t="str">
        <f>CONCATENATE(K937, IF('Input Sheet'!I954="",""," siderite in "))</f>
        <v/>
      </c>
      <c r="M93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7" s="36" t="str">
        <f>CONCATENATE(M937, IF('Input Sheet'!J954="",""," siderite in "))</f>
        <v/>
      </c>
    </row>
    <row r="938" spans="1:14" x14ac:dyDescent="0.25">
      <c r="A938" s="51" t="str">
        <f>IF('Input Sheet'!C955="","",CONCATENATE("Sample ", 'Input Sheet'!B955, "m: ", L938, F938, "% ", "Siltstone, ", N938, 'Input Sheet'!C955, "% ", H938, " Sandstone, ", J938, I938, " FLUOR in SST. ", "TG ", 'Input Sheet'!H955, "U"))</f>
        <v/>
      </c>
      <c r="F938" s="36" t="str">
        <f>IF('Input Sheet'!C955="","",100-'Input Sheet'!C955)</f>
        <v/>
      </c>
      <c r="G9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8" s="36" t="str">
        <f t="shared" si="14"/>
        <v/>
      </c>
      <c r="I9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8" s="36" t="str">
        <f>IF('Input Sheet'!F955=0, "NO",CONCATENATE('Input Sheet'!F955, IF('Input Sheet'!F955&gt;0,"% ","")))</f>
        <v>NO</v>
      </c>
      <c r="K9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8" s="36" t="str">
        <f>CONCATENATE(K938, IF('Input Sheet'!I955="",""," siderite in "))</f>
        <v/>
      </c>
      <c r="M93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8" s="36" t="str">
        <f>CONCATENATE(M938, IF('Input Sheet'!J955="",""," siderite in "))</f>
        <v/>
      </c>
    </row>
    <row r="939" spans="1:14" x14ac:dyDescent="0.25">
      <c r="A939" s="51" t="str">
        <f>IF('Input Sheet'!C956="","",CONCATENATE("Sample ", 'Input Sheet'!B956, "m: ", L939, F939, "% ", "Siltstone, ", N939, 'Input Sheet'!C956, "% ", H939, " Sandstone, ", J939, I939, " FLUOR in SST. ", "TG ", 'Input Sheet'!H956, "U"))</f>
        <v/>
      </c>
      <c r="F939" s="36" t="str">
        <f>IF('Input Sheet'!C956="","",100-'Input Sheet'!C956)</f>
        <v/>
      </c>
      <c r="G9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39" s="36" t="str">
        <f t="shared" si="14"/>
        <v/>
      </c>
      <c r="I9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39" s="36" t="str">
        <f>IF('Input Sheet'!F956=0, "NO",CONCATENATE('Input Sheet'!F956, IF('Input Sheet'!F956&gt;0,"% ","")))</f>
        <v>NO</v>
      </c>
      <c r="K9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39" s="36" t="str">
        <f>CONCATENATE(K939, IF('Input Sheet'!I956="",""," siderite in "))</f>
        <v/>
      </c>
      <c r="M93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39" s="36" t="str">
        <f>CONCATENATE(M939, IF('Input Sheet'!J956="",""," siderite in "))</f>
        <v/>
      </c>
    </row>
    <row r="940" spans="1:14" x14ac:dyDescent="0.25">
      <c r="A940" s="51" t="str">
        <f>IF('Input Sheet'!C957="","",CONCATENATE("Sample ", 'Input Sheet'!B957, "m: ", L940, F940, "% ", "Siltstone, ", N940, 'Input Sheet'!C957, "% ", H940, " Sandstone, ", J940, I940, " FLUOR in SST. ", "TG ", 'Input Sheet'!H957, "U"))</f>
        <v/>
      </c>
      <c r="F940" s="36" t="str">
        <f>IF('Input Sheet'!C957="","",100-'Input Sheet'!C957)</f>
        <v/>
      </c>
      <c r="G9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0" s="36" t="str">
        <f t="shared" si="14"/>
        <v/>
      </c>
      <c r="I9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0" s="36" t="str">
        <f>IF('Input Sheet'!F957=0, "NO",CONCATENATE('Input Sheet'!F957, IF('Input Sheet'!F957&gt;0,"% ","")))</f>
        <v>NO</v>
      </c>
      <c r="K9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0" s="36" t="str">
        <f>CONCATENATE(K940, IF('Input Sheet'!I957="",""," siderite in "))</f>
        <v/>
      </c>
      <c r="M94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0" s="36" t="str">
        <f>CONCATENATE(M940, IF('Input Sheet'!J957="",""," siderite in "))</f>
        <v/>
      </c>
    </row>
    <row r="941" spans="1:14" x14ac:dyDescent="0.25">
      <c r="A941" s="51" t="str">
        <f>IF('Input Sheet'!C958="","",CONCATENATE("Sample ", 'Input Sheet'!B958, "m: ", L941, F941, "% ", "Siltstone, ", N941, 'Input Sheet'!C958, "% ", H941, " Sandstone, ", J941, I941, " FLUOR in SST. ", "TG ", 'Input Sheet'!H958, "U"))</f>
        <v/>
      </c>
      <c r="F941" s="36" t="str">
        <f>IF('Input Sheet'!C958="","",100-'Input Sheet'!C958)</f>
        <v/>
      </c>
      <c r="G9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1" s="36" t="str">
        <f t="shared" si="14"/>
        <v/>
      </c>
      <c r="I9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1" s="36" t="str">
        <f>IF('Input Sheet'!F958=0, "NO",CONCATENATE('Input Sheet'!F958, IF('Input Sheet'!F958&gt;0,"% ","")))</f>
        <v>NO</v>
      </c>
      <c r="K9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1" s="36" t="str">
        <f>CONCATENATE(K941, IF('Input Sheet'!I958="",""," siderite in "))</f>
        <v/>
      </c>
      <c r="M94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1" s="36" t="str">
        <f>CONCATENATE(M941, IF('Input Sheet'!J958="",""," siderite in "))</f>
        <v/>
      </c>
    </row>
    <row r="942" spans="1:14" x14ac:dyDescent="0.25">
      <c r="A942" s="51" t="str">
        <f>IF('Input Sheet'!C959="","",CONCATENATE("Sample ", 'Input Sheet'!B959, "m: ", L942, F942, "% ", "Siltstone, ", N942, 'Input Sheet'!C959, "% ", H942, " Sandstone, ", J942, I942, " FLUOR in SST. ", "TG ", 'Input Sheet'!H959, "U"))</f>
        <v/>
      </c>
      <c r="F942" s="36" t="str">
        <f>IF('Input Sheet'!C959="","",100-'Input Sheet'!C959)</f>
        <v/>
      </c>
      <c r="G9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2" s="36" t="str">
        <f t="shared" si="14"/>
        <v/>
      </c>
      <c r="I9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2" s="36" t="str">
        <f>IF('Input Sheet'!F959=0, "NO",CONCATENATE('Input Sheet'!F959, IF('Input Sheet'!F959&gt;0,"% ","")))</f>
        <v>NO</v>
      </c>
      <c r="K9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2" s="36" t="str">
        <f>CONCATENATE(K942, IF('Input Sheet'!I959="",""," siderite in "))</f>
        <v/>
      </c>
      <c r="M94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959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2" s="36" t="str">
        <f>CONCATENATE(M942, IF('Input Sheet'!J959="",""," siderite in "))</f>
        <v/>
      </c>
    </row>
    <row r="943" spans="1:14" x14ac:dyDescent="0.25">
      <c r="A943" s="51" t="str">
        <f>IF('Input Sheet'!C960="","",CONCATENATE("Sample ", 'Input Sheet'!B960, "m: ", L943, F943, "% ", "Siltstone, ", N943, 'Input Sheet'!C960, "% ", H943, " Sandstone, ", J943, I943, " FLUOR in SST. ", "TG ", 'Input Sheet'!H960, "U"))</f>
        <v/>
      </c>
      <c r="F943" s="36" t="str">
        <f>IF('Input Sheet'!C960="","",100-'Input Sheet'!C960)</f>
        <v/>
      </c>
      <c r="G9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3" s="36" t="str">
        <f t="shared" si="14"/>
        <v/>
      </c>
      <c r="I9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3" s="36" t="str">
        <f>IF('Input Sheet'!F960=0, "NO",CONCATENATE('Input Sheet'!F960, IF('Input Sheet'!F960&gt;0,"% ","")))</f>
        <v>NO</v>
      </c>
      <c r="K9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3" s="36" t="str">
        <f>CONCATENATE(K943, IF('Input Sheet'!I960="",""," siderite in "))</f>
        <v/>
      </c>
      <c r="M94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3" s="36" t="str">
        <f>CONCATENATE(M943, IF('Input Sheet'!J960="",""," siderite in "))</f>
        <v/>
      </c>
    </row>
    <row r="944" spans="1:14" x14ac:dyDescent="0.25">
      <c r="A944" s="51" t="str">
        <f>IF('Input Sheet'!C961="","",CONCATENATE("Sample ", 'Input Sheet'!B961, "m: ", L944, F944, "% ", "Siltstone, ", N944, 'Input Sheet'!C961, "% ", H944, " Sandstone, ", J944, I944, " FLUOR in SST. ", "TG ", 'Input Sheet'!H961, "U"))</f>
        <v/>
      </c>
      <c r="F944" s="36" t="str">
        <f>IF('Input Sheet'!C961="","",100-'Input Sheet'!C961)</f>
        <v/>
      </c>
      <c r="G9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4" s="36" t="str">
        <f t="shared" si="14"/>
        <v/>
      </c>
      <c r="I9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4" s="36" t="str">
        <f>IF('Input Sheet'!F961=0, "NO",CONCATENATE('Input Sheet'!F961, IF('Input Sheet'!F961&gt;0,"% ","")))</f>
        <v>NO</v>
      </c>
      <c r="K9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4" s="36" t="str">
        <f>CONCATENATE(K944, IF('Input Sheet'!I961="",""," siderite in "))</f>
        <v/>
      </c>
      <c r="M94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4" s="36" t="str">
        <f>CONCATENATE(M944, IF('Input Sheet'!J961="",""," siderite in "))</f>
        <v/>
      </c>
    </row>
    <row r="945" spans="1:14" x14ac:dyDescent="0.25">
      <c r="A945" s="51" t="str">
        <f>IF('Input Sheet'!C962="","",CONCATENATE("Sample ", 'Input Sheet'!B962, "m: ", L945, F945, "% ", "Siltstone, ", N945, 'Input Sheet'!C962, "% ", H945, " Sandstone, ", J945, I945, " FLUOR in SST. ", "TG ", 'Input Sheet'!H962, "U"))</f>
        <v/>
      </c>
      <c r="F945" s="36" t="str">
        <f>IF('Input Sheet'!C962="","",100-'Input Sheet'!C962)</f>
        <v/>
      </c>
      <c r="G9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5" s="36" t="str">
        <f t="shared" si="14"/>
        <v/>
      </c>
      <c r="I9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5" s="36" t="str">
        <f>IF('Input Sheet'!F962=0, "NO",CONCATENATE('Input Sheet'!F962, IF('Input Sheet'!F962&gt;0,"% ","")))</f>
        <v>NO</v>
      </c>
      <c r="K9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5" s="36" t="str">
        <f>CONCATENATE(K945, IF('Input Sheet'!I962="",""," siderite in "))</f>
        <v/>
      </c>
      <c r="M94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5" s="36" t="str">
        <f>CONCATENATE(M945, IF('Input Sheet'!J962="",""," siderite in "))</f>
        <v/>
      </c>
    </row>
    <row r="946" spans="1:14" x14ac:dyDescent="0.25">
      <c r="A946" s="51" t="str">
        <f>IF('Input Sheet'!C963="","",CONCATENATE("Sample ", 'Input Sheet'!B963, "m: ", L946, F946, "% ", "Siltstone, ", N946, 'Input Sheet'!C963, "% ", H946, " Sandstone, ", J946, I946, " FLUOR in SST. ", "TG ", 'Input Sheet'!H963, "U"))</f>
        <v/>
      </c>
      <c r="F946" s="36" t="str">
        <f>IF('Input Sheet'!C963="","",100-'Input Sheet'!C963)</f>
        <v/>
      </c>
      <c r="G9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6" s="36" t="str">
        <f t="shared" si="14"/>
        <v/>
      </c>
      <c r="I9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6" s="36" t="str">
        <f>IF('Input Sheet'!F963=0, "NO",CONCATENATE('Input Sheet'!F963, IF('Input Sheet'!F963&gt;0,"% ","")))</f>
        <v>NO</v>
      </c>
      <c r="K9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6" s="36" t="str">
        <f>CONCATENATE(K946, IF('Input Sheet'!I963="",""," siderite in "))</f>
        <v/>
      </c>
      <c r="M94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6" s="36" t="str">
        <f>CONCATENATE(M946, IF('Input Sheet'!J963="",""," siderite in "))</f>
        <v/>
      </c>
    </row>
    <row r="947" spans="1:14" x14ac:dyDescent="0.25">
      <c r="A947" s="51" t="str">
        <f>IF('Input Sheet'!C964="","",CONCATENATE("Sample ", 'Input Sheet'!B964, "m: ", L947, F947, "% ", "Siltstone, ", N947, 'Input Sheet'!C964, "% ", H947, " Sandstone, ", J947, I947, " FLUOR in SST. ", "TG ", 'Input Sheet'!H964, "U"))</f>
        <v/>
      </c>
      <c r="F947" s="36" t="str">
        <f>IF('Input Sheet'!C964="","",100-'Input Sheet'!C964)</f>
        <v/>
      </c>
      <c r="G9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7" s="36" t="str">
        <f t="shared" si="14"/>
        <v/>
      </c>
      <c r="I9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7" s="36" t="str">
        <f>IF('Input Sheet'!F964=0, "NO",CONCATENATE('Input Sheet'!F964, IF('Input Sheet'!F964&gt;0,"% ","")))</f>
        <v>NO</v>
      </c>
      <c r="K9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7" s="36" t="str">
        <f>CONCATENATE(K947, IF('Input Sheet'!I964="",""," siderite in "))</f>
        <v/>
      </c>
      <c r="M94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7" s="36" t="str">
        <f>CONCATENATE(M947, IF('Input Sheet'!J964="",""," siderite in "))</f>
        <v/>
      </c>
    </row>
    <row r="948" spans="1:14" x14ac:dyDescent="0.25">
      <c r="A948" s="51" t="str">
        <f>IF('Input Sheet'!C965="","",CONCATENATE("Sample ", 'Input Sheet'!B965, "m: ", L948, F948, "% ", "Siltstone, ", N948, 'Input Sheet'!C965, "% ", H948, " Sandstone, ", J948, I948, " FLUOR in SST. ", "TG ", 'Input Sheet'!H965, "U"))</f>
        <v/>
      </c>
      <c r="F948" s="36" t="str">
        <f>IF('Input Sheet'!C965="","",100-'Input Sheet'!C965)</f>
        <v/>
      </c>
      <c r="G9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8" s="36" t="str">
        <f t="shared" si="14"/>
        <v/>
      </c>
      <c r="I9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8" s="36" t="str">
        <f>IF('Input Sheet'!F965=0, "NO",CONCATENATE('Input Sheet'!F965, IF('Input Sheet'!F965&gt;0,"% ","")))</f>
        <v>NO</v>
      </c>
      <c r="K9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8" s="36" t="str">
        <f>CONCATENATE(K948, IF('Input Sheet'!I965="",""," siderite in "))</f>
        <v/>
      </c>
      <c r="M94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8" s="36" t="str">
        <f>CONCATENATE(M948, IF('Input Sheet'!J965="",""," siderite in "))</f>
        <v/>
      </c>
    </row>
    <row r="949" spans="1:14" x14ac:dyDescent="0.25">
      <c r="A949" s="51" t="str">
        <f>IF('Input Sheet'!C966="","",CONCATENATE("Sample ", 'Input Sheet'!B966, "m: ", L949, F949, "% ", "Siltstone, ", N949, 'Input Sheet'!C966, "% ", H949, " Sandstone, ", J949, I949, " FLUOR in SST. ", "TG ", 'Input Sheet'!H966, "U"))</f>
        <v/>
      </c>
      <c r="F949" s="36" t="str">
        <f>IF('Input Sheet'!C966="","",100-'Input Sheet'!C966)</f>
        <v/>
      </c>
      <c r="G9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49" s="36" t="str">
        <f t="shared" si="14"/>
        <v/>
      </c>
      <c r="I9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49" s="36" t="str">
        <f>IF('Input Sheet'!F966=0, "NO",CONCATENATE('Input Sheet'!F966, IF('Input Sheet'!F966&gt;0,"% ","")))</f>
        <v>NO</v>
      </c>
      <c r="K9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49" s="36" t="str">
        <f>CONCATENATE(K949, IF('Input Sheet'!I966="",""," siderite in "))</f>
        <v/>
      </c>
      <c r="M94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49" s="36" t="str">
        <f>CONCATENATE(M949, IF('Input Sheet'!J966="",""," siderite in "))</f>
        <v/>
      </c>
    </row>
    <row r="950" spans="1:14" x14ac:dyDescent="0.25">
      <c r="A950" s="51" t="str">
        <f>IF('Input Sheet'!C967="","",CONCATENATE("Sample ", 'Input Sheet'!B967, "m: ", L950, F950, "% ", "Siltstone, ", N950, 'Input Sheet'!C967, "% ", H950, " Sandstone, ", J950, I950, " FLUOR in SST. ", "TG ", 'Input Sheet'!H967, "U"))</f>
        <v/>
      </c>
      <c r="F950" s="36" t="str">
        <f>IF('Input Sheet'!C967="","",100-'Input Sheet'!C967)</f>
        <v/>
      </c>
      <c r="G9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0" s="36" t="str">
        <f t="shared" si="14"/>
        <v/>
      </c>
      <c r="I9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0" s="36" t="str">
        <f>IF('Input Sheet'!F967=0, "NO",CONCATENATE('Input Sheet'!F967, IF('Input Sheet'!F967&gt;0,"% ","")))</f>
        <v>NO</v>
      </c>
      <c r="K9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0" s="36" t="str">
        <f>CONCATENATE(K950, IF('Input Sheet'!I967="",""," siderite in "))</f>
        <v/>
      </c>
      <c r="M95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0" s="36" t="str">
        <f>CONCATENATE(M950, IF('Input Sheet'!J967="",""," siderite in "))</f>
        <v/>
      </c>
    </row>
    <row r="951" spans="1:14" x14ac:dyDescent="0.25">
      <c r="A951" s="51" t="str">
        <f>IF('Input Sheet'!C968="","",CONCATENATE("Sample ", 'Input Sheet'!B968, "m: ", L951, F951, "% ", "Siltstone, ", N951, 'Input Sheet'!C968, "% ", H951, " Sandstone, ", J951, I951, " FLUOR in SST. ", "TG ", 'Input Sheet'!H968, "U"))</f>
        <v/>
      </c>
      <c r="F951" s="36" t="str">
        <f>IF('Input Sheet'!C968="","",100-'Input Sheet'!C968)</f>
        <v/>
      </c>
      <c r="G9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1" s="36" t="str">
        <f t="shared" si="14"/>
        <v/>
      </c>
      <c r="I9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1" s="36" t="str">
        <f>IF('Input Sheet'!F968=0, "NO",CONCATENATE('Input Sheet'!F968, IF('Input Sheet'!F968&gt;0,"% ","")))</f>
        <v>NO</v>
      </c>
      <c r="K9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1" s="36" t="str">
        <f>CONCATENATE(K951, IF('Input Sheet'!I968="",""," siderite in "))</f>
        <v/>
      </c>
      <c r="M95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1" s="36" t="str">
        <f>CONCATENATE(M951, IF('Input Sheet'!J968="",""," siderite in "))</f>
        <v/>
      </c>
    </row>
    <row r="952" spans="1:14" x14ac:dyDescent="0.25">
      <c r="A952" s="51" t="str">
        <f>IF('Input Sheet'!C969="","",CONCATENATE("Sample ", 'Input Sheet'!B969, "m: ", L952, F952, "% ", "Siltstone, ", N952, 'Input Sheet'!C969, "% ", H952, " Sandstone, ", J952, I952, " FLUOR in SST. ", "TG ", 'Input Sheet'!H969, "U"))</f>
        <v/>
      </c>
      <c r="F952" s="36" t="str">
        <f>IF('Input Sheet'!C969="","",100-'Input Sheet'!C969)</f>
        <v/>
      </c>
      <c r="G9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2" s="36" t="str">
        <f t="shared" si="14"/>
        <v/>
      </c>
      <c r="I9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2" s="36" t="str">
        <f>IF('Input Sheet'!F969=0, "NO",CONCATENATE('Input Sheet'!F969, IF('Input Sheet'!F969&gt;0,"% ","")))</f>
        <v>NO</v>
      </c>
      <c r="K9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2" s="36" t="str">
        <f>CONCATENATE(K952, IF('Input Sheet'!I969="",""," siderite in "))</f>
        <v/>
      </c>
      <c r="M95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969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2" s="36" t="str">
        <f>CONCATENATE(M952, IF('Input Sheet'!J969="",""," siderite in "))</f>
        <v/>
      </c>
    </row>
    <row r="953" spans="1:14" x14ac:dyDescent="0.25">
      <c r="A953" s="51" t="str">
        <f>IF('Input Sheet'!C970="","",CONCATENATE("Sample ", 'Input Sheet'!B970, "m: ", L953, F953, "% ", "Siltstone, ", N953, 'Input Sheet'!C970, "% ", H953, " Sandstone, ", J953, I953, " FLUOR in SST. ", "TG ", 'Input Sheet'!H970, "U"))</f>
        <v/>
      </c>
      <c r="F953" s="36" t="str">
        <f>IF('Input Sheet'!C970="","",100-'Input Sheet'!C970)</f>
        <v/>
      </c>
      <c r="G9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3" s="36" t="str">
        <f t="shared" si="14"/>
        <v/>
      </c>
      <c r="I9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3" s="36" t="str">
        <f>IF('Input Sheet'!F970=0, "NO",CONCATENATE('Input Sheet'!F970, IF('Input Sheet'!F970&gt;0,"% ","")))</f>
        <v>NO</v>
      </c>
      <c r="K9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3" s="36" t="str">
        <f>CONCATENATE(K953, IF('Input Sheet'!I970="",""," siderite in "))</f>
        <v/>
      </c>
      <c r="M95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3" s="36" t="str">
        <f>CONCATENATE(M953, IF('Input Sheet'!J970="",""," siderite in "))</f>
        <v/>
      </c>
    </row>
    <row r="954" spans="1:14" x14ac:dyDescent="0.25">
      <c r="A954" s="51" t="str">
        <f>IF('Input Sheet'!C971="","",CONCATENATE("Sample ", 'Input Sheet'!B971, "m: ", L954, F954, "% ", "Siltstone, ", N954, 'Input Sheet'!C971, "% ", H954, " Sandstone, ", J954, I954, " FLUOR in SST. ", "TG ", 'Input Sheet'!H971, "U"))</f>
        <v/>
      </c>
      <c r="F954" s="36" t="str">
        <f>IF('Input Sheet'!C971="","",100-'Input Sheet'!C971)</f>
        <v/>
      </c>
      <c r="G9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4" s="36" t="str">
        <f t="shared" si="14"/>
        <v/>
      </c>
      <c r="I9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4" s="36" t="str">
        <f>IF('Input Sheet'!F971=0, "NO",CONCATENATE('Input Sheet'!F971, IF('Input Sheet'!F971&gt;0,"% ","")))</f>
        <v>NO</v>
      </c>
      <c r="K9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4" s="36" t="str">
        <f>CONCATENATE(K954, IF('Input Sheet'!I971="",""," siderite in "))</f>
        <v/>
      </c>
      <c r="M95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4" s="36" t="str">
        <f>CONCATENATE(M954, IF('Input Sheet'!J971="",""," siderite in "))</f>
        <v/>
      </c>
    </row>
    <row r="955" spans="1:14" x14ac:dyDescent="0.25">
      <c r="A955" s="51" t="str">
        <f>IF('Input Sheet'!C972="","",CONCATENATE("Sample ", 'Input Sheet'!B972, "m: ", L955, F955, "% ", "Siltstone, ", N955, 'Input Sheet'!C972, "% ", H955, " Sandstone, ", J955, I955, " FLUOR in SST. ", "TG ", 'Input Sheet'!H972, "U"))</f>
        <v/>
      </c>
      <c r="F955" s="36" t="str">
        <f>IF('Input Sheet'!C972="","",100-'Input Sheet'!C972)</f>
        <v/>
      </c>
      <c r="G9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5" s="36" t="str">
        <f t="shared" si="14"/>
        <v/>
      </c>
      <c r="I9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5" s="36" t="str">
        <f>IF('Input Sheet'!F972=0, "NO",CONCATENATE('Input Sheet'!F972, IF('Input Sheet'!F972&gt;0,"% ","")))</f>
        <v>NO</v>
      </c>
      <c r="K9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5" s="36" t="str">
        <f>CONCATENATE(K955, IF('Input Sheet'!I972="",""," siderite in "))</f>
        <v/>
      </c>
      <c r="M95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5" s="36" t="str">
        <f>CONCATENATE(M955, IF('Input Sheet'!J972="",""," siderite in "))</f>
        <v/>
      </c>
    </row>
    <row r="956" spans="1:14" x14ac:dyDescent="0.25">
      <c r="A956" s="51" t="str">
        <f>IF('Input Sheet'!C973="","",CONCATENATE("Sample ", 'Input Sheet'!B973, "m: ", L956, F956, "% ", "Siltstone, ", N956, 'Input Sheet'!C973, "% ", H956, " Sandstone, ", J956, I956, " FLUOR in SST. ", "TG ", 'Input Sheet'!H973, "U"))</f>
        <v/>
      </c>
      <c r="F956" s="36" t="str">
        <f>IF('Input Sheet'!C973="","",100-'Input Sheet'!C973)</f>
        <v/>
      </c>
      <c r="G9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6" s="36" t="str">
        <f t="shared" si="14"/>
        <v/>
      </c>
      <c r="I9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6" s="36" t="str">
        <f>IF('Input Sheet'!F973=0, "NO",CONCATENATE('Input Sheet'!F973, IF('Input Sheet'!F973&gt;0,"% ","")))</f>
        <v>NO</v>
      </c>
      <c r="K9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6" s="36" t="str">
        <f>CONCATENATE(K956, IF('Input Sheet'!I973="",""," siderite in "))</f>
        <v/>
      </c>
      <c r="M95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6" s="36" t="str">
        <f>CONCATENATE(M956, IF('Input Sheet'!J973="",""," siderite in "))</f>
        <v/>
      </c>
    </row>
    <row r="957" spans="1:14" x14ac:dyDescent="0.25">
      <c r="A957" s="51" t="str">
        <f>IF('Input Sheet'!C974="","",CONCATENATE("Sample ", 'Input Sheet'!B974, "m: ", L957, F957, "% ", "Siltstone, ", N957, 'Input Sheet'!C974, "% ", H957, " Sandstone, ", J957, I957, " FLUOR in SST. ", "TG ", 'Input Sheet'!H974, "U"))</f>
        <v/>
      </c>
      <c r="F957" s="36" t="str">
        <f>IF('Input Sheet'!C974="","",100-'Input Sheet'!C974)</f>
        <v/>
      </c>
      <c r="G9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7" s="36" t="str">
        <f t="shared" si="14"/>
        <v/>
      </c>
      <c r="I9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7" s="36" t="str">
        <f>IF('Input Sheet'!F974=0, "NO",CONCATENATE('Input Sheet'!F974, IF('Input Sheet'!F974&gt;0,"% ","")))</f>
        <v>NO</v>
      </c>
      <c r="K9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7" s="36" t="str">
        <f>CONCATENATE(K957, IF('Input Sheet'!I974="",""," siderite in "))</f>
        <v/>
      </c>
      <c r="M95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7" s="36" t="str">
        <f>CONCATENATE(M957, IF('Input Sheet'!J974="",""," siderite in "))</f>
        <v/>
      </c>
    </row>
    <row r="958" spans="1:14" x14ac:dyDescent="0.25">
      <c r="A958" s="51" t="str">
        <f>IF('Input Sheet'!C975="","",CONCATENATE("Sample ", 'Input Sheet'!B975, "m: ", L958, F958, "% ", "Siltstone, ", N958, 'Input Sheet'!C975, "% ", H958, " Sandstone, ", J958, I958, " FLUOR in SST. ", "TG ", 'Input Sheet'!H975, "U"))</f>
        <v/>
      </c>
      <c r="F958" s="36" t="str">
        <f>IF('Input Sheet'!C975="","",100-'Input Sheet'!C975)</f>
        <v/>
      </c>
      <c r="G9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8" s="36" t="str">
        <f t="shared" si="14"/>
        <v/>
      </c>
      <c r="I9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8" s="36" t="str">
        <f>IF('Input Sheet'!F975=0, "NO",CONCATENATE('Input Sheet'!F975, IF('Input Sheet'!F975&gt;0,"% ","")))</f>
        <v>NO</v>
      </c>
      <c r="K9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8" s="36" t="str">
        <f>CONCATENATE(K958, IF('Input Sheet'!I975="",""," siderite in "))</f>
        <v/>
      </c>
      <c r="M95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8" s="36" t="str">
        <f>CONCATENATE(M958, IF('Input Sheet'!J975="",""," siderite in "))</f>
        <v/>
      </c>
    </row>
    <row r="959" spans="1:14" x14ac:dyDescent="0.25">
      <c r="A959" s="51" t="str">
        <f>IF('Input Sheet'!C976="","",CONCATENATE("Sample ", 'Input Sheet'!B976, "m: ", L959, F959, "% ", "Siltstone, ", N959, 'Input Sheet'!C976, "% ", H959, " Sandstone, ", J959, I959, " FLUOR in SST. ", "TG ", 'Input Sheet'!H976, "U"))</f>
        <v/>
      </c>
      <c r="F959" s="36" t="str">
        <f>IF('Input Sheet'!C976="","",100-'Input Sheet'!C976)</f>
        <v/>
      </c>
      <c r="G9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59" s="36" t="str">
        <f t="shared" si="14"/>
        <v/>
      </c>
      <c r="I9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59" s="36" t="str">
        <f>IF('Input Sheet'!F976=0, "NO",CONCATENATE('Input Sheet'!F976, IF('Input Sheet'!F976&gt;0,"% ","")))</f>
        <v>NO</v>
      </c>
      <c r="K9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59" s="36" t="str">
        <f>CONCATENATE(K959, IF('Input Sheet'!I976="",""," siderite in "))</f>
        <v/>
      </c>
      <c r="M95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59" s="36" t="str">
        <f>CONCATENATE(M959, IF('Input Sheet'!J976="",""," siderite in "))</f>
        <v/>
      </c>
    </row>
    <row r="960" spans="1:14" x14ac:dyDescent="0.25">
      <c r="A960" s="51" t="str">
        <f>IF('Input Sheet'!C977="","",CONCATENATE("Sample ", 'Input Sheet'!B977, "m: ", L960, F960, "% ", "Siltstone, ", N960, 'Input Sheet'!C977, "% ", H960, " Sandstone, ", J960, I960, " FLUOR in SST. ", "TG ", 'Input Sheet'!H977, "U"))</f>
        <v/>
      </c>
      <c r="F960" s="36" t="str">
        <f>IF('Input Sheet'!C977="","",100-'Input Sheet'!C977)</f>
        <v/>
      </c>
      <c r="G9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0" s="36" t="str">
        <f t="shared" si="14"/>
        <v/>
      </c>
      <c r="I9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0" s="36" t="str">
        <f>IF('Input Sheet'!F977=0, "NO",CONCATENATE('Input Sheet'!F977, IF('Input Sheet'!F977&gt;0,"% ","")))</f>
        <v>NO</v>
      </c>
      <c r="K9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0" s="36" t="str">
        <f>CONCATENATE(K960, IF('Input Sheet'!I977="",""," siderite in "))</f>
        <v/>
      </c>
      <c r="M96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0" s="36" t="str">
        <f>CONCATENATE(M960, IF('Input Sheet'!J977="",""," siderite in "))</f>
        <v/>
      </c>
    </row>
    <row r="961" spans="1:14" x14ac:dyDescent="0.25">
      <c r="A961" s="51" t="str">
        <f>IF('Input Sheet'!C978="","",CONCATENATE("Sample ", 'Input Sheet'!B978, "m: ", L961, F961, "% ", "Siltstone, ", N961, 'Input Sheet'!C978, "% ", H961, " Sandstone, ", J961, I961, " FLUOR in SST. ", "TG ", 'Input Sheet'!H978, "U"))</f>
        <v/>
      </c>
      <c r="F961" s="36" t="str">
        <f>IF('Input Sheet'!C978="","",100-'Input Sheet'!C978)</f>
        <v/>
      </c>
      <c r="G9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1" s="36" t="str">
        <f t="shared" si="14"/>
        <v/>
      </c>
      <c r="I9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1" s="36" t="str">
        <f>IF('Input Sheet'!F978=0, "NO",CONCATENATE('Input Sheet'!F978, IF('Input Sheet'!F978&gt;0,"% ","")))</f>
        <v>NO</v>
      </c>
      <c r="K9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1" s="36" t="str">
        <f>CONCATENATE(K961, IF('Input Sheet'!I978="",""," siderite in "))</f>
        <v/>
      </c>
      <c r="M96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1" s="36" t="str">
        <f>CONCATENATE(M961, IF('Input Sheet'!J978="",""," siderite in "))</f>
        <v/>
      </c>
    </row>
    <row r="962" spans="1:14" x14ac:dyDescent="0.25">
      <c r="A962" s="51" t="str">
        <f>IF('Input Sheet'!C979="","",CONCATENATE("Sample ", 'Input Sheet'!B979, "m: ", L962, F962, "% ", "Siltstone, ", N962, 'Input Sheet'!C979, "% ", H962, " Sandstone, ", J962, I962, " FLUOR in SST. ", "TG ", 'Input Sheet'!H979, "U"))</f>
        <v/>
      </c>
      <c r="F962" s="36" t="str">
        <f>IF('Input Sheet'!C979="","",100-'Input Sheet'!C979)</f>
        <v/>
      </c>
      <c r="G9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2" s="36" t="str">
        <f t="shared" ref="H962:H999" si="15">SUBSTITUTE(G962, "veryfine", "very fine")</f>
        <v/>
      </c>
      <c r="I9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2" s="36" t="str">
        <f>IF('Input Sheet'!F979=0, "NO",CONCATENATE('Input Sheet'!F979, IF('Input Sheet'!F979&gt;0,"% ","")))</f>
        <v>NO</v>
      </c>
      <c r="K9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2" s="36" t="str">
        <f>CONCATENATE(K962, IF('Input Sheet'!I979="",""," siderite in "))</f>
        <v/>
      </c>
      <c r="M96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979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2" s="36" t="str">
        <f>CONCATENATE(M962, IF('Input Sheet'!J979="",""," siderite in "))</f>
        <v/>
      </c>
    </row>
    <row r="963" spans="1:14" x14ac:dyDescent="0.25">
      <c r="A963" s="51" t="str">
        <f>IF('Input Sheet'!C980="","",CONCATENATE("Sample ", 'Input Sheet'!B980, "m: ", L963, F963, "% ", "Siltstone, ", N963, 'Input Sheet'!C980, "% ", H963, " Sandstone, ", J963, I963, " FLUOR in SST. ", "TG ", 'Input Sheet'!H980, "U"))</f>
        <v/>
      </c>
      <c r="F963" s="36" t="str">
        <f>IF('Input Sheet'!C980="","",100-'Input Sheet'!C980)</f>
        <v/>
      </c>
      <c r="G9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3" s="36" t="str">
        <f t="shared" si="15"/>
        <v/>
      </c>
      <c r="I9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3" s="36" t="str">
        <f>IF('Input Sheet'!F980=0, "NO",CONCATENATE('Input Sheet'!F980, IF('Input Sheet'!F980&gt;0,"% ","")))</f>
        <v>NO</v>
      </c>
      <c r="K9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3" s="36" t="str">
        <f>CONCATENATE(K963, IF('Input Sheet'!I980="",""," siderite in "))</f>
        <v/>
      </c>
      <c r="M96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3" s="36" t="str">
        <f>CONCATENATE(M963, IF('Input Sheet'!J980="",""," siderite in "))</f>
        <v/>
      </c>
    </row>
    <row r="964" spans="1:14" x14ac:dyDescent="0.25">
      <c r="A964" s="51" t="str">
        <f>IF('Input Sheet'!C981="","",CONCATENATE("Sample ", 'Input Sheet'!B981, "m: ", L964, F964, "% ", "Siltstone, ", N964, 'Input Sheet'!C981, "% ", H964, " Sandstone, ", J964, I964, " FLUOR in SST. ", "TG ", 'Input Sheet'!H981, "U"))</f>
        <v/>
      </c>
      <c r="F964" s="36" t="str">
        <f>IF('Input Sheet'!C981="","",100-'Input Sheet'!C981)</f>
        <v/>
      </c>
      <c r="G9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4" s="36" t="str">
        <f t="shared" si="15"/>
        <v/>
      </c>
      <c r="I9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4" s="36" t="str">
        <f>IF('Input Sheet'!F981=0, "NO",CONCATENATE('Input Sheet'!F981, IF('Input Sheet'!F981&gt;0,"% ","")))</f>
        <v>NO</v>
      </c>
      <c r="K9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4" s="36" t="str">
        <f>CONCATENATE(K964, IF('Input Sheet'!I981="",""," siderite in "))</f>
        <v/>
      </c>
      <c r="M96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4" s="36" t="str">
        <f>CONCATENATE(M964, IF('Input Sheet'!J981="",""," siderite in "))</f>
        <v/>
      </c>
    </row>
    <row r="965" spans="1:14" x14ac:dyDescent="0.25">
      <c r="A965" s="51" t="str">
        <f>IF('Input Sheet'!C982="","",CONCATENATE("Sample ", 'Input Sheet'!B982, "m: ", L965, F965, "% ", "Siltstone, ", N965, 'Input Sheet'!C982, "% ", H965, " Sandstone, ", J965, I965, " FLUOR in SST. ", "TG ", 'Input Sheet'!H982, "U"))</f>
        <v/>
      </c>
      <c r="F965" s="36" t="str">
        <f>IF('Input Sheet'!C982="","",100-'Input Sheet'!C982)</f>
        <v/>
      </c>
      <c r="G9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5" s="36" t="str">
        <f t="shared" si="15"/>
        <v/>
      </c>
      <c r="I9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5" s="36" t="str">
        <f>IF('Input Sheet'!F982=0, "NO",CONCATENATE('Input Sheet'!F982, IF('Input Sheet'!F982&gt;0,"% ","")))</f>
        <v>NO</v>
      </c>
      <c r="K9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5" s="36" t="str">
        <f>CONCATENATE(K965, IF('Input Sheet'!I982="",""," siderite in "))</f>
        <v/>
      </c>
      <c r="M96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5" s="36" t="str">
        <f>CONCATENATE(M965, IF('Input Sheet'!J982="",""," siderite in "))</f>
        <v/>
      </c>
    </row>
    <row r="966" spans="1:14" x14ac:dyDescent="0.25">
      <c r="A966" s="51" t="str">
        <f>IF('Input Sheet'!C983="","",CONCATENATE("Sample ", 'Input Sheet'!B983, "m: ", L966, F966, "% ", "Siltstone, ", N966, 'Input Sheet'!C983, "% ", H966, " Sandstone, ", J966, I966, " FLUOR in SST. ", "TG ", 'Input Sheet'!H983, "U"))</f>
        <v/>
      </c>
      <c r="F966" s="36" t="str">
        <f>IF('Input Sheet'!C983="","",100-'Input Sheet'!C983)</f>
        <v/>
      </c>
      <c r="G9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6" s="36" t="str">
        <f t="shared" si="15"/>
        <v/>
      </c>
      <c r="I9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6" s="36" t="str">
        <f>IF('Input Sheet'!F983=0, "NO",CONCATENATE('Input Sheet'!F983, IF('Input Sheet'!F983&gt;0,"% ","")))</f>
        <v>NO</v>
      </c>
      <c r="K9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6" s="36" t="str">
        <f>CONCATENATE(K966, IF('Input Sheet'!I983="",""," siderite in "))</f>
        <v/>
      </c>
      <c r="M96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6" s="36" t="str">
        <f>CONCATENATE(M966, IF('Input Sheet'!J983="",""," siderite in "))</f>
        <v/>
      </c>
    </row>
    <row r="967" spans="1:14" x14ac:dyDescent="0.25">
      <c r="A967" s="51" t="str">
        <f>IF('Input Sheet'!C984="","",CONCATENATE("Sample ", 'Input Sheet'!B984, "m: ", L967, F967, "% ", "Siltstone, ", N967, 'Input Sheet'!C984, "% ", H967, " Sandstone, ", J967, I967, " FLUOR in SST. ", "TG ", 'Input Sheet'!H984, "U"))</f>
        <v/>
      </c>
      <c r="F967" s="36" t="str">
        <f>IF('Input Sheet'!C984="","",100-'Input Sheet'!C984)</f>
        <v/>
      </c>
      <c r="G9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7" s="36" t="str">
        <f t="shared" si="15"/>
        <v/>
      </c>
      <c r="I9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7" s="36" t="str">
        <f>IF('Input Sheet'!F984=0, "NO",CONCATENATE('Input Sheet'!F984, IF('Input Sheet'!F984&gt;0,"% ","")))</f>
        <v>NO</v>
      </c>
      <c r="K9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7" s="36" t="str">
        <f>CONCATENATE(K967, IF('Input Sheet'!I984="",""," siderite in "))</f>
        <v/>
      </c>
      <c r="M96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7" s="36" t="str">
        <f>CONCATENATE(M967, IF('Input Sheet'!J984="",""," siderite in "))</f>
        <v/>
      </c>
    </row>
    <row r="968" spans="1:14" x14ac:dyDescent="0.25">
      <c r="A968" s="51" t="str">
        <f>IF('Input Sheet'!C985="","",CONCATENATE("Sample ", 'Input Sheet'!B985, "m: ", L968, F968, "% ", "Siltstone, ", N968, 'Input Sheet'!C985, "% ", H968, " Sandstone, ", J968, I968, " FLUOR in SST. ", "TG ", 'Input Sheet'!H985, "U"))</f>
        <v/>
      </c>
      <c r="F968" s="36" t="str">
        <f>IF('Input Sheet'!C985="","",100-'Input Sheet'!C985)</f>
        <v/>
      </c>
      <c r="G9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8" s="36" t="str">
        <f t="shared" si="15"/>
        <v/>
      </c>
      <c r="I9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8" s="36" t="str">
        <f>IF('Input Sheet'!F985=0, "NO",CONCATENATE('Input Sheet'!F985, IF('Input Sheet'!F985&gt;0,"% ","")))</f>
        <v>NO</v>
      </c>
      <c r="K9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8" s="36" t="str">
        <f>CONCATENATE(K968, IF('Input Sheet'!I985="",""," siderite in "))</f>
        <v/>
      </c>
      <c r="M96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8" s="36" t="str">
        <f>CONCATENATE(M968, IF('Input Sheet'!J985="",""," siderite in "))</f>
        <v/>
      </c>
    </row>
    <row r="969" spans="1:14" x14ac:dyDescent="0.25">
      <c r="A969" s="51" t="str">
        <f>IF('Input Sheet'!C986="","",CONCATENATE("Sample ", 'Input Sheet'!B986, "m: ", L969, F969, "% ", "Siltstone, ", N969, 'Input Sheet'!C986, "% ", H969, " Sandstone, ", J969, I969, " FLUOR in SST. ", "TG ", 'Input Sheet'!H986, "U"))</f>
        <v/>
      </c>
      <c r="F969" s="36" t="str">
        <f>IF('Input Sheet'!C986="","",100-'Input Sheet'!C986)</f>
        <v/>
      </c>
      <c r="G9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69" s="36" t="str">
        <f t="shared" si="15"/>
        <v/>
      </c>
      <c r="I9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69" s="36" t="str">
        <f>IF('Input Sheet'!F986=0, "NO",CONCATENATE('Input Sheet'!F986, IF('Input Sheet'!F986&gt;0,"% ","")))</f>
        <v>NO</v>
      </c>
      <c r="K9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69" s="36" t="str">
        <f>CONCATENATE(K969, IF('Input Sheet'!I986="",""," siderite in "))</f>
        <v/>
      </c>
      <c r="M96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69" s="36" t="str">
        <f>CONCATENATE(M969, IF('Input Sheet'!J986="",""," siderite in "))</f>
        <v/>
      </c>
    </row>
    <row r="970" spans="1:14" x14ac:dyDescent="0.25">
      <c r="A970" s="51" t="str">
        <f>IF('Input Sheet'!C987="","",CONCATENATE("Sample ", 'Input Sheet'!B987, "m: ", L970, F970, "% ", "Siltstone, ", N970, 'Input Sheet'!C987, "% ", H970, " Sandstone, ", J970, I970, " FLUOR in SST. ", "TG ", 'Input Sheet'!H987, "U"))</f>
        <v/>
      </c>
      <c r="F970" s="36" t="str">
        <f>IF('Input Sheet'!C987="","",100-'Input Sheet'!C987)</f>
        <v/>
      </c>
      <c r="G9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0" s="36" t="str">
        <f t="shared" si="15"/>
        <v/>
      </c>
      <c r="I9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0" s="36" t="str">
        <f>IF('Input Sheet'!F987=0, "NO",CONCATENATE('Input Sheet'!F987, IF('Input Sheet'!F987&gt;0,"% ","")))</f>
        <v>NO</v>
      </c>
      <c r="K9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0" s="36" t="str">
        <f>CONCATENATE(K970, IF('Input Sheet'!I987="",""," siderite in "))</f>
        <v/>
      </c>
      <c r="M97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0" s="36" t="str">
        <f>CONCATENATE(M970, IF('Input Sheet'!J987="",""," siderite in "))</f>
        <v/>
      </c>
    </row>
    <row r="971" spans="1:14" x14ac:dyDescent="0.25">
      <c r="A971" s="51" t="str">
        <f>IF('Input Sheet'!C988="","",CONCATENATE("Sample ", 'Input Sheet'!B988, "m: ", L971, F971, "% ", "Siltstone, ", N971, 'Input Sheet'!C988, "% ", H971, " Sandstone, ", J971, I971, " FLUOR in SST. ", "TG ", 'Input Sheet'!H988, "U"))</f>
        <v/>
      </c>
      <c r="F971" s="36" t="str">
        <f>IF('Input Sheet'!C988="","",100-'Input Sheet'!C988)</f>
        <v/>
      </c>
      <c r="G9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1" s="36" t="str">
        <f t="shared" si="15"/>
        <v/>
      </c>
      <c r="I9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1" s="36" t="str">
        <f>IF('Input Sheet'!F988=0, "NO",CONCATENATE('Input Sheet'!F988, IF('Input Sheet'!F988&gt;0,"% ","")))</f>
        <v>NO</v>
      </c>
      <c r="K9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1" s="36" t="str">
        <f>CONCATENATE(K971, IF('Input Sheet'!I988="",""," siderite in "))</f>
        <v/>
      </c>
      <c r="M97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1" s="36" t="str">
        <f>CONCATENATE(M971, IF('Input Sheet'!J988="",""," siderite in "))</f>
        <v/>
      </c>
    </row>
    <row r="972" spans="1:14" x14ac:dyDescent="0.25">
      <c r="A972" s="51" t="str">
        <f>IF('Input Sheet'!C989="","",CONCATENATE("Sample ", 'Input Sheet'!B989, "m: ", L972, F972, "% ", "Siltstone, ", N972, 'Input Sheet'!C989, "% ", H972, " Sandstone, ", J972, I972, " FLUOR in SST. ", "TG ", 'Input Sheet'!H989, "U"))</f>
        <v/>
      </c>
      <c r="F972" s="36" t="str">
        <f>IF('Input Sheet'!C989="","",100-'Input Sheet'!C989)</f>
        <v/>
      </c>
      <c r="G9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2" s="36" t="str">
        <f t="shared" si="15"/>
        <v/>
      </c>
      <c r="I9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2" s="36" t="str">
        <f>IF('Input Sheet'!F989=0, "NO",CONCATENATE('Input Sheet'!F989, IF('Input Sheet'!F989&gt;0,"% ","")))</f>
        <v>NO</v>
      </c>
      <c r="K9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2" s="36" t="str">
        <f>CONCATENATE(K972, IF('Input Sheet'!I989="",""," siderite in "))</f>
        <v/>
      </c>
      <c r="M97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989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2" s="36" t="str">
        <f>CONCATENATE(M972, IF('Input Sheet'!J989="",""," siderite in "))</f>
        <v/>
      </c>
    </row>
    <row r="973" spans="1:14" x14ac:dyDescent="0.25">
      <c r="A973" s="51" t="str">
        <f>IF('Input Sheet'!C990="","",CONCATENATE("Sample ", 'Input Sheet'!B990, "m: ", L973, F973, "% ", "Siltstone, ", N973, 'Input Sheet'!C990, "% ", H973, " Sandstone, ", J973, I973, " FLUOR in SST. ", "TG ", 'Input Sheet'!H990, "U"))</f>
        <v/>
      </c>
      <c r="F973" s="36" t="str">
        <f>IF('Input Sheet'!C990="","",100-'Input Sheet'!C990)</f>
        <v/>
      </c>
      <c r="G9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3" s="36" t="str">
        <f t="shared" si="15"/>
        <v/>
      </c>
      <c r="I9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3" s="36" t="str">
        <f>IF('Input Sheet'!F990=0, "NO",CONCATENATE('Input Sheet'!F990, IF('Input Sheet'!F990&gt;0,"% ","")))</f>
        <v>NO</v>
      </c>
      <c r="K9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3" s="36" t="str">
        <f>CONCATENATE(K973, IF('Input Sheet'!I990="",""," siderite in "))</f>
        <v/>
      </c>
      <c r="M97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3" s="36" t="str">
        <f>CONCATENATE(M973, IF('Input Sheet'!J990="",""," siderite in "))</f>
        <v/>
      </c>
    </row>
    <row r="974" spans="1:14" x14ac:dyDescent="0.25">
      <c r="A974" s="51" t="str">
        <f>IF('Input Sheet'!C991="","",CONCATENATE("Sample ", 'Input Sheet'!B991, "m: ", L974, F974, "% ", "Siltstone, ", N974, 'Input Sheet'!C991, "% ", H974, " Sandstone, ", J974, I974, " FLUOR in SST. ", "TG ", 'Input Sheet'!H991, "U"))</f>
        <v/>
      </c>
      <c r="F974" s="36" t="str">
        <f>IF('Input Sheet'!C991="","",100-'Input Sheet'!C991)</f>
        <v/>
      </c>
      <c r="G9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4" s="36" t="str">
        <f t="shared" si="15"/>
        <v/>
      </c>
      <c r="I9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4" s="36" t="str">
        <f>IF('Input Sheet'!F991=0, "NO",CONCATENATE('Input Sheet'!F991, IF('Input Sheet'!F991&gt;0,"% ","")))</f>
        <v>NO</v>
      </c>
      <c r="K9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4" s="36" t="str">
        <f>CONCATENATE(K974, IF('Input Sheet'!I991="",""," siderite in "))</f>
        <v/>
      </c>
      <c r="M97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4" s="36" t="str">
        <f>CONCATENATE(M974, IF('Input Sheet'!J991="",""," siderite in "))</f>
        <v/>
      </c>
    </row>
    <row r="975" spans="1:14" x14ac:dyDescent="0.25">
      <c r="A975" s="51" t="str">
        <f>IF('Input Sheet'!C992="","",CONCATENATE("Sample ", 'Input Sheet'!B992, "m: ", L975, F975, "% ", "Siltstone, ", N975, 'Input Sheet'!C992, "% ", H975, " Sandstone, ", J975, I975, " FLUOR in SST. ", "TG ", 'Input Sheet'!H992, "U"))</f>
        <v/>
      </c>
      <c r="F975" s="36" t="str">
        <f>IF('Input Sheet'!C992="","",100-'Input Sheet'!C992)</f>
        <v/>
      </c>
      <c r="G9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5" s="36" t="str">
        <f t="shared" si="15"/>
        <v/>
      </c>
      <c r="I9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5" s="36" t="str">
        <f>IF('Input Sheet'!F992=0, "NO",CONCATENATE('Input Sheet'!F992, IF('Input Sheet'!F992&gt;0,"% ","")))</f>
        <v>NO</v>
      </c>
      <c r="K9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5" s="36" t="str">
        <f>CONCATENATE(K975, IF('Input Sheet'!I992="",""," siderite in "))</f>
        <v/>
      </c>
      <c r="M97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5" s="36" t="str">
        <f>CONCATENATE(M975, IF('Input Sheet'!J992="",""," siderite in "))</f>
        <v/>
      </c>
    </row>
    <row r="976" spans="1:14" x14ac:dyDescent="0.25">
      <c r="A976" s="51" t="str">
        <f>IF('Input Sheet'!C993="","",CONCATENATE("Sample ", 'Input Sheet'!B993, "m: ", L976, F976, "% ", "Siltstone, ", N976, 'Input Sheet'!C993, "% ", H976, " Sandstone, ", J976, I976, " FLUOR in SST. ", "TG ", 'Input Sheet'!H993, "U"))</f>
        <v/>
      </c>
      <c r="F976" s="36" t="str">
        <f>IF('Input Sheet'!C993="","",100-'Input Sheet'!C993)</f>
        <v/>
      </c>
      <c r="G9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6" s="36" t="str">
        <f t="shared" si="15"/>
        <v/>
      </c>
      <c r="I9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6" s="36" t="str">
        <f>IF('Input Sheet'!F993=0, "NO",CONCATENATE('Input Sheet'!F993, IF('Input Sheet'!F993&gt;0,"% ","")))</f>
        <v>NO</v>
      </c>
      <c r="K9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6" s="36" t="str">
        <f>CONCATENATE(K976, IF('Input Sheet'!I993="",""," siderite in "))</f>
        <v/>
      </c>
      <c r="M97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6" s="36" t="str">
        <f>CONCATENATE(M976, IF('Input Sheet'!J993="",""," siderite in "))</f>
        <v/>
      </c>
    </row>
    <row r="977" spans="1:14" x14ac:dyDescent="0.25">
      <c r="A977" s="51" t="str">
        <f>IF('Input Sheet'!C994="","",CONCATENATE("Sample ", 'Input Sheet'!B994, "m: ", L977, F977, "% ", "Siltstone, ", N977, 'Input Sheet'!C994, "% ", H977, " Sandstone, ", J977, I977, " FLUOR in SST. ", "TG ", 'Input Sheet'!H994, "U"))</f>
        <v/>
      </c>
      <c r="F977" s="36" t="str">
        <f>IF('Input Sheet'!C994="","",100-'Input Sheet'!C994)</f>
        <v/>
      </c>
      <c r="G9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7" s="36" t="str">
        <f t="shared" si="15"/>
        <v/>
      </c>
      <c r="I9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7" s="36" t="str">
        <f>IF('Input Sheet'!F994=0, "NO",CONCATENATE('Input Sheet'!F994, IF('Input Sheet'!F994&gt;0,"% ","")))</f>
        <v>NO</v>
      </c>
      <c r="K9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7" s="36" t="str">
        <f>CONCATENATE(K977, IF('Input Sheet'!I994="",""," siderite in "))</f>
        <v/>
      </c>
      <c r="M97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7" s="36" t="str">
        <f>CONCATENATE(M977, IF('Input Sheet'!J994="",""," siderite in "))</f>
        <v/>
      </c>
    </row>
    <row r="978" spans="1:14" x14ac:dyDescent="0.25">
      <c r="A978" s="51" t="str">
        <f>IF('Input Sheet'!C995="","",CONCATENATE("Sample ", 'Input Sheet'!B995, "m: ", L978, F978, "% ", "Siltstone, ", N978, 'Input Sheet'!C995, "% ", H978, " Sandstone, ", J978, I978, " FLUOR in SST. ", "TG ", 'Input Sheet'!H995, "U"))</f>
        <v/>
      </c>
      <c r="F978" s="36" t="str">
        <f>IF('Input Sheet'!C995="","",100-'Input Sheet'!C995)</f>
        <v/>
      </c>
      <c r="G9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8" s="36" t="str">
        <f t="shared" si="15"/>
        <v/>
      </c>
      <c r="I9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8" s="36" t="str">
        <f>IF('Input Sheet'!F995=0, "NO",CONCATENATE('Input Sheet'!F995, IF('Input Sheet'!F995&gt;0,"% ","")))</f>
        <v>NO</v>
      </c>
      <c r="K9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8" s="36" t="str">
        <f>CONCATENATE(K978, IF('Input Sheet'!I995="",""," siderite in "))</f>
        <v/>
      </c>
      <c r="M97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8" s="36" t="str">
        <f>CONCATENATE(M978, IF('Input Sheet'!J995="",""," siderite in "))</f>
        <v/>
      </c>
    </row>
    <row r="979" spans="1:14" x14ac:dyDescent="0.25">
      <c r="A979" s="51" t="str">
        <f>IF('Input Sheet'!C996="","",CONCATENATE("Sample ", 'Input Sheet'!B996, "m: ", L979, F979, "% ", "Siltstone, ", N979, 'Input Sheet'!C996, "% ", H979, " Sandstone, ", J979, I979, " FLUOR in SST. ", "TG ", 'Input Sheet'!H996, "U"))</f>
        <v/>
      </c>
      <c r="F979" s="36" t="str">
        <f>IF('Input Sheet'!C996="","",100-'Input Sheet'!C996)</f>
        <v/>
      </c>
      <c r="G9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79" s="36" t="str">
        <f t="shared" si="15"/>
        <v/>
      </c>
      <c r="I9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79" s="36" t="str">
        <f>IF('Input Sheet'!F996=0, "NO",CONCATENATE('Input Sheet'!F996, IF('Input Sheet'!F996&gt;0,"% ","")))</f>
        <v>NO</v>
      </c>
      <c r="K9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79" s="36" t="str">
        <f>CONCATENATE(K979, IF('Input Sheet'!I996="",""," siderite in "))</f>
        <v/>
      </c>
      <c r="M97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79" s="36" t="str">
        <f>CONCATENATE(M979, IF('Input Sheet'!J996="",""," siderite in "))</f>
        <v/>
      </c>
    </row>
    <row r="980" spans="1:14" x14ac:dyDescent="0.25">
      <c r="A980" s="51" t="str">
        <f>IF('Input Sheet'!C997="","",CONCATENATE("Sample ", 'Input Sheet'!B997, "m: ", L980, F980, "% ", "Siltstone, ", N980, 'Input Sheet'!C997, "% ", H980, " Sandstone, ", J980, I980, " FLUOR in SST. ", "TG ", 'Input Sheet'!H997, "U"))</f>
        <v/>
      </c>
      <c r="F980" s="36" t="str">
        <f>IF('Input Sheet'!C997="","",100-'Input Sheet'!C997)</f>
        <v/>
      </c>
      <c r="G9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0" s="36" t="str">
        <f t="shared" si="15"/>
        <v/>
      </c>
      <c r="I9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0" s="36" t="str">
        <f>IF('Input Sheet'!F997=0, "NO",CONCATENATE('Input Sheet'!F997, IF('Input Sheet'!F997&gt;0,"% ","")))</f>
        <v>NO</v>
      </c>
      <c r="K9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0" s="36" t="str">
        <f>CONCATENATE(K980, IF('Input Sheet'!I997="",""," siderite in "))</f>
        <v/>
      </c>
      <c r="M98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0" s="36" t="str">
        <f>CONCATENATE(M980, IF('Input Sheet'!J997="",""," siderite in "))</f>
        <v/>
      </c>
    </row>
    <row r="981" spans="1:14" x14ac:dyDescent="0.25">
      <c r="A981" s="51" t="str">
        <f>IF('Input Sheet'!C998="","",CONCATENATE("Sample ", 'Input Sheet'!B998, "m: ", L981, F981, "% ", "Siltstone, ", N981, 'Input Sheet'!C998, "% ", H981, " Sandstone, ", J981, I981, " FLUOR in SST. ", "TG ", 'Input Sheet'!H998, "U"))</f>
        <v/>
      </c>
      <c r="F981" s="36" t="str">
        <f>IF('Input Sheet'!C998="","",100-'Input Sheet'!C998)</f>
        <v/>
      </c>
      <c r="G9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1" s="36" t="str">
        <f t="shared" si="15"/>
        <v/>
      </c>
      <c r="I9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1" s="36" t="str">
        <f>IF('Input Sheet'!F998=0, "NO",CONCATENATE('Input Sheet'!F998, IF('Input Sheet'!F998&gt;0,"% ","")))</f>
        <v>NO</v>
      </c>
      <c r="K9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1" s="36" t="str">
        <f>CONCATENATE(K981, IF('Input Sheet'!I998="",""," siderite in "))</f>
        <v/>
      </c>
      <c r="M98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1" s="36" t="str">
        <f>CONCATENATE(M981, IF('Input Sheet'!J998="",""," siderite in "))</f>
        <v/>
      </c>
    </row>
    <row r="982" spans="1:14" x14ac:dyDescent="0.25">
      <c r="A982" s="51" t="str">
        <f>IF('Input Sheet'!C999="","",CONCATENATE("Sample ", 'Input Sheet'!B999, "m: ", L982, F982, "% ", "Siltstone, ", N982, 'Input Sheet'!C999, "% ", H982, " Sandstone, ", J982, I982, " FLUOR in SST. ", "TG ", 'Input Sheet'!H999, "U"))</f>
        <v/>
      </c>
      <c r="F982" s="36" t="str">
        <f>IF('Input Sheet'!C999="","",100-'Input Sheet'!C999)</f>
        <v/>
      </c>
      <c r="G9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999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2" s="36" t="str">
        <f t="shared" si="15"/>
        <v/>
      </c>
      <c r="I9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999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2" s="36" t="str">
        <f>IF('Input Sheet'!F999=0, "NO",CONCATENATE('Input Sheet'!F999, IF('Input Sheet'!F999&gt;0,"% ","")))</f>
        <v>NO</v>
      </c>
      <c r="K9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999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2" s="36" t="str">
        <f>CONCATENATE(K982, IF('Input Sheet'!I999="",""," siderite in "))</f>
        <v/>
      </c>
      <c r="M98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999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2" s="36" t="str">
        <f>CONCATENATE(M982, IF('Input Sheet'!J999="",""," siderite in "))</f>
        <v/>
      </c>
    </row>
    <row r="983" spans="1:14" x14ac:dyDescent="0.25">
      <c r="A983" s="51" t="str">
        <f>IF('Input Sheet'!C1000="","",CONCATENATE("Sample ", 'Input Sheet'!B1000, "m: ", L983, F983, "% ", "Siltstone, ", N983, 'Input Sheet'!C1000, "% ", H983, " Sandstone, ", J983, I983, " FLUOR in SST. ", "TG ", 'Input Sheet'!H1000, "U"))</f>
        <v/>
      </c>
      <c r="F983" s="36" t="str">
        <f>IF('Input Sheet'!C1000="","",100-'Input Sheet'!C1000)</f>
        <v/>
      </c>
      <c r="G9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3" s="36" t="str">
        <f t="shared" si="15"/>
        <v/>
      </c>
      <c r="I9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3" s="36" t="str">
        <f>IF('Input Sheet'!F1000=0, "NO",CONCATENATE('Input Sheet'!F1000, IF('Input Sheet'!F1000&gt;0,"% ","")))</f>
        <v>NO</v>
      </c>
      <c r="K9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3" s="36" t="str">
        <f>CONCATENATE(K983, IF('Input Sheet'!I1000="",""," siderite in "))</f>
        <v/>
      </c>
      <c r="M98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3" s="36" t="str">
        <f>CONCATENATE(M983, IF('Input Sheet'!J1000="",""," siderite in "))</f>
        <v/>
      </c>
    </row>
    <row r="984" spans="1:14" x14ac:dyDescent="0.25">
      <c r="A984" s="51" t="str">
        <f>IF('Input Sheet'!C1001="","",CONCATENATE("Sample ", 'Input Sheet'!B1001, "m: ", L984, F984, "% ", "Siltstone, ", N984, 'Input Sheet'!C1001, "% ", H984, " Sandstone, ", J984, I984, " FLUOR in SST. ", "TG ", 'Input Sheet'!H1001, "U"))</f>
        <v/>
      </c>
      <c r="F984" s="36" t="str">
        <f>IF('Input Sheet'!C1001="","",100-'Input Sheet'!C1001)</f>
        <v/>
      </c>
      <c r="G9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4" s="36" t="str">
        <f t="shared" si="15"/>
        <v/>
      </c>
      <c r="I9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4" s="36" t="str">
        <f>IF('Input Sheet'!F1001=0, "NO",CONCATENATE('Input Sheet'!F1001, IF('Input Sheet'!F1001&gt;0,"% ","")))</f>
        <v>NO</v>
      </c>
      <c r="K9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4" s="36" t="str">
        <f>CONCATENATE(K984, IF('Input Sheet'!I1001="",""," siderite in "))</f>
        <v/>
      </c>
      <c r="M98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4" s="36" t="str">
        <f>CONCATENATE(M984, IF('Input Sheet'!J1001="",""," siderite in "))</f>
        <v/>
      </c>
    </row>
    <row r="985" spans="1:14" x14ac:dyDescent="0.25">
      <c r="A985" s="51" t="str">
        <f>IF('Input Sheet'!C1002="","",CONCATENATE("Sample ", 'Input Sheet'!B1002, "m: ", L985, F985, "% ", "Siltstone, ", N985, 'Input Sheet'!C1002, "% ", H985, " Sandstone, ", J985, I985, " FLUOR in SST. ", "TG ", 'Input Sheet'!H1002, "U"))</f>
        <v/>
      </c>
      <c r="F985" s="36" t="str">
        <f>IF('Input Sheet'!C1002="","",100-'Input Sheet'!C1002)</f>
        <v/>
      </c>
      <c r="G9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5" s="36" t="str">
        <f t="shared" si="15"/>
        <v/>
      </c>
      <c r="I9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5" s="36" t="str">
        <f>IF('Input Sheet'!F1002=0, "NO",CONCATENATE('Input Sheet'!F1002, IF('Input Sheet'!F1002&gt;0,"% ","")))</f>
        <v>NO</v>
      </c>
      <c r="K9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5" s="36" t="str">
        <f>CONCATENATE(K985, IF('Input Sheet'!I1002="",""," siderite in "))</f>
        <v/>
      </c>
      <c r="M98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5" s="36" t="str">
        <f>CONCATENATE(M985, IF('Input Sheet'!J1002="",""," siderite in "))</f>
        <v/>
      </c>
    </row>
    <row r="986" spans="1:14" x14ac:dyDescent="0.25">
      <c r="A986" s="51" t="str">
        <f>IF('Input Sheet'!C1003="","",CONCATENATE("Sample ", 'Input Sheet'!B1003, "m: ", L986, F986, "% ", "Siltstone, ", N986, 'Input Sheet'!C1003, "% ", H986, " Sandstone, ", J986, I986, " FLUOR in SST. ", "TG ", 'Input Sheet'!H1003, "U"))</f>
        <v/>
      </c>
      <c r="F986" s="36" t="str">
        <f>IF('Input Sheet'!C1003="","",100-'Input Sheet'!C1003)</f>
        <v/>
      </c>
      <c r="G9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6" s="36" t="str">
        <f t="shared" si="15"/>
        <v/>
      </c>
      <c r="I9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6" s="36" t="str">
        <f>IF('Input Sheet'!F1003=0, "NO",CONCATENATE('Input Sheet'!F1003, IF('Input Sheet'!F1003&gt;0,"% ","")))</f>
        <v>NO</v>
      </c>
      <c r="K9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6" s="36" t="str">
        <f>CONCATENATE(K986, IF('Input Sheet'!I1003="",""," siderite in "))</f>
        <v/>
      </c>
      <c r="M98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6" s="36" t="str">
        <f>CONCATENATE(M986, IF('Input Sheet'!J1003="",""," siderite in "))</f>
        <v/>
      </c>
    </row>
    <row r="987" spans="1:14" x14ac:dyDescent="0.25">
      <c r="A987" s="51" t="str">
        <f>IF('Input Sheet'!C1004="","",CONCATENATE("Sample ", 'Input Sheet'!B1004, "m: ", L987, F987, "% ", "Siltstone, ", N987, 'Input Sheet'!C1004, "% ", H987, " Sandstone, ", J987, I987, " FLUOR in SST. ", "TG ", 'Input Sheet'!H1004, "U"))</f>
        <v/>
      </c>
      <c r="F987" s="36" t="str">
        <f>IF('Input Sheet'!C1004="","",100-'Input Sheet'!C1004)</f>
        <v/>
      </c>
      <c r="G9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7" s="36" t="str">
        <f t="shared" si="15"/>
        <v/>
      </c>
      <c r="I9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7" s="36" t="str">
        <f>IF('Input Sheet'!F1004=0, "NO",CONCATENATE('Input Sheet'!F1004, IF('Input Sheet'!F1004&gt;0,"% ","")))</f>
        <v>NO</v>
      </c>
      <c r="K9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7" s="36" t="str">
        <f>CONCATENATE(K987, IF('Input Sheet'!I1004="",""," siderite in "))</f>
        <v/>
      </c>
      <c r="M98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7" s="36" t="str">
        <f>CONCATENATE(M987, IF('Input Sheet'!J1004="",""," siderite in "))</f>
        <v/>
      </c>
    </row>
    <row r="988" spans="1:14" x14ac:dyDescent="0.25">
      <c r="A988" s="51" t="str">
        <f>IF('Input Sheet'!C1005="","",CONCATENATE("Sample ", 'Input Sheet'!B1005, "m: ", L988, F988, "% ", "Siltstone, ", N988, 'Input Sheet'!C1005, "% ", H988, " Sandstone, ", J988, I988, " FLUOR in SST. ", "TG ", 'Input Sheet'!H1005, "U"))</f>
        <v/>
      </c>
      <c r="F988" s="36" t="str">
        <f>IF('Input Sheet'!C1005="","",100-'Input Sheet'!C1005)</f>
        <v/>
      </c>
      <c r="G9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8" s="36" t="str">
        <f t="shared" si="15"/>
        <v/>
      </c>
      <c r="I9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8" s="36" t="str">
        <f>IF('Input Sheet'!F1005=0, "NO",CONCATENATE('Input Sheet'!F1005, IF('Input Sheet'!F1005&gt;0,"% ","")))</f>
        <v>NO</v>
      </c>
      <c r="K9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8" s="36" t="str">
        <f>CONCATENATE(K988, IF('Input Sheet'!I1005="",""," siderite in "))</f>
        <v/>
      </c>
      <c r="M98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8" s="36" t="str">
        <f>CONCATENATE(M988, IF('Input Sheet'!J1005="",""," siderite in "))</f>
        <v/>
      </c>
    </row>
    <row r="989" spans="1:14" x14ac:dyDescent="0.25">
      <c r="A989" s="51" t="str">
        <f>IF('Input Sheet'!C1006="","",CONCATENATE("Sample ", 'Input Sheet'!B1006, "m: ", L989, F989, "% ", "Siltstone, ", N989, 'Input Sheet'!C1006, "% ", H989, " Sandstone, ", J989, I989, " FLUOR in SST. ", "TG ", 'Input Sheet'!H1006, "U"))</f>
        <v/>
      </c>
      <c r="F989" s="36" t="str">
        <f>IF('Input Sheet'!C1006="","",100-'Input Sheet'!C1006)</f>
        <v/>
      </c>
      <c r="G9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89" s="36" t="str">
        <f t="shared" si="15"/>
        <v/>
      </c>
      <c r="I9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89" s="36" t="str">
        <f>IF('Input Sheet'!F1006=0, "NO",CONCATENATE('Input Sheet'!F1006, IF('Input Sheet'!F1006&gt;0,"% ","")))</f>
        <v>NO</v>
      </c>
      <c r="K9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89" s="36" t="str">
        <f>CONCATENATE(K989, IF('Input Sheet'!I1006="",""," siderite in "))</f>
        <v/>
      </c>
      <c r="M98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89" s="36" t="str">
        <f>CONCATENATE(M989, IF('Input Sheet'!J1006="",""," siderite in "))</f>
        <v/>
      </c>
    </row>
    <row r="990" spans="1:14" x14ac:dyDescent="0.25">
      <c r="A990" s="51" t="str">
        <f>IF('Input Sheet'!C1007="","",CONCATENATE("Sample ", 'Input Sheet'!B1007, "m: ", L990, F990, "% ", "Siltstone, ", N990, 'Input Sheet'!C1007, "% ", H990, " Sandstone, ", J990, I990, " FLUOR in SST. ", "TG ", 'Input Sheet'!H1007, "U"))</f>
        <v/>
      </c>
      <c r="F990" s="36" t="str">
        <f>IF('Input Sheet'!C1007="","",100-'Input Sheet'!C1007)</f>
        <v/>
      </c>
      <c r="G9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0" s="36" t="str">
        <f t="shared" si="15"/>
        <v/>
      </c>
      <c r="I9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0" s="36" t="str">
        <f>IF('Input Sheet'!F1007=0, "NO",CONCATENATE('Input Sheet'!F1007, IF('Input Sheet'!F1007&gt;0,"% ","")))</f>
        <v>NO</v>
      </c>
      <c r="K9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0" s="36" t="str">
        <f>CONCATENATE(K990, IF('Input Sheet'!I1007="",""," siderite in "))</f>
        <v/>
      </c>
      <c r="M990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1007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0" s="36" t="str">
        <f>CONCATENATE(M990, IF('Input Sheet'!J1007="",""," siderite in "))</f>
        <v/>
      </c>
    </row>
    <row r="991" spans="1:14" x14ac:dyDescent="0.25">
      <c r="A991" s="51" t="str">
        <f>IF('Input Sheet'!C1008="","",CONCATENATE("Sample ", 'Input Sheet'!B1008, "m: ", L991, F991, "% ", "Siltstone, ", N991, 'Input Sheet'!C1008, "% ", H991, " Sandstone, ", J991, I991, " FLUOR in SST. ", "TG ", 'Input Sheet'!H1008, "U"))</f>
        <v/>
      </c>
      <c r="F991" s="36" t="str">
        <f>IF('Input Sheet'!C1008="","",100-'Input Sheet'!C1008)</f>
        <v/>
      </c>
      <c r="G9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1" s="36" t="str">
        <f t="shared" si="15"/>
        <v/>
      </c>
      <c r="I9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1" s="36" t="str">
        <f>IF('Input Sheet'!F1008=0, "NO",CONCATENATE('Input Sheet'!F1008, IF('Input Sheet'!F1008&gt;0,"% ","")))</f>
        <v>NO</v>
      </c>
      <c r="K9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1" s="36" t="str">
        <f>CONCATENATE(K991, IF('Input Sheet'!I1008="",""," siderite in "))</f>
        <v/>
      </c>
      <c r="M991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1008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1" s="36" t="str">
        <f>CONCATENATE(M991, IF('Input Sheet'!J1008="",""," siderite in "))</f>
        <v/>
      </c>
    </row>
    <row r="992" spans="1:14" x14ac:dyDescent="0.25">
      <c r="A992" s="51" t="str">
        <f>IF('Input Sheet'!C1009="","",CONCATENATE("Sample ", 'Input Sheet'!B1009, "m: ", L992, F992, "% ", "Siltstone, ", N992, 'Input Sheet'!C1009, "% ", H992, " Sandstone, ", J992, I992, " FLUOR in SST. ", "TG ", 'Input Sheet'!H1009, "U"))</f>
        <v/>
      </c>
      <c r="F992" s="36" t="str">
        <f>IF('Input Sheet'!C1009="","",100-'Input Sheet'!C1009)</f>
        <v/>
      </c>
      <c r="G9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2" s="36" t="str">
        <f t="shared" si="15"/>
        <v/>
      </c>
      <c r="I9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2" s="36" t="str">
        <f>IF('Input Sheet'!F1009=0, "NO",CONCATENATE('Input Sheet'!F1009, IF('Input Sheet'!F1009&gt;0,"% ","")))</f>
        <v>NO</v>
      </c>
      <c r="K9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2" s="36" t="str">
        <f>CONCATENATE(K992, IF('Input Sheet'!I1009="",""," siderite in "))</f>
        <v/>
      </c>
      <c r="M992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1009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2" s="36" t="str">
        <f>CONCATENATE(M992, IF('Input Sheet'!J1009="",""," siderite in "))</f>
        <v/>
      </c>
    </row>
    <row r="993" spans="1:14" x14ac:dyDescent="0.25">
      <c r="A993" s="51" t="str">
        <f>IF('Input Sheet'!C1010="","",CONCATENATE("Sample ", 'Input Sheet'!B1010, "m: ", L993, F993, "% ", "Siltstone, ", N993, 'Input Sheet'!C1010, "% ", H993, " Sandstone, ", J993, I993, " FLUOR in SST. ", "TG ", 'Input Sheet'!H1010, "U"))</f>
        <v/>
      </c>
      <c r="F993" s="36" t="str">
        <f>IF('Input Sheet'!C1010="","",100-'Input Sheet'!C1010)</f>
        <v/>
      </c>
      <c r="G9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3" s="36" t="str">
        <f t="shared" si="15"/>
        <v/>
      </c>
      <c r="I9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3" s="36" t="str">
        <f>IF('Input Sheet'!F1010=0, "NO",CONCATENATE('Input Sheet'!F1010, IF('Input Sheet'!F1010&gt;0,"% ","")))</f>
        <v>NO</v>
      </c>
      <c r="K9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3" s="36" t="str">
        <f>CONCATENATE(K993, IF('Input Sheet'!I1010="",""," siderite in "))</f>
        <v/>
      </c>
      <c r="M993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1010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3" s="36" t="str">
        <f>CONCATENATE(M993, IF('Input Sheet'!J1010="",""," siderite in "))</f>
        <v/>
      </c>
    </row>
    <row r="994" spans="1:14" x14ac:dyDescent="0.25">
      <c r="A994" s="51" t="str">
        <f>IF('Input Sheet'!C1011="","",CONCATENATE("Sample ", 'Input Sheet'!B1011, "m: ", L994, F994, "% ", "Siltstone, ", N994, 'Input Sheet'!C1011, "% ", H994, " Sandstone, ", J994, I994, " FLUOR in SST. ", "TG ", 'Input Sheet'!H1011, "U"))</f>
        <v/>
      </c>
      <c r="F994" s="36" t="str">
        <f>IF('Input Sheet'!C1011="","",100-'Input Sheet'!C1011)</f>
        <v/>
      </c>
      <c r="G9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4" s="36" t="str">
        <f t="shared" si="15"/>
        <v/>
      </c>
      <c r="I9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4" s="36" t="str">
        <f>IF('Input Sheet'!F1011=0, "NO",CONCATENATE('Input Sheet'!F1011, IF('Input Sheet'!F1011&gt;0,"% ","")))</f>
        <v>NO</v>
      </c>
      <c r="K9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4" s="36" t="str">
        <f>CONCATENATE(K994, IF('Input Sheet'!I1011="",""," siderite in "))</f>
        <v/>
      </c>
      <c r="M994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1011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4" s="36" t="str">
        <f>CONCATENATE(M994, IF('Input Sheet'!J1011="",""," siderite in "))</f>
        <v/>
      </c>
    </row>
    <row r="995" spans="1:14" x14ac:dyDescent="0.25">
      <c r="A995" s="51" t="str">
        <f>IF('Input Sheet'!C1012="","",CONCATENATE("Sample ", 'Input Sheet'!B1012, "m: ", L995, F995, "% ", "Siltstone, ", N995, 'Input Sheet'!C1012, "% ", H995, " Sandstone, ", J995, I995, " FLUOR in SST. ", "TG ", 'Input Sheet'!H1012, "U"))</f>
        <v/>
      </c>
      <c r="F995" s="36" t="str">
        <f>IF('Input Sheet'!C1012="","",100-'Input Sheet'!C1012)</f>
        <v/>
      </c>
      <c r="G9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5" s="36" t="str">
        <f t="shared" si="15"/>
        <v/>
      </c>
      <c r="I9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5" s="36" t="str">
        <f>IF('Input Sheet'!F1012=0, "NO",CONCATENATE('Input Sheet'!F1012, IF('Input Sheet'!F1012&gt;0,"% ","")))</f>
        <v>NO</v>
      </c>
      <c r="K9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5" s="36" t="str">
        <f>CONCATENATE(K995, IF('Input Sheet'!I1012="",""," siderite in "))</f>
        <v/>
      </c>
      <c r="M995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1012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5" s="36" t="str">
        <f>CONCATENATE(M995, IF('Input Sheet'!J1012="",""," siderite in "))</f>
        <v/>
      </c>
    </row>
    <row r="996" spans="1:14" x14ac:dyDescent="0.25">
      <c r="A996" s="51" t="str">
        <f>IF('Input Sheet'!C1013="","",CONCATENATE("Sample ", 'Input Sheet'!B1013, "m: ", L996, F996, "% ", "Siltstone, ", N996, 'Input Sheet'!C1013, "% ", H996, " Sandstone, ", J996, I996, " FLUOR in SST. ", "TG ", 'Input Sheet'!H1013, "U"))</f>
        <v/>
      </c>
      <c r="F996" s="36" t="str">
        <f>IF('Input Sheet'!C1013="","",100-'Input Sheet'!C1013)</f>
        <v/>
      </c>
      <c r="G9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6" s="36" t="str">
        <f t="shared" si="15"/>
        <v/>
      </c>
      <c r="I9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6" s="36" t="str">
        <f>IF('Input Sheet'!F1013=0, "NO",CONCATENATE('Input Sheet'!F1013, IF('Input Sheet'!F1013&gt;0,"% ","")))</f>
        <v>NO</v>
      </c>
      <c r="K9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6" s="36" t="str">
        <f>CONCATENATE(K996, IF('Input Sheet'!I1013="",""," siderite in "))</f>
        <v/>
      </c>
      <c r="M996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1013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6" s="36" t="str">
        <f>CONCATENATE(M996, IF('Input Sheet'!J1013="",""," siderite in "))</f>
        <v/>
      </c>
    </row>
    <row r="997" spans="1:14" x14ac:dyDescent="0.25">
      <c r="A997" s="51" t="str">
        <f>IF('Input Sheet'!C1014="","",CONCATENATE("Sample ", 'Input Sheet'!B1014, "m: ", L997, F997, "% ", "Siltstone, ", N997, 'Input Sheet'!C1014, "% ", H997, " Sandstone, ", J997, I997, " FLUOR in SST. ", "TG ", 'Input Sheet'!H1014, "U"))</f>
        <v/>
      </c>
      <c r="F997" s="36" t="str">
        <f>IF('Input Sheet'!C1014="","",100-'Input Sheet'!C1014)</f>
        <v/>
      </c>
      <c r="G9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7" s="36" t="str">
        <f t="shared" si="15"/>
        <v/>
      </c>
      <c r="I9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7" s="36" t="str">
        <f>IF('Input Sheet'!F1014=0, "NO",CONCATENATE('Input Sheet'!F1014, IF('Input Sheet'!F1014&gt;0,"% ","")))</f>
        <v>NO</v>
      </c>
      <c r="K9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7" s="36" t="str">
        <f>CONCATENATE(K997, IF('Input Sheet'!I1014="",""," siderite in "))</f>
        <v/>
      </c>
      <c r="M997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1014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7" s="36" t="str">
        <f>CONCATENATE(M997, IF('Input Sheet'!J1014="",""," siderite in "))</f>
        <v/>
      </c>
    </row>
    <row r="998" spans="1:14" x14ac:dyDescent="0.25">
      <c r="A998" s="51" t="str">
        <f>IF('Input Sheet'!C1015="","",CONCATENATE("Sample ", 'Input Sheet'!B1015, "m: ", L998, F998, "% ", "Siltstone, ", N998, 'Input Sheet'!C1015, "% ", H998, " Sandstone, ", J998, I998, " FLUOR in SST. ", "TG ", 'Input Sheet'!H1015, "U"))</f>
        <v/>
      </c>
      <c r="F998" s="36" t="str">
        <f>IF('Input Sheet'!C1015="","",100-'Input Sheet'!C1015)</f>
        <v/>
      </c>
      <c r="G9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8" s="36" t="str">
        <f t="shared" si="15"/>
        <v/>
      </c>
      <c r="I9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8" s="36" t="str">
        <f>IF('Input Sheet'!F1015=0, "NO",CONCATENATE('Input Sheet'!F1015, IF('Input Sheet'!F1015&gt;0,"% ","")))</f>
        <v>NO</v>
      </c>
      <c r="K9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8" s="36" t="str">
        <f>CONCATENATE(K998, IF('Input Sheet'!I1015="",""," siderite in "))</f>
        <v/>
      </c>
      <c r="M998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1015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8" s="36" t="str">
        <f>CONCATENATE(M998, IF('Input Sheet'!J1015="",""," siderite in "))</f>
        <v/>
      </c>
    </row>
    <row r="999" spans="1:14" x14ac:dyDescent="0.25">
      <c r="A999" s="51" t="str">
        <f>IF('Input Sheet'!C1016="","",CONCATENATE("Sample ", 'Input Sheet'!B1016, "m: ", L999, F999, "% ", "Siltstone, ", N999, 'Input Sheet'!C1016, "% ", H999, " Sandstone, ", J999, I999, " FLUOR in SST. ", "TG ", 'Input Sheet'!H1016, "U"))</f>
        <v/>
      </c>
      <c r="F999" s="36" t="str">
        <f>IF('Input Sheet'!C1016="","",100-'Input Sheet'!C1016)</f>
        <v/>
      </c>
      <c r="G9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D1016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H999" s="36" t="str">
        <f t="shared" si="15"/>
        <v/>
      </c>
      <c r="I9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G1016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J999" s="36" t="str">
        <f>IF('Input Sheet'!F1016=0, "NO",CONCATENATE('Input Sheet'!F1016, IF('Input Sheet'!F1016&gt;0,"% ","")))</f>
        <v>NO</v>
      </c>
      <c r="K9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I1016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L999" s="36" t="str">
        <f>CONCATENATE(K999, IF('Input Sheet'!I1016="",""," siderite in "))</f>
        <v/>
      </c>
      <c r="M999" s="36" t="str">
        <f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'Input Sheet'!J1016,$C$3,$D$3),$C$4,$D$4),$C$5,$D$5),$C$6,$D$6),$C$7,$D$7),$C$8,$D$8),$C$9,$D$9),$C$10,$D$10),$C$11,$D$11),$C$12,$D$12),$C$13,$D$13),$C$14,$D$14),$C$15,$D$15),$C$16,$D$16),$C$17,$D$17),$C$18,$D$18),$C$19,$D$19),$C$20,$D$20),$C$21,$D$21),$C$22,$D$22),$C$23,$D$23),$C$24,$D$24),$C$25,$D$25),$C$26,$D$26),$C$27,$D$27),$C$28,$D$28),$C$29,$D$29),$C$30,$D$30),$C$31,$D$31),$C$32,$D$32),$C$33,$D$33)</f>
        <v/>
      </c>
      <c r="N999" s="36" t="str">
        <f>CONCATENATE(M999, IF('Input Sheet'!J1016="",""," siderite in 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17"/>
  <sheetViews>
    <sheetView zoomScaleNormal="100" workbookViewId="0">
      <selection activeCell="A99" sqref="A99:XFD99"/>
    </sheetView>
  </sheetViews>
  <sheetFormatPr defaultColWidth="8.7109375" defaultRowHeight="15" x14ac:dyDescent="0.25"/>
  <cols>
    <col min="1" max="1" width="135.42578125" customWidth="1"/>
    <col min="3" max="3" width="11.42578125" bestFit="1" customWidth="1"/>
    <col min="6" max="6" width="9.28515625" style="31"/>
    <col min="7" max="7" width="9.28515625" style="50"/>
    <col min="28" max="28" width="11.42578125" customWidth="1"/>
    <col min="30" max="30" width="10.42578125" customWidth="1"/>
  </cols>
  <sheetData>
    <row r="1" spans="1:30" ht="16.5" x14ac:dyDescent="0.3">
      <c r="A1" s="62"/>
      <c r="B1" s="63"/>
      <c r="C1" s="63"/>
      <c r="D1" s="63"/>
      <c r="E1" s="64"/>
      <c r="F1" s="27" t="s">
        <v>71</v>
      </c>
      <c r="G1" s="47" t="s">
        <v>71</v>
      </c>
      <c r="H1" s="2"/>
      <c r="I1" s="3" t="s">
        <v>72</v>
      </c>
      <c r="J1" s="3"/>
      <c r="K1" s="3" t="s">
        <v>73</v>
      </c>
      <c r="L1" s="3"/>
      <c r="M1" s="4"/>
      <c r="P1" t="s">
        <v>74</v>
      </c>
      <c r="Q1" t="s">
        <v>16</v>
      </c>
      <c r="R1" t="s">
        <v>21</v>
      </c>
      <c r="S1" t="s">
        <v>44</v>
      </c>
      <c r="T1" t="s">
        <v>75</v>
      </c>
      <c r="U1" t="s">
        <v>76</v>
      </c>
      <c r="X1" t="s">
        <v>77</v>
      </c>
      <c r="Z1" t="s">
        <v>78</v>
      </c>
      <c r="AB1" t="s">
        <v>79</v>
      </c>
      <c r="AD1" t="s">
        <v>80</v>
      </c>
    </row>
    <row r="2" spans="1:30" x14ac:dyDescent="0.25">
      <c r="A2" s="65" t="s">
        <v>81</v>
      </c>
      <c r="B2" s="65"/>
      <c r="C2" s="65"/>
      <c r="D2" s="65"/>
      <c r="E2" s="65"/>
      <c r="F2" s="28">
        <v>0</v>
      </c>
      <c r="G2" s="28">
        <v>0</v>
      </c>
      <c r="H2" s="2"/>
      <c r="I2" s="2" t="s">
        <v>82</v>
      </c>
      <c r="J2" s="2" t="s">
        <v>83</v>
      </c>
      <c r="K2" s="2" t="s">
        <v>82</v>
      </c>
      <c r="L2" s="2" t="s">
        <v>83</v>
      </c>
      <c r="P2" s="6">
        <f>+P3/$U$3</f>
        <v>0</v>
      </c>
      <c r="Q2" s="6">
        <f>+Q3/$U$3</f>
        <v>0.48638132295719844</v>
      </c>
      <c r="R2" s="6">
        <f>+R3/$U$3</f>
        <v>0.40466926070038911</v>
      </c>
      <c r="S2" s="6">
        <f>+S3/$U$3</f>
        <v>8.5603112840466927E-2</v>
      </c>
      <c r="T2" s="6">
        <f>+T3/$U$3</f>
        <v>2.3346303501945526E-2</v>
      </c>
      <c r="X2" s="25">
        <v>2252</v>
      </c>
      <c r="Z2" s="9">
        <f>MAX(D:D)-X2</f>
        <v>1142</v>
      </c>
      <c r="AB2" s="5">
        <f>J3/$Z$2</f>
        <v>1.051970227670753</v>
      </c>
      <c r="AD2" s="5">
        <f>L3/$Z$2</f>
        <v>0.90201401050788088</v>
      </c>
    </row>
    <row r="3" spans="1:30" x14ac:dyDescent="0.25">
      <c r="A3" s="65" t="s">
        <v>84</v>
      </c>
      <c r="B3" s="65"/>
      <c r="C3" s="65"/>
      <c r="D3" s="65"/>
      <c r="E3" s="65"/>
      <c r="F3" s="28">
        <v>0.5</v>
      </c>
      <c r="G3" s="28">
        <v>0.75</v>
      </c>
      <c r="H3" s="2"/>
      <c r="I3" s="2">
        <f>SUM(I6:I299)</f>
        <v>1679</v>
      </c>
      <c r="J3" s="60">
        <f>SUM(J6:J299)</f>
        <v>1201.3499999999999</v>
      </c>
      <c r="K3" s="2">
        <f>SUM(K6:K299)</f>
        <v>1154</v>
      </c>
      <c r="L3" s="2">
        <f>SUM(L6:L299)</f>
        <v>1030.0999999999999</v>
      </c>
      <c r="P3" s="2">
        <f>SUM(P6:P220)</f>
        <v>0</v>
      </c>
      <c r="Q3" s="2">
        <f>SUM(Q6:Q220)</f>
        <v>625</v>
      </c>
      <c r="R3" s="2">
        <f>SUM(R6:R220)</f>
        <v>520</v>
      </c>
      <c r="S3" s="2">
        <f>SUM(S6:S220)</f>
        <v>110</v>
      </c>
      <c r="T3" s="2">
        <f>SUM(T6:T220)</f>
        <v>30</v>
      </c>
      <c r="U3" s="2">
        <f>+SUM(P3:T3)</f>
        <v>1285</v>
      </c>
    </row>
    <row r="4" spans="1:30" s="14" customFormat="1" x14ac:dyDescent="0.25">
      <c r="A4" s="12"/>
      <c r="B4" s="12"/>
      <c r="C4" s="12"/>
      <c r="D4" s="12"/>
      <c r="E4" s="12"/>
      <c r="F4" s="29"/>
      <c r="G4" s="48"/>
      <c r="H4" s="13"/>
      <c r="I4" s="13"/>
      <c r="J4" s="13"/>
      <c r="K4" s="13"/>
      <c r="L4" s="13"/>
      <c r="M4" s="15"/>
      <c r="N4" s="15"/>
      <c r="O4" s="23"/>
    </row>
    <row r="5" spans="1:30" s="22" customFormat="1" ht="30" x14ac:dyDescent="0.25">
      <c r="A5" s="16" t="s">
        <v>85</v>
      </c>
      <c r="B5" s="17" t="s">
        <v>11</v>
      </c>
      <c r="C5" s="18" t="s">
        <v>12</v>
      </c>
      <c r="D5" s="19" t="s">
        <v>86</v>
      </c>
      <c r="E5" s="20" t="s">
        <v>87</v>
      </c>
      <c r="F5" s="30" t="s">
        <v>88</v>
      </c>
      <c r="G5" s="49" t="s">
        <v>89</v>
      </c>
      <c r="H5" s="19" t="s">
        <v>90</v>
      </c>
      <c r="I5" s="19" t="s">
        <v>91</v>
      </c>
      <c r="J5" s="19"/>
      <c r="K5" s="19" t="s">
        <v>91</v>
      </c>
      <c r="L5" s="19"/>
      <c r="M5" s="21" t="s">
        <v>92</v>
      </c>
      <c r="N5" s="21" t="s">
        <v>92</v>
      </c>
      <c r="O5" s="24"/>
      <c r="P5" s="22" t="s">
        <v>74</v>
      </c>
      <c r="Q5" s="22" t="s">
        <v>16</v>
      </c>
      <c r="R5" s="22" t="s">
        <v>21</v>
      </c>
      <c r="S5" s="22" t="s">
        <v>44</v>
      </c>
      <c r="T5" s="22" t="s">
        <v>75</v>
      </c>
      <c r="U5" s="22" t="s">
        <v>76</v>
      </c>
    </row>
    <row r="6" spans="1:30" ht="15.75" customHeight="1" x14ac:dyDescent="0.25">
      <c r="A6" s="10" t="str">
        <f>'Long Sample Name'!A2</f>
        <v>Sample 1715m: trace siderite in 65% Siltstone, 35% fine Sandstone, 5% dim FLUOR in SST. TG 22.6U</v>
      </c>
      <c r="B6" s="1">
        <f>'Input Sheet'!K4</f>
        <v>0</v>
      </c>
      <c r="C6" s="7">
        <f>'Input Sheet'!L4</f>
        <v>0</v>
      </c>
      <c r="D6" s="11">
        <f>'Input Sheet'!B4</f>
        <v>1715</v>
      </c>
      <c r="E6" s="8">
        <f>'Input Sheet'!H4</f>
        <v>22.6</v>
      </c>
      <c r="F6" s="61">
        <f>'Input Sheet'!C4/100</f>
        <v>0.35</v>
      </c>
      <c r="G6" s="61">
        <f>'Input Sheet'!F4/100</f>
        <v>0.05</v>
      </c>
      <c r="H6" s="2">
        <v>0</v>
      </c>
      <c r="I6" s="2">
        <f>IF(AND(F6&gt;=$F$2,G6&gt;=$G$2),H6,0)</f>
        <v>0</v>
      </c>
      <c r="J6" s="60">
        <f>IF(I6&gt;0,I6*F6,0)</f>
        <v>0</v>
      </c>
      <c r="K6" s="2">
        <f t="shared" ref="K6:K57" si="0">IF(AND(F6&gt;=$F$3,G6&gt;=$G$3),H6,0)</f>
        <v>0</v>
      </c>
      <c r="L6" s="2">
        <f>IF(K6&gt;0,K6*F6,0)</f>
        <v>0</v>
      </c>
      <c r="M6" s="2" t="str">
        <f>'Input Sheet'!E4</f>
        <v>F</v>
      </c>
      <c r="N6" s="2">
        <f>IF(M6="VF",1,IF(M6="F",2,IF(M6="M",3,IF(M6="C",4,IF(M6="VC",5,0)))))</f>
        <v>2</v>
      </c>
      <c r="P6">
        <f t="shared" ref="P6:T12" si="1">IF($M6=P$1,$H6,0)</f>
        <v>0</v>
      </c>
      <c r="Q6">
        <f t="shared" si="1"/>
        <v>0</v>
      </c>
      <c r="R6">
        <f t="shared" si="1"/>
        <v>0</v>
      </c>
      <c r="S6">
        <f t="shared" si="1"/>
        <v>0</v>
      </c>
      <c r="T6">
        <f t="shared" si="1"/>
        <v>0</v>
      </c>
    </row>
    <row r="7" spans="1:30" ht="15.75" customHeight="1" x14ac:dyDescent="0.25">
      <c r="A7" s="10" t="str">
        <f>'Long Sample Name'!A3</f>
        <v>Sample 1720m: 65% Siltstone, 35% fine Sandstone, 5% dim FLUOR in SST. TG 22.6U</v>
      </c>
      <c r="B7" s="1">
        <f>'Input Sheet'!K5</f>
        <v>0</v>
      </c>
      <c r="C7" s="7">
        <f>'Input Sheet'!L5</f>
        <v>0</v>
      </c>
      <c r="D7" s="11">
        <f>'Input Sheet'!B5</f>
        <v>1720</v>
      </c>
      <c r="E7" s="8">
        <f>'Input Sheet'!H5</f>
        <v>22.6</v>
      </c>
      <c r="F7" s="61">
        <f>'Input Sheet'!C5/100</f>
        <v>0.35</v>
      </c>
      <c r="G7" s="61">
        <f>'Input Sheet'!F5/100</f>
        <v>0.05</v>
      </c>
      <c r="H7" s="2">
        <f t="shared" ref="H7:H57" si="2">IF(D7&lt;&gt;"",D7-D6,"")</f>
        <v>5</v>
      </c>
      <c r="I7" s="2">
        <f>IF(AND(F7&gt;=$F$2,G7&gt;=$G$2),H7,0)</f>
        <v>5</v>
      </c>
      <c r="J7" s="60">
        <f t="shared" ref="J7:J70" si="3">IF(I7&gt;0,I7*F7,0)</f>
        <v>1.75</v>
      </c>
      <c r="K7" s="2">
        <f t="shared" si="0"/>
        <v>0</v>
      </c>
      <c r="L7" s="2">
        <f t="shared" ref="L7:L57" si="4">IF(K7&gt;0,K7*F7,0)</f>
        <v>0</v>
      </c>
      <c r="M7" s="2" t="str">
        <f>'Input Sheet'!E5</f>
        <v>F</v>
      </c>
      <c r="N7" s="2">
        <f t="shared" ref="N7:N57" si="5">IF(M7="VF",1,IF(M7="F",2,IF(M7="M",3,IF(M7="C",4,IF(M7="VC",5,0)))))</f>
        <v>2</v>
      </c>
      <c r="P7">
        <f t="shared" si="1"/>
        <v>0</v>
      </c>
      <c r="Q7">
        <f t="shared" si="1"/>
        <v>5</v>
      </c>
      <c r="R7">
        <f t="shared" si="1"/>
        <v>0</v>
      </c>
      <c r="S7">
        <f t="shared" si="1"/>
        <v>0</v>
      </c>
      <c r="T7">
        <f t="shared" si="1"/>
        <v>0</v>
      </c>
    </row>
    <row r="8" spans="1:30" ht="15.75" customHeight="1" x14ac:dyDescent="0.25">
      <c r="A8" s="10" t="str">
        <f>'Long Sample Name'!A4</f>
        <v>Sample 1785m: 60% Siltstone, 40% fine Sandstone, 100% dim FLUOR in SST. TG 39.4U</v>
      </c>
      <c r="B8" s="1">
        <f>'Input Sheet'!K6</f>
        <v>0</v>
      </c>
      <c r="C8" s="7">
        <f>'Input Sheet'!L6</f>
        <v>0</v>
      </c>
      <c r="D8" s="11">
        <f>'Input Sheet'!B6</f>
        <v>1785</v>
      </c>
      <c r="E8" s="8">
        <f>'Input Sheet'!H6</f>
        <v>39.4</v>
      </c>
      <c r="F8" s="61">
        <f>'Input Sheet'!C6/100</f>
        <v>0.4</v>
      </c>
      <c r="G8" s="61">
        <f>'Input Sheet'!F6/100</f>
        <v>1</v>
      </c>
      <c r="H8" s="2">
        <f t="shared" si="2"/>
        <v>65</v>
      </c>
      <c r="I8" s="2">
        <f t="shared" ref="I8:I57" si="6">IF(AND(F8&gt;=$F$2,G8&gt;=$G$2),H8,0)</f>
        <v>65</v>
      </c>
      <c r="J8" s="60">
        <f t="shared" si="3"/>
        <v>26</v>
      </c>
      <c r="K8" s="2">
        <f t="shared" si="0"/>
        <v>0</v>
      </c>
      <c r="L8" s="2">
        <f t="shared" si="4"/>
        <v>0</v>
      </c>
      <c r="M8" s="2" t="str">
        <f>'Input Sheet'!E6</f>
        <v>F</v>
      </c>
      <c r="N8" s="2">
        <f t="shared" si="5"/>
        <v>2</v>
      </c>
      <c r="P8">
        <f t="shared" si="1"/>
        <v>0</v>
      </c>
      <c r="Q8">
        <f t="shared" si="1"/>
        <v>65</v>
      </c>
      <c r="R8">
        <f t="shared" si="1"/>
        <v>0</v>
      </c>
      <c r="S8">
        <f t="shared" si="1"/>
        <v>0</v>
      </c>
      <c r="T8">
        <f t="shared" si="1"/>
        <v>0</v>
      </c>
    </row>
    <row r="9" spans="1:30" ht="15.75" customHeight="1" x14ac:dyDescent="0.25">
      <c r="A9" s="10" t="str">
        <f>'Long Sample Name'!A5</f>
        <v>Sample 1790m: 60% Siltstone, 40% fine Sandstone, 100% dim FLUOR in SST. TG 24U</v>
      </c>
      <c r="B9" s="1">
        <f>'Input Sheet'!K7</f>
        <v>0</v>
      </c>
      <c r="C9" s="7">
        <f>'Input Sheet'!L7</f>
        <v>0</v>
      </c>
      <c r="D9" s="11">
        <f>'Input Sheet'!B7</f>
        <v>1790</v>
      </c>
      <c r="E9" s="8">
        <f>'Input Sheet'!H7</f>
        <v>24</v>
      </c>
      <c r="F9" s="61">
        <f>'Input Sheet'!C7/100</f>
        <v>0.4</v>
      </c>
      <c r="G9" s="61">
        <f>'Input Sheet'!F7/100</f>
        <v>1</v>
      </c>
      <c r="H9" s="2">
        <f t="shared" si="2"/>
        <v>5</v>
      </c>
      <c r="I9" s="2">
        <f t="shared" si="6"/>
        <v>5</v>
      </c>
      <c r="J9" s="60">
        <f t="shared" si="3"/>
        <v>2</v>
      </c>
      <c r="K9" s="2">
        <f t="shared" si="0"/>
        <v>0</v>
      </c>
      <c r="L9" s="2">
        <f t="shared" si="4"/>
        <v>0</v>
      </c>
      <c r="M9" s="2" t="str">
        <f>'Input Sheet'!E7</f>
        <v>F</v>
      </c>
      <c r="N9" s="2">
        <f t="shared" si="5"/>
        <v>2</v>
      </c>
      <c r="P9">
        <f t="shared" si="1"/>
        <v>0</v>
      </c>
      <c r="Q9">
        <f t="shared" si="1"/>
        <v>5</v>
      </c>
      <c r="R9">
        <f t="shared" si="1"/>
        <v>0</v>
      </c>
      <c r="S9">
        <f t="shared" si="1"/>
        <v>0</v>
      </c>
      <c r="T9">
        <f t="shared" si="1"/>
        <v>0</v>
      </c>
    </row>
    <row r="10" spans="1:30" ht="15.75" customHeight="1" x14ac:dyDescent="0.25">
      <c r="A10" s="10" t="str">
        <f>'Long Sample Name'!A6</f>
        <v>Sample 1795m: 20% Siltstone, 80% fine Sandstone, 100% dim FLUOR in SST. TG 26.4U</v>
      </c>
      <c r="B10" s="1">
        <f>'Input Sheet'!K8</f>
        <v>0</v>
      </c>
      <c r="C10" s="7">
        <f>'Input Sheet'!L8</f>
        <v>0</v>
      </c>
      <c r="D10" s="11">
        <f>'Input Sheet'!B8</f>
        <v>1795</v>
      </c>
      <c r="E10" s="8">
        <f>'Input Sheet'!H8</f>
        <v>26.4</v>
      </c>
      <c r="F10" s="61">
        <f>'Input Sheet'!C8/100</f>
        <v>0.8</v>
      </c>
      <c r="G10" s="61">
        <f>'Input Sheet'!F8/100</f>
        <v>1</v>
      </c>
      <c r="H10" s="2">
        <f t="shared" si="2"/>
        <v>5</v>
      </c>
      <c r="I10" s="2">
        <f t="shared" si="6"/>
        <v>5</v>
      </c>
      <c r="J10" s="60">
        <f t="shared" si="3"/>
        <v>4</v>
      </c>
      <c r="K10" s="2">
        <f t="shared" si="0"/>
        <v>5</v>
      </c>
      <c r="L10" s="2">
        <f t="shared" si="4"/>
        <v>4</v>
      </c>
      <c r="M10" s="2" t="str">
        <f>'Input Sheet'!E8</f>
        <v>F</v>
      </c>
      <c r="N10" s="2">
        <f t="shared" si="5"/>
        <v>2</v>
      </c>
      <c r="P10">
        <f t="shared" si="1"/>
        <v>0</v>
      </c>
      <c r="Q10">
        <f t="shared" si="1"/>
        <v>5</v>
      </c>
      <c r="R10">
        <f t="shared" si="1"/>
        <v>0</v>
      </c>
      <c r="S10">
        <f t="shared" si="1"/>
        <v>0</v>
      </c>
      <c r="T10">
        <f t="shared" si="1"/>
        <v>0</v>
      </c>
    </row>
    <row r="11" spans="1:30" ht="15.75" customHeight="1" x14ac:dyDescent="0.25">
      <c r="A11" s="10" t="str">
        <f>'Long Sample Name'!A7</f>
        <v>Sample 1800m: 40% Siltstone, 60% fine Sandstone, 100% dim FLUOR in SST. TG 20.4U</v>
      </c>
      <c r="B11" s="1">
        <f>'Input Sheet'!K9</f>
        <v>0</v>
      </c>
      <c r="C11" s="7">
        <f>'Input Sheet'!L9</f>
        <v>0</v>
      </c>
      <c r="D11" s="11">
        <f>'Input Sheet'!B9</f>
        <v>1800</v>
      </c>
      <c r="E11" s="8">
        <f>'Input Sheet'!H9</f>
        <v>20.399999999999999</v>
      </c>
      <c r="F11" s="61">
        <f>'Input Sheet'!C9/100</f>
        <v>0.6</v>
      </c>
      <c r="G11" s="61">
        <f>'Input Sheet'!F9/100</f>
        <v>1</v>
      </c>
      <c r="H11" s="2">
        <f t="shared" si="2"/>
        <v>5</v>
      </c>
      <c r="I11" s="2">
        <f t="shared" si="6"/>
        <v>5</v>
      </c>
      <c r="J11" s="60">
        <f t="shared" si="3"/>
        <v>3</v>
      </c>
      <c r="K11" s="2">
        <f t="shared" si="0"/>
        <v>5</v>
      </c>
      <c r="L11" s="2">
        <f t="shared" si="4"/>
        <v>3</v>
      </c>
      <c r="M11" s="2" t="str">
        <f>'Input Sheet'!E9</f>
        <v>F</v>
      </c>
      <c r="N11" s="2">
        <f t="shared" si="5"/>
        <v>2</v>
      </c>
      <c r="P11">
        <f t="shared" si="1"/>
        <v>0</v>
      </c>
      <c r="Q11">
        <f t="shared" si="1"/>
        <v>5</v>
      </c>
      <c r="R11">
        <f t="shared" si="1"/>
        <v>0</v>
      </c>
      <c r="S11">
        <f t="shared" si="1"/>
        <v>0</v>
      </c>
      <c r="T11">
        <f t="shared" si="1"/>
        <v>0</v>
      </c>
    </row>
    <row r="12" spans="1:30" ht="15.75" customHeight="1" x14ac:dyDescent="0.25">
      <c r="A12" s="10" t="str">
        <f>'Long Sample Name'!A8</f>
        <v>Sample 1805m: 40% Siltstone, 60% fine Sandstone, 10% dim FLUOR in SST. TG 14.5U</v>
      </c>
      <c r="B12" s="1">
        <f>'Input Sheet'!K10</f>
        <v>0</v>
      </c>
      <c r="C12" s="7">
        <f>'Input Sheet'!L10</f>
        <v>0</v>
      </c>
      <c r="D12" s="11">
        <f>'Input Sheet'!B10</f>
        <v>1805</v>
      </c>
      <c r="E12" s="8">
        <f>'Input Sheet'!H10</f>
        <v>14.5</v>
      </c>
      <c r="F12" s="61">
        <f>'Input Sheet'!C10/100</f>
        <v>0.6</v>
      </c>
      <c r="G12" s="61">
        <f>'Input Sheet'!F10/100</f>
        <v>0.1</v>
      </c>
      <c r="H12" s="2">
        <f t="shared" si="2"/>
        <v>5</v>
      </c>
      <c r="I12" s="2">
        <f t="shared" si="6"/>
        <v>5</v>
      </c>
      <c r="J12" s="60">
        <f t="shared" si="3"/>
        <v>3</v>
      </c>
      <c r="K12" s="2">
        <f t="shared" si="0"/>
        <v>0</v>
      </c>
      <c r="L12" s="2">
        <f t="shared" si="4"/>
        <v>0</v>
      </c>
      <c r="M12" s="2" t="str">
        <f>'Input Sheet'!E10</f>
        <v>F</v>
      </c>
      <c r="N12" s="2">
        <f t="shared" si="5"/>
        <v>2</v>
      </c>
      <c r="P12">
        <f t="shared" ref="P12:T26" si="7">IF($M12=P$1,$H12,0)</f>
        <v>0</v>
      </c>
      <c r="Q12">
        <f t="shared" si="7"/>
        <v>5</v>
      </c>
      <c r="R12">
        <f t="shared" si="7"/>
        <v>0</v>
      </c>
      <c r="S12">
        <f t="shared" si="1"/>
        <v>0</v>
      </c>
      <c r="T12">
        <f t="shared" si="1"/>
        <v>0</v>
      </c>
    </row>
    <row r="13" spans="1:30" ht="15.75" customHeight="1" x14ac:dyDescent="0.25">
      <c r="A13" s="10" t="str">
        <f>'Long Sample Name'!A9</f>
        <v>Sample 1810m: 50% Siltstone, 50% fine Sandstone, 10% dim FLUOR in SST. TG 16.2U</v>
      </c>
      <c r="B13" s="1">
        <f>'Input Sheet'!K11</f>
        <v>0</v>
      </c>
      <c r="C13" s="7">
        <f>'Input Sheet'!L11</f>
        <v>0</v>
      </c>
      <c r="D13" s="11">
        <f>'Input Sheet'!B11</f>
        <v>1810</v>
      </c>
      <c r="E13" s="8">
        <f>'Input Sheet'!H11</f>
        <v>16.2</v>
      </c>
      <c r="F13" s="61">
        <f>'Input Sheet'!C11/100</f>
        <v>0.5</v>
      </c>
      <c r="G13" s="61">
        <f>'Input Sheet'!F11/100</f>
        <v>0.1</v>
      </c>
      <c r="H13" s="2">
        <f t="shared" si="2"/>
        <v>5</v>
      </c>
      <c r="I13" s="2">
        <f t="shared" si="6"/>
        <v>5</v>
      </c>
      <c r="J13" s="60">
        <f t="shared" si="3"/>
        <v>2.5</v>
      </c>
      <c r="K13" s="2">
        <f t="shared" si="0"/>
        <v>0</v>
      </c>
      <c r="L13" s="2">
        <f t="shared" si="4"/>
        <v>0</v>
      </c>
      <c r="M13" s="2" t="str">
        <f>'Input Sheet'!E11</f>
        <v>F</v>
      </c>
      <c r="N13" s="2">
        <f t="shared" si="5"/>
        <v>2</v>
      </c>
      <c r="P13">
        <f t="shared" si="7"/>
        <v>0</v>
      </c>
      <c r="Q13">
        <f t="shared" si="7"/>
        <v>5</v>
      </c>
      <c r="R13">
        <f t="shared" si="7"/>
        <v>0</v>
      </c>
      <c r="S13">
        <f t="shared" si="7"/>
        <v>0</v>
      </c>
      <c r="T13">
        <f t="shared" si="7"/>
        <v>0</v>
      </c>
    </row>
    <row r="14" spans="1:30" ht="15.75" customHeight="1" x14ac:dyDescent="0.25">
      <c r="A14" s="10" t="str">
        <f>'Long Sample Name'!A10</f>
        <v>Sample 1895m: trace siderite in 85% Siltstone, 15% fine Sandstone, 20% dim FLUOR in SST. TG 7.8U</v>
      </c>
      <c r="B14" s="1">
        <f>'Input Sheet'!K12</f>
        <v>0</v>
      </c>
      <c r="C14" s="7">
        <f>'Input Sheet'!L12</f>
        <v>0</v>
      </c>
      <c r="D14" s="11">
        <f>'Input Sheet'!B12</f>
        <v>1895</v>
      </c>
      <c r="E14" s="8">
        <f>'Input Sheet'!H12</f>
        <v>7.8</v>
      </c>
      <c r="F14" s="61">
        <f>'Input Sheet'!C12/100</f>
        <v>0.15</v>
      </c>
      <c r="G14" s="61">
        <f>'Input Sheet'!F12/100</f>
        <v>0.2</v>
      </c>
      <c r="H14" s="2">
        <f t="shared" si="2"/>
        <v>85</v>
      </c>
      <c r="I14" s="2">
        <f t="shared" si="6"/>
        <v>85</v>
      </c>
      <c r="J14" s="60">
        <f t="shared" si="3"/>
        <v>12.75</v>
      </c>
      <c r="K14" s="2">
        <f t="shared" si="0"/>
        <v>0</v>
      </c>
      <c r="L14" s="2">
        <f t="shared" si="4"/>
        <v>0</v>
      </c>
      <c r="M14" s="2" t="str">
        <f>'Input Sheet'!E12</f>
        <v>F</v>
      </c>
      <c r="N14" s="2">
        <f t="shared" si="5"/>
        <v>2</v>
      </c>
      <c r="P14">
        <f t="shared" si="7"/>
        <v>0</v>
      </c>
      <c r="Q14">
        <f t="shared" si="7"/>
        <v>85</v>
      </c>
      <c r="R14">
        <f t="shared" si="7"/>
        <v>0</v>
      </c>
      <c r="S14">
        <f t="shared" si="7"/>
        <v>0</v>
      </c>
      <c r="T14">
        <f t="shared" si="7"/>
        <v>0</v>
      </c>
    </row>
    <row r="15" spans="1:30" ht="16.5" x14ac:dyDescent="0.25">
      <c r="A15" s="10" t="str">
        <f>'Long Sample Name'!A11</f>
        <v>Sample 1900m: 85% Siltstone, 15% fine Sandstone, 50% dim FLUOR in SST. TG 7.4U</v>
      </c>
      <c r="B15" s="1">
        <f>'Input Sheet'!K13</f>
        <v>0</v>
      </c>
      <c r="C15" s="7">
        <f>'Input Sheet'!L13</f>
        <v>0</v>
      </c>
      <c r="D15" s="11">
        <f>'Input Sheet'!B13</f>
        <v>1900</v>
      </c>
      <c r="E15" s="8">
        <f>'Input Sheet'!H13</f>
        <v>7.4</v>
      </c>
      <c r="F15" s="61">
        <f>'Input Sheet'!C13/100</f>
        <v>0.15</v>
      </c>
      <c r="G15" s="61">
        <f>'Input Sheet'!F13/100</f>
        <v>0.5</v>
      </c>
      <c r="H15" s="2">
        <f t="shared" si="2"/>
        <v>5</v>
      </c>
      <c r="I15" s="2">
        <f t="shared" si="6"/>
        <v>5</v>
      </c>
      <c r="J15" s="60">
        <f t="shared" si="3"/>
        <v>0.75</v>
      </c>
      <c r="K15" s="2">
        <f t="shared" si="0"/>
        <v>0</v>
      </c>
      <c r="L15" s="2">
        <f t="shared" si="4"/>
        <v>0</v>
      </c>
      <c r="M15" s="2" t="str">
        <f>'Input Sheet'!E13</f>
        <v>F</v>
      </c>
      <c r="N15" s="2">
        <f t="shared" si="5"/>
        <v>2</v>
      </c>
      <c r="P15">
        <f t="shared" si="7"/>
        <v>0</v>
      </c>
      <c r="Q15">
        <f t="shared" si="7"/>
        <v>5</v>
      </c>
      <c r="R15">
        <f t="shared" si="7"/>
        <v>0</v>
      </c>
      <c r="S15">
        <f t="shared" si="7"/>
        <v>0</v>
      </c>
      <c r="T15">
        <f t="shared" si="7"/>
        <v>0</v>
      </c>
    </row>
    <row r="16" spans="1:30" ht="16.5" x14ac:dyDescent="0.25">
      <c r="A16" s="10" t="str">
        <f>'Long Sample Name'!A12</f>
        <v>Sample 1905m: 90% Siltstone, 10% fine Sandstone, 100% dull FLUOR in SST. TG 17.9U</v>
      </c>
      <c r="B16" s="1">
        <f>'Input Sheet'!K14</f>
        <v>0</v>
      </c>
      <c r="C16" s="7">
        <f>'Input Sheet'!L14</f>
        <v>0</v>
      </c>
      <c r="D16" s="11">
        <f>'Input Sheet'!B14</f>
        <v>1905</v>
      </c>
      <c r="E16" s="8">
        <f>'Input Sheet'!H14</f>
        <v>17.899999999999999</v>
      </c>
      <c r="F16" s="61">
        <f>'Input Sheet'!C14/100</f>
        <v>0.1</v>
      </c>
      <c r="G16" s="61">
        <f>'Input Sheet'!F14/100</f>
        <v>1</v>
      </c>
      <c r="H16" s="2">
        <f t="shared" si="2"/>
        <v>5</v>
      </c>
      <c r="I16" s="2">
        <f t="shared" si="6"/>
        <v>5</v>
      </c>
      <c r="J16" s="60">
        <f t="shared" si="3"/>
        <v>0.5</v>
      </c>
      <c r="K16" s="2">
        <f t="shared" si="0"/>
        <v>0</v>
      </c>
      <c r="L16" s="2">
        <f t="shared" si="4"/>
        <v>0</v>
      </c>
      <c r="M16" s="2" t="str">
        <f>'Input Sheet'!E14</f>
        <v>F</v>
      </c>
      <c r="N16" s="2">
        <f t="shared" si="5"/>
        <v>2</v>
      </c>
      <c r="P16">
        <f t="shared" si="7"/>
        <v>0</v>
      </c>
      <c r="Q16">
        <f t="shared" si="7"/>
        <v>5</v>
      </c>
      <c r="R16">
        <f t="shared" si="7"/>
        <v>0</v>
      </c>
      <c r="S16">
        <f t="shared" si="7"/>
        <v>0</v>
      </c>
      <c r="T16">
        <f t="shared" si="7"/>
        <v>0</v>
      </c>
    </row>
    <row r="17" spans="1:25" ht="16.5" x14ac:dyDescent="0.25">
      <c r="A17" s="10" t="str">
        <f>'Long Sample Name'!A13</f>
        <v>Sample 1910m: common siderite in 90% Siltstone, 10% fine Sandstone, 100% dull FLUOR in SST. TG 15.3U</v>
      </c>
      <c r="B17" s="1">
        <f>'Input Sheet'!K15</f>
        <v>0</v>
      </c>
      <c r="C17" s="7">
        <f>'Input Sheet'!L15</f>
        <v>0</v>
      </c>
      <c r="D17" s="11">
        <f>'Input Sheet'!B15</f>
        <v>1910</v>
      </c>
      <c r="E17" s="8">
        <f>'Input Sheet'!H15</f>
        <v>15.3</v>
      </c>
      <c r="F17" s="61">
        <f>'Input Sheet'!C15/100</f>
        <v>0.1</v>
      </c>
      <c r="G17" s="61">
        <f>'Input Sheet'!F15/100</f>
        <v>1</v>
      </c>
      <c r="H17" s="2">
        <f t="shared" si="2"/>
        <v>5</v>
      </c>
      <c r="I17" s="2">
        <f t="shared" si="6"/>
        <v>5</v>
      </c>
      <c r="J17" s="60">
        <f t="shared" si="3"/>
        <v>0.5</v>
      </c>
      <c r="K17" s="2">
        <f t="shared" si="0"/>
        <v>0</v>
      </c>
      <c r="L17" s="2">
        <f t="shared" si="4"/>
        <v>0</v>
      </c>
      <c r="M17" s="2" t="str">
        <f>'Input Sheet'!E15</f>
        <v>F</v>
      </c>
      <c r="N17" s="2">
        <f t="shared" si="5"/>
        <v>2</v>
      </c>
      <c r="P17">
        <f t="shared" si="7"/>
        <v>0</v>
      </c>
      <c r="Q17">
        <f t="shared" si="7"/>
        <v>5</v>
      </c>
      <c r="R17">
        <f t="shared" si="7"/>
        <v>0</v>
      </c>
      <c r="S17">
        <f t="shared" si="7"/>
        <v>0</v>
      </c>
      <c r="T17">
        <f t="shared" si="7"/>
        <v>0</v>
      </c>
    </row>
    <row r="18" spans="1:25" ht="18" customHeight="1" x14ac:dyDescent="0.25">
      <c r="A18" s="10" t="str">
        <f>'Long Sample Name'!A14</f>
        <v>Sample 1915m: 80% Siltstone, 20% fine Sandstone, 100% dull FLUOR in SST. TG 20.4U</v>
      </c>
      <c r="B18" s="1">
        <f>'Input Sheet'!K16</f>
        <v>0</v>
      </c>
      <c r="C18" s="7">
        <f>'Input Sheet'!L16</f>
        <v>0</v>
      </c>
      <c r="D18" s="11">
        <f>'Input Sheet'!B16</f>
        <v>1915</v>
      </c>
      <c r="E18" s="8">
        <f>'Input Sheet'!H16</f>
        <v>20.399999999999999</v>
      </c>
      <c r="F18" s="61">
        <f>'Input Sheet'!C16/100</f>
        <v>0.2</v>
      </c>
      <c r="G18" s="61">
        <f>'Input Sheet'!F16/100</f>
        <v>1</v>
      </c>
      <c r="H18" s="2">
        <f t="shared" si="2"/>
        <v>5</v>
      </c>
      <c r="I18" s="2">
        <f t="shared" si="6"/>
        <v>5</v>
      </c>
      <c r="J18" s="60">
        <f t="shared" si="3"/>
        <v>1</v>
      </c>
      <c r="K18" s="2">
        <f t="shared" si="0"/>
        <v>0</v>
      </c>
      <c r="L18" s="2">
        <f t="shared" si="4"/>
        <v>0</v>
      </c>
      <c r="M18" s="2" t="str">
        <f>'Input Sheet'!E16</f>
        <v>F</v>
      </c>
      <c r="N18" s="2">
        <f t="shared" si="5"/>
        <v>2</v>
      </c>
      <c r="P18">
        <f t="shared" si="7"/>
        <v>0</v>
      </c>
      <c r="Q18">
        <f t="shared" si="7"/>
        <v>5</v>
      </c>
      <c r="R18">
        <f t="shared" si="7"/>
        <v>0</v>
      </c>
      <c r="S18">
        <f t="shared" si="7"/>
        <v>0</v>
      </c>
      <c r="T18">
        <f t="shared" si="7"/>
        <v>0</v>
      </c>
    </row>
    <row r="19" spans="1:25" ht="16.5" x14ac:dyDescent="0.25">
      <c r="A19" s="10" t="str">
        <f>'Long Sample Name'!A15</f>
        <v>Sample 1920m: 80% Siltstone, 20% fine Sandstone, 100% dull FLUOR in SST. TG 10.8U</v>
      </c>
      <c r="B19" s="1">
        <f>'Input Sheet'!K17</f>
        <v>0</v>
      </c>
      <c r="C19" s="7">
        <f>'Input Sheet'!L17</f>
        <v>0</v>
      </c>
      <c r="D19" s="11">
        <f>'Input Sheet'!B17</f>
        <v>1920</v>
      </c>
      <c r="E19" s="8">
        <f>'Input Sheet'!H17</f>
        <v>10.8</v>
      </c>
      <c r="F19" s="61">
        <f>'Input Sheet'!C17/100</f>
        <v>0.2</v>
      </c>
      <c r="G19" s="61">
        <f>'Input Sheet'!F17/100</f>
        <v>1</v>
      </c>
      <c r="H19" s="2">
        <f t="shared" si="2"/>
        <v>5</v>
      </c>
      <c r="I19" s="2">
        <f t="shared" si="6"/>
        <v>5</v>
      </c>
      <c r="J19" s="60">
        <f t="shared" si="3"/>
        <v>1</v>
      </c>
      <c r="K19" s="2">
        <f t="shared" si="0"/>
        <v>0</v>
      </c>
      <c r="L19" s="2">
        <f t="shared" si="4"/>
        <v>0</v>
      </c>
      <c r="M19" s="2" t="str">
        <f>'Input Sheet'!E17</f>
        <v>F</v>
      </c>
      <c r="N19" s="2">
        <f t="shared" si="5"/>
        <v>2</v>
      </c>
      <c r="P19">
        <f t="shared" si="7"/>
        <v>0</v>
      </c>
      <c r="Q19">
        <f t="shared" si="7"/>
        <v>5</v>
      </c>
      <c r="R19">
        <f t="shared" si="7"/>
        <v>0</v>
      </c>
      <c r="S19">
        <f t="shared" si="7"/>
        <v>0</v>
      </c>
      <c r="T19">
        <f t="shared" si="7"/>
        <v>0</v>
      </c>
    </row>
    <row r="20" spans="1:25" ht="16.5" x14ac:dyDescent="0.25">
      <c r="A20" s="10" t="str">
        <f>'Long Sample Name'!A16</f>
        <v>Sample 1925m: 90% Siltstone, 10% fine Sandstone, 100% dull FLUOR in SST. TG 19.4U</v>
      </c>
      <c r="B20" s="1" t="str">
        <f ca="1">'Input Sheet'!K18</f>
        <v/>
      </c>
      <c r="C20" s="7" t="str">
        <f ca="1">'Input Sheet'!L18</f>
        <v/>
      </c>
      <c r="D20" s="11">
        <f>'Input Sheet'!B18</f>
        <v>1925</v>
      </c>
      <c r="E20" s="8">
        <f>'Input Sheet'!H18</f>
        <v>19.399999999999999</v>
      </c>
      <c r="F20" s="61">
        <f>'Input Sheet'!C18/100</f>
        <v>0.1</v>
      </c>
      <c r="G20" s="61">
        <f>'Input Sheet'!F18/100</f>
        <v>1</v>
      </c>
      <c r="H20" s="2">
        <f t="shared" si="2"/>
        <v>5</v>
      </c>
      <c r="I20" s="2">
        <f t="shared" si="6"/>
        <v>5</v>
      </c>
      <c r="J20" s="60">
        <f t="shared" si="3"/>
        <v>0.5</v>
      </c>
      <c r="K20" s="2">
        <f t="shared" si="0"/>
        <v>0</v>
      </c>
      <c r="L20" s="2">
        <f t="shared" si="4"/>
        <v>0</v>
      </c>
      <c r="M20" s="2" t="str">
        <f>'Input Sheet'!E18</f>
        <v>F</v>
      </c>
      <c r="N20" s="2">
        <f t="shared" si="5"/>
        <v>2</v>
      </c>
      <c r="P20">
        <f t="shared" si="7"/>
        <v>0</v>
      </c>
      <c r="Q20">
        <f t="shared" si="7"/>
        <v>5</v>
      </c>
      <c r="R20">
        <f t="shared" si="7"/>
        <v>0</v>
      </c>
      <c r="S20">
        <f t="shared" si="7"/>
        <v>0</v>
      </c>
      <c r="T20">
        <f t="shared" si="7"/>
        <v>0</v>
      </c>
    </row>
    <row r="21" spans="1:25" ht="16.5" x14ac:dyDescent="0.25">
      <c r="A21" s="10" t="str">
        <f>'Long Sample Name'!A17</f>
        <v>Sample 1930m: 90% Siltstone, 10% fine Sandstone, 100% dull FLUOR in SST. TG 19U</v>
      </c>
      <c r="B21" s="1" t="str">
        <f ca="1">'Input Sheet'!K19</f>
        <v/>
      </c>
      <c r="C21" s="7" t="str">
        <f ca="1">'Input Sheet'!L19</f>
        <v/>
      </c>
      <c r="D21" s="11">
        <f>'Input Sheet'!B19</f>
        <v>1930</v>
      </c>
      <c r="E21" s="8">
        <f>'Input Sheet'!H19</f>
        <v>19</v>
      </c>
      <c r="F21" s="61">
        <f>'Input Sheet'!C19/100</f>
        <v>0.1</v>
      </c>
      <c r="G21" s="61">
        <f>'Input Sheet'!F19/100</f>
        <v>1</v>
      </c>
      <c r="H21" s="2">
        <f t="shared" si="2"/>
        <v>5</v>
      </c>
      <c r="I21" s="2">
        <f t="shared" si="6"/>
        <v>5</v>
      </c>
      <c r="J21" s="60">
        <f t="shared" si="3"/>
        <v>0.5</v>
      </c>
      <c r="K21" s="2">
        <f t="shared" si="0"/>
        <v>0</v>
      </c>
      <c r="L21" s="2">
        <f t="shared" si="4"/>
        <v>0</v>
      </c>
      <c r="M21" s="2" t="str">
        <f>'Input Sheet'!E19</f>
        <v>F</v>
      </c>
      <c r="N21" s="2">
        <f t="shared" si="5"/>
        <v>2</v>
      </c>
      <c r="P21">
        <f t="shared" si="7"/>
        <v>0</v>
      </c>
      <c r="Q21">
        <f t="shared" si="7"/>
        <v>5</v>
      </c>
      <c r="R21">
        <f t="shared" si="7"/>
        <v>0</v>
      </c>
      <c r="S21">
        <f t="shared" si="7"/>
        <v>0</v>
      </c>
      <c r="T21">
        <f t="shared" si="7"/>
        <v>0</v>
      </c>
    </row>
    <row r="22" spans="1:25" ht="16.5" x14ac:dyDescent="0.25">
      <c r="A22" s="10" t="str">
        <f>'Long Sample Name'!A18</f>
        <v>Sample 1935m: 80% Siltstone, 20% fine Sandstone, 100% dull FLUOR in SST. TG 21.5U</v>
      </c>
      <c r="B22" s="1" t="str">
        <f ca="1">'Input Sheet'!K20</f>
        <v/>
      </c>
      <c r="C22" s="7" t="str">
        <f ca="1">'Input Sheet'!L20</f>
        <v/>
      </c>
      <c r="D22" s="11">
        <f>'Input Sheet'!B20</f>
        <v>1935</v>
      </c>
      <c r="E22" s="8">
        <f>'Input Sheet'!H20</f>
        <v>21.5</v>
      </c>
      <c r="F22" s="61">
        <f>'Input Sheet'!C20/100</f>
        <v>0.2</v>
      </c>
      <c r="G22" s="61">
        <f>'Input Sheet'!F20/100</f>
        <v>1</v>
      </c>
      <c r="H22" s="2">
        <f t="shared" si="2"/>
        <v>5</v>
      </c>
      <c r="I22" s="2">
        <f t="shared" si="6"/>
        <v>5</v>
      </c>
      <c r="J22" s="60">
        <f t="shared" si="3"/>
        <v>1</v>
      </c>
      <c r="K22" s="2">
        <f t="shared" si="0"/>
        <v>0</v>
      </c>
      <c r="L22" s="2">
        <f t="shared" si="4"/>
        <v>0</v>
      </c>
      <c r="M22" s="2" t="str">
        <f>'Input Sheet'!E20</f>
        <v>F</v>
      </c>
      <c r="N22" s="2">
        <f t="shared" si="5"/>
        <v>2</v>
      </c>
      <c r="P22">
        <f t="shared" si="7"/>
        <v>0</v>
      </c>
      <c r="Q22">
        <f t="shared" si="7"/>
        <v>5</v>
      </c>
      <c r="R22">
        <f t="shared" si="7"/>
        <v>0</v>
      </c>
      <c r="S22">
        <f t="shared" si="7"/>
        <v>0</v>
      </c>
      <c r="T22">
        <f t="shared" si="7"/>
        <v>0</v>
      </c>
    </row>
    <row r="23" spans="1:25" ht="16.5" x14ac:dyDescent="0.25">
      <c r="A23" s="10" t="str">
        <f>'Long Sample Name'!A19</f>
        <v>Sample 1940m: common siderite in 80% Siltstone, 20% fine Sandstone, 100% dull FLUOR in SST. TG 13.6U</v>
      </c>
      <c r="B23" s="1" t="str">
        <f ca="1">'Input Sheet'!K21</f>
        <v/>
      </c>
      <c r="C23" s="7" t="str">
        <f ca="1">'Input Sheet'!L21</f>
        <v/>
      </c>
      <c r="D23" s="11">
        <f>'Input Sheet'!B21</f>
        <v>1940</v>
      </c>
      <c r="E23" s="8">
        <f>'Input Sheet'!H21</f>
        <v>13.6</v>
      </c>
      <c r="F23" s="61">
        <f>'Input Sheet'!C21/100</f>
        <v>0.2</v>
      </c>
      <c r="G23" s="61">
        <f>'Input Sheet'!F21/100</f>
        <v>1</v>
      </c>
      <c r="H23" s="2">
        <f t="shared" si="2"/>
        <v>5</v>
      </c>
      <c r="I23" s="2">
        <f t="shared" si="6"/>
        <v>5</v>
      </c>
      <c r="J23" s="60">
        <f t="shared" si="3"/>
        <v>1</v>
      </c>
      <c r="K23" s="2">
        <f t="shared" si="0"/>
        <v>0</v>
      </c>
      <c r="L23" s="2">
        <f t="shared" si="4"/>
        <v>0</v>
      </c>
      <c r="M23" s="2" t="str">
        <f>'Input Sheet'!E21</f>
        <v>F</v>
      </c>
      <c r="N23" s="2">
        <f t="shared" si="5"/>
        <v>2</v>
      </c>
      <c r="P23">
        <f t="shared" si="7"/>
        <v>0</v>
      </c>
      <c r="Q23">
        <f t="shared" si="7"/>
        <v>5</v>
      </c>
      <c r="R23">
        <f t="shared" si="7"/>
        <v>0</v>
      </c>
      <c r="S23">
        <f t="shared" si="7"/>
        <v>0</v>
      </c>
      <c r="T23">
        <f t="shared" si="7"/>
        <v>0</v>
      </c>
    </row>
    <row r="24" spans="1:25" ht="16.5" x14ac:dyDescent="0.25">
      <c r="A24" s="10" t="str">
        <f>'Long Sample Name'!A20</f>
        <v>Sample 1945m: 80% Siltstone, 20% fine Sandstone, 100% dull FLUOR in SST. TG 15.1U</v>
      </c>
      <c r="B24" s="1" t="str">
        <f ca="1">'Input Sheet'!K22</f>
        <v/>
      </c>
      <c r="C24" s="7" t="str">
        <f ca="1">'Input Sheet'!L22</f>
        <v/>
      </c>
      <c r="D24" s="11">
        <f>'Input Sheet'!B22</f>
        <v>1945</v>
      </c>
      <c r="E24" s="8">
        <f>'Input Sheet'!H22</f>
        <v>15.1</v>
      </c>
      <c r="F24" s="61">
        <f>'Input Sheet'!C22/100</f>
        <v>0.2</v>
      </c>
      <c r="G24" s="61">
        <f>'Input Sheet'!F22/100</f>
        <v>1</v>
      </c>
      <c r="H24" s="2">
        <f t="shared" si="2"/>
        <v>5</v>
      </c>
      <c r="I24" s="2">
        <f t="shared" si="6"/>
        <v>5</v>
      </c>
      <c r="J24" s="60">
        <f t="shared" si="3"/>
        <v>1</v>
      </c>
      <c r="K24" s="2">
        <f t="shared" si="0"/>
        <v>0</v>
      </c>
      <c r="L24" s="2">
        <f t="shared" si="4"/>
        <v>0</v>
      </c>
      <c r="M24" s="2" t="str">
        <f>'Input Sheet'!E22</f>
        <v>F</v>
      </c>
      <c r="N24" s="2">
        <f t="shared" si="5"/>
        <v>2</v>
      </c>
      <c r="P24">
        <f t="shared" si="7"/>
        <v>0</v>
      </c>
      <c r="Q24">
        <f t="shared" si="7"/>
        <v>5</v>
      </c>
      <c r="R24">
        <f t="shared" si="7"/>
        <v>0</v>
      </c>
      <c r="S24">
        <f t="shared" si="7"/>
        <v>0</v>
      </c>
      <c r="T24">
        <f t="shared" si="7"/>
        <v>0</v>
      </c>
    </row>
    <row r="25" spans="1:25" ht="16.5" x14ac:dyDescent="0.25">
      <c r="A25" s="10" t="str">
        <f>'Long Sample Name'!A21</f>
        <v>Sample 1950m: 80% Siltstone, 20% fine Sandstone, 100% dull FLUOR in SST. TG 23.2U</v>
      </c>
      <c r="B25" s="1" t="str">
        <f ca="1">'Input Sheet'!K23</f>
        <v/>
      </c>
      <c r="C25" s="7" t="str">
        <f ca="1">'Input Sheet'!L23</f>
        <v/>
      </c>
      <c r="D25" s="11">
        <f>'Input Sheet'!B23</f>
        <v>1950</v>
      </c>
      <c r="E25" s="8">
        <f>'Input Sheet'!H23</f>
        <v>23.2</v>
      </c>
      <c r="F25" s="61">
        <f>'Input Sheet'!C23/100</f>
        <v>0.2</v>
      </c>
      <c r="G25" s="61">
        <f>'Input Sheet'!F23/100</f>
        <v>1</v>
      </c>
      <c r="H25" s="2">
        <f t="shared" si="2"/>
        <v>5</v>
      </c>
      <c r="I25" s="2">
        <f t="shared" si="6"/>
        <v>5</v>
      </c>
      <c r="J25" s="60">
        <f t="shared" si="3"/>
        <v>1</v>
      </c>
      <c r="K25" s="2">
        <f t="shared" si="0"/>
        <v>0</v>
      </c>
      <c r="L25" s="2">
        <f t="shared" si="4"/>
        <v>0</v>
      </c>
      <c r="M25" s="2" t="str">
        <f>'Input Sheet'!E23</f>
        <v>F</v>
      </c>
      <c r="N25" s="2">
        <f t="shared" si="5"/>
        <v>2</v>
      </c>
      <c r="P25">
        <f t="shared" si="7"/>
        <v>0</v>
      </c>
      <c r="Q25">
        <f t="shared" si="7"/>
        <v>5</v>
      </c>
      <c r="R25">
        <f t="shared" si="7"/>
        <v>0</v>
      </c>
      <c r="S25">
        <f t="shared" si="7"/>
        <v>0</v>
      </c>
      <c r="T25">
        <f t="shared" si="7"/>
        <v>0</v>
      </c>
      <c r="X25" t="s">
        <v>93</v>
      </c>
    </row>
    <row r="26" spans="1:25" ht="16.5" x14ac:dyDescent="0.25">
      <c r="A26" s="10" t="str">
        <f>'Long Sample Name'!A22</f>
        <v>Sample 1955m: 75% Siltstone, 25% fine Sandstone, 100% pale FLUOR in SST. TG 23U</v>
      </c>
      <c r="B26" s="1" t="str">
        <f ca="1">'Input Sheet'!K24</f>
        <v/>
      </c>
      <c r="C26" s="7" t="str">
        <f ca="1">'Input Sheet'!L24</f>
        <v/>
      </c>
      <c r="D26" s="11">
        <f>'Input Sheet'!B24</f>
        <v>1955</v>
      </c>
      <c r="E26" s="8">
        <f>'Input Sheet'!H24</f>
        <v>23</v>
      </c>
      <c r="F26" s="61">
        <f>'Input Sheet'!C24/100</f>
        <v>0.25</v>
      </c>
      <c r="G26" s="61">
        <f>'Input Sheet'!F24/100</f>
        <v>1</v>
      </c>
      <c r="H26" s="2">
        <f t="shared" si="2"/>
        <v>5</v>
      </c>
      <c r="I26" s="2">
        <f t="shared" si="6"/>
        <v>5</v>
      </c>
      <c r="J26" s="60">
        <f t="shared" si="3"/>
        <v>1.25</v>
      </c>
      <c r="K26" s="2">
        <f t="shared" si="0"/>
        <v>0</v>
      </c>
      <c r="L26" s="2">
        <f t="shared" si="4"/>
        <v>0</v>
      </c>
      <c r="M26" s="2" t="str">
        <f>'Input Sheet'!E24</f>
        <v>F</v>
      </c>
      <c r="N26" s="2">
        <f t="shared" si="5"/>
        <v>2</v>
      </c>
      <c r="P26">
        <f t="shared" si="7"/>
        <v>0</v>
      </c>
      <c r="Q26">
        <f t="shared" si="7"/>
        <v>5</v>
      </c>
      <c r="R26">
        <f t="shared" si="7"/>
        <v>0</v>
      </c>
      <c r="S26">
        <f t="shared" si="7"/>
        <v>0</v>
      </c>
      <c r="T26">
        <f t="shared" si="7"/>
        <v>0</v>
      </c>
      <c r="X26" t="s">
        <v>94</v>
      </c>
      <c r="Y26">
        <f>1030+1255</f>
        <v>2285</v>
      </c>
    </row>
    <row r="27" spans="1:25" ht="16.5" x14ac:dyDescent="0.25">
      <c r="A27" s="10" t="str">
        <f>'Long Sample Name'!A23</f>
        <v>Sample 1960m: trace siderite in 75% Siltstone, 25% fine Sandstone, 100% pale FLUOR in SST. TG 19.7U</v>
      </c>
      <c r="B27" s="1" t="str">
        <f ca="1">'Input Sheet'!K25</f>
        <v/>
      </c>
      <c r="C27" s="7" t="str">
        <f ca="1">'Input Sheet'!L25</f>
        <v/>
      </c>
      <c r="D27" s="11">
        <f>'Input Sheet'!B25</f>
        <v>1960</v>
      </c>
      <c r="E27" s="8">
        <f>'Input Sheet'!H25</f>
        <v>19.7</v>
      </c>
      <c r="F27" s="61">
        <f>'Input Sheet'!C25/100</f>
        <v>0.25</v>
      </c>
      <c r="G27" s="61">
        <f>'Input Sheet'!F25/100</f>
        <v>1</v>
      </c>
      <c r="H27" s="2">
        <f t="shared" si="2"/>
        <v>5</v>
      </c>
      <c r="I27" s="2">
        <f t="shared" si="6"/>
        <v>5</v>
      </c>
      <c r="J27" s="60">
        <f t="shared" si="3"/>
        <v>1.25</v>
      </c>
      <c r="K27" s="2">
        <f t="shared" si="0"/>
        <v>0</v>
      </c>
      <c r="L27" s="2">
        <f t="shared" si="4"/>
        <v>0</v>
      </c>
      <c r="M27" s="2" t="str">
        <f>'Input Sheet'!E25</f>
        <v>F</v>
      </c>
      <c r="N27" s="2">
        <f t="shared" si="5"/>
        <v>2</v>
      </c>
      <c r="P27">
        <f t="shared" ref="P27:T58" si="8">IF($M27=P$1,$H27,0)</f>
        <v>0</v>
      </c>
      <c r="Q27">
        <f t="shared" si="8"/>
        <v>5</v>
      </c>
      <c r="R27">
        <f t="shared" si="8"/>
        <v>0</v>
      </c>
      <c r="S27">
        <f t="shared" si="8"/>
        <v>0</v>
      </c>
      <c r="T27">
        <f t="shared" si="8"/>
        <v>0</v>
      </c>
      <c r="X27" t="s">
        <v>95</v>
      </c>
      <c r="Y27">
        <f>1142+1587</f>
        <v>2729</v>
      </c>
    </row>
    <row r="28" spans="1:25" ht="16.5" x14ac:dyDescent="0.25">
      <c r="A28" s="10" t="str">
        <f>'Long Sample Name'!A24</f>
        <v>Sample 1965m: 70% Siltstone, 30% fine Sandstone, 100% pale FLUOR in SST. TG 19.8U</v>
      </c>
      <c r="B28" s="1" t="str">
        <f ca="1">'Input Sheet'!K26</f>
        <v/>
      </c>
      <c r="C28" s="7" t="str">
        <f ca="1">'Input Sheet'!L26</f>
        <v/>
      </c>
      <c r="D28" s="11">
        <f>'Input Sheet'!B26</f>
        <v>1965</v>
      </c>
      <c r="E28" s="8">
        <f>'Input Sheet'!H26</f>
        <v>19.8</v>
      </c>
      <c r="F28" s="61">
        <f>'Input Sheet'!C26/100</f>
        <v>0.3</v>
      </c>
      <c r="G28" s="61">
        <f>'Input Sheet'!F26/100</f>
        <v>1</v>
      </c>
      <c r="H28" s="2">
        <f t="shared" si="2"/>
        <v>5</v>
      </c>
      <c r="I28" s="2">
        <f t="shared" si="6"/>
        <v>5</v>
      </c>
      <c r="J28" s="60">
        <f t="shared" si="3"/>
        <v>1.5</v>
      </c>
      <c r="K28" s="2">
        <f t="shared" si="0"/>
        <v>0</v>
      </c>
      <c r="L28" s="2">
        <f t="shared" si="4"/>
        <v>0</v>
      </c>
      <c r="M28" s="2" t="str">
        <f>'Input Sheet'!E26</f>
        <v>F</v>
      </c>
      <c r="N28" s="2">
        <f t="shared" si="5"/>
        <v>2</v>
      </c>
      <c r="P28">
        <f t="shared" si="8"/>
        <v>0</v>
      </c>
      <c r="Q28">
        <f t="shared" si="8"/>
        <v>5</v>
      </c>
      <c r="R28">
        <f t="shared" si="8"/>
        <v>0</v>
      </c>
      <c r="S28">
        <f t="shared" si="8"/>
        <v>0</v>
      </c>
      <c r="T28">
        <f t="shared" si="8"/>
        <v>0</v>
      </c>
      <c r="X28" t="s">
        <v>96</v>
      </c>
      <c r="Y28">
        <f>1142+1485</f>
        <v>2627</v>
      </c>
    </row>
    <row r="29" spans="1:25" ht="16.5" x14ac:dyDescent="0.25">
      <c r="A29" s="10" t="str">
        <f>'Long Sample Name'!A25</f>
        <v>Sample 1970m: 70% Siltstone, 30% fine Sandstone, 100% pale FLUOR in SST. TG 23.7U</v>
      </c>
      <c r="B29" s="1" t="str">
        <f ca="1">'Input Sheet'!K27</f>
        <v/>
      </c>
      <c r="C29" s="7" t="str">
        <f ca="1">'Input Sheet'!L27</f>
        <v/>
      </c>
      <c r="D29" s="11">
        <f>'Input Sheet'!B27</f>
        <v>1970</v>
      </c>
      <c r="E29" s="8">
        <f>'Input Sheet'!H27</f>
        <v>23.7</v>
      </c>
      <c r="F29" s="61">
        <f>'Input Sheet'!C27/100</f>
        <v>0.3</v>
      </c>
      <c r="G29" s="61">
        <f>'Input Sheet'!F27/100</f>
        <v>1</v>
      </c>
      <c r="H29" s="2">
        <f t="shared" si="2"/>
        <v>5</v>
      </c>
      <c r="I29" s="2">
        <f t="shared" si="6"/>
        <v>5</v>
      </c>
      <c r="J29" s="60">
        <f t="shared" si="3"/>
        <v>1.5</v>
      </c>
      <c r="K29" s="2">
        <f t="shared" si="0"/>
        <v>0</v>
      </c>
      <c r="L29" s="2">
        <f t="shared" si="4"/>
        <v>0</v>
      </c>
      <c r="M29" s="2" t="str">
        <f>'Input Sheet'!E27</f>
        <v>F</v>
      </c>
      <c r="N29" s="2">
        <f t="shared" si="5"/>
        <v>2</v>
      </c>
      <c r="P29">
        <f t="shared" si="8"/>
        <v>0</v>
      </c>
      <c r="Q29">
        <f t="shared" si="8"/>
        <v>5</v>
      </c>
      <c r="R29">
        <f t="shared" si="8"/>
        <v>0</v>
      </c>
      <c r="S29">
        <f t="shared" si="8"/>
        <v>0</v>
      </c>
      <c r="T29">
        <f t="shared" si="8"/>
        <v>0</v>
      </c>
    </row>
    <row r="30" spans="1:25" ht="16.5" x14ac:dyDescent="0.25">
      <c r="A30" s="10" t="str">
        <f>'Long Sample Name'!A26</f>
        <v>Sample 1975m: 70% Siltstone, 30% fine Sandstone, 100% pale FLUOR in SST. TG 25U</v>
      </c>
      <c r="B30" s="1" t="str">
        <f ca="1">'Input Sheet'!K28</f>
        <v/>
      </c>
      <c r="C30" s="7" t="str">
        <f ca="1">'Input Sheet'!L28</f>
        <v/>
      </c>
      <c r="D30" s="11">
        <f>'Input Sheet'!B28</f>
        <v>1975</v>
      </c>
      <c r="E30" s="8">
        <f>'Input Sheet'!H28</f>
        <v>25</v>
      </c>
      <c r="F30" s="61">
        <f>'Input Sheet'!C28/100</f>
        <v>0.3</v>
      </c>
      <c r="G30" s="61">
        <f>'Input Sheet'!F28/100</f>
        <v>1</v>
      </c>
      <c r="H30" s="2">
        <f t="shared" si="2"/>
        <v>5</v>
      </c>
      <c r="I30" s="2">
        <f t="shared" si="6"/>
        <v>5</v>
      </c>
      <c r="J30" s="60">
        <f t="shared" si="3"/>
        <v>1.5</v>
      </c>
      <c r="K30" s="2">
        <f t="shared" si="0"/>
        <v>0</v>
      </c>
      <c r="L30" s="2">
        <f t="shared" si="4"/>
        <v>0</v>
      </c>
      <c r="M30" s="2" t="str">
        <f>'Input Sheet'!E28</f>
        <v>F</v>
      </c>
      <c r="N30" s="2">
        <f t="shared" si="5"/>
        <v>2</v>
      </c>
      <c r="P30">
        <f t="shared" si="8"/>
        <v>0</v>
      </c>
      <c r="Q30">
        <f t="shared" si="8"/>
        <v>5</v>
      </c>
      <c r="R30">
        <f t="shared" si="8"/>
        <v>0</v>
      </c>
      <c r="S30">
        <f t="shared" si="8"/>
        <v>0</v>
      </c>
      <c r="T30">
        <f t="shared" si="8"/>
        <v>0</v>
      </c>
    </row>
    <row r="31" spans="1:25" ht="16.5" x14ac:dyDescent="0.25">
      <c r="A31" s="10" t="str">
        <f>'Long Sample Name'!A27</f>
        <v>Sample 1980m: 70% Siltstone, 30% fine Sandstone, 100% pale FLUOR in SST. TG 19.1U</v>
      </c>
      <c r="B31" s="1" t="str">
        <f ca="1">'Input Sheet'!K29</f>
        <v/>
      </c>
      <c r="C31" s="7" t="str">
        <f ca="1">'Input Sheet'!L29</f>
        <v/>
      </c>
      <c r="D31" s="11">
        <f>'Input Sheet'!B29</f>
        <v>1980</v>
      </c>
      <c r="E31" s="8">
        <f>'Input Sheet'!H29</f>
        <v>19.100000000000001</v>
      </c>
      <c r="F31" s="61">
        <f>'Input Sheet'!C29/100</f>
        <v>0.3</v>
      </c>
      <c r="G31" s="61">
        <f>'Input Sheet'!F29/100</f>
        <v>1</v>
      </c>
      <c r="H31" s="2">
        <f t="shared" si="2"/>
        <v>5</v>
      </c>
      <c r="I31" s="2">
        <f t="shared" si="6"/>
        <v>5</v>
      </c>
      <c r="J31" s="60">
        <f t="shared" si="3"/>
        <v>1.5</v>
      </c>
      <c r="K31" s="2">
        <f t="shared" si="0"/>
        <v>0</v>
      </c>
      <c r="L31" s="2">
        <f t="shared" si="4"/>
        <v>0</v>
      </c>
      <c r="M31" s="2" t="str">
        <f>'Input Sheet'!E29</f>
        <v>F</v>
      </c>
      <c r="N31" s="2">
        <f t="shared" si="5"/>
        <v>2</v>
      </c>
      <c r="P31">
        <f t="shared" si="8"/>
        <v>0</v>
      </c>
      <c r="Q31">
        <f t="shared" si="8"/>
        <v>5</v>
      </c>
      <c r="R31">
        <f t="shared" si="8"/>
        <v>0</v>
      </c>
      <c r="S31">
        <f t="shared" si="8"/>
        <v>0</v>
      </c>
      <c r="T31">
        <f t="shared" si="8"/>
        <v>0</v>
      </c>
    </row>
    <row r="32" spans="1:25" ht="16.5" x14ac:dyDescent="0.25">
      <c r="A32" s="10" t="str">
        <f>'Long Sample Name'!A28</f>
        <v>Sample 1985m: 70% Siltstone, 30% fine Sandstone, 100% pale to moderately bright FLUOR in SST. TG 21.1U</v>
      </c>
      <c r="B32" s="1" t="str">
        <f ca="1">'Input Sheet'!K30</f>
        <v/>
      </c>
      <c r="C32" s="7" t="str">
        <f ca="1">'Input Sheet'!L30</f>
        <v/>
      </c>
      <c r="D32" s="11">
        <f>'Input Sheet'!B30</f>
        <v>1985</v>
      </c>
      <c r="E32" s="8">
        <f>'Input Sheet'!H30</f>
        <v>21.1</v>
      </c>
      <c r="F32" s="61">
        <f>'Input Sheet'!C30/100</f>
        <v>0.3</v>
      </c>
      <c r="G32" s="61">
        <f>'Input Sheet'!F30/100</f>
        <v>1</v>
      </c>
      <c r="H32" s="2">
        <f t="shared" si="2"/>
        <v>5</v>
      </c>
      <c r="I32" s="2">
        <f t="shared" si="6"/>
        <v>5</v>
      </c>
      <c r="J32" s="60">
        <f t="shared" si="3"/>
        <v>1.5</v>
      </c>
      <c r="K32" s="2">
        <f t="shared" si="0"/>
        <v>0</v>
      </c>
      <c r="L32" s="2">
        <f t="shared" si="4"/>
        <v>0</v>
      </c>
      <c r="M32" s="2" t="str">
        <f>'Input Sheet'!E30</f>
        <v>F</v>
      </c>
      <c r="N32" s="2">
        <f t="shared" si="5"/>
        <v>2</v>
      </c>
      <c r="P32">
        <f t="shared" si="8"/>
        <v>0</v>
      </c>
      <c r="Q32">
        <f t="shared" si="8"/>
        <v>5</v>
      </c>
      <c r="R32">
        <f t="shared" si="8"/>
        <v>0</v>
      </c>
      <c r="S32">
        <f t="shared" si="8"/>
        <v>0</v>
      </c>
      <c r="T32">
        <f t="shared" si="8"/>
        <v>0</v>
      </c>
    </row>
    <row r="33" spans="1:20" ht="16.5" x14ac:dyDescent="0.25">
      <c r="A33" s="10" t="str">
        <f>'Long Sample Name'!A29</f>
        <v>Sample 1990m: 70% Siltstone, 30% fine Sandstone, 100% pale to moderately bright FLUOR in SST. TG 25.1U</v>
      </c>
      <c r="B33" s="1" t="str">
        <f ca="1">'Input Sheet'!K31</f>
        <v/>
      </c>
      <c r="C33" s="7" t="str">
        <f ca="1">'Input Sheet'!L31</f>
        <v/>
      </c>
      <c r="D33" s="11">
        <f>'Input Sheet'!B31</f>
        <v>1990</v>
      </c>
      <c r="E33" s="8">
        <f>'Input Sheet'!H31</f>
        <v>25.1</v>
      </c>
      <c r="F33" s="61">
        <f>'Input Sheet'!C31/100</f>
        <v>0.3</v>
      </c>
      <c r="G33" s="61">
        <f>'Input Sheet'!F31/100</f>
        <v>1</v>
      </c>
      <c r="H33" s="2">
        <f t="shared" si="2"/>
        <v>5</v>
      </c>
      <c r="I33" s="2">
        <f t="shared" si="6"/>
        <v>5</v>
      </c>
      <c r="J33" s="60">
        <f t="shared" si="3"/>
        <v>1.5</v>
      </c>
      <c r="K33" s="2">
        <f t="shared" si="0"/>
        <v>0</v>
      </c>
      <c r="L33" s="2">
        <f t="shared" si="4"/>
        <v>0</v>
      </c>
      <c r="M33" s="2" t="str">
        <f>'Input Sheet'!E31</f>
        <v>F</v>
      </c>
      <c r="N33" s="2">
        <f t="shared" si="5"/>
        <v>2</v>
      </c>
      <c r="P33">
        <f t="shared" si="8"/>
        <v>0</v>
      </c>
      <c r="Q33">
        <f t="shared" si="8"/>
        <v>5</v>
      </c>
      <c r="R33">
        <f t="shared" si="8"/>
        <v>0</v>
      </c>
      <c r="S33">
        <f t="shared" si="8"/>
        <v>0</v>
      </c>
      <c r="T33">
        <f t="shared" si="8"/>
        <v>0</v>
      </c>
    </row>
    <row r="34" spans="1:20" ht="16.5" x14ac:dyDescent="0.25">
      <c r="A34" s="10" t="str">
        <f>'Long Sample Name'!A30</f>
        <v>Sample 1995m: 60% Siltstone, 40% fine Sandstone, 100% pale to moderately bright FLUOR in SST. TG 25.7U</v>
      </c>
      <c r="B34" s="1" t="str">
        <f ca="1">'Input Sheet'!K32</f>
        <v/>
      </c>
      <c r="C34" s="7" t="str">
        <f ca="1">'Input Sheet'!L32</f>
        <v/>
      </c>
      <c r="D34" s="11">
        <f>'Input Sheet'!B32</f>
        <v>1995</v>
      </c>
      <c r="E34" s="8">
        <f>'Input Sheet'!H32</f>
        <v>25.7</v>
      </c>
      <c r="F34" s="61">
        <f>'Input Sheet'!C32/100</f>
        <v>0.4</v>
      </c>
      <c r="G34" s="61">
        <f>'Input Sheet'!F32/100</f>
        <v>1</v>
      </c>
      <c r="H34" s="2">
        <f t="shared" si="2"/>
        <v>5</v>
      </c>
      <c r="I34" s="2">
        <f t="shared" si="6"/>
        <v>5</v>
      </c>
      <c r="J34" s="60">
        <f t="shared" si="3"/>
        <v>2</v>
      </c>
      <c r="K34" s="2">
        <f t="shared" si="0"/>
        <v>0</v>
      </c>
      <c r="L34" s="2">
        <f t="shared" si="4"/>
        <v>0</v>
      </c>
      <c r="M34" s="2" t="str">
        <f>'Input Sheet'!E32</f>
        <v>F</v>
      </c>
      <c r="N34" s="2">
        <f t="shared" si="5"/>
        <v>2</v>
      </c>
      <c r="P34">
        <f t="shared" si="8"/>
        <v>0</v>
      </c>
      <c r="Q34">
        <f t="shared" si="8"/>
        <v>5</v>
      </c>
      <c r="R34">
        <f t="shared" si="8"/>
        <v>0</v>
      </c>
      <c r="S34">
        <f t="shared" si="8"/>
        <v>0</v>
      </c>
      <c r="T34">
        <f t="shared" si="8"/>
        <v>0</v>
      </c>
    </row>
    <row r="35" spans="1:20" ht="16.5" x14ac:dyDescent="0.25">
      <c r="A35" s="10" t="str">
        <f>'Long Sample Name'!A31</f>
        <v>Sample 2000m: common siderite in 60% Siltstone, 40% fine Sandstone, 100% pale to moderately bright FLUOR in SST. TG 22.4U</v>
      </c>
      <c r="B35" s="1" t="str">
        <f ca="1">'Input Sheet'!K33</f>
        <v/>
      </c>
      <c r="C35" s="7" t="str">
        <f ca="1">'Input Sheet'!L33</f>
        <v/>
      </c>
      <c r="D35" s="11">
        <f>'Input Sheet'!B33</f>
        <v>2000</v>
      </c>
      <c r="E35" s="8">
        <f>'Input Sheet'!H33</f>
        <v>22.4</v>
      </c>
      <c r="F35" s="61">
        <f>'Input Sheet'!C33/100</f>
        <v>0.4</v>
      </c>
      <c r="G35" s="61">
        <f>'Input Sheet'!F33/100</f>
        <v>1</v>
      </c>
      <c r="H35" s="2">
        <f t="shared" si="2"/>
        <v>5</v>
      </c>
      <c r="I35" s="2">
        <f t="shared" si="6"/>
        <v>5</v>
      </c>
      <c r="J35" s="60">
        <f t="shared" si="3"/>
        <v>2</v>
      </c>
      <c r="K35" s="2">
        <f t="shared" si="0"/>
        <v>0</v>
      </c>
      <c r="L35" s="2">
        <f t="shared" si="4"/>
        <v>0</v>
      </c>
      <c r="M35" s="2" t="str">
        <f>'Input Sheet'!E33</f>
        <v>F</v>
      </c>
      <c r="N35" s="2">
        <f t="shared" si="5"/>
        <v>2</v>
      </c>
      <c r="P35">
        <f t="shared" si="8"/>
        <v>0</v>
      </c>
      <c r="Q35">
        <f t="shared" si="8"/>
        <v>5</v>
      </c>
      <c r="R35">
        <f t="shared" si="8"/>
        <v>0</v>
      </c>
      <c r="S35">
        <f t="shared" si="8"/>
        <v>0</v>
      </c>
      <c r="T35">
        <f t="shared" si="8"/>
        <v>0</v>
      </c>
    </row>
    <row r="36" spans="1:20" ht="16.5" x14ac:dyDescent="0.25">
      <c r="A36" s="10" t="str">
        <f>'Long Sample Name'!A32</f>
        <v>Sample 2005m: 70% Siltstone, 30% fine Sandstone, 100% pale to moderately bright FLUOR in SST. TG 17.4U</v>
      </c>
      <c r="B36" s="1" t="str">
        <f ca="1">'Input Sheet'!K34</f>
        <v/>
      </c>
      <c r="C36" s="7" t="str">
        <f ca="1">'Input Sheet'!L34</f>
        <v/>
      </c>
      <c r="D36" s="11">
        <f>'Input Sheet'!B34</f>
        <v>2005</v>
      </c>
      <c r="E36" s="8">
        <f>'Input Sheet'!H34</f>
        <v>17.399999999999999</v>
      </c>
      <c r="F36" s="61">
        <f>'Input Sheet'!C34/100</f>
        <v>0.3</v>
      </c>
      <c r="G36" s="61">
        <f>'Input Sheet'!F34/100</f>
        <v>1</v>
      </c>
      <c r="H36" s="2">
        <f t="shared" si="2"/>
        <v>5</v>
      </c>
      <c r="I36" s="2">
        <f t="shared" si="6"/>
        <v>5</v>
      </c>
      <c r="J36" s="60">
        <f t="shared" si="3"/>
        <v>1.5</v>
      </c>
      <c r="K36" s="2">
        <f t="shared" si="0"/>
        <v>0</v>
      </c>
      <c r="L36" s="2">
        <f t="shared" si="4"/>
        <v>0</v>
      </c>
      <c r="M36" s="2" t="str">
        <f>'Input Sheet'!E34</f>
        <v>F</v>
      </c>
      <c r="N36" s="2">
        <f t="shared" si="5"/>
        <v>2</v>
      </c>
      <c r="P36">
        <f t="shared" si="8"/>
        <v>0</v>
      </c>
      <c r="Q36">
        <f t="shared" si="8"/>
        <v>5</v>
      </c>
      <c r="R36">
        <f t="shared" si="8"/>
        <v>0</v>
      </c>
      <c r="S36">
        <f t="shared" si="8"/>
        <v>0</v>
      </c>
      <c r="T36">
        <f t="shared" si="8"/>
        <v>0</v>
      </c>
    </row>
    <row r="37" spans="1:20" ht="16.5" x14ac:dyDescent="0.25">
      <c r="A37" s="10" t="str">
        <f>'Long Sample Name'!A33</f>
        <v>Sample 2010m: common siderite in 70% Siltstone, 30% fine Sandstone, 100% pale to moderately bright FLUOR in SST. TG 21.2U</v>
      </c>
      <c r="B37" s="1" t="str">
        <f ca="1">'Input Sheet'!K35</f>
        <v/>
      </c>
      <c r="C37" s="7" t="str">
        <f ca="1">'Input Sheet'!L35</f>
        <v/>
      </c>
      <c r="D37" s="11">
        <f>'Input Sheet'!B35</f>
        <v>2010</v>
      </c>
      <c r="E37" s="8">
        <f>'Input Sheet'!H35</f>
        <v>21.2</v>
      </c>
      <c r="F37" s="61">
        <f>'Input Sheet'!C35/100</f>
        <v>0.3</v>
      </c>
      <c r="G37" s="61">
        <f>'Input Sheet'!F35/100</f>
        <v>1</v>
      </c>
      <c r="H37" s="2">
        <f t="shared" si="2"/>
        <v>5</v>
      </c>
      <c r="I37" s="2">
        <f t="shared" si="6"/>
        <v>5</v>
      </c>
      <c r="J37" s="60">
        <f t="shared" si="3"/>
        <v>1.5</v>
      </c>
      <c r="K37" s="2">
        <f t="shared" si="0"/>
        <v>0</v>
      </c>
      <c r="L37" s="2">
        <f t="shared" si="4"/>
        <v>0</v>
      </c>
      <c r="M37" s="2" t="str">
        <f>'Input Sheet'!E35</f>
        <v>F</v>
      </c>
      <c r="N37" s="2">
        <f t="shared" si="5"/>
        <v>2</v>
      </c>
      <c r="P37">
        <f t="shared" si="8"/>
        <v>0</v>
      </c>
      <c r="Q37">
        <f t="shared" si="8"/>
        <v>5</v>
      </c>
      <c r="R37">
        <f t="shared" si="8"/>
        <v>0</v>
      </c>
      <c r="S37">
        <f t="shared" si="8"/>
        <v>0</v>
      </c>
      <c r="T37">
        <f t="shared" si="8"/>
        <v>0</v>
      </c>
    </row>
    <row r="38" spans="1:20" ht="16.5" x14ac:dyDescent="0.25">
      <c r="A38" s="10" t="str">
        <f>'Long Sample Name'!A34</f>
        <v>Sample 2015m: 70% Siltstone, 30% fine Sandstone, 100% moderately bright FLUOR in SST. TG 16.6U</v>
      </c>
      <c r="B38" s="1" t="str">
        <f ca="1">'Input Sheet'!K36</f>
        <v/>
      </c>
      <c r="C38" s="7" t="str">
        <f ca="1">'Input Sheet'!L36</f>
        <v/>
      </c>
      <c r="D38" s="11">
        <f>'Input Sheet'!B36</f>
        <v>2015</v>
      </c>
      <c r="E38" s="8">
        <f>'Input Sheet'!H36</f>
        <v>16.600000000000001</v>
      </c>
      <c r="F38" s="61">
        <f>'Input Sheet'!C36/100</f>
        <v>0.3</v>
      </c>
      <c r="G38" s="61">
        <f>'Input Sheet'!F36/100</f>
        <v>1</v>
      </c>
      <c r="H38" s="2">
        <f t="shared" si="2"/>
        <v>5</v>
      </c>
      <c r="I38" s="2">
        <f t="shared" si="6"/>
        <v>5</v>
      </c>
      <c r="J38" s="60">
        <f t="shared" si="3"/>
        <v>1.5</v>
      </c>
      <c r="K38" s="2">
        <f t="shared" si="0"/>
        <v>0</v>
      </c>
      <c r="L38" s="2">
        <f t="shared" si="4"/>
        <v>0</v>
      </c>
      <c r="M38" s="2" t="str">
        <f>'Input Sheet'!E36</f>
        <v>F</v>
      </c>
      <c r="N38" s="2">
        <f t="shared" si="5"/>
        <v>2</v>
      </c>
      <c r="P38">
        <f t="shared" si="8"/>
        <v>0</v>
      </c>
      <c r="Q38">
        <f t="shared" si="8"/>
        <v>5</v>
      </c>
      <c r="R38">
        <f t="shared" si="8"/>
        <v>0</v>
      </c>
      <c r="S38">
        <f t="shared" si="8"/>
        <v>0</v>
      </c>
      <c r="T38">
        <f t="shared" si="8"/>
        <v>0</v>
      </c>
    </row>
    <row r="39" spans="1:20" ht="16.5" x14ac:dyDescent="0.25">
      <c r="A39" s="10" t="str">
        <f>'Long Sample Name'!A35</f>
        <v>Sample 2020m: common siderite in 70% Siltstone, 30% fine Sandstone, 100% moderately bright FLUOR in SST. TG 23.6U</v>
      </c>
      <c r="B39" s="1" t="str">
        <f ca="1">'Input Sheet'!K37</f>
        <v/>
      </c>
      <c r="C39" s="7" t="str">
        <f ca="1">'Input Sheet'!L37</f>
        <v/>
      </c>
      <c r="D39" s="11">
        <f>'Input Sheet'!B37</f>
        <v>2020</v>
      </c>
      <c r="E39" s="8">
        <f>'Input Sheet'!H37</f>
        <v>23.6</v>
      </c>
      <c r="F39" s="61">
        <f>'Input Sheet'!C37/100</f>
        <v>0.3</v>
      </c>
      <c r="G39" s="61">
        <f>'Input Sheet'!F37/100</f>
        <v>1</v>
      </c>
      <c r="H39" s="2">
        <f t="shared" si="2"/>
        <v>5</v>
      </c>
      <c r="I39" s="2">
        <f t="shared" si="6"/>
        <v>5</v>
      </c>
      <c r="J39" s="60">
        <f t="shared" si="3"/>
        <v>1.5</v>
      </c>
      <c r="K39" s="2">
        <f t="shared" si="0"/>
        <v>0</v>
      </c>
      <c r="L39" s="2">
        <f t="shared" si="4"/>
        <v>0</v>
      </c>
      <c r="M39" s="2" t="str">
        <f>'Input Sheet'!E37</f>
        <v>F</v>
      </c>
      <c r="N39" s="2">
        <f t="shared" si="5"/>
        <v>2</v>
      </c>
      <c r="P39">
        <f t="shared" si="8"/>
        <v>0</v>
      </c>
      <c r="Q39">
        <f t="shared" si="8"/>
        <v>5</v>
      </c>
      <c r="R39">
        <f t="shared" si="8"/>
        <v>0</v>
      </c>
      <c r="S39">
        <f t="shared" si="8"/>
        <v>0</v>
      </c>
      <c r="T39">
        <f t="shared" si="8"/>
        <v>0</v>
      </c>
    </row>
    <row r="40" spans="1:20" ht="16.5" x14ac:dyDescent="0.25">
      <c r="A40" s="10" t="str">
        <f>'Long Sample Name'!A36</f>
        <v>Sample 2025m: 60% Siltstone, 40% fine Sandstone, 100% moderately bright FLUOR in SST. TG 27.9U</v>
      </c>
      <c r="B40" s="1" t="str">
        <f ca="1">'Input Sheet'!K38</f>
        <v/>
      </c>
      <c r="C40" s="7" t="str">
        <f ca="1">'Input Sheet'!L38</f>
        <v/>
      </c>
      <c r="D40" s="11">
        <f>'Input Sheet'!B38</f>
        <v>2025</v>
      </c>
      <c r="E40" s="8">
        <f>'Input Sheet'!H38</f>
        <v>27.9</v>
      </c>
      <c r="F40" s="61">
        <f>'Input Sheet'!C38/100</f>
        <v>0.4</v>
      </c>
      <c r="G40" s="61">
        <f>'Input Sheet'!F38/100</f>
        <v>1</v>
      </c>
      <c r="H40" s="2">
        <f t="shared" si="2"/>
        <v>5</v>
      </c>
      <c r="I40" s="2">
        <f t="shared" si="6"/>
        <v>5</v>
      </c>
      <c r="J40" s="60">
        <f t="shared" si="3"/>
        <v>2</v>
      </c>
      <c r="K40" s="2">
        <f t="shared" si="0"/>
        <v>0</v>
      </c>
      <c r="L40" s="2">
        <f t="shared" si="4"/>
        <v>0</v>
      </c>
      <c r="M40" s="2" t="str">
        <f>'Input Sheet'!E38</f>
        <v>F</v>
      </c>
      <c r="N40" s="2">
        <f t="shared" si="5"/>
        <v>2</v>
      </c>
      <c r="P40">
        <f t="shared" si="8"/>
        <v>0</v>
      </c>
      <c r="Q40">
        <f t="shared" si="8"/>
        <v>5</v>
      </c>
      <c r="R40">
        <f t="shared" si="8"/>
        <v>0</v>
      </c>
      <c r="S40">
        <f t="shared" si="8"/>
        <v>0</v>
      </c>
      <c r="T40">
        <f t="shared" si="8"/>
        <v>0</v>
      </c>
    </row>
    <row r="41" spans="1:20" ht="16.5" x14ac:dyDescent="0.25">
      <c r="A41" s="10" t="str">
        <f>'Long Sample Name'!A37</f>
        <v>Sample 2030m: trace siderite in 60% Siltstone, 40% fine Sandstone, 100% moderately bright FLUOR in SST. TG 29.9U</v>
      </c>
      <c r="B41" s="1" t="str">
        <f ca="1">'Input Sheet'!K39</f>
        <v/>
      </c>
      <c r="C41" s="7" t="str">
        <f ca="1">'Input Sheet'!L39</f>
        <v/>
      </c>
      <c r="D41" s="11">
        <f>'Input Sheet'!B39</f>
        <v>2030</v>
      </c>
      <c r="E41" s="8">
        <f>'Input Sheet'!H39</f>
        <v>29.9</v>
      </c>
      <c r="F41" s="61">
        <f>'Input Sheet'!C39/100</f>
        <v>0.4</v>
      </c>
      <c r="G41" s="61">
        <f>'Input Sheet'!F39/100</f>
        <v>1</v>
      </c>
      <c r="H41" s="2">
        <f t="shared" si="2"/>
        <v>5</v>
      </c>
      <c r="I41" s="2">
        <f t="shared" si="6"/>
        <v>5</v>
      </c>
      <c r="J41" s="60">
        <f t="shared" si="3"/>
        <v>2</v>
      </c>
      <c r="K41" s="2">
        <f t="shared" si="0"/>
        <v>0</v>
      </c>
      <c r="L41" s="2">
        <f t="shared" si="4"/>
        <v>0</v>
      </c>
      <c r="M41" s="2" t="str">
        <f>'Input Sheet'!E39</f>
        <v>F</v>
      </c>
      <c r="N41" s="2">
        <f t="shared" si="5"/>
        <v>2</v>
      </c>
      <c r="P41">
        <f t="shared" si="8"/>
        <v>0</v>
      </c>
      <c r="Q41">
        <f t="shared" si="8"/>
        <v>5</v>
      </c>
      <c r="R41">
        <f t="shared" si="8"/>
        <v>0</v>
      </c>
      <c r="S41">
        <f t="shared" si="8"/>
        <v>0</v>
      </c>
      <c r="T41">
        <f t="shared" si="8"/>
        <v>0</v>
      </c>
    </row>
    <row r="42" spans="1:20" ht="16.5" x14ac:dyDescent="0.25">
      <c r="A42" s="10" t="str">
        <f>'Long Sample Name'!A38</f>
        <v>Sample 2035m: 60% Siltstone, 40% fine Sandstone, 100% moderately bright FLUOR in SST. TG 17.9U</v>
      </c>
      <c r="B42" s="1" t="str">
        <f ca="1">'Input Sheet'!K40</f>
        <v/>
      </c>
      <c r="C42" s="7" t="str">
        <f ca="1">'Input Sheet'!L40</f>
        <v/>
      </c>
      <c r="D42" s="11">
        <f>'Input Sheet'!B40</f>
        <v>2035</v>
      </c>
      <c r="E42" s="8">
        <f>'Input Sheet'!H40</f>
        <v>17.899999999999999</v>
      </c>
      <c r="F42" s="61">
        <f>'Input Sheet'!C40/100</f>
        <v>0.4</v>
      </c>
      <c r="G42" s="61">
        <f>'Input Sheet'!F40/100</f>
        <v>1</v>
      </c>
      <c r="H42" s="2">
        <f t="shared" si="2"/>
        <v>5</v>
      </c>
      <c r="I42" s="2">
        <f t="shared" si="6"/>
        <v>5</v>
      </c>
      <c r="J42" s="60">
        <f t="shared" si="3"/>
        <v>2</v>
      </c>
      <c r="K42" s="2">
        <f t="shared" si="0"/>
        <v>0</v>
      </c>
      <c r="L42" s="2">
        <f t="shared" si="4"/>
        <v>0</v>
      </c>
      <c r="M42" s="2" t="str">
        <f>'Input Sheet'!E40</f>
        <v>F</v>
      </c>
      <c r="N42" s="2">
        <f t="shared" si="5"/>
        <v>2</v>
      </c>
      <c r="P42">
        <f t="shared" si="8"/>
        <v>0</v>
      </c>
      <c r="Q42">
        <f t="shared" si="8"/>
        <v>5</v>
      </c>
      <c r="R42">
        <f t="shared" si="8"/>
        <v>0</v>
      </c>
      <c r="S42">
        <f t="shared" si="8"/>
        <v>0</v>
      </c>
      <c r="T42">
        <f t="shared" si="8"/>
        <v>0</v>
      </c>
    </row>
    <row r="43" spans="1:20" ht="16.5" x14ac:dyDescent="0.25">
      <c r="A43" s="10" t="str">
        <f>'Long Sample Name'!A39</f>
        <v>Sample 2040m: 60% Siltstone, 40% fine Sandstone, 100% moderately bright FLUOR in SST. TG 23.4U</v>
      </c>
      <c r="B43" s="1" t="str">
        <f ca="1">'Input Sheet'!K41</f>
        <v/>
      </c>
      <c r="C43" s="7" t="str">
        <f ca="1">'Input Sheet'!L41</f>
        <v/>
      </c>
      <c r="D43" s="11">
        <f>'Input Sheet'!B41</f>
        <v>2040</v>
      </c>
      <c r="E43" s="8">
        <f>'Input Sheet'!H41</f>
        <v>23.4</v>
      </c>
      <c r="F43" s="61">
        <f>'Input Sheet'!C41/100</f>
        <v>0.4</v>
      </c>
      <c r="G43" s="61">
        <f>'Input Sheet'!F41/100</f>
        <v>1</v>
      </c>
      <c r="H43" s="2">
        <f t="shared" si="2"/>
        <v>5</v>
      </c>
      <c r="I43" s="2">
        <f t="shared" si="6"/>
        <v>5</v>
      </c>
      <c r="J43" s="60">
        <f t="shared" si="3"/>
        <v>2</v>
      </c>
      <c r="K43" s="2">
        <f t="shared" si="0"/>
        <v>0</v>
      </c>
      <c r="L43" s="2">
        <f t="shared" si="4"/>
        <v>0</v>
      </c>
      <c r="M43" s="2" t="str">
        <f>'Input Sheet'!E41</f>
        <v>F</v>
      </c>
      <c r="N43" s="2">
        <f t="shared" si="5"/>
        <v>2</v>
      </c>
      <c r="P43">
        <f t="shared" si="8"/>
        <v>0</v>
      </c>
      <c r="Q43">
        <f t="shared" si="8"/>
        <v>5</v>
      </c>
      <c r="R43">
        <f t="shared" si="8"/>
        <v>0</v>
      </c>
      <c r="S43">
        <f t="shared" si="8"/>
        <v>0</v>
      </c>
      <c r="T43">
        <f t="shared" si="8"/>
        <v>0</v>
      </c>
    </row>
    <row r="44" spans="1:20" ht="16.5" x14ac:dyDescent="0.25">
      <c r="A44" s="10" t="str">
        <f>'Long Sample Name'!A40</f>
        <v>Sample 2045m: 55% Siltstone, 45% fine Sandstone, 100% moderately bright FLUOR in SST. TG 34.5U</v>
      </c>
      <c r="B44" s="1" t="str">
        <f ca="1">'Input Sheet'!K42</f>
        <v/>
      </c>
      <c r="C44" s="7" t="str">
        <f ca="1">'Input Sheet'!L42</f>
        <v/>
      </c>
      <c r="D44" s="11">
        <f>'Input Sheet'!B42</f>
        <v>2045</v>
      </c>
      <c r="E44" s="8">
        <f>'Input Sheet'!H42</f>
        <v>34.5</v>
      </c>
      <c r="F44" s="61">
        <f>'Input Sheet'!C42/100</f>
        <v>0.45</v>
      </c>
      <c r="G44" s="61">
        <f>'Input Sheet'!F42/100</f>
        <v>1</v>
      </c>
      <c r="H44" s="2">
        <f t="shared" si="2"/>
        <v>5</v>
      </c>
      <c r="I44" s="2">
        <f t="shared" si="6"/>
        <v>5</v>
      </c>
      <c r="J44" s="60">
        <f t="shared" si="3"/>
        <v>2.25</v>
      </c>
      <c r="K44" s="2">
        <f t="shared" si="0"/>
        <v>0</v>
      </c>
      <c r="L44" s="2">
        <f t="shared" si="4"/>
        <v>0</v>
      </c>
      <c r="M44" s="2" t="str">
        <f>'Input Sheet'!E42</f>
        <v>F</v>
      </c>
      <c r="N44" s="2">
        <f t="shared" si="5"/>
        <v>2</v>
      </c>
      <c r="P44">
        <f t="shared" si="8"/>
        <v>0</v>
      </c>
      <c r="Q44">
        <f t="shared" si="8"/>
        <v>5</v>
      </c>
      <c r="R44">
        <f t="shared" si="8"/>
        <v>0</v>
      </c>
      <c r="S44">
        <f t="shared" si="8"/>
        <v>0</v>
      </c>
      <c r="T44">
        <f t="shared" si="8"/>
        <v>0</v>
      </c>
    </row>
    <row r="45" spans="1:20" ht="16.5" x14ac:dyDescent="0.25">
      <c r="A45" s="10" t="str">
        <f>'Long Sample Name'!A41</f>
        <v>Sample 2050m: 55% Siltstone, 45% fine Sandstone, 100% moderately bright FLUOR in SST. TG 37U</v>
      </c>
      <c r="B45" s="1" t="str">
        <f ca="1">'Input Sheet'!K43</f>
        <v/>
      </c>
      <c r="C45" s="7" t="str">
        <f ca="1">'Input Sheet'!L43</f>
        <v/>
      </c>
      <c r="D45" s="11">
        <f>'Input Sheet'!B43</f>
        <v>2050</v>
      </c>
      <c r="E45" s="8">
        <f>'Input Sheet'!H43</f>
        <v>37</v>
      </c>
      <c r="F45" s="61">
        <f>'Input Sheet'!C43/100</f>
        <v>0.45</v>
      </c>
      <c r="G45" s="61">
        <f>'Input Sheet'!F43/100</f>
        <v>1</v>
      </c>
      <c r="H45" s="2">
        <f t="shared" si="2"/>
        <v>5</v>
      </c>
      <c r="I45" s="2">
        <f t="shared" si="6"/>
        <v>5</v>
      </c>
      <c r="J45" s="60">
        <f t="shared" si="3"/>
        <v>2.25</v>
      </c>
      <c r="K45" s="2">
        <f t="shared" si="0"/>
        <v>0</v>
      </c>
      <c r="L45" s="2">
        <f t="shared" si="4"/>
        <v>0</v>
      </c>
      <c r="M45" s="2" t="str">
        <f>'Input Sheet'!E43</f>
        <v>F</v>
      </c>
      <c r="N45" s="2">
        <f t="shared" si="5"/>
        <v>2</v>
      </c>
      <c r="P45">
        <f t="shared" si="8"/>
        <v>0</v>
      </c>
      <c r="Q45">
        <f t="shared" si="8"/>
        <v>5</v>
      </c>
      <c r="R45">
        <f t="shared" si="8"/>
        <v>0</v>
      </c>
      <c r="S45">
        <f t="shared" si="8"/>
        <v>0</v>
      </c>
      <c r="T45">
        <f t="shared" si="8"/>
        <v>0</v>
      </c>
    </row>
    <row r="46" spans="1:20" ht="16.5" x14ac:dyDescent="0.25">
      <c r="A46" s="10" t="str">
        <f>'Long Sample Name'!A42</f>
        <v>Sample 2055m: 60% Siltstone, 40% fine Sandstone, 100% moderately bright FLUOR in SST. TG 26.4U</v>
      </c>
      <c r="B46" s="1" t="str">
        <f ca="1">'Input Sheet'!K44</f>
        <v/>
      </c>
      <c r="C46" s="7" t="str">
        <f ca="1">'Input Sheet'!L44</f>
        <v/>
      </c>
      <c r="D46" s="11">
        <f>'Input Sheet'!B44</f>
        <v>2055</v>
      </c>
      <c r="E46" s="8">
        <f>'Input Sheet'!H44</f>
        <v>26.4</v>
      </c>
      <c r="F46" s="61">
        <f>'Input Sheet'!C44/100</f>
        <v>0.4</v>
      </c>
      <c r="G46" s="61">
        <f>'Input Sheet'!F44/100</f>
        <v>1</v>
      </c>
      <c r="H46" s="2">
        <f t="shared" si="2"/>
        <v>5</v>
      </c>
      <c r="I46" s="2">
        <f t="shared" si="6"/>
        <v>5</v>
      </c>
      <c r="J46" s="60">
        <f t="shared" si="3"/>
        <v>2</v>
      </c>
      <c r="K46" s="2">
        <f t="shared" si="0"/>
        <v>0</v>
      </c>
      <c r="L46" s="2">
        <f t="shared" si="4"/>
        <v>0</v>
      </c>
      <c r="M46" s="2" t="str">
        <f>'Input Sheet'!E44</f>
        <v>F</v>
      </c>
      <c r="N46" s="2">
        <f t="shared" si="5"/>
        <v>2</v>
      </c>
      <c r="P46">
        <f t="shared" si="8"/>
        <v>0</v>
      </c>
      <c r="Q46">
        <f t="shared" si="8"/>
        <v>5</v>
      </c>
      <c r="R46">
        <f t="shared" si="8"/>
        <v>0</v>
      </c>
      <c r="S46">
        <f t="shared" si="8"/>
        <v>0</v>
      </c>
      <c r="T46">
        <f t="shared" si="8"/>
        <v>0</v>
      </c>
    </row>
    <row r="47" spans="1:20" ht="16.5" x14ac:dyDescent="0.25">
      <c r="A47" s="10" t="str">
        <f>'Long Sample Name'!A43</f>
        <v>Sample 2060m: 60% Siltstone, 40% fine Sandstone, 100% moderately bright FLUOR in SST. TG 25.6U</v>
      </c>
      <c r="B47" s="1" t="str">
        <f ca="1">'Input Sheet'!K45</f>
        <v/>
      </c>
      <c r="C47" s="7" t="str">
        <f ca="1">'Input Sheet'!L45</f>
        <v/>
      </c>
      <c r="D47" s="11">
        <f>'Input Sheet'!B45</f>
        <v>2060</v>
      </c>
      <c r="E47" s="8">
        <f>'Input Sheet'!H45</f>
        <v>25.6</v>
      </c>
      <c r="F47" s="61">
        <f>'Input Sheet'!C45/100</f>
        <v>0.4</v>
      </c>
      <c r="G47" s="61">
        <f>'Input Sheet'!F45/100</f>
        <v>1</v>
      </c>
      <c r="H47" s="2">
        <f t="shared" si="2"/>
        <v>5</v>
      </c>
      <c r="I47" s="2">
        <f t="shared" si="6"/>
        <v>5</v>
      </c>
      <c r="J47" s="60">
        <f t="shared" si="3"/>
        <v>2</v>
      </c>
      <c r="K47" s="2">
        <f t="shared" si="0"/>
        <v>0</v>
      </c>
      <c r="L47" s="2">
        <f t="shared" si="4"/>
        <v>0</v>
      </c>
      <c r="M47" s="2" t="str">
        <f>'Input Sheet'!E45</f>
        <v>F</v>
      </c>
      <c r="N47" s="2">
        <f t="shared" si="5"/>
        <v>2</v>
      </c>
      <c r="P47">
        <f t="shared" si="8"/>
        <v>0</v>
      </c>
      <c r="Q47">
        <f t="shared" si="8"/>
        <v>5</v>
      </c>
      <c r="R47">
        <f t="shared" si="8"/>
        <v>0</v>
      </c>
      <c r="S47">
        <f t="shared" si="8"/>
        <v>0</v>
      </c>
      <c r="T47">
        <f t="shared" si="8"/>
        <v>0</v>
      </c>
    </row>
    <row r="48" spans="1:20" ht="16.5" x14ac:dyDescent="0.25">
      <c r="A48" s="10" t="str">
        <f>'Long Sample Name'!A44</f>
        <v>Sample 2065m: 65% Siltstone, 35% fine Sandstone, 100% moderately bright FLUOR in SST. TG 23.7U</v>
      </c>
      <c r="B48" s="1" t="str">
        <f ca="1">'Input Sheet'!K46</f>
        <v/>
      </c>
      <c r="C48" s="7" t="str">
        <f ca="1">'Input Sheet'!L46</f>
        <v/>
      </c>
      <c r="D48" s="11">
        <f>'Input Sheet'!B46</f>
        <v>2065</v>
      </c>
      <c r="E48" s="8">
        <f>'Input Sheet'!H46</f>
        <v>23.7</v>
      </c>
      <c r="F48" s="61">
        <f>'Input Sheet'!C46/100</f>
        <v>0.35</v>
      </c>
      <c r="G48" s="61">
        <f>'Input Sheet'!F46/100</f>
        <v>1</v>
      </c>
      <c r="H48" s="2">
        <f t="shared" si="2"/>
        <v>5</v>
      </c>
      <c r="I48" s="2">
        <f t="shared" si="6"/>
        <v>5</v>
      </c>
      <c r="J48" s="60">
        <f t="shared" si="3"/>
        <v>1.75</v>
      </c>
      <c r="K48" s="2">
        <f t="shared" si="0"/>
        <v>0</v>
      </c>
      <c r="L48" s="2">
        <f t="shared" si="4"/>
        <v>0</v>
      </c>
      <c r="M48" s="2" t="str">
        <f>'Input Sheet'!E46</f>
        <v>F</v>
      </c>
      <c r="N48" s="2">
        <f t="shared" si="5"/>
        <v>2</v>
      </c>
      <c r="P48">
        <f t="shared" si="8"/>
        <v>0</v>
      </c>
      <c r="Q48">
        <f t="shared" si="8"/>
        <v>5</v>
      </c>
      <c r="R48">
        <f t="shared" si="8"/>
        <v>0</v>
      </c>
      <c r="S48">
        <f t="shared" si="8"/>
        <v>0</v>
      </c>
      <c r="T48">
        <f t="shared" si="8"/>
        <v>0</v>
      </c>
    </row>
    <row r="49" spans="1:20" ht="16.5" x14ac:dyDescent="0.25">
      <c r="A49" s="10" t="str">
        <f>'Long Sample Name'!A45</f>
        <v>Sample 2070m: 65% Siltstone, 35% fine Sandstone, 100% moderately bright FLUOR in SST. TG 35.3U</v>
      </c>
      <c r="B49" s="1" t="str">
        <f ca="1">'Input Sheet'!K47</f>
        <v/>
      </c>
      <c r="C49" s="7" t="str">
        <f ca="1">'Input Sheet'!L47</f>
        <v/>
      </c>
      <c r="D49" s="11">
        <f>'Input Sheet'!B47</f>
        <v>2070</v>
      </c>
      <c r="E49" s="8">
        <f>'Input Sheet'!H47</f>
        <v>35.299999999999997</v>
      </c>
      <c r="F49" s="61">
        <f>'Input Sheet'!C47/100</f>
        <v>0.35</v>
      </c>
      <c r="G49" s="61">
        <f>'Input Sheet'!F47/100</f>
        <v>1</v>
      </c>
      <c r="H49" s="2">
        <f t="shared" si="2"/>
        <v>5</v>
      </c>
      <c r="I49" s="2">
        <f t="shared" si="6"/>
        <v>5</v>
      </c>
      <c r="J49" s="60">
        <f t="shared" si="3"/>
        <v>1.75</v>
      </c>
      <c r="K49" s="2">
        <f t="shared" si="0"/>
        <v>0</v>
      </c>
      <c r="L49" s="2">
        <f t="shared" si="4"/>
        <v>0</v>
      </c>
      <c r="M49" s="2" t="str">
        <f>'Input Sheet'!E47</f>
        <v>F</v>
      </c>
      <c r="N49" s="2">
        <f t="shared" si="5"/>
        <v>2</v>
      </c>
      <c r="P49">
        <f t="shared" si="8"/>
        <v>0</v>
      </c>
      <c r="Q49">
        <f t="shared" si="8"/>
        <v>5</v>
      </c>
      <c r="R49">
        <f t="shared" si="8"/>
        <v>0</v>
      </c>
      <c r="S49">
        <f t="shared" si="8"/>
        <v>0</v>
      </c>
      <c r="T49">
        <f t="shared" si="8"/>
        <v>0</v>
      </c>
    </row>
    <row r="50" spans="1:20" ht="16.5" x14ac:dyDescent="0.25">
      <c r="A50" s="10" t="str">
        <f>'Long Sample Name'!A46</f>
        <v>Sample 2075m: 60% Siltstone, 40% fine Sandstone, 100% moderately bright FLUOR in SST. TG 27.9U</v>
      </c>
      <c r="B50" s="1" t="str">
        <f ca="1">'Input Sheet'!K48</f>
        <v/>
      </c>
      <c r="C50" s="7" t="str">
        <f ca="1">'Input Sheet'!L48</f>
        <v/>
      </c>
      <c r="D50" s="11">
        <f>'Input Sheet'!B48</f>
        <v>2075</v>
      </c>
      <c r="E50" s="8">
        <f>'Input Sheet'!H48</f>
        <v>27.9</v>
      </c>
      <c r="F50" s="61">
        <f>'Input Sheet'!C48/100</f>
        <v>0.4</v>
      </c>
      <c r="G50" s="61">
        <f>'Input Sheet'!F48/100</f>
        <v>1</v>
      </c>
      <c r="H50" s="2">
        <f t="shared" si="2"/>
        <v>5</v>
      </c>
      <c r="I50" s="2">
        <f t="shared" si="6"/>
        <v>5</v>
      </c>
      <c r="J50" s="60">
        <f t="shared" si="3"/>
        <v>2</v>
      </c>
      <c r="K50" s="2">
        <f t="shared" si="0"/>
        <v>0</v>
      </c>
      <c r="L50" s="2">
        <f t="shared" si="4"/>
        <v>0</v>
      </c>
      <c r="M50" s="2" t="str">
        <f>'Input Sheet'!E48</f>
        <v>F</v>
      </c>
      <c r="N50" s="2">
        <f t="shared" si="5"/>
        <v>2</v>
      </c>
      <c r="P50">
        <f t="shared" si="8"/>
        <v>0</v>
      </c>
      <c r="Q50">
        <f t="shared" si="8"/>
        <v>5</v>
      </c>
      <c r="R50">
        <f t="shared" si="8"/>
        <v>0</v>
      </c>
      <c r="S50">
        <f t="shared" si="8"/>
        <v>0</v>
      </c>
      <c r="T50">
        <f t="shared" si="8"/>
        <v>0</v>
      </c>
    </row>
    <row r="51" spans="1:20" ht="16.5" x14ac:dyDescent="0.25">
      <c r="A51" s="10" t="str">
        <f>'Long Sample Name'!A47</f>
        <v>Sample 2080m: 60% Siltstone, 40% fine Sandstone, 100% moderately bright FLUOR in SST. TG 29.3U</v>
      </c>
      <c r="B51" s="1" t="str">
        <f ca="1">'Input Sheet'!K49</f>
        <v/>
      </c>
      <c r="C51" s="7" t="str">
        <f ca="1">'Input Sheet'!L49</f>
        <v/>
      </c>
      <c r="D51" s="11">
        <f>'Input Sheet'!B49</f>
        <v>2080</v>
      </c>
      <c r="E51" s="8">
        <f>'Input Sheet'!H49</f>
        <v>29.3</v>
      </c>
      <c r="F51" s="61">
        <f>'Input Sheet'!C49/100</f>
        <v>0.4</v>
      </c>
      <c r="G51" s="61">
        <f>'Input Sheet'!F49/100</f>
        <v>1</v>
      </c>
      <c r="H51" s="2">
        <f t="shared" si="2"/>
        <v>5</v>
      </c>
      <c r="I51" s="2">
        <f t="shared" si="6"/>
        <v>5</v>
      </c>
      <c r="J51" s="60">
        <f t="shared" si="3"/>
        <v>2</v>
      </c>
      <c r="K51" s="2">
        <f t="shared" si="0"/>
        <v>0</v>
      </c>
      <c r="L51" s="2">
        <f t="shared" si="4"/>
        <v>0</v>
      </c>
      <c r="M51" s="2" t="str">
        <f>'Input Sheet'!E49</f>
        <v>F</v>
      </c>
      <c r="N51" s="2">
        <f t="shared" si="5"/>
        <v>2</v>
      </c>
      <c r="P51">
        <f t="shared" si="8"/>
        <v>0</v>
      </c>
      <c r="Q51">
        <f t="shared" si="8"/>
        <v>5</v>
      </c>
      <c r="R51">
        <f t="shared" si="8"/>
        <v>0</v>
      </c>
      <c r="S51">
        <f t="shared" si="8"/>
        <v>0</v>
      </c>
      <c r="T51">
        <f t="shared" si="8"/>
        <v>0</v>
      </c>
    </row>
    <row r="52" spans="1:20" ht="16.5" x14ac:dyDescent="0.25">
      <c r="A52" s="10" t="str">
        <f>'Long Sample Name'!A48</f>
        <v>Sample 2085m: 60% Siltstone, 40% fine Sandstone, 100% moderately bright FLUOR in SST. TG 28.1U</v>
      </c>
      <c r="B52" s="1" t="str">
        <f ca="1">'Input Sheet'!K50</f>
        <v/>
      </c>
      <c r="C52" s="7" t="str">
        <f ca="1">'Input Sheet'!L50</f>
        <v/>
      </c>
      <c r="D52" s="11">
        <f>'Input Sheet'!B50</f>
        <v>2085</v>
      </c>
      <c r="E52" s="8">
        <f>'Input Sheet'!H50</f>
        <v>28.1</v>
      </c>
      <c r="F52" s="61">
        <f>'Input Sheet'!C50/100</f>
        <v>0.4</v>
      </c>
      <c r="G52" s="61">
        <f>'Input Sheet'!F50/100</f>
        <v>1</v>
      </c>
      <c r="H52" s="2">
        <f t="shared" si="2"/>
        <v>5</v>
      </c>
      <c r="I52" s="2">
        <f t="shared" si="6"/>
        <v>5</v>
      </c>
      <c r="J52" s="60">
        <f t="shared" si="3"/>
        <v>2</v>
      </c>
      <c r="K52" s="2">
        <f t="shared" si="0"/>
        <v>0</v>
      </c>
      <c r="L52" s="2">
        <f t="shared" si="4"/>
        <v>0</v>
      </c>
      <c r="M52" s="2" t="str">
        <f>'Input Sheet'!E50</f>
        <v>F</v>
      </c>
      <c r="N52" s="2">
        <f t="shared" si="5"/>
        <v>2</v>
      </c>
      <c r="P52">
        <f t="shared" si="8"/>
        <v>0</v>
      </c>
      <c r="Q52">
        <f t="shared" si="8"/>
        <v>5</v>
      </c>
      <c r="R52">
        <f t="shared" si="8"/>
        <v>0</v>
      </c>
      <c r="S52">
        <f t="shared" si="8"/>
        <v>0</v>
      </c>
      <c r="T52">
        <f t="shared" si="8"/>
        <v>0</v>
      </c>
    </row>
    <row r="53" spans="1:20" ht="16.5" x14ac:dyDescent="0.25">
      <c r="A53" s="10" t="str">
        <f>'Long Sample Name'!A49</f>
        <v>Sample 2090m: 60% Siltstone, 40% fine Sandstone, 100% moderately bright FLUOR in SST. TG 32.4U</v>
      </c>
      <c r="B53" s="1" t="str">
        <f ca="1">'Input Sheet'!K51</f>
        <v/>
      </c>
      <c r="C53" s="7" t="str">
        <f ca="1">'Input Sheet'!L51</f>
        <v/>
      </c>
      <c r="D53" s="11">
        <f>'Input Sheet'!B51</f>
        <v>2090</v>
      </c>
      <c r="E53" s="8">
        <f>'Input Sheet'!H51</f>
        <v>32.4</v>
      </c>
      <c r="F53" s="61">
        <f>'Input Sheet'!C51/100</f>
        <v>0.4</v>
      </c>
      <c r="G53" s="61">
        <f>'Input Sheet'!F51/100</f>
        <v>1</v>
      </c>
      <c r="H53" s="2">
        <f t="shared" si="2"/>
        <v>5</v>
      </c>
      <c r="I53" s="2">
        <f t="shared" si="6"/>
        <v>5</v>
      </c>
      <c r="J53" s="60">
        <f t="shared" si="3"/>
        <v>2</v>
      </c>
      <c r="K53" s="2">
        <f t="shared" si="0"/>
        <v>0</v>
      </c>
      <c r="L53" s="2">
        <f t="shared" si="4"/>
        <v>0</v>
      </c>
      <c r="M53" s="2" t="str">
        <f>'Input Sheet'!E51</f>
        <v>F</v>
      </c>
      <c r="N53" s="2">
        <f t="shared" si="5"/>
        <v>2</v>
      </c>
      <c r="P53">
        <f t="shared" si="8"/>
        <v>0</v>
      </c>
      <c r="Q53">
        <f t="shared" si="8"/>
        <v>5</v>
      </c>
      <c r="R53">
        <f t="shared" si="8"/>
        <v>0</v>
      </c>
      <c r="S53">
        <f t="shared" si="8"/>
        <v>0</v>
      </c>
      <c r="T53">
        <f t="shared" si="8"/>
        <v>0</v>
      </c>
    </row>
    <row r="54" spans="1:20" ht="16.5" x14ac:dyDescent="0.25">
      <c r="A54" s="10" t="str">
        <f>'Long Sample Name'!A50</f>
        <v>Sample 2095m: 60% Siltstone, 40% fine Sandstone, 100% moderately bright FLUOR in SST. TG 32.3U</v>
      </c>
      <c r="B54" s="1" t="str">
        <f ca="1">'Input Sheet'!K52</f>
        <v/>
      </c>
      <c r="C54" s="7" t="str">
        <f ca="1">'Input Sheet'!L52</f>
        <v/>
      </c>
      <c r="D54" s="11">
        <f>'Input Sheet'!B52</f>
        <v>2095</v>
      </c>
      <c r="E54" s="8">
        <f>'Input Sheet'!H52</f>
        <v>32.299999999999997</v>
      </c>
      <c r="F54" s="61">
        <f>'Input Sheet'!C52/100</f>
        <v>0.4</v>
      </c>
      <c r="G54" s="61">
        <f>'Input Sheet'!F52/100</f>
        <v>1</v>
      </c>
      <c r="H54" s="2">
        <f t="shared" si="2"/>
        <v>5</v>
      </c>
      <c r="I54" s="2">
        <f t="shared" si="6"/>
        <v>5</v>
      </c>
      <c r="J54" s="60">
        <f t="shared" si="3"/>
        <v>2</v>
      </c>
      <c r="K54" s="2">
        <f t="shared" si="0"/>
        <v>0</v>
      </c>
      <c r="L54" s="2">
        <f t="shared" si="4"/>
        <v>0</v>
      </c>
      <c r="M54" s="2" t="str">
        <f>'Input Sheet'!E52</f>
        <v>F</v>
      </c>
      <c r="N54" s="2">
        <f t="shared" si="5"/>
        <v>2</v>
      </c>
      <c r="P54">
        <f t="shared" si="8"/>
        <v>0</v>
      </c>
      <c r="Q54">
        <f t="shared" si="8"/>
        <v>5</v>
      </c>
      <c r="R54">
        <f t="shared" si="8"/>
        <v>0</v>
      </c>
      <c r="S54">
        <f t="shared" si="8"/>
        <v>0</v>
      </c>
      <c r="T54">
        <f t="shared" si="8"/>
        <v>0</v>
      </c>
    </row>
    <row r="55" spans="1:20" ht="16.5" x14ac:dyDescent="0.25">
      <c r="A55" s="10" t="str">
        <f>'Long Sample Name'!A51</f>
        <v>Sample 2100m: 60% Siltstone, 40% fine Sandstone, 100% moderately bright FLUOR in SST. TG 33.7U</v>
      </c>
      <c r="B55" s="1" t="str">
        <f ca="1">'Input Sheet'!K53</f>
        <v/>
      </c>
      <c r="C55" s="7" t="str">
        <f ca="1">'Input Sheet'!L53</f>
        <v/>
      </c>
      <c r="D55" s="11">
        <f>'Input Sheet'!B53</f>
        <v>2100</v>
      </c>
      <c r="E55" s="8">
        <f>'Input Sheet'!H53</f>
        <v>33.700000000000003</v>
      </c>
      <c r="F55" s="61">
        <f>'Input Sheet'!C53/100</f>
        <v>0.4</v>
      </c>
      <c r="G55" s="61">
        <f>'Input Sheet'!F53/100</f>
        <v>1</v>
      </c>
      <c r="H55" s="2">
        <f t="shared" si="2"/>
        <v>5</v>
      </c>
      <c r="I55" s="2">
        <f t="shared" si="6"/>
        <v>5</v>
      </c>
      <c r="J55" s="60">
        <f t="shared" si="3"/>
        <v>2</v>
      </c>
      <c r="K55" s="2">
        <f t="shared" si="0"/>
        <v>0</v>
      </c>
      <c r="L55" s="2">
        <f t="shared" si="4"/>
        <v>0</v>
      </c>
      <c r="M55" s="2" t="str">
        <f>'Input Sheet'!E53</f>
        <v>F</v>
      </c>
      <c r="N55" s="2">
        <f t="shared" si="5"/>
        <v>2</v>
      </c>
      <c r="P55">
        <f t="shared" si="8"/>
        <v>0</v>
      </c>
      <c r="Q55">
        <f t="shared" si="8"/>
        <v>5</v>
      </c>
      <c r="R55">
        <f t="shared" si="8"/>
        <v>0</v>
      </c>
      <c r="S55">
        <f t="shared" si="8"/>
        <v>0</v>
      </c>
      <c r="T55">
        <f t="shared" si="8"/>
        <v>0</v>
      </c>
    </row>
    <row r="56" spans="1:20" ht="16.5" x14ac:dyDescent="0.25">
      <c r="A56" s="10" t="str">
        <f>'Long Sample Name'!A52</f>
        <v>Sample 2105m: 55% Siltstone, 45% fine Sandstone, 100% moderately bright FLUOR in SST. TG 36.5U</v>
      </c>
      <c r="B56" s="1" t="str">
        <f ca="1">'Input Sheet'!K54</f>
        <v/>
      </c>
      <c r="C56" s="7" t="str">
        <f ca="1">'Input Sheet'!L54</f>
        <v/>
      </c>
      <c r="D56" s="11">
        <f>'Input Sheet'!B54</f>
        <v>2105</v>
      </c>
      <c r="E56" s="8">
        <f>'Input Sheet'!H54</f>
        <v>36.5</v>
      </c>
      <c r="F56" s="61">
        <f>'Input Sheet'!C54/100</f>
        <v>0.45</v>
      </c>
      <c r="G56" s="61">
        <f>'Input Sheet'!F54/100</f>
        <v>1</v>
      </c>
      <c r="H56" s="2">
        <f t="shared" si="2"/>
        <v>5</v>
      </c>
      <c r="I56" s="2">
        <f t="shared" si="6"/>
        <v>5</v>
      </c>
      <c r="J56" s="60">
        <f t="shared" si="3"/>
        <v>2.25</v>
      </c>
      <c r="K56" s="2">
        <f t="shared" si="0"/>
        <v>0</v>
      </c>
      <c r="L56" s="2">
        <f t="shared" si="4"/>
        <v>0</v>
      </c>
      <c r="M56" s="2" t="str">
        <f>'Input Sheet'!E54</f>
        <v>F</v>
      </c>
      <c r="N56" s="2">
        <f t="shared" si="5"/>
        <v>2</v>
      </c>
      <c r="P56">
        <f t="shared" si="8"/>
        <v>0</v>
      </c>
      <c r="Q56">
        <f t="shared" si="8"/>
        <v>5</v>
      </c>
      <c r="R56">
        <f t="shared" si="8"/>
        <v>0</v>
      </c>
      <c r="S56">
        <f t="shared" si="8"/>
        <v>0</v>
      </c>
      <c r="T56">
        <f t="shared" si="8"/>
        <v>0</v>
      </c>
    </row>
    <row r="57" spans="1:20" ht="16.5" x14ac:dyDescent="0.25">
      <c r="A57" s="10" t="str">
        <f>'Long Sample Name'!A53</f>
        <v>Sample 2110m: 55% Siltstone, 45% fine Sandstone, 100% moderately bright FLUOR in SST. TG 41.3U</v>
      </c>
      <c r="B57" s="1" t="str">
        <f ca="1">'Input Sheet'!K55</f>
        <v/>
      </c>
      <c r="C57" s="7" t="str">
        <f ca="1">'Input Sheet'!L55</f>
        <v/>
      </c>
      <c r="D57" s="11">
        <f>'Input Sheet'!B55</f>
        <v>2110</v>
      </c>
      <c r="E57" s="8">
        <f>'Input Sheet'!H55</f>
        <v>41.3</v>
      </c>
      <c r="F57" s="61">
        <f>'Input Sheet'!C55/100</f>
        <v>0.45</v>
      </c>
      <c r="G57" s="61">
        <f>'Input Sheet'!F55/100</f>
        <v>1</v>
      </c>
      <c r="H57" s="2">
        <f t="shared" si="2"/>
        <v>5</v>
      </c>
      <c r="I57" s="2">
        <f t="shared" si="6"/>
        <v>5</v>
      </c>
      <c r="J57" s="60">
        <f t="shared" si="3"/>
        <v>2.25</v>
      </c>
      <c r="K57" s="2">
        <f t="shared" si="0"/>
        <v>0</v>
      </c>
      <c r="L57" s="2">
        <f t="shared" si="4"/>
        <v>0</v>
      </c>
      <c r="M57" s="2" t="str">
        <f>'Input Sheet'!E55</f>
        <v>F</v>
      </c>
      <c r="N57" s="2">
        <f t="shared" si="5"/>
        <v>2</v>
      </c>
      <c r="P57">
        <f t="shared" si="8"/>
        <v>0</v>
      </c>
      <c r="Q57">
        <f t="shared" si="8"/>
        <v>5</v>
      </c>
      <c r="R57">
        <f t="shared" si="8"/>
        <v>0</v>
      </c>
      <c r="S57">
        <f t="shared" si="8"/>
        <v>0</v>
      </c>
      <c r="T57">
        <f t="shared" si="8"/>
        <v>0</v>
      </c>
    </row>
    <row r="58" spans="1:20" ht="16.5" x14ac:dyDescent="0.25">
      <c r="A58" s="10" t="str">
        <f>'Long Sample Name'!A54</f>
        <v>Sample 2115m: 50% Siltstone, 50% fine Sandstone, 100% moderately bright FLUOR in SST. TG 36.2U</v>
      </c>
      <c r="B58" s="1" t="str">
        <f ca="1">'Input Sheet'!K56</f>
        <v/>
      </c>
      <c r="C58" s="7" t="str">
        <f ca="1">'Input Sheet'!L56</f>
        <v/>
      </c>
      <c r="D58" s="11">
        <f>'Input Sheet'!B56</f>
        <v>2115</v>
      </c>
      <c r="E58" s="8">
        <f>'Input Sheet'!H56</f>
        <v>36.200000000000003</v>
      </c>
      <c r="F58" s="61">
        <f>'Input Sheet'!C56/100</f>
        <v>0.5</v>
      </c>
      <c r="G58" s="61">
        <f>'Input Sheet'!F56/100</f>
        <v>1</v>
      </c>
      <c r="H58" s="2">
        <f t="shared" ref="H58:H121" si="9">IF(D58&lt;&gt;"",D58-D57,"")</f>
        <v>5</v>
      </c>
      <c r="I58" s="2">
        <f t="shared" ref="I58:I121" si="10">IF(AND(F58&gt;=$F$2,G58&gt;=$G$2),H58,0)</f>
        <v>5</v>
      </c>
      <c r="J58" s="60">
        <f t="shared" si="3"/>
        <v>2.5</v>
      </c>
      <c r="K58" s="2">
        <f t="shared" ref="K58:K121" si="11">IF(AND(F58&gt;=$F$3,G58&gt;=$G$3),H58,0)</f>
        <v>5</v>
      </c>
      <c r="L58" s="2">
        <f t="shared" ref="L58:L121" si="12">IF(K58&gt;0,K58*F58,0)</f>
        <v>2.5</v>
      </c>
      <c r="M58" s="2" t="str">
        <f>'Input Sheet'!E56</f>
        <v>F</v>
      </c>
      <c r="N58" s="2">
        <f t="shared" ref="N58:N121" si="13">IF(M58="VF",1,IF(M58="F",2,IF(M58="M",3,IF(M58="C",4,IF(M58="VC",5,0)))))</f>
        <v>2</v>
      </c>
      <c r="P58">
        <f t="shared" si="8"/>
        <v>0</v>
      </c>
      <c r="Q58">
        <f t="shared" si="8"/>
        <v>5</v>
      </c>
      <c r="R58">
        <f t="shared" si="8"/>
        <v>0</v>
      </c>
      <c r="S58">
        <f t="shared" si="8"/>
        <v>0</v>
      </c>
      <c r="T58">
        <f t="shared" si="8"/>
        <v>0</v>
      </c>
    </row>
    <row r="59" spans="1:20" ht="16.5" x14ac:dyDescent="0.25">
      <c r="A59" s="10" t="str">
        <f>'Long Sample Name'!A55</f>
        <v>Sample 2120m: 50% Siltstone, 50% fine Sandstone, 100% moderately bright FLUOR in SST. TG 33.5U</v>
      </c>
      <c r="B59" s="1" t="str">
        <f ca="1">'Input Sheet'!K57</f>
        <v/>
      </c>
      <c r="C59" s="7" t="str">
        <f ca="1">'Input Sheet'!L57</f>
        <v/>
      </c>
      <c r="D59" s="11">
        <f>'Input Sheet'!B57</f>
        <v>2120</v>
      </c>
      <c r="E59" s="8">
        <f>'Input Sheet'!H57</f>
        <v>33.5</v>
      </c>
      <c r="F59" s="61">
        <f>'Input Sheet'!C57/100</f>
        <v>0.5</v>
      </c>
      <c r="G59" s="61">
        <f>'Input Sheet'!F57/100</f>
        <v>1</v>
      </c>
      <c r="H59" s="2">
        <f t="shared" si="9"/>
        <v>5</v>
      </c>
      <c r="I59" s="2">
        <f t="shared" si="10"/>
        <v>5</v>
      </c>
      <c r="J59" s="60">
        <f t="shared" si="3"/>
        <v>2.5</v>
      </c>
      <c r="K59" s="2">
        <f t="shared" si="11"/>
        <v>5</v>
      </c>
      <c r="L59" s="2">
        <f t="shared" si="12"/>
        <v>2.5</v>
      </c>
      <c r="M59" s="2" t="str">
        <f>'Input Sheet'!E57</f>
        <v>F</v>
      </c>
      <c r="N59" s="2">
        <f t="shared" si="13"/>
        <v>2</v>
      </c>
      <c r="P59">
        <f t="shared" ref="P59:T109" si="14">IF($M59=P$1,$H59,0)</f>
        <v>0</v>
      </c>
      <c r="Q59">
        <f t="shared" si="14"/>
        <v>5</v>
      </c>
      <c r="R59">
        <f t="shared" si="14"/>
        <v>0</v>
      </c>
      <c r="S59">
        <f t="shared" si="14"/>
        <v>0</v>
      </c>
      <c r="T59">
        <f t="shared" si="14"/>
        <v>0</v>
      </c>
    </row>
    <row r="60" spans="1:20" ht="16.5" x14ac:dyDescent="0.25">
      <c r="A60" s="10" t="str">
        <f>'Long Sample Name'!A56</f>
        <v>Sample 2125m: 55% Siltstone, 45% fine Sandstone, 100% moderately bright FLUOR in SST. TG 38.8U</v>
      </c>
      <c r="B60" s="1" t="str">
        <f ca="1">'Input Sheet'!K58</f>
        <v/>
      </c>
      <c r="C60" s="7" t="str">
        <f ca="1">'Input Sheet'!L58</f>
        <v/>
      </c>
      <c r="D60" s="11">
        <f>'Input Sheet'!B58</f>
        <v>2125</v>
      </c>
      <c r="E60" s="8">
        <f>'Input Sheet'!H58</f>
        <v>38.799999999999997</v>
      </c>
      <c r="F60" s="61">
        <f>'Input Sheet'!C58/100</f>
        <v>0.45</v>
      </c>
      <c r="G60" s="61">
        <f>'Input Sheet'!F58/100</f>
        <v>1</v>
      </c>
      <c r="H60" s="2">
        <f t="shared" si="9"/>
        <v>5</v>
      </c>
      <c r="I60" s="2">
        <f t="shared" si="10"/>
        <v>5</v>
      </c>
      <c r="J60" s="60">
        <f t="shared" si="3"/>
        <v>2.25</v>
      </c>
      <c r="K60" s="2">
        <f t="shared" si="11"/>
        <v>0</v>
      </c>
      <c r="L60" s="2">
        <f t="shared" si="12"/>
        <v>0</v>
      </c>
      <c r="M60" s="2" t="str">
        <f>'Input Sheet'!E58</f>
        <v>F</v>
      </c>
      <c r="N60" s="2">
        <f t="shared" si="13"/>
        <v>2</v>
      </c>
      <c r="P60">
        <f t="shared" si="14"/>
        <v>0</v>
      </c>
      <c r="Q60">
        <f t="shared" si="14"/>
        <v>5</v>
      </c>
      <c r="R60">
        <f t="shared" si="14"/>
        <v>0</v>
      </c>
      <c r="S60">
        <f t="shared" si="14"/>
        <v>0</v>
      </c>
      <c r="T60">
        <f t="shared" si="14"/>
        <v>0</v>
      </c>
    </row>
    <row r="61" spans="1:20" ht="16.5" x14ac:dyDescent="0.25">
      <c r="A61" s="10" t="str">
        <f>'Long Sample Name'!A57</f>
        <v>Sample 2130m: 55% Siltstone, 45% fine Sandstone, 100% moderately bright FLUOR in SST. TG 24.9U</v>
      </c>
      <c r="B61" s="1" t="str">
        <f ca="1">'Input Sheet'!K59</f>
        <v/>
      </c>
      <c r="C61" s="7" t="str">
        <f ca="1">'Input Sheet'!L59</f>
        <v/>
      </c>
      <c r="D61" s="11">
        <f>'Input Sheet'!B59</f>
        <v>2130</v>
      </c>
      <c r="E61" s="8">
        <f>'Input Sheet'!H59</f>
        <v>24.9</v>
      </c>
      <c r="F61" s="61">
        <f>'Input Sheet'!C59/100</f>
        <v>0.45</v>
      </c>
      <c r="G61" s="61">
        <f>'Input Sheet'!F59/100</f>
        <v>1</v>
      </c>
      <c r="H61" s="2">
        <f t="shared" si="9"/>
        <v>5</v>
      </c>
      <c r="I61" s="2">
        <f t="shared" si="10"/>
        <v>5</v>
      </c>
      <c r="J61" s="60">
        <f t="shared" si="3"/>
        <v>2.25</v>
      </c>
      <c r="K61" s="2">
        <f t="shared" si="11"/>
        <v>0</v>
      </c>
      <c r="L61" s="2">
        <f t="shared" si="12"/>
        <v>0</v>
      </c>
      <c r="M61" s="2" t="str">
        <f>'Input Sheet'!E59</f>
        <v>F</v>
      </c>
      <c r="N61" s="2">
        <f t="shared" si="13"/>
        <v>2</v>
      </c>
      <c r="P61">
        <f t="shared" si="14"/>
        <v>0</v>
      </c>
      <c r="Q61">
        <f t="shared" si="14"/>
        <v>5</v>
      </c>
      <c r="R61">
        <f t="shared" si="14"/>
        <v>0</v>
      </c>
      <c r="S61">
        <f t="shared" si="14"/>
        <v>0</v>
      </c>
      <c r="T61">
        <f t="shared" si="14"/>
        <v>0</v>
      </c>
    </row>
    <row r="62" spans="1:20" ht="16.5" x14ac:dyDescent="0.25">
      <c r="A62" s="10" t="str">
        <f>'Long Sample Name'!A58</f>
        <v>Sample 2135m: 55% Siltstone, 45% fine Sandstone, 100% moderately bright  to  bright FLUOR in SST. TG 43.2U</v>
      </c>
      <c r="B62" s="1" t="str">
        <f ca="1">'Input Sheet'!K60</f>
        <v/>
      </c>
      <c r="C62" s="7" t="str">
        <f ca="1">'Input Sheet'!L60</f>
        <v/>
      </c>
      <c r="D62" s="11">
        <f>'Input Sheet'!B60</f>
        <v>2135</v>
      </c>
      <c r="E62" s="8">
        <f>'Input Sheet'!H60</f>
        <v>43.2</v>
      </c>
      <c r="F62" s="61">
        <f>'Input Sheet'!C60/100</f>
        <v>0.45</v>
      </c>
      <c r="G62" s="61">
        <f>'Input Sheet'!F60/100</f>
        <v>1</v>
      </c>
      <c r="H62" s="2">
        <f t="shared" si="9"/>
        <v>5</v>
      </c>
      <c r="I62" s="2">
        <f t="shared" si="10"/>
        <v>5</v>
      </c>
      <c r="J62" s="60">
        <f t="shared" si="3"/>
        <v>2.25</v>
      </c>
      <c r="K62" s="2">
        <f t="shared" si="11"/>
        <v>0</v>
      </c>
      <c r="L62" s="2">
        <f t="shared" si="12"/>
        <v>0</v>
      </c>
      <c r="M62" s="2" t="str">
        <f>'Input Sheet'!E60</f>
        <v>F</v>
      </c>
      <c r="N62" s="2">
        <f t="shared" si="13"/>
        <v>2</v>
      </c>
      <c r="P62">
        <f t="shared" si="14"/>
        <v>0</v>
      </c>
      <c r="Q62">
        <f t="shared" si="14"/>
        <v>5</v>
      </c>
      <c r="R62">
        <f t="shared" si="14"/>
        <v>0</v>
      </c>
      <c r="S62">
        <f t="shared" si="14"/>
        <v>0</v>
      </c>
      <c r="T62">
        <f t="shared" si="14"/>
        <v>0</v>
      </c>
    </row>
    <row r="63" spans="1:20" ht="16.5" x14ac:dyDescent="0.25">
      <c r="A63" s="10" t="str">
        <f>'Long Sample Name'!A59</f>
        <v>Sample 2140m: 55% Siltstone, 45% fine Sandstone, 100% moderately bright  to  bright FLUOR in SST. TG 29U</v>
      </c>
      <c r="B63" s="1" t="str">
        <f ca="1">'Input Sheet'!K61</f>
        <v/>
      </c>
      <c r="C63" s="7" t="str">
        <f ca="1">'Input Sheet'!L61</f>
        <v/>
      </c>
      <c r="D63" s="11">
        <f>'Input Sheet'!B61</f>
        <v>2140</v>
      </c>
      <c r="E63" s="8">
        <f>'Input Sheet'!H61</f>
        <v>29</v>
      </c>
      <c r="F63" s="61">
        <f>'Input Sheet'!C61/100</f>
        <v>0.45</v>
      </c>
      <c r="G63" s="61">
        <f>'Input Sheet'!F61/100</f>
        <v>1</v>
      </c>
      <c r="H63" s="2">
        <f t="shared" si="9"/>
        <v>5</v>
      </c>
      <c r="I63" s="2">
        <f t="shared" si="10"/>
        <v>5</v>
      </c>
      <c r="J63" s="60">
        <f t="shared" si="3"/>
        <v>2.25</v>
      </c>
      <c r="K63" s="2">
        <f t="shared" si="11"/>
        <v>0</v>
      </c>
      <c r="L63" s="2">
        <f t="shared" si="12"/>
        <v>0</v>
      </c>
      <c r="M63" s="2" t="str">
        <f>'Input Sheet'!E61</f>
        <v>F</v>
      </c>
      <c r="N63" s="2">
        <f t="shared" si="13"/>
        <v>2</v>
      </c>
      <c r="P63">
        <f t="shared" si="14"/>
        <v>0</v>
      </c>
      <c r="Q63">
        <f t="shared" si="14"/>
        <v>5</v>
      </c>
      <c r="R63">
        <f t="shared" si="14"/>
        <v>0</v>
      </c>
      <c r="S63">
        <f t="shared" si="14"/>
        <v>0</v>
      </c>
      <c r="T63">
        <f t="shared" si="14"/>
        <v>0</v>
      </c>
    </row>
    <row r="64" spans="1:20" ht="16.5" x14ac:dyDescent="0.25">
      <c r="A64" s="10" t="str">
        <f>'Long Sample Name'!A60</f>
        <v>Sample 2145m: 60% Siltstone, 40% fine Sandstone, 100% moderately bright FLUOR in SST. TG 39.8U</v>
      </c>
      <c r="B64" s="1" t="str">
        <f ca="1">'Input Sheet'!K62</f>
        <v/>
      </c>
      <c r="C64" s="7" t="str">
        <f ca="1">'Input Sheet'!L62</f>
        <v/>
      </c>
      <c r="D64" s="11">
        <f>'Input Sheet'!B62</f>
        <v>2145</v>
      </c>
      <c r="E64" s="8">
        <f>'Input Sheet'!H62</f>
        <v>39.799999999999997</v>
      </c>
      <c r="F64" s="61">
        <f>'Input Sheet'!C62/100</f>
        <v>0.4</v>
      </c>
      <c r="G64" s="61">
        <f>'Input Sheet'!F62/100</f>
        <v>1</v>
      </c>
      <c r="H64" s="2">
        <f t="shared" si="9"/>
        <v>5</v>
      </c>
      <c r="I64" s="2">
        <f t="shared" si="10"/>
        <v>5</v>
      </c>
      <c r="J64" s="60">
        <f t="shared" si="3"/>
        <v>2</v>
      </c>
      <c r="K64" s="2">
        <f t="shared" si="11"/>
        <v>0</v>
      </c>
      <c r="L64" s="2">
        <f t="shared" si="12"/>
        <v>0</v>
      </c>
      <c r="M64" s="2" t="str">
        <f>'Input Sheet'!E62</f>
        <v>F</v>
      </c>
      <c r="N64" s="2">
        <f t="shared" si="13"/>
        <v>2</v>
      </c>
      <c r="P64">
        <f t="shared" si="14"/>
        <v>0</v>
      </c>
      <c r="Q64">
        <f t="shared" si="14"/>
        <v>5</v>
      </c>
      <c r="R64">
        <f t="shared" si="14"/>
        <v>0</v>
      </c>
      <c r="S64">
        <f t="shared" si="14"/>
        <v>0</v>
      </c>
      <c r="T64">
        <f t="shared" si="14"/>
        <v>0</v>
      </c>
    </row>
    <row r="65" spans="1:20" ht="16.5" x14ac:dyDescent="0.25">
      <c r="A65" s="10" t="str">
        <f>'Long Sample Name'!A61</f>
        <v>Sample 2150m: 60% Siltstone, 40% fine Sandstone, 100% moderately bright FLUOR in SST. TG 26.9U</v>
      </c>
      <c r="B65" s="1" t="str">
        <f ca="1">'Input Sheet'!K63</f>
        <v/>
      </c>
      <c r="C65" s="7" t="str">
        <f ca="1">'Input Sheet'!L63</f>
        <v/>
      </c>
      <c r="D65" s="11">
        <f>'Input Sheet'!B63</f>
        <v>2150</v>
      </c>
      <c r="E65" s="8">
        <f>'Input Sheet'!H63</f>
        <v>26.9</v>
      </c>
      <c r="F65" s="61">
        <f>'Input Sheet'!C63/100</f>
        <v>0.4</v>
      </c>
      <c r="G65" s="61">
        <f>'Input Sheet'!F63/100</f>
        <v>1</v>
      </c>
      <c r="H65" s="2">
        <f t="shared" si="9"/>
        <v>5</v>
      </c>
      <c r="I65" s="2">
        <f t="shared" si="10"/>
        <v>5</v>
      </c>
      <c r="J65" s="60">
        <f t="shared" si="3"/>
        <v>2</v>
      </c>
      <c r="K65" s="2">
        <f t="shared" si="11"/>
        <v>0</v>
      </c>
      <c r="L65" s="2">
        <f t="shared" si="12"/>
        <v>0</v>
      </c>
      <c r="M65" s="2" t="str">
        <f>'Input Sheet'!E63</f>
        <v>F</v>
      </c>
      <c r="N65" s="2">
        <f t="shared" si="13"/>
        <v>2</v>
      </c>
      <c r="P65">
        <f t="shared" si="14"/>
        <v>0</v>
      </c>
      <c r="Q65">
        <f t="shared" si="14"/>
        <v>5</v>
      </c>
      <c r="R65">
        <f t="shared" si="14"/>
        <v>0</v>
      </c>
      <c r="S65">
        <f t="shared" si="14"/>
        <v>0</v>
      </c>
      <c r="T65">
        <f t="shared" si="14"/>
        <v>0</v>
      </c>
    </row>
    <row r="66" spans="1:20" ht="16.5" x14ac:dyDescent="0.25">
      <c r="A66" s="10" t="str">
        <f>'Long Sample Name'!A62</f>
        <v>Sample 2155m: 50% Siltstone, 50% fine Sandstone, 100% moderately bright  to  bright FLUOR in SST. TG 46.5U</v>
      </c>
      <c r="B66" s="1" t="str">
        <f ca="1">'Input Sheet'!K64</f>
        <v/>
      </c>
      <c r="C66" s="7" t="str">
        <f ca="1">'Input Sheet'!L64</f>
        <v/>
      </c>
      <c r="D66" s="11">
        <f>'Input Sheet'!B64</f>
        <v>2155</v>
      </c>
      <c r="E66" s="8">
        <f>'Input Sheet'!H64</f>
        <v>46.5</v>
      </c>
      <c r="F66" s="61">
        <f>'Input Sheet'!C64/100</f>
        <v>0.5</v>
      </c>
      <c r="G66" s="61">
        <f>'Input Sheet'!F64/100</f>
        <v>1</v>
      </c>
      <c r="H66" s="2">
        <f t="shared" si="9"/>
        <v>5</v>
      </c>
      <c r="I66" s="2">
        <f t="shared" si="10"/>
        <v>5</v>
      </c>
      <c r="J66" s="60">
        <f t="shared" si="3"/>
        <v>2.5</v>
      </c>
      <c r="K66" s="2">
        <f t="shared" si="11"/>
        <v>5</v>
      </c>
      <c r="L66" s="2">
        <f t="shared" si="12"/>
        <v>2.5</v>
      </c>
      <c r="M66" s="2" t="str">
        <f>'Input Sheet'!E64</f>
        <v>F</v>
      </c>
      <c r="N66" s="2">
        <f t="shared" si="13"/>
        <v>2</v>
      </c>
      <c r="P66">
        <f t="shared" si="14"/>
        <v>0</v>
      </c>
      <c r="Q66">
        <f t="shared" si="14"/>
        <v>5</v>
      </c>
      <c r="R66">
        <f t="shared" si="14"/>
        <v>0</v>
      </c>
      <c r="S66">
        <f t="shared" si="14"/>
        <v>0</v>
      </c>
      <c r="T66">
        <f t="shared" si="14"/>
        <v>0</v>
      </c>
    </row>
    <row r="67" spans="1:20" ht="16.5" x14ac:dyDescent="0.25">
      <c r="A67" s="10" t="str">
        <f>'Long Sample Name'!A63</f>
        <v>Sample 2160m: 50% Siltstone, 50% fine Sandstone, 100% moderately bright  to  bright FLUOR in SST. TG 48.4U</v>
      </c>
      <c r="B67" s="1" t="str">
        <f ca="1">'Input Sheet'!K65</f>
        <v/>
      </c>
      <c r="C67" s="7" t="str">
        <f ca="1">'Input Sheet'!L65</f>
        <v/>
      </c>
      <c r="D67" s="11">
        <f>'Input Sheet'!B65</f>
        <v>2160</v>
      </c>
      <c r="E67" s="8">
        <f>'Input Sheet'!H65</f>
        <v>48.4</v>
      </c>
      <c r="F67" s="61">
        <f>'Input Sheet'!C65/100</f>
        <v>0.5</v>
      </c>
      <c r="G67" s="61">
        <f>'Input Sheet'!F65/100</f>
        <v>1</v>
      </c>
      <c r="H67" s="2">
        <f t="shared" si="9"/>
        <v>5</v>
      </c>
      <c r="I67" s="2">
        <f t="shared" si="10"/>
        <v>5</v>
      </c>
      <c r="J67" s="60">
        <f t="shared" si="3"/>
        <v>2.5</v>
      </c>
      <c r="K67" s="2">
        <f t="shared" si="11"/>
        <v>5</v>
      </c>
      <c r="L67" s="2">
        <f t="shared" si="12"/>
        <v>2.5</v>
      </c>
      <c r="M67" s="2" t="str">
        <f>'Input Sheet'!E65</f>
        <v>F</v>
      </c>
      <c r="N67" s="2">
        <f t="shared" si="13"/>
        <v>2</v>
      </c>
      <c r="P67">
        <f t="shared" si="14"/>
        <v>0</v>
      </c>
      <c r="Q67">
        <f t="shared" si="14"/>
        <v>5</v>
      </c>
      <c r="R67">
        <f t="shared" si="14"/>
        <v>0</v>
      </c>
      <c r="S67">
        <f t="shared" si="14"/>
        <v>0</v>
      </c>
      <c r="T67">
        <f t="shared" si="14"/>
        <v>0</v>
      </c>
    </row>
    <row r="68" spans="1:20" ht="16.5" x14ac:dyDescent="0.25">
      <c r="A68" s="10" t="str">
        <f>'Long Sample Name'!A64</f>
        <v>Sample 2165m: 55% Siltstone, 45% fine Sandstone, 100% moderately bright FLUOR in SST. TG 44.9U</v>
      </c>
      <c r="B68" s="1" t="str">
        <f ca="1">'Input Sheet'!K66</f>
        <v/>
      </c>
      <c r="C68" s="7" t="str">
        <f ca="1">'Input Sheet'!L66</f>
        <v/>
      </c>
      <c r="D68" s="11">
        <f>'Input Sheet'!B66</f>
        <v>2165</v>
      </c>
      <c r="E68" s="8">
        <f>'Input Sheet'!H66</f>
        <v>44.9</v>
      </c>
      <c r="F68" s="61">
        <f>'Input Sheet'!C66/100</f>
        <v>0.45</v>
      </c>
      <c r="G68" s="61">
        <f>'Input Sheet'!F66/100</f>
        <v>1</v>
      </c>
      <c r="H68" s="2">
        <f t="shared" si="9"/>
        <v>5</v>
      </c>
      <c r="I68" s="2">
        <f t="shared" si="10"/>
        <v>5</v>
      </c>
      <c r="J68" s="60">
        <f t="shared" si="3"/>
        <v>2.25</v>
      </c>
      <c r="K68" s="2">
        <f t="shared" si="11"/>
        <v>0</v>
      </c>
      <c r="L68" s="2">
        <f t="shared" si="12"/>
        <v>0</v>
      </c>
      <c r="M68" s="2" t="str">
        <f>'Input Sheet'!E66</f>
        <v>F</v>
      </c>
      <c r="N68" s="2">
        <f t="shared" si="13"/>
        <v>2</v>
      </c>
      <c r="P68">
        <f t="shared" si="14"/>
        <v>0</v>
      </c>
      <c r="Q68">
        <f t="shared" si="14"/>
        <v>5</v>
      </c>
      <c r="R68">
        <f t="shared" si="14"/>
        <v>0</v>
      </c>
      <c r="S68">
        <f t="shared" si="14"/>
        <v>0</v>
      </c>
      <c r="T68">
        <f t="shared" si="14"/>
        <v>0</v>
      </c>
    </row>
    <row r="69" spans="1:20" ht="16.5" x14ac:dyDescent="0.25">
      <c r="A69" s="10" t="str">
        <f>'Long Sample Name'!A65</f>
        <v>Sample 2170m: 55% Siltstone, 45% fine Sandstone, 100% moderately bright FLUOR in SST. TG 30.7U</v>
      </c>
      <c r="B69" s="1" t="str">
        <f ca="1">'Input Sheet'!K67</f>
        <v/>
      </c>
      <c r="C69" s="7" t="str">
        <f ca="1">'Input Sheet'!L67</f>
        <v/>
      </c>
      <c r="D69" s="11">
        <f>'Input Sheet'!B67</f>
        <v>2170</v>
      </c>
      <c r="E69" s="8">
        <f>'Input Sheet'!H67</f>
        <v>30.7</v>
      </c>
      <c r="F69" s="61">
        <f>'Input Sheet'!C67/100</f>
        <v>0.45</v>
      </c>
      <c r="G69" s="61">
        <f>'Input Sheet'!F67/100</f>
        <v>1</v>
      </c>
      <c r="H69" s="2">
        <f t="shared" si="9"/>
        <v>5</v>
      </c>
      <c r="I69" s="2">
        <f t="shared" si="10"/>
        <v>5</v>
      </c>
      <c r="J69" s="60">
        <f t="shared" si="3"/>
        <v>2.25</v>
      </c>
      <c r="K69" s="2">
        <f t="shared" si="11"/>
        <v>0</v>
      </c>
      <c r="L69" s="2">
        <f t="shared" si="12"/>
        <v>0</v>
      </c>
      <c r="M69" s="2" t="str">
        <f>'Input Sheet'!E67</f>
        <v>F</v>
      </c>
      <c r="N69" s="2">
        <f t="shared" si="13"/>
        <v>2</v>
      </c>
      <c r="P69">
        <f t="shared" si="14"/>
        <v>0</v>
      </c>
      <c r="Q69">
        <f t="shared" si="14"/>
        <v>5</v>
      </c>
      <c r="R69">
        <f t="shared" si="14"/>
        <v>0</v>
      </c>
      <c r="S69">
        <f t="shared" si="14"/>
        <v>0</v>
      </c>
      <c r="T69">
        <f t="shared" si="14"/>
        <v>0</v>
      </c>
    </row>
    <row r="70" spans="1:20" ht="16.5" x14ac:dyDescent="0.25">
      <c r="A70" s="10" t="str">
        <f>'Long Sample Name'!A66</f>
        <v>Sample 2175m: 60% Siltstone, 40% fine Sandstone, 100% moderately bright FLUOR in SST. TG 27.3U</v>
      </c>
      <c r="B70" s="1" t="str">
        <f ca="1">'Input Sheet'!K68</f>
        <v/>
      </c>
      <c r="C70" s="7" t="str">
        <f ca="1">'Input Sheet'!L68</f>
        <v/>
      </c>
      <c r="D70" s="11">
        <f>'Input Sheet'!B68</f>
        <v>2175</v>
      </c>
      <c r="E70" s="8">
        <f>'Input Sheet'!H68</f>
        <v>27.3</v>
      </c>
      <c r="F70" s="61">
        <f>'Input Sheet'!C68/100</f>
        <v>0.4</v>
      </c>
      <c r="G70" s="61">
        <f>'Input Sheet'!F68/100</f>
        <v>1</v>
      </c>
      <c r="H70" s="2">
        <f t="shared" si="9"/>
        <v>5</v>
      </c>
      <c r="I70" s="2">
        <f t="shared" si="10"/>
        <v>5</v>
      </c>
      <c r="J70" s="60">
        <f t="shared" si="3"/>
        <v>2</v>
      </c>
      <c r="K70" s="2">
        <f t="shared" si="11"/>
        <v>0</v>
      </c>
      <c r="L70" s="2">
        <f t="shared" si="12"/>
        <v>0</v>
      </c>
      <c r="M70" s="2" t="str">
        <f>'Input Sheet'!E68</f>
        <v>F</v>
      </c>
      <c r="N70" s="2">
        <f t="shared" si="13"/>
        <v>2</v>
      </c>
      <c r="P70">
        <f t="shared" si="14"/>
        <v>0</v>
      </c>
      <c r="Q70">
        <f t="shared" si="14"/>
        <v>5</v>
      </c>
      <c r="R70">
        <f t="shared" si="14"/>
        <v>0</v>
      </c>
      <c r="S70">
        <f t="shared" si="14"/>
        <v>0</v>
      </c>
      <c r="T70">
        <f t="shared" si="14"/>
        <v>0</v>
      </c>
    </row>
    <row r="71" spans="1:20" ht="16.5" x14ac:dyDescent="0.25">
      <c r="A71" s="10" t="str">
        <f>'Long Sample Name'!A67</f>
        <v>Sample 2180m: 60% Siltstone, 40% fine Sandstone, 100% moderately bright FLUOR in SST. TG 28.8U</v>
      </c>
      <c r="B71" s="1" t="str">
        <f ca="1">'Input Sheet'!K69</f>
        <v/>
      </c>
      <c r="C71" s="7" t="str">
        <f ca="1">'Input Sheet'!L69</f>
        <v/>
      </c>
      <c r="D71" s="11">
        <f>'Input Sheet'!B69</f>
        <v>2180</v>
      </c>
      <c r="E71" s="8">
        <f>'Input Sheet'!H69</f>
        <v>28.8</v>
      </c>
      <c r="F71" s="61">
        <f>'Input Sheet'!C69/100</f>
        <v>0.4</v>
      </c>
      <c r="G71" s="61">
        <f>'Input Sheet'!F69/100</f>
        <v>1</v>
      </c>
      <c r="H71" s="2">
        <f t="shared" si="9"/>
        <v>5</v>
      </c>
      <c r="I71" s="2">
        <f t="shared" si="10"/>
        <v>5</v>
      </c>
      <c r="J71" s="60">
        <f t="shared" ref="J71:J134" si="15">IF(I71&gt;0,I71*F71,0)</f>
        <v>2</v>
      </c>
      <c r="K71" s="2">
        <f t="shared" si="11"/>
        <v>0</v>
      </c>
      <c r="L71" s="2">
        <f t="shared" si="12"/>
        <v>0</v>
      </c>
      <c r="M71" s="2" t="str">
        <f>'Input Sheet'!E69</f>
        <v>F</v>
      </c>
      <c r="N71" s="2">
        <f t="shared" si="13"/>
        <v>2</v>
      </c>
      <c r="P71">
        <f t="shared" si="14"/>
        <v>0</v>
      </c>
      <c r="Q71">
        <f t="shared" si="14"/>
        <v>5</v>
      </c>
      <c r="R71">
        <f t="shared" si="14"/>
        <v>0</v>
      </c>
      <c r="S71">
        <f t="shared" si="14"/>
        <v>0</v>
      </c>
      <c r="T71">
        <f t="shared" si="14"/>
        <v>0</v>
      </c>
    </row>
    <row r="72" spans="1:20" ht="16.5" x14ac:dyDescent="0.25">
      <c r="A72" s="10" t="str">
        <f>'Long Sample Name'!A68</f>
        <v>Sample 2185m: 60% Siltstone, 40% fine Sandstone, 100% moderately bright FLUOR in SST. TG 32.3U</v>
      </c>
      <c r="B72" s="1" t="str">
        <f ca="1">'Input Sheet'!K70</f>
        <v/>
      </c>
      <c r="C72" s="7" t="str">
        <f ca="1">'Input Sheet'!L70</f>
        <v/>
      </c>
      <c r="D72" s="11">
        <f>'Input Sheet'!B70</f>
        <v>2185</v>
      </c>
      <c r="E72" s="8">
        <f>'Input Sheet'!H70</f>
        <v>32.299999999999997</v>
      </c>
      <c r="F72" s="61">
        <f>'Input Sheet'!C70/100</f>
        <v>0.4</v>
      </c>
      <c r="G72" s="61">
        <f>'Input Sheet'!F70/100</f>
        <v>1</v>
      </c>
      <c r="H72" s="2">
        <f t="shared" si="9"/>
        <v>5</v>
      </c>
      <c r="I72" s="2">
        <f t="shared" si="10"/>
        <v>5</v>
      </c>
      <c r="J72" s="60">
        <f t="shared" si="15"/>
        <v>2</v>
      </c>
      <c r="K72" s="2">
        <f t="shared" si="11"/>
        <v>0</v>
      </c>
      <c r="L72" s="2">
        <f t="shared" si="12"/>
        <v>0</v>
      </c>
      <c r="M72" s="2" t="str">
        <f>'Input Sheet'!E70</f>
        <v>F</v>
      </c>
      <c r="N72" s="2">
        <f t="shared" si="13"/>
        <v>2</v>
      </c>
      <c r="P72">
        <f t="shared" si="14"/>
        <v>0</v>
      </c>
      <c r="Q72">
        <f t="shared" si="14"/>
        <v>5</v>
      </c>
      <c r="R72">
        <f t="shared" si="14"/>
        <v>0</v>
      </c>
      <c r="S72">
        <f t="shared" si="14"/>
        <v>0</v>
      </c>
      <c r="T72">
        <f t="shared" si="14"/>
        <v>0</v>
      </c>
    </row>
    <row r="73" spans="1:20" ht="16.5" x14ac:dyDescent="0.25">
      <c r="A73" s="10" t="str">
        <f>'Long Sample Name'!A69</f>
        <v>Sample 2190m: 60% Siltstone, 40% fine Sandstone, 100% moderately bright FLUOR in SST. TG 33.5U</v>
      </c>
      <c r="B73" s="1" t="str">
        <f ca="1">'Input Sheet'!K71</f>
        <v/>
      </c>
      <c r="C73" s="7" t="str">
        <f ca="1">'Input Sheet'!L71</f>
        <v/>
      </c>
      <c r="D73" s="11">
        <f>'Input Sheet'!B71</f>
        <v>2190</v>
      </c>
      <c r="E73" s="8">
        <f>'Input Sheet'!H71</f>
        <v>33.5</v>
      </c>
      <c r="F73" s="61">
        <f>'Input Sheet'!C71/100</f>
        <v>0.4</v>
      </c>
      <c r="G73" s="61">
        <f>'Input Sheet'!F71/100</f>
        <v>1</v>
      </c>
      <c r="H73" s="2">
        <f t="shared" si="9"/>
        <v>5</v>
      </c>
      <c r="I73" s="2">
        <f t="shared" si="10"/>
        <v>5</v>
      </c>
      <c r="J73" s="60">
        <f t="shared" si="15"/>
        <v>2</v>
      </c>
      <c r="K73" s="2">
        <f t="shared" si="11"/>
        <v>0</v>
      </c>
      <c r="L73" s="2">
        <f t="shared" si="12"/>
        <v>0</v>
      </c>
      <c r="M73" s="2" t="str">
        <f>'Input Sheet'!E71</f>
        <v>F</v>
      </c>
      <c r="N73" s="2">
        <f t="shared" si="13"/>
        <v>2</v>
      </c>
      <c r="P73">
        <f t="shared" si="14"/>
        <v>0</v>
      </c>
      <c r="Q73">
        <f t="shared" si="14"/>
        <v>5</v>
      </c>
      <c r="R73">
        <f t="shared" si="14"/>
        <v>0</v>
      </c>
      <c r="S73">
        <f t="shared" si="14"/>
        <v>0</v>
      </c>
      <c r="T73">
        <f t="shared" si="14"/>
        <v>0</v>
      </c>
    </row>
    <row r="74" spans="1:20" ht="16.5" x14ac:dyDescent="0.25">
      <c r="A74" s="10" t="str">
        <f>'Long Sample Name'!A70</f>
        <v>Sample 2195m: 55% Siltstone, 45% fine Sandstone, 100% moderately bright  to  bright FLUOR in SST. TG 48.8U</v>
      </c>
      <c r="B74" s="1" t="str">
        <f ca="1">'Input Sheet'!K72</f>
        <v/>
      </c>
      <c r="C74" s="7" t="str">
        <f ca="1">'Input Sheet'!L72</f>
        <v/>
      </c>
      <c r="D74" s="11">
        <f>'Input Sheet'!B72</f>
        <v>2195</v>
      </c>
      <c r="E74" s="8">
        <f>'Input Sheet'!H72</f>
        <v>48.8</v>
      </c>
      <c r="F74" s="61">
        <f>'Input Sheet'!C72/100</f>
        <v>0.45</v>
      </c>
      <c r="G74" s="61">
        <f>'Input Sheet'!F72/100</f>
        <v>1</v>
      </c>
      <c r="H74" s="2">
        <f t="shared" si="9"/>
        <v>5</v>
      </c>
      <c r="I74" s="2">
        <f t="shared" si="10"/>
        <v>5</v>
      </c>
      <c r="J74" s="60">
        <f t="shared" si="15"/>
        <v>2.25</v>
      </c>
      <c r="K74" s="2">
        <f t="shared" si="11"/>
        <v>0</v>
      </c>
      <c r="L74" s="2">
        <f t="shared" si="12"/>
        <v>0</v>
      </c>
      <c r="M74" s="2" t="str">
        <f>'Input Sheet'!E72</f>
        <v>F</v>
      </c>
      <c r="N74" s="2">
        <f t="shared" si="13"/>
        <v>2</v>
      </c>
      <c r="P74">
        <f t="shared" si="14"/>
        <v>0</v>
      </c>
      <c r="Q74">
        <f t="shared" si="14"/>
        <v>5</v>
      </c>
      <c r="R74">
        <f t="shared" si="14"/>
        <v>0</v>
      </c>
      <c r="S74">
        <f t="shared" si="14"/>
        <v>0</v>
      </c>
      <c r="T74">
        <f t="shared" si="14"/>
        <v>0</v>
      </c>
    </row>
    <row r="75" spans="1:20" ht="16.5" x14ac:dyDescent="0.25">
      <c r="A75" s="10" t="str">
        <f>'Long Sample Name'!A71</f>
        <v>Sample 2200m: 55% Siltstone, 45% fine Sandstone, 100% moderately bright  to  bright FLUOR in SST. TG 49.6U</v>
      </c>
      <c r="B75" s="1" t="str">
        <f ca="1">'Input Sheet'!K73</f>
        <v/>
      </c>
      <c r="C75" s="7" t="str">
        <f ca="1">'Input Sheet'!L73</f>
        <v/>
      </c>
      <c r="D75" s="11">
        <f>'Input Sheet'!B73</f>
        <v>2200</v>
      </c>
      <c r="E75" s="8">
        <f>'Input Sheet'!H73</f>
        <v>49.6</v>
      </c>
      <c r="F75" s="61">
        <f>'Input Sheet'!C73/100</f>
        <v>0.45</v>
      </c>
      <c r="G75" s="61">
        <f>'Input Sheet'!F73/100</f>
        <v>1</v>
      </c>
      <c r="H75" s="2">
        <f t="shared" si="9"/>
        <v>5</v>
      </c>
      <c r="I75" s="2">
        <f t="shared" si="10"/>
        <v>5</v>
      </c>
      <c r="J75" s="60">
        <f t="shared" si="15"/>
        <v>2.25</v>
      </c>
      <c r="K75" s="2">
        <f t="shared" si="11"/>
        <v>0</v>
      </c>
      <c r="L75" s="2">
        <f t="shared" si="12"/>
        <v>0</v>
      </c>
      <c r="M75" s="2" t="str">
        <f>'Input Sheet'!E73</f>
        <v>F</v>
      </c>
      <c r="N75" s="2">
        <f t="shared" si="13"/>
        <v>2</v>
      </c>
      <c r="P75">
        <f t="shared" si="14"/>
        <v>0</v>
      </c>
      <c r="Q75">
        <f t="shared" si="14"/>
        <v>5</v>
      </c>
      <c r="R75">
        <f t="shared" si="14"/>
        <v>0</v>
      </c>
      <c r="S75">
        <f t="shared" si="14"/>
        <v>0</v>
      </c>
      <c r="T75">
        <f t="shared" si="14"/>
        <v>0</v>
      </c>
    </row>
    <row r="76" spans="1:20" ht="16.5" x14ac:dyDescent="0.25">
      <c r="A76" s="10" t="str">
        <f>'Long Sample Name'!A72</f>
        <v>Sample 2205m: 80% Siltstone, 20% fine Sandstone, 100% moderately bright  to  bright FLUOR in SST. TG 22.7U</v>
      </c>
      <c r="B76" s="1" t="str">
        <f ca="1">'Input Sheet'!K74</f>
        <v/>
      </c>
      <c r="C76" s="7" t="str">
        <f ca="1">'Input Sheet'!L74</f>
        <v/>
      </c>
      <c r="D76" s="11">
        <f>'Input Sheet'!B74</f>
        <v>2205</v>
      </c>
      <c r="E76" s="8">
        <f>'Input Sheet'!H74</f>
        <v>22.7</v>
      </c>
      <c r="F76" s="61">
        <f>'Input Sheet'!C74/100</f>
        <v>0.2</v>
      </c>
      <c r="G76" s="61">
        <f>'Input Sheet'!F74/100</f>
        <v>1</v>
      </c>
      <c r="H76" s="2">
        <f t="shared" si="9"/>
        <v>5</v>
      </c>
      <c r="I76" s="2">
        <f t="shared" si="10"/>
        <v>5</v>
      </c>
      <c r="J76" s="60">
        <f t="shared" si="15"/>
        <v>1</v>
      </c>
      <c r="K76" s="2">
        <f t="shared" si="11"/>
        <v>0</v>
      </c>
      <c r="L76" s="2">
        <f t="shared" si="12"/>
        <v>0</v>
      </c>
      <c r="M76" s="2" t="str">
        <f>'Input Sheet'!E74</f>
        <v>F</v>
      </c>
      <c r="N76" s="2">
        <f t="shared" si="13"/>
        <v>2</v>
      </c>
      <c r="P76">
        <f t="shared" si="14"/>
        <v>0</v>
      </c>
      <c r="Q76">
        <f t="shared" si="14"/>
        <v>5</v>
      </c>
      <c r="R76">
        <f t="shared" si="14"/>
        <v>0</v>
      </c>
      <c r="S76">
        <f t="shared" si="14"/>
        <v>0</v>
      </c>
      <c r="T76">
        <f t="shared" si="14"/>
        <v>0</v>
      </c>
    </row>
    <row r="77" spans="1:20" ht="16.5" x14ac:dyDescent="0.25">
      <c r="A77" s="10" t="str">
        <f>'Long Sample Name'!A73</f>
        <v>Sample 2210m: 80% Siltstone, 20% fine Sandstone, 100% moderately bright  to  bright FLUOR in SST. TG 26.2U</v>
      </c>
      <c r="B77" s="1" t="str">
        <f ca="1">'Input Sheet'!K75</f>
        <v/>
      </c>
      <c r="C77" s="7" t="str">
        <f ca="1">'Input Sheet'!L75</f>
        <v/>
      </c>
      <c r="D77" s="11">
        <f>'Input Sheet'!B75</f>
        <v>2210</v>
      </c>
      <c r="E77" s="8">
        <f>'Input Sheet'!H75</f>
        <v>26.2</v>
      </c>
      <c r="F77" s="61">
        <f>'Input Sheet'!C75/100</f>
        <v>0.2</v>
      </c>
      <c r="G77" s="61">
        <f>'Input Sheet'!F75/100</f>
        <v>1</v>
      </c>
      <c r="H77" s="2">
        <f t="shared" si="9"/>
        <v>5</v>
      </c>
      <c r="I77" s="2">
        <f t="shared" si="10"/>
        <v>5</v>
      </c>
      <c r="J77" s="60">
        <f t="shared" si="15"/>
        <v>1</v>
      </c>
      <c r="K77" s="2">
        <f t="shared" si="11"/>
        <v>0</v>
      </c>
      <c r="L77" s="2">
        <f t="shared" si="12"/>
        <v>0</v>
      </c>
      <c r="M77" s="2" t="str">
        <f>'Input Sheet'!E75</f>
        <v>F</v>
      </c>
      <c r="N77" s="2">
        <f t="shared" si="13"/>
        <v>2</v>
      </c>
      <c r="P77">
        <f t="shared" si="14"/>
        <v>0</v>
      </c>
      <c r="Q77">
        <f t="shared" si="14"/>
        <v>5</v>
      </c>
      <c r="R77">
        <f t="shared" si="14"/>
        <v>0</v>
      </c>
      <c r="S77">
        <f t="shared" si="14"/>
        <v>0</v>
      </c>
      <c r="T77">
        <f t="shared" si="14"/>
        <v>0</v>
      </c>
    </row>
    <row r="78" spans="1:20" ht="16.5" x14ac:dyDescent="0.25">
      <c r="A78" s="10" t="str">
        <f>'Long Sample Name'!A74</f>
        <v>Sample 2215m: 75% Siltstone, 25% fine Sandstone, 100% moderately bright  to  bright FLUOR in SST. TG 34.3U</v>
      </c>
      <c r="B78" s="1" t="str">
        <f ca="1">'Input Sheet'!K76</f>
        <v/>
      </c>
      <c r="C78" s="7" t="str">
        <f ca="1">'Input Sheet'!L76</f>
        <v/>
      </c>
      <c r="D78" s="11">
        <f>'Input Sheet'!B76</f>
        <v>2215</v>
      </c>
      <c r="E78" s="8">
        <f>'Input Sheet'!H76</f>
        <v>34.299999999999997</v>
      </c>
      <c r="F78" s="61">
        <f>'Input Sheet'!C76/100</f>
        <v>0.25</v>
      </c>
      <c r="G78" s="61">
        <f>'Input Sheet'!F76/100</f>
        <v>1</v>
      </c>
      <c r="H78" s="2">
        <f t="shared" si="9"/>
        <v>5</v>
      </c>
      <c r="I78" s="2">
        <f t="shared" si="10"/>
        <v>5</v>
      </c>
      <c r="J78" s="60">
        <f t="shared" si="15"/>
        <v>1.25</v>
      </c>
      <c r="K78" s="2">
        <f t="shared" si="11"/>
        <v>0</v>
      </c>
      <c r="L78" s="2">
        <f t="shared" si="12"/>
        <v>0</v>
      </c>
      <c r="M78" s="2" t="str">
        <f>'Input Sheet'!E76</f>
        <v>F</v>
      </c>
      <c r="N78" s="2">
        <f t="shared" si="13"/>
        <v>2</v>
      </c>
      <c r="P78">
        <f t="shared" si="14"/>
        <v>0</v>
      </c>
      <c r="Q78">
        <f t="shared" si="14"/>
        <v>5</v>
      </c>
      <c r="R78">
        <f t="shared" si="14"/>
        <v>0</v>
      </c>
      <c r="S78">
        <f t="shared" si="14"/>
        <v>0</v>
      </c>
      <c r="T78">
        <f t="shared" si="14"/>
        <v>0</v>
      </c>
    </row>
    <row r="79" spans="1:20" ht="16.5" x14ac:dyDescent="0.25">
      <c r="A79" s="10" t="str">
        <f>'Long Sample Name'!A75</f>
        <v>Sample 2220m: 75% Siltstone, 25% fine Sandstone, 100% moderately bright  to  bright FLUOR in SST. TG 43U</v>
      </c>
      <c r="B79" s="1" t="str">
        <f ca="1">'Input Sheet'!K77</f>
        <v/>
      </c>
      <c r="C79" s="7" t="str">
        <f ca="1">'Input Sheet'!L77</f>
        <v/>
      </c>
      <c r="D79" s="11">
        <f>'Input Sheet'!B77</f>
        <v>2220</v>
      </c>
      <c r="E79" s="8">
        <f>'Input Sheet'!H77</f>
        <v>43</v>
      </c>
      <c r="F79" s="61">
        <f>'Input Sheet'!C77/100</f>
        <v>0.25</v>
      </c>
      <c r="G79" s="61">
        <f>'Input Sheet'!F77/100</f>
        <v>1</v>
      </c>
      <c r="H79" s="2">
        <f t="shared" si="9"/>
        <v>5</v>
      </c>
      <c r="I79" s="2">
        <f t="shared" si="10"/>
        <v>5</v>
      </c>
      <c r="J79" s="60">
        <f t="shared" si="15"/>
        <v>1.25</v>
      </c>
      <c r="K79" s="2">
        <f t="shared" si="11"/>
        <v>0</v>
      </c>
      <c r="L79" s="2">
        <f t="shared" si="12"/>
        <v>0</v>
      </c>
      <c r="M79" s="2" t="str">
        <f>'Input Sheet'!E77</f>
        <v>F</v>
      </c>
      <c r="N79" s="2">
        <f t="shared" si="13"/>
        <v>2</v>
      </c>
      <c r="P79">
        <f t="shared" si="14"/>
        <v>0</v>
      </c>
      <c r="Q79">
        <f t="shared" si="14"/>
        <v>5</v>
      </c>
      <c r="R79">
        <f t="shared" si="14"/>
        <v>0</v>
      </c>
      <c r="S79">
        <f t="shared" si="14"/>
        <v>0</v>
      </c>
      <c r="T79">
        <f t="shared" si="14"/>
        <v>0</v>
      </c>
    </row>
    <row r="80" spans="1:20" ht="16.5" x14ac:dyDescent="0.25">
      <c r="A80" s="10" t="str">
        <f>'Long Sample Name'!A76</f>
        <v>Sample 2225m: 65% Siltstone, 35% fine Sandstone, 100% moderately bright  to  bright FLUOR in SST. TG 45.7U</v>
      </c>
      <c r="B80" s="1" t="str">
        <f ca="1">'Input Sheet'!K78</f>
        <v/>
      </c>
      <c r="C80" s="7" t="str">
        <f ca="1">'Input Sheet'!L78</f>
        <v/>
      </c>
      <c r="D80" s="11">
        <f>'Input Sheet'!B78</f>
        <v>2225</v>
      </c>
      <c r="E80" s="8">
        <f>'Input Sheet'!H78</f>
        <v>45.7</v>
      </c>
      <c r="F80" s="61">
        <f>'Input Sheet'!C78/100</f>
        <v>0.35</v>
      </c>
      <c r="G80" s="61">
        <f>'Input Sheet'!F78/100</f>
        <v>1</v>
      </c>
      <c r="H80" s="2">
        <f t="shared" si="9"/>
        <v>5</v>
      </c>
      <c r="I80" s="2">
        <f t="shared" si="10"/>
        <v>5</v>
      </c>
      <c r="J80" s="60">
        <f t="shared" si="15"/>
        <v>1.75</v>
      </c>
      <c r="K80" s="2">
        <f t="shared" si="11"/>
        <v>0</v>
      </c>
      <c r="L80" s="2">
        <f t="shared" si="12"/>
        <v>0</v>
      </c>
      <c r="M80" s="2" t="str">
        <f>'Input Sheet'!E78</f>
        <v>F</v>
      </c>
      <c r="N80" s="2">
        <f t="shared" si="13"/>
        <v>2</v>
      </c>
      <c r="P80">
        <f t="shared" si="14"/>
        <v>0</v>
      </c>
      <c r="Q80">
        <f t="shared" si="14"/>
        <v>5</v>
      </c>
      <c r="R80">
        <f t="shared" si="14"/>
        <v>0</v>
      </c>
      <c r="S80">
        <f t="shared" si="14"/>
        <v>0</v>
      </c>
      <c r="T80">
        <f t="shared" si="14"/>
        <v>0</v>
      </c>
    </row>
    <row r="81" spans="1:20" ht="16.5" x14ac:dyDescent="0.25">
      <c r="A81" s="10" t="str">
        <f>'Long Sample Name'!A77</f>
        <v>Sample 2230m: trace siderite in 65% Siltstone, 35% fine Sandstone, 100% moderately bright  to  bright FLUOR in SST. TG 41.5U</v>
      </c>
      <c r="B81" s="1" t="str">
        <f ca="1">'Input Sheet'!K79</f>
        <v/>
      </c>
      <c r="C81" s="7" t="str">
        <f ca="1">'Input Sheet'!L79</f>
        <v/>
      </c>
      <c r="D81" s="11">
        <f>'Input Sheet'!B79</f>
        <v>2230</v>
      </c>
      <c r="E81" s="8">
        <f>'Input Sheet'!H79</f>
        <v>41.5</v>
      </c>
      <c r="F81" s="61">
        <f>'Input Sheet'!C79/100</f>
        <v>0.35</v>
      </c>
      <c r="G81" s="61">
        <f>'Input Sheet'!F79/100</f>
        <v>1</v>
      </c>
      <c r="H81" s="2">
        <f t="shared" si="9"/>
        <v>5</v>
      </c>
      <c r="I81" s="2">
        <f t="shared" si="10"/>
        <v>5</v>
      </c>
      <c r="J81" s="60">
        <f t="shared" si="15"/>
        <v>1.75</v>
      </c>
      <c r="K81" s="2">
        <f t="shared" si="11"/>
        <v>0</v>
      </c>
      <c r="L81" s="2">
        <f t="shared" si="12"/>
        <v>0</v>
      </c>
      <c r="M81" s="2" t="str">
        <f>'Input Sheet'!E79</f>
        <v>F</v>
      </c>
      <c r="N81" s="2">
        <f t="shared" si="13"/>
        <v>2</v>
      </c>
      <c r="P81">
        <f t="shared" si="14"/>
        <v>0</v>
      </c>
      <c r="Q81">
        <f t="shared" si="14"/>
        <v>5</v>
      </c>
      <c r="R81">
        <f t="shared" si="14"/>
        <v>0</v>
      </c>
      <c r="S81">
        <f t="shared" si="14"/>
        <v>0</v>
      </c>
      <c r="T81">
        <f t="shared" si="14"/>
        <v>0</v>
      </c>
    </row>
    <row r="82" spans="1:20" ht="16.5" x14ac:dyDescent="0.25">
      <c r="A82" s="10" t="str">
        <f>'Long Sample Name'!A78</f>
        <v>Sample 2235m: 65% Siltstone, 35% fine Sandstone, 100% moderately bright  to  bright FLUOR in SST. TG 42.7U</v>
      </c>
      <c r="B82" s="1" t="str">
        <f ca="1">'Input Sheet'!K80</f>
        <v/>
      </c>
      <c r="C82" s="7" t="str">
        <f ca="1">'Input Sheet'!L80</f>
        <v/>
      </c>
      <c r="D82" s="11">
        <f>'Input Sheet'!B80</f>
        <v>2235</v>
      </c>
      <c r="E82" s="8">
        <f>'Input Sheet'!H80</f>
        <v>42.7</v>
      </c>
      <c r="F82" s="61">
        <f>'Input Sheet'!C80/100</f>
        <v>0.35</v>
      </c>
      <c r="G82" s="61">
        <f>'Input Sheet'!F80/100</f>
        <v>1</v>
      </c>
      <c r="H82" s="2">
        <f t="shared" si="9"/>
        <v>5</v>
      </c>
      <c r="I82" s="2">
        <f t="shared" si="10"/>
        <v>5</v>
      </c>
      <c r="J82" s="60">
        <f t="shared" si="15"/>
        <v>1.75</v>
      </c>
      <c r="K82" s="2">
        <f t="shared" si="11"/>
        <v>0</v>
      </c>
      <c r="L82" s="2">
        <f t="shared" si="12"/>
        <v>0</v>
      </c>
      <c r="M82" s="2" t="str">
        <f>'Input Sheet'!E80</f>
        <v>F</v>
      </c>
      <c r="N82" s="2">
        <f t="shared" si="13"/>
        <v>2</v>
      </c>
      <c r="P82">
        <f t="shared" si="14"/>
        <v>0</v>
      </c>
      <c r="Q82">
        <f t="shared" si="14"/>
        <v>5</v>
      </c>
      <c r="R82">
        <f t="shared" si="14"/>
        <v>0</v>
      </c>
      <c r="S82">
        <f t="shared" si="14"/>
        <v>0</v>
      </c>
      <c r="T82">
        <f t="shared" si="14"/>
        <v>0</v>
      </c>
    </row>
    <row r="83" spans="1:20" ht="16.5" x14ac:dyDescent="0.25">
      <c r="A83" s="10" t="str">
        <f>'Long Sample Name'!A79</f>
        <v>Sample 2240m: trace siderite in 65% Siltstone, 35% fine Sandstone, 100% moderately bright  to  bright FLUOR in SST. TG 36.2U</v>
      </c>
      <c r="B83" s="1" t="str">
        <f ca="1">'Input Sheet'!K81</f>
        <v/>
      </c>
      <c r="C83" s="7" t="str">
        <f ca="1">'Input Sheet'!L81</f>
        <v/>
      </c>
      <c r="D83" s="11">
        <f>'Input Sheet'!B81</f>
        <v>2240</v>
      </c>
      <c r="E83" s="8">
        <f>'Input Sheet'!H81</f>
        <v>36.200000000000003</v>
      </c>
      <c r="F83" s="61">
        <f>'Input Sheet'!C81/100</f>
        <v>0.35</v>
      </c>
      <c r="G83" s="61">
        <f>'Input Sheet'!F81/100</f>
        <v>1</v>
      </c>
      <c r="H83" s="2">
        <f t="shared" si="9"/>
        <v>5</v>
      </c>
      <c r="I83" s="2">
        <f t="shared" si="10"/>
        <v>5</v>
      </c>
      <c r="J83" s="60">
        <f t="shared" si="15"/>
        <v>1.75</v>
      </c>
      <c r="K83" s="2">
        <f t="shared" si="11"/>
        <v>0</v>
      </c>
      <c r="L83" s="2">
        <f t="shared" si="12"/>
        <v>0</v>
      </c>
      <c r="M83" s="2" t="str">
        <f>'Input Sheet'!E81</f>
        <v>F</v>
      </c>
      <c r="N83" s="2">
        <f t="shared" si="13"/>
        <v>2</v>
      </c>
      <c r="P83">
        <f t="shared" si="14"/>
        <v>0</v>
      </c>
      <c r="Q83">
        <f t="shared" si="14"/>
        <v>5</v>
      </c>
      <c r="R83">
        <f t="shared" si="14"/>
        <v>0</v>
      </c>
      <c r="S83">
        <f t="shared" si="14"/>
        <v>0</v>
      </c>
      <c r="T83">
        <f t="shared" si="14"/>
        <v>0</v>
      </c>
    </row>
    <row r="84" spans="1:20" ht="16.5" x14ac:dyDescent="0.25">
      <c r="A84" s="10" t="str">
        <f>'Long Sample Name'!A80</f>
        <v>Sample 2245m: 65% Siltstone, 35% fine Sandstone, 100% moderately bright FLUOR in SST. TG 29.4U</v>
      </c>
      <c r="B84" s="1" t="str">
        <f ca="1">'Input Sheet'!K82</f>
        <v/>
      </c>
      <c r="C84" s="7" t="str">
        <f ca="1">'Input Sheet'!L82</f>
        <v/>
      </c>
      <c r="D84" s="11">
        <f>'Input Sheet'!B82</f>
        <v>2245</v>
      </c>
      <c r="E84" s="8">
        <f>'Input Sheet'!H82</f>
        <v>29.4</v>
      </c>
      <c r="F84" s="61">
        <f>'Input Sheet'!C82/100</f>
        <v>0.35</v>
      </c>
      <c r="G84" s="61">
        <f>'Input Sheet'!F82/100</f>
        <v>1</v>
      </c>
      <c r="H84" s="2">
        <f t="shared" si="9"/>
        <v>5</v>
      </c>
      <c r="I84" s="2">
        <f t="shared" si="10"/>
        <v>5</v>
      </c>
      <c r="J84" s="60">
        <f t="shared" si="15"/>
        <v>1.75</v>
      </c>
      <c r="K84" s="2">
        <f t="shared" si="11"/>
        <v>0</v>
      </c>
      <c r="L84" s="2">
        <f t="shared" si="12"/>
        <v>0</v>
      </c>
      <c r="M84" s="2" t="str">
        <f>'Input Sheet'!E82</f>
        <v>F</v>
      </c>
      <c r="N84" s="2">
        <f t="shared" si="13"/>
        <v>2</v>
      </c>
      <c r="P84">
        <f t="shared" si="14"/>
        <v>0</v>
      </c>
      <c r="Q84">
        <f t="shared" si="14"/>
        <v>5</v>
      </c>
      <c r="R84">
        <f t="shared" si="14"/>
        <v>0</v>
      </c>
      <c r="S84">
        <f t="shared" si="14"/>
        <v>0</v>
      </c>
      <c r="T84">
        <f t="shared" si="14"/>
        <v>0</v>
      </c>
    </row>
    <row r="85" spans="1:20" ht="16.5" x14ac:dyDescent="0.25">
      <c r="A85" s="10" t="str">
        <f>'Long Sample Name'!A81</f>
        <v>Sample 2250m: 65% Siltstone, 35% fine Sandstone, 100% moderately bright FLUOR in SST. TG 42.7U</v>
      </c>
      <c r="B85" s="1" t="str">
        <f ca="1">'Input Sheet'!K83</f>
        <v/>
      </c>
      <c r="C85" s="7" t="str">
        <f ca="1">'Input Sheet'!L83</f>
        <v/>
      </c>
      <c r="D85" s="11">
        <f>'Input Sheet'!B83</f>
        <v>2250</v>
      </c>
      <c r="E85" s="8">
        <f>'Input Sheet'!H83</f>
        <v>42.7</v>
      </c>
      <c r="F85" s="61">
        <f>'Input Sheet'!C83/100</f>
        <v>0.35</v>
      </c>
      <c r="G85" s="61">
        <f>'Input Sheet'!F83/100</f>
        <v>1</v>
      </c>
      <c r="H85" s="2">
        <f t="shared" si="9"/>
        <v>5</v>
      </c>
      <c r="I85" s="2">
        <f t="shared" si="10"/>
        <v>5</v>
      </c>
      <c r="J85" s="60">
        <f t="shared" si="15"/>
        <v>1.75</v>
      </c>
      <c r="K85" s="2">
        <f t="shared" si="11"/>
        <v>0</v>
      </c>
      <c r="L85" s="2">
        <f t="shared" si="12"/>
        <v>0</v>
      </c>
      <c r="M85" s="2" t="str">
        <f>'Input Sheet'!E83</f>
        <v>F</v>
      </c>
      <c r="N85" s="2">
        <f t="shared" si="13"/>
        <v>2</v>
      </c>
      <c r="P85">
        <f t="shared" si="14"/>
        <v>0</v>
      </c>
      <c r="Q85">
        <f t="shared" si="14"/>
        <v>5</v>
      </c>
      <c r="R85">
        <f t="shared" si="14"/>
        <v>0</v>
      </c>
      <c r="S85">
        <f t="shared" si="14"/>
        <v>0</v>
      </c>
      <c r="T85">
        <f t="shared" si="14"/>
        <v>0</v>
      </c>
    </row>
    <row r="86" spans="1:20" ht="16.5" x14ac:dyDescent="0.25">
      <c r="A86" s="10" t="str">
        <f>'Long Sample Name'!A82</f>
        <v>Sample 2255m: 65% Siltstone, 35% fine Sandstone, 100% moderately bright FLUOR in SST. TG 45.8U</v>
      </c>
      <c r="B86" s="1" t="str">
        <f ca="1">'Input Sheet'!K84</f>
        <v/>
      </c>
      <c r="C86" s="7" t="str">
        <f ca="1">'Input Sheet'!L84</f>
        <v/>
      </c>
      <c r="D86" s="11">
        <f>'Input Sheet'!B84</f>
        <v>2255</v>
      </c>
      <c r="E86" s="8">
        <f>'Input Sheet'!H84</f>
        <v>45.8</v>
      </c>
      <c r="F86" s="61">
        <f>'Input Sheet'!C84/100</f>
        <v>0.35</v>
      </c>
      <c r="G86" s="61">
        <f>'Input Sheet'!F84/100</f>
        <v>1</v>
      </c>
      <c r="H86" s="2">
        <f t="shared" si="9"/>
        <v>5</v>
      </c>
      <c r="I86" s="2">
        <f t="shared" si="10"/>
        <v>5</v>
      </c>
      <c r="J86" s="60">
        <f t="shared" si="15"/>
        <v>1.75</v>
      </c>
      <c r="K86" s="2">
        <f t="shared" si="11"/>
        <v>0</v>
      </c>
      <c r="L86" s="2">
        <f t="shared" si="12"/>
        <v>0</v>
      </c>
      <c r="M86" s="2" t="str">
        <f>'Input Sheet'!E84</f>
        <v>F</v>
      </c>
      <c r="N86" s="2">
        <f t="shared" si="13"/>
        <v>2</v>
      </c>
      <c r="P86">
        <f t="shared" si="14"/>
        <v>0</v>
      </c>
      <c r="Q86">
        <f t="shared" si="14"/>
        <v>5</v>
      </c>
      <c r="R86">
        <f t="shared" si="14"/>
        <v>0</v>
      </c>
      <c r="S86">
        <f t="shared" si="14"/>
        <v>0</v>
      </c>
      <c r="T86">
        <f t="shared" si="14"/>
        <v>0</v>
      </c>
    </row>
    <row r="87" spans="1:20" ht="16.5" x14ac:dyDescent="0.25">
      <c r="A87" s="10" t="str">
        <f>'Long Sample Name'!A83</f>
        <v>Sample 2260m: rare siderite in 65% Siltstone, 35% fine Sandstone, 100% moderately bright FLUOR in SST. TG 110.5U</v>
      </c>
      <c r="B87" s="1" t="str">
        <f ca="1">'Input Sheet'!K85</f>
        <v/>
      </c>
      <c r="C87" s="7" t="str">
        <f ca="1">'Input Sheet'!L85</f>
        <v/>
      </c>
      <c r="D87" s="11">
        <f>'Input Sheet'!B85</f>
        <v>2260</v>
      </c>
      <c r="E87" s="8">
        <f>'Input Sheet'!H85</f>
        <v>110.5</v>
      </c>
      <c r="F87" s="61">
        <f>'Input Sheet'!C85/100</f>
        <v>0.35</v>
      </c>
      <c r="G87" s="61">
        <f>'Input Sheet'!F85/100</f>
        <v>1</v>
      </c>
      <c r="H87" s="2">
        <f t="shared" si="9"/>
        <v>5</v>
      </c>
      <c r="I87" s="2">
        <f t="shared" si="10"/>
        <v>5</v>
      </c>
      <c r="J87" s="60">
        <f t="shared" si="15"/>
        <v>1.75</v>
      </c>
      <c r="K87" s="2">
        <f t="shared" si="11"/>
        <v>0</v>
      </c>
      <c r="L87" s="2">
        <f t="shared" si="12"/>
        <v>0</v>
      </c>
      <c r="M87" s="2" t="str">
        <f>'Input Sheet'!E85</f>
        <v>F</v>
      </c>
      <c r="N87" s="2">
        <f t="shared" si="13"/>
        <v>2</v>
      </c>
      <c r="P87">
        <f t="shared" si="14"/>
        <v>0</v>
      </c>
      <c r="Q87">
        <f t="shared" si="14"/>
        <v>5</v>
      </c>
      <c r="R87">
        <f t="shared" si="14"/>
        <v>0</v>
      </c>
      <c r="S87">
        <f t="shared" si="14"/>
        <v>0</v>
      </c>
      <c r="T87">
        <f t="shared" si="14"/>
        <v>0</v>
      </c>
    </row>
    <row r="88" spans="1:20" ht="16.5" x14ac:dyDescent="0.25">
      <c r="A88" s="10" t="str">
        <f>'Long Sample Name'!A84</f>
        <v>Sample 2265m: 50% Siltstone, 50% fine Sandstone, 100% bright FLUOR in SST. TG 73.2U</v>
      </c>
      <c r="B88" s="1" t="str">
        <f ca="1">'Input Sheet'!K86</f>
        <v/>
      </c>
      <c r="C88" s="7" t="str">
        <f ca="1">'Input Sheet'!L86</f>
        <v/>
      </c>
      <c r="D88" s="11">
        <f>'Input Sheet'!B86</f>
        <v>2265</v>
      </c>
      <c r="E88" s="8">
        <f>'Input Sheet'!H86</f>
        <v>73.2</v>
      </c>
      <c r="F88" s="61">
        <f>'Input Sheet'!C86/100</f>
        <v>0.5</v>
      </c>
      <c r="G88" s="61">
        <f>'Input Sheet'!F86/100</f>
        <v>1</v>
      </c>
      <c r="H88" s="2">
        <f t="shared" si="9"/>
        <v>5</v>
      </c>
      <c r="I88" s="2">
        <f t="shared" si="10"/>
        <v>5</v>
      </c>
      <c r="J88" s="60">
        <f t="shared" si="15"/>
        <v>2.5</v>
      </c>
      <c r="K88" s="2">
        <f t="shared" si="11"/>
        <v>5</v>
      </c>
      <c r="L88" s="2">
        <f t="shared" si="12"/>
        <v>2.5</v>
      </c>
      <c r="M88" s="2" t="str">
        <f>'Input Sheet'!E86</f>
        <v>F</v>
      </c>
      <c r="N88" s="2">
        <f t="shared" si="13"/>
        <v>2</v>
      </c>
      <c r="P88">
        <f t="shared" si="14"/>
        <v>0</v>
      </c>
      <c r="Q88">
        <f t="shared" si="14"/>
        <v>5</v>
      </c>
      <c r="R88">
        <f t="shared" si="14"/>
        <v>0</v>
      </c>
      <c r="S88">
        <f t="shared" si="14"/>
        <v>0</v>
      </c>
      <c r="T88">
        <f t="shared" si="14"/>
        <v>0</v>
      </c>
    </row>
    <row r="89" spans="1:20" ht="16.5" x14ac:dyDescent="0.25">
      <c r="A89" s="10" t="str">
        <f>'Long Sample Name'!A85</f>
        <v>Sample 2270m: 50% Siltstone, 50% fine Sandstone, 100% bright FLUOR in SST. TG 109.3U</v>
      </c>
      <c r="B89" s="1" t="str">
        <f ca="1">'Input Sheet'!K87</f>
        <v/>
      </c>
      <c r="C89" s="7" t="str">
        <f ca="1">'Input Sheet'!L87</f>
        <v/>
      </c>
      <c r="D89" s="11">
        <f>'Input Sheet'!B87</f>
        <v>2270</v>
      </c>
      <c r="E89" s="8">
        <f>'Input Sheet'!H87</f>
        <v>109.3</v>
      </c>
      <c r="F89" s="61">
        <f>'Input Sheet'!C87/100</f>
        <v>0.5</v>
      </c>
      <c r="G89" s="61">
        <f>'Input Sheet'!F87/100</f>
        <v>1</v>
      </c>
      <c r="H89" s="2">
        <f t="shared" si="9"/>
        <v>5</v>
      </c>
      <c r="I89" s="2">
        <f t="shared" si="10"/>
        <v>5</v>
      </c>
      <c r="J89" s="60">
        <f t="shared" si="15"/>
        <v>2.5</v>
      </c>
      <c r="K89" s="2">
        <f t="shared" si="11"/>
        <v>5</v>
      </c>
      <c r="L89" s="2">
        <f t="shared" si="12"/>
        <v>2.5</v>
      </c>
      <c r="M89" s="2" t="str">
        <f>'Input Sheet'!E87</f>
        <v>F</v>
      </c>
      <c r="N89" s="2">
        <f t="shared" si="13"/>
        <v>2</v>
      </c>
      <c r="P89">
        <f t="shared" si="14"/>
        <v>0</v>
      </c>
      <c r="Q89">
        <f t="shared" si="14"/>
        <v>5</v>
      </c>
      <c r="R89">
        <f t="shared" si="14"/>
        <v>0</v>
      </c>
      <c r="S89">
        <f t="shared" si="14"/>
        <v>0</v>
      </c>
      <c r="T89">
        <f t="shared" si="14"/>
        <v>0</v>
      </c>
    </row>
    <row r="90" spans="1:20" ht="16.5" x14ac:dyDescent="0.25">
      <c r="A90" s="10" t="str">
        <f>'Long Sample Name'!A86</f>
        <v>Sample 2275m: 50% Siltstone, 50% fine Sandstone, 100% bright FLUOR in SST. TG 79.4U</v>
      </c>
      <c r="B90" s="1" t="str">
        <f ca="1">'Input Sheet'!K88</f>
        <v/>
      </c>
      <c r="C90" s="7" t="str">
        <f ca="1">'Input Sheet'!L88</f>
        <v/>
      </c>
      <c r="D90" s="11">
        <f>'Input Sheet'!B88</f>
        <v>2275</v>
      </c>
      <c r="E90" s="8">
        <f>'Input Sheet'!H88</f>
        <v>79.400000000000006</v>
      </c>
      <c r="F90" s="61">
        <f>'Input Sheet'!C88/100</f>
        <v>0.5</v>
      </c>
      <c r="G90" s="61">
        <f>'Input Sheet'!F88/100</f>
        <v>1</v>
      </c>
      <c r="H90" s="2">
        <f t="shared" si="9"/>
        <v>5</v>
      </c>
      <c r="I90" s="2">
        <f t="shared" si="10"/>
        <v>5</v>
      </c>
      <c r="J90" s="60">
        <f t="shared" si="15"/>
        <v>2.5</v>
      </c>
      <c r="K90" s="2">
        <f t="shared" si="11"/>
        <v>5</v>
      </c>
      <c r="L90" s="2">
        <f t="shared" si="12"/>
        <v>2.5</v>
      </c>
      <c r="M90" s="2" t="str">
        <f>'Input Sheet'!E88</f>
        <v>F</v>
      </c>
      <c r="N90" s="2">
        <f t="shared" si="13"/>
        <v>2</v>
      </c>
      <c r="P90">
        <f t="shared" si="14"/>
        <v>0</v>
      </c>
      <c r="Q90">
        <f t="shared" si="14"/>
        <v>5</v>
      </c>
      <c r="R90">
        <f t="shared" si="14"/>
        <v>0</v>
      </c>
      <c r="S90">
        <f t="shared" si="14"/>
        <v>0</v>
      </c>
      <c r="T90">
        <f t="shared" si="14"/>
        <v>0</v>
      </c>
    </row>
    <row r="91" spans="1:20" ht="16.5" x14ac:dyDescent="0.25">
      <c r="A91" s="10" t="str">
        <f>'Long Sample Name'!A87</f>
        <v>Sample 2280m: trace siderite in 50% Siltstone, 50% fine Sandstone, 100% bright FLUOR in SST. TG 65.3U</v>
      </c>
      <c r="B91" s="1" t="str">
        <f ca="1">'Input Sheet'!K89</f>
        <v/>
      </c>
      <c r="C91" s="7" t="str">
        <f ca="1">'Input Sheet'!L89</f>
        <v/>
      </c>
      <c r="D91" s="11">
        <f>'Input Sheet'!B89</f>
        <v>2280</v>
      </c>
      <c r="E91" s="8">
        <f>'Input Sheet'!H89</f>
        <v>65.3</v>
      </c>
      <c r="F91" s="61">
        <f>'Input Sheet'!C89/100</f>
        <v>0.5</v>
      </c>
      <c r="G91" s="61">
        <f>'Input Sheet'!F89/100</f>
        <v>1</v>
      </c>
      <c r="H91" s="2">
        <f t="shared" si="9"/>
        <v>5</v>
      </c>
      <c r="I91" s="2">
        <f t="shared" si="10"/>
        <v>5</v>
      </c>
      <c r="J91" s="60">
        <f t="shared" si="15"/>
        <v>2.5</v>
      </c>
      <c r="K91" s="2">
        <f t="shared" si="11"/>
        <v>5</v>
      </c>
      <c r="L91" s="2">
        <f t="shared" si="12"/>
        <v>2.5</v>
      </c>
      <c r="M91" s="2" t="str">
        <f>'Input Sheet'!E89</f>
        <v>F</v>
      </c>
      <c r="N91" s="2">
        <f t="shared" si="13"/>
        <v>2</v>
      </c>
      <c r="P91">
        <f t="shared" si="14"/>
        <v>0</v>
      </c>
      <c r="Q91">
        <f t="shared" si="14"/>
        <v>5</v>
      </c>
      <c r="R91">
        <f t="shared" si="14"/>
        <v>0</v>
      </c>
      <c r="S91">
        <f t="shared" si="14"/>
        <v>0</v>
      </c>
      <c r="T91">
        <f t="shared" si="14"/>
        <v>0</v>
      </c>
    </row>
    <row r="92" spans="1:20" ht="16.5" x14ac:dyDescent="0.25">
      <c r="A92" s="10" t="str">
        <f>'Long Sample Name'!A88</f>
        <v>Sample 2285m: 40% Siltstone, 60% fine Sandstone, 100% moderately bright  to  bright FLUOR in SST. TG 70.3U</v>
      </c>
      <c r="B92" s="1" t="str">
        <f ca="1">'Input Sheet'!K90</f>
        <v/>
      </c>
      <c r="C92" s="7" t="str">
        <f ca="1">'Input Sheet'!L90</f>
        <v/>
      </c>
      <c r="D92" s="11">
        <f>'Input Sheet'!B90</f>
        <v>2285</v>
      </c>
      <c r="E92" s="8">
        <f>'Input Sheet'!H90</f>
        <v>70.3</v>
      </c>
      <c r="F92" s="61">
        <f>'Input Sheet'!C90/100</f>
        <v>0.6</v>
      </c>
      <c r="G92" s="61">
        <f>'Input Sheet'!F90/100</f>
        <v>1</v>
      </c>
      <c r="H92" s="2">
        <f t="shared" si="9"/>
        <v>5</v>
      </c>
      <c r="I92" s="2">
        <f t="shared" si="10"/>
        <v>5</v>
      </c>
      <c r="J92" s="60">
        <f t="shared" si="15"/>
        <v>3</v>
      </c>
      <c r="K92" s="2">
        <f t="shared" si="11"/>
        <v>5</v>
      </c>
      <c r="L92" s="2">
        <f t="shared" si="12"/>
        <v>3</v>
      </c>
      <c r="M92" s="2" t="str">
        <f>'Input Sheet'!E90</f>
        <v>F</v>
      </c>
      <c r="N92" s="2">
        <f t="shared" si="13"/>
        <v>2</v>
      </c>
      <c r="P92">
        <f t="shared" si="14"/>
        <v>0</v>
      </c>
      <c r="Q92">
        <f t="shared" si="14"/>
        <v>5</v>
      </c>
      <c r="R92">
        <f t="shared" si="14"/>
        <v>0</v>
      </c>
      <c r="S92">
        <f t="shared" si="14"/>
        <v>0</v>
      </c>
      <c r="T92">
        <f t="shared" si="14"/>
        <v>0</v>
      </c>
    </row>
    <row r="93" spans="1:20" ht="16.5" x14ac:dyDescent="0.25">
      <c r="A93" s="10" t="str">
        <f>'Long Sample Name'!A89</f>
        <v>Sample 2290m: 40% Siltstone, common siderite in 60% fine Sandstone, 100% moderately bright  to  bright FLUOR in SST. TG 122.8U</v>
      </c>
      <c r="B93" s="1" t="str">
        <f ca="1">'Input Sheet'!K91</f>
        <v/>
      </c>
      <c r="C93" s="7" t="str">
        <f ca="1">'Input Sheet'!L91</f>
        <v/>
      </c>
      <c r="D93" s="11">
        <f>'Input Sheet'!B91</f>
        <v>2290</v>
      </c>
      <c r="E93" s="8">
        <f>'Input Sheet'!H91</f>
        <v>122.8</v>
      </c>
      <c r="F93" s="61">
        <f>'Input Sheet'!C91/100</f>
        <v>0.6</v>
      </c>
      <c r="G93" s="61">
        <f>'Input Sheet'!F91/100</f>
        <v>1</v>
      </c>
      <c r="H93" s="2">
        <f t="shared" si="9"/>
        <v>5</v>
      </c>
      <c r="I93" s="2">
        <f t="shared" si="10"/>
        <v>5</v>
      </c>
      <c r="J93" s="60">
        <f t="shared" si="15"/>
        <v>3</v>
      </c>
      <c r="K93" s="2">
        <f t="shared" si="11"/>
        <v>5</v>
      </c>
      <c r="L93" s="2">
        <f t="shared" si="12"/>
        <v>3</v>
      </c>
      <c r="M93" s="2" t="str">
        <f>'Input Sheet'!E91</f>
        <v>F</v>
      </c>
      <c r="N93" s="2">
        <f t="shared" si="13"/>
        <v>2</v>
      </c>
      <c r="P93">
        <f t="shared" si="14"/>
        <v>0</v>
      </c>
      <c r="Q93">
        <f t="shared" si="14"/>
        <v>5</v>
      </c>
      <c r="R93">
        <f t="shared" si="14"/>
        <v>0</v>
      </c>
      <c r="S93">
        <f t="shared" si="14"/>
        <v>0</v>
      </c>
      <c r="T93">
        <f t="shared" si="14"/>
        <v>0</v>
      </c>
    </row>
    <row r="94" spans="1:20" ht="16.5" x14ac:dyDescent="0.25">
      <c r="A94" s="10" t="str">
        <f>'Long Sample Name'!A90</f>
        <v>Sample 2295m: 40% Siltstone, 60% fine Sandstone, 100% bright FLUOR in SST. TG 110.7U</v>
      </c>
      <c r="B94" s="1" t="str">
        <f ca="1">'Input Sheet'!K92</f>
        <v/>
      </c>
      <c r="C94" s="7" t="str">
        <f ca="1">'Input Sheet'!L92</f>
        <v/>
      </c>
      <c r="D94" s="11">
        <f>'Input Sheet'!B92</f>
        <v>2295</v>
      </c>
      <c r="E94" s="8">
        <f>'Input Sheet'!H92</f>
        <v>110.7</v>
      </c>
      <c r="F94" s="61">
        <f>'Input Sheet'!C92/100</f>
        <v>0.6</v>
      </c>
      <c r="G94" s="61">
        <f>'Input Sheet'!F92/100</f>
        <v>1</v>
      </c>
      <c r="H94" s="2">
        <f t="shared" si="9"/>
        <v>5</v>
      </c>
      <c r="I94" s="2">
        <f t="shared" si="10"/>
        <v>5</v>
      </c>
      <c r="J94" s="60">
        <f t="shared" si="15"/>
        <v>3</v>
      </c>
      <c r="K94" s="2">
        <f t="shared" si="11"/>
        <v>5</v>
      </c>
      <c r="L94" s="2">
        <f t="shared" si="12"/>
        <v>3</v>
      </c>
      <c r="M94" s="2" t="str">
        <f>'Input Sheet'!E92</f>
        <v>F</v>
      </c>
      <c r="N94" s="2">
        <f t="shared" si="13"/>
        <v>2</v>
      </c>
      <c r="P94">
        <f t="shared" si="14"/>
        <v>0</v>
      </c>
      <c r="Q94">
        <f t="shared" si="14"/>
        <v>5</v>
      </c>
      <c r="R94">
        <f t="shared" si="14"/>
        <v>0</v>
      </c>
      <c r="S94">
        <f t="shared" si="14"/>
        <v>0</v>
      </c>
      <c r="T94">
        <f t="shared" si="14"/>
        <v>0</v>
      </c>
    </row>
    <row r="95" spans="1:20" ht="16.5" x14ac:dyDescent="0.25">
      <c r="A95" s="10" t="str">
        <f>'Long Sample Name'!A91</f>
        <v>Sample 2300m: 40% Siltstone, 60% fine Sandstone, 100% bright FLUOR in SST. TG 133.7U</v>
      </c>
      <c r="B95" s="1" t="str">
        <f ca="1">'Input Sheet'!K93</f>
        <v/>
      </c>
      <c r="C95" s="7" t="str">
        <f ca="1">'Input Sheet'!L93</f>
        <v/>
      </c>
      <c r="D95" s="11">
        <f>'Input Sheet'!B93</f>
        <v>2300</v>
      </c>
      <c r="E95" s="8">
        <f>'Input Sheet'!H93</f>
        <v>133.69999999999999</v>
      </c>
      <c r="F95" s="61">
        <f>'Input Sheet'!C93/100</f>
        <v>0.6</v>
      </c>
      <c r="G95" s="61">
        <f>'Input Sheet'!F93/100</f>
        <v>1</v>
      </c>
      <c r="H95" s="2">
        <f t="shared" si="9"/>
        <v>5</v>
      </c>
      <c r="I95" s="2">
        <f t="shared" si="10"/>
        <v>5</v>
      </c>
      <c r="J95" s="60">
        <f t="shared" si="15"/>
        <v>3</v>
      </c>
      <c r="K95" s="2">
        <f t="shared" si="11"/>
        <v>5</v>
      </c>
      <c r="L95" s="2">
        <f t="shared" si="12"/>
        <v>3</v>
      </c>
      <c r="M95" s="2" t="str">
        <f>'Input Sheet'!E93</f>
        <v>F</v>
      </c>
      <c r="N95" s="2">
        <f t="shared" si="13"/>
        <v>2</v>
      </c>
      <c r="P95">
        <f t="shared" si="14"/>
        <v>0</v>
      </c>
      <c r="Q95">
        <f t="shared" si="14"/>
        <v>5</v>
      </c>
      <c r="R95">
        <f t="shared" si="14"/>
        <v>0</v>
      </c>
      <c r="S95">
        <f t="shared" si="14"/>
        <v>0</v>
      </c>
      <c r="T95">
        <f t="shared" si="14"/>
        <v>0</v>
      </c>
    </row>
    <row r="96" spans="1:20" ht="16.5" x14ac:dyDescent="0.25">
      <c r="A96" s="10" t="str">
        <f>'Long Sample Name'!A92</f>
        <v>Sample 2305m: 35% Siltstone, 65% fine Sandstone, 100% bright FLUOR in SST. TG 102.7U</v>
      </c>
      <c r="B96" s="1" t="str">
        <f ca="1">'Input Sheet'!K94</f>
        <v/>
      </c>
      <c r="C96" s="7" t="str">
        <f ca="1">'Input Sheet'!L94</f>
        <v/>
      </c>
      <c r="D96" s="11">
        <f>'Input Sheet'!B94</f>
        <v>2305</v>
      </c>
      <c r="E96" s="8">
        <f>'Input Sheet'!H94</f>
        <v>102.7</v>
      </c>
      <c r="F96" s="61">
        <f>'Input Sheet'!C94/100</f>
        <v>0.65</v>
      </c>
      <c r="G96" s="61">
        <f>'Input Sheet'!F94/100</f>
        <v>1</v>
      </c>
      <c r="H96" s="2">
        <f t="shared" si="9"/>
        <v>5</v>
      </c>
      <c r="I96" s="2">
        <f t="shared" si="10"/>
        <v>5</v>
      </c>
      <c r="J96" s="60">
        <f t="shared" si="15"/>
        <v>3.25</v>
      </c>
      <c r="K96" s="2">
        <f t="shared" si="11"/>
        <v>5</v>
      </c>
      <c r="L96" s="2">
        <f t="shared" si="12"/>
        <v>3.25</v>
      </c>
      <c r="M96" s="2" t="str">
        <f>'Input Sheet'!E94</f>
        <v>F</v>
      </c>
      <c r="N96" s="2">
        <f t="shared" si="13"/>
        <v>2</v>
      </c>
      <c r="P96">
        <f t="shared" si="14"/>
        <v>0</v>
      </c>
      <c r="Q96">
        <f t="shared" si="14"/>
        <v>5</v>
      </c>
      <c r="R96">
        <f t="shared" si="14"/>
        <v>0</v>
      </c>
      <c r="S96">
        <f t="shared" si="14"/>
        <v>0</v>
      </c>
      <c r="T96">
        <f t="shared" si="14"/>
        <v>0</v>
      </c>
    </row>
    <row r="97" spans="1:20" ht="16.5" x14ac:dyDescent="0.25">
      <c r="A97" s="10" t="str">
        <f>'Long Sample Name'!A93</f>
        <v>Sample 2310m: 35% Siltstone, common siderite in 65% fine Sandstone, 100% bright FLUOR in SST. TG 92.8U</v>
      </c>
      <c r="B97" s="1" t="str">
        <f ca="1">'Input Sheet'!K95</f>
        <v/>
      </c>
      <c r="C97" s="7" t="str">
        <f ca="1">'Input Sheet'!L95</f>
        <v/>
      </c>
      <c r="D97" s="11">
        <f>'Input Sheet'!B95</f>
        <v>2310</v>
      </c>
      <c r="E97" s="8">
        <f>'Input Sheet'!H95</f>
        <v>92.8</v>
      </c>
      <c r="F97" s="61">
        <f>'Input Sheet'!C95/100</f>
        <v>0.65</v>
      </c>
      <c r="G97" s="61">
        <f>'Input Sheet'!F95/100</f>
        <v>1</v>
      </c>
      <c r="H97" s="2">
        <f t="shared" si="9"/>
        <v>5</v>
      </c>
      <c r="I97" s="2">
        <f t="shared" si="10"/>
        <v>5</v>
      </c>
      <c r="J97" s="60">
        <f t="shared" si="15"/>
        <v>3.25</v>
      </c>
      <c r="K97" s="2">
        <f t="shared" si="11"/>
        <v>5</v>
      </c>
      <c r="L97" s="2">
        <f t="shared" si="12"/>
        <v>3.25</v>
      </c>
      <c r="M97" s="2" t="str">
        <f>'Input Sheet'!E95</f>
        <v>F</v>
      </c>
      <c r="N97" s="2">
        <f t="shared" si="13"/>
        <v>2</v>
      </c>
      <c r="P97">
        <f t="shared" si="14"/>
        <v>0</v>
      </c>
      <c r="Q97">
        <f t="shared" si="14"/>
        <v>5</v>
      </c>
      <c r="R97">
        <f t="shared" si="14"/>
        <v>0</v>
      </c>
      <c r="S97">
        <f t="shared" si="14"/>
        <v>0</v>
      </c>
      <c r="T97">
        <f t="shared" si="14"/>
        <v>0</v>
      </c>
    </row>
    <row r="98" spans="1:20" ht="16.5" x14ac:dyDescent="0.25">
      <c r="A98" s="10" t="str">
        <f>'Long Sample Name'!A94</f>
        <v>Sample 2315m: 30% Siltstone, 70% fine Sandstone, 100% bright FLUOR in SST. TG 90.3U</v>
      </c>
      <c r="B98" s="1" t="str">
        <f ca="1">'Input Sheet'!K96</f>
        <v/>
      </c>
      <c r="C98" s="7" t="str">
        <f ca="1">'Input Sheet'!L96</f>
        <v/>
      </c>
      <c r="D98" s="11">
        <f>'Input Sheet'!B96</f>
        <v>2315</v>
      </c>
      <c r="E98" s="8">
        <f>'Input Sheet'!H96</f>
        <v>90.3</v>
      </c>
      <c r="F98" s="61">
        <f>'Input Sheet'!C96/100</f>
        <v>0.7</v>
      </c>
      <c r="G98" s="61">
        <f>'Input Sheet'!F96/100</f>
        <v>1</v>
      </c>
      <c r="H98" s="2">
        <f t="shared" si="9"/>
        <v>5</v>
      </c>
      <c r="I98" s="2">
        <f t="shared" si="10"/>
        <v>5</v>
      </c>
      <c r="J98" s="60">
        <f t="shared" si="15"/>
        <v>3.5</v>
      </c>
      <c r="K98" s="2">
        <f t="shared" si="11"/>
        <v>5</v>
      </c>
      <c r="L98" s="2">
        <f t="shared" si="12"/>
        <v>3.5</v>
      </c>
      <c r="M98" s="2" t="str">
        <f>'Input Sheet'!E96</f>
        <v>F</v>
      </c>
      <c r="N98" s="2">
        <f t="shared" si="13"/>
        <v>2</v>
      </c>
      <c r="P98">
        <f t="shared" si="14"/>
        <v>0</v>
      </c>
      <c r="Q98">
        <f t="shared" si="14"/>
        <v>5</v>
      </c>
      <c r="R98">
        <f t="shared" si="14"/>
        <v>0</v>
      </c>
      <c r="S98">
        <f t="shared" si="14"/>
        <v>0</v>
      </c>
      <c r="T98">
        <f t="shared" si="14"/>
        <v>0</v>
      </c>
    </row>
    <row r="99" spans="1:20" ht="16.5" x14ac:dyDescent="0.25">
      <c r="A99" s="10" t="str">
        <f>'Long Sample Name'!A95</f>
        <v>Sample 2320m: 30% Siltstone, 70% fine Sandstone, 100% bright FLUOR in SST. TG 123.9U</v>
      </c>
      <c r="B99" s="1" t="str">
        <f ca="1">'Input Sheet'!K97</f>
        <v/>
      </c>
      <c r="C99" s="7" t="str">
        <f ca="1">'Input Sheet'!L97</f>
        <v/>
      </c>
      <c r="D99" s="11">
        <f>'Input Sheet'!B97</f>
        <v>2320</v>
      </c>
      <c r="E99" s="8">
        <f>'Input Sheet'!H97</f>
        <v>123.9</v>
      </c>
      <c r="F99" s="61">
        <f>'Input Sheet'!C97/100</f>
        <v>0.7</v>
      </c>
      <c r="G99" s="61">
        <f>'Input Sheet'!F97/100</f>
        <v>1</v>
      </c>
      <c r="H99" s="2">
        <f t="shared" si="9"/>
        <v>5</v>
      </c>
      <c r="I99" s="2">
        <f t="shared" si="10"/>
        <v>5</v>
      </c>
      <c r="J99" s="60">
        <f t="shared" si="15"/>
        <v>3.5</v>
      </c>
      <c r="K99" s="2">
        <f t="shared" si="11"/>
        <v>5</v>
      </c>
      <c r="L99" s="2">
        <f t="shared" si="12"/>
        <v>3.5</v>
      </c>
      <c r="M99" s="2" t="str">
        <f>'Input Sheet'!E97</f>
        <v>F</v>
      </c>
      <c r="N99" s="2">
        <f t="shared" si="13"/>
        <v>2</v>
      </c>
      <c r="P99">
        <f t="shared" si="14"/>
        <v>0</v>
      </c>
      <c r="Q99">
        <f t="shared" si="14"/>
        <v>5</v>
      </c>
      <c r="R99">
        <f t="shared" si="14"/>
        <v>0</v>
      </c>
      <c r="S99">
        <f t="shared" si="14"/>
        <v>0</v>
      </c>
      <c r="T99">
        <f t="shared" si="14"/>
        <v>0</v>
      </c>
    </row>
    <row r="100" spans="1:20" ht="16.5" x14ac:dyDescent="0.25">
      <c r="A100" s="10" t="str">
        <f>'Long Sample Name'!A96</f>
        <v>Sample 2325m: 5% Siltstone, 95% fine Sandstone, 100% moderately bright FLUOR in SST. TG 63.8U</v>
      </c>
      <c r="B100" s="1" t="str">
        <f ca="1">'Input Sheet'!K98</f>
        <v/>
      </c>
      <c r="C100" s="7" t="str">
        <f ca="1">'Input Sheet'!L98</f>
        <v/>
      </c>
      <c r="D100" s="11">
        <f>'Input Sheet'!B98</f>
        <v>2325</v>
      </c>
      <c r="E100" s="8">
        <f>'Input Sheet'!H98</f>
        <v>63.8</v>
      </c>
      <c r="F100" s="61">
        <f>'Input Sheet'!C98/100</f>
        <v>0.95</v>
      </c>
      <c r="G100" s="61">
        <f>'Input Sheet'!F98/100</f>
        <v>1</v>
      </c>
      <c r="H100" s="2">
        <f t="shared" si="9"/>
        <v>5</v>
      </c>
      <c r="I100" s="2">
        <f t="shared" si="10"/>
        <v>5</v>
      </c>
      <c r="J100" s="60">
        <f t="shared" si="15"/>
        <v>4.75</v>
      </c>
      <c r="K100" s="2">
        <f t="shared" si="11"/>
        <v>5</v>
      </c>
      <c r="L100" s="2">
        <f t="shared" si="12"/>
        <v>4.75</v>
      </c>
      <c r="M100" s="2" t="str">
        <f>'Input Sheet'!E98</f>
        <v>F</v>
      </c>
      <c r="N100" s="2">
        <f t="shared" si="13"/>
        <v>2</v>
      </c>
      <c r="P100">
        <f t="shared" si="14"/>
        <v>0</v>
      </c>
      <c r="Q100">
        <f t="shared" si="14"/>
        <v>5</v>
      </c>
      <c r="R100">
        <f t="shared" si="14"/>
        <v>0</v>
      </c>
      <c r="S100">
        <f t="shared" si="14"/>
        <v>0</v>
      </c>
      <c r="T100">
        <f t="shared" si="14"/>
        <v>0</v>
      </c>
    </row>
    <row r="101" spans="1:20" ht="16.5" x14ac:dyDescent="0.25">
      <c r="A101" s="10" t="str">
        <f>'Long Sample Name'!A97</f>
        <v>Sample 2330m: 5% Siltstone, 95% fine Sandstone, 100% moderately bright FLUOR in SST. TG 160U</v>
      </c>
      <c r="B101" s="1" t="str">
        <f ca="1">'Input Sheet'!K99</f>
        <v/>
      </c>
      <c r="C101" s="7" t="str">
        <f ca="1">'Input Sheet'!L99</f>
        <v/>
      </c>
      <c r="D101" s="11">
        <f>'Input Sheet'!B99</f>
        <v>2330</v>
      </c>
      <c r="E101" s="8">
        <f>'Input Sheet'!H99</f>
        <v>160</v>
      </c>
      <c r="F101" s="61">
        <f>'Input Sheet'!C99/100</f>
        <v>0.95</v>
      </c>
      <c r="G101" s="61">
        <f>'Input Sheet'!F99/100</f>
        <v>1</v>
      </c>
      <c r="H101" s="2">
        <f t="shared" si="9"/>
        <v>5</v>
      </c>
      <c r="I101" s="2">
        <f t="shared" si="10"/>
        <v>5</v>
      </c>
      <c r="J101" s="60">
        <f t="shared" si="15"/>
        <v>4.75</v>
      </c>
      <c r="K101" s="2">
        <f t="shared" si="11"/>
        <v>5</v>
      </c>
      <c r="L101" s="2">
        <f t="shared" si="12"/>
        <v>4.75</v>
      </c>
      <c r="M101" s="2" t="str">
        <f>'Input Sheet'!E99</f>
        <v>F</v>
      </c>
      <c r="N101" s="2">
        <f t="shared" si="13"/>
        <v>2</v>
      </c>
      <c r="P101">
        <f t="shared" si="14"/>
        <v>0</v>
      </c>
      <c r="Q101">
        <f t="shared" si="14"/>
        <v>5</v>
      </c>
      <c r="R101">
        <f t="shared" si="14"/>
        <v>0</v>
      </c>
      <c r="S101">
        <f t="shared" si="14"/>
        <v>0</v>
      </c>
      <c r="T101">
        <f t="shared" si="14"/>
        <v>0</v>
      </c>
    </row>
    <row r="102" spans="1:20" ht="16.5" x14ac:dyDescent="0.25">
      <c r="A102" s="10" t="str">
        <f>'Long Sample Name'!A98</f>
        <v>Sample 2335m: 0% Siltstone, 100% fine Sandstone, 100% moderately bright FLUOR in SST. TG 158U</v>
      </c>
      <c r="B102" s="1" t="str">
        <f ca="1">'Input Sheet'!K100</f>
        <v/>
      </c>
      <c r="C102" s="7" t="str">
        <f ca="1">'Input Sheet'!L100</f>
        <v/>
      </c>
      <c r="D102" s="11">
        <f>'Input Sheet'!B100</f>
        <v>2335</v>
      </c>
      <c r="E102" s="8">
        <f>'Input Sheet'!H100</f>
        <v>158</v>
      </c>
      <c r="F102" s="61">
        <f>'Input Sheet'!C100/100</f>
        <v>1</v>
      </c>
      <c r="G102" s="61">
        <f>'Input Sheet'!F100/100</f>
        <v>1</v>
      </c>
      <c r="H102" s="2">
        <f t="shared" si="9"/>
        <v>5</v>
      </c>
      <c r="I102" s="2">
        <f t="shared" si="10"/>
        <v>5</v>
      </c>
      <c r="J102" s="60">
        <f t="shared" si="15"/>
        <v>5</v>
      </c>
      <c r="K102" s="2">
        <f t="shared" si="11"/>
        <v>5</v>
      </c>
      <c r="L102" s="2">
        <f t="shared" si="12"/>
        <v>5</v>
      </c>
      <c r="M102" s="2" t="str">
        <f>'Input Sheet'!E100</f>
        <v>F</v>
      </c>
      <c r="N102" s="2">
        <f t="shared" si="13"/>
        <v>2</v>
      </c>
      <c r="P102">
        <f t="shared" si="14"/>
        <v>0</v>
      </c>
      <c r="Q102">
        <f t="shared" si="14"/>
        <v>5</v>
      </c>
      <c r="R102">
        <f t="shared" si="14"/>
        <v>0</v>
      </c>
      <c r="S102">
        <f t="shared" si="14"/>
        <v>0</v>
      </c>
      <c r="T102">
        <f t="shared" si="14"/>
        <v>0</v>
      </c>
    </row>
    <row r="103" spans="1:20" ht="16.5" x14ac:dyDescent="0.25">
      <c r="A103" s="10" t="str">
        <f>'Long Sample Name'!A99</f>
        <v>Sample 2340m: 0% Siltstone, 100% fine Sandstone, 100% moderately bright FLUOR in SST. TG 159U</v>
      </c>
      <c r="B103" s="1" t="str">
        <f ca="1">'Input Sheet'!K101</f>
        <v/>
      </c>
      <c r="C103" s="7" t="str">
        <f ca="1">'Input Sheet'!L101</f>
        <v/>
      </c>
      <c r="D103" s="11">
        <f>'Input Sheet'!B101</f>
        <v>2340</v>
      </c>
      <c r="E103" s="8">
        <f>'Input Sheet'!H101</f>
        <v>159</v>
      </c>
      <c r="F103" s="61">
        <f>'Input Sheet'!C101/100</f>
        <v>1</v>
      </c>
      <c r="G103" s="61">
        <f>'Input Sheet'!F101/100</f>
        <v>1</v>
      </c>
      <c r="H103" s="2">
        <f t="shared" si="9"/>
        <v>5</v>
      </c>
      <c r="I103" s="2">
        <f t="shared" si="10"/>
        <v>5</v>
      </c>
      <c r="J103" s="60">
        <f t="shared" si="15"/>
        <v>5</v>
      </c>
      <c r="K103" s="2">
        <f t="shared" si="11"/>
        <v>5</v>
      </c>
      <c r="L103" s="2">
        <f t="shared" si="12"/>
        <v>5</v>
      </c>
      <c r="M103" s="2" t="str">
        <f>'Input Sheet'!E101</f>
        <v>F</v>
      </c>
      <c r="N103" s="2">
        <f t="shared" si="13"/>
        <v>2</v>
      </c>
      <c r="P103">
        <f t="shared" si="14"/>
        <v>0</v>
      </c>
      <c r="Q103">
        <f t="shared" si="14"/>
        <v>5</v>
      </c>
      <c r="R103">
        <f t="shared" si="14"/>
        <v>0</v>
      </c>
      <c r="S103">
        <f t="shared" si="14"/>
        <v>0</v>
      </c>
      <c r="T103">
        <f t="shared" si="14"/>
        <v>0</v>
      </c>
    </row>
    <row r="104" spans="1:20" ht="16.5" x14ac:dyDescent="0.25">
      <c r="A104" s="10" t="str">
        <f>'Long Sample Name'!A100</f>
        <v>Sample 2345m: 5% Siltstone, 95% fine to coarse Sandstone, 100% moderately bright FLUOR in SST. TG 161.8U</v>
      </c>
      <c r="B104" s="1" t="str">
        <f ca="1">'Input Sheet'!K102</f>
        <v/>
      </c>
      <c r="C104" s="7" t="str">
        <f ca="1">'Input Sheet'!L102</f>
        <v/>
      </c>
      <c r="D104" s="11">
        <f>'Input Sheet'!B102</f>
        <v>2345</v>
      </c>
      <c r="E104" s="8">
        <f>'Input Sheet'!H102</f>
        <v>161.80000000000001</v>
      </c>
      <c r="F104" s="61">
        <f>'Input Sheet'!C102/100</f>
        <v>0.95</v>
      </c>
      <c r="G104" s="61">
        <f>'Input Sheet'!F102/100</f>
        <v>1</v>
      </c>
      <c r="H104" s="2">
        <f t="shared" si="9"/>
        <v>5</v>
      </c>
      <c r="I104" s="2">
        <f t="shared" si="10"/>
        <v>5</v>
      </c>
      <c r="J104" s="60">
        <f t="shared" si="15"/>
        <v>4.75</v>
      </c>
      <c r="K104" s="2">
        <f t="shared" si="11"/>
        <v>5</v>
      </c>
      <c r="L104" s="2">
        <f t="shared" si="12"/>
        <v>4.75</v>
      </c>
      <c r="M104" s="2" t="str">
        <f>'Input Sheet'!E102</f>
        <v>C</v>
      </c>
      <c r="N104" s="2">
        <f t="shared" si="13"/>
        <v>4</v>
      </c>
      <c r="P104">
        <f t="shared" si="14"/>
        <v>0</v>
      </c>
      <c r="Q104">
        <f t="shared" si="14"/>
        <v>0</v>
      </c>
      <c r="R104">
        <f t="shared" si="14"/>
        <v>0</v>
      </c>
      <c r="S104">
        <f t="shared" si="14"/>
        <v>5</v>
      </c>
      <c r="T104">
        <f t="shared" si="14"/>
        <v>0</v>
      </c>
    </row>
    <row r="105" spans="1:20" ht="16.5" x14ac:dyDescent="0.25">
      <c r="A105" s="10" t="str">
        <f>'Long Sample Name'!A101</f>
        <v>Sample 2350m: 5% Siltstone, 95% fine to coarse Sandstone, 100% moderately bright FLUOR in SST. TG 156.1U</v>
      </c>
      <c r="B105" s="1" t="str">
        <f ca="1">'Input Sheet'!K103</f>
        <v/>
      </c>
      <c r="C105" s="7" t="str">
        <f ca="1">'Input Sheet'!L103</f>
        <v/>
      </c>
      <c r="D105" s="11">
        <f>'Input Sheet'!B103</f>
        <v>2350</v>
      </c>
      <c r="E105" s="8">
        <f>'Input Sheet'!H103</f>
        <v>156.1</v>
      </c>
      <c r="F105" s="61">
        <f>'Input Sheet'!C103/100</f>
        <v>0.95</v>
      </c>
      <c r="G105" s="61">
        <f>'Input Sheet'!F103/100</f>
        <v>1</v>
      </c>
      <c r="H105" s="2">
        <f t="shared" si="9"/>
        <v>5</v>
      </c>
      <c r="I105" s="2">
        <f t="shared" si="10"/>
        <v>5</v>
      </c>
      <c r="J105" s="60">
        <f t="shared" si="15"/>
        <v>4.75</v>
      </c>
      <c r="K105" s="2">
        <f t="shared" si="11"/>
        <v>5</v>
      </c>
      <c r="L105" s="2">
        <f t="shared" si="12"/>
        <v>4.75</v>
      </c>
      <c r="M105" s="2" t="str">
        <f>'Input Sheet'!E103</f>
        <v>C</v>
      </c>
      <c r="N105" s="2">
        <f t="shared" si="13"/>
        <v>4</v>
      </c>
      <c r="P105">
        <f t="shared" si="14"/>
        <v>0</v>
      </c>
      <c r="Q105">
        <f t="shared" si="14"/>
        <v>0</v>
      </c>
      <c r="R105">
        <f t="shared" si="14"/>
        <v>0</v>
      </c>
      <c r="S105">
        <f t="shared" si="14"/>
        <v>5</v>
      </c>
      <c r="T105">
        <f t="shared" si="14"/>
        <v>0</v>
      </c>
    </row>
    <row r="106" spans="1:20" ht="16.5" x14ac:dyDescent="0.25">
      <c r="A106" s="10" t="str">
        <f>'Long Sample Name'!A102</f>
        <v>Sample 2355m: 0% Siltstone, 100% fine to medium Sandstone, 100% moderately bright FLUOR in SST. TG 128.8U</v>
      </c>
      <c r="B106" s="1" t="str">
        <f ca="1">'Input Sheet'!K104</f>
        <v/>
      </c>
      <c r="C106" s="7" t="str">
        <f ca="1">'Input Sheet'!L104</f>
        <v/>
      </c>
      <c r="D106" s="11">
        <f>'Input Sheet'!B104</f>
        <v>2355</v>
      </c>
      <c r="E106" s="8">
        <f>'Input Sheet'!H104</f>
        <v>128.80000000000001</v>
      </c>
      <c r="F106" s="61">
        <f>'Input Sheet'!C104/100</f>
        <v>1</v>
      </c>
      <c r="G106" s="61">
        <f>'Input Sheet'!F104/100</f>
        <v>1</v>
      </c>
      <c r="H106" s="2">
        <f t="shared" si="9"/>
        <v>5</v>
      </c>
      <c r="I106" s="2">
        <f t="shared" si="10"/>
        <v>5</v>
      </c>
      <c r="J106" s="60">
        <f t="shared" si="15"/>
        <v>5</v>
      </c>
      <c r="K106" s="2">
        <f t="shared" si="11"/>
        <v>5</v>
      </c>
      <c r="L106" s="2">
        <f t="shared" si="12"/>
        <v>5</v>
      </c>
      <c r="M106" s="2" t="str">
        <f>'Input Sheet'!E104</f>
        <v>M</v>
      </c>
      <c r="N106" s="2">
        <f t="shared" si="13"/>
        <v>3</v>
      </c>
      <c r="P106">
        <f t="shared" si="14"/>
        <v>0</v>
      </c>
      <c r="Q106">
        <f t="shared" si="14"/>
        <v>0</v>
      </c>
      <c r="R106">
        <f t="shared" si="14"/>
        <v>5</v>
      </c>
      <c r="S106">
        <f t="shared" si="14"/>
        <v>0</v>
      </c>
      <c r="T106">
        <f t="shared" si="14"/>
        <v>0</v>
      </c>
    </row>
    <row r="107" spans="1:20" ht="16.5" x14ac:dyDescent="0.25">
      <c r="A107" s="10" t="str">
        <f>'Long Sample Name'!A103</f>
        <v>Sample 2360m: 0% Siltstone, 100% fine to medium Sandstone, 100% moderately bright FLUOR in SST. TG 109.8U</v>
      </c>
      <c r="B107" s="1" t="str">
        <f ca="1">'Input Sheet'!K105</f>
        <v/>
      </c>
      <c r="C107" s="7" t="str">
        <f ca="1">'Input Sheet'!L105</f>
        <v/>
      </c>
      <c r="D107" s="11">
        <f>'Input Sheet'!B105</f>
        <v>2360</v>
      </c>
      <c r="E107" s="8">
        <f>'Input Sheet'!H105</f>
        <v>109.8</v>
      </c>
      <c r="F107" s="61">
        <f>'Input Sheet'!C105/100</f>
        <v>1</v>
      </c>
      <c r="G107" s="61">
        <f>'Input Sheet'!F105/100</f>
        <v>1</v>
      </c>
      <c r="H107" s="2">
        <f t="shared" si="9"/>
        <v>5</v>
      </c>
      <c r="I107" s="2">
        <f t="shared" si="10"/>
        <v>5</v>
      </c>
      <c r="J107" s="60">
        <f t="shared" si="15"/>
        <v>5</v>
      </c>
      <c r="K107" s="2">
        <f t="shared" si="11"/>
        <v>5</v>
      </c>
      <c r="L107" s="2">
        <f t="shared" si="12"/>
        <v>5</v>
      </c>
      <c r="M107" s="2" t="str">
        <f>'Input Sheet'!E105</f>
        <v>M</v>
      </c>
      <c r="N107" s="2">
        <f t="shared" si="13"/>
        <v>3</v>
      </c>
      <c r="P107">
        <f t="shared" si="14"/>
        <v>0</v>
      </c>
      <c r="Q107">
        <f t="shared" si="14"/>
        <v>0</v>
      </c>
      <c r="R107">
        <f t="shared" si="14"/>
        <v>5</v>
      </c>
      <c r="S107">
        <f t="shared" si="14"/>
        <v>0</v>
      </c>
      <c r="T107">
        <f t="shared" si="14"/>
        <v>0</v>
      </c>
    </row>
    <row r="108" spans="1:20" ht="16.5" x14ac:dyDescent="0.25">
      <c r="A108" s="10" t="str">
        <f>'Long Sample Name'!A104</f>
        <v>Sample 2365m: 5% Siltstone, 95% fine to medium Sandstone, 100% moderately bright FLUOR in SST. TG 109.6U</v>
      </c>
      <c r="B108" s="1" t="str">
        <f ca="1">'Input Sheet'!K106</f>
        <v/>
      </c>
      <c r="C108" s="7" t="str">
        <f ca="1">'Input Sheet'!L106</f>
        <v/>
      </c>
      <c r="D108" s="11">
        <f>'Input Sheet'!B106</f>
        <v>2365</v>
      </c>
      <c r="E108" s="8">
        <f>'Input Sheet'!H106</f>
        <v>109.6</v>
      </c>
      <c r="F108" s="61">
        <f>'Input Sheet'!C106/100</f>
        <v>0.95</v>
      </c>
      <c r="G108" s="61">
        <f>'Input Sheet'!F106/100</f>
        <v>1</v>
      </c>
      <c r="H108" s="2">
        <f t="shared" si="9"/>
        <v>5</v>
      </c>
      <c r="I108" s="2">
        <f t="shared" si="10"/>
        <v>5</v>
      </c>
      <c r="J108" s="60">
        <f t="shared" si="15"/>
        <v>4.75</v>
      </c>
      <c r="K108" s="2">
        <f t="shared" si="11"/>
        <v>5</v>
      </c>
      <c r="L108" s="2">
        <f t="shared" si="12"/>
        <v>4.75</v>
      </c>
      <c r="M108" s="2" t="str">
        <f>'Input Sheet'!E106</f>
        <v>M</v>
      </c>
      <c r="N108" s="2">
        <f t="shared" si="13"/>
        <v>3</v>
      </c>
      <c r="P108">
        <f t="shared" si="14"/>
        <v>0</v>
      </c>
      <c r="Q108">
        <f t="shared" si="14"/>
        <v>0</v>
      </c>
      <c r="R108">
        <f t="shared" si="14"/>
        <v>5</v>
      </c>
      <c r="S108">
        <f t="shared" si="14"/>
        <v>0</v>
      </c>
      <c r="T108">
        <f t="shared" si="14"/>
        <v>0</v>
      </c>
    </row>
    <row r="109" spans="1:20" ht="16.5" x14ac:dyDescent="0.25">
      <c r="A109" s="10" t="str">
        <f>'Long Sample Name'!A105</f>
        <v>Sample 2370m: 5% Siltstone, 95% fine to medium Sandstone, 100% moderately bright FLUOR in SST. TG 117.2U</v>
      </c>
      <c r="B109" s="1" t="str">
        <f ca="1">'Input Sheet'!K107</f>
        <v/>
      </c>
      <c r="C109" s="7" t="str">
        <f ca="1">'Input Sheet'!L107</f>
        <v/>
      </c>
      <c r="D109" s="11">
        <f>'Input Sheet'!B107</f>
        <v>2370</v>
      </c>
      <c r="E109" s="8">
        <f>'Input Sheet'!H107</f>
        <v>117.2</v>
      </c>
      <c r="F109" s="61">
        <f>'Input Sheet'!C107/100</f>
        <v>0.95</v>
      </c>
      <c r="G109" s="61">
        <f>'Input Sheet'!F107/100</f>
        <v>1</v>
      </c>
      <c r="H109" s="2">
        <f t="shared" si="9"/>
        <v>5</v>
      </c>
      <c r="I109" s="2">
        <f t="shared" si="10"/>
        <v>5</v>
      </c>
      <c r="J109" s="60">
        <f t="shared" si="15"/>
        <v>4.75</v>
      </c>
      <c r="K109" s="2">
        <f t="shared" si="11"/>
        <v>5</v>
      </c>
      <c r="L109" s="2">
        <f t="shared" si="12"/>
        <v>4.75</v>
      </c>
      <c r="M109" s="2" t="str">
        <f>'Input Sheet'!E107</f>
        <v>M</v>
      </c>
      <c r="N109" s="2">
        <f t="shared" si="13"/>
        <v>3</v>
      </c>
      <c r="P109">
        <f t="shared" si="14"/>
        <v>0</v>
      </c>
      <c r="Q109">
        <f t="shared" si="14"/>
        <v>0</v>
      </c>
      <c r="R109">
        <f t="shared" si="14"/>
        <v>5</v>
      </c>
      <c r="S109">
        <f t="shared" si="14"/>
        <v>0</v>
      </c>
      <c r="T109">
        <f t="shared" si="14"/>
        <v>0</v>
      </c>
    </row>
    <row r="110" spans="1:20" ht="16.5" x14ac:dyDescent="0.25">
      <c r="A110" s="10" t="str">
        <f>'Long Sample Name'!A106</f>
        <v>Sample 2375m: 10% Siltstone, 90% fine to medium Sandstone, 100% moderately bright FLUOR in SST. TG 125.9U</v>
      </c>
      <c r="B110" s="1" t="str">
        <f ca="1">'Input Sheet'!K108</f>
        <v/>
      </c>
      <c r="C110" s="7" t="str">
        <f ca="1">'Input Sheet'!L108</f>
        <v/>
      </c>
      <c r="D110" s="11">
        <f>'Input Sheet'!B108</f>
        <v>2375</v>
      </c>
      <c r="E110" s="8">
        <f>'Input Sheet'!H108</f>
        <v>125.9</v>
      </c>
      <c r="F110" s="61">
        <f>'Input Sheet'!C108/100</f>
        <v>0.9</v>
      </c>
      <c r="G110" s="61">
        <f>'Input Sheet'!F108/100</f>
        <v>1</v>
      </c>
      <c r="H110" s="2">
        <f t="shared" si="9"/>
        <v>5</v>
      </c>
      <c r="I110" s="2">
        <f t="shared" si="10"/>
        <v>5</v>
      </c>
      <c r="J110" s="60">
        <f t="shared" si="15"/>
        <v>4.5</v>
      </c>
      <c r="K110" s="2">
        <f t="shared" si="11"/>
        <v>5</v>
      </c>
      <c r="L110" s="2">
        <f t="shared" si="12"/>
        <v>4.5</v>
      </c>
      <c r="M110" s="2" t="str">
        <f>'Input Sheet'!E108</f>
        <v>M</v>
      </c>
      <c r="N110" s="2">
        <f t="shared" si="13"/>
        <v>3</v>
      </c>
      <c r="P110">
        <f t="shared" ref="P110:T160" si="16">IF($M110=P$1,$H110,0)</f>
        <v>0</v>
      </c>
      <c r="Q110">
        <f t="shared" si="16"/>
        <v>0</v>
      </c>
      <c r="R110">
        <f t="shared" si="16"/>
        <v>5</v>
      </c>
      <c r="S110">
        <f t="shared" si="16"/>
        <v>0</v>
      </c>
      <c r="T110">
        <f t="shared" si="16"/>
        <v>0</v>
      </c>
    </row>
    <row r="111" spans="1:20" ht="16.5" x14ac:dyDescent="0.25">
      <c r="A111" s="10" t="str">
        <f>'Long Sample Name'!A107</f>
        <v>Sample 2380m: 10% Siltstone, 90% fine to medium Sandstone, 100% moderately bright FLUOR in SST. TG 115.6U</v>
      </c>
      <c r="B111" s="1" t="str">
        <f ca="1">'Input Sheet'!K109</f>
        <v/>
      </c>
      <c r="C111" s="7" t="str">
        <f ca="1">'Input Sheet'!L109</f>
        <v/>
      </c>
      <c r="D111" s="11">
        <f>'Input Sheet'!B109</f>
        <v>2380</v>
      </c>
      <c r="E111" s="8">
        <f>'Input Sheet'!H109</f>
        <v>115.6</v>
      </c>
      <c r="F111" s="61">
        <f>'Input Sheet'!C109/100</f>
        <v>0.9</v>
      </c>
      <c r="G111" s="61">
        <f>'Input Sheet'!F109/100</f>
        <v>1</v>
      </c>
      <c r="H111" s="2">
        <f t="shared" si="9"/>
        <v>5</v>
      </c>
      <c r="I111" s="2">
        <f t="shared" si="10"/>
        <v>5</v>
      </c>
      <c r="J111" s="60">
        <f t="shared" si="15"/>
        <v>4.5</v>
      </c>
      <c r="K111" s="2">
        <f t="shared" si="11"/>
        <v>5</v>
      </c>
      <c r="L111" s="2">
        <f t="shared" si="12"/>
        <v>4.5</v>
      </c>
      <c r="M111" s="2" t="str">
        <f>'Input Sheet'!E109</f>
        <v>M</v>
      </c>
      <c r="N111" s="2">
        <f t="shared" si="13"/>
        <v>3</v>
      </c>
      <c r="P111">
        <f t="shared" si="16"/>
        <v>0</v>
      </c>
      <c r="Q111">
        <f t="shared" si="16"/>
        <v>0</v>
      </c>
      <c r="R111">
        <f t="shared" si="16"/>
        <v>5</v>
      </c>
      <c r="S111">
        <f t="shared" si="16"/>
        <v>0</v>
      </c>
      <c r="T111">
        <f t="shared" si="16"/>
        <v>0</v>
      </c>
    </row>
    <row r="112" spans="1:20" ht="16.5" x14ac:dyDescent="0.25">
      <c r="A112" s="10" t="str">
        <f>'Long Sample Name'!A108</f>
        <v>Sample 2385m: 0% Siltstone, 100% fine to medium Sandstone, 100% moderately bright FLUOR in SST. TG 122.2U</v>
      </c>
      <c r="B112" s="1" t="str">
        <f ca="1">'Input Sheet'!K110</f>
        <v/>
      </c>
      <c r="C112" s="7" t="str">
        <f ca="1">'Input Sheet'!L110</f>
        <v/>
      </c>
      <c r="D112" s="11">
        <f>'Input Sheet'!B110</f>
        <v>2385</v>
      </c>
      <c r="E112" s="8">
        <f>'Input Sheet'!H110</f>
        <v>122.2</v>
      </c>
      <c r="F112" s="61">
        <f>'Input Sheet'!C110/100</f>
        <v>1</v>
      </c>
      <c r="G112" s="61">
        <f>'Input Sheet'!F110/100</f>
        <v>1</v>
      </c>
      <c r="H112" s="2">
        <f t="shared" si="9"/>
        <v>5</v>
      </c>
      <c r="I112" s="2">
        <f t="shared" si="10"/>
        <v>5</v>
      </c>
      <c r="J112" s="60">
        <f t="shared" si="15"/>
        <v>5</v>
      </c>
      <c r="K112" s="2">
        <f t="shared" si="11"/>
        <v>5</v>
      </c>
      <c r="L112" s="2">
        <f t="shared" si="12"/>
        <v>5</v>
      </c>
      <c r="M112" s="2" t="str">
        <f>'Input Sheet'!E110</f>
        <v>M</v>
      </c>
      <c r="N112" s="2">
        <f t="shared" si="13"/>
        <v>3</v>
      </c>
      <c r="P112">
        <f t="shared" si="16"/>
        <v>0</v>
      </c>
      <c r="Q112">
        <f t="shared" si="16"/>
        <v>0</v>
      </c>
      <c r="R112">
        <f t="shared" si="16"/>
        <v>5</v>
      </c>
      <c r="S112">
        <f t="shared" si="16"/>
        <v>0</v>
      </c>
      <c r="T112">
        <f t="shared" si="16"/>
        <v>0</v>
      </c>
    </row>
    <row r="113" spans="1:20" ht="16.5" x14ac:dyDescent="0.25">
      <c r="A113" s="10" t="str">
        <f>'Long Sample Name'!A109</f>
        <v>Sample 2390m: 0% Siltstone, 100% fine to medium Sandstone, 100% moderately bright FLUOR in SST. TG 148.9U</v>
      </c>
      <c r="B113" s="1" t="str">
        <f ca="1">'Input Sheet'!K111</f>
        <v/>
      </c>
      <c r="C113" s="7" t="str">
        <f ca="1">'Input Sheet'!L111</f>
        <v/>
      </c>
      <c r="D113" s="11">
        <f>'Input Sheet'!B111</f>
        <v>2390</v>
      </c>
      <c r="E113" s="8">
        <f>'Input Sheet'!H111</f>
        <v>148.9</v>
      </c>
      <c r="F113" s="61">
        <f>'Input Sheet'!C111/100</f>
        <v>1</v>
      </c>
      <c r="G113" s="61">
        <f>'Input Sheet'!F111/100</f>
        <v>1</v>
      </c>
      <c r="H113" s="2">
        <f t="shared" si="9"/>
        <v>5</v>
      </c>
      <c r="I113" s="2">
        <f t="shared" si="10"/>
        <v>5</v>
      </c>
      <c r="J113" s="60">
        <f t="shared" si="15"/>
        <v>5</v>
      </c>
      <c r="K113" s="2">
        <f t="shared" si="11"/>
        <v>5</v>
      </c>
      <c r="L113" s="2">
        <f t="shared" si="12"/>
        <v>5</v>
      </c>
      <c r="M113" s="2" t="str">
        <f>'Input Sheet'!E111</f>
        <v>M</v>
      </c>
      <c r="N113" s="2">
        <f t="shared" si="13"/>
        <v>3</v>
      </c>
      <c r="P113">
        <f t="shared" si="16"/>
        <v>0</v>
      </c>
      <c r="Q113">
        <f t="shared" si="16"/>
        <v>0</v>
      </c>
      <c r="R113">
        <f t="shared" si="16"/>
        <v>5</v>
      </c>
      <c r="S113">
        <f t="shared" si="16"/>
        <v>0</v>
      </c>
      <c r="T113">
        <f t="shared" si="16"/>
        <v>0</v>
      </c>
    </row>
    <row r="114" spans="1:20" ht="16.5" x14ac:dyDescent="0.25">
      <c r="A114" s="10" t="str">
        <f>'Long Sample Name'!A110</f>
        <v>Sample 2395m: 20% Siltstone, 80% fine to medium Sandstone, 100% moderately bright FLUOR in SST. TG 140U</v>
      </c>
      <c r="B114" s="1" t="str">
        <f ca="1">'Input Sheet'!K112</f>
        <v/>
      </c>
      <c r="C114" s="7" t="str">
        <f ca="1">'Input Sheet'!L112</f>
        <v/>
      </c>
      <c r="D114" s="11">
        <f>'Input Sheet'!B112</f>
        <v>2395</v>
      </c>
      <c r="E114" s="8">
        <f>'Input Sheet'!H112</f>
        <v>140</v>
      </c>
      <c r="F114" s="61">
        <f>'Input Sheet'!C112/100</f>
        <v>0.8</v>
      </c>
      <c r="G114" s="61">
        <f>'Input Sheet'!F112/100</f>
        <v>1</v>
      </c>
      <c r="H114" s="2">
        <f t="shared" si="9"/>
        <v>5</v>
      </c>
      <c r="I114" s="2">
        <f t="shared" si="10"/>
        <v>5</v>
      </c>
      <c r="J114" s="60">
        <f t="shared" si="15"/>
        <v>4</v>
      </c>
      <c r="K114" s="2">
        <f t="shared" si="11"/>
        <v>5</v>
      </c>
      <c r="L114" s="2">
        <f t="shared" si="12"/>
        <v>4</v>
      </c>
      <c r="M114" s="2" t="str">
        <f>'Input Sheet'!E112</f>
        <v>M</v>
      </c>
      <c r="N114" s="2">
        <f t="shared" si="13"/>
        <v>3</v>
      </c>
      <c r="P114">
        <f t="shared" si="16"/>
        <v>0</v>
      </c>
      <c r="Q114">
        <f t="shared" si="16"/>
        <v>0</v>
      </c>
      <c r="R114">
        <f t="shared" si="16"/>
        <v>5</v>
      </c>
      <c r="S114">
        <f t="shared" si="16"/>
        <v>0</v>
      </c>
      <c r="T114">
        <f t="shared" si="16"/>
        <v>0</v>
      </c>
    </row>
    <row r="115" spans="1:20" ht="16.5" x14ac:dyDescent="0.25">
      <c r="A115" s="10" t="str">
        <f>'Long Sample Name'!A111</f>
        <v>Sample 2400m: 20% Siltstone, 80% fine to medium Sandstone, 100% moderately bright FLUOR in SST. TG 78.5U</v>
      </c>
      <c r="B115" s="1" t="str">
        <f ca="1">'Input Sheet'!K113</f>
        <v/>
      </c>
      <c r="C115" s="7" t="str">
        <f ca="1">'Input Sheet'!L113</f>
        <v/>
      </c>
      <c r="D115" s="11">
        <f>'Input Sheet'!B113</f>
        <v>2400</v>
      </c>
      <c r="E115" s="8">
        <f>'Input Sheet'!H113</f>
        <v>78.5</v>
      </c>
      <c r="F115" s="61">
        <f>'Input Sheet'!C113/100</f>
        <v>0.8</v>
      </c>
      <c r="G115" s="61">
        <f>'Input Sheet'!F113/100</f>
        <v>1</v>
      </c>
      <c r="H115" s="2">
        <f t="shared" si="9"/>
        <v>5</v>
      </c>
      <c r="I115" s="2">
        <f t="shared" si="10"/>
        <v>5</v>
      </c>
      <c r="J115" s="60">
        <f t="shared" si="15"/>
        <v>4</v>
      </c>
      <c r="K115" s="2">
        <f t="shared" si="11"/>
        <v>5</v>
      </c>
      <c r="L115" s="2">
        <f t="shared" si="12"/>
        <v>4</v>
      </c>
      <c r="M115" s="2" t="str">
        <f>'Input Sheet'!E113</f>
        <v>M</v>
      </c>
      <c r="N115" s="2">
        <f t="shared" si="13"/>
        <v>3</v>
      </c>
      <c r="P115">
        <f t="shared" si="16"/>
        <v>0</v>
      </c>
      <c r="Q115">
        <f t="shared" si="16"/>
        <v>0</v>
      </c>
      <c r="R115">
        <f t="shared" si="16"/>
        <v>5</v>
      </c>
      <c r="S115">
        <f t="shared" si="16"/>
        <v>0</v>
      </c>
      <c r="T115">
        <f t="shared" si="16"/>
        <v>0</v>
      </c>
    </row>
    <row r="116" spans="1:20" ht="16.5" x14ac:dyDescent="0.25">
      <c r="A116" s="10" t="str">
        <f>'Long Sample Name'!A112</f>
        <v>Sample 2405m: 5% Siltstone, 95% fine to medium Sandstone, 100% bright FLUOR in SST. TG 95.2U</v>
      </c>
      <c r="B116" s="1" t="str">
        <f ca="1">'Input Sheet'!K114</f>
        <v/>
      </c>
      <c r="C116" s="7" t="str">
        <f ca="1">'Input Sheet'!L114</f>
        <v/>
      </c>
      <c r="D116" s="11">
        <f>'Input Sheet'!B114</f>
        <v>2405</v>
      </c>
      <c r="E116" s="8">
        <f>'Input Sheet'!H114</f>
        <v>95.2</v>
      </c>
      <c r="F116" s="61">
        <f>'Input Sheet'!C114/100</f>
        <v>0.95</v>
      </c>
      <c r="G116" s="61">
        <f>'Input Sheet'!F114/100</f>
        <v>1</v>
      </c>
      <c r="H116" s="2">
        <f t="shared" si="9"/>
        <v>5</v>
      </c>
      <c r="I116" s="2">
        <f t="shared" si="10"/>
        <v>5</v>
      </c>
      <c r="J116" s="60">
        <f t="shared" si="15"/>
        <v>4.75</v>
      </c>
      <c r="K116" s="2">
        <f t="shared" si="11"/>
        <v>5</v>
      </c>
      <c r="L116" s="2">
        <f t="shared" si="12"/>
        <v>4.75</v>
      </c>
      <c r="M116" s="2" t="str">
        <f>'Input Sheet'!E114</f>
        <v>M</v>
      </c>
      <c r="N116" s="2">
        <f t="shared" si="13"/>
        <v>3</v>
      </c>
      <c r="P116">
        <f t="shared" si="16"/>
        <v>0</v>
      </c>
      <c r="Q116">
        <f t="shared" si="16"/>
        <v>0</v>
      </c>
      <c r="R116">
        <f t="shared" si="16"/>
        <v>5</v>
      </c>
      <c r="S116">
        <f t="shared" si="16"/>
        <v>0</v>
      </c>
      <c r="T116">
        <f t="shared" si="16"/>
        <v>0</v>
      </c>
    </row>
    <row r="117" spans="1:20" ht="16.5" x14ac:dyDescent="0.25">
      <c r="A117" s="10" t="str">
        <f>'Long Sample Name'!A113</f>
        <v>Sample 2410m: 5% Siltstone, 95% fine to medium Sandstone, 100% bright FLUOR in SST. TG 114.9U</v>
      </c>
      <c r="B117" s="1" t="str">
        <f ca="1">'Input Sheet'!K115</f>
        <v/>
      </c>
      <c r="C117" s="7" t="str">
        <f ca="1">'Input Sheet'!L115</f>
        <v/>
      </c>
      <c r="D117" s="11">
        <f>'Input Sheet'!B115</f>
        <v>2410</v>
      </c>
      <c r="E117" s="8">
        <f>'Input Sheet'!H115</f>
        <v>114.9</v>
      </c>
      <c r="F117" s="61">
        <f>'Input Sheet'!C115/100</f>
        <v>0.95</v>
      </c>
      <c r="G117" s="61">
        <f>'Input Sheet'!F115/100</f>
        <v>1</v>
      </c>
      <c r="H117" s="2">
        <f t="shared" si="9"/>
        <v>5</v>
      </c>
      <c r="I117" s="2">
        <f t="shared" si="10"/>
        <v>5</v>
      </c>
      <c r="J117" s="60">
        <f t="shared" si="15"/>
        <v>4.75</v>
      </c>
      <c r="K117" s="2">
        <f t="shared" si="11"/>
        <v>5</v>
      </c>
      <c r="L117" s="2">
        <f t="shared" si="12"/>
        <v>4.75</v>
      </c>
      <c r="M117" s="2" t="str">
        <f>'Input Sheet'!E115</f>
        <v>M</v>
      </c>
      <c r="N117" s="2">
        <f t="shared" si="13"/>
        <v>3</v>
      </c>
      <c r="P117">
        <f t="shared" si="16"/>
        <v>0</v>
      </c>
      <c r="Q117">
        <f t="shared" si="16"/>
        <v>0</v>
      </c>
      <c r="R117">
        <f t="shared" si="16"/>
        <v>5</v>
      </c>
      <c r="S117">
        <f t="shared" si="16"/>
        <v>0</v>
      </c>
      <c r="T117">
        <f t="shared" si="16"/>
        <v>0</v>
      </c>
    </row>
    <row r="118" spans="1:20" ht="16.5" x14ac:dyDescent="0.25">
      <c r="A118" s="10" t="str">
        <f>'Long Sample Name'!A114</f>
        <v>Sample 2415m: 10% Siltstone, 90% fine to medium Sandstone, 100% bright FLUOR in SST. TG 108.9U</v>
      </c>
      <c r="B118" s="1" t="str">
        <f ca="1">'Input Sheet'!K116</f>
        <v/>
      </c>
      <c r="C118" s="7" t="str">
        <f ca="1">'Input Sheet'!L116</f>
        <v/>
      </c>
      <c r="D118" s="11">
        <f>'Input Sheet'!B116</f>
        <v>2415</v>
      </c>
      <c r="E118" s="8">
        <f>'Input Sheet'!H116</f>
        <v>108.9</v>
      </c>
      <c r="F118" s="61">
        <f>'Input Sheet'!C116/100</f>
        <v>0.9</v>
      </c>
      <c r="G118" s="61">
        <f>'Input Sheet'!F116/100</f>
        <v>1</v>
      </c>
      <c r="H118" s="2">
        <f t="shared" si="9"/>
        <v>5</v>
      </c>
      <c r="I118" s="2">
        <f t="shared" si="10"/>
        <v>5</v>
      </c>
      <c r="J118" s="60">
        <f t="shared" si="15"/>
        <v>4.5</v>
      </c>
      <c r="K118" s="2">
        <f t="shared" si="11"/>
        <v>5</v>
      </c>
      <c r="L118" s="2">
        <f t="shared" si="12"/>
        <v>4.5</v>
      </c>
      <c r="M118" s="2" t="str">
        <f>'Input Sheet'!E116</f>
        <v>M</v>
      </c>
      <c r="N118" s="2">
        <f t="shared" si="13"/>
        <v>3</v>
      </c>
      <c r="P118">
        <f t="shared" si="16"/>
        <v>0</v>
      </c>
      <c r="Q118">
        <f t="shared" si="16"/>
        <v>0</v>
      </c>
      <c r="R118">
        <f t="shared" si="16"/>
        <v>5</v>
      </c>
      <c r="S118">
        <f t="shared" si="16"/>
        <v>0</v>
      </c>
      <c r="T118">
        <f t="shared" si="16"/>
        <v>0</v>
      </c>
    </row>
    <row r="119" spans="1:20" ht="16.5" x14ac:dyDescent="0.25">
      <c r="A119" s="10" t="str">
        <f>'Long Sample Name'!A115</f>
        <v>Sample 2420m: 10% Siltstone, 90% fine to medium Sandstone, 100% bright FLUOR in SST. TG 80.9U</v>
      </c>
      <c r="B119" s="1" t="str">
        <f ca="1">'Input Sheet'!K117</f>
        <v/>
      </c>
      <c r="C119" s="7" t="str">
        <f ca="1">'Input Sheet'!L117</f>
        <v/>
      </c>
      <c r="D119" s="11">
        <f>'Input Sheet'!B117</f>
        <v>2420</v>
      </c>
      <c r="E119" s="8">
        <f>'Input Sheet'!H117</f>
        <v>80.900000000000006</v>
      </c>
      <c r="F119" s="61">
        <f>'Input Sheet'!C117/100</f>
        <v>0.9</v>
      </c>
      <c r="G119" s="61">
        <f>'Input Sheet'!F117/100</f>
        <v>1</v>
      </c>
      <c r="H119" s="2">
        <f t="shared" si="9"/>
        <v>5</v>
      </c>
      <c r="I119" s="2">
        <f t="shared" si="10"/>
        <v>5</v>
      </c>
      <c r="J119" s="60">
        <f t="shared" si="15"/>
        <v>4.5</v>
      </c>
      <c r="K119" s="2">
        <f t="shared" si="11"/>
        <v>5</v>
      </c>
      <c r="L119" s="2">
        <f t="shared" si="12"/>
        <v>4.5</v>
      </c>
      <c r="M119" s="2" t="str">
        <f>'Input Sheet'!E117</f>
        <v>M</v>
      </c>
      <c r="N119" s="2">
        <f t="shared" si="13"/>
        <v>3</v>
      </c>
      <c r="P119">
        <f t="shared" si="16"/>
        <v>0</v>
      </c>
      <c r="Q119">
        <f t="shared" si="16"/>
        <v>0</v>
      </c>
      <c r="R119">
        <f t="shared" si="16"/>
        <v>5</v>
      </c>
      <c r="S119">
        <f t="shared" si="16"/>
        <v>0</v>
      </c>
      <c r="T119">
        <f t="shared" si="16"/>
        <v>0</v>
      </c>
    </row>
    <row r="120" spans="1:20" ht="16.5" x14ac:dyDescent="0.25">
      <c r="A120" s="10" t="str">
        <f>'Long Sample Name'!A116</f>
        <v>Sample 2425m: 10% Siltstone, 90% fine to medium Sandstone, 100% bright FLUOR in SST. TG 71.9U</v>
      </c>
      <c r="B120" s="1" t="str">
        <f ca="1">'Input Sheet'!K118</f>
        <v/>
      </c>
      <c r="C120" s="7" t="str">
        <f ca="1">'Input Sheet'!L118</f>
        <v/>
      </c>
      <c r="D120" s="11">
        <f>'Input Sheet'!B118</f>
        <v>2425</v>
      </c>
      <c r="E120" s="8">
        <f>'Input Sheet'!H118</f>
        <v>71.900000000000006</v>
      </c>
      <c r="F120" s="61">
        <f>'Input Sheet'!C118/100</f>
        <v>0.9</v>
      </c>
      <c r="G120" s="61">
        <f>'Input Sheet'!F118/100</f>
        <v>1</v>
      </c>
      <c r="H120" s="2">
        <f t="shared" si="9"/>
        <v>5</v>
      </c>
      <c r="I120" s="2">
        <f t="shared" si="10"/>
        <v>5</v>
      </c>
      <c r="J120" s="60">
        <f t="shared" si="15"/>
        <v>4.5</v>
      </c>
      <c r="K120" s="2">
        <f t="shared" si="11"/>
        <v>5</v>
      </c>
      <c r="L120" s="2">
        <f t="shared" si="12"/>
        <v>4.5</v>
      </c>
      <c r="M120" s="2" t="str">
        <f>'Input Sheet'!E118</f>
        <v>M</v>
      </c>
      <c r="N120" s="2">
        <f t="shared" si="13"/>
        <v>3</v>
      </c>
      <c r="P120">
        <f t="shared" si="16"/>
        <v>0</v>
      </c>
      <c r="Q120">
        <f t="shared" si="16"/>
        <v>0</v>
      </c>
      <c r="R120">
        <f t="shared" si="16"/>
        <v>5</v>
      </c>
      <c r="S120">
        <f t="shared" si="16"/>
        <v>0</v>
      </c>
      <c r="T120">
        <f t="shared" si="16"/>
        <v>0</v>
      </c>
    </row>
    <row r="121" spans="1:20" ht="16.5" x14ac:dyDescent="0.25">
      <c r="A121" s="10" t="str">
        <f>'Long Sample Name'!A117</f>
        <v>Sample 2430m: 10% Siltstone, 90% fine to medium Sandstone, 100% bright FLUOR in SST. TG 105.1U</v>
      </c>
      <c r="B121" s="1" t="str">
        <f ca="1">'Input Sheet'!K119</f>
        <v/>
      </c>
      <c r="C121" s="7" t="str">
        <f ca="1">'Input Sheet'!L119</f>
        <v/>
      </c>
      <c r="D121" s="11">
        <f>'Input Sheet'!B119</f>
        <v>2430</v>
      </c>
      <c r="E121" s="8">
        <f>'Input Sheet'!H119</f>
        <v>105.1</v>
      </c>
      <c r="F121" s="61">
        <f>'Input Sheet'!C119/100</f>
        <v>0.9</v>
      </c>
      <c r="G121" s="61">
        <f>'Input Sheet'!F119/100</f>
        <v>1</v>
      </c>
      <c r="H121" s="2">
        <f t="shared" si="9"/>
        <v>5</v>
      </c>
      <c r="I121" s="2">
        <f t="shared" si="10"/>
        <v>5</v>
      </c>
      <c r="J121" s="60">
        <f t="shared" si="15"/>
        <v>4.5</v>
      </c>
      <c r="K121" s="2">
        <f t="shared" si="11"/>
        <v>5</v>
      </c>
      <c r="L121" s="2">
        <f t="shared" si="12"/>
        <v>4.5</v>
      </c>
      <c r="M121" s="2" t="str">
        <f>'Input Sheet'!E119</f>
        <v>M</v>
      </c>
      <c r="N121" s="2">
        <f t="shared" si="13"/>
        <v>3</v>
      </c>
      <c r="P121">
        <f t="shared" si="16"/>
        <v>0</v>
      </c>
      <c r="Q121">
        <f t="shared" si="16"/>
        <v>0</v>
      </c>
      <c r="R121">
        <f t="shared" si="16"/>
        <v>5</v>
      </c>
      <c r="S121">
        <f t="shared" si="16"/>
        <v>0</v>
      </c>
      <c r="T121">
        <f t="shared" si="16"/>
        <v>0</v>
      </c>
    </row>
    <row r="122" spans="1:20" ht="16.5" x14ac:dyDescent="0.25">
      <c r="A122" s="10" t="str">
        <f>'Long Sample Name'!A118</f>
        <v>Sample 2435m: 5% Siltstone, 95% fine to medium Sandstone, 100% bright FLUOR in SST. TG 64.2U</v>
      </c>
      <c r="B122" s="1" t="str">
        <f ca="1">'Input Sheet'!K120</f>
        <v/>
      </c>
      <c r="C122" s="7" t="str">
        <f ca="1">'Input Sheet'!L120</f>
        <v/>
      </c>
      <c r="D122" s="11">
        <f>'Input Sheet'!B120</f>
        <v>2435</v>
      </c>
      <c r="E122" s="8">
        <f>'Input Sheet'!H120</f>
        <v>64.2</v>
      </c>
      <c r="F122" s="61">
        <f>'Input Sheet'!C120/100</f>
        <v>0.95</v>
      </c>
      <c r="G122" s="61">
        <f>'Input Sheet'!F120/100</f>
        <v>1</v>
      </c>
      <c r="H122" s="2">
        <f t="shared" ref="H122:H185" si="17">IF(D122&lt;&gt;"",D122-D121,"")</f>
        <v>5</v>
      </c>
      <c r="I122" s="2">
        <f t="shared" ref="I122:I185" si="18">IF(AND(F122&gt;=$F$2,G122&gt;=$G$2),H122,0)</f>
        <v>5</v>
      </c>
      <c r="J122" s="60">
        <f t="shared" si="15"/>
        <v>4.75</v>
      </c>
      <c r="K122" s="2">
        <f t="shared" ref="K122:K185" si="19">IF(AND(F122&gt;=$F$3,G122&gt;=$G$3),H122,0)</f>
        <v>5</v>
      </c>
      <c r="L122" s="2">
        <f t="shared" ref="L122:L185" si="20">IF(K122&gt;0,K122*F122,0)</f>
        <v>4.75</v>
      </c>
      <c r="M122" s="2" t="str">
        <f>'Input Sheet'!E120</f>
        <v>M</v>
      </c>
      <c r="N122" s="2">
        <f t="shared" ref="N122:N185" si="21">IF(M122="VF",1,IF(M122="F",2,IF(M122="M",3,IF(M122="C",4,IF(M122="VC",5,0)))))</f>
        <v>3</v>
      </c>
      <c r="P122">
        <f t="shared" si="16"/>
        <v>0</v>
      </c>
      <c r="Q122">
        <f t="shared" si="16"/>
        <v>0</v>
      </c>
      <c r="R122">
        <f t="shared" si="16"/>
        <v>5</v>
      </c>
      <c r="S122">
        <f t="shared" si="16"/>
        <v>0</v>
      </c>
      <c r="T122">
        <f t="shared" si="16"/>
        <v>0</v>
      </c>
    </row>
    <row r="123" spans="1:20" ht="16.5" x14ac:dyDescent="0.25">
      <c r="A123" s="10" t="str">
        <f>'Long Sample Name'!A119</f>
        <v>Sample 2440m: 5% Siltstone, 95% fine to medium Sandstone, 100% bright FLUOR in SST. TG 125.5U</v>
      </c>
      <c r="B123" s="1" t="str">
        <f ca="1">'Input Sheet'!K121</f>
        <v/>
      </c>
      <c r="C123" s="7" t="str">
        <f ca="1">'Input Sheet'!L121</f>
        <v/>
      </c>
      <c r="D123" s="11">
        <f>'Input Sheet'!B121</f>
        <v>2440</v>
      </c>
      <c r="E123" s="8">
        <f>'Input Sheet'!H121</f>
        <v>125.5</v>
      </c>
      <c r="F123" s="61">
        <f>'Input Sheet'!C121/100</f>
        <v>0.95</v>
      </c>
      <c r="G123" s="61">
        <f>'Input Sheet'!F121/100</f>
        <v>1</v>
      </c>
      <c r="H123" s="2">
        <f t="shared" si="17"/>
        <v>5</v>
      </c>
      <c r="I123" s="2">
        <f t="shared" si="18"/>
        <v>5</v>
      </c>
      <c r="J123" s="60">
        <f t="shared" si="15"/>
        <v>4.75</v>
      </c>
      <c r="K123" s="2">
        <f t="shared" si="19"/>
        <v>5</v>
      </c>
      <c r="L123" s="2">
        <f t="shared" si="20"/>
        <v>4.75</v>
      </c>
      <c r="M123" s="2" t="str">
        <f>'Input Sheet'!E121</f>
        <v>M</v>
      </c>
      <c r="N123" s="2">
        <f t="shared" si="21"/>
        <v>3</v>
      </c>
      <c r="P123">
        <f t="shared" si="16"/>
        <v>0</v>
      </c>
      <c r="Q123">
        <f t="shared" si="16"/>
        <v>0</v>
      </c>
      <c r="R123">
        <f t="shared" si="16"/>
        <v>5</v>
      </c>
      <c r="S123">
        <f t="shared" si="16"/>
        <v>0</v>
      </c>
      <c r="T123">
        <f t="shared" si="16"/>
        <v>0</v>
      </c>
    </row>
    <row r="124" spans="1:20" ht="16.5" x14ac:dyDescent="0.25">
      <c r="A124" s="10" t="str">
        <f>'Long Sample Name'!A120</f>
        <v>Sample 2445m: 0% Siltstone, 100% fine to medium Sandstone, 100% bright FLUOR in SST. TG 115.3U</v>
      </c>
      <c r="B124" s="1" t="str">
        <f ca="1">'Input Sheet'!K122</f>
        <v/>
      </c>
      <c r="C124" s="7" t="str">
        <f ca="1">'Input Sheet'!L122</f>
        <v/>
      </c>
      <c r="D124" s="11">
        <f>'Input Sheet'!B122</f>
        <v>2445</v>
      </c>
      <c r="E124" s="8">
        <f>'Input Sheet'!H122</f>
        <v>115.3</v>
      </c>
      <c r="F124" s="61">
        <f>'Input Sheet'!C122/100</f>
        <v>1</v>
      </c>
      <c r="G124" s="61">
        <f>'Input Sheet'!F122/100</f>
        <v>1</v>
      </c>
      <c r="H124" s="2">
        <f t="shared" si="17"/>
        <v>5</v>
      </c>
      <c r="I124" s="2">
        <f t="shared" si="18"/>
        <v>5</v>
      </c>
      <c r="J124" s="60">
        <f t="shared" si="15"/>
        <v>5</v>
      </c>
      <c r="K124" s="2">
        <f t="shared" si="19"/>
        <v>5</v>
      </c>
      <c r="L124" s="2">
        <f t="shared" si="20"/>
        <v>5</v>
      </c>
      <c r="M124" s="2" t="str">
        <f>'Input Sheet'!E122</f>
        <v>M</v>
      </c>
      <c r="N124" s="2">
        <f t="shared" si="21"/>
        <v>3</v>
      </c>
      <c r="P124">
        <f t="shared" si="16"/>
        <v>0</v>
      </c>
      <c r="Q124">
        <f t="shared" si="16"/>
        <v>0</v>
      </c>
      <c r="R124">
        <f t="shared" si="16"/>
        <v>5</v>
      </c>
      <c r="S124">
        <f t="shared" si="16"/>
        <v>0</v>
      </c>
      <c r="T124">
        <f t="shared" si="16"/>
        <v>0</v>
      </c>
    </row>
    <row r="125" spans="1:20" ht="16.5" x14ac:dyDescent="0.25">
      <c r="A125" s="10" t="str">
        <f>'Long Sample Name'!A121</f>
        <v>Sample 2450m: 0% Siltstone, 100% fine to medium Sandstone, 100% bright FLUOR in SST. TG 121.7U</v>
      </c>
      <c r="B125" s="1" t="str">
        <f ca="1">'Input Sheet'!K123</f>
        <v/>
      </c>
      <c r="C125" s="7" t="str">
        <f ca="1">'Input Sheet'!L123</f>
        <v/>
      </c>
      <c r="D125" s="11">
        <f>'Input Sheet'!B123</f>
        <v>2450</v>
      </c>
      <c r="E125" s="8">
        <f>'Input Sheet'!H123</f>
        <v>121.7</v>
      </c>
      <c r="F125" s="61">
        <f>'Input Sheet'!C123/100</f>
        <v>1</v>
      </c>
      <c r="G125" s="61">
        <f>'Input Sheet'!F123/100</f>
        <v>1</v>
      </c>
      <c r="H125" s="2">
        <f t="shared" si="17"/>
        <v>5</v>
      </c>
      <c r="I125" s="2">
        <f t="shared" si="18"/>
        <v>5</v>
      </c>
      <c r="J125" s="60">
        <f t="shared" si="15"/>
        <v>5</v>
      </c>
      <c r="K125" s="2">
        <f t="shared" si="19"/>
        <v>5</v>
      </c>
      <c r="L125" s="2">
        <f t="shared" si="20"/>
        <v>5</v>
      </c>
      <c r="M125" s="2" t="str">
        <f>'Input Sheet'!E123</f>
        <v>M</v>
      </c>
      <c r="N125" s="2">
        <f t="shared" si="21"/>
        <v>3</v>
      </c>
      <c r="P125">
        <f t="shared" si="16"/>
        <v>0</v>
      </c>
      <c r="Q125">
        <f t="shared" si="16"/>
        <v>0</v>
      </c>
      <c r="R125">
        <f t="shared" si="16"/>
        <v>5</v>
      </c>
      <c r="S125">
        <f t="shared" si="16"/>
        <v>0</v>
      </c>
      <c r="T125">
        <f t="shared" si="16"/>
        <v>0</v>
      </c>
    </row>
    <row r="126" spans="1:20" ht="16.5" x14ac:dyDescent="0.25">
      <c r="A126" s="10" t="str">
        <f>'Long Sample Name'!A122</f>
        <v>Sample 2455m: 5% Siltstone, 95% fine to medium Sandstone, 100% bright FLUOR in SST. TG 80.2U</v>
      </c>
      <c r="B126" s="1" t="str">
        <f ca="1">'Input Sheet'!K124</f>
        <v/>
      </c>
      <c r="C126" s="7" t="str">
        <f ca="1">'Input Sheet'!L124</f>
        <v/>
      </c>
      <c r="D126" s="11">
        <f>'Input Sheet'!B124</f>
        <v>2455</v>
      </c>
      <c r="E126" s="8">
        <f>'Input Sheet'!H124</f>
        <v>80.2</v>
      </c>
      <c r="F126" s="61">
        <f>'Input Sheet'!C124/100</f>
        <v>0.95</v>
      </c>
      <c r="G126" s="61">
        <f>'Input Sheet'!F124/100</f>
        <v>1</v>
      </c>
      <c r="H126" s="2">
        <f t="shared" si="17"/>
        <v>5</v>
      </c>
      <c r="I126" s="2">
        <f t="shared" si="18"/>
        <v>5</v>
      </c>
      <c r="J126" s="60">
        <f t="shared" si="15"/>
        <v>4.75</v>
      </c>
      <c r="K126" s="2">
        <f t="shared" si="19"/>
        <v>5</v>
      </c>
      <c r="L126" s="2">
        <f t="shared" si="20"/>
        <v>4.75</v>
      </c>
      <c r="M126" s="2" t="str">
        <f>'Input Sheet'!E124</f>
        <v>M</v>
      </c>
      <c r="N126" s="2">
        <f t="shared" si="21"/>
        <v>3</v>
      </c>
      <c r="P126">
        <f t="shared" si="16"/>
        <v>0</v>
      </c>
      <c r="Q126">
        <f t="shared" si="16"/>
        <v>0</v>
      </c>
      <c r="R126">
        <f t="shared" si="16"/>
        <v>5</v>
      </c>
      <c r="S126">
        <f t="shared" si="16"/>
        <v>0</v>
      </c>
      <c r="T126">
        <f t="shared" si="16"/>
        <v>0</v>
      </c>
    </row>
    <row r="127" spans="1:20" ht="16.5" x14ac:dyDescent="0.25">
      <c r="A127" s="10" t="str">
        <f>'Long Sample Name'!A123</f>
        <v>Sample 2460m: 5% Siltstone, 95% fine to medium Sandstone, 100% bright FLUOR in SST. TG 113.7U</v>
      </c>
      <c r="B127" s="1" t="str">
        <f ca="1">'Input Sheet'!K125</f>
        <v/>
      </c>
      <c r="C127" s="7" t="str">
        <f ca="1">'Input Sheet'!L125</f>
        <v/>
      </c>
      <c r="D127" s="11">
        <f>'Input Sheet'!B125</f>
        <v>2460</v>
      </c>
      <c r="E127" s="8">
        <f>'Input Sheet'!H125</f>
        <v>113.7</v>
      </c>
      <c r="F127" s="61">
        <f>'Input Sheet'!C125/100</f>
        <v>0.95</v>
      </c>
      <c r="G127" s="61">
        <f>'Input Sheet'!F125/100</f>
        <v>1</v>
      </c>
      <c r="H127" s="2">
        <f t="shared" si="17"/>
        <v>5</v>
      </c>
      <c r="I127" s="2">
        <f t="shared" si="18"/>
        <v>5</v>
      </c>
      <c r="J127" s="60">
        <f t="shared" si="15"/>
        <v>4.75</v>
      </c>
      <c r="K127" s="2">
        <f t="shared" si="19"/>
        <v>5</v>
      </c>
      <c r="L127" s="2">
        <f t="shared" si="20"/>
        <v>4.75</v>
      </c>
      <c r="M127" s="2" t="str">
        <f>'Input Sheet'!E125</f>
        <v>M</v>
      </c>
      <c r="N127" s="2">
        <f t="shared" si="21"/>
        <v>3</v>
      </c>
      <c r="P127">
        <f t="shared" si="16"/>
        <v>0</v>
      </c>
      <c r="Q127">
        <f t="shared" si="16"/>
        <v>0</v>
      </c>
      <c r="R127">
        <f t="shared" si="16"/>
        <v>5</v>
      </c>
      <c r="S127">
        <f t="shared" si="16"/>
        <v>0</v>
      </c>
      <c r="T127">
        <f t="shared" si="16"/>
        <v>0</v>
      </c>
    </row>
    <row r="128" spans="1:20" ht="16.5" x14ac:dyDescent="0.25">
      <c r="A128" s="10" t="str">
        <f>'Long Sample Name'!A124</f>
        <v>Sample 2465m: 10% Siltstone, 90% fine to coarse Sandstone, 100% bright FLUOR in SST. TG 109.6U</v>
      </c>
      <c r="B128" s="1" t="str">
        <f ca="1">'Input Sheet'!K126</f>
        <v/>
      </c>
      <c r="C128" s="7" t="str">
        <f ca="1">'Input Sheet'!L126</f>
        <v/>
      </c>
      <c r="D128" s="11">
        <f>'Input Sheet'!B126</f>
        <v>2465</v>
      </c>
      <c r="E128" s="8">
        <f>'Input Sheet'!H126</f>
        <v>109.6</v>
      </c>
      <c r="F128" s="61">
        <f>'Input Sheet'!C126/100</f>
        <v>0.9</v>
      </c>
      <c r="G128" s="61">
        <f>'Input Sheet'!F126/100</f>
        <v>1</v>
      </c>
      <c r="H128" s="2">
        <f t="shared" si="17"/>
        <v>5</v>
      </c>
      <c r="I128" s="2">
        <f t="shared" si="18"/>
        <v>5</v>
      </c>
      <c r="J128" s="60">
        <f t="shared" si="15"/>
        <v>4.5</v>
      </c>
      <c r="K128" s="2">
        <f t="shared" si="19"/>
        <v>5</v>
      </c>
      <c r="L128" s="2">
        <f t="shared" si="20"/>
        <v>4.5</v>
      </c>
      <c r="M128" s="2" t="str">
        <f>'Input Sheet'!E126</f>
        <v>C</v>
      </c>
      <c r="N128" s="2">
        <f t="shared" si="21"/>
        <v>4</v>
      </c>
      <c r="P128">
        <f t="shared" si="16"/>
        <v>0</v>
      </c>
      <c r="Q128">
        <f t="shared" si="16"/>
        <v>0</v>
      </c>
      <c r="R128">
        <f t="shared" si="16"/>
        <v>0</v>
      </c>
      <c r="S128">
        <f t="shared" si="16"/>
        <v>5</v>
      </c>
      <c r="T128">
        <f t="shared" si="16"/>
        <v>0</v>
      </c>
    </row>
    <row r="129" spans="1:20" ht="16.5" x14ac:dyDescent="0.25">
      <c r="A129" s="10" t="str">
        <f>'Long Sample Name'!A125</f>
        <v>Sample 2470m: 10% Siltstone, 90% fine to coarse Sandstone, 100% bright FLUOR in SST. TG 118.7U</v>
      </c>
      <c r="B129" s="1" t="str">
        <f ca="1">'Input Sheet'!K127</f>
        <v/>
      </c>
      <c r="C129" s="7" t="str">
        <f ca="1">'Input Sheet'!L127</f>
        <v/>
      </c>
      <c r="D129" s="11">
        <f>'Input Sheet'!B127</f>
        <v>2470</v>
      </c>
      <c r="E129" s="8">
        <f>'Input Sheet'!H127</f>
        <v>118.7</v>
      </c>
      <c r="F129" s="61">
        <f>'Input Sheet'!C127/100</f>
        <v>0.9</v>
      </c>
      <c r="G129" s="61">
        <f>'Input Sheet'!F127/100</f>
        <v>1</v>
      </c>
      <c r="H129" s="2">
        <f t="shared" si="17"/>
        <v>5</v>
      </c>
      <c r="I129" s="2">
        <f t="shared" si="18"/>
        <v>5</v>
      </c>
      <c r="J129" s="60">
        <f t="shared" si="15"/>
        <v>4.5</v>
      </c>
      <c r="K129" s="2">
        <f t="shared" si="19"/>
        <v>5</v>
      </c>
      <c r="L129" s="2">
        <f t="shared" si="20"/>
        <v>4.5</v>
      </c>
      <c r="M129" s="2" t="str">
        <f>'Input Sheet'!E127</f>
        <v>C</v>
      </c>
      <c r="N129" s="2">
        <f t="shared" si="21"/>
        <v>4</v>
      </c>
      <c r="P129">
        <f t="shared" si="16"/>
        <v>0</v>
      </c>
      <c r="Q129">
        <f t="shared" si="16"/>
        <v>0</v>
      </c>
      <c r="R129">
        <f t="shared" si="16"/>
        <v>0</v>
      </c>
      <c r="S129">
        <f t="shared" si="16"/>
        <v>5</v>
      </c>
      <c r="T129">
        <f t="shared" si="16"/>
        <v>0</v>
      </c>
    </row>
    <row r="130" spans="1:20" ht="16.5" x14ac:dyDescent="0.25">
      <c r="A130" s="10" t="str">
        <f>'Long Sample Name'!A126</f>
        <v>Sample 2475m: 10% Siltstone, 90% fine to medium Sandstone, 100% bright FLUOR in SST. TG 57.3U</v>
      </c>
      <c r="B130" s="1" t="str">
        <f ca="1">'Input Sheet'!K128</f>
        <v/>
      </c>
      <c r="C130" s="7" t="str">
        <f ca="1">'Input Sheet'!L128</f>
        <v/>
      </c>
      <c r="D130" s="11">
        <f>'Input Sheet'!B128</f>
        <v>2475</v>
      </c>
      <c r="E130" s="8">
        <f>'Input Sheet'!H128</f>
        <v>57.3</v>
      </c>
      <c r="F130" s="61">
        <f>'Input Sheet'!C128/100</f>
        <v>0.9</v>
      </c>
      <c r="G130" s="61">
        <f>'Input Sheet'!F128/100</f>
        <v>1</v>
      </c>
      <c r="H130" s="2">
        <f t="shared" si="17"/>
        <v>5</v>
      </c>
      <c r="I130" s="2">
        <f t="shared" si="18"/>
        <v>5</v>
      </c>
      <c r="J130" s="60">
        <f t="shared" si="15"/>
        <v>4.5</v>
      </c>
      <c r="K130" s="2">
        <f t="shared" si="19"/>
        <v>5</v>
      </c>
      <c r="L130" s="2">
        <f t="shared" si="20"/>
        <v>4.5</v>
      </c>
      <c r="M130" s="2" t="str">
        <f>'Input Sheet'!E128</f>
        <v>M</v>
      </c>
      <c r="N130" s="2">
        <f t="shared" si="21"/>
        <v>3</v>
      </c>
      <c r="P130">
        <f t="shared" si="16"/>
        <v>0</v>
      </c>
      <c r="Q130">
        <f t="shared" si="16"/>
        <v>0</v>
      </c>
      <c r="R130">
        <f t="shared" si="16"/>
        <v>5</v>
      </c>
      <c r="S130">
        <f t="shared" si="16"/>
        <v>0</v>
      </c>
      <c r="T130">
        <f t="shared" si="16"/>
        <v>0</v>
      </c>
    </row>
    <row r="131" spans="1:20" ht="16.5" x14ac:dyDescent="0.25">
      <c r="A131" s="10" t="str">
        <f>'Long Sample Name'!A127</f>
        <v>Sample 2480m: 10% Siltstone, 90% fine to medium Sandstone, 100% bright FLUOR in SST. TG 115U</v>
      </c>
      <c r="B131" s="1" t="str">
        <f ca="1">'Input Sheet'!K129</f>
        <v/>
      </c>
      <c r="C131" s="7" t="str">
        <f ca="1">'Input Sheet'!L129</f>
        <v/>
      </c>
      <c r="D131" s="11">
        <f>'Input Sheet'!B129</f>
        <v>2480</v>
      </c>
      <c r="E131" s="8">
        <f>'Input Sheet'!H129</f>
        <v>115</v>
      </c>
      <c r="F131" s="61">
        <f>'Input Sheet'!C129/100</f>
        <v>0.9</v>
      </c>
      <c r="G131" s="61">
        <f>'Input Sheet'!F129/100</f>
        <v>1</v>
      </c>
      <c r="H131" s="2">
        <f t="shared" si="17"/>
        <v>5</v>
      </c>
      <c r="I131" s="2">
        <f t="shared" si="18"/>
        <v>5</v>
      </c>
      <c r="J131" s="60">
        <f t="shared" si="15"/>
        <v>4.5</v>
      </c>
      <c r="K131" s="2">
        <f t="shared" si="19"/>
        <v>5</v>
      </c>
      <c r="L131" s="2">
        <f t="shared" si="20"/>
        <v>4.5</v>
      </c>
      <c r="M131" s="2" t="str">
        <f>'Input Sheet'!E129</f>
        <v>M</v>
      </c>
      <c r="N131" s="2">
        <f t="shared" si="21"/>
        <v>3</v>
      </c>
      <c r="P131">
        <f t="shared" si="16"/>
        <v>0</v>
      </c>
      <c r="Q131">
        <f t="shared" si="16"/>
        <v>0</v>
      </c>
      <c r="R131">
        <f t="shared" si="16"/>
        <v>5</v>
      </c>
      <c r="S131">
        <f t="shared" si="16"/>
        <v>0</v>
      </c>
      <c r="T131">
        <f t="shared" si="16"/>
        <v>0</v>
      </c>
    </row>
    <row r="132" spans="1:20" ht="16.5" x14ac:dyDescent="0.25">
      <c r="A132" s="10" t="str">
        <f>'Long Sample Name'!A128</f>
        <v>Sample 2485m: 0% Siltstone, 100% fine to medium Sandstone, 100% bright FLUOR in SST. TG 96.6U</v>
      </c>
      <c r="B132" s="1" t="str">
        <f ca="1">'Input Sheet'!K130</f>
        <v/>
      </c>
      <c r="C132" s="7" t="str">
        <f ca="1">'Input Sheet'!L130</f>
        <v/>
      </c>
      <c r="D132" s="11">
        <f>'Input Sheet'!B130</f>
        <v>2485</v>
      </c>
      <c r="E132" s="8">
        <f>'Input Sheet'!H130</f>
        <v>96.6</v>
      </c>
      <c r="F132" s="61">
        <f>'Input Sheet'!C130/100</f>
        <v>1</v>
      </c>
      <c r="G132" s="61">
        <f>'Input Sheet'!F130/100</f>
        <v>1</v>
      </c>
      <c r="H132" s="2">
        <f t="shared" si="17"/>
        <v>5</v>
      </c>
      <c r="I132" s="2">
        <f t="shared" si="18"/>
        <v>5</v>
      </c>
      <c r="J132" s="60">
        <f t="shared" si="15"/>
        <v>5</v>
      </c>
      <c r="K132" s="2">
        <f t="shared" si="19"/>
        <v>5</v>
      </c>
      <c r="L132" s="2">
        <f t="shared" si="20"/>
        <v>5</v>
      </c>
      <c r="M132" s="2" t="str">
        <f>'Input Sheet'!E130</f>
        <v>M</v>
      </c>
      <c r="N132" s="2">
        <f t="shared" si="21"/>
        <v>3</v>
      </c>
      <c r="P132">
        <f t="shared" si="16"/>
        <v>0</v>
      </c>
      <c r="Q132">
        <f t="shared" si="16"/>
        <v>0</v>
      </c>
      <c r="R132">
        <f t="shared" si="16"/>
        <v>5</v>
      </c>
      <c r="S132">
        <f t="shared" si="16"/>
        <v>0</v>
      </c>
      <c r="T132">
        <f t="shared" si="16"/>
        <v>0</v>
      </c>
    </row>
    <row r="133" spans="1:20" ht="16.5" x14ac:dyDescent="0.25">
      <c r="A133" s="10" t="str">
        <f>'Long Sample Name'!A129</f>
        <v>Sample 2490m: 0% Siltstone, 100% fine to medium Sandstone, 100% bright FLUOR in SST. TG 70.4U</v>
      </c>
      <c r="B133" s="1" t="str">
        <f ca="1">'Input Sheet'!K131</f>
        <v/>
      </c>
      <c r="C133" s="7" t="str">
        <f ca="1">'Input Sheet'!L131</f>
        <v/>
      </c>
      <c r="D133" s="11">
        <f>'Input Sheet'!B131</f>
        <v>2490</v>
      </c>
      <c r="E133" s="8">
        <f>'Input Sheet'!H131</f>
        <v>70.400000000000006</v>
      </c>
      <c r="F133" s="61">
        <f>'Input Sheet'!C131/100</f>
        <v>1</v>
      </c>
      <c r="G133" s="61">
        <f>'Input Sheet'!F131/100</f>
        <v>1</v>
      </c>
      <c r="H133" s="2">
        <f t="shared" si="17"/>
        <v>5</v>
      </c>
      <c r="I133" s="2">
        <f t="shared" si="18"/>
        <v>5</v>
      </c>
      <c r="J133" s="60">
        <f t="shared" si="15"/>
        <v>5</v>
      </c>
      <c r="K133" s="2">
        <f t="shared" si="19"/>
        <v>5</v>
      </c>
      <c r="L133" s="2">
        <f t="shared" si="20"/>
        <v>5</v>
      </c>
      <c r="M133" s="2" t="str">
        <f>'Input Sheet'!E131</f>
        <v>M</v>
      </c>
      <c r="N133" s="2">
        <f t="shared" si="21"/>
        <v>3</v>
      </c>
      <c r="P133">
        <f t="shared" si="16"/>
        <v>0</v>
      </c>
      <c r="Q133">
        <f t="shared" si="16"/>
        <v>0</v>
      </c>
      <c r="R133">
        <f t="shared" si="16"/>
        <v>5</v>
      </c>
      <c r="S133">
        <f t="shared" si="16"/>
        <v>0</v>
      </c>
      <c r="T133">
        <f t="shared" si="16"/>
        <v>0</v>
      </c>
    </row>
    <row r="134" spans="1:20" ht="16.5" x14ac:dyDescent="0.25">
      <c r="A134" s="10" t="str">
        <f>'Long Sample Name'!A130</f>
        <v>Sample 2495m: 0% Siltstone, 100% fine to coarse Sandstone, 100% bright FLUOR in SST. TG 61.3U</v>
      </c>
      <c r="B134" s="1" t="str">
        <f ca="1">'Input Sheet'!K132</f>
        <v/>
      </c>
      <c r="C134" s="7" t="str">
        <f ca="1">'Input Sheet'!L132</f>
        <v/>
      </c>
      <c r="D134" s="11">
        <f>'Input Sheet'!B132</f>
        <v>2495</v>
      </c>
      <c r="E134" s="8">
        <f>'Input Sheet'!H132</f>
        <v>61.3</v>
      </c>
      <c r="F134" s="61">
        <f>'Input Sheet'!C132/100</f>
        <v>1</v>
      </c>
      <c r="G134" s="61">
        <f>'Input Sheet'!F132/100</f>
        <v>1</v>
      </c>
      <c r="H134" s="2">
        <f t="shared" si="17"/>
        <v>5</v>
      </c>
      <c r="I134" s="2">
        <f t="shared" si="18"/>
        <v>5</v>
      </c>
      <c r="J134" s="60">
        <f t="shared" si="15"/>
        <v>5</v>
      </c>
      <c r="K134" s="2">
        <f t="shared" si="19"/>
        <v>5</v>
      </c>
      <c r="L134" s="2">
        <f t="shared" si="20"/>
        <v>5</v>
      </c>
      <c r="M134" s="2" t="str">
        <f>'Input Sheet'!E132</f>
        <v>C</v>
      </c>
      <c r="N134" s="2">
        <f t="shared" si="21"/>
        <v>4</v>
      </c>
      <c r="P134">
        <f t="shared" si="16"/>
        <v>0</v>
      </c>
      <c r="Q134">
        <f t="shared" si="16"/>
        <v>0</v>
      </c>
      <c r="R134">
        <f t="shared" si="16"/>
        <v>0</v>
      </c>
      <c r="S134">
        <f t="shared" si="16"/>
        <v>5</v>
      </c>
      <c r="T134">
        <f t="shared" si="16"/>
        <v>0</v>
      </c>
    </row>
    <row r="135" spans="1:20" ht="16.5" x14ac:dyDescent="0.25">
      <c r="A135" s="10" t="str">
        <f>'Long Sample Name'!A131</f>
        <v>Sample 2500m: common siderite in 0% Siltstone, 100% fine to coarse Sandstone, 100% bright FLUOR in SST. TG 94.9U</v>
      </c>
      <c r="B135" s="1" t="str">
        <f ca="1">'Input Sheet'!K133</f>
        <v/>
      </c>
      <c r="C135" s="7" t="str">
        <f ca="1">'Input Sheet'!L133</f>
        <v/>
      </c>
      <c r="D135" s="11">
        <f>'Input Sheet'!B133</f>
        <v>2500</v>
      </c>
      <c r="E135" s="8">
        <f>'Input Sheet'!H133</f>
        <v>94.9</v>
      </c>
      <c r="F135" s="61">
        <f>'Input Sheet'!C133/100</f>
        <v>1</v>
      </c>
      <c r="G135" s="61">
        <f>'Input Sheet'!F133/100</f>
        <v>1</v>
      </c>
      <c r="H135" s="2">
        <f t="shared" si="17"/>
        <v>5</v>
      </c>
      <c r="I135" s="2">
        <f t="shared" si="18"/>
        <v>5</v>
      </c>
      <c r="J135" s="60">
        <f t="shared" ref="J135:J198" si="22">IF(I135&gt;0,I135*F135,0)</f>
        <v>5</v>
      </c>
      <c r="K135" s="2">
        <f t="shared" si="19"/>
        <v>5</v>
      </c>
      <c r="L135" s="2">
        <f t="shared" si="20"/>
        <v>5</v>
      </c>
      <c r="M135" s="2" t="str">
        <f>'Input Sheet'!E133</f>
        <v>C</v>
      </c>
      <c r="N135" s="2">
        <f t="shared" si="21"/>
        <v>4</v>
      </c>
      <c r="P135">
        <f t="shared" si="16"/>
        <v>0</v>
      </c>
      <c r="Q135">
        <f t="shared" si="16"/>
        <v>0</v>
      </c>
      <c r="R135">
        <f t="shared" si="16"/>
        <v>0</v>
      </c>
      <c r="S135">
        <f t="shared" si="16"/>
        <v>5</v>
      </c>
      <c r="T135">
        <f t="shared" si="16"/>
        <v>0</v>
      </c>
    </row>
    <row r="136" spans="1:20" ht="16.5" x14ac:dyDescent="0.25">
      <c r="A136" s="10" t="str">
        <f>'Long Sample Name'!A132</f>
        <v>Sample 2505m: 20% Siltstone, 80% fine to coarse Sandstone, 100% bright FLUOR in SST. TG 92U</v>
      </c>
      <c r="B136" s="1" t="str">
        <f ca="1">'Input Sheet'!K134</f>
        <v/>
      </c>
      <c r="C136" s="7" t="str">
        <f ca="1">'Input Sheet'!L134</f>
        <v/>
      </c>
      <c r="D136" s="11">
        <f>'Input Sheet'!B134</f>
        <v>2505</v>
      </c>
      <c r="E136" s="8">
        <f>'Input Sheet'!H134</f>
        <v>92</v>
      </c>
      <c r="F136" s="61">
        <f>'Input Sheet'!C134/100</f>
        <v>0.8</v>
      </c>
      <c r="G136" s="61">
        <f>'Input Sheet'!F134/100</f>
        <v>1</v>
      </c>
      <c r="H136" s="2">
        <f t="shared" si="17"/>
        <v>5</v>
      </c>
      <c r="I136" s="2">
        <f t="shared" si="18"/>
        <v>5</v>
      </c>
      <c r="J136" s="60">
        <f t="shared" si="22"/>
        <v>4</v>
      </c>
      <c r="K136" s="2">
        <f t="shared" si="19"/>
        <v>5</v>
      </c>
      <c r="L136" s="2">
        <f t="shared" si="20"/>
        <v>4</v>
      </c>
      <c r="M136" s="2" t="str">
        <f>'Input Sheet'!E134</f>
        <v>C</v>
      </c>
      <c r="N136" s="2">
        <f t="shared" si="21"/>
        <v>4</v>
      </c>
      <c r="P136">
        <f t="shared" si="16"/>
        <v>0</v>
      </c>
      <c r="Q136">
        <f t="shared" si="16"/>
        <v>0</v>
      </c>
      <c r="R136">
        <f t="shared" si="16"/>
        <v>0</v>
      </c>
      <c r="S136">
        <f t="shared" si="16"/>
        <v>5</v>
      </c>
      <c r="T136">
        <f t="shared" si="16"/>
        <v>0</v>
      </c>
    </row>
    <row r="137" spans="1:20" ht="16.5" x14ac:dyDescent="0.25">
      <c r="A137" s="10" t="str">
        <f>'Long Sample Name'!A133</f>
        <v>Sample 2510m: 20% Siltstone, 80% fine to coarse Sandstone, 100% bright FLUOR in SST. TG 84.1U</v>
      </c>
      <c r="B137" s="1" t="str">
        <f ca="1">'Input Sheet'!K135</f>
        <v/>
      </c>
      <c r="C137" s="7" t="str">
        <f ca="1">'Input Sheet'!L135</f>
        <v/>
      </c>
      <c r="D137" s="11">
        <f>'Input Sheet'!B135</f>
        <v>2510</v>
      </c>
      <c r="E137" s="8">
        <f>'Input Sheet'!H135</f>
        <v>84.1</v>
      </c>
      <c r="F137" s="61">
        <f>'Input Sheet'!C135/100</f>
        <v>0.8</v>
      </c>
      <c r="G137" s="61">
        <f>'Input Sheet'!F135/100</f>
        <v>1</v>
      </c>
      <c r="H137" s="2">
        <f t="shared" si="17"/>
        <v>5</v>
      </c>
      <c r="I137" s="2">
        <f t="shared" si="18"/>
        <v>5</v>
      </c>
      <c r="J137" s="60">
        <f t="shared" si="22"/>
        <v>4</v>
      </c>
      <c r="K137" s="2">
        <f t="shared" si="19"/>
        <v>5</v>
      </c>
      <c r="L137" s="2">
        <f t="shared" si="20"/>
        <v>4</v>
      </c>
      <c r="M137" s="2" t="str">
        <f>'Input Sheet'!E135</f>
        <v>C</v>
      </c>
      <c r="N137" s="2">
        <f t="shared" si="21"/>
        <v>4</v>
      </c>
      <c r="P137">
        <f t="shared" si="16"/>
        <v>0</v>
      </c>
      <c r="Q137">
        <f t="shared" si="16"/>
        <v>0</v>
      </c>
      <c r="R137">
        <f t="shared" si="16"/>
        <v>0</v>
      </c>
      <c r="S137">
        <f t="shared" si="16"/>
        <v>5</v>
      </c>
      <c r="T137">
        <f t="shared" si="16"/>
        <v>0</v>
      </c>
    </row>
    <row r="138" spans="1:20" ht="16.5" x14ac:dyDescent="0.25">
      <c r="A138" s="10" t="str">
        <f>'Long Sample Name'!A134</f>
        <v>Sample 2515m: 10% Siltstone, 90% fine to medium Sandstone, 100% bright FLUOR in SST. TG 78.3U</v>
      </c>
      <c r="B138" s="1" t="str">
        <f ca="1">'Input Sheet'!K136</f>
        <v/>
      </c>
      <c r="C138" s="7" t="str">
        <f ca="1">'Input Sheet'!L136</f>
        <v/>
      </c>
      <c r="D138" s="11">
        <f>'Input Sheet'!B136</f>
        <v>2515</v>
      </c>
      <c r="E138" s="8">
        <f>'Input Sheet'!H136</f>
        <v>78.3</v>
      </c>
      <c r="F138" s="61">
        <f>'Input Sheet'!C136/100</f>
        <v>0.9</v>
      </c>
      <c r="G138" s="61">
        <f>'Input Sheet'!F136/100</f>
        <v>1</v>
      </c>
      <c r="H138" s="2">
        <f t="shared" si="17"/>
        <v>5</v>
      </c>
      <c r="I138" s="2">
        <f t="shared" si="18"/>
        <v>5</v>
      </c>
      <c r="J138" s="60">
        <f t="shared" si="22"/>
        <v>4.5</v>
      </c>
      <c r="K138" s="2">
        <f t="shared" si="19"/>
        <v>5</v>
      </c>
      <c r="L138" s="2">
        <f t="shared" si="20"/>
        <v>4.5</v>
      </c>
      <c r="M138" s="2" t="str">
        <f>'Input Sheet'!E136</f>
        <v>M</v>
      </c>
      <c r="N138" s="2">
        <f t="shared" si="21"/>
        <v>3</v>
      </c>
      <c r="P138">
        <f t="shared" si="16"/>
        <v>0</v>
      </c>
      <c r="Q138">
        <f t="shared" si="16"/>
        <v>0</v>
      </c>
      <c r="R138">
        <f t="shared" si="16"/>
        <v>5</v>
      </c>
      <c r="S138">
        <f t="shared" si="16"/>
        <v>0</v>
      </c>
      <c r="T138">
        <f t="shared" si="16"/>
        <v>0</v>
      </c>
    </row>
    <row r="139" spans="1:20" ht="16.5" x14ac:dyDescent="0.25">
      <c r="A139" s="10" t="str">
        <f>'Long Sample Name'!A135</f>
        <v>Sample 2520m: 10% Siltstone, 90% fine to medium Sandstone, 100% bright FLUOR in SST. TG 42.8U</v>
      </c>
      <c r="B139" s="1" t="str">
        <f ca="1">'Input Sheet'!K137</f>
        <v/>
      </c>
      <c r="C139" s="7" t="str">
        <f ca="1">'Input Sheet'!L137</f>
        <v/>
      </c>
      <c r="D139" s="11">
        <f>'Input Sheet'!B137</f>
        <v>2520</v>
      </c>
      <c r="E139" s="8">
        <f>'Input Sheet'!H137</f>
        <v>42.8</v>
      </c>
      <c r="F139" s="61">
        <f>'Input Sheet'!C137/100</f>
        <v>0.9</v>
      </c>
      <c r="G139" s="61">
        <f>'Input Sheet'!F137/100</f>
        <v>1</v>
      </c>
      <c r="H139" s="2">
        <f t="shared" si="17"/>
        <v>5</v>
      </c>
      <c r="I139" s="2">
        <f t="shared" si="18"/>
        <v>5</v>
      </c>
      <c r="J139" s="60">
        <f t="shared" si="22"/>
        <v>4.5</v>
      </c>
      <c r="K139" s="2">
        <f t="shared" si="19"/>
        <v>5</v>
      </c>
      <c r="L139" s="2">
        <f t="shared" si="20"/>
        <v>4.5</v>
      </c>
      <c r="M139" s="2" t="str">
        <f>'Input Sheet'!E137</f>
        <v>M</v>
      </c>
      <c r="N139" s="2">
        <f t="shared" si="21"/>
        <v>3</v>
      </c>
      <c r="P139">
        <f t="shared" si="16"/>
        <v>0</v>
      </c>
      <c r="Q139">
        <f t="shared" si="16"/>
        <v>0</v>
      </c>
      <c r="R139">
        <f t="shared" si="16"/>
        <v>5</v>
      </c>
      <c r="S139">
        <f t="shared" si="16"/>
        <v>0</v>
      </c>
      <c r="T139">
        <f t="shared" si="16"/>
        <v>0</v>
      </c>
    </row>
    <row r="140" spans="1:20" ht="16.5" x14ac:dyDescent="0.25">
      <c r="A140" s="10" t="str">
        <f>'Long Sample Name'!A136</f>
        <v>Sample 2525m: 10% Siltstone, 90% fine to medium Sandstone, 100% bright FLUOR in SST. TG 105.6U</v>
      </c>
      <c r="B140" s="1" t="str">
        <f ca="1">'Input Sheet'!K138</f>
        <v/>
      </c>
      <c r="C140" s="7" t="str">
        <f ca="1">'Input Sheet'!L138</f>
        <v/>
      </c>
      <c r="D140" s="11">
        <f>'Input Sheet'!B138</f>
        <v>2525</v>
      </c>
      <c r="E140" s="8">
        <f>'Input Sheet'!H138</f>
        <v>105.6</v>
      </c>
      <c r="F140" s="61">
        <f>'Input Sheet'!C138/100</f>
        <v>0.9</v>
      </c>
      <c r="G140" s="61">
        <f>'Input Sheet'!F138/100</f>
        <v>1</v>
      </c>
      <c r="H140" s="2">
        <f t="shared" si="17"/>
        <v>5</v>
      </c>
      <c r="I140" s="2">
        <f t="shared" si="18"/>
        <v>5</v>
      </c>
      <c r="J140" s="60">
        <f t="shared" si="22"/>
        <v>4.5</v>
      </c>
      <c r="K140" s="2">
        <f t="shared" si="19"/>
        <v>5</v>
      </c>
      <c r="L140" s="2">
        <f t="shared" si="20"/>
        <v>4.5</v>
      </c>
      <c r="M140" s="2" t="str">
        <f>'Input Sheet'!E138</f>
        <v>M</v>
      </c>
      <c r="N140" s="2">
        <f t="shared" si="21"/>
        <v>3</v>
      </c>
      <c r="P140">
        <f t="shared" si="16"/>
        <v>0</v>
      </c>
      <c r="Q140">
        <f t="shared" si="16"/>
        <v>0</v>
      </c>
      <c r="R140">
        <f t="shared" si="16"/>
        <v>5</v>
      </c>
      <c r="S140">
        <f t="shared" si="16"/>
        <v>0</v>
      </c>
      <c r="T140">
        <f t="shared" si="16"/>
        <v>0</v>
      </c>
    </row>
    <row r="141" spans="1:20" ht="16.5" x14ac:dyDescent="0.25">
      <c r="A141" s="10" t="str">
        <f>'Long Sample Name'!A137</f>
        <v>Sample 2530m: trace siderite in 10% Siltstone, 90% fine to medium Sandstone, 100% bright FLUOR in SST. TG 49.7U</v>
      </c>
      <c r="B141" s="1" t="str">
        <f ca="1">'Input Sheet'!K139</f>
        <v/>
      </c>
      <c r="C141" s="7" t="str">
        <f ca="1">'Input Sheet'!L139</f>
        <v/>
      </c>
      <c r="D141" s="11">
        <f>'Input Sheet'!B139</f>
        <v>2530</v>
      </c>
      <c r="E141" s="8">
        <f>'Input Sheet'!H139</f>
        <v>49.7</v>
      </c>
      <c r="F141" s="61">
        <f>'Input Sheet'!C139/100</f>
        <v>0.9</v>
      </c>
      <c r="G141" s="61">
        <f>'Input Sheet'!F139/100</f>
        <v>1</v>
      </c>
      <c r="H141" s="2">
        <f t="shared" si="17"/>
        <v>5</v>
      </c>
      <c r="I141" s="2">
        <f t="shared" si="18"/>
        <v>5</v>
      </c>
      <c r="J141" s="60">
        <f t="shared" si="22"/>
        <v>4.5</v>
      </c>
      <c r="K141" s="2">
        <f t="shared" si="19"/>
        <v>5</v>
      </c>
      <c r="L141" s="2">
        <f t="shared" si="20"/>
        <v>4.5</v>
      </c>
      <c r="M141" s="2" t="str">
        <f>'Input Sheet'!E139</f>
        <v>M</v>
      </c>
      <c r="N141" s="2">
        <f t="shared" si="21"/>
        <v>3</v>
      </c>
      <c r="P141">
        <f t="shared" si="16"/>
        <v>0</v>
      </c>
      <c r="Q141">
        <f t="shared" si="16"/>
        <v>0</v>
      </c>
      <c r="R141">
        <f t="shared" si="16"/>
        <v>5</v>
      </c>
      <c r="S141">
        <f t="shared" si="16"/>
        <v>0</v>
      </c>
      <c r="T141">
        <f t="shared" si="16"/>
        <v>0</v>
      </c>
    </row>
    <row r="142" spans="1:20" ht="16.5" x14ac:dyDescent="0.25">
      <c r="A142" s="10" t="str">
        <f>'Long Sample Name'!A138</f>
        <v>Sample 2535m: 10% Siltstone, 90% fine to medium Sandstone, 100% bright FLUOR in SST. TG 98.8U</v>
      </c>
      <c r="B142" s="1" t="str">
        <f ca="1">'Input Sheet'!K140</f>
        <v/>
      </c>
      <c r="C142" s="7" t="str">
        <f ca="1">'Input Sheet'!L140</f>
        <v/>
      </c>
      <c r="D142" s="11">
        <f>'Input Sheet'!B140</f>
        <v>2535</v>
      </c>
      <c r="E142" s="8">
        <f>'Input Sheet'!H140</f>
        <v>98.8</v>
      </c>
      <c r="F142" s="61">
        <f>'Input Sheet'!C140/100</f>
        <v>0.9</v>
      </c>
      <c r="G142" s="61">
        <f>'Input Sheet'!F140/100</f>
        <v>1</v>
      </c>
      <c r="H142" s="2">
        <f t="shared" si="17"/>
        <v>5</v>
      </c>
      <c r="I142" s="2">
        <f t="shared" si="18"/>
        <v>5</v>
      </c>
      <c r="J142" s="60">
        <f t="shared" si="22"/>
        <v>4.5</v>
      </c>
      <c r="K142" s="2">
        <f t="shared" si="19"/>
        <v>5</v>
      </c>
      <c r="L142" s="2">
        <f t="shared" si="20"/>
        <v>4.5</v>
      </c>
      <c r="M142" s="2" t="str">
        <f>'Input Sheet'!E140</f>
        <v>M</v>
      </c>
      <c r="N142" s="2">
        <f t="shared" si="21"/>
        <v>3</v>
      </c>
      <c r="P142">
        <f t="shared" si="16"/>
        <v>0</v>
      </c>
      <c r="Q142">
        <f t="shared" si="16"/>
        <v>0</v>
      </c>
      <c r="R142">
        <f t="shared" si="16"/>
        <v>5</v>
      </c>
      <c r="S142">
        <f t="shared" si="16"/>
        <v>0</v>
      </c>
      <c r="T142">
        <f t="shared" si="16"/>
        <v>0</v>
      </c>
    </row>
    <row r="143" spans="1:20" ht="16.5" x14ac:dyDescent="0.25">
      <c r="A143" s="10" t="str">
        <f>'Long Sample Name'!A139</f>
        <v>Sample 2540m: 10% Siltstone, 90% fine to medium Sandstone, 100% bright FLUOR in SST. TG 101.5U</v>
      </c>
      <c r="B143" s="1" t="str">
        <f ca="1">'Input Sheet'!K141</f>
        <v/>
      </c>
      <c r="C143" s="7" t="str">
        <f ca="1">'Input Sheet'!L141</f>
        <v/>
      </c>
      <c r="D143" s="11">
        <f>'Input Sheet'!B141</f>
        <v>2540</v>
      </c>
      <c r="E143" s="8">
        <f>'Input Sheet'!H141</f>
        <v>101.5</v>
      </c>
      <c r="F143" s="61">
        <f>'Input Sheet'!C141/100</f>
        <v>0.9</v>
      </c>
      <c r="G143" s="61">
        <f>'Input Sheet'!F141/100</f>
        <v>1</v>
      </c>
      <c r="H143" s="2">
        <f t="shared" si="17"/>
        <v>5</v>
      </c>
      <c r="I143" s="2">
        <f t="shared" si="18"/>
        <v>5</v>
      </c>
      <c r="J143" s="60">
        <f t="shared" si="22"/>
        <v>4.5</v>
      </c>
      <c r="K143" s="2">
        <f t="shared" si="19"/>
        <v>5</v>
      </c>
      <c r="L143" s="2">
        <f t="shared" si="20"/>
        <v>4.5</v>
      </c>
      <c r="M143" s="2" t="str">
        <f>'Input Sheet'!E141</f>
        <v>M</v>
      </c>
      <c r="N143" s="2">
        <f t="shared" si="21"/>
        <v>3</v>
      </c>
      <c r="P143">
        <f t="shared" si="16"/>
        <v>0</v>
      </c>
      <c r="Q143">
        <f t="shared" si="16"/>
        <v>0</v>
      </c>
      <c r="R143">
        <f t="shared" si="16"/>
        <v>5</v>
      </c>
      <c r="S143">
        <f t="shared" si="16"/>
        <v>0</v>
      </c>
      <c r="T143">
        <f t="shared" si="16"/>
        <v>0</v>
      </c>
    </row>
    <row r="144" spans="1:20" ht="16.5" x14ac:dyDescent="0.25">
      <c r="A144" s="10" t="str">
        <f>'Long Sample Name'!A140</f>
        <v>Sample 2545m: 20% Siltstone, 80% fine to coarse Sandstone, 100% bright FLUOR in SST. TG 118.6U</v>
      </c>
      <c r="B144" s="1" t="str">
        <f ca="1">'Input Sheet'!K142</f>
        <v/>
      </c>
      <c r="C144" s="7" t="str">
        <f ca="1">'Input Sheet'!L142</f>
        <v/>
      </c>
      <c r="D144" s="11">
        <f>'Input Sheet'!B142</f>
        <v>2545</v>
      </c>
      <c r="E144" s="8">
        <f>'Input Sheet'!H142</f>
        <v>118.6</v>
      </c>
      <c r="F144" s="61">
        <f>'Input Sheet'!C142/100</f>
        <v>0.8</v>
      </c>
      <c r="G144" s="61">
        <f>'Input Sheet'!F142/100</f>
        <v>1</v>
      </c>
      <c r="H144" s="2">
        <f t="shared" si="17"/>
        <v>5</v>
      </c>
      <c r="I144" s="2">
        <f t="shared" si="18"/>
        <v>5</v>
      </c>
      <c r="J144" s="60">
        <f t="shared" si="22"/>
        <v>4</v>
      </c>
      <c r="K144" s="2">
        <f t="shared" si="19"/>
        <v>5</v>
      </c>
      <c r="L144" s="2">
        <f t="shared" si="20"/>
        <v>4</v>
      </c>
      <c r="M144" s="2" t="str">
        <f>'Input Sheet'!E142</f>
        <v>C</v>
      </c>
      <c r="N144" s="2">
        <f t="shared" si="21"/>
        <v>4</v>
      </c>
      <c r="P144">
        <f t="shared" si="16"/>
        <v>0</v>
      </c>
      <c r="Q144">
        <f t="shared" si="16"/>
        <v>0</v>
      </c>
      <c r="R144">
        <f t="shared" si="16"/>
        <v>0</v>
      </c>
      <c r="S144">
        <f t="shared" si="16"/>
        <v>5</v>
      </c>
      <c r="T144">
        <f t="shared" si="16"/>
        <v>0</v>
      </c>
    </row>
    <row r="145" spans="1:20" ht="16.5" x14ac:dyDescent="0.25">
      <c r="A145" s="10" t="str">
        <f>'Long Sample Name'!A141</f>
        <v>Sample 2550m: 20% Siltstone, 80% fine to coarse Sandstone, 100% bright FLUOR in SST. TG 52.8U</v>
      </c>
      <c r="B145" s="1" t="str">
        <f ca="1">'Input Sheet'!K143</f>
        <v/>
      </c>
      <c r="C145" s="7" t="str">
        <f ca="1">'Input Sheet'!L143</f>
        <v/>
      </c>
      <c r="D145" s="11">
        <f>'Input Sheet'!B143</f>
        <v>2550</v>
      </c>
      <c r="E145" s="8">
        <f>'Input Sheet'!H143</f>
        <v>52.8</v>
      </c>
      <c r="F145" s="61">
        <f>'Input Sheet'!C143/100</f>
        <v>0.8</v>
      </c>
      <c r="G145" s="61">
        <f>'Input Sheet'!F143/100</f>
        <v>1</v>
      </c>
      <c r="H145" s="2">
        <f t="shared" si="17"/>
        <v>5</v>
      </c>
      <c r="I145" s="2">
        <f t="shared" si="18"/>
        <v>5</v>
      </c>
      <c r="J145" s="60">
        <f t="shared" si="22"/>
        <v>4</v>
      </c>
      <c r="K145" s="2">
        <f t="shared" si="19"/>
        <v>5</v>
      </c>
      <c r="L145" s="2">
        <f t="shared" si="20"/>
        <v>4</v>
      </c>
      <c r="M145" s="2" t="str">
        <f>'Input Sheet'!E143</f>
        <v>C</v>
      </c>
      <c r="N145" s="2">
        <f t="shared" si="21"/>
        <v>4</v>
      </c>
      <c r="P145">
        <f t="shared" si="16"/>
        <v>0</v>
      </c>
      <c r="Q145">
        <f t="shared" si="16"/>
        <v>0</v>
      </c>
      <c r="R145">
        <f t="shared" si="16"/>
        <v>0</v>
      </c>
      <c r="S145">
        <f t="shared" si="16"/>
        <v>5</v>
      </c>
      <c r="T145">
        <f t="shared" si="16"/>
        <v>0</v>
      </c>
    </row>
    <row r="146" spans="1:20" ht="16.5" x14ac:dyDescent="0.25">
      <c r="A146" s="10" t="str">
        <f>'Long Sample Name'!A142</f>
        <v>Sample 2555m: 5% Siltstone, 95% fine to medium Sandstone, 100% bright FLUOR in SST. TG 124.2U</v>
      </c>
      <c r="B146" s="1" t="str">
        <f ca="1">'Input Sheet'!K144</f>
        <v/>
      </c>
      <c r="C146" s="7" t="str">
        <f ca="1">'Input Sheet'!L144</f>
        <v/>
      </c>
      <c r="D146" s="11">
        <f>'Input Sheet'!B144</f>
        <v>2555</v>
      </c>
      <c r="E146" s="8">
        <f>'Input Sheet'!H144</f>
        <v>124.2</v>
      </c>
      <c r="F146" s="61">
        <f>'Input Sheet'!C144/100</f>
        <v>0.95</v>
      </c>
      <c r="G146" s="61">
        <f>'Input Sheet'!F144/100</f>
        <v>1</v>
      </c>
      <c r="H146" s="2">
        <f t="shared" si="17"/>
        <v>5</v>
      </c>
      <c r="I146" s="2">
        <f t="shared" si="18"/>
        <v>5</v>
      </c>
      <c r="J146" s="60">
        <f t="shared" si="22"/>
        <v>4.75</v>
      </c>
      <c r="K146" s="2">
        <f t="shared" si="19"/>
        <v>5</v>
      </c>
      <c r="L146" s="2">
        <f t="shared" si="20"/>
        <v>4.75</v>
      </c>
      <c r="M146" s="2" t="str">
        <f>'Input Sheet'!E144</f>
        <v>M</v>
      </c>
      <c r="N146" s="2">
        <f t="shared" si="21"/>
        <v>3</v>
      </c>
      <c r="P146">
        <f t="shared" si="16"/>
        <v>0</v>
      </c>
      <c r="Q146">
        <f t="shared" si="16"/>
        <v>0</v>
      </c>
      <c r="R146">
        <f t="shared" si="16"/>
        <v>5</v>
      </c>
      <c r="S146">
        <f t="shared" si="16"/>
        <v>0</v>
      </c>
      <c r="T146">
        <f t="shared" si="16"/>
        <v>0</v>
      </c>
    </row>
    <row r="147" spans="1:20" ht="16.5" x14ac:dyDescent="0.25">
      <c r="A147" s="10" t="str">
        <f>'Long Sample Name'!A143</f>
        <v>Sample 2560m: 5% Siltstone, 95% fine to medium Sandstone, 100% bright FLUOR in SST. TG 105.2U</v>
      </c>
      <c r="B147" s="1" t="str">
        <f ca="1">'Input Sheet'!K145</f>
        <v/>
      </c>
      <c r="C147" s="7" t="str">
        <f ca="1">'Input Sheet'!L145</f>
        <v/>
      </c>
      <c r="D147" s="11">
        <f>'Input Sheet'!B145</f>
        <v>2560</v>
      </c>
      <c r="E147" s="8">
        <f>'Input Sheet'!H145</f>
        <v>105.2</v>
      </c>
      <c r="F147" s="61">
        <f>'Input Sheet'!C145/100</f>
        <v>0.95</v>
      </c>
      <c r="G147" s="61">
        <f>'Input Sheet'!F145/100</f>
        <v>1</v>
      </c>
      <c r="H147" s="2">
        <f t="shared" si="17"/>
        <v>5</v>
      </c>
      <c r="I147" s="2">
        <f t="shared" si="18"/>
        <v>5</v>
      </c>
      <c r="J147" s="60">
        <f t="shared" si="22"/>
        <v>4.75</v>
      </c>
      <c r="K147" s="2">
        <f t="shared" si="19"/>
        <v>5</v>
      </c>
      <c r="L147" s="2">
        <f t="shared" si="20"/>
        <v>4.75</v>
      </c>
      <c r="M147" s="2" t="str">
        <f>'Input Sheet'!E145</f>
        <v>M</v>
      </c>
      <c r="N147" s="2">
        <f t="shared" si="21"/>
        <v>3</v>
      </c>
      <c r="P147">
        <f t="shared" si="16"/>
        <v>0</v>
      </c>
      <c r="Q147">
        <f t="shared" si="16"/>
        <v>0</v>
      </c>
      <c r="R147">
        <f t="shared" si="16"/>
        <v>5</v>
      </c>
      <c r="S147">
        <f t="shared" si="16"/>
        <v>0</v>
      </c>
      <c r="T147">
        <f t="shared" si="16"/>
        <v>0</v>
      </c>
    </row>
    <row r="148" spans="1:20" ht="16.5" x14ac:dyDescent="0.25">
      <c r="A148" s="10" t="str">
        <f>'Long Sample Name'!A144</f>
        <v>Sample 2565m: 10% Siltstone, 90% fine to medium Sandstone, 100% bright FLUOR in SST. TG 106.3U</v>
      </c>
      <c r="B148" s="1" t="str">
        <f ca="1">'Input Sheet'!K146</f>
        <v/>
      </c>
      <c r="C148" s="7" t="str">
        <f ca="1">'Input Sheet'!L146</f>
        <v/>
      </c>
      <c r="D148" s="11">
        <f>'Input Sheet'!B146</f>
        <v>2565</v>
      </c>
      <c r="E148" s="8">
        <f>'Input Sheet'!H146</f>
        <v>106.3</v>
      </c>
      <c r="F148" s="61">
        <f>'Input Sheet'!C146/100</f>
        <v>0.9</v>
      </c>
      <c r="G148" s="61">
        <f>'Input Sheet'!F146/100</f>
        <v>1</v>
      </c>
      <c r="H148" s="2">
        <f t="shared" si="17"/>
        <v>5</v>
      </c>
      <c r="I148" s="2">
        <f t="shared" si="18"/>
        <v>5</v>
      </c>
      <c r="J148" s="60">
        <f t="shared" si="22"/>
        <v>4.5</v>
      </c>
      <c r="K148" s="2">
        <f t="shared" si="19"/>
        <v>5</v>
      </c>
      <c r="L148" s="2">
        <f t="shared" si="20"/>
        <v>4.5</v>
      </c>
      <c r="M148" s="2" t="str">
        <f>'Input Sheet'!E146</f>
        <v>M</v>
      </c>
      <c r="N148" s="2">
        <f t="shared" si="21"/>
        <v>3</v>
      </c>
      <c r="P148">
        <f t="shared" si="16"/>
        <v>0</v>
      </c>
      <c r="Q148">
        <f t="shared" si="16"/>
        <v>0</v>
      </c>
      <c r="R148">
        <f t="shared" si="16"/>
        <v>5</v>
      </c>
      <c r="S148">
        <f t="shared" si="16"/>
        <v>0</v>
      </c>
      <c r="T148">
        <f t="shared" si="16"/>
        <v>0</v>
      </c>
    </row>
    <row r="149" spans="1:20" ht="16.5" x14ac:dyDescent="0.25">
      <c r="A149" s="10" t="str">
        <f>'Long Sample Name'!A145</f>
        <v>Sample 2570m: trace siderite in 10% Siltstone, 90% fine to medium Sandstone, 100% bright FLUOR in SST. TG 65.7U</v>
      </c>
      <c r="B149" s="1" t="str">
        <f ca="1">'Input Sheet'!K147</f>
        <v/>
      </c>
      <c r="C149" s="7" t="str">
        <f ca="1">'Input Sheet'!L147</f>
        <v/>
      </c>
      <c r="D149" s="11">
        <f>'Input Sheet'!B147</f>
        <v>2570</v>
      </c>
      <c r="E149" s="8">
        <f>'Input Sheet'!H147</f>
        <v>65.7</v>
      </c>
      <c r="F149" s="61">
        <f>'Input Sheet'!C147/100</f>
        <v>0.9</v>
      </c>
      <c r="G149" s="61">
        <f>'Input Sheet'!F147/100</f>
        <v>1</v>
      </c>
      <c r="H149" s="2">
        <f t="shared" si="17"/>
        <v>5</v>
      </c>
      <c r="I149" s="2">
        <f t="shared" si="18"/>
        <v>5</v>
      </c>
      <c r="J149" s="60">
        <f t="shared" si="22"/>
        <v>4.5</v>
      </c>
      <c r="K149" s="2">
        <f t="shared" si="19"/>
        <v>5</v>
      </c>
      <c r="L149" s="2">
        <f t="shared" si="20"/>
        <v>4.5</v>
      </c>
      <c r="M149" s="2" t="str">
        <f>'Input Sheet'!E147</f>
        <v>M</v>
      </c>
      <c r="N149" s="2">
        <f t="shared" si="21"/>
        <v>3</v>
      </c>
      <c r="P149">
        <f t="shared" si="16"/>
        <v>0</v>
      </c>
      <c r="Q149">
        <f t="shared" si="16"/>
        <v>0</v>
      </c>
      <c r="R149">
        <f t="shared" si="16"/>
        <v>5</v>
      </c>
      <c r="S149">
        <f t="shared" si="16"/>
        <v>0</v>
      </c>
      <c r="T149">
        <f t="shared" si="16"/>
        <v>0</v>
      </c>
    </row>
    <row r="150" spans="1:20" ht="16.5" x14ac:dyDescent="0.25">
      <c r="A150" s="10" t="str">
        <f>'Long Sample Name'!A146</f>
        <v>Sample 2575m: 5% Siltstone, 95% fine to medium Sandstone, 100% bright FLUOR in SST. TG 118.8U</v>
      </c>
      <c r="B150" s="1" t="str">
        <f ca="1">'Input Sheet'!K148</f>
        <v/>
      </c>
      <c r="C150" s="7" t="str">
        <f ca="1">'Input Sheet'!L148</f>
        <v/>
      </c>
      <c r="D150" s="11">
        <f>'Input Sheet'!B148</f>
        <v>2575</v>
      </c>
      <c r="E150" s="8">
        <f>'Input Sheet'!H148</f>
        <v>118.8</v>
      </c>
      <c r="F150" s="61">
        <f>'Input Sheet'!C148/100</f>
        <v>0.95</v>
      </c>
      <c r="G150" s="61">
        <f>'Input Sheet'!F148/100</f>
        <v>1</v>
      </c>
      <c r="H150" s="2">
        <f t="shared" si="17"/>
        <v>5</v>
      </c>
      <c r="I150" s="2">
        <f t="shared" si="18"/>
        <v>5</v>
      </c>
      <c r="J150" s="60">
        <f t="shared" si="22"/>
        <v>4.75</v>
      </c>
      <c r="K150" s="2">
        <f t="shared" si="19"/>
        <v>5</v>
      </c>
      <c r="L150" s="2">
        <f t="shared" si="20"/>
        <v>4.75</v>
      </c>
      <c r="M150" s="2" t="str">
        <f>'Input Sheet'!E148</f>
        <v>M</v>
      </c>
      <c r="N150" s="2">
        <f t="shared" si="21"/>
        <v>3</v>
      </c>
      <c r="P150">
        <f t="shared" si="16"/>
        <v>0</v>
      </c>
      <c r="Q150">
        <f t="shared" si="16"/>
        <v>0</v>
      </c>
      <c r="R150">
        <f t="shared" si="16"/>
        <v>5</v>
      </c>
      <c r="S150">
        <f t="shared" si="16"/>
        <v>0</v>
      </c>
      <c r="T150">
        <f t="shared" si="16"/>
        <v>0</v>
      </c>
    </row>
    <row r="151" spans="1:20" ht="16.5" x14ac:dyDescent="0.25">
      <c r="A151" s="10" t="str">
        <f>'Long Sample Name'!A147</f>
        <v>Sample 2580m: 5% Siltstone, 95% fine to medium Sandstone, 100% bright FLUOR in SST. TG 83.2U</v>
      </c>
      <c r="B151" s="1" t="str">
        <f ca="1">'Input Sheet'!K149</f>
        <v/>
      </c>
      <c r="C151" s="7" t="str">
        <f ca="1">'Input Sheet'!L149</f>
        <v/>
      </c>
      <c r="D151" s="11">
        <f>'Input Sheet'!B149</f>
        <v>2580</v>
      </c>
      <c r="E151" s="8">
        <f>'Input Sheet'!H149</f>
        <v>83.2</v>
      </c>
      <c r="F151" s="61">
        <f>'Input Sheet'!C149/100</f>
        <v>0.95</v>
      </c>
      <c r="G151" s="61">
        <f>'Input Sheet'!F149/100</f>
        <v>1</v>
      </c>
      <c r="H151" s="2">
        <f t="shared" si="17"/>
        <v>5</v>
      </c>
      <c r="I151" s="2">
        <f t="shared" si="18"/>
        <v>5</v>
      </c>
      <c r="J151" s="60">
        <f t="shared" si="22"/>
        <v>4.75</v>
      </c>
      <c r="K151" s="2">
        <f t="shared" si="19"/>
        <v>5</v>
      </c>
      <c r="L151" s="2">
        <f t="shared" si="20"/>
        <v>4.75</v>
      </c>
      <c r="M151" s="2" t="str">
        <f>'Input Sheet'!E149</f>
        <v>M</v>
      </c>
      <c r="N151" s="2">
        <f t="shared" si="21"/>
        <v>3</v>
      </c>
      <c r="P151">
        <f t="shared" si="16"/>
        <v>0</v>
      </c>
      <c r="Q151">
        <f t="shared" si="16"/>
        <v>0</v>
      </c>
      <c r="R151">
        <f t="shared" si="16"/>
        <v>5</v>
      </c>
      <c r="S151">
        <f t="shared" si="16"/>
        <v>0</v>
      </c>
      <c r="T151">
        <f t="shared" si="16"/>
        <v>0</v>
      </c>
    </row>
    <row r="152" spans="1:20" ht="16.5" x14ac:dyDescent="0.25">
      <c r="A152" s="10" t="str">
        <f>'Long Sample Name'!A148</f>
        <v>Sample 2585m: 5% Siltstone, 95% fine to medium Sandstone, 100% bright FLUOR in SST. TG 102.7U</v>
      </c>
      <c r="B152" s="1" t="str">
        <f ca="1">'Input Sheet'!K150</f>
        <v/>
      </c>
      <c r="C152" s="7" t="str">
        <f ca="1">'Input Sheet'!L150</f>
        <v/>
      </c>
      <c r="D152" s="11">
        <f>'Input Sheet'!B150</f>
        <v>2585</v>
      </c>
      <c r="E152" s="8">
        <f>'Input Sheet'!H150</f>
        <v>102.7</v>
      </c>
      <c r="F152" s="61">
        <f>'Input Sheet'!C150/100</f>
        <v>0.95</v>
      </c>
      <c r="G152" s="61">
        <f>'Input Sheet'!F150/100</f>
        <v>1</v>
      </c>
      <c r="H152" s="2">
        <f t="shared" si="17"/>
        <v>5</v>
      </c>
      <c r="I152" s="2">
        <f t="shared" si="18"/>
        <v>5</v>
      </c>
      <c r="J152" s="60">
        <f t="shared" si="22"/>
        <v>4.75</v>
      </c>
      <c r="K152" s="2">
        <f t="shared" si="19"/>
        <v>5</v>
      </c>
      <c r="L152" s="2">
        <f t="shared" si="20"/>
        <v>4.75</v>
      </c>
      <c r="M152" s="2" t="str">
        <f>'Input Sheet'!E150</f>
        <v>M</v>
      </c>
      <c r="N152" s="2">
        <f t="shared" si="21"/>
        <v>3</v>
      </c>
      <c r="P152">
        <f t="shared" si="16"/>
        <v>0</v>
      </c>
      <c r="Q152">
        <f t="shared" si="16"/>
        <v>0</v>
      </c>
      <c r="R152">
        <f t="shared" si="16"/>
        <v>5</v>
      </c>
      <c r="S152">
        <f t="shared" si="16"/>
        <v>0</v>
      </c>
      <c r="T152">
        <f t="shared" si="16"/>
        <v>0</v>
      </c>
    </row>
    <row r="153" spans="1:20" ht="16.5" x14ac:dyDescent="0.25">
      <c r="A153" s="10" t="str">
        <f>'Long Sample Name'!A149</f>
        <v>Sample 2590m: 5% Siltstone, 95% fine to medium Sandstone, 100% bright FLUOR in SST. TG 75.1U</v>
      </c>
      <c r="B153" s="1" t="str">
        <f ca="1">'Input Sheet'!K151</f>
        <v/>
      </c>
      <c r="C153" s="7" t="str">
        <f ca="1">'Input Sheet'!L151</f>
        <v/>
      </c>
      <c r="D153" s="11">
        <f>'Input Sheet'!B151</f>
        <v>2590</v>
      </c>
      <c r="E153" s="8">
        <f>'Input Sheet'!H151</f>
        <v>75.099999999999994</v>
      </c>
      <c r="F153" s="61">
        <f>'Input Sheet'!C151/100</f>
        <v>0.95</v>
      </c>
      <c r="G153" s="61">
        <f>'Input Sheet'!F151/100</f>
        <v>1</v>
      </c>
      <c r="H153" s="2">
        <f t="shared" si="17"/>
        <v>5</v>
      </c>
      <c r="I153" s="2">
        <f t="shared" si="18"/>
        <v>5</v>
      </c>
      <c r="J153" s="60">
        <f t="shared" si="22"/>
        <v>4.75</v>
      </c>
      <c r="K153" s="2">
        <f t="shared" si="19"/>
        <v>5</v>
      </c>
      <c r="L153" s="2">
        <f t="shared" si="20"/>
        <v>4.75</v>
      </c>
      <c r="M153" s="2" t="str">
        <f>'Input Sheet'!E151</f>
        <v>M</v>
      </c>
      <c r="N153" s="2">
        <f t="shared" si="21"/>
        <v>3</v>
      </c>
      <c r="P153">
        <f t="shared" si="16"/>
        <v>0</v>
      </c>
      <c r="Q153">
        <f t="shared" si="16"/>
        <v>0</v>
      </c>
      <c r="R153">
        <f t="shared" si="16"/>
        <v>5</v>
      </c>
      <c r="S153">
        <f t="shared" si="16"/>
        <v>0</v>
      </c>
      <c r="T153">
        <f t="shared" si="16"/>
        <v>0</v>
      </c>
    </row>
    <row r="154" spans="1:20" ht="16.5" x14ac:dyDescent="0.25">
      <c r="A154" s="10" t="str">
        <f>'Long Sample Name'!A150</f>
        <v>Sample 2595m: 10% Siltstone, 90% fine to medium Sandstone, 100% bright FLUOR in SST. TG 78.6U</v>
      </c>
      <c r="B154" s="1" t="str">
        <f ca="1">'Input Sheet'!K152</f>
        <v/>
      </c>
      <c r="C154" s="7" t="str">
        <f ca="1">'Input Sheet'!L152</f>
        <v/>
      </c>
      <c r="D154" s="11">
        <f>'Input Sheet'!B152</f>
        <v>2595</v>
      </c>
      <c r="E154" s="8">
        <f>'Input Sheet'!H152</f>
        <v>78.599999999999994</v>
      </c>
      <c r="F154" s="61">
        <f>'Input Sheet'!C152/100</f>
        <v>0.9</v>
      </c>
      <c r="G154" s="61">
        <f>'Input Sheet'!F152/100</f>
        <v>1</v>
      </c>
      <c r="H154" s="2">
        <f t="shared" si="17"/>
        <v>5</v>
      </c>
      <c r="I154" s="2">
        <f t="shared" si="18"/>
        <v>5</v>
      </c>
      <c r="J154" s="60">
        <f t="shared" si="22"/>
        <v>4.5</v>
      </c>
      <c r="K154" s="2">
        <f t="shared" si="19"/>
        <v>5</v>
      </c>
      <c r="L154" s="2">
        <f t="shared" si="20"/>
        <v>4.5</v>
      </c>
      <c r="M154" s="2" t="str">
        <f>'Input Sheet'!E152</f>
        <v>M</v>
      </c>
      <c r="N154" s="2">
        <f t="shared" si="21"/>
        <v>3</v>
      </c>
      <c r="P154">
        <f t="shared" si="16"/>
        <v>0</v>
      </c>
      <c r="Q154">
        <f t="shared" si="16"/>
        <v>0</v>
      </c>
      <c r="R154">
        <f t="shared" si="16"/>
        <v>5</v>
      </c>
      <c r="S154">
        <f t="shared" si="16"/>
        <v>0</v>
      </c>
      <c r="T154">
        <f t="shared" si="16"/>
        <v>0</v>
      </c>
    </row>
    <row r="155" spans="1:20" ht="16.5" x14ac:dyDescent="0.25">
      <c r="A155" s="10" t="str">
        <f>'Long Sample Name'!A151</f>
        <v>Sample 2600m: 10% Siltstone, 90% fine to medium Sandstone, 100% bright FLUOR in SST. TG 72.4U</v>
      </c>
      <c r="B155" s="1" t="str">
        <f ca="1">'Input Sheet'!K153</f>
        <v/>
      </c>
      <c r="C155" s="7" t="str">
        <f ca="1">'Input Sheet'!L153</f>
        <v/>
      </c>
      <c r="D155" s="11">
        <f>'Input Sheet'!B153</f>
        <v>2600</v>
      </c>
      <c r="E155" s="8">
        <f>'Input Sheet'!H153</f>
        <v>72.400000000000006</v>
      </c>
      <c r="F155" s="61">
        <f>'Input Sheet'!C153/100</f>
        <v>0.9</v>
      </c>
      <c r="G155" s="61">
        <f>'Input Sheet'!F153/100</f>
        <v>1</v>
      </c>
      <c r="H155" s="2">
        <f t="shared" si="17"/>
        <v>5</v>
      </c>
      <c r="I155" s="2">
        <f t="shared" si="18"/>
        <v>5</v>
      </c>
      <c r="J155" s="60">
        <f t="shared" si="22"/>
        <v>4.5</v>
      </c>
      <c r="K155" s="2">
        <f t="shared" si="19"/>
        <v>5</v>
      </c>
      <c r="L155" s="2">
        <f t="shared" si="20"/>
        <v>4.5</v>
      </c>
      <c r="M155" s="2" t="str">
        <f>'Input Sheet'!E153</f>
        <v>M</v>
      </c>
      <c r="N155" s="2">
        <f t="shared" si="21"/>
        <v>3</v>
      </c>
      <c r="P155">
        <f t="shared" si="16"/>
        <v>0</v>
      </c>
      <c r="Q155">
        <f t="shared" si="16"/>
        <v>0</v>
      </c>
      <c r="R155">
        <f t="shared" si="16"/>
        <v>5</v>
      </c>
      <c r="S155">
        <f t="shared" si="16"/>
        <v>0</v>
      </c>
      <c r="T155">
        <f t="shared" si="16"/>
        <v>0</v>
      </c>
    </row>
    <row r="156" spans="1:20" ht="16.5" x14ac:dyDescent="0.25">
      <c r="A156" s="10" t="str">
        <f>'Long Sample Name'!A152</f>
        <v>Sample 2605m: 0% Siltstone, 100% fine to medium Sandstone, 100% moderately bright FLUOR in SST. TG 79.2U</v>
      </c>
      <c r="B156" s="1" t="str">
        <f ca="1">'Input Sheet'!K154</f>
        <v/>
      </c>
      <c r="C156" s="7" t="str">
        <f ca="1">'Input Sheet'!L154</f>
        <v/>
      </c>
      <c r="D156" s="11">
        <f>'Input Sheet'!B154</f>
        <v>2605</v>
      </c>
      <c r="E156" s="8">
        <f>'Input Sheet'!H154</f>
        <v>79.2</v>
      </c>
      <c r="F156" s="61">
        <f>'Input Sheet'!C154/100</f>
        <v>1</v>
      </c>
      <c r="G156" s="61">
        <f>'Input Sheet'!F154/100</f>
        <v>1</v>
      </c>
      <c r="H156" s="2">
        <f t="shared" si="17"/>
        <v>5</v>
      </c>
      <c r="I156" s="2">
        <f t="shared" si="18"/>
        <v>5</v>
      </c>
      <c r="J156" s="60">
        <f t="shared" si="22"/>
        <v>5</v>
      </c>
      <c r="K156" s="2">
        <f t="shared" si="19"/>
        <v>5</v>
      </c>
      <c r="L156" s="2">
        <f t="shared" si="20"/>
        <v>5</v>
      </c>
      <c r="M156" s="2" t="str">
        <f>'Input Sheet'!E154</f>
        <v>M</v>
      </c>
      <c r="N156" s="2">
        <f t="shared" si="21"/>
        <v>3</v>
      </c>
      <c r="P156">
        <f t="shared" si="16"/>
        <v>0</v>
      </c>
      <c r="Q156">
        <f t="shared" si="16"/>
        <v>0</v>
      </c>
      <c r="R156">
        <f t="shared" si="16"/>
        <v>5</v>
      </c>
      <c r="S156">
        <f t="shared" si="16"/>
        <v>0</v>
      </c>
      <c r="T156">
        <f t="shared" si="16"/>
        <v>0</v>
      </c>
    </row>
    <row r="157" spans="1:20" ht="16.5" x14ac:dyDescent="0.25">
      <c r="A157" s="10" t="str">
        <f>'Long Sample Name'!A153</f>
        <v>Sample 2610m: 0% Siltstone, 100% fine to medium Sandstone, 100% moderately bright FLUOR in SST. TG 70.2U</v>
      </c>
      <c r="B157" s="1" t="str">
        <f ca="1">'Input Sheet'!K155</f>
        <v/>
      </c>
      <c r="C157" s="7" t="str">
        <f ca="1">'Input Sheet'!L155</f>
        <v/>
      </c>
      <c r="D157" s="11">
        <f>'Input Sheet'!B155</f>
        <v>2610</v>
      </c>
      <c r="E157" s="8">
        <f>'Input Sheet'!H155</f>
        <v>70.2</v>
      </c>
      <c r="F157" s="61">
        <f>'Input Sheet'!C155/100</f>
        <v>1</v>
      </c>
      <c r="G157" s="61">
        <f>'Input Sheet'!F155/100</f>
        <v>1</v>
      </c>
      <c r="H157" s="2">
        <f t="shared" si="17"/>
        <v>5</v>
      </c>
      <c r="I157" s="2">
        <f t="shared" si="18"/>
        <v>5</v>
      </c>
      <c r="J157" s="60">
        <f t="shared" si="22"/>
        <v>5</v>
      </c>
      <c r="K157" s="2">
        <f t="shared" si="19"/>
        <v>5</v>
      </c>
      <c r="L157" s="2">
        <f t="shared" si="20"/>
        <v>5</v>
      </c>
      <c r="M157" s="2" t="str">
        <f>'Input Sheet'!E155</f>
        <v>M</v>
      </c>
      <c r="N157" s="2">
        <f t="shared" si="21"/>
        <v>3</v>
      </c>
      <c r="P157">
        <f t="shared" si="16"/>
        <v>0</v>
      </c>
      <c r="Q157">
        <f t="shared" si="16"/>
        <v>0</v>
      </c>
      <c r="R157">
        <f t="shared" si="16"/>
        <v>5</v>
      </c>
      <c r="S157">
        <f t="shared" si="16"/>
        <v>0</v>
      </c>
      <c r="T157">
        <f t="shared" si="16"/>
        <v>0</v>
      </c>
    </row>
    <row r="158" spans="1:20" ht="16.5" x14ac:dyDescent="0.25">
      <c r="A158" s="10" t="str">
        <f>'Long Sample Name'!A154</f>
        <v>Sample 2615m: 5% Siltstone, 95% fine to medium Sandstone, 100% moderately bright FLUOR in SST. TG 71.4U</v>
      </c>
      <c r="B158" s="1" t="str">
        <f ca="1">'Input Sheet'!K156</f>
        <v/>
      </c>
      <c r="C158" s="7" t="str">
        <f ca="1">'Input Sheet'!L156</f>
        <v/>
      </c>
      <c r="D158" s="11">
        <f>'Input Sheet'!B156</f>
        <v>2615</v>
      </c>
      <c r="E158" s="8">
        <f>'Input Sheet'!H156</f>
        <v>71.400000000000006</v>
      </c>
      <c r="F158" s="61">
        <f>'Input Sheet'!C156/100</f>
        <v>0.95</v>
      </c>
      <c r="G158" s="61">
        <f>'Input Sheet'!F156/100</f>
        <v>1</v>
      </c>
      <c r="H158" s="2">
        <f t="shared" si="17"/>
        <v>5</v>
      </c>
      <c r="I158" s="2">
        <f t="shared" si="18"/>
        <v>5</v>
      </c>
      <c r="J158" s="60">
        <f t="shared" si="22"/>
        <v>4.75</v>
      </c>
      <c r="K158" s="2">
        <f t="shared" si="19"/>
        <v>5</v>
      </c>
      <c r="L158" s="2">
        <f t="shared" si="20"/>
        <v>4.75</v>
      </c>
      <c r="M158" s="2" t="str">
        <f>'Input Sheet'!E156</f>
        <v>M</v>
      </c>
      <c r="N158" s="2">
        <f t="shared" si="21"/>
        <v>3</v>
      </c>
      <c r="P158">
        <f t="shared" si="16"/>
        <v>0</v>
      </c>
      <c r="Q158">
        <f t="shared" si="16"/>
        <v>0</v>
      </c>
      <c r="R158">
        <f t="shared" si="16"/>
        <v>5</v>
      </c>
      <c r="S158">
        <f t="shared" si="16"/>
        <v>0</v>
      </c>
      <c r="T158">
        <f t="shared" si="16"/>
        <v>0</v>
      </c>
    </row>
    <row r="159" spans="1:20" ht="16.5" x14ac:dyDescent="0.25">
      <c r="A159" s="10" t="str">
        <f>'Long Sample Name'!A155</f>
        <v>Sample 2620m: 5% Siltstone, 95% fine to medium Sandstone, 100% moderately bright FLUOR in SST. TG 81.4U</v>
      </c>
      <c r="B159" s="1" t="str">
        <f ca="1">'Input Sheet'!K157</f>
        <v/>
      </c>
      <c r="C159" s="7" t="str">
        <f ca="1">'Input Sheet'!L157</f>
        <v/>
      </c>
      <c r="D159" s="11">
        <f>'Input Sheet'!B157</f>
        <v>2620</v>
      </c>
      <c r="E159" s="8">
        <f>'Input Sheet'!H157</f>
        <v>81.400000000000006</v>
      </c>
      <c r="F159" s="61">
        <f>'Input Sheet'!C157/100</f>
        <v>0.95</v>
      </c>
      <c r="G159" s="61">
        <f>'Input Sheet'!F157/100</f>
        <v>1</v>
      </c>
      <c r="H159" s="2">
        <f t="shared" si="17"/>
        <v>5</v>
      </c>
      <c r="I159" s="2">
        <f t="shared" si="18"/>
        <v>5</v>
      </c>
      <c r="J159" s="60">
        <f t="shared" si="22"/>
        <v>4.75</v>
      </c>
      <c r="K159" s="2">
        <f t="shared" si="19"/>
        <v>5</v>
      </c>
      <c r="L159" s="2">
        <f t="shared" si="20"/>
        <v>4.75</v>
      </c>
      <c r="M159" s="2" t="str">
        <f>'Input Sheet'!E157</f>
        <v>M</v>
      </c>
      <c r="N159" s="2">
        <f t="shared" si="21"/>
        <v>3</v>
      </c>
      <c r="P159">
        <f t="shared" si="16"/>
        <v>0</v>
      </c>
      <c r="Q159">
        <f t="shared" si="16"/>
        <v>0</v>
      </c>
      <c r="R159">
        <f t="shared" si="16"/>
        <v>5</v>
      </c>
      <c r="S159">
        <f t="shared" si="16"/>
        <v>0</v>
      </c>
      <c r="T159">
        <f t="shared" si="16"/>
        <v>0</v>
      </c>
    </row>
    <row r="160" spans="1:20" ht="16.5" x14ac:dyDescent="0.25">
      <c r="A160" s="10" t="str">
        <f>'Long Sample Name'!A156</f>
        <v>Sample 2625m: 0% Siltstone, 100% fine to medium Sandstone, 100% moderately bright FLUOR in SST. TG 88.3U</v>
      </c>
      <c r="B160" s="1" t="str">
        <f ca="1">'Input Sheet'!K158</f>
        <v/>
      </c>
      <c r="C160" s="7" t="str">
        <f ca="1">'Input Sheet'!L158</f>
        <v/>
      </c>
      <c r="D160" s="11">
        <f>'Input Sheet'!B158</f>
        <v>2625</v>
      </c>
      <c r="E160" s="8">
        <f>'Input Sheet'!H158</f>
        <v>88.3</v>
      </c>
      <c r="F160" s="61">
        <f>'Input Sheet'!C158/100</f>
        <v>1</v>
      </c>
      <c r="G160" s="61">
        <f>'Input Sheet'!F158/100</f>
        <v>1</v>
      </c>
      <c r="H160" s="2">
        <f t="shared" si="17"/>
        <v>5</v>
      </c>
      <c r="I160" s="2">
        <f t="shared" si="18"/>
        <v>5</v>
      </c>
      <c r="J160" s="60">
        <f t="shared" si="22"/>
        <v>5</v>
      </c>
      <c r="K160" s="2">
        <f t="shared" si="19"/>
        <v>5</v>
      </c>
      <c r="L160" s="2">
        <f t="shared" si="20"/>
        <v>5</v>
      </c>
      <c r="M160" s="2" t="str">
        <f>'Input Sheet'!E158</f>
        <v>M</v>
      </c>
      <c r="N160" s="2">
        <f t="shared" si="21"/>
        <v>3</v>
      </c>
      <c r="P160">
        <f t="shared" si="16"/>
        <v>0</v>
      </c>
      <c r="Q160">
        <f t="shared" si="16"/>
        <v>0</v>
      </c>
      <c r="R160">
        <f t="shared" si="16"/>
        <v>5</v>
      </c>
      <c r="S160">
        <f t="shared" si="16"/>
        <v>0</v>
      </c>
      <c r="T160">
        <f t="shared" si="16"/>
        <v>0</v>
      </c>
    </row>
    <row r="161" spans="1:20" ht="16.5" x14ac:dyDescent="0.25">
      <c r="A161" s="10" t="str">
        <f>'Long Sample Name'!A157</f>
        <v>Sample 2630m: 0% Siltstone, 100% very fine to medium Sandstone, 100% moderately bright FLUOR in SST. TG 84U</v>
      </c>
      <c r="B161" s="1" t="str">
        <f ca="1">'Input Sheet'!K159</f>
        <v/>
      </c>
      <c r="C161" s="7" t="str">
        <f ca="1">'Input Sheet'!L159</f>
        <v/>
      </c>
      <c r="D161" s="11">
        <f>'Input Sheet'!B159</f>
        <v>2630</v>
      </c>
      <c r="E161" s="8">
        <f>'Input Sheet'!H159</f>
        <v>84</v>
      </c>
      <c r="F161" s="61">
        <f>'Input Sheet'!C159/100</f>
        <v>1</v>
      </c>
      <c r="G161" s="61">
        <f>'Input Sheet'!F159/100</f>
        <v>1</v>
      </c>
      <c r="H161" s="2">
        <f t="shared" si="17"/>
        <v>5</v>
      </c>
      <c r="I161" s="2">
        <f t="shared" si="18"/>
        <v>5</v>
      </c>
      <c r="J161" s="60">
        <f t="shared" si="22"/>
        <v>5</v>
      </c>
      <c r="K161" s="2">
        <f t="shared" si="19"/>
        <v>5</v>
      </c>
      <c r="L161" s="2">
        <f t="shared" si="20"/>
        <v>5</v>
      </c>
      <c r="M161" s="2" t="str">
        <f>'Input Sheet'!E159</f>
        <v>M</v>
      </c>
      <c r="N161" s="2">
        <f t="shared" si="21"/>
        <v>3</v>
      </c>
      <c r="P161">
        <f t="shared" ref="P161:T211" si="23">IF($M161=P$1,$H161,0)</f>
        <v>0</v>
      </c>
      <c r="Q161">
        <f t="shared" si="23"/>
        <v>0</v>
      </c>
      <c r="R161">
        <f t="shared" si="23"/>
        <v>5</v>
      </c>
      <c r="S161">
        <f t="shared" si="23"/>
        <v>0</v>
      </c>
      <c r="T161">
        <f t="shared" si="23"/>
        <v>0</v>
      </c>
    </row>
    <row r="162" spans="1:20" ht="16.5" x14ac:dyDescent="0.25">
      <c r="A162" s="10" t="str">
        <f>'Long Sample Name'!A158</f>
        <v>Sample 2635m: 5% Siltstone, 95% very fine to medium Sandstone, 100% bright FLUOR in SST. TG 66.8U</v>
      </c>
      <c r="B162" s="1" t="str">
        <f ca="1">'Input Sheet'!K160</f>
        <v/>
      </c>
      <c r="C162" s="7" t="str">
        <f ca="1">'Input Sheet'!L160</f>
        <v/>
      </c>
      <c r="D162" s="11">
        <f>'Input Sheet'!B160</f>
        <v>2635</v>
      </c>
      <c r="E162" s="8">
        <f>'Input Sheet'!H160</f>
        <v>66.8</v>
      </c>
      <c r="F162" s="61">
        <f>'Input Sheet'!C160/100</f>
        <v>0.95</v>
      </c>
      <c r="G162" s="61">
        <f>'Input Sheet'!F160/100</f>
        <v>1</v>
      </c>
      <c r="H162" s="2">
        <f t="shared" si="17"/>
        <v>5</v>
      </c>
      <c r="I162" s="2">
        <f t="shared" si="18"/>
        <v>5</v>
      </c>
      <c r="J162" s="60">
        <f t="shared" si="22"/>
        <v>4.75</v>
      </c>
      <c r="K162" s="2">
        <f t="shared" si="19"/>
        <v>5</v>
      </c>
      <c r="L162" s="2">
        <f t="shared" si="20"/>
        <v>4.75</v>
      </c>
      <c r="M162" s="2" t="str">
        <f>'Input Sheet'!E160</f>
        <v>M</v>
      </c>
      <c r="N162" s="2">
        <f t="shared" si="21"/>
        <v>3</v>
      </c>
      <c r="P162">
        <f t="shared" si="23"/>
        <v>0</v>
      </c>
      <c r="Q162">
        <f t="shared" si="23"/>
        <v>0</v>
      </c>
      <c r="R162">
        <f t="shared" si="23"/>
        <v>5</v>
      </c>
      <c r="S162">
        <f t="shared" si="23"/>
        <v>0</v>
      </c>
      <c r="T162">
        <f t="shared" si="23"/>
        <v>0</v>
      </c>
    </row>
    <row r="163" spans="1:20" ht="16.5" x14ac:dyDescent="0.25">
      <c r="A163" s="10" t="str">
        <f>'Long Sample Name'!A159</f>
        <v>Sample 2640m: 5% Siltstone, 95% very fine to medium Sandstone, 100% bright FLUOR in SST. TG 62.1U</v>
      </c>
      <c r="B163" s="1" t="str">
        <f ca="1">'Input Sheet'!K161</f>
        <v/>
      </c>
      <c r="C163" s="7" t="str">
        <f ca="1">'Input Sheet'!L161</f>
        <v/>
      </c>
      <c r="D163" s="11">
        <f>'Input Sheet'!B161</f>
        <v>2640</v>
      </c>
      <c r="E163" s="8">
        <f>'Input Sheet'!H161</f>
        <v>62.1</v>
      </c>
      <c r="F163" s="61">
        <f>'Input Sheet'!C161/100</f>
        <v>0.95</v>
      </c>
      <c r="G163" s="61">
        <f>'Input Sheet'!F161/100</f>
        <v>1</v>
      </c>
      <c r="H163" s="2">
        <f t="shared" si="17"/>
        <v>5</v>
      </c>
      <c r="I163" s="2">
        <f t="shared" si="18"/>
        <v>5</v>
      </c>
      <c r="J163" s="60">
        <f t="shared" si="22"/>
        <v>4.75</v>
      </c>
      <c r="K163" s="2">
        <f t="shared" si="19"/>
        <v>5</v>
      </c>
      <c r="L163" s="2">
        <f t="shared" si="20"/>
        <v>4.75</v>
      </c>
      <c r="M163" s="2" t="str">
        <f>'Input Sheet'!E161</f>
        <v>M</v>
      </c>
      <c r="N163" s="2">
        <f t="shared" si="21"/>
        <v>3</v>
      </c>
      <c r="P163">
        <f t="shared" si="23"/>
        <v>0</v>
      </c>
      <c r="Q163">
        <f t="shared" si="23"/>
        <v>0</v>
      </c>
      <c r="R163">
        <f t="shared" si="23"/>
        <v>5</v>
      </c>
      <c r="S163">
        <f t="shared" si="23"/>
        <v>0</v>
      </c>
      <c r="T163">
        <f t="shared" si="23"/>
        <v>0</v>
      </c>
    </row>
    <row r="164" spans="1:20" ht="16.5" x14ac:dyDescent="0.25">
      <c r="A164" s="10" t="str">
        <f>'Long Sample Name'!A160</f>
        <v>Sample 2645m: 5% Siltstone, 95% very fine to medium Sandstone, 100% moderately bright FLUOR in SST. TG 48.1U</v>
      </c>
      <c r="B164" s="1" t="str">
        <f ca="1">'Input Sheet'!K162</f>
        <v/>
      </c>
      <c r="C164" s="7" t="str">
        <f ca="1">'Input Sheet'!L162</f>
        <v/>
      </c>
      <c r="D164" s="11">
        <f>'Input Sheet'!B162</f>
        <v>2645</v>
      </c>
      <c r="E164" s="8">
        <f>'Input Sheet'!H162</f>
        <v>48.1</v>
      </c>
      <c r="F164" s="61">
        <f>'Input Sheet'!C162/100</f>
        <v>0.95</v>
      </c>
      <c r="G164" s="61">
        <f>'Input Sheet'!F162/100</f>
        <v>1</v>
      </c>
      <c r="H164" s="2">
        <f t="shared" si="17"/>
        <v>5</v>
      </c>
      <c r="I164" s="2">
        <f t="shared" si="18"/>
        <v>5</v>
      </c>
      <c r="J164" s="60">
        <f t="shared" si="22"/>
        <v>4.75</v>
      </c>
      <c r="K164" s="2">
        <f t="shared" si="19"/>
        <v>5</v>
      </c>
      <c r="L164" s="2">
        <f t="shared" si="20"/>
        <v>4.75</v>
      </c>
      <c r="M164" s="2" t="str">
        <f>'Input Sheet'!E162</f>
        <v>M</v>
      </c>
      <c r="N164" s="2">
        <f t="shared" si="21"/>
        <v>3</v>
      </c>
      <c r="P164">
        <f t="shared" si="23"/>
        <v>0</v>
      </c>
      <c r="Q164">
        <f t="shared" si="23"/>
        <v>0</v>
      </c>
      <c r="R164">
        <f t="shared" si="23"/>
        <v>5</v>
      </c>
      <c r="S164">
        <f t="shared" si="23"/>
        <v>0</v>
      </c>
      <c r="T164">
        <f t="shared" si="23"/>
        <v>0</v>
      </c>
    </row>
    <row r="165" spans="1:20" ht="16.5" x14ac:dyDescent="0.25">
      <c r="A165" s="10" t="str">
        <f>'Long Sample Name'!A161</f>
        <v>Sample 2650m: 5% Siltstone, 95% very fine to medium Sandstone, 100% moderately bright FLUOR in SST. TG 68.6U</v>
      </c>
      <c r="B165" s="1" t="str">
        <f ca="1">'Input Sheet'!K163</f>
        <v/>
      </c>
      <c r="C165" s="7" t="str">
        <f ca="1">'Input Sheet'!L163</f>
        <v/>
      </c>
      <c r="D165" s="11">
        <f>'Input Sheet'!B163</f>
        <v>2650</v>
      </c>
      <c r="E165" s="8">
        <f>'Input Sheet'!H163</f>
        <v>68.599999999999994</v>
      </c>
      <c r="F165" s="61">
        <f>'Input Sheet'!C163/100</f>
        <v>0.95</v>
      </c>
      <c r="G165" s="61">
        <f>'Input Sheet'!F163/100</f>
        <v>1</v>
      </c>
      <c r="H165" s="2">
        <f t="shared" si="17"/>
        <v>5</v>
      </c>
      <c r="I165" s="2">
        <f t="shared" si="18"/>
        <v>5</v>
      </c>
      <c r="J165" s="60">
        <f t="shared" si="22"/>
        <v>4.75</v>
      </c>
      <c r="K165" s="2">
        <f t="shared" si="19"/>
        <v>5</v>
      </c>
      <c r="L165" s="2">
        <f t="shared" si="20"/>
        <v>4.75</v>
      </c>
      <c r="M165" s="2" t="str">
        <f>'Input Sheet'!E163</f>
        <v>M</v>
      </c>
      <c r="N165" s="2">
        <f t="shared" si="21"/>
        <v>3</v>
      </c>
      <c r="P165">
        <f t="shared" si="23"/>
        <v>0</v>
      </c>
      <c r="Q165">
        <f t="shared" si="23"/>
        <v>0</v>
      </c>
      <c r="R165">
        <f t="shared" si="23"/>
        <v>5</v>
      </c>
      <c r="S165">
        <f t="shared" si="23"/>
        <v>0</v>
      </c>
      <c r="T165">
        <f t="shared" si="23"/>
        <v>0</v>
      </c>
    </row>
    <row r="166" spans="1:20" ht="16.5" x14ac:dyDescent="0.25">
      <c r="A166" s="10" t="str">
        <f>'Long Sample Name'!A162</f>
        <v>Sample 2655m: 5% Siltstone, 95% very fine to medium Sandstone, 100% bright FLUOR in SST. TG 76.5U</v>
      </c>
      <c r="B166" s="1" t="str">
        <f ca="1">'Input Sheet'!K164</f>
        <v/>
      </c>
      <c r="C166" s="7" t="str">
        <f ca="1">'Input Sheet'!L164</f>
        <v/>
      </c>
      <c r="D166" s="11">
        <f>'Input Sheet'!B164</f>
        <v>2655</v>
      </c>
      <c r="E166" s="8">
        <f>'Input Sheet'!H164</f>
        <v>76.5</v>
      </c>
      <c r="F166" s="61">
        <f>'Input Sheet'!C164/100</f>
        <v>0.95</v>
      </c>
      <c r="G166" s="61">
        <f>'Input Sheet'!F164/100</f>
        <v>1</v>
      </c>
      <c r="H166" s="2">
        <f t="shared" si="17"/>
        <v>5</v>
      </c>
      <c r="I166" s="2">
        <f t="shared" si="18"/>
        <v>5</v>
      </c>
      <c r="J166" s="60">
        <f t="shared" si="22"/>
        <v>4.75</v>
      </c>
      <c r="K166" s="2">
        <f t="shared" si="19"/>
        <v>5</v>
      </c>
      <c r="L166" s="2">
        <f t="shared" si="20"/>
        <v>4.75</v>
      </c>
      <c r="M166" s="2" t="str">
        <f>'Input Sheet'!E164</f>
        <v>M</v>
      </c>
      <c r="N166" s="2">
        <f t="shared" si="21"/>
        <v>3</v>
      </c>
      <c r="P166">
        <f t="shared" si="23"/>
        <v>0</v>
      </c>
      <c r="Q166">
        <f t="shared" si="23"/>
        <v>0</v>
      </c>
      <c r="R166">
        <f t="shared" si="23"/>
        <v>5</v>
      </c>
      <c r="S166">
        <f t="shared" si="23"/>
        <v>0</v>
      </c>
      <c r="T166">
        <f t="shared" si="23"/>
        <v>0</v>
      </c>
    </row>
    <row r="167" spans="1:20" ht="16.5" x14ac:dyDescent="0.25">
      <c r="A167" s="10" t="str">
        <f>'Long Sample Name'!A163</f>
        <v>Sample 2660m: 5% Siltstone, 95% very fine to medium Sandstone, 100% bright FLUOR in SST. TG 79.1U</v>
      </c>
      <c r="B167" s="1" t="str">
        <f ca="1">'Input Sheet'!K165</f>
        <v/>
      </c>
      <c r="C167" s="7" t="str">
        <f ca="1">'Input Sheet'!L165</f>
        <v/>
      </c>
      <c r="D167" s="11">
        <f>'Input Sheet'!B165</f>
        <v>2660</v>
      </c>
      <c r="E167" s="8">
        <f>'Input Sheet'!H165</f>
        <v>79.099999999999994</v>
      </c>
      <c r="F167" s="61">
        <f>'Input Sheet'!C165/100</f>
        <v>0.95</v>
      </c>
      <c r="G167" s="61">
        <f>'Input Sheet'!F165/100</f>
        <v>1</v>
      </c>
      <c r="H167" s="2">
        <f t="shared" si="17"/>
        <v>5</v>
      </c>
      <c r="I167" s="2">
        <f t="shared" si="18"/>
        <v>5</v>
      </c>
      <c r="J167" s="60">
        <f t="shared" si="22"/>
        <v>4.75</v>
      </c>
      <c r="K167" s="2">
        <f t="shared" si="19"/>
        <v>5</v>
      </c>
      <c r="L167" s="2">
        <f t="shared" si="20"/>
        <v>4.75</v>
      </c>
      <c r="M167" s="2" t="str">
        <f>'Input Sheet'!E165</f>
        <v>M</v>
      </c>
      <c r="N167" s="2">
        <f t="shared" si="21"/>
        <v>3</v>
      </c>
      <c r="P167">
        <f t="shared" si="23"/>
        <v>0</v>
      </c>
      <c r="Q167">
        <f t="shared" si="23"/>
        <v>0</v>
      </c>
      <c r="R167">
        <f t="shared" si="23"/>
        <v>5</v>
      </c>
      <c r="S167">
        <f t="shared" si="23"/>
        <v>0</v>
      </c>
      <c r="T167">
        <f t="shared" si="23"/>
        <v>0</v>
      </c>
    </row>
    <row r="168" spans="1:20" ht="16.5" x14ac:dyDescent="0.25">
      <c r="A168" s="10" t="str">
        <f>'Long Sample Name'!A164</f>
        <v>Sample 2665m: 10% Siltstone, 90% very fine to medium Sandstone, 100% bright FLUOR in SST. TG 52.5U</v>
      </c>
      <c r="B168" s="1" t="str">
        <f ca="1">'Input Sheet'!K166</f>
        <v/>
      </c>
      <c r="C168" s="7" t="str">
        <f ca="1">'Input Sheet'!L166</f>
        <v/>
      </c>
      <c r="D168" s="11">
        <f>'Input Sheet'!B166</f>
        <v>2665</v>
      </c>
      <c r="E168" s="8">
        <f>'Input Sheet'!H166</f>
        <v>52.5</v>
      </c>
      <c r="F168" s="61">
        <f>'Input Sheet'!C166/100</f>
        <v>0.9</v>
      </c>
      <c r="G168" s="61">
        <f>'Input Sheet'!F166/100</f>
        <v>1</v>
      </c>
      <c r="H168" s="2">
        <f t="shared" si="17"/>
        <v>5</v>
      </c>
      <c r="I168" s="2">
        <f t="shared" si="18"/>
        <v>5</v>
      </c>
      <c r="J168" s="60">
        <f t="shared" si="22"/>
        <v>4.5</v>
      </c>
      <c r="K168" s="2">
        <f t="shared" si="19"/>
        <v>5</v>
      </c>
      <c r="L168" s="2">
        <f t="shared" si="20"/>
        <v>4.5</v>
      </c>
      <c r="M168" s="2" t="str">
        <f>'Input Sheet'!E166</f>
        <v>M</v>
      </c>
      <c r="N168" s="2">
        <f t="shared" si="21"/>
        <v>3</v>
      </c>
      <c r="P168">
        <f t="shared" si="23"/>
        <v>0</v>
      </c>
      <c r="Q168">
        <f t="shared" si="23"/>
        <v>0</v>
      </c>
      <c r="R168">
        <f t="shared" si="23"/>
        <v>5</v>
      </c>
      <c r="S168">
        <f t="shared" si="23"/>
        <v>0</v>
      </c>
      <c r="T168">
        <f t="shared" si="23"/>
        <v>0</v>
      </c>
    </row>
    <row r="169" spans="1:20" ht="16.5" x14ac:dyDescent="0.25">
      <c r="A169" s="10" t="str">
        <f>'Long Sample Name'!A165</f>
        <v>Sample 2670m: 10% Siltstone, 90% very fine to medium Sandstone, 100% bright FLUOR in SST. TG 88.5U</v>
      </c>
      <c r="B169" s="1" t="str">
        <f ca="1">'Input Sheet'!K167</f>
        <v/>
      </c>
      <c r="C169" s="7" t="str">
        <f ca="1">'Input Sheet'!L167</f>
        <v/>
      </c>
      <c r="D169" s="11">
        <f>'Input Sheet'!B167</f>
        <v>2670</v>
      </c>
      <c r="E169" s="8">
        <f>'Input Sheet'!H167</f>
        <v>88.5</v>
      </c>
      <c r="F169" s="61">
        <f>'Input Sheet'!C167/100</f>
        <v>0.9</v>
      </c>
      <c r="G169" s="61">
        <f>'Input Sheet'!F167/100</f>
        <v>1</v>
      </c>
      <c r="H169" s="2">
        <f t="shared" si="17"/>
        <v>5</v>
      </c>
      <c r="I169" s="2">
        <f t="shared" si="18"/>
        <v>5</v>
      </c>
      <c r="J169" s="60">
        <f t="shared" si="22"/>
        <v>4.5</v>
      </c>
      <c r="K169" s="2">
        <f t="shared" si="19"/>
        <v>5</v>
      </c>
      <c r="L169" s="2">
        <f t="shared" si="20"/>
        <v>4.5</v>
      </c>
      <c r="M169" s="2" t="str">
        <f>'Input Sheet'!E167</f>
        <v>M</v>
      </c>
      <c r="N169" s="2">
        <f t="shared" si="21"/>
        <v>3</v>
      </c>
      <c r="P169">
        <f t="shared" si="23"/>
        <v>0</v>
      </c>
      <c r="Q169">
        <f t="shared" si="23"/>
        <v>0</v>
      </c>
      <c r="R169">
        <f t="shared" si="23"/>
        <v>5</v>
      </c>
      <c r="S169">
        <f t="shared" si="23"/>
        <v>0</v>
      </c>
      <c r="T169">
        <f t="shared" si="23"/>
        <v>0</v>
      </c>
    </row>
    <row r="170" spans="1:20" ht="16.5" x14ac:dyDescent="0.25">
      <c r="A170" s="10" t="str">
        <f>'Long Sample Name'!A166</f>
        <v>Sample 2675m: 5% Siltstone, 95% very fine to medium Sandstone, 100% bright FLUOR in SST. TG 95.7U</v>
      </c>
      <c r="B170" s="1" t="str">
        <f ca="1">'Input Sheet'!K168</f>
        <v/>
      </c>
      <c r="C170" s="7" t="str">
        <f ca="1">'Input Sheet'!L168</f>
        <v/>
      </c>
      <c r="D170" s="11">
        <f>'Input Sheet'!B168</f>
        <v>2675</v>
      </c>
      <c r="E170" s="8">
        <f>'Input Sheet'!H168</f>
        <v>95.7</v>
      </c>
      <c r="F170" s="61">
        <f>'Input Sheet'!C168/100</f>
        <v>0.95</v>
      </c>
      <c r="G170" s="61">
        <f>'Input Sheet'!F168/100</f>
        <v>1</v>
      </c>
      <c r="H170" s="2">
        <f t="shared" si="17"/>
        <v>5</v>
      </c>
      <c r="I170" s="2">
        <f t="shared" si="18"/>
        <v>5</v>
      </c>
      <c r="J170" s="60">
        <f t="shared" si="22"/>
        <v>4.75</v>
      </c>
      <c r="K170" s="2">
        <f t="shared" si="19"/>
        <v>5</v>
      </c>
      <c r="L170" s="2">
        <f t="shared" si="20"/>
        <v>4.75</v>
      </c>
      <c r="M170" s="2" t="str">
        <f>'Input Sheet'!E168</f>
        <v>M</v>
      </c>
      <c r="N170" s="2">
        <f t="shared" si="21"/>
        <v>3</v>
      </c>
      <c r="P170">
        <f t="shared" si="23"/>
        <v>0</v>
      </c>
      <c r="Q170">
        <f t="shared" si="23"/>
        <v>0</v>
      </c>
      <c r="R170">
        <f t="shared" si="23"/>
        <v>5</v>
      </c>
      <c r="S170">
        <f t="shared" si="23"/>
        <v>0</v>
      </c>
      <c r="T170">
        <f t="shared" si="23"/>
        <v>0</v>
      </c>
    </row>
    <row r="171" spans="1:20" ht="16.5" x14ac:dyDescent="0.25">
      <c r="A171" s="10" t="str">
        <f>'Long Sample Name'!A167</f>
        <v>Sample 2680m: 5% Siltstone, 95% very fine to medium Sandstone, 100% bright FLUOR in SST. TG 100U</v>
      </c>
      <c r="B171" s="1" t="str">
        <f ca="1">'Input Sheet'!K169</f>
        <v/>
      </c>
      <c r="C171" s="7" t="str">
        <f ca="1">'Input Sheet'!L169</f>
        <v/>
      </c>
      <c r="D171" s="11">
        <f>'Input Sheet'!B169</f>
        <v>2680</v>
      </c>
      <c r="E171" s="8">
        <f>'Input Sheet'!H169</f>
        <v>100</v>
      </c>
      <c r="F171" s="61">
        <f>'Input Sheet'!C169/100</f>
        <v>0.95</v>
      </c>
      <c r="G171" s="61">
        <f>'Input Sheet'!F169/100</f>
        <v>1</v>
      </c>
      <c r="H171" s="2">
        <f t="shared" si="17"/>
        <v>5</v>
      </c>
      <c r="I171" s="2">
        <f t="shared" si="18"/>
        <v>5</v>
      </c>
      <c r="J171" s="60">
        <f t="shared" si="22"/>
        <v>4.75</v>
      </c>
      <c r="K171" s="2">
        <f t="shared" si="19"/>
        <v>5</v>
      </c>
      <c r="L171" s="2">
        <f t="shared" si="20"/>
        <v>4.75</v>
      </c>
      <c r="M171" s="2" t="str">
        <f>'Input Sheet'!E169</f>
        <v>M</v>
      </c>
      <c r="N171" s="2">
        <f t="shared" si="21"/>
        <v>3</v>
      </c>
      <c r="P171">
        <f t="shared" si="23"/>
        <v>0</v>
      </c>
      <c r="Q171">
        <f t="shared" si="23"/>
        <v>0</v>
      </c>
      <c r="R171">
        <f t="shared" si="23"/>
        <v>5</v>
      </c>
      <c r="S171">
        <f t="shared" si="23"/>
        <v>0</v>
      </c>
      <c r="T171">
        <f t="shared" si="23"/>
        <v>0</v>
      </c>
    </row>
    <row r="172" spans="1:20" ht="16.5" x14ac:dyDescent="0.25">
      <c r="A172" s="10" t="str">
        <f>'Long Sample Name'!A168</f>
        <v>Sample 2685m: 40% Siltstone, 60% very fine to medium Sandstone, 100% moderately bright to bright FLUOR in SST. TG 46U</v>
      </c>
      <c r="B172" s="1" t="str">
        <f ca="1">'Input Sheet'!K170</f>
        <v/>
      </c>
      <c r="C172" s="7" t="str">
        <f ca="1">'Input Sheet'!L170</f>
        <v/>
      </c>
      <c r="D172" s="11">
        <f>'Input Sheet'!B170</f>
        <v>2685</v>
      </c>
      <c r="E172" s="8">
        <f>'Input Sheet'!H170</f>
        <v>46</v>
      </c>
      <c r="F172" s="61">
        <f>'Input Sheet'!C170/100</f>
        <v>0.6</v>
      </c>
      <c r="G172" s="61">
        <f>'Input Sheet'!F170/100</f>
        <v>1</v>
      </c>
      <c r="H172" s="2">
        <f t="shared" si="17"/>
        <v>5</v>
      </c>
      <c r="I172" s="2">
        <f t="shared" si="18"/>
        <v>5</v>
      </c>
      <c r="J172" s="60">
        <f t="shared" si="22"/>
        <v>3</v>
      </c>
      <c r="K172" s="2">
        <f t="shared" si="19"/>
        <v>5</v>
      </c>
      <c r="L172" s="2">
        <f t="shared" si="20"/>
        <v>3</v>
      </c>
      <c r="M172" s="2" t="str">
        <f>'Input Sheet'!E170</f>
        <v>M</v>
      </c>
      <c r="N172" s="2">
        <f t="shared" si="21"/>
        <v>3</v>
      </c>
      <c r="P172">
        <f t="shared" si="23"/>
        <v>0</v>
      </c>
      <c r="Q172">
        <f t="shared" si="23"/>
        <v>0</v>
      </c>
      <c r="R172">
        <f t="shared" si="23"/>
        <v>5</v>
      </c>
      <c r="S172">
        <f t="shared" si="23"/>
        <v>0</v>
      </c>
      <c r="T172">
        <f t="shared" si="23"/>
        <v>0</v>
      </c>
    </row>
    <row r="173" spans="1:20" ht="16.5" x14ac:dyDescent="0.25">
      <c r="A173" s="10" t="str">
        <f>'Long Sample Name'!A169</f>
        <v>Sample 2690m: 40% Siltstone, 60% very fine to medium Sandstone, 100% moderately bright to bright FLUOR in SST. TG 59U</v>
      </c>
      <c r="B173" s="1" t="str">
        <f ca="1">'Input Sheet'!K171</f>
        <v/>
      </c>
      <c r="C173" s="7" t="str">
        <f ca="1">'Input Sheet'!L171</f>
        <v/>
      </c>
      <c r="D173" s="11">
        <f>'Input Sheet'!B171</f>
        <v>2690</v>
      </c>
      <c r="E173" s="8">
        <f>'Input Sheet'!H171</f>
        <v>59</v>
      </c>
      <c r="F173" s="61">
        <f>'Input Sheet'!C171/100</f>
        <v>0.6</v>
      </c>
      <c r="G173" s="61">
        <f>'Input Sheet'!F171/100</f>
        <v>1</v>
      </c>
      <c r="H173" s="2">
        <f t="shared" si="17"/>
        <v>5</v>
      </c>
      <c r="I173" s="2">
        <f t="shared" si="18"/>
        <v>5</v>
      </c>
      <c r="J173" s="60">
        <f t="shared" si="22"/>
        <v>3</v>
      </c>
      <c r="K173" s="2">
        <f t="shared" si="19"/>
        <v>5</v>
      </c>
      <c r="L173" s="2">
        <f t="shared" si="20"/>
        <v>3</v>
      </c>
      <c r="M173" s="2" t="str">
        <f>'Input Sheet'!E171</f>
        <v>M</v>
      </c>
      <c r="N173" s="2">
        <f t="shared" si="21"/>
        <v>3</v>
      </c>
      <c r="P173">
        <f t="shared" si="23"/>
        <v>0</v>
      </c>
      <c r="Q173">
        <f t="shared" si="23"/>
        <v>0</v>
      </c>
      <c r="R173">
        <f t="shared" si="23"/>
        <v>5</v>
      </c>
      <c r="S173">
        <f t="shared" si="23"/>
        <v>0</v>
      </c>
      <c r="T173">
        <f t="shared" si="23"/>
        <v>0</v>
      </c>
    </row>
    <row r="174" spans="1:20" ht="16.5" x14ac:dyDescent="0.25">
      <c r="A174" s="10" t="str">
        <f>'Long Sample Name'!A170</f>
        <v>Sample 2695m: 10% Siltstone, 90% very fine to medium Sandstone, 100% moderately bright to bright FLUOR in SST. TG 64U</v>
      </c>
      <c r="B174" s="1" t="str">
        <f ca="1">'Input Sheet'!K172</f>
        <v/>
      </c>
      <c r="C174" s="7" t="str">
        <f ca="1">'Input Sheet'!L172</f>
        <v/>
      </c>
      <c r="D174" s="11">
        <f>'Input Sheet'!B172</f>
        <v>2695</v>
      </c>
      <c r="E174" s="8">
        <f>'Input Sheet'!H172</f>
        <v>64</v>
      </c>
      <c r="F174" s="61">
        <f>'Input Sheet'!C172/100</f>
        <v>0.9</v>
      </c>
      <c r="G174" s="61">
        <f>'Input Sheet'!F172/100</f>
        <v>1</v>
      </c>
      <c r="H174" s="2">
        <f t="shared" si="17"/>
        <v>5</v>
      </c>
      <c r="I174" s="2">
        <f t="shared" si="18"/>
        <v>5</v>
      </c>
      <c r="J174" s="60">
        <f t="shared" si="22"/>
        <v>4.5</v>
      </c>
      <c r="K174" s="2">
        <f t="shared" si="19"/>
        <v>5</v>
      </c>
      <c r="L174" s="2">
        <f t="shared" si="20"/>
        <v>4.5</v>
      </c>
      <c r="M174" s="2" t="str">
        <f>'Input Sheet'!E172</f>
        <v>M</v>
      </c>
      <c r="N174" s="2">
        <f t="shared" si="21"/>
        <v>3</v>
      </c>
      <c r="P174">
        <f t="shared" si="23"/>
        <v>0</v>
      </c>
      <c r="Q174">
        <f t="shared" si="23"/>
        <v>0</v>
      </c>
      <c r="R174">
        <f t="shared" si="23"/>
        <v>5</v>
      </c>
      <c r="S174">
        <f t="shared" si="23"/>
        <v>0</v>
      </c>
      <c r="T174">
        <f t="shared" si="23"/>
        <v>0</v>
      </c>
    </row>
    <row r="175" spans="1:20" ht="16.5" x14ac:dyDescent="0.25">
      <c r="A175" s="10" t="str">
        <f>'Long Sample Name'!A171</f>
        <v>Sample 2700m: 10% Siltstone, 90% very fine to medium Sandstone, 100% moderately bright to bright FLUOR in SST. TG 72U</v>
      </c>
      <c r="B175" s="1" t="str">
        <f ca="1">'Input Sheet'!K173</f>
        <v/>
      </c>
      <c r="C175" s="7" t="str">
        <f ca="1">'Input Sheet'!L173</f>
        <v/>
      </c>
      <c r="D175" s="11">
        <f>'Input Sheet'!B173</f>
        <v>2700</v>
      </c>
      <c r="E175" s="8">
        <f>'Input Sheet'!H173</f>
        <v>72</v>
      </c>
      <c r="F175" s="61">
        <f>'Input Sheet'!C173/100</f>
        <v>0.9</v>
      </c>
      <c r="G175" s="61">
        <f>'Input Sheet'!F173/100</f>
        <v>1</v>
      </c>
      <c r="H175" s="2">
        <f t="shared" si="17"/>
        <v>5</v>
      </c>
      <c r="I175" s="2">
        <f t="shared" si="18"/>
        <v>5</v>
      </c>
      <c r="J175" s="60">
        <f t="shared" si="22"/>
        <v>4.5</v>
      </c>
      <c r="K175" s="2">
        <f t="shared" si="19"/>
        <v>5</v>
      </c>
      <c r="L175" s="2">
        <f t="shared" si="20"/>
        <v>4.5</v>
      </c>
      <c r="M175" s="2" t="str">
        <f>'Input Sheet'!E173</f>
        <v>M</v>
      </c>
      <c r="N175" s="2">
        <f t="shared" si="21"/>
        <v>3</v>
      </c>
      <c r="P175">
        <f t="shared" si="23"/>
        <v>0</v>
      </c>
      <c r="Q175">
        <f t="shared" si="23"/>
        <v>0</v>
      </c>
      <c r="R175">
        <f t="shared" si="23"/>
        <v>5</v>
      </c>
      <c r="S175">
        <f t="shared" si="23"/>
        <v>0</v>
      </c>
      <c r="T175">
        <f t="shared" si="23"/>
        <v>0</v>
      </c>
    </row>
    <row r="176" spans="1:20" ht="16.5" x14ac:dyDescent="0.25">
      <c r="A176" s="10" t="str">
        <f>'Long Sample Name'!A172</f>
        <v>Sample 2705m: 10% Siltstone, 90% very fine to medium Sandstone, 100% moderately bright to bright FLUOR in SST. TG 52U</v>
      </c>
      <c r="B176" s="1" t="str">
        <f ca="1">'Input Sheet'!K174</f>
        <v/>
      </c>
      <c r="C176" s="7" t="str">
        <f ca="1">'Input Sheet'!L174</f>
        <v/>
      </c>
      <c r="D176" s="11">
        <f>'Input Sheet'!B174</f>
        <v>2705</v>
      </c>
      <c r="E176" s="8">
        <f>'Input Sheet'!H174</f>
        <v>52</v>
      </c>
      <c r="F176" s="61">
        <f>'Input Sheet'!C174/100</f>
        <v>0.9</v>
      </c>
      <c r="G176" s="61">
        <f>'Input Sheet'!F174/100</f>
        <v>1</v>
      </c>
      <c r="H176" s="2">
        <f t="shared" si="17"/>
        <v>5</v>
      </c>
      <c r="I176" s="2">
        <f t="shared" si="18"/>
        <v>5</v>
      </c>
      <c r="J176" s="60">
        <f t="shared" si="22"/>
        <v>4.5</v>
      </c>
      <c r="K176" s="2">
        <f t="shared" si="19"/>
        <v>5</v>
      </c>
      <c r="L176" s="2">
        <f t="shared" si="20"/>
        <v>4.5</v>
      </c>
      <c r="M176" s="2" t="str">
        <f>'Input Sheet'!E174</f>
        <v>M</v>
      </c>
      <c r="N176" s="2">
        <f t="shared" si="21"/>
        <v>3</v>
      </c>
      <c r="P176">
        <f t="shared" si="23"/>
        <v>0</v>
      </c>
      <c r="Q176">
        <f t="shared" si="23"/>
        <v>0</v>
      </c>
      <c r="R176">
        <f t="shared" si="23"/>
        <v>5</v>
      </c>
      <c r="S176">
        <f t="shared" si="23"/>
        <v>0</v>
      </c>
      <c r="T176">
        <f t="shared" si="23"/>
        <v>0</v>
      </c>
    </row>
    <row r="177" spans="1:20" ht="16.5" x14ac:dyDescent="0.25">
      <c r="A177" s="10" t="str">
        <f>'Long Sample Name'!A173</f>
        <v>Sample 2710m: 10% Siltstone, 90% very fine to medium Sandstone, 100% moderately bright to bright FLUOR in SST. TG 75U</v>
      </c>
      <c r="B177" s="1" t="str">
        <f ca="1">'Input Sheet'!K175</f>
        <v/>
      </c>
      <c r="C177" s="7" t="str">
        <f ca="1">'Input Sheet'!L175</f>
        <v/>
      </c>
      <c r="D177" s="11">
        <f>'Input Sheet'!B175</f>
        <v>2710</v>
      </c>
      <c r="E177" s="8">
        <f>'Input Sheet'!H175</f>
        <v>75</v>
      </c>
      <c r="F177" s="61">
        <f>'Input Sheet'!C175/100</f>
        <v>0.9</v>
      </c>
      <c r="G177" s="61">
        <f>'Input Sheet'!F175/100</f>
        <v>1</v>
      </c>
      <c r="H177" s="2">
        <f t="shared" si="17"/>
        <v>5</v>
      </c>
      <c r="I177" s="2">
        <f t="shared" si="18"/>
        <v>5</v>
      </c>
      <c r="J177" s="60">
        <f t="shared" si="22"/>
        <v>4.5</v>
      </c>
      <c r="K177" s="2">
        <f t="shared" si="19"/>
        <v>5</v>
      </c>
      <c r="L177" s="2">
        <f t="shared" si="20"/>
        <v>4.5</v>
      </c>
      <c r="M177" s="2" t="str">
        <f>'Input Sheet'!E175</f>
        <v>M</v>
      </c>
      <c r="N177" s="2">
        <f t="shared" si="21"/>
        <v>3</v>
      </c>
      <c r="P177">
        <f t="shared" si="23"/>
        <v>0</v>
      </c>
      <c r="Q177">
        <f t="shared" si="23"/>
        <v>0</v>
      </c>
      <c r="R177">
        <f t="shared" si="23"/>
        <v>5</v>
      </c>
      <c r="S177">
        <f t="shared" si="23"/>
        <v>0</v>
      </c>
      <c r="T177">
        <f t="shared" si="23"/>
        <v>0</v>
      </c>
    </row>
    <row r="178" spans="1:20" ht="16.5" x14ac:dyDescent="0.25">
      <c r="A178" s="10" t="str">
        <f>'Long Sample Name'!A174</f>
        <v>Sample 2715m: 10% Siltstone, 90% very fine to medium Sandstone, 100% moderately bright to bright FLUOR in SST. TG 77U</v>
      </c>
      <c r="B178" s="1" t="str">
        <f ca="1">'Input Sheet'!K176</f>
        <v/>
      </c>
      <c r="C178" s="7" t="str">
        <f ca="1">'Input Sheet'!L176</f>
        <v/>
      </c>
      <c r="D178" s="11">
        <f>'Input Sheet'!B176</f>
        <v>2715</v>
      </c>
      <c r="E178" s="8">
        <f>'Input Sheet'!H176</f>
        <v>77</v>
      </c>
      <c r="F178" s="61">
        <f>'Input Sheet'!C176/100</f>
        <v>0.9</v>
      </c>
      <c r="G178" s="61">
        <f>'Input Sheet'!F176/100</f>
        <v>1</v>
      </c>
      <c r="H178" s="2">
        <f t="shared" si="17"/>
        <v>5</v>
      </c>
      <c r="I178" s="2">
        <f t="shared" si="18"/>
        <v>5</v>
      </c>
      <c r="J178" s="60">
        <f t="shared" si="22"/>
        <v>4.5</v>
      </c>
      <c r="K178" s="2">
        <f t="shared" si="19"/>
        <v>5</v>
      </c>
      <c r="L178" s="2">
        <f t="shared" si="20"/>
        <v>4.5</v>
      </c>
      <c r="M178" s="2" t="str">
        <f>'Input Sheet'!E176</f>
        <v>M</v>
      </c>
      <c r="N178" s="2">
        <f t="shared" si="21"/>
        <v>3</v>
      </c>
      <c r="P178">
        <f t="shared" si="23"/>
        <v>0</v>
      </c>
      <c r="Q178">
        <f t="shared" si="23"/>
        <v>0</v>
      </c>
      <c r="R178">
        <f t="shared" si="23"/>
        <v>5</v>
      </c>
      <c r="S178">
        <f t="shared" si="23"/>
        <v>0</v>
      </c>
      <c r="T178">
        <f t="shared" si="23"/>
        <v>0</v>
      </c>
    </row>
    <row r="179" spans="1:20" ht="16.5" x14ac:dyDescent="0.25">
      <c r="A179" s="10" t="str">
        <f>'Long Sample Name'!A175</f>
        <v>Sample 2720m: 10% Siltstone, 90% very fine to medium Sandstone, 100% moderately bright to bright FLUOR in SST. TG 68U</v>
      </c>
      <c r="B179" s="1" t="str">
        <f ca="1">'Input Sheet'!K177</f>
        <v/>
      </c>
      <c r="C179" s="7" t="str">
        <f ca="1">'Input Sheet'!L177</f>
        <v/>
      </c>
      <c r="D179" s="11">
        <f>'Input Sheet'!B177</f>
        <v>2720</v>
      </c>
      <c r="E179" s="8">
        <f>'Input Sheet'!H177</f>
        <v>68</v>
      </c>
      <c r="F179" s="61">
        <f>'Input Sheet'!C177/100</f>
        <v>0.9</v>
      </c>
      <c r="G179" s="61">
        <f>'Input Sheet'!F177/100</f>
        <v>1</v>
      </c>
      <c r="H179" s="2">
        <f t="shared" si="17"/>
        <v>5</v>
      </c>
      <c r="I179" s="2">
        <f t="shared" si="18"/>
        <v>5</v>
      </c>
      <c r="J179" s="60">
        <f t="shared" si="22"/>
        <v>4.5</v>
      </c>
      <c r="K179" s="2">
        <f t="shared" si="19"/>
        <v>5</v>
      </c>
      <c r="L179" s="2">
        <f t="shared" si="20"/>
        <v>4.5</v>
      </c>
      <c r="M179" s="2" t="str">
        <f>'Input Sheet'!E177</f>
        <v>M</v>
      </c>
      <c r="N179" s="2">
        <f t="shared" si="21"/>
        <v>3</v>
      </c>
      <c r="P179">
        <f t="shared" si="23"/>
        <v>0</v>
      </c>
      <c r="Q179">
        <f t="shared" si="23"/>
        <v>0</v>
      </c>
      <c r="R179">
        <f t="shared" si="23"/>
        <v>5</v>
      </c>
      <c r="S179">
        <f t="shared" si="23"/>
        <v>0</v>
      </c>
      <c r="T179">
        <f t="shared" si="23"/>
        <v>0</v>
      </c>
    </row>
    <row r="180" spans="1:20" ht="16.5" x14ac:dyDescent="0.25">
      <c r="A180" s="10" t="str">
        <f>'Long Sample Name'!A176</f>
        <v>Sample 2725m: 40% Siltstone, 60% very fine to medium Sandstone, 100% moderately bright to bright FLUOR in SST. TG 81U</v>
      </c>
      <c r="B180" s="1" t="str">
        <f ca="1">'Input Sheet'!K178</f>
        <v/>
      </c>
      <c r="C180" s="7" t="str">
        <f ca="1">'Input Sheet'!L178</f>
        <v/>
      </c>
      <c r="D180" s="11">
        <f>'Input Sheet'!B178</f>
        <v>2725</v>
      </c>
      <c r="E180" s="8">
        <f>'Input Sheet'!H178</f>
        <v>81</v>
      </c>
      <c r="F180" s="61">
        <f>'Input Sheet'!C178/100</f>
        <v>0.6</v>
      </c>
      <c r="G180" s="61">
        <f>'Input Sheet'!F178/100</f>
        <v>1</v>
      </c>
      <c r="H180" s="2">
        <f t="shared" si="17"/>
        <v>5</v>
      </c>
      <c r="I180" s="2">
        <f t="shared" si="18"/>
        <v>5</v>
      </c>
      <c r="J180" s="60">
        <f t="shared" si="22"/>
        <v>3</v>
      </c>
      <c r="K180" s="2">
        <f t="shared" si="19"/>
        <v>5</v>
      </c>
      <c r="L180" s="2">
        <f t="shared" si="20"/>
        <v>3</v>
      </c>
      <c r="M180" s="2" t="str">
        <f>'Input Sheet'!E178</f>
        <v>M</v>
      </c>
      <c r="N180" s="2">
        <f t="shared" si="21"/>
        <v>3</v>
      </c>
      <c r="P180">
        <f t="shared" si="23"/>
        <v>0</v>
      </c>
      <c r="Q180">
        <f t="shared" si="23"/>
        <v>0</v>
      </c>
      <c r="R180">
        <f t="shared" si="23"/>
        <v>5</v>
      </c>
      <c r="S180">
        <f t="shared" si="23"/>
        <v>0</v>
      </c>
      <c r="T180">
        <f t="shared" si="23"/>
        <v>0</v>
      </c>
    </row>
    <row r="181" spans="1:20" ht="16.5" x14ac:dyDescent="0.25">
      <c r="A181" s="10" t="str">
        <f>'Long Sample Name'!A177</f>
        <v>Sample 2730m: 50% Siltstone, 50% very fine to medium Sandstone, 100% moderately bright to bright FLUOR in SST. TG 92U</v>
      </c>
      <c r="B181" s="1" t="str">
        <f ca="1">'Input Sheet'!K179</f>
        <v/>
      </c>
      <c r="C181" s="7" t="str">
        <f ca="1">'Input Sheet'!L179</f>
        <v/>
      </c>
      <c r="D181" s="11">
        <f>'Input Sheet'!B179</f>
        <v>2730</v>
      </c>
      <c r="E181" s="8">
        <f>'Input Sheet'!H179</f>
        <v>92</v>
      </c>
      <c r="F181" s="61">
        <f>'Input Sheet'!C179/100</f>
        <v>0.5</v>
      </c>
      <c r="G181" s="61">
        <f>'Input Sheet'!F179/100</f>
        <v>1</v>
      </c>
      <c r="H181" s="2">
        <f t="shared" si="17"/>
        <v>5</v>
      </c>
      <c r="I181" s="2">
        <f t="shared" si="18"/>
        <v>5</v>
      </c>
      <c r="J181" s="60">
        <f t="shared" si="22"/>
        <v>2.5</v>
      </c>
      <c r="K181" s="2">
        <f t="shared" si="19"/>
        <v>5</v>
      </c>
      <c r="L181" s="2">
        <f t="shared" si="20"/>
        <v>2.5</v>
      </c>
      <c r="M181" s="2" t="str">
        <f>'Input Sheet'!E179</f>
        <v>M</v>
      </c>
      <c r="N181" s="2">
        <f t="shared" si="21"/>
        <v>3</v>
      </c>
      <c r="P181">
        <f t="shared" si="23"/>
        <v>0</v>
      </c>
      <c r="Q181">
        <f t="shared" si="23"/>
        <v>0</v>
      </c>
      <c r="R181">
        <f t="shared" si="23"/>
        <v>5</v>
      </c>
      <c r="S181">
        <f t="shared" si="23"/>
        <v>0</v>
      </c>
      <c r="T181">
        <f t="shared" si="23"/>
        <v>0</v>
      </c>
    </row>
    <row r="182" spans="1:20" ht="16.5" x14ac:dyDescent="0.25">
      <c r="A182" s="10" t="str">
        <f>'Long Sample Name'!A178</f>
        <v>Sample 2735m: 10% Siltstone, 90% very fine to medium Sandstone, 100% moderately bright to bright FLUOR in SST. TG 102U</v>
      </c>
      <c r="B182" s="1" t="str">
        <f ca="1">'Input Sheet'!K180</f>
        <v/>
      </c>
      <c r="C182" s="7" t="str">
        <f ca="1">'Input Sheet'!L180</f>
        <v/>
      </c>
      <c r="D182" s="11">
        <f>'Input Sheet'!B180</f>
        <v>2735</v>
      </c>
      <c r="E182" s="8">
        <f>'Input Sheet'!H180</f>
        <v>102</v>
      </c>
      <c r="F182" s="61">
        <f>'Input Sheet'!C180/100</f>
        <v>0.9</v>
      </c>
      <c r="G182" s="61">
        <f>'Input Sheet'!F180/100</f>
        <v>1</v>
      </c>
      <c r="H182" s="2">
        <f t="shared" si="17"/>
        <v>5</v>
      </c>
      <c r="I182" s="2">
        <f t="shared" si="18"/>
        <v>5</v>
      </c>
      <c r="J182" s="60">
        <f t="shared" si="22"/>
        <v>4.5</v>
      </c>
      <c r="K182" s="2">
        <f t="shared" si="19"/>
        <v>5</v>
      </c>
      <c r="L182" s="2">
        <f t="shared" si="20"/>
        <v>4.5</v>
      </c>
      <c r="M182" s="2" t="str">
        <f>'Input Sheet'!E180</f>
        <v>M</v>
      </c>
      <c r="N182" s="2">
        <f t="shared" si="21"/>
        <v>3</v>
      </c>
      <c r="P182">
        <f t="shared" si="23"/>
        <v>0</v>
      </c>
      <c r="Q182">
        <f t="shared" si="23"/>
        <v>0</v>
      </c>
      <c r="R182">
        <f t="shared" si="23"/>
        <v>5</v>
      </c>
      <c r="S182">
        <f t="shared" si="23"/>
        <v>0</v>
      </c>
      <c r="T182">
        <f t="shared" si="23"/>
        <v>0</v>
      </c>
    </row>
    <row r="183" spans="1:20" ht="16.5" x14ac:dyDescent="0.25">
      <c r="A183" s="10" t="str">
        <f>'Long Sample Name'!A179</f>
        <v>Sample 2740m: 10% Siltstone, 90% very fine to medium Sandstone, 100% moderately bright to bright FLUOR in SST. TG 102U</v>
      </c>
      <c r="B183" s="1" t="str">
        <f ca="1">'Input Sheet'!K181</f>
        <v/>
      </c>
      <c r="C183" s="7" t="str">
        <f ca="1">'Input Sheet'!L181</f>
        <v/>
      </c>
      <c r="D183" s="11">
        <f>'Input Sheet'!B181</f>
        <v>2740</v>
      </c>
      <c r="E183" s="8">
        <f>'Input Sheet'!H181</f>
        <v>102</v>
      </c>
      <c r="F183" s="61">
        <f>'Input Sheet'!C181/100</f>
        <v>0.9</v>
      </c>
      <c r="G183" s="61">
        <f>'Input Sheet'!F181/100</f>
        <v>1</v>
      </c>
      <c r="H183" s="2">
        <f t="shared" si="17"/>
        <v>5</v>
      </c>
      <c r="I183" s="2">
        <f t="shared" si="18"/>
        <v>5</v>
      </c>
      <c r="J183" s="60">
        <f t="shared" si="22"/>
        <v>4.5</v>
      </c>
      <c r="K183" s="2">
        <f t="shared" si="19"/>
        <v>5</v>
      </c>
      <c r="L183" s="2">
        <f t="shared" si="20"/>
        <v>4.5</v>
      </c>
      <c r="M183" s="2" t="str">
        <f>'Input Sheet'!E181</f>
        <v>M</v>
      </c>
      <c r="N183" s="2">
        <f t="shared" si="21"/>
        <v>3</v>
      </c>
      <c r="P183">
        <f t="shared" si="23"/>
        <v>0</v>
      </c>
      <c r="Q183">
        <f t="shared" si="23"/>
        <v>0</v>
      </c>
      <c r="R183">
        <f t="shared" si="23"/>
        <v>5</v>
      </c>
      <c r="S183">
        <f t="shared" si="23"/>
        <v>0</v>
      </c>
      <c r="T183">
        <f t="shared" si="23"/>
        <v>0</v>
      </c>
    </row>
    <row r="184" spans="1:20" ht="16.5" x14ac:dyDescent="0.25">
      <c r="A184" s="10" t="str">
        <f>'Long Sample Name'!A180</f>
        <v>Sample 2745m: 20% Siltstone, 80% very fine to medium Sandstone, 100% moderately bright to bright FLUOR in SST. TG 76U</v>
      </c>
      <c r="B184" s="1" t="str">
        <f ca="1">'Input Sheet'!K182</f>
        <v/>
      </c>
      <c r="C184" s="7" t="str">
        <f ca="1">'Input Sheet'!L182</f>
        <v/>
      </c>
      <c r="D184" s="11">
        <f>'Input Sheet'!B182</f>
        <v>2745</v>
      </c>
      <c r="E184" s="8">
        <f>'Input Sheet'!H182</f>
        <v>76</v>
      </c>
      <c r="F184" s="61">
        <f>'Input Sheet'!C182/100</f>
        <v>0.8</v>
      </c>
      <c r="G184" s="61">
        <f>'Input Sheet'!F182/100</f>
        <v>1</v>
      </c>
      <c r="H184" s="2">
        <f t="shared" si="17"/>
        <v>5</v>
      </c>
      <c r="I184" s="2">
        <f t="shared" si="18"/>
        <v>5</v>
      </c>
      <c r="J184" s="60">
        <f t="shared" si="22"/>
        <v>4</v>
      </c>
      <c r="K184" s="2">
        <f t="shared" si="19"/>
        <v>5</v>
      </c>
      <c r="L184" s="2">
        <f t="shared" si="20"/>
        <v>4</v>
      </c>
      <c r="M184" s="2" t="str">
        <f>'Input Sheet'!E182</f>
        <v>M</v>
      </c>
      <c r="N184" s="2">
        <f t="shared" si="21"/>
        <v>3</v>
      </c>
      <c r="P184">
        <f t="shared" si="23"/>
        <v>0</v>
      </c>
      <c r="Q184">
        <f t="shared" si="23"/>
        <v>0</v>
      </c>
      <c r="R184">
        <f t="shared" si="23"/>
        <v>5</v>
      </c>
      <c r="S184">
        <f t="shared" si="23"/>
        <v>0</v>
      </c>
      <c r="T184">
        <f t="shared" si="23"/>
        <v>0</v>
      </c>
    </row>
    <row r="185" spans="1:20" ht="16.5" x14ac:dyDescent="0.25">
      <c r="A185" s="10" t="str">
        <f>'Long Sample Name'!A181</f>
        <v>Sample 2750m: 20% Siltstone, 80% very fine to medium Sandstone, 100% moderately bright to bright FLUOR in SST. TG 70U</v>
      </c>
      <c r="B185" s="1" t="str">
        <f ca="1">'Input Sheet'!K183</f>
        <v/>
      </c>
      <c r="C185" s="7" t="str">
        <f ca="1">'Input Sheet'!L183</f>
        <v/>
      </c>
      <c r="D185" s="11">
        <f>'Input Sheet'!B183</f>
        <v>2750</v>
      </c>
      <c r="E185" s="8">
        <f>'Input Sheet'!H183</f>
        <v>70</v>
      </c>
      <c r="F185" s="61">
        <f>'Input Sheet'!C183/100</f>
        <v>0.8</v>
      </c>
      <c r="G185" s="61">
        <f>'Input Sheet'!F183/100</f>
        <v>1</v>
      </c>
      <c r="H185" s="2">
        <f t="shared" si="17"/>
        <v>5</v>
      </c>
      <c r="I185" s="2">
        <f t="shared" si="18"/>
        <v>5</v>
      </c>
      <c r="J185" s="60">
        <f t="shared" si="22"/>
        <v>4</v>
      </c>
      <c r="K185" s="2">
        <f t="shared" si="19"/>
        <v>5</v>
      </c>
      <c r="L185" s="2">
        <f t="shared" si="20"/>
        <v>4</v>
      </c>
      <c r="M185" s="2" t="str">
        <f>'Input Sheet'!E183</f>
        <v>M</v>
      </c>
      <c r="N185" s="2">
        <f t="shared" si="21"/>
        <v>3</v>
      </c>
      <c r="P185">
        <f t="shared" si="23"/>
        <v>0</v>
      </c>
      <c r="Q185">
        <f t="shared" si="23"/>
        <v>0</v>
      </c>
      <c r="R185">
        <f t="shared" si="23"/>
        <v>5</v>
      </c>
      <c r="S185">
        <f t="shared" si="23"/>
        <v>0</v>
      </c>
      <c r="T185">
        <f t="shared" si="23"/>
        <v>0</v>
      </c>
    </row>
    <row r="186" spans="1:20" ht="16.5" x14ac:dyDescent="0.25">
      <c r="A186" s="10" t="str">
        <f>'Long Sample Name'!A182</f>
        <v>Sample 2760m: 20% Siltstone, 80% fine to medium Sandstone, 100% bright FLUOR in SST. TG 42U</v>
      </c>
      <c r="B186" s="1" t="str">
        <f ca="1">'Input Sheet'!K185</f>
        <v/>
      </c>
      <c r="C186" s="7" t="str">
        <f ca="1">'Input Sheet'!L185</f>
        <v/>
      </c>
      <c r="D186" s="11">
        <f>'Input Sheet'!B185</f>
        <v>2760</v>
      </c>
      <c r="E186" s="8">
        <f>'Input Sheet'!H185</f>
        <v>42</v>
      </c>
      <c r="F186" s="61">
        <f>'Input Sheet'!C184/100</f>
        <v>0.8</v>
      </c>
      <c r="G186" s="61">
        <f>'Input Sheet'!F184/100</f>
        <v>1</v>
      </c>
      <c r="H186" s="2">
        <f t="shared" ref="H186:H249" si="24">IF(D186&lt;&gt;"",D186-D185,"")</f>
        <v>10</v>
      </c>
      <c r="I186" s="2">
        <f t="shared" ref="I186:I249" si="25">IF(AND(F186&gt;=$F$2,G186&gt;=$G$2),H186,0)</f>
        <v>10</v>
      </c>
      <c r="J186" s="60">
        <f t="shared" si="22"/>
        <v>8</v>
      </c>
      <c r="K186" s="2">
        <f t="shared" ref="K186:K249" si="26">IF(AND(F186&gt;=$F$3,G186&gt;=$G$3),H186,0)</f>
        <v>10</v>
      </c>
      <c r="L186" s="2">
        <f t="shared" ref="L186:L249" si="27">IF(K186&gt;0,K186*F186,0)</f>
        <v>8</v>
      </c>
      <c r="M186" s="2" t="str">
        <f>'Input Sheet'!E185</f>
        <v>M</v>
      </c>
      <c r="N186" s="2">
        <f t="shared" ref="N186:N249" si="28">IF(M186="VF",1,IF(M186="F",2,IF(M186="M",3,IF(M186="C",4,IF(M186="VC",5,0)))))</f>
        <v>3</v>
      </c>
      <c r="P186">
        <f t="shared" si="23"/>
        <v>0</v>
      </c>
      <c r="Q186">
        <f t="shared" si="23"/>
        <v>0</v>
      </c>
      <c r="R186">
        <f t="shared" si="23"/>
        <v>10</v>
      </c>
      <c r="S186">
        <f t="shared" si="23"/>
        <v>0</v>
      </c>
      <c r="T186">
        <f t="shared" si="23"/>
        <v>0</v>
      </c>
    </row>
    <row r="187" spans="1:20" ht="16.5" x14ac:dyDescent="0.25">
      <c r="A187" s="10" t="str">
        <f>'Long Sample Name'!A183</f>
        <v>Sample 2770m: 15% Siltstone, 85% fine to medium Sandstone, 100% bright FLUOR in SST. TG 63U</v>
      </c>
      <c r="B187" s="1" t="str">
        <f ca="1">'Input Sheet'!K187</f>
        <v/>
      </c>
      <c r="C187" s="7" t="str">
        <f ca="1">'Input Sheet'!L187</f>
        <v/>
      </c>
      <c r="D187" s="11">
        <f>'Input Sheet'!B187</f>
        <v>2770</v>
      </c>
      <c r="E187" s="8">
        <f>'Input Sheet'!H187</f>
        <v>63</v>
      </c>
      <c r="F187" s="61">
        <f>'Input Sheet'!C185/100</f>
        <v>0.8</v>
      </c>
      <c r="G187" s="61">
        <f>'Input Sheet'!F185/100</f>
        <v>1</v>
      </c>
      <c r="H187" s="2">
        <f t="shared" si="24"/>
        <v>10</v>
      </c>
      <c r="I187" s="2">
        <f t="shared" si="25"/>
        <v>10</v>
      </c>
      <c r="J187" s="60">
        <f t="shared" si="22"/>
        <v>8</v>
      </c>
      <c r="K187" s="2">
        <f t="shared" si="26"/>
        <v>10</v>
      </c>
      <c r="L187" s="2">
        <f t="shared" si="27"/>
        <v>8</v>
      </c>
      <c r="M187" s="2" t="str">
        <f>'Input Sheet'!E187</f>
        <v>M</v>
      </c>
      <c r="N187" s="2">
        <f t="shared" si="28"/>
        <v>3</v>
      </c>
      <c r="P187">
        <f t="shared" si="23"/>
        <v>0</v>
      </c>
      <c r="Q187">
        <f t="shared" si="23"/>
        <v>0</v>
      </c>
      <c r="R187">
        <f t="shared" si="23"/>
        <v>10</v>
      </c>
      <c r="S187">
        <f t="shared" si="23"/>
        <v>0</v>
      </c>
      <c r="T187">
        <f t="shared" si="23"/>
        <v>0</v>
      </c>
    </row>
    <row r="188" spans="1:20" ht="16.5" x14ac:dyDescent="0.25">
      <c r="A188" s="10" t="str">
        <f>'Long Sample Name'!A184</f>
        <v>Sample 2780m: 10% Siltstone, 90% very fine to medium Sandstone, 100% bright FLUOR in SST. TG 53U</v>
      </c>
      <c r="B188" s="1" t="str">
        <f ca="1">'Input Sheet'!K189</f>
        <v/>
      </c>
      <c r="C188" s="7" t="str">
        <f ca="1">'Input Sheet'!L189</f>
        <v/>
      </c>
      <c r="D188" s="11">
        <f>'Input Sheet'!B189</f>
        <v>2780</v>
      </c>
      <c r="E188" s="8">
        <f>'Input Sheet'!H189</f>
        <v>53</v>
      </c>
      <c r="F188" s="61">
        <f>'Input Sheet'!C186/100</f>
        <v>0.85</v>
      </c>
      <c r="G188" s="61">
        <f>'Input Sheet'!F186/100</f>
        <v>1</v>
      </c>
      <c r="H188" s="2">
        <f t="shared" si="24"/>
        <v>10</v>
      </c>
      <c r="I188" s="2">
        <f t="shared" si="25"/>
        <v>10</v>
      </c>
      <c r="J188" s="60">
        <f t="shared" si="22"/>
        <v>8.5</v>
      </c>
      <c r="K188" s="2">
        <f t="shared" si="26"/>
        <v>10</v>
      </c>
      <c r="L188" s="2">
        <f t="shared" si="27"/>
        <v>8.5</v>
      </c>
      <c r="M188" s="2" t="str">
        <f>'Input Sheet'!E189</f>
        <v>M</v>
      </c>
      <c r="N188" s="2">
        <f t="shared" si="28"/>
        <v>3</v>
      </c>
      <c r="P188">
        <f t="shared" si="23"/>
        <v>0</v>
      </c>
      <c r="Q188">
        <f t="shared" si="23"/>
        <v>0</v>
      </c>
      <c r="R188">
        <f t="shared" si="23"/>
        <v>10</v>
      </c>
      <c r="S188">
        <f t="shared" si="23"/>
        <v>0</v>
      </c>
      <c r="T188">
        <f t="shared" si="23"/>
        <v>0</v>
      </c>
    </row>
    <row r="189" spans="1:20" ht="16.5" x14ac:dyDescent="0.25">
      <c r="A189" s="10" t="str">
        <f>'Long Sample Name'!A185</f>
        <v>Sample 2790m: 15% Siltstone, 85% very fine to medium Sandstone, 100% bright FLUOR in SST. TG 108U</v>
      </c>
      <c r="B189" s="1" t="str">
        <f ca="1">'Input Sheet'!K191</f>
        <v/>
      </c>
      <c r="C189" s="7" t="str">
        <f ca="1">'Input Sheet'!L191</f>
        <v/>
      </c>
      <c r="D189" s="11">
        <f>'Input Sheet'!B191</f>
        <v>2790</v>
      </c>
      <c r="E189" s="8">
        <f>'Input Sheet'!H191</f>
        <v>108</v>
      </c>
      <c r="F189" s="61">
        <f>'Input Sheet'!C187/100</f>
        <v>0.85</v>
      </c>
      <c r="G189" s="61">
        <f>'Input Sheet'!F187/100</f>
        <v>1</v>
      </c>
      <c r="H189" s="2">
        <f t="shared" si="24"/>
        <v>10</v>
      </c>
      <c r="I189" s="2">
        <f t="shared" si="25"/>
        <v>10</v>
      </c>
      <c r="J189" s="60">
        <f t="shared" si="22"/>
        <v>8.5</v>
      </c>
      <c r="K189" s="2">
        <f t="shared" si="26"/>
        <v>10</v>
      </c>
      <c r="L189" s="2">
        <f t="shared" si="27"/>
        <v>8.5</v>
      </c>
      <c r="M189" s="2" t="str">
        <f>'Input Sheet'!E191</f>
        <v>M</v>
      </c>
      <c r="N189" s="2">
        <f t="shared" si="28"/>
        <v>3</v>
      </c>
      <c r="P189">
        <f t="shared" si="23"/>
        <v>0</v>
      </c>
      <c r="Q189">
        <f t="shared" si="23"/>
        <v>0</v>
      </c>
      <c r="R189">
        <f t="shared" si="23"/>
        <v>10</v>
      </c>
      <c r="S189">
        <f t="shared" si="23"/>
        <v>0</v>
      </c>
      <c r="T189">
        <f t="shared" si="23"/>
        <v>0</v>
      </c>
    </row>
    <row r="190" spans="1:20" ht="16.5" x14ac:dyDescent="0.25">
      <c r="A190" s="10" t="str">
        <f>'Long Sample Name'!A186</f>
        <v>Sample 2800m: 10% Siltstone, 90% very fine to medium Sandstone, 100% bright FLUOR in SST. TG 107U</v>
      </c>
      <c r="B190" s="1" t="str">
        <f ca="1">'Input Sheet'!K193</f>
        <v/>
      </c>
      <c r="C190" s="7" t="str">
        <f ca="1">'Input Sheet'!L193</f>
        <v/>
      </c>
      <c r="D190" s="11">
        <f>'Input Sheet'!B193</f>
        <v>2800</v>
      </c>
      <c r="E190" s="8">
        <f>'Input Sheet'!H193</f>
        <v>107</v>
      </c>
      <c r="F190" s="61">
        <f>'Input Sheet'!C188/100</f>
        <v>0.9</v>
      </c>
      <c r="G190" s="61">
        <f>'Input Sheet'!F188/100</f>
        <v>1</v>
      </c>
      <c r="H190" s="2">
        <f t="shared" si="24"/>
        <v>10</v>
      </c>
      <c r="I190" s="2">
        <f t="shared" si="25"/>
        <v>10</v>
      </c>
      <c r="J190" s="60">
        <f t="shared" si="22"/>
        <v>9</v>
      </c>
      <c r="K190" s="2">
        <f t="shared" si="26"/>
        <v>10</v>
      </c>
      <c r="L190" s="2">
        <f t="shared" si="27"/>
        <v>9</v>
      </c>
      <c r="M190" s="2" t="str">
        <f>'Input Sheet'!E193</f>
        <v>M</v>
      </c>
      <c r="N190" s="2">
        <f t="shared" si="28"/>
        <v>3</v>
      </c>
      <c r="P190">
        <f t="shared" si="23"/>
        <v>0</v>
      </c>
      <c r="Q190">
        <f t="shared" si="23"/>
        <v>0</v>
      </c>
      <c r="R190">
        <f t="shared" si="23"/>
        <v>10</v>
      </c>
      <c r="S190">
        <f t="shared" si="23"/>
        <v>0</v>
      </c>
      <c r="T190">
        <f t="shared" si="23"/>
        <v>0</v>
      </c>
    </row>
    <row r="191" spans="1:20" ht="16.5" x14ac:dyDescent="0.25">
      <c r="A191" s="10" t="str">
        <f>'Long Sample Name'!A187</f>
        <v>Sample 2810m: 5% Siltstone, 95% very fine to medium Sandstone, 100% bright FLUOR in SST. TG 76U</v>
      </c>
      <c r="B191" s="1" t="str">
        <f ca="1">'Input Sheet'!K195</f>
        <v/>
      </c>
      <c r="C191" s="7" t="str">
        <f ca="1">'Input Sheet'!L195</f>
        <v/>
      </c>
      <c r="D191" s="11">
        <f>'Input Sheet'!B195</f>
        <v>2810</v>
      </c>
      <c r="E191" s="8">
        <f>'Input Sheet'!H195</f>
        <v>76</v>
      </c>
      <c r="F191" s="61">
        <f>'Input Sheet'!C189/100</f>
        <v>0.9</v>
      </c>
      <c r="G191" s="61">
        <f>'Input Sheet'!F189/100</f>
        <v>1</v>
      </c>
      <c r="H191" s="2">
        <f t="shared" si="24"/>
        <v>10</v>
      </c>
      <c r="I191" s="2">
        <f t="shared" si="25"/>
        <v>10</v>
      </c>
      <c r="J191" s="60">
        <f t="shared" si="22"/>
        <v>9</v>
      </c>
      <c r="K191" s="2">
        <f t="shared" si="26"/>
        <v>10</v>
      </c>
      <c r="L191" s="2">
        <f t="shared" si="27"/>
        <v>9</v>
      </c>
      <c r="M191" s="2" t="str">
        <f>'Input Sheet'!E195</f>
        <v>M</v>
      </c>
      <c r="N191" s="2">
        <f t="shared" si="28"/>
        <v>3</v>
      </c>
      <c r="P191">
        <f t="shared" si="23"/>
        <v>0</v>
      </c>
      <c r="Q191">
        <f t="shared" si="23"/>
        <v>0</v>
      </c>
      <c r="R191">
        <f t="shared" si="23"/>
        <v>10</v>
      </c>
      <c r="S191">
        <f t="shared" si="23"/>
        <v>0</v>
      </c>
      <c r="T191">
        <f t="shared" si="23"/>
        <v>0</v>
      </c>
    </row>
    <row r="192" spans="1:20" ht="16.5" x14ac:dyDescent="0.25">
      <c r="A192" s="10" t="str">
        <f>'Long Sample Name'!A188</f>
        <v>Sample 2820m: 10% Siltstone, 90% very fine to medium Sandstone, 100% bright FLUOR in SST. TG 88U</v>
      </c>
      <c r="B192" s="1" t="str">
        <f ca="1">'Input Sheet'!K197</f>
        <v/>
      </c>
      <c r="C192" s="7" t="str">
        <f ca="1">'Input Sheet'!L197</f>
        <v/>
      </c>
      <c r="D192" s="11">
        <f>'Input Sheet'!B197</f>
        <v>2820</v>
      </c>
      <c r="E192" s="8">
        <f>'Input Sheet'!H197</f>
        <v>88</v>
      </c>
      <c r="F192" s="61">
        <f>'Input Sheet'!C190/100</f>
        <v>0.85</v>
      </c>
      <c r="G192" s="61">
        <f>'Input Sheet'!F190/100</f>
        <v>1</v>
      </c>
      <c r="H192" s="2">
        <f t="shared" si="24"/>
        <v>10</v>
      </c>
      <c r="I192" s="2">
        <f t="shared" si="25"/>
        <v>10</v>
      </c>
      <c r="J192" s="60">
        <f t="shared" si="22"/>
        <v>8.5</v>
      </c>
      <c r="K192" s="2">
        <f t="shared" si="26"/>
        <v>10</v>
      </c>
      <c r="L192" s="2">
        <f t="shared" si="27"/>
        <v>8.5</v>
      </c>
      <c r="M192" s="2" t="str">
        <f>'Input Sheet'!E197</f>
        <v>M</v>
      </c>
      <c r="N192" s="2">
        <f t="shared" si="28"/>
        <v>3</v>
      </c>
      <c r="P192">
        <f t="shared" si="23"/>
        <v>0</v>
      </c>
      <c r="Q192">
        <f t="shared" si="23"/>
        <v>0</v>
      </c>
      <c r="R192">
        <f t="shared" si="23"/>
        <v>10</v>
      </c>
      <c r="S192">
        <f t="shared" si="23"/>
        <v>0</v>
      </c>
      <c r="T192">
        <f t="shared" si="23"/>
        <v>0</v>
      </c>
    </row>
    <row r="193" spans="1:20" ht="16.5" x14ac:dyDescent="0.25">
      <c r="A193" s="10" t="str">
        <f>'Long Sample Name'!A189</f>
        <v>Sample 2830m: 10% Siltstone, 90% very fine to medium Sandstone, 100% bright FLUOR in SST. TG 67U</v>
      </c>
      <c r="B193" s="1" t="str">
        <f ca="1">'Input Sheet'!K199</f>
        <v/>
      </c>
      <c r="C193" s="7" t="str">
        <f ca="1">'Input Sheet'!L199</f>
        <v/>
      </c>
      <c r="D193" s="11">
        <f>'Input Sheet'!B199</f>
        <v>2830</v>
      </c>
      <c r="E193" s="8">
        <f>'Input Sheet'!H199</f>
        <v>67</v>
      </c>
      <c r="F193" s="61">
        <f>'Input Sheet'!C191/100</f>
        <v>0.85</v>
      </c>
      <c r="G193" s="61">
        <f>'Input Sheet'!F191/100</f>
        <v>1</v>
      </c>
      <c r="H193" s="2">
        <f t="shared" si="24"/>
        <v>10</v>
      </c>
      <c r="I193" s="2">
        <f t="shared" si="25"/>
        <v>10</v>
      </c>
      <c r="J193" s="60">
        <f t="shared" si="22"/>
        <v>8.5</v>
      </c>
      <c r="K193" s="2">
        <f t="shared" si="26"/>
        <v>10</v>
      </c>
      <c r="L193" s="2">
        <f t="shared" si="27"/>
        <v>8.5</v>
      </c>
      <c r="M193" s="2" t="str">
        <f>'Input Sheet'!E199</f>
        <v>M</v>
      </c>
      <c r="N193" s="2">
        <f t="shared" si="28"/>
        <v>3</v>
      </c>
      <c r="P193">
        <f t="shared" si="23"/>
        <v>0</v>
      </c>
      <c r="Q193">
        <f t="shared" si="23"/>
        <v>0</v>
      </c>
      <c r="R193">
        <f t="shared" si="23"/>
        <v>10</v>
      </c>
      <c r="S193">
        <f t="shared" si="23"/>
        <v>0</v>
      </c>
      <c r="T193">
        <f t="shared" si="23"/>
        <v>0</v>
      </c>
    </row>
    <row r="194" spans="1:20" ht="16.5" x14ac:dyDescent="0.25">
      <c r="A194" s="10" t="str">
        <f>'Long Sample Name'!A190</f>
        <v>Sample 2840m: 5% Siltstone, 95% very fine to medium Sandstone, 100% bright FLUOR in SST. TG 123U</v>
      </c>
      <c r="B194" s="1" t="str">
        <f ca="1">'Input Sheet'!K201</f>
        <v/>
      </c>
      <c r="C194" s="7" t="str">
        <f ca="1">'Input Sheet'!L201</f>
        <v/>
      </c>
      <c r="D194" s="11">
        <f>'Input Sheet'!B201</f>
        <v>2840</v>
      </c>
      <c r="E194" s="8">
        <f>'Input Sheet'!H201</f>
        <v>123</v>
      </c>
      <c r="F194" s="61">
        <f>'Input Sheet'!C192/100</f>
        <v>0.9</v>
      </c>
      <c r="G194" s="61">
        <f>'Input Sheet'!F192/100</f>
        <v>1</v>
      </c>
      <c r="H194" s="2">
        <f t="shared" si="24"/>
        <v>10</v>
      </c>
      <c r="I194" s="2">
        <f t="shared" si="25"/>
        <v>10</v>
      </c>
      <c r="J194" s="60">
        <f t="shared" si="22"/>
        <v>9</v>
      </c>
      <c r="K194" s="2">
        <f t="shared" si="26"/>
        <v>10</v>
      </c>
      <c r="L194" s="2">
        <f t="shared" si="27"/>
        <v>9</v>
      </c>
      <c r="M194" s="2" t="str">
        <f>'Input Sheet'!E201</f>
        <v>M</v>
      </c>
      <c r="N194" s="2">
        <f t="shared" si="28"/>
        <v>3</v>
      </c>
      <c r="P194">
        <f t="shared" si="23"/>
        <v>0</v>
      </c>
      <c r="Q194">
        <f t="shared" si="23"/>
        <v>0</v>
      </c>
      <c r="R194">
        <f t="shared" si="23"/>
        <v>10</v>
      </c>
      <c r="S194">
        <f t="shared" si="23"/>
        <v>0</v>
      </c>
      <c r="T194">
        <f t="shared" si="23"/>
        <v>0</v>
      </c>
    </row>
    <row r="195" spans="1:20" ht="16.5" x14ac:dyDescent="0.25">
      <c r="A195" s="10" t="str">
        <f>'Long Sample Name'!A191</f>
        <v>Sample 2850m: 5% Siltstone, 95% very fine to medium Sandstone, 100% bright FLUOR in SST. TG 114U</v>
      </c>
      <c r="B195" s="1" t="str">
        <f ca="1">'Input Sheet'!K203</f>
        <v/>
      </c>
      <c r="C195" s="7" t="str">
        <f ca="1">'Input Sheet'!L203</f>
        <v/>
      </c>
      <c r="D195" s="11">
        <f>'Input Sheet'!B203</f>
        <v>2850</v>
      </c>
      <c r="E195" s="8">
        <f>'Input Sheet'!H203</f>
        <v>114</v>
      </c>
      <c r="F195" s="61">
        <f>'Input Sheet'!C193/100</f>
        <v>0.9</v>
      </c>
      <c r="G195" s="61">
        <f>'Input Sheet'!F193/100</f>
        <v>1</v>
      </c>
      <c r="H195" s="2">
        <f t="shared" si="24"/>
        <v>10</v>
      </c>
      <c r="I195" s="2">
        <f t="shared" si="25"/>
        <v>10</v>
      </c>
      <c r="J195" s="60">
        <f t="shared" si="22"/>
        <v>9</v>
      </c>
      <c r="K195" s="2">
        <f t="shared" si="26"/>
        <v>10</v>
      </c>
      <c r="L195" s="2">
        <f t="shared" si="27"/>
        <v>9</v>
      </c>
      <c r="M195" s="2" t="str">
        <f>'Input Sheet'!E203</f>
        <v>M</v>
      </c>
      <c r="N195" s="2">
        <f t="shared" si="28"/>
        <v>3</v>
      </c>
      <c r="P195">
        <f t="shared" si="23"/>
        <v>0</v>
      </c>
      <c r="Q195">
        <f t="shared" si="23"/>
        <v>0</v>
      </c>
      <c r="R195">
        <f t="shared" si="23"/>
        <v>10</v>
      </c>
      <c r="S195">
        <f t="shared" si="23"/>
        <v>0</v>
      </c>
      <c r="T195">
        <f t="shared" si="23"/>
        <v>0</v>
      </c>
    </row>
    <row r="196" spans="1:20" ht="16.5" x14ac:dyDescent="0.25">
      <c r="A196" s="10" t="str">
        <f>'Long Sample Name'!A192</f>
        <v>Sample 2860m: 15% Siltstone, 85% very fine to medium Sandstone, 100% bright FLUOR in SST. TG 136U</v>
      </c>
      <c r="B196" s="1" t="str">
        <f ca="1">'Input Sheet'!K205</f>
        <v/>
      </c>
      <c r="C196" s="7" t="str">
        <f ca="1">'Input Sheet'!L205</f>
        <v/>
      </c>
      <c r="D196" s="11">
        <f>'Input Sheet'!B205</f>
        <v>2860</v>
      </c>
      <c r="E196" s="8">
        <f>'Input Sheet'!H205</f>
        <v>136</v>
      </c>
      <c r="F196" s="61">
        <f>'Input Sheet'!C194/100</f>
        <v>0.95</v>
      </c>
      <c r="G196" s="61">
        <f>'Input Sheet'!F194/100</f>
        <v>1</v>
      </c>
      <c r="H196" s="2">
        <f t="shared" si="24"/>
        <v>10</v>
      </c>
      <c r="I196" s="2">
        <f t="shared" si="25"/>
        <v>10</v>
      </c>
      <c r="J196" s="60">
        <f t="shared" si="22"/>
        <v>9.5</v>
      </c>
      <c r="K196" s="2">
        <f t="shared" si="26"/>
        <v>10</v>
      </c>
      <c r="L196" s="2">
        <f t="shared" si="27"/>
        <v>9.5</v>
      </c>
      <c r="M196" s="2" t="str">
        <f>'Input Sheet'!E205</f>
        <v>M</v>
      </c>
      <c r="N196" s="2">
        <f t="shared" si="28"/>
        <v>3</v>
      </c>
      <c r="P196">
        <f t="shared" si="23"/>
        <v>0</v>
      </c>
      <c r="Q196">
        <f t="shared" si="23"/>
        <v>0</v>
      </c>
      <c r="R196">
        <f t="shared" si="23"/>
        <v>10</v>
      </c>
      <c r="S196">
        <f t="shared" si="23"/>
        <v>0</v>
      </c>
      <c r="T196">
        <f t="shared" si="23"/>
        <v>0</v>
      </c>
    </row>
    <row r="197" spans="1:20" ht="16.5" x14ac:dyDescent="0.25">
      <c r="A197" s="10" t="str">
        <f>'Long Sample Name'!A193</f>
        <v>Sample 2870m: 10% Siltstone, 90% very fine to medium Sandstone, 100% bright FLUOR in SST. TG 88U</v>
      </c>
      <c r="B197" s="1" t="str">
        <f ca="1">'Input Sheet'!K207</f>
        <v/>
      </c>
      <c r="C197" s="7" t="str">
        <f ca="1">'Input Sheet'!L207</f>
        <v/>
      </c>
      <c r="D197" s="11">
        <f>'Input Sheet'!B207</f>
        <v>2870</v>
      </c>
      <c r="E197" s="8">
        <f>'Input Sheet'!H207</f>
        <v>88</v>
      </c>
      <c r="F197" s="61">
        <f>'Input Sheet'!C195/100</f>
        <v>0.95</v>
      </c>
      <c r="G197" s="61">
        <f>'Input Sheet'!F195/100</f>
        <v>1</v>
      </c>
      <c r="H197" s="2">
        <f t="shared" si="24"/>
        <v>10</v>
      </c>
      <c r="I197" s="2">
        <f t="shared" si="25"/>
        <v>10</v>
      </c>
      <c r="J197" s="60">
        <f t="shared" si="22"/>
        <v>9.5</v>
      </c>
      <c r="K197" s="2">
        <f t="shared" si="26"/>
        <v>10</v>
      </c>
      <c r="L197" s="2">
        <f t="shared" si="27"/>
        <v>9.5</v>
      </c>
      <c r="M197" s="2" t="str">
        <f>'Input Sheet'!E207</f>
        <v>M</v>
      </c>
      <c r="N197" s="2">
        <f t="shared" si="28"/>
        <v>3</v>
      </c>
      <c r="P197">
        <f t="shared" si="23"/>
        <v>0</v>
      </c>
      <c r="Q197">
        <f t="shared" si="23"/>
        <v>0</v>
      </c>
      <c r="R197">
        <f t="shared" si="23"/>
        <v>10</v>
      </c>
      <c r="S197">
        <f t="shared" si="23"/>
        <v>0</v>
      </c>
      <c r="T197">
        <f t="shared" si="23"/>
        <v>0</v>
      </c>
    </row>
    <row r="198" spans="1:20" ht="16.5" x14ac:dyDescent="0.25">
      <c r="A198" s="10" t="str">
        <f>'Long Sample Name'!A194</f>
        <v>Sample 2880m: 15% Siltstone, 85% very fine to medium Sandstone, 100% bright FLUOR in SST. TG 89U</v>
      </c>
      <c r="B198" s="1" t="str">
        <f ca="1">'Input Sheet'!K209</f>
        <v/>
      </c>
      <c r="C198" s="7" t="str">
        <f ca="1">'Input Sheet'!L209</f>
        <v/>
      </c>
      <c r="D198" s="11">
        <f>'Input Sheet'!B209</f>
        <v>2880</v>
      </c>
      <c r="E198" s="8">
        <f>'Input Sheet'!H209</f>
        <v>89</v>
      </c>
      <c r="F198" s="61">
        <f>'Input Sheet'!C196/100</f>
        <v>0.9</v>
      </c>
      <c r="G198" s="61">
        <f>'Input Sheet'!F196/100</f>
        <v>1</v>
      </c>
      <c r="H198" s="2">
        <f t="shared" si="24"/>
        <v>10</v>
      </c>
      <c r="I198" s="2">
        <f t="shared" si="25"/>
        <v>10</v>
      </c>
      <c r="J198" s="60">
        <f t="shared" si="22"/>
        <v>9</v>
      </c>
      <c r="K198" s="2">
        <f t="shared" si="26"/>
        <v>10</v>
      </c>
      <c r="L198" s="2">
        <f t="shared" si="27"/>
        <v>9</v>
      </c>
      <c r="M198" s="2" t="str">
        <f>'Input Sheet'!E209</f>
        <v>M</v>
      </c>
      <c r="N198" s="2">
        <f t="shared" si="28"/>
        <v>3</v>
      </c>
      <c r="P198">
        <f t="shared" si="23"/>
        <v>0</v>
      </c>
      <c r="Q198">
        <f t="shared" si="23"/>
        <v>0</v>
      </c>
      <c r="R198">
        <f t="shared" si="23"/>
        <v>10</v>
      </c>
      <c r="S198">
        <f t="shared" si="23"/>
        <v>0</v>
      </c>
      <c r="T198">
        <f t="shared" si="23"/>
        <v>0</v>
      </c>
    </row>
    <row r="199" spans="1:20" ht="16.5" x14ac:dyDescent="0.25">
      <c r="A199" s="10" t="str">
        <f>'Long Sample Name'!A195</f>
        <v>Sample 2890m: 10% Siltstone, 90% very fine to medium Sandstone, 100% bright FLUOR in SST. TG 115.5U</v>
      </c>
      <c r="B199" s="1" t="str">
        <f ca="1">'Input Sheet'!K211</f>
        <v/>
      </c>
      <c r="C199" s="7" t="str">
        <f ca="1">'Input Sheet'!L211</f>
        <v/>
      </c>
      <c r="D199" s="11">
        <f>'Input Sheet'!B211</f>
        <v>2890</v>
      </c>
      <c r="E199" s="8">
        <f>'Input Sheet'!H211</f>
        <v>115.5</v>
      </c>
      <c r="F199" s="61">
        <f>'Input Sheet'!C197/100</f>
        <v>0.9</v>
      </c>
      <c r="G199" s="61">
        <f>'Input Sheet'!F197/100</f>
        <v>1</v>
      </c>
      <c r="H199" s="2">
        <f t="shared" si="24"/>
        <v>10</v>
      </c>
      <c r="I199" s="2">
        <f t="shared" si="25"/>
        <v>10</v>
      </c>
      <c r="J199" s="60">
        <f t="shared" ref="J199:J262" si="29">IF(I199&gt;0,I199*F199,0)</f>
        <v>9</v>
      </c>
      <c r="K199" s="2">
        <f t="shared" si="26"/>
        <v>10</v>
      </c>
      <c r="L199" s="2">
        <f t="shared" si="27"/>
        <v>9</v>
      </c>
      <c r="M199" s="2" t="str">
        <f>'Input Sheet'!E211</f>
        <v>M</v>
      </c>
      <c r="N199" s="2">
        <f t="shared" si="28"/>
        <v>3</v>
      </c>
      <c r="P199">
        <f t="shared" si="23"/>
        <v>0</v>
      </c>
      <c r="Q199">
        <f t="shared" si="23"/>
        <v>0</v>
      </c>
      <c r="R199">
        <f t="shared" si="23"/>
        <v>10</v>
      </c>
      <c r="S199">
        <f t="shared" si="23"/>
        <v>0</v>
      </c>
      <c r="T199">
        <f t="shared" si="23"/>
        <v>0</v>
      </c>
    </row>
    <row r="200" spans="1:20" ht="16.5" x14ac:dyDescent="0.25">
      <c r="A200" s="10" t="str">
        <f>'Long Sample Name'!A196</f>
        <v>Sample 2900m: 5% Siltstone, 95% fine to medium Sandstone, 100% bright FLUOR in SST. TG 120.4U</v>
      </c>
      <c r="B200" s="1" t="str">
        <f ca="1">'Input Sheet'!K213</f>
        <v/>
      </c>
      <c r="C200" s="7" t="str">
        <f ca="1">'Input Sheet'!L213</f>
        <v/>
      </c>
      <c r="D200" s="11">
        <f>'Input Sheet'!B213</f>
        <v>2900</v>
      </c>
      <c r="E200" s="8">
        <f>'Input Sheet'!H213</f>
        <v>120.4</v>
      </c>
      <c r="F200" s="61">
        <f>'Input Sheet'!C198/100</f>
        <v>0.9</v>
      </c>
      <c r="G200" s="61">
        <f>'Input Sheet'!F198/100</f>
        <v>1</v>
      </c>
      <c r="H200" s="2">
        <f t="shared" si="24"/>
        <v>10</v>
      </c>
      <c r="I200" s="2">
        <f t="shared" si="25"/>
        <v>10</v>
      </c>
      <c r="J200" s="60">
        <f t="shared" si="29"/>
        <v>9</v>
      </c>
      <c r="K200" s="2">
        <f t="shared" si="26"/>
        <v>10</v>
      </c>
      <c r="L200" s="2">
        <f t="shared" si="27"/>
        <v>9</v>
      </c>
      <c r="M200" s="2" t="str">
        <f>'Input Sheet'!E213</f>
        <v>M</v>
      </c>
      <c r="N200" s="2">
        <f t="shared" si="28"/>
        <v>3</v>
      </c>
      <c r="P200">
        <f t="shared" si="23"/>
        <v>0</v>
      </c>
      <c r="Q200">
        <f t="shared" si="23"/>
        <v>0</v>
      </c>
      <c r="R200">
        <f t="shared" si="23"/>
        <v>10</v>
      </c>
      <c r="S200">
        <f t="shared" si="23"/>
        <v>0</v>
      </c>
      <c r="T200">
        <f t="shared" si="23"/>
        <v>0</v>
      </c>
    </row>
    <row r="201" spans="1:20" ht="16.5" x14ac:dyDescent="0.25">
      <c r="A201" s="10" t="str">
        <f>'Long Sample Name'!A197</f>
        <v>Sample 2905m: 5% Siltstone, 95% fine to medium Sandstone, 100% bright FLUOR in SST. TG 114.3U</v>
      </c>
      <c r="B201" s="1" t="str">
        <f ca="1">'Input Sheet'!K214</f>
        <v/>
      </c>
      <c r="C201" s="7" t="str">
        <f ca="1">'Input Sheet'!L214</f>
        <v/>
      </c>
      <c r="D201" s="11">
        <f>'Input Sheet'!B214</f>
        <v>2905</v>
      </c>
      <c r="E201" s="8">
        <f>'Input Sheet'!H214</f>
        <v>114.3</v>
      </c>
      <c r="F201" s="61">
        <f>'Input Sheet'!C199/100</f>
        <v>0.9</v>
      </c>
      <c r="G201" s="61">
        <f>'Input Sheet'!F199/100</f>
        <v>1</v>
      </c>
      <c r="H201" s="2">
        <f t="shared" si="24"/>
        <v>5</v>
      </c>
      <c r="I201" s="2">
        <f t="shared" si="25"/>
        <v>5</v>
      </c>
      <c r="J201" s="60">
        <f t="shared" si="29"/>
        <v>4.5</v>
      </c>
      <c r="K201" s="2">
        <f t="shared" si="26"/>
        <v>5</v>
      </c>
      <c r="L201" s="2">
        <f t="shared" si="27"/>
        <v>4.5</v>
      </c>
      <c r="M201" s="2" t="str">
        <f>'Input Sheet'!E214</f>
        <v>M</v>
      </c>
      <c r="N201" s="2">
        <f t="shared" si="28"/>
        <v>3</v>
      </c>
      <c r="P201">
        <f t="shared" si="23"/>
        <v>0</v>
      </c>
      <c r="Q201">
        <f t="shared" si="23"/>
        <v>0</v>
      </c>
      <c r="R201">
        <f t="shared" si="23"/>
        <v>5</v>
      </c>
      <c r="S201">
        <f t="shared" si="23"/>
        <v>0</v>
      </c>
      <c r="T201">
        <f t="shared" si="23"/>
        <v>0</v>
      </c>
    </row>
    <row r="202" spans="1:20" ht="16.5" x14ac:dyDescent="0.25">
      <c r="A202" s="10" t="str">
        <f>'Long Sample Name'!A198</f>
        <v>Sample 2910m: 5% Siltstone, 95% fine to medium Sandstone, 100% bright FLUOR in SST. TG 103.4U</v>
      </c>
      <c r="B202" s="1" t="str">
        <f ca="1">'Input Sheet'!K215</f>
        <v/>
      </c>
      <c r="C202" s="7" t="str">
        <f ca="1">'Input Sheet'!L215</f>
        <v/>
      </c>
      <c r="D202" s="11">
        <f>'Input Sheet'!B215</f>
        <v>2910</v>
      </c>
      <c r="E202" s="8">
        <f>'Input Sheet'!H215</f>
        <v>103.4</v>
      </c>
      <c r="F202" s="61">
        <f>'Input Sheet'!C200/100</f>
        <v>0.95</v>
      </c>
      <c r="G202" s="61">
        <f>'Input Sheet'!F200/100</f>
        <v>1</v>
      </c>
      <c r="H202" s="2">
        <f t="shared" si="24"/>
        <v>5</v>
      </c>
      <c r="I202" s="2">
        <f t="shared" si="25"/>
        <v>5</v>
      </c>
      <c r="J202" s="60">
        <f t="shared" si="29"/>
        <v>4.75</v>
      </c>
      <c r="K202" s="2">
        <f t="shared" si="26"/>
        <v>5</v>
      </c>
      <c r="L202" s="2">
        <f t="shared" si="27"/>
        <v>4.75</v>
      </c>
      <c r="M202" s="2" t="str">
        <f>'Input Sheet'!E215</f>
        <v>M</v>
      </c>
      <c r="N202" s="2">
        <f t="shared" si="28"/>
        <v>3</v>
      </c>
      <c r="P202">
        <f t="shared" si="23"/>
        <v>0</v>
      </c>
      <c r="Q202">
        <f t="shared" si="23"/>
        <v>0</v>
      </c>
      <c r="R202">
        <f t="shared" si="23"/>
        <v>5</v>
      </c>
      <c r="S202">
        <f t="shared" si="23"/>
        <v>0</v>
      </c>
      <c r="T202">
        <f t="shared" si="23"/>
        <v>0</v>
      </c>
    </row>
    <row r="203" spans="1:20" ht="16.5" x14ac:dyDescent="0.25">
      <c r="A203" s="10" t="str">
        <f>'Long Sample Name'!A199</f>
        <v>Sample 2915m: 5% Siltstone, 95% fine to coarse Sandstone, 100% bright FLUOR in SST. TG 88.4U</v>
      </c>
      <c r="B203" s="1" t="str">
        <f ca="1">'Input Sheet'!K216</f>
        <v/>
      </c>
      <c r="C203" s="7" t="str">
        <f ca="1">'Input Sheet'!L216</f>
        <v/>
      </c>
      <c r="D203" s="11">
        <f>'Input Sheet'!B216</f>
        <v>2915</v>
      </c>
      <c r="E203" s="8">
        <f>'Input Sheet'!H216</f>
        <v>88.4</v>
      </c>
      <c r="F203" s="61">
        <f>'Input Sheet'!C201/100</f>
        <v>0.95</v>
      </c>
      <c r="G203" s="61">
        <f>'Input Sheet'!F201/100</f>
        <v>1</v>
      </c>
      <c r="H203" s="2">
        <f t="shared" si="24"/>
        <v>5</v>
      </c>
      <c r="I203" s="2">
        <f t="shared" si="25"/>
        <v>5</v>
      </c>
      <c r="J203" s="60">
        <f t="shared" si="29"/>
        <v>4.75</v>
      </c>
      <c r="K203" s="2">
        <f t="shared" si="26"/>
        <v>5</v>
      </c>
      <c r="L203" s="2">
        <f t="shared" si="27"/>
        <v>4.75</v>
      </c>
      <c r="M203" s="2" t="str">
        <f>'Input Sheet'!E216</f>
        <v>C</v>
      </c>
      <c r="N203" s="2">
        <f t="shared" si="28"/>
        <v>4</v>
      </c>
      <c r="P203">
        <f t="shared" si="23"/>
        <v>0</v>
      </c>
      <c r="Q203">
        <f t="shared" si="23"/>
        <v>0</v>
      </c>
      <c r="R203">
        <f t="shared" si="23"/>
        <v>0</v>
      </c>
      <c r="S203">
        <f t="shared" si="23"/>
        <v>5</v>
      </c>
      <c r="T203">
        <f t="shared" si="23"/>
        <v>0</v>
      </c>
    </row>
    <row r="204" spans="1:20" ht="16.5" x14ac:dyDescent="0.25">
      <c r="A204" s="10" t="str">
        <f>'Long Sample Name'!A200</f>
        <v>Sample 2920m: 5% Siltstone, 95% fine to coarse Sandstone, 100% bright FLUOR in SST. TG 76.1U</v>
      </c>
      <c r="B204" s="1" t="str">
        <f ca="1">'Input Sheet'!K217</f>
        <v/>
      </c>
      <c r="C204" s="7" t="str">
        <f ca="1">'Input Sheet'!L217</f>
        <v/>
      </c>
      <c r="D204" s="11">
        <f>'Input Sheet'!B217</f>
        <v>2920</v>
      </c>
      <c r="E204" s="8">
        <f>'Input Sheet'!H217</f>
        <v>76.099999999999994</v>
      </c>
      <c r="F204" s="61">
        <f>'Input Sheet'!C202/100</f>
        <v>0.95</v>
      </c>
      <c r="G204" s="61">
        <f>'Input Sheet'!F202/100</f>
        <v>1</v>
      </c>
      <c r="H204" s="2">
        <f t="shared" si="24"/>
        <v>5</v>
      </c>
      <c r="I204" s="2">
        <f t="shared" si="25"/>
        <v>5</v>
      </c>
      <c r="J204" s="60">
        <f t="shared" si="29"/>
        <v>4.75</v>
      </c>
      <c r="K204" s="2">
        <f t="shared" si="26"/>
        <v>5</v>
      </c>
      <c r="L204" s="2">
        <f t="shared" si="27"/>
        <v>4.75</v>
      </c>
      <c r="M204" s="2" t="str">
        <f>'Input Sheet'!E217</f>
        <v>C</v>
      </c>
      <c r="N204" s="2">
        <f t="shared" si="28"/>
        <v>4</v>
      </c>
      <c r="P204">
        <f t="shared" si="23"/>
        <v>0</v>
      </c>
      <c r="Q204">
        <f t="shared" si="23"/>
        <v>0</v>
      </c>
      <c r="R204">
        <f t="shared" si="23"/>
        <v>0</v>
      </c>
      <c r="S204">
        <f t="shared" si="23"/>
        <v>5</v>
      </c>
      <c r="T204">
        <f t="shared" si="23"/>
        <v>0</v>
      </c>
    </row>
    <row r="205" spans="1:20" ht="16.5" x14ac:dyDescent="0.25">
      <c r="A205" s="10" t="str">
        <f>'Long Sample Name'!A201</f>
        <v>Sample 2925m: 5% Siltstone, 95% medium to very coarse Sandstone, 100% bright FLUOR in SST. TG 106U</v>
      </c>
      <c r="B205" s="1" t="str">
        <f ca="1">'Input Sheet'!K218</f>
        <v/>
      </c>
      <c r="C205" s="7" t="str">
        <f ca="1">'Input Sheet'!L218</f>
        <v/>
      </c>
      <c r="D205" s="11">
        <f>'Input Sheet'!B218</f>
        <v>2925</v>
      </c>
      <c r="E205" s="8">
        <f>'Input Sheet'!H218</f>
        <v>106</v>
      </c>
      <c r="F205" s="61">
        <f>'Input Sheet'!C203/100</f>
        <v>0.95</v>
      </c>
      <c r="G205" s="61">
        <f>'Input Sheet'!F203/100</f>
        <v>1</v>
      </c>
      <c r="H205" s="2">
        <f t="shared" si="24"/>
        <v>5</v>
      </c>
      <c r="I205" s="2">
        <f t="shared" si="25"/>
        <v>5</v>
      </c>
      <c r="J205" s="60">
        <f t="shared" si="29"/>
        <v>4.75</v>
      </c>
      <c r="K205" s="2">
        <f t="shared" si="26"/>
        <v>5</v>
      </c>
      <c r="L205" s="2">
        <f t="shared" si="27"/>
        <v>4.75</v>
      </c>
      <c r="M205" s="2" t="str">
        <f>'Input Sheet'!E218</f>
        <v>VC</v>
      </c>
      <c r="N205" s="2">
        <f t="shared" si="28"/>
        <v>5</v>
      </c>
      <c r="P205">
        <f t="shared" si="23"/>
        <v>0</v>
      </c>
      <c r="Q205">
        <f t="shared" si="23"/>
        <v>0</v>
      </c>
      <c r="R205">
        <f t="shared" si="23"/>
        <v>0</v>
      </c>
      <c r="S205">
        <f t="shared" si="23"/>
        <v>0</v>
      </c>
      <c r="T205">
        <f t="shared" si="23"/>
        <v>5</v>
      </c>
    </row>
    <row r="206" spans="1:20" ht="16.5" x14ac:dyDescent="0.25">
      <c r="A206" s="10" t="str">
        <f>'Long Sample Name'!A202</f>
        <v>Sample 2930m: 5% Siltstone, 95% medium to very coarse Sandstone, 100% bright FLUOR in SST. TG 130.2U</v>
      </c>
      <c r="B206" s="1" t="str">
        <f ca="1">'Input Sheet'!K219</f>
        <v/>
      </c>
      <c r="C206" s="7" t="str">
        <f ca="1">'Input Sheet'!L219</f>
        <v/>
      </c>
      <c r="D206" s="11">
        <f>'Input Sheet'!B219</f>
        <v>2930</v>
      </c>
      <c r="E206" s="8">
        <f>'Input Sheet'!H219</f>
        <v>130.19999999999999</v>
      </c>
      <c r="F206" s="61">
        <f>'Input Sheet'!C204/100</f>
        <v>0.85</v>
      </c>
      <c r="G206" s="61">
        <f>'Input Sheet'!F204/100</f>
        <v>1</v>
      </c>
      <c r="H206" s="2">
        <f t="shared" si="24"/>
        <v>5</v>
      </c>
      <c r="I206" s="2">
        <f t="shared" si="25"/>
        <v>5</v>
      </c>
      <c r="J206" s="60">
        <f t="shared" si="29"/>
        <v>4.25</v>
      </c>
      <c r="K206" s="2">
        <f t="shared" si="26"/>
        <v>5</v>
      </c>
      <c r="L206" s="2">
        <f t="shared" si="27"/>
        <v>4.25</v>
      </c>
      <c r="M206" s="2" t="str">
        <f>'Input Sheet'!E219</f>
        <v>VC</v>
      </c>
      <c r="N206" s="2">
        <f t="shared" si="28"/>
        <v>5</v>
      </c>
      <c r="P206">
        <f t="shared" si="23"/>
        <v>0</v>
      </c>
      <c r="Q206">
        <f t="shared" si="23"/>
        <v>0</v>
      </c>
      <c r="R206">
        <f t="shared" si="23"/>
        <v>0</v>
      </c>
      <c r="S206">
        <f t="shared" si="23"/>
        <v>0</v>
      </c>
      <c r="T206">
        <f t="shared" si="23"/>
        <v>5</v>
      </c>
    </row>
    <row r="207" spans="1:20" ht="16.5" x14ac:dyDescent="0.25">
      <c r="A207" s="10" t="str">
        <f>'Long Sample Name'!A203</f>
        <v>Sample 2935m: 5% Siltstone, 95% medium to very coarse Sandstone, 100% bright FLUOR in SST. TG 133.3U</v>
      </c>
      <c r="B207" s="1" t="str">
        <f ca="1">'Input Sheet'!K220</f>
        <v/>
      </c>
      <c r="C207" s="7" t="str">
        <f ca="1">'Input Sheet'!L220</f>
        <v/>
      </c>
      <c r="D207" s="11">
        <f>'Input Sheet'!B220</f>
        <v>2935</v>
      </c>
      <c r="E207" s="8">
        <f>'Input Sheet'!H220</f>
        <v>133.30000000000001</v>
      </c>
      <c r="F207" s="61">
        <f>'Input Sheet'!C205/100</f>
        <v>0.85</v>
      </c>
      <c r="G207" s="61">
        <f>'Input Sheet'!F205/100</f>
        <v>1</v>
      </c>
      <c r="H207" s="2">
        <f t="shared" si="24"/>
        <v>5</v>
      </c>
      <c r="I207" s="2">
        <f t="shared" si="25"/>
        <v>5</v>
      </c>
      <c r="J207" s="60">
        <f t="shared" si="29"/>
        <v>4.25</v>
      </c>
      <c r="K207" s="2">
        <f t="shared" si="26"/>
        <v>5</v>
      </c>
      <c r="L207" s="2">
        <f t="shared" si="27"/>
        <v>4.25</v>
      </c>
      <c r="M207" s="2" t="str">
        <f>'Input Sheet'!E220</f>
        <v>VC</v>
      </c>
      <c r="N207" s="2">
        <f t="shared" si="28"/>
        <v>5</v>
      </c>
      <c r="P207">
        <f t="shared" si="23"/>
        <v>0</v>
      </c>
      <c r="Q207">
        <f t="shared" si="23"/>
        <v>0</v>
      </c>
      <c r="R207">
        <f t="shared" si="23"/>
        <v>0</v>
      </c>
      <c r="S207">
        <f t="shared" si="23"/>
        <v>0</v>
      </c>
      <c r="T207">
        <f t="shared" si="23"/>
        <v>5</v>
      </c>
    </row>
    <row r="208" spans="1:20" ht="16.5" x14ac:dyDescent="0.25">
      <c r="A208" s="10" t="str">
        <f>'Long Sample Name'!A204</f>
        <v>Sample 2940m: 5% Siltstone, 95% medium to very coarse Sandstone, 100% bright FLUOR in SST. TG 127.3U</v>
      </c>
      <c r="B208" s="1" t="str">
        <f ca="1">'Input Sheet'!K221</f>
        <v/>
      </c>
      <c r="C208" s="7" t="str">
        <f ca="1">'Input Sheet'!L221</f>
        <v/>
      </c>
      <c r="D208" s="11">
        <f>'Input Sheet'!B221</f>
        <v>2940</v>
      </c>
      <c r="E208" s="8">
        <f>'Input Sheet'!H221</f>
        <v>127.3</v>
      </c>
      <c r="F208" s="61">
        <f>'Input Sheet'!C206/100</f>
        <v>0.9</v>
      </c>
      <c r="G208" s="61">
        <f>'Input Sheet'!F206/100</f>
        <v>1</v>
      </c>
      <c r="H208" s="2">
        <f t="shared" si="24"/>
        <v>5</v>
      </c>
      <c r="I208" s="2">
        <f t="shared" si="25"/>
        <v>5</v>
      </c>
      <c r="J208" s="60">
        <f t="shared" si="29"/>
        <v>4.5</v>
      </c>
      <c r="K208" s="2">
        <f t="shared" si="26"/>
        <v>5</v>
      </c>
      <c r="L208" s="2">
        <f t="shared" si="27"/>
        <v>4.5</v>
      </c>
      <c r="M208" s="2" t="str">
        <f>'Input Sheet'!E221</f>
        <v>VC</v>
      </c>
      <c r="N208" s="2">
        <f t="shared" si="28"/>
        <v>5</v>
      </c>
      <c r="P208">
        <f t="shared" si="23"/>
        <v>0</v>
      </c>
      <c r="Q208">
        <f t="shared" si="23"/>
        <v>0</v>
      </c>
      <c r="R208">
        <f t="shared" si="23"/>
        <v>0</v>
      </c>
      <c r="S208">
        <f t="shared" si="23"/>
        <v>0</v>
      </c>
      <c r="T208">
        <f t="shared" si="23"/>
        <v>5</v>
      </c>
    </row>
    <row r="209" spans="1:20" ht="16.5" x14ac:dyDescent="0.25">
      <c r="A209" s="10" t="str">
        <f>'Long Sample Name'!A205</f>
        <v>Sample 2945m: 0% Siltstone, 100% medium to very coarse Sandstone, 100% bright FLUOR in SST. TG 127U</v>
      </c>
      <c r="B209" s="1" t="str">
        <f ca="1">'Input Sheet'!K222</f>
        <v/>
      </c>
      <c r="C209" s="7" t="str">
        <f ca="1">'Input Sheet'!L222</f>
        <v/>
      </c>
      <c r="D209" s="11">
        <f>'Input Sheet'!B222</f>
        <v>2945</v>
      </c>
      <c r="E209" s="8">
        <f>'Input Sheet'!H222</f>
        <v>127</v>
      </c>
      <c r="F209" s="61">
        <f>'Input Sheet'!C207/100</f>
        <v>0.9</v>
      </c>
      <c r="G209" s="61">
        <f>'Input Sheet'!F207/100</f>
        <v>1</v>
      </c>
      <c r="H209" s="2">
        <f t="shared" si="24"/>
        <v>5</v>
      </c>
      <c r="I209" s="2">
        <f t="shared" si="25"/>
        <v>5</v>
      </c>
      <c r="J209" s="60">
        <f t="shared" si="29"/>
        <v>4.5</v>
      </c>
      <c r="K209" s="2">
        <f t="shared" si="26"/>
        <v>5</v>
      </c>
      <c r="L209" s="2">
        <f t="shared" si="27"/>
        <v>4.5</v>
      </c>
      <c r="M209" s="2" t="str">
        <f>'Input Sheet'!E222</f>
        <v>VC</v>
      </c>
      <c r="N209" s="2">
        <f t="shared" si="28"/>
        <v>5</v>
      </c>
      <c r="P209">
        <f t="shared" si="23"/>
        <v>0</v>
      </c>
      <c r="Q209">
        <f t="shared" si="23"/>
        <v>0</v>
      </c>
      <c r="R209">
        <f t="shared" si="23"/>
        <v>0</v>
      </c>
      <c r="S209">
        <f t="shared" si="23"/>
        <v>0</v>
      </c>
      <c r="T209">
        <f t="shared" si="23"/>
        <v>5</v>
      </c>
    </row>
    <row r="210" spans="1:20" ht="16.5" x14ac:dyDescent="0.25">
      <c r="A210" s="10" t="str">
        <f>'Long Sample Name'!A206</f>
        <v>Sample 2950m: 0% Siltstone, 100% medium to very coarse Sandstone, 100% bright FLUOR in SST. TG 74.4U</v>
      </c>
      <c r="B210" s="1" t="str">
        <f ca="1">'Input Sheet'!K223</f>
        <v/>
      </c>
      <c r="C210" s="7" t="str">
        <f ca="1">'Input Sheet'!L223</f>
        <v/>
      </c>
      <c r="D210" s="11">
        <f>'Input Sheet'!B223</f>
        <v>2950</v>
      </c>
      <c r="E210" s="8">
        <f>'Input Sheet'!H223</f>
        <v>74.400000000000006</v>
      </c>
      <c r="F210" s="61">
        <f>'Input Sheet'!C208/100</f>
        <v>0.85</v>
      </c>
      <c r="G210" s="61">
        <f>'Input Sheet'!F208/100</f>
        <v>1</v>
      </c>
      <c r="H210" s="2">
        <f t="shared" si="24"/>
        <v>5</v>
      </c>
      <c r="I210" s="2">
        <f t="shared" si="25"/>
        <v>5</v>
      </c>
      <c r="J210" s="60">
        <f t="shared" si="29"/>
        <v>4.25</v>
      </c>
      <c r="K210" s="2">
        <f t="shared" si="26"/>
        <v>5</v>
      </c>
      <c r="L210" s="2">
        <f t="shared" si="27"/>
        <v>4.25</v>
      </c>
      <c r="M210" s="2" t="str">
        <f>'Input Sheet'!E223</f>
        <v>VC</v>
      </c>
      <c r="N210" s="2">
        <f t="shared" si="28"/>
        <v>5</v>
      </c>
      <c r="P210">
        <f t="shared" si="23"/>
        <v>0</v>
      </c>
      <c r="Q210">
        <f t="shared" si="23"/>
        <v>0</v>
      </c>
      <c r="R210">
        <f t="shared" si="23"/>
        <v>0</v>
      </c>
      <c r="S210">
        <f t="shared" si="23"/>
        <v>0</v>
      </c>
      <c r="T210">
        <f t="shared" si="23"/>
        <v>5</v>
      </c>
    </row>
    <row r="211" spans="1:20" ht="16.5" x14ac:dyDescent="0.25">
      <c r="A211" s="10" t="str">
        <f>'Long Sample Name'!A207</f>
        <v>Sample 2955m: 0% Siltstone, 100% fine to coarse Sandstone, 100% bright FLUOR in SST. TG 104.4U</v>
      </c>
      <c r="B211" s="1" t="str">
        <f ca="1">'Input Sheet'!K224</f>
        <v/>
      </c>
      <c r="C211" s="7" t="str">
        <f ca="1">'Input Sheet'!L224</f>
        <v/>
      </c>
      <c r="D211" s="11">
        <f>'Input Sheet'!B224</f>
        <v>2955</v>
      </c>
      <c r="E211" s="8">
        <f>'Input Sheet'!H224</f>
        <v>104.4</v>
      </c>
      <c r="F211" s="61">
        <f>'Input Sheet'!C209/100</f>
        <v>0.85</v>
      </c>
      <c r="G211" s="61">
        <f>'Input Sheet'!F209/100</f>
        <v>1</v>
      </c>
      <c r="H211" s="2">
        <f t="shared" si="24"/>
        <v>5</v>
      </c>
      <c r="I211" s="2">
        <f t="shared" si="25"/>
        <v>5</v>
      </c>
      <c r="J211" s="60">
        <f t="shared" si="29"/>
        <v>4.25</v>
      </c>
      <c r="K211" s="2">
        <f t="shared" si="26"/>
        <v>5</v>
      </c>
      <c r="L211" s="2">
        <f t="shared" si="27"/>
        <v>4.25</v>
      </c>
      <c r="M211" s="2" t="str">
        <f>'Input Sheet'!E224</f>
        <v>C</v>
      </c>
      <c r="N211" s="2">
        <f t="shared" si="28"/>
        <v>4</v>
      </c>
      <c r="P211">
        <f t="shared" si="23"/>
        <v>0</v>
      </c>
      <c r="Q211">
        <f t="shared" si="23"/>
        <v>0</v>
      </c>
      <c r="R211">
        <f t="shared" si="23"/>
        <v>0</v>
      </c>
      <c r="S211">
        <f t="shared" si="23"/>
        <v>5</v>
      </c>
      <c r="T211">
        <f t="shared" si="23"/>
        <v>0</v>
      </c>
    </row>
    <row r="212" spans="1:20" ht="16.5" x14ac:dyDescent="0.25">
      <c r="A212" s="10" t="str">
        <f>'Long Sample Name'!A208</f>
        <v>Sample 2960m: 0% Siltstone, 100% fine to coarse Sandstone, 100% bright FLUOR in SST. TG 97.2U</v>
      </c>
      <c r="B212" s="1" t="str">
        <f ca="1">'Input Sheet'!K225</f>
        <v/>
      </c>
      <c r="C212" s="7" t="str">
        <f ca="1">'Input Sheet'!L225</f>
        <v/>
      </c>
      <c r="D212" s="11">
        <f>'Input Sheet'!B225</f>
        <v>2960</v>
      </c>
      <c r="E212" s="8">
        <f>'Input Sheet'!H225</f>
        <v>97.2</v>
      </c>
      <c r="F212" s="61">
        <f>'Input Sheet'!C210/100</f>
        <v>0.9</v>
      </c>
      <c r="G212" s="61">
        <f>'Input Sheet'!F210/100</f>
        <v>1</v>
      </c>
      <c r="H212" s="2">
        <f t="shared" si="24"/>
        <v>5</v>
      </c>
      <c r="I212" s="2">
        <f t="shared" si="25"/>
        <v>5</v>
      </c>
      <c r="J212" s="60">
        <f t="shared" si="29"/>
        <v>4.5</v>
      </c>
      <c r="K212" s="2">
        <f t="shared" si="26"/>
        <v>5</v>
      </c>
      <c r="L212" s="2">
        <f t="shared" si="27"/>
        <v>4.5</v>
      </c>
      <c r="M212" s="2" t="str">
        <f>'Input Sheet'!E225</f>
        <v>C</v>
      </c>
      <c r="N212" s="2">
        <f t="shared" si="28"/>
        <v>4</v>
      </c>
      <c r="P212">
        <f t="shared" ref="P212:T262" si="30">IF($M212=P$1,$H212,0)</f>
        <v>0</v>
      </c>
      <c r="Q212">
        <f t="shared" si="30"/>
        <v>0</v>
      </c>
      <c r="R212">
        <f t="shared" si="30"/>
        <v>0</v>
      </c>
      <c r="S212">
        <f t="shared" si="30"/>
        <v>5</v>
      </c>
      <c r="T212">
        <f t="shared" si="30"/>
        <v>0</v>
      </c>
    </row>
    <row r="213" spans="1:20" ht="16.5" x14ac:dyDescent="0.25">
      <c r="A213" s="10" t="str">
        <f>'Long Sample Name'!A209</f>
        <v>Sample 2965m: 0% Siltstone, 100% very fine to coarse Sandstone, 100% bright FLUOR in SST. TG 113.2U</v>
      </c>
      <c r="B213" s="1" t="str">
        <f ca="1">'Input Sheet'!K226</f>
        <v/>
      </c>
      <c r="C213" s="7" t="str">
        <f ca="1">'Input Sheet'!L226</f>
        <v/>
      </c>
      <c r="D213" s="11">
        <f>'Input Sheet'!B226</f>
        <v>2965</v>
      </c>
      <c r="E213" s="8">
        <f>'Input Sheet'!H226</f>
        <v>113.2</v>
      </c>
      <c r="F213" s="61">
        <f>'Input Sheet'!C211/100</f>
        <v>0.9</v>
      </c>
      <c r="G213" s="61">
        <f>'Input Sheet'!F211/100</f>
        <v>1</v>
      </c>
      <c r="H213" s="2">
        <f t="shared" si="24"/>
        <v>5</v>
      </c>
      <c r="I213" s="2">
        <f t="shared" si="25"/>
        <v>5</v>
      </c>
      <c r="J213" s="60">
        <f t="shared" si="29"/>
        <v>4.5</v>
      </c>
      <c r="K213" s="2">
        <f t="shared" si="26"/>
        <v>5</v>
      </c>
      <c r="L213" s="2">
        <f t="shared" si="27"/>
        <v>4.5</v>
      </c>
      <c r="M213" s="2" t="str">
        <f>'Input Sheet'!E226</f>
        <v>C</v>
      </c>
      <c r="N213" s="2">
        <f t="shared" si="28"/>
        <v>4</v>
      </c>
      <c r="P213">
        <f t="shared" si="30"/>
        <v>0</v>
      </c>
      <c r="Q213">
        <f t="shared" si="30"/>
        <v>0</v>
      </c>
      <c r="R213">
        <f t="shared" si="30"/>
        <v>0</v>
      </c>
      <c r="S213">
        <f t="shared" si="30"/>
        <v>5</v>
      </c>
      <c r="T213">
        <f t="shared" si="30"/>
        <v>0</v>
      </c>
    </row>
    <row r="214" spans="1:20" ht="16.5" x14ac:dyDescent="0.25">
      <c r="A214" s="10" t="str">
        <f>'Long Sample Name'!A210</f>
        <v>Sample 2970m: 0% Siltstone, 100% very fine to coarse Sandstone, 100% bright FLUOR in SST. TG 79.2U</v>
      </c>
      <c r="B214" s="1" t="str">
        <f ca="1">'Input Sheet'!K227</f>
        <v/>
      </c>
      <c r="C214" s="7" t="str">
        <f ca="1">'Input Sheet'!L227</f>
        <v/>
      </c>
      <c r="D214" s="11">
        <f>'Input Sheet'!B227</f>
        <v>2970</v>
      </c>
      <c r="E214" s="8">
        <f>'Input Sheet'!H227</f>
        <v>79.2</v>
      </c>
      <c r="F214" s="61">
        <f>'Input Sheet'!C212/100</f>
        <v>0.95</v>
      </c>
      <c r="G214" s="61">
        <f>'Input Sheet'!F212/100</f>
        <v>1</v>
      </c>
      <c r="H214" s="2">
        <f t="shared" si="24"/>
        <v>5</v>
      </c>
      <c r="I214" s="2">
        <f t="shared" si="25"/>
        <v>5</v>
      </c>
      <c r="J214" s="60">
        <f t="shared" si="29"/>
        <v>4.75</v>
      </c>
      <c r="K214" s="2">
        <f t="shared" si="26"/>
        <v>5</v>
      </c>
      <c r="L214" s="2">
        <f t="shared" si="27"/>
        <v>4.75</v>
      </c>
      <c r="M214" s="2" t="str">
        <f>'Input Sheet'!E227</f>
        <v>C</v>
      </c>
      <c r="N214" s="2">
        <f t="shared" si="28"/>
        <v>4</v>
      </c>
      <c r="P214">
        <f t="shared" si="30"/>
        <v>0</v>
      </c>
      <c r="Q214">
        <f t="shared" si="30"/>
        <v>0</v>
      </c>
      <c r="R214">
        <f t="shared" si="30"/>
        <v>0</v>
      </c>
      <c r="S214">
        <f t="shared" si="30"/>
        <v>5</v>
      </c>
      <c r="T214">
        <f t="shared" si="30"/>
        <v>0</v>
      </c>
    </row>
    <row r="215" spans="1:20" ht="16.5" x14ac:dyDescent="0.25">
      <c r="A215" s="10" t="str">
        <f>'Long Sample Name'!A211</f>
        <v>Sample 2975m: 0% Siltstone, 100% very fine to coarse Sandstone, 100% bright FLUOR in SST. TG 65.1U</v>
      </c>
      <c r="B215" s="1" t="str">
        <f ca="1">'Input Sheet'!K228</f>
        <v/>
      </c>
      <c r="C215" s="7" t="str">
        <f ca="1">'Input Sheet'!L228</f>
        <v/>
      </c>
      <c r="D215" s="11">
        <f>'Input Sheet'!B228</f>
        <v>2975</v>
      </c>
      <c r="E215" s="8">
        <f>'Input Sheet'!H228</f>
        <v>65.099999999999994</v>
      </c>
      <c r="F215" s="61">
        <f>'Input Sheet'!C213/100</f>
        <v>0.95</v>
      </c>
      <c r="G215" s="61">
        <f>'Input Sheet'!F213/100</f>
        <v>1</v>
      </c>
      <c r="H215" s="2">
        <f t="shared" si="24"/>
        <v>5</v>
      </c>
      <c r="I215" s="2">
        <f t="shared" si="25"/>
        <v>5</v>
      </c>
      <c r="J215" s="60">
        <f t="shared" si="29"/>
        <v>4.75</v>
      </c>
      <c r="K215" s="2">
        <f t="shared" si="26"/>
        <v>5</v>
      </c>
      <c r="L215" s="2">
        <f t="shared" si="27"/>
        <v>4.75</v>
      </c>
      <c r="M215" s="2" t="str">
        <f>'Input Sheet'!E228</f>
        <v>C</v>
      </c>
      <c r="N215" s="2">
        <f t="shared" si="28"/>
        <v>4</v>
      </c>
      <c r="P215">
        <f t="shared" si="30"/>
        <v>0</v>
      </c>
      <c r="Q215">
        <f t="shared" si="30"/>
        <v>0</v>
      </c>
      <c r="R215">
        <f t="shared" si="30"/>
        <v>0</v>
      </c>
      <c r="S215">
        <f t="shared" si="30"/>
        <v>5</v>
      </c>
      <c r="T215">
        <f t="shared" si="30"/>
        <v>0</v>
      </c>
    </row>
    <row r="216" spans="1:20" ht="16.5" x14ac:dyDescent="0.25">
      <c r="A216" s="10" t="str">
        <f>'Long Sample Name'!A212</f>
        <v>Sample 2980m: 0% Siltstone, 100% very fine to coarse Sandstone, 100% bright FLUOR in SST. TG 80.7U</v>
      </c>
      <c r="B216" s="1" t="str">
        <f ca="1">'Input Sheet'!K229</f>
        <v/>
      </c>
      <c r="C216" s="7" t="str">
        <f ca="1">'Input Sheet'!L229</f>
        <v/>
      </c>
      <c r="D216" s="11">
        <f>'Input Sheet'!B229</f>
        <v>2980</v>
      </c>
      <c r="E216" s="8">
        <f>'Input Sheet'!H229</f>
        <v>80.7</v>
      </c>
      <c r="F216" s="61">
        <f>'Input Sheet'!C214/100</f>
        <v>0.95</v>
      </c>
      <c r="G216" s="61">
        <f>'Input Sheet'!F214/100</f>
        <v>1</v>
      </c>
      <c r="H216" s="2">
        <f t="shared" si="24"/>
        <v>5</v>
      </c>
      <c r="I216" s="2">
        <f t="shared" si="25"/>
        <v>5</v>
      </c>
      <c r="J216" s="60">
        <f t="shared" si="29"/>
        <v>4.75</v>
      </c>
      <c r="K216" s="2">
        <f t="shared" si="26"/>
        <v>5</v>
      </c>
      <c r="L216" s="2">
        <f t="shared" si="27"/>
        <v>4.75</v>
      </c>
      <c r="M216" s="2" t="str">
        <f>'Input Sheet'!E229</f>
        <v>C</v>
      </c>
      <c r="N216" s="2">
        <f t="shared" si="28"/>
        <v>4</v>
      </c>
      <c r="P216">
        <f t="shared" si="30"/>
        <v>0</v>
      </c>
      <c r="Q216">
        <f t="shared" si="30"/>
        <v>0</v>
      </c>
      <c r="R216">
        <f t="shared" si="30"/>
        <v>0</v>
      </c>
      <c r="S216">
        <f t="shared" si="30"/>
        <v>5</v>
      </c>
      <c r="T216">
        <f t="shared" si="30"/>
        <v>0</v>
      </c>
    </row>
    <row r="217" spans="1:20" ht="16.5" x14ac:dyDescent="0.25">
      <c r="A217" s="10" t="str">
        <f>'Long Sample Name'!A213</f>
        <v>Sample 2985m: 0% Siltstone, 100% very fine to coarse Sandstone, 100% bright FLUOR in SST. TG 67.5U</v>
      </c>
      <c r="B217" s="1" t="str">
        <f ca="1">'Input Sheet'!K230</f>
        <v/>
      </c>
      <c r="C217" s="7" t="str">
        <f ca="1">'Input Sheet'!L230</f>
        <v/>
      </c>
      <c r="D217" s="11">
        <f>'Input Sheet'!B230</f>
        <v>2985</v>
      </c>
      <c r="E217" s="8">
        <f>'Input Sheet'!H230</f>
        <v>67.5</v>
      </c>
      <c r="F217" s="61">
        <f>'Input Sheet'!C215/100</f>
        <v>0.95</v>
      </c>
      <c r="G217" s="61">
        <f>'Input Sheet'!F215/100</f>
        <v>1</v>
      </c>
      <c r="H217" s="2">
        <f t="shared" si="24"/>
        <v>5</v>
      </c>
      <c r="I217" s="2">
        <f t="shared" si="25"/>
        <v>5</v>
      </c>
      <c r="J217" s="60">
        <f t="shared" si="29"/>
        <v>4.75</v>
      </c>
      <c r="K217" s="2">
        <f t="shared" si="26"/>
        <v>5</v>
      </c>
      <c r="L217" s="2">
        <f t="shared" si="27"/>
        <v>4.75</v>
      </c>
      <c r="M217" s="2" t="str">
        <f>'Input Sheet'!E230</f>
        <v>C</v>
      </c>
      <c r="N217" s="2">
        <f t="shared" si="28"/>
        <v>4</v>
      </c>
      <c r="P217">
        <f t="shared" si="30"/>
        <v>0</v>
      </c>
      <c r="Q217">
        <f t="shared" si="30"/>
        <v>0</v>
      </c>
      <c r="R217">
        <f t="shared" si="30"/>
        <v>0</v>
      </c>
      <c r="S217">
        <f t="shared" si="30"/>
        <v>5</v>
      </c>
      <c r="T217">
        <f t="shared" si="30"/>
        <v>0</v>
      </c>
    </row>
    <row r="218" spans="1:20" ht="16.5" x14ac:dyDescent="0.25">
      <c r="A218" s="10" t="str">
        <f>'Long Sample Name'!A214</f>
        <v>Sample 2990m: 0% Siltstone, 100% very fine to coarse Sandstone, 100% bright FLUOR in SST. TG 102.4U</v>
      </c>
      <c r="B218" s="1" t="str">
        <f ca="1">'Input Sheet'!K231</f>
        <v/>
      </c>
      <c r="C218" s="7" t="str">
        <f ca="1">'Input Sheet'!L231</f>
        <v/>
      </c>
      <c r="D218" s="11">
        <f>'Input Sheet'!B231</f>
        <v>2990</v>
      </c>
      <c r="E218" s="8">
        <f>'Input Sheet'!H231</f>
        <v>102.4</v>
      </c>
      <c r="F218" s="61">
        <f>'Input Sheet'!C216/100</f>
        <v>0.95</v>
      </c>
      <c r="G218" s="61">
        <f>'Input Sheet'!F216/100</f>
        <v>1</v>
      </c>
      <c r="H218" s="2">
        <f t="shared" si="24"/>
        <v>5</v>
      </c>
      <c r="I218" s="2">
        <f t="shared" si="25"/>
        <v>5</v>
      </c>
      <c r="J218" s="60">
        <f t="shared" si="29"/>
        <v>4.75</v>
      </c>
      <c r="K218" s="2">
        <f t="shared" si="26"/>
        <v>5</v>
      </c>
      <c r="L218" s="2">
        <f t="shared" si="27"/>
        <v>4.75</v>
      </c>
      <c r="M218" s="2" t="str">
        <f>'Input Sheet'!E231</f>
        <v>C</v>
      </c>
      <c r="N218" s="2">
        <f t="shared" si="28"/>
        <v>4</v>
      </c>
      <c r="P218">
        <f t="shared" si="30"/>
        <v>0</v>
      </c>
      <c r="Q218">
        <f t="shared" si="30"/>
        <v>0</v>
      </c>
      <c r="R218">
        <f t="shared" si="30"/>
        <v>0</v>
      </c>
      <c r="S218">
        <f t="shared" si="30"/>
        <v>5</v>
      </c>
      <c r="T218">
        <f t="shared" si="30"/>
        <v>0</v>
      </c>
    </row>
    <row r="219" spans="1:20" ht="16.5" x14ac:dyDescent="0.25">
      <c r="A219" s="10" t="str">
        <f>'Long Sample Name'!A215</f>
        <v>Sample 2995m: 5% Siltstone, 95% very fine to coarse Sandstone, 100% bright FLUOR in SST. TG 71.5U</v>
      </c>
      <c r="B219" s="1" t="str">
        <f ca="1">'Input Sheet'!K232</f>
        <v/>
      </c>
      <c r="C219" s="7" t="str">
        <f ca="1">'Input Sheet'!L232</f>
        <v/>
      </c>
      <c r="D219" s="11">
        <f>'Input Sheet'!B232</f>
        <v>2995</v>
      </c>
      <c r="E219" s="8">
        <f>'Input Sheet'!H232</f>
        <v>71.5</v>
      </c>
      <c r="F219" s="61">
        <f>'Input Sheet'!C217/100</f>
        <v>0.95</v>
      </c>
      <c r="G219" s="61">
        <f>'Input Sheet'!F217/100</f>
        <v>1</v>
      </c>
      <c r="H219" s="2">
        <f t="shared" si="24"/>
        <v>5</v>
      </c>
      <c r="I219" s="2">
        <f t="shared" si="25"/>
        <v>5</v>
      </c>
      <c r="J219" s="60">
        <f t="shared" si="29"/>
        <v>4.75</v>
      </c>
      <c r="K219" s="2">
        <f t="shared" si="26"/>
        <v>5</v>
      </c>
      <c r="L219" s="2">
        <f t="shared" si="27"/>
        <v>4.75</v>
      </c>
      <c r="M219" s="2" t="str">
        <f>'Input Sheet'!E232</f>
        <v>C</v>
      </c>
      <c r="N219" s="2">
        <f t="shared" si="28"/>
        <v>4</v>
      </c>
      <c r="P219">
        <f t="shared" si="30"/>
        <v>0</v>
      </c>
      <c r="Q219">
        <f t="shared" si="30"/>
        <v>0</v>
      </c>
      <c r="R219">
        <f t="shared" si="30"/>
        <v>0</v>
      </c>
      <c r="S219">
        <f t="shared" si="30"/>
        <v>5</v>
      </c>
      <c r="T219">
        <f t="shared" si="30"/>
        <v>0</v>
      </c>
    </row>
    <row r="220" spans="1:20" ht="16.5" x14ac:dyDescent="0.25">
      <c r="A220" s="10" t="str">
        <f>'Long Sample Name'!A216</f>
        <v>Sample 3000m: 5% Siltstone, 95% very fine to coarse Sandstone, 100% bright FLUOR in SST. TG 67.9U</v>
      </c>
      <c r="B220" s="1" t="str">
        <f ca="1">'Input Sheet'!K233</f>
        <v/>
      </c>
      <c r="C220" s="7" t="str">
        <f ca="1">'Input Sheet'!L233</f>
        <v/>
      </c>
      <c r="D220" s="11">
        <f>'Input Sheet'!B233</f>
        <v>3000</v>
      </c>
      <c r="E220" s="8">
        <f>'Input Sheet'!H233</f>
        <v>67.900000000000006</v>
      </c>
      <c r="F220" s="61">
        <f>'Input Sheet'!C218/100</f>
        <v>0.95</v>
      </c>
      <c r="G220" s="61">
        <f>'Input Sheet'!F218/100</f>
        <v>1</v>
      </c>
      <c r="H220" s="2">
        <f t="shared" si="24"/>
        <v>5</v>
      </c>
      <c r="I220" s="2">
        <f t="shared" si="25"/>
        <v>5</v>
      </c>
      <c r="J220" s="60">
        <f t="shared" si="29"/>
        <v>4.75</v>
      </c>
      <c r="K220" s="2">
        <f t="shared" si="26"/>
        <v>5</v>
      </c>
      <c r="L220" s="2">
        <f t="shared" si="27"/>
        <v>4.75</v>
      </c>
      <c r="M220" s="2" t="str">
        <f>'Input Sheet'!E233</f>
        <v>C</v>
      </c>
      <c r="N220" s="2">
        <f t="shared" si="28"/>
        <v>4</v>
      </c>
      <c r="P220">
        <f t="shared" si="30"/>
        <v>0</v>
      </c>
      <c r="Q220">
        <f t="shared" si="30"/>
        <v>0</v>
      </c>
      <c r="R220">
        <f t="shared" si="30"/>
        <v>0</v>
      </c>
      <c r="S220">
        <f t="shared" si="30"/>
        <v>5</v>
      </c>
      <c r="T220">
        <f t="shared" si="30"/>
        <v>0</v>
      </c>
    </row>
    <row r="221" spans="1:20" ht="16.5" x14ac:dyDescent="0.25">
      <c r="A221" s="10" t="str">
        <f>'Long Sample Name'!A217</f>
        <v>Sample 3005m: 5% Siltstone, 95% very fine to coarse Sandstone, 100% bright FLUOR in SST. TG 70.6U</v>
      </c>
      <c r="B221" s="1" t="str">
        <f ca="1">'Input Sheet'!K234</f>
        <v/>
      </c>
      <c r="C221" s="7" t="str">
        <f ca="1">'Input Sheet'!L234</f>
        <v/>
      </c>
      <c r="D221" s="11">
        <f>'Input Sheet'!B234</f>
        <v>3005</v>
      </c>
      <c r="E221" s="8">
        <f>'Input Sheet'!H234</f>
        <v>70.599999999999994</v>
      </c>
      <c r="F221" s="61">
        <f>'Input Sheet'!C219/100</f>
        <v>0.95</v>
      </c>
      <c r="G221" s="61">
        <f>'Input Sheet'!F219/100</f>
        <v>1</v>
      </c>
      <c r="H221" s="2">
        <f t="shared" si="24"/>
        <v>5</v>
      </c>
      <c r="I221" s="2">
        <f t="shared" si="25"/>
        <v>5</v>
      </c>
      <c r="J221" s="60">
        <f t="shared" si="29"/>
        <v>4.75</v>
      </c>
      <c r="K221" s="2">
        <f t="shared" si="26"/>
        <v>5</v>
      </c>
      <c r="L221" s="2">
        <f t="shared" si="27"/>
        <v>4.75</v>
      </c>
      <c r="M221" s="2" t="str">
        <f>'Input Sheet'!E234</f>
        <v>C</v>
      </c>
      <c r="N221" s="2">
        <f t="shared" si="28"/>
        <v>4</v>
      </c>
      <c r="P221">
        <f t="shared" si="30"/>
        <v>0</v>
      </c>
      <c r="Q221">
        <f t="shared" si="30"/>
        <v>0</v>
      </c>
      <c r="R221">
        <f t="shared" si="30"/>
        <v>0</v>
      </c>
      <c r="S221">
        <f t="shared" si="30"/>
        <v>5</v>
      </c>
      <c r="T221">
        <f t="shared" si="30"/>
        <v>0</v>
      </c>
    </row>
    <row r="222" spans="1:20" ht="16.5" x14ac:dyDescent="0.25">
      <c r="A222" s="10" t="str">
        <f>'Long Sample Name'!A218</f>
        <v>Sample 3010m: 5% Siltstone, 95% very fine to coarse Sandstone, 100% bright FLUOR in SST. TG 62.1U</v>
      </c>
      <c r="B222" s="1" t="str">
        <f ca="1">'Input Sheet'!K235</f>
        <v/>
      </c>
      <c r="C222" s="7" t="str">
        <f ca="1">'Input Sheet'!L235</f>
        <v/>
      </c>
      <c r="D222" s="11">
        <f>'Input Sheet'!B235</f>
        <v>3010</v>
      </c>
      <c r="E222" s="8">
        <f>'Input Sheet'!H235</f>
        <v>62.1</v>
      </c>
      <c r="F222" s="61">
        <f>'Input Sheet'!C220/100</f>
        <v>0.95</v>
      </c>
      <c r="G222" s="61">
        <f>'Input Sheet'!F220/100</f>
        <v>1</v>
      </c>
      <c r="H222" s="2">
        <f t="shared" si="24"/>
        <v>5</v>
      </c>
      <c r="I222" s="2">
        <f t="shared" si="25"/>
        <v>5</v>
      </c>
      <c r="J222" s="60">
        <f t="shared" si="29"/>
        <v>4.75</v>
      </c>
      <c r="K222" s="2">
        <f t="shared" si="26"/>
        <v>5</v>
      </c>
      <c r="L222" s="2">
        <f t="shared" si="27"/>
        <v>4.75</v>
      </c>
      <c r="M222" s="2" t="str">
        <f>'Input Sheet'!E235</f>
        <v>C</v>
      </c>
      <c r="N222" s="2">
        <f t="shared" si="28"/>
        <v>4</v>
      </c>
      <c r="P222">
        <f t="shared" si="30"/>
        <v>0</v>
      </c>
      <c r="Q222">
        <f t="shared" si="30"/>
        <v>0</v>
      </c>
      <c r="R222">
        <f t="shared" si="30"/>
        <v>0</v>
      </c>
      <c r="S222">
        <f t="shared" si="30"/>
        <v>5</v>
      </c>
      <c r="T222">
        <f t="shared" si="30"/>
        <v>0</v>
      </c>
    </row>
    <row r="223" spans="1:20" ht="16.5" x14ac:dyDescent="0.25">
      <c r="A223" s="10" t="str">
        <f>'Long Sample Name'!A219</f>
        <v>Sample 3015m: 5% Siltstone, 95% very fine to coarse Sandstone, 100% bright FLUOR in SST. TG 83U</v>
      </c>
      <c r="B223" s="1" t="str">
        <f ca="1">'Input Sheet'!K236</f>
        <v/>
      </c>
      <c r="C223" s="7" t="str">
        <f ca="1">'Input Sheet'!L236</f>
        <v/>
      </c>
      <c r="D223" s="11">
        <f>'Input Sheet'!B236</f>
        <v>3015</v>
      </c>
      <c r="E223" s="8">
        <f>'Input Sheet'!H236</f>
        <v>83</v>
      </c>
      <c r="F223" s="61">
        <f>'Input Sheet'!C221/100</f>
        <v>0.95</v>
      </c>
      <c r="G223" s="61">
        <f>'Input Sheet'!F221/100</f>
        <v>1</v>
      </c>
      <c r="H223" s="2">
        <f t="shared" si="24"/>
        <v>5</v>
      </c>
      <c r="I223" s="2">
        <f t="shared" si="25"/>
        <v>5</v>
      </c>
      <c r="J223" s="60">
        <f t="shared" si="29"/>
        <v>4.75</v>
      </c>
      <c r="K223" s="2">
        <f t="shared" si="26"/>
        <v>5</v>
      </c>
      <c r="L223" s="2">
        <f t="shared" si="27"/>
        <v>4.75</v>
      </c>
      <c r="M223" s="2" t="str">
        <f>'Input Sheet'!E236</f>
        <v>C</v>
      </c>
      <c r="N223" s="2">
        <f t="shared" si="28"/>
        <v>4</v>
      </c>
      <c r="P223">
        <f t="shared" si="30"/>
        <v>0</v>
      </c>
      <c r="Q223">
        <f t="shared" si="30"/>
        <v>0</v>
      </c>
      <c r="R223">
        <f t="shared" si="30"/>
        <v>0</v>
      </c>
      <c r="S223">
        <f t="shared" si="30"/>
        <v>5</v>
      </c>
      <c r="T223">
        <f t="shared" si="30"/>
        <v>0</v>
      </c>
    </row>
    <row r="224" spans="1:20" ht="16.5" x14ac:dyDescent="0.25">
      <c r="A224" s="10" t="str">
        <f>'Long Sample Name'!A220</f>
        <v>Sample 3020m: 5% Siltstone, 95% very fine to coarse Sandstone, 100% bright FLUOR in SST. TG 56.7U</v>
      </c>
      <c r="B224" s="1" t="str">
        <f ca="1">'Input Sheet'!K237</f>
        <v/>
      </c>
      <c r="C224" s="7" t="str">
        <f ca="1">'Input Sheet'!L237</f>
        <v/>
      </c>
      <c r="D224" s="11">
        <f>'Input Sheet'!B237</f>
        <v>3020</v>
      </c>
      <c r="E224" s="8">
        <f>'Input Sheet'!H237</f>
        <v>56.7</v>
      </c>
      <c r="F224" s="61">
        <f>'Input Sheet'!C222/100</f>
        <v>1</v>
      </c>
      <c r="G224" s="61">
        <f>'Input Sheet'!F222/100</f>
        <v>1</v>
      </c>
      <c r="H224" s="2">
        <f t="shared" si="24"/>
        <v>5</v>
      </c>
      <c r="I224" s="2">
        <f t="shared" si="25"/>
        <v>5</v>
      </c>
      <c r="J224" s="60">
        <f t="shared" si="29"/>
        <v>5</v>
      </c>
      <c r="K224" s="2">
        <f t="shared" si="26"/>
        <v>5</v>
      </c>
      <c r="L224" s="2">
        <f t="shared" si="27"/>
        <v>5</v>
      </c>
      <c r="M224" s="2" t="str">
        <f>'Input Sheet'!E237</f>
        <v>C</v>
      </c>
      <c r="N224" s="2">
        <f t="shared" si="28"/>
        <v>4</v>
      </c>
      <c r="P224">
        <f t="shared" si="30"/>
        <v>0</v>
      </c>
      <c r="Q224">
        <f t="shared" si="30"/>
        <v>0</v>
      </c>
      <c r="R224">
        <f t="shared" si="30"/>
        <v>0</v>
      </c>
      <c r="S224">
        <f t="shared" si="30"/>
        <v>5</v>
      </c>
      <c r="T224">
        <f t="shared" si="30"/>
        <v>0</v>
      </c>
    </row>
    <row r="225" spans="1:20" ht="16.5" x14ac:dyDescent="0.25">
      <c r="A225" s="10" t="str">
        <f>'Long Sample Name'!A221</f>
        <v>Sample 3025m: 5% Siltstone, 95% very fine to coarse Sandstone, 100% bright FLUOR in SST. TG 73.8U</v>
      </c>
      <c r="B225" s="1" t="str">
        <f ca="1">'Input Sheet'!K238</f>
        <v/>
      </c>
      <c r="C225" s="7" t="str">
        <f ca="1">'Input Sheet'!L238</f>
        <v/>
      </c>
      <c r="D225" s="11">
        <f>'Input Sheet'!B238</f>
        <v>3025</v>
      </c>
      <c r="E225" s="8">
        <f>'Input Sheet'!H238</f>
        <v>73.8</v>
      </c>
      <c r="F225" s="61">
        <f>'Input Sheet'!C223/100</f>
        <v>1</v>
      </c>
      <c r="G225" s="61">
        <f>'Input Sheet'!F223/100</f>
        <v>1</v>
      </c>
      <c r="H225" s="2">
        <f t="shared" si="24"/>
        <v>5</v>
      </c>
      <c r="I225" s="2">
        <f t="shared" si="25"/>
        <v>5</v>
      </c>
      <c r="J225" s="60">
        <f t="shared" si="29"/>
        <v>5</v>
      </c>
      <c r="K225" s="2">
        <f t="shared" si="26"/>
        <v>5</v>
      </c>
      <c r="L225" s="2">
        <f t="shared" si="27"/>
        <v>5</v>
      </c>
      <c r="M225" s="2" t="str">
        <f>'Input Sheet'!E238</f>
        <v>C</v>
      </c>
      <c r="N225" s="2">
        <f t="shared" si="28"/>
        <v>4</v>
      </c>
      <c r="P225">
        <f t="shared" si="30"/>
        <v>0</v>
      </c>
      <c r="Q225">
        <f t="shared" si="30"/>
        <v>0</v>
      </c>
      <c r="R225">
        <f t="shared" si="30"/>
        <v>0</v>
      </c>
      <c r="S225">
        <f t="shared" si="30"/>
        <v>5</v>
      </c>
      <c r="T225">
        <f t="shared" si="30"/>
        <v>0</v>
      </c>
    </row>
    <row r="226" spans="1:20" ht="16.5" x14ac:dyDescent="0.25">
      <c r="A226" s="10" t="str">
        <f>'Long Sample Name'!A222</f>
        <v>Sample 3030m: 5% Siltstone, 95% very fine to medium, rare coarse Sandstone, 100% bright FLUOR in SST. TG 68.6U</v>
      </c>
      <c r="B226" s="1" t="str">
        <f ca="1">'Input Sheet'!K239</f>
        <v/>
      </c>
      <c r="C226" s="7" t="str">
        <f ca="1">'Input Sheet'!L239</f>
        <v/>
      </c>
      <c r="D226" s="11">
        <f>'Input Sheet'!B239</f>
        <v>3030</v>
      </c>
      <c r="E226" s="8">
        <f>'Input Sheet'!H239</f>
        <v>68.599999999999994</v>
      </c>
      <c r="F226" s="61">
        <f>'Input Sheet'!C224/100</f>
        <v>1</v>
      </c>
      <c r="G226" s="61">
        <f>'Input Sheet'!F224/100</f>
        <v>1</v>
      </c>
      <c r="H226" s="2">
        <f t="shared" si="24"/>
        <v>5</v>
      </c>
      <c r="I226" s="2">
        <f t="shared" si="25"/>
        <v>5</v>
      </c>
      <c r="J226" s="60">
        <f t="shared" si="29"/>
        <v>5</v>
      </c>
      <c r="K226" s="2">
        <f t="shared" si="26"/>
        <v>5</v>
      </c>
      <c r="L226" s="2">
        <f t="shared" si="27"/>
        <v>5</v>
      </c>
      <c r="M226" s="2" t="str">
        <f>'Input Sheet'!E239</f>
        <v>C</v>
      </c>
      <c r="N226" s="2">
        <f t="shared" si="28"/>
        <v>4</v>
      </c>
      <c r="P226">
        <f t="shared" si="30"/>
        <v>0</v>
      </c>
      <c r="Q226">
        <f t="shared" si="30"/>
        <v>0</v>
      </c>
      <c r="R226">
        <f t="shared" si="30"/>
        <v>0</v>
      </c>
      <c r="S226">
        <f t="shared" si="30"/>
        <v>5</v>
      </c>
      <c r="T226">
        <f t="shared" si="30"/>
        <v>0</v>
      </c>
    </row>
    <row r="227" spans="1:20" ht="16.5" x14ac:dyDescent="0.25">
      <c r="A227" s="10" t="str">
        <f>'Long Sample Name'!A223</f>
        <v>Sample 3035m: 0% Siltstone, 100% very fine to medium, rare coarse Sandstone, 100% bright FLUOR in SST. TG 107U</v>
      </c>
      <c r="B227" s="1" t="str">
        <f ca="1">'Input Sheet'!K240</f>
        <v/>
      </c>
      <c r="C227" s="7" t="str">
        <f ca="1">'Input Sheet'!L240</f>
        <v/>
      </c>
      <c r="D227" s="11">
        <f>'Input Sheet'!B240</f>
        <v>3035</v>
      </c>
      <c r="E227" s="8">
        <f>'Input Sheet'!H240</f>
        <v>107</v>
      </c>
      <c r="F227" s="61">
        <f>'Input Sheet'!C225/100</f>
        <v>1</v>
      </c>
      <c r="G227" s="61">
        <f>'Input Sheet'!F225/100</f>
        <v>1</v>
      </c>
      <c r="H227" s="2">
        <f t="shared" si="24"/>
        <v>5</v>
      </c>
      <c r="I227" s="2">
        <f t="shared" si="25"/>
        <v>5</v>
      </c>
      <c r="J227" s="60">
        <f t="shared" si="29"/>
        <v>5</v>
      </c>
      <c r="K227" s="2">
        <f t="shared" si="26"/>
        <v>5</v>
      </c>
      <c r="L227" s="2">
        <f t="shared" si="27"/>
        <v>5</v>
      </c>
      <c r="M227" s="2" t="str">
        <f>'Input Sheet'!E240</f>
        <v>C</v>
      </c>
      <c r="N227" s="2">
        <f t="shared" si="28"/>
        <v>4</v>
      </c>
      <c r="P227">
        <f t="shared" si="30"/>
        <v>0</v>
      </c>
      <c r="Q227">
        <f t="shared" si="30"/>
        <v>0</v>
      </c>
      <c r="R227">
        <f t="shared" si="30"/>
        <v>0</v>
      </c>
      <c r="S227">
        <f t="shared" si="30"/>
        <v>5</v>
      </c>
      <c r="T227">
        <f t="shared" si="30"/>
        <v>0</v>
      </c>
    </row>
    <row r="228" spans="1:20" ht="16.5" x14ac:dyDescent="0.25">
      <c r="A228" s="10" t="str">
        <f>'Long Sample Name'!A224</f>
        <v>Sample 3040m: 0% Siltstone, 100% very fine to medium, rare coarse Sandstone, 100% bright FLUOR in SST. TG 57.3U</v>
      </c>
      <c r="B228" s="1" t="str">
        <f ca="1">'Input Sheet'!K241</f>
        <v/>
      </c>
      <c r="C228" s="7" t="str">
        <f ca="1">'Input Sheet'!L241</f>
        <v/>
      </c>
      <c r="D228" s="11">
        <f>'Input Sheet'!B241</f>
        <v>3040</v>
      </c>
      <c r="E228" s="8">
        <f>'Input Sheet'!H241</f>
        <v>57.3</v>
      </c>
      <c r="F228" s="61">
        <f>'Input Sheet'!C226/100</f>
        <v>1</v>
      </c>
      <c r="G228" s="61">
        <f>'Input Sheet'!F226/100</f>
        <v>1</v>
      </c>
      <c r="H228" s="2">
        <f t="shared" si="24"/>
        <v>5</v>
      </c>
      <c r="I228" s="2">
        <f t="shared" si="25"/>
        <v>5</v>
      </c>
      <c r="J228" s="60">
        <f t="shared" si="29"/>
        <v>5</v>
      </c>
      <c r="K228" s="2">
        <f t="shared" si="26"/>
        <v>5</v>
      </c>
      <c r="L228" s="2">
        <f t="shared" si="27"/>
        <v>5</v>
      </c>
      <c r="M228" s="2" t="str">
        <f>'Input Sheet'!E241</f>
        <v>C</v>
      </c>
      <c r="N228" s="2">
        <f t="shared" si="28"/>
        <v>4</v>
      </c>
      <c r="P228">
        <f t="shared" si="30"/>
        <v>0</v>
      </c>
      <c r="Q228">
        <f t="shared" si="30"/>
        <v>0</v>
      </c>
      <c r="R228">
        <f t="shared" si="30"/>
        <v>0</v>
      </c>
      <c r="S228">
        <f t="shared" si="30"/>
        <v>5</v>
      </c>
      <c r="T228">
        <f t="shared" si="30"/>
        <v>0</v>
      </c>
    </row>
    <row r="229" spans="1:20" ht="16.5" x14ac:dyDescent="0.25">
      <c r="A229" s="10" t="str">
        <f>'Long Sample Name'!A225</f>
        <v>Sample 3045m: 0% Siltstone, 100% very fine to medium Sandstone, 100% bright FLUOR in SST. TG 35.8U</v>
      </c>
      <c r="B229" s="1" t="str">
        <f ca="1">'Input Sheet'!K242</f>
        <v/>
      </c>
      <c r="C229" s="7" t="str">
        <f ca="1">'Input Sheet'!L242</f>
        <v/>
      </c>
      <c r="D229" s="11">
        <f>'Input Sheet'!B242</f>
        <v>3045</v>
      </c>
      <c r="E229" s="8">
        <f>'Input Sheet'!H242</f>
        <v>35.799999999999997</v>
      </c>
      <c r="F229" s="61">
        <f>'Input Sheet'!C227/100</f>
        <v>1</v>
      </c>
      <c r="G229" s="61">
        <f>'Input Sheet'!F227/100</f>
        <v>1</v>
      </c>
      <c r="H229" s="2">
        <f t="shared" si="24"/>
        <v>5</v>
      </c>
      <c r="I229" s="2">
        <f t="shared" si="25"/>
        <v>5</v>
      </c>
      <c r="J229" s="60">
        <f t="shared" si="29"/>
        <v>5</v>
      </c>
      <c r="K229" s="2">
        <f t="shared" si="26"/>
        <v>5</v>
      </c>
      <c r="L229" s="2">
        <f t="shared" si="27"/>
        <v>5</v>
      </c>
      <c r="M229" s="2" t="str">
        <f>'Input Sheet'!E242</f>
        <v>M</v>
      </c>
      <c r="N229" s="2">
        <f t="shared" si="28"/>
        <v>3</v>
      </c>
      <c r="P229">
        <f t="shared" si="30"/>
        <v>0</v>
      </c>
      <c r="Q229">
        <f t="shared" si="30"/>
        <v>0</v>
      </c>
      <c r="R229">
        <f t="shared" si="30"/>
        <v>5</v>
      </c>
      <c r="S229">
        <f t="shared" si="30"/>
        <v>0</v>
      </c>
      <c r="T229">
        <f t="shared" si="30"/>
        <v>0</v>
      </c>
    </row>
    <row r="230" spans="1:20" ht="16.5" x14ac:dyDescent="0.25">
      <c r="A230" s="10" t="str">
        <f>'Long Sample Name'!A226</f>
        <v>Sample 3050m: 0% Siltstone, 100% very fine to medium Sandstone, 100% bright FLUOR in SST. TG 56.5U</v>
      </c>
      <c r="B230" s="1" t="str">
        <f ca="1">'Input Sheet'!K243</f>
        <v/>
      </c>
      <c r="C230" s="7" t="str">
        <f ca="1">'Input Sheet'!L243</f>
        <v/>
      </c>
      <c r="D230" s="11">
        <f>'Input Sheet'!B243</f>
        <v>3050</v>
      </c>
      <c r="E230" s="8">
        <f>'Input Sheet'!H243</f>
        <v>56.5</v>
      </c>
      <c r="F230" s="61">
        <f>'Input Sheet'!C228/100</f>
        <v>1</v>
      </c>
      <c r="G230" s="61">
        <f>'Input Sheet'!F228/100</f>
        <v>1</v>
      </c>
      <c r="H230" s="2">
        <f t="shared" si="24"/>
        <v>5</v>
      </c>
      <c r="I230" s="2">
        <f t="shared" si="25"/>
        <v>5</v>
      </c>
      <c r="J230" s="60">
        <f t="shared" si="29"/>
        <v>5</v>
      </c>
      <c r="K230" s="2">
        <f t="shared" si="26"/>
        <v>5</v>
      </c>
      <c r="L230" s="2">
        <f t="shared" si="27"/>
        <v>5</v>
      </c>
      <c r="M230" s="2" t="str">
        <f>'Input Sheet'!E243</f>
        <v>M</v>
      </c>
      <c r="N230" s="2">
        <f t="shared" si="28"/>
        <v>3</v>
      </c>
      <c r="P230">
        <f t="shared" si="30"/>
        <v>0</v>
      </c>
      <c r="Q230">
        <f t="shared" si="30"/>
        <v>0</v>
      </c>
      <c r="R230">
        <f t="shared" si="30"/>
        <v>5</v>
      </c>
      <c r="S230">
        <f t="shared" si="30"/>
        <v>0</v>
      </c>
      <c r="T230">
        <f t="shared" si="30"/>
        <v>0</v>
      </c>
    </row>
    <row r="231" spans="1:20" ht="16.5" x14ac:dyDescent="0.25">
      <c r="A231" s="10" t="str">
        <f>'Long Sample Name'!A227</f>
        <v>Sample 3055m: 5% Siltstone, 95% fine to coarse Sandstone, 100% bright FLUOR in SST. TG 81.1U</v>
      </c>
      <c r="B231" s="1" t="str">
        <f ca="1">'Input Sheet'!K244</f>
        <v/>
      </c>
      <c r="C231" s="7" t="str">
        <f ca="1">'Input Sheet'!L244</f>
        <v/>
      </c>
      <c r="D231" s="11">
        <f>'Input Sheet'!B244</f>
        <v>3055</v>
      </c>
      <c r="E231" s="8">
        <f>'Input Sheet'!H244</f>
        <v>81.099999999999994</v>
      </c>
      <c r="F231" s="61">
        <f>'Input Sheet'!C229/100</f>
        <v>1</v>
      </c>
      <c r="G231" s="61">
        <f>'Input Sheet'!F229/100</f>
        <v>1</v>
      </c>
      <c r="H231" s="2">
        <f t="shared" si="24"/>
        <v>5</v>
      </c>
      <c r="I231" s="2">
        <f t="shared" si="25"/>
        <v>5</v>
      </c>
      <c r="J231" s="60">
        <f t="shared" si="29"/>
        <v>5</v>
      </c>
      <c r="K231" s="2">
        <f t="shared" si="26"/>
        <v>5</v>
      </c>
      <c r="L231" s="2">
        <f t="shared" si="27"/>
        <v>5</v>
      </c>
      <c r="M231" s="2" t="str">
        <f>'Input Sheet'!E244</f>
        <v>C</v>
      </c>
      <c r="N231" s="2">
        <f t="shared" si="28"/>
        <v>4</v>
      </c>
      <c r="P231">
        <f t="shared" si="30"/>
        <v>0</v>
      </c>
      <c r="Q231">
        <f t="shared" si="30"/>
        <v>0</v>
      </c>
      <c r="R231">
        <f t="shared" si="30"/>
        <v>0</v>
      </c>
      <c r="S231">
        <f t="shared" si="30"/>
        <v>5</v>
      </c>
      <c r="T231">
        <f t="shared" si="30"/>
        <v>0</v>
      </c>
    </row>
    <row r="232" spans="1:20" ht="16.5" x14ac:dyDescent="0.25">
      <c r="A232" s="10" t="str">
        <f>'Long Sample Name'!A228</f>
        <v>Sample 3060m: 5% Siltstone, 95% fine to coarse Sandstone, 100% bright FLUOR in SST. TG 63.7U</v>
      </c>
      <c r="B232" s="1" t="str">
        <f ca="1">'Input Sheet'!K245</f>
        <v/>
      </c>
      <c r="C232" s="7" t="str">
        <f ca="1">'Input Sheet'!L245</f>
        <v/>
      </c>
      <c r="D232" s="11">
        <f>'Input Sheet'!B245</f>
        <v>3060</v>
      </c>
      <c r="E232" s="8">
        <f>'Input Sheet'!H245</f>
        <v>63.7</v>
      </c>
      <c r="F232" s="61">
        <f>'Input Sheet'!C230/100</f>
        <v>1</v>
      </c>
      <c r="G232" s="61">
        <f>'Input Sheet'!F230/100</f>
        <v>1</v>
      </c>
      <c r="H232" s="2">
        <f t="shared" si="24"/>
        <v>5</v>
      </c>
      <c r="I232" s="2">
        <f t="shared" si="25"/>
        <v>5</v>
      </c>
      <c r="J232" s="60">
        <f t="shared" si="29"/>
        <v>5</v>
      </c>
      <c r="K232" s="2">
        <f t="shared" si="26"/>
        <v>5</v>
      </c>
      <c r="L232" s="2">
        <f t="shared" si="27"/>
        <v>5</v>
      </c>
      <c r="M232" s="2" t="str">
        <f>'Input Sheet'!E245</f>
        <v>C</v>
      </c>
      <c r="N232" s="2">
        <f t="shared" si="28"/>
        <v>4</v>
      </c>
      <c r="P232">
        <f t="shared" si="30"/>
        <v>0</v>
      </c>
      <c r="Q232">
        <f t="shared" si="30"/>
        <v>0</v>
      </c>
      <c r="R232">
        <f t="shared" si="30"/>
        <v>0</v>
      </c>
      <c r="S232">
        <f t="shared" si="30"/>
        <v>5</v>
      </c>
      <c r="T232">
        <f t="shared" si="30"/>
        <v>0</v>
      </c>
    </row>
    <row r="233" spans="1:20" ht="16.5" x14ac:dyDescent="0.25">
      <c r="A233" s="10" t="str">
        <f>'Long Sample Name'!A229</f>
        <v>Sample 3065m: 10% Siltstone, 90% very fine to medium Sandstone, 100% bright FLUOR in SST. TG 40.4U</v>
      </c>
      <c r="B233" s="1" t="str">
        <f ca="1">'Input Sheet'!K246</f>
        <v/>
      </c>
      <c r="C233" s="7" t="str">
        <f ca="1">'Input Sheet'!L246</f>
        <v/>
      </c>
      <c r="D233" s="11">
        <f>'Input Sheet'!B246</f>
        <v>3065</v>
      </c>
      <c r="E233" s="8">
        <f>'Input Sheet'!H246</f>
        <v>40.4</v>
      </c>
      <c r="F233" s="61">
        <f>'Input Sheet'!C231/100</f>
        <v>1</v>
      </c>
      <c r="G233" s="61">
        <f>'Input Sheet'!F231/100</f>
        <v>1</v>
      </c>
      <c r="H233" s="2">
        <f t="shared" si="24"/>
        <v>5</v>
      </c>
      <c r="I233" s="2">
        <f t="shared" si="25"/>
        <v>5</v>
      </c>
      <c r="J233" s="60">
        <f t="shared" si="29"/>
        <v>5</v>
      </c>
      <c r="K233" s="2">
        <f t="shared" si="26"/>
        <v>5</v>
      </c>
      <c r="L233" s="2">
        <f t="shared" si="27"/>
        <v>5</v>
      </c>
      <c r="M233" s="2" t="str">
        <f>'Input Sheet'!E246</f>
        <v>M</v>
      </c>
      <c r="N233" s="2">
        <f t="shared" si="28"/>
        <v>3</v>
      </c>
      <c r="P233">
        <f t="shared" si="30"/>
        <v>0</v>
      </c>
      <c r="Q233">
        <f t="shared" si="30"/>
        <v>0</v>
      </c>
      <c r="R233">
        <f t="shared" si="30"/>
        <v>5</v>
      </c>
      <c r="S233">
        <f t="shared" si="30"/>
        <v>0</v>
      </c>
      <c r="T233">
        <f t="shared" si="30"/>
        <v>0</v>
      </c>
    </row>
    <row r="234" spans="1:20" ht="16.5" x14ac:dyDescent="0.25">
      <c r="A234" s="10" t="str">
        <f>'Long Sample Name'!A230</f>
        <v>Sample 3070m: 10% Siltstone, 90% very fine to medium Sandstone, 100% bright FLUOR in SST. TG 95U</v>
      </c>
      <c r="B234" s="1" t="str">
        <f ca="1">'Input Sheet'!K247</f>
        <v/>
      </c>
      <c r="C234" s="7" t="str">
        <f ca="1">'Input Sheet'!L247</f>
        <v/>
      </c>
      <c r="D234" s="11">
        <f>'Input Sheet'!B247</f>
        <v>3070</v>
      </c>
      <c r="E234" s="8">
        <f>'Input Sheet'!H247</f>
        <v>95</v>
      </c>
      <c r="F234" s="61">
        <f>'Input Sheet'!C232/100</f>
        <v>0.95</v>
      </c>
      <c r="G234" s="61">
        <f>'Input Sheet'!F232/100</f>
        <v>1</v>
      </c>
      <c r="H234" s="2">
        <f t="shared" si="24"/>
        <v>5</v>
      </c>
      <c r="I234" s="2">
        <f t="shared" si="25"/>
        <v>5</v>
      </c>
      <c r="J234" s="60">
        <f t="shared" si="29"/>
        <v>4.75</v>
      </c>
      <c r="K234" s="2">
        <f t="shared" si="26"/>
        <v>5</v>
      </c>
      <c r="L234" s="2">
        <f t="shared" si="27"/>
        <v>4.75</v>
      </c>
      <c r="M234" s="2" t="str">
        <f>'Input Sheet'!E247</f>
        <v>M</v>
      </c>
      <c r="N234" s="2">
        <f t="shared" si="28"/>
        <v>3</v>
      </c>
      <c r="P234">
        <f t="shared" si="30"/>
        <v>0</v>
      </c>
      <c r="Q234">
        <f t="shared" si="30"/>
        <v>0</v>
      </c>
      <c r="R234">
        <f t="shared" si="30"/>
        <v>5</v>
      </c>
      <c r="S234">
        <f t="shared" si="30"/>
        <v>0</v>
      </c>
      <c r="T234">
        <f t="shared" si="30"/>
        <v>0</v>
      </c>
    </row>
    <row r="235" spans="1:20" ht="16.5" x14ac:dyDescent="0.25">
      <c r="A235" s="10" t="str">
        <f>'Long Sample Name'!A231</f>
        <v>Sample 3075m: 0% Siltstone, 100% fine to medium, rare coarse Sandstone, 100% bright FLUOR in SST. TG 99.7U</v>
      </c>
      <c r="B235" s="1" t="str">
        <f ca="1">'Input Sheet'!K248</f>
        <v/>
      </c>
      <c r="C235" s="7" t="str">
        <f ca="1">'Input Sheet'!L248</f>
        <v/>
      </c>
      <c r="D235" s="11">
        <f>'Input Sheet'!B248</f>
        <v>3075</v>
      </c>
      <c r="E235" s="8">
        <f>'Input Sheet'!H248</f>
        <v>99.7</v>
      </c>
      <c r="F235" s="61">
        <f>'Input Sheet'!C233/100</f>
        <v>0.95</v>
      </c>
      <c r="G235" s="61">
        <f>'Input Sheet'!F233/100</f>
        <v>1</v>
      </c>
      <c r="H235" s="2">
        <f t="shared" si="24"/>
        <v>5</v>
      </c>
      <c r="I235" s="2">
        <f t="shared" si="25"/>
        <v>5</v>
      </c>
      <c r="J235" s="60">
        <f t="shared" si="29"/>
        <v>4.75</v>
      </c>
      <c r="K235" s="2">
        <f t="shared" si="26"/>
        <v>5</v>
      </c>
      <c r="L235" s="2">
        <f t="shared" si="27"/>
        <v>4.75</v>
      </c>
      <c r="M235" s="2" t="str">
        <f>'Input Sheet'!E248</f>
        <v>C</v>
      </c>
      <c r="N235" s="2">
        <f t="shared" si="28"/>
        <v>4</v>
      </c>
      <c r="P235">
        <f t="shared" si="30"/>
        <v>0</v>
      </c>
      <c r="Q235">
        <f t="shared" si="30"/>
        <v>0</v>
      </c>
      <c r="R235">
        <f t="shared" si="30"/>
        <v>0</v>
      </c>
      <c r="S235">
        <f t="shared" si="30"/>
        <v>5</v>
      </c>
      <c r="T235">
        <f t="shared" si="30"/>
        <v>0</v>
      </c>
    </row>
    <row r="236" spans="1:20" ht="16.5" x14ac:dyDescent="0.25">
      <c r="A236" s="10" t="str">
        <f>'Long Sample Name'!A232</f>
        <v>Sample 3080m: 0% Siltstone, 100% fine to medium, rare coarse Sandstone, 100% bright FLUOR in SST. TG 73.4U</v>
      </c>
      <c r="B236" s="1" t="str">
        <f ca="1">'Input Sheet'!K249</f>
        <v/>
      </c>
      <c r="C236" s="7" t="str">
        <f ca="1">'Input Sheet'!L249</f>
        <v/>
      </c>
      <c r="D236" s="11">
        <f>'Input Sheet'!B249</f>
        <v>3080</v>
      </c>
      <c r="E236" s="8">
        <f>'Input Sheet'!H249</f>
        <v>73.400000000000006</v>
      </c>
      <c r="F236" s="61">
        <f>'Input Sheet'!C234/100</f>
        <v>0.95</v>
      </c>
      <c r="G236" s="61">
        <f>'Input Sheet'!F234/100</f>
        <v>1</v>
      </c>
      <c r="H236" s="2">
        <f t="shared" si="24"/>
        <v>5</v>
      </c>
      <c r="I236" s="2">
        <f t="shared" si="25"/>
        <v>5</v>
      </c>
      <c r="J236" s="60">
        <f t="shared" si="29"/>
        <v>4.75</v>
      </c>
      <c r="K236" s="2">
        <f t="shared" si="26"/>
        <v>5</v>
      </c>
      <c r="L236" s="2">
        <f t="shared" si="27"/>
        <v>4.75</v>
      </c>
      <c r="M236" s="2" t="str">
        <f>'Input Sheet'!E249</f>
        <v>C</v>
      </c>
      <c r="N236" s="2">
        <f t="shared" si="28"/>
        <v>4</v>
      </c>
      <c r="P236">
        <f t="shared" si="30"/>
        <v>0</v>
      </c>
      <c r="Q236">
        <f t="shared" si="30"/>
        <v>0</v>
      </c>
      <c r="R236">
        <f t="shared" si="30"/>
        <v>0</v>
      </c>
      <c r="S236">
        <f t="shared" si="30"/>
        <v>5</v>
      </c>
      <c r="T236">
        <f t="shared" si="30"/>
        <v>0</v>
      </c>
    </row>
    <row r="237" spans="1:20" ht="16.5" x14ac:dyDescent="0.25">
      <c r="A237" s="10" t="str">
        <f>'Long Sample Name'!A233</f>
        <v>Sample 3085m: 5% Siltstone, 95% fine to coarse Sandstone, 100% bright FLUOR in SST. TG 66.6U</v>
      </c>
      <c r="B237" s="1" t="str">
        <f ca="1">'Input Sheet'!K250</f>
        <v/>
      </c>
      <c r="C237" s="7" t="str">
        <f ca="1">'Input Sheet'!L250</f>
        <v/>
      </c>
      <c r="D237" s="11">
        <f>'Input Sheet'!B250</f>
        <v>3085</v>
      </c>
      <c r="E237" s="8">
        <f>'Input Sheet'!H250</f>
        <v>66.599999999999994</v>
      </c>
      <c r="F237" s="61">
        <f>'Input Sheet'!C235/100</f>
        <v>0.95</v>
      </c>
      <c r="G237" s="61">
        <f>'Input Sheet'!F235/100</f>
        <v>1</v>
      </c>
      <c r="H237" s="2">
        <f t="shared" si="24"/>
        <v>5</v>
      </c>
      <c r="I237" s="2">
        <f t="shared" si="25"/>
        <v>5</v>
      </c>
      <c r="J237" s="60">
        <f t="shared" si="29"/>
        <v>4.75</v>
      </c>
      <c r="K237" s="2">
        <f t="shared" si="26"/>
        <v>5</v>
      </c>
      <c r="L237" s="2">
        <f t="shared" si="27"/>
        <v>4.75</v>
      </c>
      <c r="M237" s="2" t="str">
        <f>'Input Sheet'!E250</f>
        <v>C</v>
      </c>
      <c r="N237" s="2">
        <f t="shared" si="28"/>
        <v>4</v>
      </c>
      <c r="P237">
        <f t="shared" si="30"/>
        <v>0</v>
      </c>
      <c r="Q237">
        <f t="shared" si="30"/>
        <v>0</v>
      </c>
      <c r="R237">
        <f t="shared" si="30"/>
        <v>0</v>
      </c>
      <c r="S237">
        <f t="shared" si="30"/>
        <v>5</v>
      </c>
      <c r="T237">
        <f t="shared" si="30"/>
        <v>0</v>
      </c>
    </row>
    <row r="238" spans="1:20" ht="16.5" x14ac:dyDescent="0.25">
      <c r="A238" s="10" t="str">
        <f>'Long Sample Name'!A234</f>
        <v>Sample 3090m: 5% Siltstone, 95% fine to coarse Sandstone, 100% bright FLUOR in SST. TG 109.2U</v>
      </c>
      <c r="B238" s="1" t="str">
        <f ca="1">'Input Sheet'!K251</f>
        <v/>
      </c>
      <c r="C238" s="7" t="str">
        <f ca="1">'Input Sheet'!L251</f>
        <v/>
      </c>
      <c r="D238" s="11">
        <f>'Input Sheet'!B251</f>
        <v>3090</v>
      </c>
      <c r="E238" s="8">
        <f>'Input Sheet'!H251</f>
        <v>109.2</v>
      </c>
      <c r="F238" s="61">
        <f>'Input Sheet'!C236/100</f>
        <v>0.95</v>
      </c>
      <c r="G238" s="61">
        <f>'Input Sheet'!F236/100</f>
        <v>1</v>
      </c>
      <c r="H238" s="2">
        <f t="shared" si="24"/>
        <v>5</v>
      </c>
      <c r="I238" s="2">
        <f t="shared" si="25"/>
        <v>5</v>
      </c>
      <c r="J238" s="60">
        <f t="shared" si="29"/>
        <v>4.75</v>
      </c>
      <c r="K238" s="2">
        <f t="shared" si="26"/>
        <v>5</v>
      </c>
      <c r="L238" s="2">
        <f t="shared" si="27"/>
        <v>4.75</v>
      </c>
      <c r="M238" s="2" t="str">
        <f>'Input Sheet'!E251</f>
        <v>C</v>
      </c>
      <c r="N238" s="2">
        <f t="shared" si="28"/>
        <v>4</v>
      </c>
      <c r="P238">
        <f t="shared" si="30"/>
        <v>0</v>
      </c>
      <c r="Q238">
        <f t="shared" si="30"/>
        <v>0</v>
      </c>
      <c r="R238">
        <f t="shared" si="30"/>
        <v>0</v>
      </c>
      <c r="S238">
        <f t="shared" si="30"/>
        <v>5</v>
      </c>
      <c r="T238">
        <f t="shared" si="30"/>
        <v>0</v>
      </c>
    </row>
    <row r="239" spans="1:20" ht="16.5" x14ac:dyDescent="0.25">
      <c r="A239" s="10" t="str">
        <f>'Long Sample Name'!A235</f>
        <v>Sample 3095m: 5% Siltstone, 95% fine to medium, rare coarse Sandstone, 100% bright FLUOR in SST. TG 146.8U</v>
      </c>
      <c r="B239" s="1" t="str">
        <f ca="1">'Input Sheet'!K252</f>
        <v/>
      </c>
      <c r="C239" s="7" t="str">
        <f ca="1">'Input Sheet'!L252</f>
        <v/>
      </c>
      <c r="D239" s="11">
        <f>'Input Sheet'!B252</f>
        <v>3095</v>
      </c>
      <c r="E239" s="8">
        <f>'Input Sheet'!H252</f>
        <v>146.80000000000001</v>
      </c>
      <c r="F239" s="61">
        <f>'Input Sheet'!C237/100</f>
        <v>0.95</v>
      </c>
      <c r="G239" s="61">
        <f>'Input Sheet'!F237/100</f>
        <v>1</v>
      </c>
      <c r="H239" s="2">
        <f t="shared" si="24"/>
        <v>5</v>
      </c>
      <c r="I239" s="2">
        <f t="shared" si="25"/>
        <v>5</v>
      </c>
      <c r="J239" s="60">
        <f t="shared" si="29"/>
        <v>4.75</v>
      </c>
      <c r="K239" s="2">
        <f t="shared" si="26"/>
        <v>5</v>
      </c>
      <c r="L239" s="2">
        <f t="shared" si="27"/>
        <v>4.75</v>
      </c>
      <c r="M239" s="2" t="str">
        <f>'Input Sheet'!E252</f>
        <v>C</v>
      </c>
      <c r="N239" s="2">
        <f t="shared" si="28"/>
        <v>4</v>
      </c>
      <c r="P239">
        <f t="shared" si="30"/>
        <v>0</v>
      </c>
      <c r="Q239">
        <f t="shared" si="30"/>
        <v>0</v>
      </c>
      <c r="R239">
        <f t="shared" si="30"/>
        <v>0</v>
      </c>
      <c r="S239">
        <f t="shared" si="30"/>
        <v>5</v>
      </c>
      <c r="T239">
        <f t="shared" si="30"/>
        <v>0</v>
      </c>
    </row>
    <row r="240" spans="1:20" ht="16.5" x14ac:dyDescent="0.25">
      <c r="A240" s="10" t="str">
        <f>'Long Sample Name'!A236</f>
        <v>Sample 3100m: 5% Siltstone, 95% fine to medium, rare coarse Sandstone, 100% bright FLUOR in SST. TG 137.7U</v>
      </c>
      <c r="B240" s="1" t="str">
        <f ca="1">'Input Sheet'!K253</f>
        <v/>
      </c>
      <c r="C240" s="7" t="str">
        <f ca="1">'Input Sheet'!L253</f>
        <v/>
      </c>
      <c r="D240" s="11">
        <f>'Input Sheet'!B253</f>
        <v>3100</v>
      </c>
      <c r="E240" s="8">
        <f>'Input Sheet'!H253</f>
        <v>137.69999999999999</v>
      </c>
      <c r="F240" s="61">
        <f>'Input Sheet'!C238/100</f>
        <v>0.95</v>
      </c>
      <c r="G240" s="61">
        <f>'Input Sheet'!F238/100</f>
        <v>1</v>
      </c>
      <c r="H240" s="2">
        <f t="shared" si="24"/>
        <v>5</v>
      </c>
      <c r="I240" s="2">
        <f t="shared" si="25"/>
        <v>5</v>
      </c>
      <c r="J240" s="60">
        <f t="shared" si="29"/>
        <v>4.75</v>
      </c>
      <c r="K240" s="2">
        <f t="shared" si="26"/>
        <v>5</v>
      </c>
      <c r="L240" s="2">
        <f t="shared" si="27"/>
        <v>4.75</v>
      </c>
      <c r="M240" s="2" t="str">
        <f>'Input Sheet'!E253</f>
        <v>C</v>
      </c>
      <c r="N240" s="2">
        <f t="shared" si="28"/>
        <v>4</v>
      </c>
      <c r="P240">
        <f t="shared" si="30"/>
        <v>0</v>
      </c>
      <c r="Q240">
        <f t="shared" si="30"/>
        <v>0</v>
      </c>
      <c r="R240">
        <f t="shared" si="30"/>
        <v>0</v>
      </c>
      <c r="S240">
        <f t="shared" si="30"/>
        <v>5</v>
      </c>
      <c r="T240">
        <f t="shared" si="30"/>
        <v>0</v>
      </c>
    </row>
    <row r="241" spans="1:20" ht="16.5" x14ac:dyDescent="0.25">
      <c r="A241" s="10" t="str">
        <f>'Long Sample Name'!A237</f>
        <v>Sample 3105m: 10% Siltstone, 90% fine to coarse Sandstone, 100% bright FLUOR in SST. TG 110.1U</v>
      </c>
      <c r="B241" s="1" t="str">
        <f ca="1">'Input Sheet'!K254</f>
        <v/>
      </c>
      <c r="C241" s="7" t="str">
        <f ca="1">'Input Sheet'!L254</f>
        <v/>
      </c>
      <c r="D241" s="11">
        <f>'Input Sheet'!B254</f>
        <v>3105</v>
      </c>
      <c r="E241" s="8">
        <f>'Input Sheet'!H254</f>
        <v>110.1</v>
      </c>
      <c r="F241" s="61">
        <f>'Input Sheet'!C239/100</f>
        <v>0.95</v>
      </c>
      <c r="G241" s="61">
        <f>'Input Sheet'!F239/100</f>
        <v>1</v>
      </c>
      <c r="H241" s="2">
        <f t="shared" si="24"/>
        <v>5</v>
      </c>
      <c r="I241" s="2">
        <f t="shared" si="25"/>
        <v>5</v>
      </c>
      <c r="J241" s="60">
        <f t="shared" si="29"/>
        <v>4.75</v>
      </c>
      <c r="K241" s="2">
        <f t="shared" si="26"/>
        <v>5</v>
      </c>
      <c r="L241" s="2">
        <f t="shared" si="27"/>
        <v>4.75</v>
      </c>
      <c r="M241" s="2" t="str">
        <f>'Input Sheet'!E254</f>
        <v>C</v>
      </c>
      <c r="N241" s="2">
        <f t="shared" si="28"/>
        <v>4</v>
      </c>
      <c r="P241">
        <f t="shared" si="30"/>
        <v>0</v>
      </c>
      <c r="Q241">
        <f t="shared" si="30"/>
        <v>0</v>
      </c>
      <c r="R241">
        <f t="shared" si="30"/>
        <v>0</v>
      </c>
      <c r="S241">
        <f t="shared" si="30"/>
        <v>5</v>
      </c>
      <c r="T241">
        <f t="shared" si="30"/>
        <v>0</v>
      </c>
    </row>
    <row r="242" spans="1:20" ht="16.5" x14ac:dyDescent="0.25">
      <c r="A242" s="10" t="str">
        <f>'Long Sample Name'!A238</f>
        <v>Sample 3110m: 10% Siltstone, 90% fine to coarse Sandstone, 100% bright FLUOR in SST. TG 130.4U</v>
      </c>
      <c r="B242" s="1" t="str">
        <f ca="1">'Input Sheet'!K255</f>
        <v/>
      </c>
      <c r="C242" s="7" t="str">
        <f ca="1">'Input Sheet'!L255</f>
        <v/>
      </c>
      <c r="D242" s="11">
        <f>'Input Sheet'!B255</f>
        <v>3110</v>
      </c>
      <c r="E242" s="8">
        <f>'Input Sheet'!H255</f>
        <v>130.4</v>
      </c>
      <c r="F242" s="61">
        <f>'Input Sheet'!C240/100</f>
        <v>1</v>
      </c>
      <c r="G242" s="61">
        <f>'Input Sheet'!F240/100</f>
        <v>1</v>
      </c>
      <c r="H242" s="2">
        <f t="shared" si="24"/>
        <v>5</v>
      </c>
      <c r="I242" s="2">
        <f t="shared" si="25"/>
        <v>5</v>
      </c>
      <c r="J242" s="60">
        <f t="shared" si="29"/>
        <v>5</v>
      </c>
      <c r="K242" s="2">
        <f t="shared" si="26"/>
        <v>5</v>
      </c>
      <c r="L242" s="2">
        <f t="shared" si="27"/>
        <v>5</v>
      </c>
      <c r="M242" s="2" t="str">
        <f>'Input Sheet'!E255</f>
        <v>C</v>
      </c>
      <c r="N242" s="2">
        <f t="shared" si="28"/>
        <v>4</v>
      </c>
      <c r="P242">
        <f t="shared" si="30"/>
        <v>0</v>
      </c>
      <c r="Q242">
        <f t="shared" si="30"/>
        <v>0</v>
      </c>
      <c r="R242">
        <f t="shared" si="30"/>
        <v>0</v>
      </c>
      <c r="S242">
        <f t="shared" si="30"/>
        <v>5</v>
      </c>
      <c r="T242">
        <f t="shared" si="30"/>
        <v>0</v>
      </c>
    </row>
    <row r="243" spans="1:20" ht="16.5" x14ac:dyDescent="0.25">
      <c r="A243" s="10" t="str">
        <f>'Long Sample Name'!A239</f>
        <v>Sample 3115m: 5% Siltstone, 95% fine to medium, rare coarse Sandstone, 100% bright FLUOR in SST. TG 120.9U</v>
      </c>
      <c r="B243" s="1" t="str">
        <f ca="1">'Input Sheet'!K256</f>
        <v/>
      </c>
      <c r="C243" s="7" t="str">
        <f ca="1">'Input Sheet'!L256</f>
        <v/>
      </c>
      <c r="D243" s="11">
        <f>'Input Sheet'!B256</f>
        <v>3115</v>
      </c>
      <c r="E243" s="8">
        <f>'Input Sheet'!H256</f>
        <v>120.9</v>
      </c>
      <c r="F243" s="61">
        <f>'Input Sheet'!C241/100</f>
        <v>1</v>
      </c>
      <c r="G243" s="61">
        <f>'Input Sheet'!F241/100</f>
        <v>1</v>
      </c>
      <c r="H243" s="2">
        <f t="shared" si="24"/>
        <v>5</v>
      </c>
      <c r="I243" s="2">
        <f t="shared" si="25"/>
        <v>5</v>
      </c>
      <c r="J243" s="60">
        <f t="shared" si="29"/>
        <v>5</v>
      </c>
      <c r="K243" s="2">
        <f t="shared" si="26"/>
        <v>5</v>
      </c>
      <c r="L243" s="2">
        <f t="shared" si="27"/>
        <v>5</v>
      </c>
      <c r="M243" s="2" t="str">
        <f>'Input Sheet'!E256</f>
        <v>C</v>
      </c>
      <c r="N243" s="2">
        <f t="shared" si="28"/>
        <v>4</v>
      </c>
      <c r="P243">
        <f t="shared" si="30"/>
        <v>0</v>
      </c>
      <c r="Q243">
        <f t="shared" si="30"/>
        <v>0</v>
      </c>
      <c r="R243">
        <f t="shared" si="30"/>
        <v>0</v>
      </c>
      <c r="S243">
        <f t="shared" si="30"/>
        <v>5</v>
      </c>
      <c r="T243">
        <f t="shared" si="30"/>
        <v>0</v>
      </c>
    </row>
    <row r="244" spans="1:20" ht="16.5" x14ac:dyDescent="0.25">
      <c r="A244" s="10" t="str">
        <f>'Long Sample Name'!A240</f>
        <v>Sample 3120m: 5% Siltstone, 95% fine to medium, rare coarse Sandstone, 100% bright FLUOR in SST. TG 142.6U</v>
      </c>
      <c r="B244" s="1" t="str">
        <f ca="1">'Input Sheet'!K257</f>
        <v/>
      </c>
      <c r="C244" s="7" t="str">
        <f ca="1">'Input Sheet'!L257</f>
        <v/>
      </c>
      <c r="D244" s="11">
        <f>'Input Sheet'!B257</f>
        <v>3120</v>
      </c>
      <c r="E244" s="8">
        <f>'Input Sheet'!H257</f>
        <v>142.6</v>
      </c>
      <c r="F244" s="61">
        <f>'Input Sheet'!C242/100</f>
        <v>1</v>
      </c>
      <c r="G244" s="61">
        <f>'Input Sheet'!F242/100</f>
        <v>1</v>
      </c>
      <c r="H244" s="2">
        <f t="shared" si="24"/>
        <v>5</v>
      </c>
      <c r="I244" s="2">
        <f t="shared" si="25"/>
        <v>5</v>
      </c>
      <c r="J244" s="60">
        <f t="shared" si="29"/>
        <v>5</v>
      </c>
      <c r="K244" s="2">
        <f t="shared" si="26"/>
        <v>5</v>
      </c>
      <c r="L244" s="2">
        <f t="shared" si="27"/>
        <v>5</v>
      </c>
      <c r="M244" s="2" t="str">
        <f>'Input Sheet'!E257</f>
        <v>C</v>
      </c>
      <c r="N244" s="2">
        <f t="shared" si="28"/>
        <v>4</v>
      </c>
      <c r="P244">
        <f t="shared" si="30"/>
        <v>0</v>
      </c>
      <c r="Q244">
        <f t="shared" si="30"/>
        <v>0</v>
      </c>
      <c r="R244">
        <f t="shared" si="30"/>
        <v>0</v>
      </c>
      <c r="S244">
        <f t="shared" si="30"/>
        <v>5</v>
      </c>
      <c r="T244">
        <f t="shared" si="30"/>
        <v>0</v>
      </c>
    </row>
    <row r="245" spans="1:20" ht="16.5" x14ac:dyDescent="0.25">
      <c r="A245" s="10" t="str">
        <f>'Long Sample Name'!A241</f>
        <v>Sample 3125m: 5% Siltstone, 95% fine to coarse Sandstone, 100% bright FLUOR in SST. TG 119.8U</v>
      </c>
      <c r="B245" s="1" t="str">
        <f ca="1">'Input Sheet'!K258</f>
        <v/>
      </c>
      <c r="C245" s="7" t="str">
        <f ca="1">'Input Sheet'!L258</f>
        <v/>
      </c>
      <c r="D245" s="11">
        <f>'Input Sheet'!B258</f>
        <v>3125</v>
      </c>
      <c r="E245" s="8">
        <f>'Input Sheet'!H258</f>
        <v>119.8</v>
      </c>
      <c r="F245" s="61">
        <f>'Input Sheet'!C243/100</f>
        <v>1</v>
      </c>
      <c r="G245" s="61">
        <f>'Input Sheet'!F243/100</f>
        <v>1</v>
      </c>
      <c r="H245" s="2">
        <f t="shared" si="24"/>
        <v>5</v>
      </c>
      <c r="I245" s="2">
        <f t="shared" si="25"/>
        <v>5</v>
      </c>
      <c r="J245" s="60">
        <f t="shared" si="29"/>
        <v>5</v>
      </c>
      <c r="K245" s="2">
        <f t="shared" si="26"/>
        <v>5</v>
      </c>
      <c r="L245" s="2">
        <f t="shared" si="27"/>
        <v>5</v>
      </c>
      <c r="M245" s="2" t="str">
        <f>'Input Sheet'!E258</f>
        <v>C</v>
      </c>
      <c r="N245" s="2">
        <f t="shared" si="28"/>
        <v>4</v>
      </c>
      <c r="P245">
        <f t="shared" si="30"/>
        <v>0</v>
      </c>
      <c r="Q245">
        <f t="shared" si="30"/>
        <v>0</v>
      </c>
      <c r="R245">
        <f t="shared" si="30"/>
        <v>0</v>
      </c>
      <c r="S245">
        <f t="shared" si="30"/>
        <v>5</v>
      </c>
      <c r="T245">
        <f t="shared" si="30"/>
        <v>0</v>
      </c>
    </row>
    <row r="246" spans="1:20" ht="16.5" x14ac:dyDescent="0.25">
      <c r="A246" s="10" t="str">
        <f>'Long Sample Name'!A242</f>
        <v>Sample 3130m: 5% Siltstone, 95% fine to coarse Sandstone, 100% bright FLUOR in SST. TG 142.5U</v>
      </c>
      <c r="B246" s="1" t="str">
        <f ca="1">'Input Sheet'!K259</f>
        <v/>
      </c>
      <c r="C246" s="7" t="str">
        <f ca="1">'Input Sheet'!L259</f>
        <v/>
      </c>
      <c r="D246" s="11">
        <f>'Input Sheet'!B259</f>
        <v>3130</v>
      </c>
      <c r="E246" s="8">
        <f>'Input Sheet'!H259</f>
        <v>142.5</v>
      </c>
      <c r="F246" s="61">
        <f>'Input Sheet'!C244/100</f>
        <v>0.95</v>
      </c>
      <c r="G246" s="61">
        <f>'Input Sheet'!F244/100</f>
        <v>1</v>
      </c>
      <c r="H246" s="2">
        <f t="shared" si="24"/>
        <v>5</v>
      </c>
      <c r="I246" s="2">
        <f t="shared" si="25"/>
        <v>5</v>
      </c>
      <c r="J246" s="60">
        <f t="shared" si="29"/>
        <v>4.75</v>
      </c>
      <c r="K246" s="2">
        <f t="shared" si="26"/>
        <v>5</v>
      </c>
      <c r="L246" s="2">
        <f t="shared" si="27"/>
        <v>4.75</v>
      </c>
      <c r="M246" s="2" t="str">
        <f>'Input Sheet'!E259</f>
        <v>C</v>
      </c>
      <c r="N246" s="2">
        <f t="shared" si="28"/>
        <v>4</v>
      </c>
      <c r="P246">
        <f t="shared" si="30"/>
        <v>0</v>
      </c>
      <c r="Q246">
        <f t="shared" si="30"/>
        <v>0</v>
      </c>
      <c r="R246">
        <f t="shared" si="30"/>
        <v>0</v>
      </c>
      <c r="S246">
        <f t="shared" si="30"/>
        <v>5</v>
      </c>
      <c r="T246">
        <f t="shared" si="30"/>
        <v>0</v>
      </c>
    </row>
    <row r="247" spans="1:20" ht="16.5" x14ac:dyDescent="0.25">
      <c r="A247" s="10" t="str">
        <f>'Long Sample Name'!A243</f>
        <v>Sample 3135m: 5% Siltstone, 95% fine to medium, rare coarse Sandstone, 100% bright FLUOR in SST. TG 150.3U</v>
      </c>
      <c r="B247" s="1" t="str">
        <f ca="1">'Input Sheet'!K260</f>
        <v/>
      </c>
      <c r="C247" s="7" t="str">
        <f ca="1">'Input Sheet'!L260</f>
        <v/>
      </c>
      <c r="D247" s="11">
        <f>'Input Sheet'!B260</f>
        <v>3135</v>
      </c>
      <c r="E247" s="8">
        <f>'Input Sheet'!H260</f>
        <v>150.30000000000001</v>
      </c>
      <c r="F247" s="61">
        <f>'Input Sheet'!C245/100</f>
        <v>0.95</v>
      </c>
      <c r="G247" s="61">
        <f>'Input Sheet'!F245/100</f>
        <v>1</v>
      </c>
      <c r="H247" s="2">
        <f t="shared" si="24"/>
        <v>5</v>
      </c>
      <c r="I247" s="2">
        <f t="shared" si="25"/>
        <v>5</v>
      </c>
      <c r="J247" s="60">
        <f t="shared" si="29"/>
        <v>4.75</v>
      </c>
      <c r="K247" s="2">
        <f t="shared" si="26"/>
        <v>5</v>
      </c>
      <c r="L247" s="2">
        <f t="shared" si="27"/>
        <v>4.75</v>
      </c>
      <c r="M247" s="2" t="str">
        <f>'Input Sheet'!E260</f>
        <v>C</v>
      </c>
      <c r="N247" s="2">
        <f t="shared" si="28"/>
        <v>4</v>
      </c>
      <c r="P247">
        <f t="shared" si="30"/>
        <v>0</v>
      </c>
      <c r="Q247">
        <f t="shared" si="30"/>
        <v>0</v>
      </c>
      <c r="R247">
        <f t="shared" si="30"/>
        <v>0</v>
      </c>
      <c r="S247">
        <f t="shared" si="30"/>
        <v>5</v>
      </c>
      <c r="T247">
        <f t="shared" si="30"/>
        <v>0</v>
      </c>
    </row>
    <row r="248" spans="1:20" ht="16.5" x14ac:dyDescent="0.25">
      <c r="A248" s="10" t="str">
        <f>'Long Sample Name'!A244</f>
        <v>Sample 3140m: 5% Siltstone, 95% fine to medium, rare coarse Sandstone, 100% bright FLUOR in SST. TG 145.3U</v>
      </c>
      <c r="B248" s="1" t="str">
        <f ca="1">'Input Sheet'!K261</f>
        <v/>
      </c>
      <c r="C248" s="7" t="str">
        <f ca="1">'Input Sheet'!L261</f>
        <v/>
      </c>
      <c r="D248" s="11">
        <f>'Input Sheet'!B261</f>
        <v>3140</v>
      </c>
      <c r="E248" s="8">
        <f>'Input Sheet'!H261</f>
        <v>145.30000000000001</v>
      </c>
      <c r="F248" s="61">
        <f>'Input Sheet'!C246/100</f>
        <v>0.9</v>
      </c>
      <c r="G248" s="61">
        <f>'Input Sheet'!F246/100</f>
        <v>1</v>
      </c>
      <c r="H248" s="2">
        <f t="shared" si="24"/>
        <v>5</v>
      </c>
      <c r="I248" s="2">
        <f t="shared" si="25"/>
        <v>5</v>
      </c>
      <c r="J248" s="60">
        <f t="shared" si="29"/>
        <v>4.5</v>
      </c>
      <c r="K248" s="2">
        <f t="shared" si="26"/>
        <v>5</v>
      </c>
      <c r="L248" s="2">
        <f t="shared" si="27"/>
        <v>4.5</v>
      </c>
      <c r="M248" s="2" t="str">
        <f>'Input Sheet'!E261</f>
        <v>C</v>
      </c>
      <c r="N248" s="2">
        <f t="shared" si="28"/>
        <v>4</v>
      </c>
      <c r="P248">
        <f t="shared" si="30"/>
        <v>0</v>
      </c>
      <c r="Q248">
        <f t="shared" si="30"/>
        <v>0</v>
      </c>
      <c r="R248">
        <f t="shared" si="30"/>
        <v>0</v>
      </c>
      <c r="S248">
        <f t="shared" si="30"/>
        <v>5</v>
      </c>
      <c r="T248">
        <f t="shared" si="30"/>
        <v>0</v>
      </c>
    </row>
    <row r="249" spans="1:20" ht="16.5" x14ac:dyDescent="0.25">
      <c r="A249" s="10" t="str">
        <f>'Long Sample Name'!A245</f>
        <v>Sample 3145m: 5% Siltstone, 95% fine to coarse Sandstone, 100% bright FLUOR in SST. TG 126.4U</v>
      </c>
      <c r="B249" s="1" t="str">
        <f ca="1">'Input Sheet'!K262</f>
        <v/>
      </c>
      <c r="C249" s="7" t="str">
        <f ca="1">'Input Sheet'!L262</f>
        <v/>
      </c>
      <c r="D249" s="11">
        <f>'Input Sheet'!B262</f>
        <v>3145</v>
      </c>
      <c r="E249" s="8">
        <f>'Input Sheet'!H262</f>
        <v>126.4</v>
      </c>
      <c r="F249" s="61">
        <f>'Input Sheet'!C247/100</f>
        <v>0.9</v>
      </c>
      <c r="G249" s="61">
        <f>'Input Sheet'!F247/100</f>
        <v>1</v>
      </c>
      <c r="H249" s="2">
        <f t="shared" si="24"/>
        <v>5</v>
      </c>
      <c r="I249" s="2">
        <f t="shared" si="25"/>
        <v>5</v>
      </c>
      <c r="J249" s="60">
        <f t="shared" si="29"/>
        <v>4.5</v>
      </c>
      <c r="K249" s="2">
        <f t="shared" si="26"/>
        <v>5</v>
      </c>
      <c r="L249" s="2">
        <f t="shared" si="27"/>
        <v>4.5</v>
      </c>
      <c r="M249" s="2" t="str">
        <f>'Input Sheet'!E262</f>
        <v>C</v>
      </c>
      <c r="N249" s="2">
        <f t="shared" si="28"/>
        <v>4</v>
      </c>
      <c r="P249">
        <f t="shared" si="30"/>
        <v>0</v>
      </c>
      <c r="Q249">
        <f t="shared" si="30"/>
        <v>0</v>
      </c>
      <c r="R249">
        <f t="shared" si="30"/>
        <v>0</v>
      </c>
      <c r="S249">
        <f t="shared" si="30"/>
        <v>5</v>
      </c>
      <c r="T249">
        <f t="shared" si="30"/>
        <v>0</v>
      </c>
    </row>
    <row r="250" spans="1:20" ht="16.5" x14ac:dyDescent="0.25">
      <c r="A250" s="10" t="str">
        <f>'Long Sample Name'!A246</f>
        <v>Sample 3150m: 5% Siltstone, 95% fine to coarse Sandstone, 100% bright FLUOR in SST. TG 159.2U</v>
      </c>
      <c r="B250" s="1" t="str">
        <f ca="1">'Input Sheet'!K263</f>
        <v/>
      </c>
      <c r="C250" s="7" t="str">
        <f ca="1">'Input Sheet'!L263</f>
        <v/>
      </c>
      <c r="D250" s="11">
        <f>'Input Sheet'!B263</f>
        <v>3150</v>
      </c>
      <c r="E250" s="8">
        <f>'Input Sheet'!H263</f>
        <v>159.19999999999999</v>
      </c>
      <c r="F250" s="61">
        <f>'Input Sheet'!C248/100</f>
        <v>1</v>
      </c>
      <c r="G250" s="61">
        <f>'Input Sheet'!F248/100</f>
        <v>1</v>
      </c>
      <c r="H250" s="2">
        <f t="shared" ref="H250:H313" si="31">IF(D250&lt;&gt;"",D250-D249,"")</f>
        <v>5</v>
      </c>
      <c r="I250" s="2">
        <f t="shared" ref="I250:I313" si="32">IF(AND(F250&gt;=$F$2,G250&gt;=$G$2),H250,0)</f>
        <v>5</v>
      </c>
      <c r="J250" s="60">
        <f t="shared" si="29"/>
        <v>5</v>
      </c>
      <c r="K250" s="2">
        <f t="shared" ref="K250:K313" si="33">IF(AND(F250&gt;=$F$3,G250&gt;=$G$3),H250,0)</f>
        <v>5</v>
      </c>
      <c r="L250" s="2">
        <f t="shared" ref="L250:L313" si="34">IF(K250&gt;0,K250*F250,0)</f>
        <v>5</v>
      </c>
      <c r="M250" s="2" t="str">
        <f>'Input Sheet'!E263</f>
        <v>C</v>
      </c>
      <c r="N250" s="2">
        <f t="shared" ref="N250:N313" si="35">IF(M250="VF",1,IF(M250="F",2,IF(M250="M",3,IF(M250="C",4,IF(M250="VC",5,0)))))</f>
        <v>4</v>
      </c>
      <c r="P250">
        <f t="shared" si="30"/>
        <v>0</v>
      </c>
      <c r="Q250">
        <f t="shared" si="30"/>
        <v>0</v>
      </c>
      <c r="R250">
        <f t="shared" si="30"/>
        <v>0</v>
      </c>
      <c r="S250">
        <f t="shared" si="30"/>
        <v>5</v>
      </c>
      <c r="T250">
        <f t="shared" si="30"/>
        <v>0</v>
      </c>
    </row>
    <row r="251" spans="1:20" ht="16.5" x14ac:dyDescent="0.25">
      <c r="A251" s="10" t="str">
        <f>'Long Sample Name'!A247</f>
        <v>Sample 3155m: 0% Siltstone, 100% fine to coarse Sandstone, 100% bright FLUOR in SST. TG 171.6U</v>
      </c>
      <c r="B251" s="1" t="str">
        <f ca="1">'Input Sheet'!K264</f>
        <v/>
      </c>
      <c r="C251" s="7" t="str">
        <f ca="1">'Input Sheet'!L264</f>
        <v/>
      </c>
      <c r="D251" s="11">
        <f>'Input Sheet'!B264</f>
        <v>3155</v>
      </c>
      <c r="E251" s="8">
        <f>'Input Sheet'!H264</f>
        <v>171.6</v>
      </c>
      <c r="F251" s="61">
        <f>'Input Sheet'!C249/100</f>
        <v>1</v>
      </c>
      <c r="G251" s="61">
        <f>'Input Sheet'!F249/100</f>
        <v>1</v>
      </c>
      <c r="H251" s="2">
        <f t="shared" si="31"/>
        <v>5</v>
      </c>
      <c r="I251" s="2">
        <f t="shared" si="32"/>
        <v>5</v>
      </c>
      <c r="J251" s="60">
        <f t="shared" si="29"/>
        <v>5</v>
      </c>
      <c r="K251" s="2">
        <f t="shared" si="33"/>
        <v>5</v>
      </c>
      <c r="L251" s="2">
        <f t="shared" si="34"/>
        <v>5</v>
      </c>
      <c r="M251" s="2" t="str">
        <f>'Input Sheet'!E264</f>
        <v>C</v>
      </c>
      <c r="N251" s="2">
        <f t="shared" si="35"/>
        <v>4</v>
      </c>
      <c r="P251">
        <f t="shared" si="30"/>
        <v>0</v>
      </c>
      <c r="Q251">
        <f t="shared" si="30"/>
        <v>0</v>
      </c>
      <c r="R251">
        <f t="shared" si="30"/>
        <v>0</v>
      </c>
      <c r="S251">
        <f t="shared" si="30"/>
        <v>5</v>
      </c>
      <c r="T251">
        <f t="shared" si="30"/>
        <v>0</v>
      </c>
    </row>
    <row r="252" spans="1:20" ht="16.5" x14ac:dyDescent="0.25">
      <c r="A252" s="10" t="str">
        <f>'Long Sample Name'!A248</f>
        <v>Sample 3160m: 0% Siltstone, 100% fine to coarse Sandstone, 100% bright FLUOR in SST. TG 69.4U</v>
      </c>
      <c r="B252" s="1" t="str">
        <f ca="1">'Input Sheet'!K265</f>
        <v/>
      </c>
      <c r="C252" s="7" t="str">
        <f ca="1">'Input Sheet'!L265</f>
        <v/>
      </c>
      <c r="D252" s="11">
        <f>'Input Sheet'!B265</f>
        <v>3160</v>
      </c>
      <c r="E252" s="8">
        <f>'Input Sheet'!H265</f>
        <v>69.400000000000006</v>
      </c>
      <c r="F252" s="61">
        <f>'Input Sheet'!C250/100</f>
        <v>0.95</v>
      </c>
      <c r="G252" s="61">
        <f>'Input Sheet'!F250/100</f>
        <v>1</v>
      </c>
      <c r="H252" s="2">
        <f t="shared" si="31"/>
        <v>5</v>
      </c>
      <c r="I252" s="2">
        <f t="shared" si="32"/>
        <v>5</v>
      </c>
      <c r="J252" s="60">
        <f t="shared" si="29"/>
        <v>4.75</v>
      </c>
      <c r="K252" s="2">
        <f t="shared" si="33"/>
        <v>5</v>
      </c>
      <c r="L252" s="2">
        <f t="shared" si="34"/>
        <v>4.75</v>
      </c>
      <c r="M252" s="2" t="str">
        <f>'Input Sheet'!E265</f>
        <v>C</v>
      </c>
      <c r="N252" s="2">
        <f t="shared" si="35"/>
        <v>4</v>
      </c>
      <c r="P252">
        <f t="shared" si="30"/>
        <v>0</v>
      </c>
      <c r="Q252">
        <f t="shared" si="30"/>
        <v>0</v>
      </c>
      <c r="R252">
        <f t="shared" si="30"/>
        <v>0</v>
      </c>
      <c r="S252">
        <f t="shared" si="30"/>
        <v>5</v>
      </c>
      <c r="T252">
        <f t="shared" si="30"/>
        <v>0</v>
      </c>
    </row>
    <row r="253" spans="1:20" ht="16.5" x14ac:dyDescent="0.25">
      <c r="A253" s="10" t="str">
        <f>'Long Sample Name'!A249</f>
        <v>Sample 3165m: 5% Siltstone, 95% fine to coarse Sandstone, 100% bright FLUOR in SST. TG 125.6U</v>
      </c>
      <c r="B253" s="1" t="str">
        <f ca="1">'Input Sheet'!K266</f>
        <v/>
      </c>
      <c r="C253" s="7" t="str">
        <f ca="1">'Input Sheet'!L266</f>
        <v/>
      </c>
      <c r="D253" s="11">
        <f>'Input Sheet'!B266</f>
        <v>3165</v>
      </c>
      <c r="E253" s="8">
        <f>'Input Sheet'!H266</f>
        <v>125.6</v>
      </c>
      <c r="F253" s="61">
        <f>'Input Sheet'!C251/100</f>
        <v>0.95</v>
      </c>
      <c r="G253" s="61">
        <f>'Input Sheet'!F251/100</f>
        <v>1</v>
      </c>
      <c r="H253" s="2">
        <f t="shared" si="31"/>
        <v>5</v>
      </c>
      <c r="I253" s="2">
        <f t="shared" si="32"/>
        <v>5</v>
      </c>
      <c r="J253" s="60">
        <f t="shared" si="29"/>
        <v>4.75</v>
      </c>
      <c r="K253" s="2">
        <f t="shared" si="33"/>
        <v>5</v>
      </c>
      <c r="L253" s="2">
        <f t="shared" si="34"/>
        <v>4.75</v>
      </c>
      <c r="M253" s="2" t="str">
        <f>'Input Sheet'!E266</f>
        <v>C</v>
      </c>
      <c r="N253" s="2">
        <f t="shared" si="35"/>
        <v>4</v>
      </c>
      <c r="P253">
        <f t="shared" si="30"/>
        <v>0</v>
      </c>
      <c r="Q253">
        <f t="shared" si="30"/>
        <v>0</v>
      </c>
      <c r="R253">
        <f t="shared" si="30"/>
        <v>0</v>
      </c>
      <c r="S253">
        <f t="shared" si="30"/>
        <v>5</v>
      </c>
      <c r="T253">
        <f t="shared" si="30"/>
        <v>0</v>
      </c>
    </row>
    <row r="254" spans="1:20" ht="16.5" x14ac:dyDescent="0.25">
      <c r="A254" s="10" t="str">
        <f>'Long Sample Name'!A250</f>
        <v>Sample 3170m: 5% Siltstone, 95% fine to coarse Sandstone, 100% bright FLUOR in SST. TG 131.1U</v>
      </c>
      <c r="B254" s="1" t="str">
        <f ca="1">'Input Sheet'!K267</f>
        <v/>
      </c>
      <c r="C254" s="7" t="str">
        <f ca="1">'Input Sheet'!L267</f>
        <v/>
      </c>
      <c r="D254" s="11">
        <f>'Input Sheet'!B267</f>
        <v>3170</v>
      </c>
      <c r="E254" s="8">
        <f>'Input Sheet'!H267</f>
        <v>131.1</v>
      </c>
      <c r="F254" s="61">
        <f>'Input Sheet'!C252/100</f>
        <v>0.95</v>
      </c>
      <c r="G254" s="61">
        <f>'Input Sheet'!F252/100</f>
        <v>1</v>
      </c>
      <c r="H254" s="2">
        <f t="shared" si="31"/>
        <v>5</v>
      </c>
      <c r="I254" s="2">
        <f t="shared" si="32"/>
        <v>5</v>
      </c>
      <c r="J254" s="60">
        <f t="shared" si="29"/>
        <v>4.75</v>
      </c>
      <c r="K254" s="2">
        <f t="shared" si="33"/>
        <v>5</v>
      </c>
      <c r="L254" s="2">
        <f t="shared" si="34"/>
        <v>4.75</v>
      </c>
      <c r="M254" s="2" t="str">
        <f>'Input Sheet'!E267</f>
        <v>C</v>
      </c>
      <c r="N254" s="2">
        <f t="shared" si="35"/>
        <v>4</v>
      </c>
      <c r="P254">
        <f t="shared" si="30"/>
        <v>0</v>
      </c>
      <c r="Q254">
        <f t="shared" si="30"/>
        <v>0</v>
      </c>
      <c r="R254">
        <f t="shared" si="30"/>
        <v>0</v>
      </c>
      <c r="S254">
        <f t="shared" si="30"/>
        <v>5</v>
      </c>
      <c r="T254">
        <f t="shared" si="30"/>
        <v>0</v>
      </c>
    </row>
    <row r="255" spans="1:20" ht="16.5" x14ac:dyDescent="0.25">
      <c r="A255" s="10" t="str">
        <f>'Long Sample Name'!A251</f>
        <v>Sample 3175m: 20% Siltstone, 80% fine to coarse Sandstone, 80% bright FLUOR in SST. TG 122.2U</v>
      </c>
      <c r="B255" s="1" t="str">
        <f ca="1">'Input Sheet'!K268</f>
        <v/>
      </c>
      <c r="C255" s="7" t="str">
        <f ca="1">'Input Sheet'!L268</f>
        <v/>
      </c>
      <c r="D255" s="11">
        <f>'Input Sheet'!B268</f>
        <v>3175</v>
      </c>
      <c r="E255" s="8">
        <f>'Input Sheet'!H268</f>
        <v>122.2</v>
      </c>
      <c r="F255" s="61">
        <f>'Input Sheet'!C253/100</f>
        <v>0.95</v>
      </c>
      <c r="G255" s="61">
        <f>'Input Sheet'!F253/100</f>
        <v>1</v>
      </c>
      <c r="H255" s="2">
        <f t="shared" si="31"/>
        <v>5</v>
      </c>
      <c r="I255" s="2">
        <f t="shared" si="32"/>
        <v>5</v>
      </c>
      <c r="J255" s="60">
        <f t="shared" si="29"/>
        <v>4.75</v>
      </c>
      <c r="K255" s="2">
        <f t="shared" si="33"/>
        <v>5</v>
      </c>
      <c r="L255" s="2">
        <f t="shared" si="34"/>
        <v>4.75</v>
      </c>
      <c r="M255" s="2" t="str">
        <f>'Input Sheet'!E268</f>
        <v>C</v>
      </c>
      <c r="N255" s="2">
        <f t="shared" si="35"/>
        <v>4</v>
      </c>
      <c r="P255">
        <f t="shared" si="30"/>
        <v>0</v>
      </c>
      <c r="Q255">
        <f t="shared" si="30"/>
        <v>0</v>
      </c>
      <c r="R255">
        <f t="shared" si="30"/>
        <v>0</v>
      </c>
      <c r="S255">
        <f t="shared" si="30"/>
        <v>5</v>
      </c>
      <c r="T255">
        <f t="shared" si="30"/>
        <v>0</v>
      </c>
    </row>
    <row r="256" spans="1:20" ht="16.5" x14ac:dyDescent="0.25">
      <c r="A256" s="10" t="str">
        <f>'Long Sample Name'!A252</f>
        <v>Sample 3180m: 20% Siltstone, 80% fine to coarse Sandstone, 80% bright FLUOR in SST. TG 68.6U</v>
      </c>
      <c r="B256" s="1" t="str">
        <f ca="1">'Input Sheet'!K269</f>
        <v/>
      </c>
      <c r="C256" s="7" t="str">
        <f ca="1">'Input Sheet'!L269</f>
        <v/>
      </c>
      <c r="D256" s="11">
        <f>'Input Sheet'!B269</f>
        <v>3180</v>
      </c>
      <c r="E256" s="8">
        <f>'Input Sheet'!H269</f>
        <v>68.599999999999994</v>
      </c>
      <c r="F256" s="61">
        <f>'Input Sheet'!C254/100</f>
        <v>0.9</v>
      </c>
      <c r="G256" s="61">
        <f>'Input Sheet'!F254/100</f>
        <v>1</v>
      </c>
      <c r="H256" s="2">
        <f t="shared" si="31"/>
        <v>5</v>
      </c>
      <c r="I256" s="2">
        <f t="shared" si="32"/>
        <v>5</v>
      </c>
      <c r="J256" s="60">
        <f t="shared" si="29"/>
        <v>4.5</v>
      </c>
      <c r="K256" s="2">
        <f t="shared" si="33"/>
        <v>5</v>
      </c>
      <c r="L256" s="2">
        <f t="shared" si="34"/>
        <v>4.5</v>
      </c>
      <c r="M256" s="2" t="str">
        <f>'Input Sheet'!E269</f>
        <v>C</v>
      </c>
      <c r="N256" s="2">
        <f t="shared" si="35"/>
        <v>4</v>
      </c>
      <c r="P256">
        <f t="shared" si="30"/>
        <v>0</v>
      </c>
      <c r="Q256">
        <f t="shared" si="30"/>
        <v>0</v>
      </c>
      <c r="R256">
        <f t="shared" si="30"/>
        <v>0</v>
      </c>
      <c r="S256">
        <f t="shared" si="30"/>
        <v>5</v>
      </c>
      <c r="T256">
        <f t="shared" si="30"/>
        <v>0</v>
      </c>
    </row>
    <row r="257" spans="1:20" ht="16.5" x14ac:dyDescent="0.25">
      <c r="A257" s="10" t="str">
        <f>'Long Sample Name'!A253</f>
        <v>Sample 3185m: 5% Siltstone, 95% fine to medium, rare coarse Sandstone, 100% bright FLUOR in SST. TG 110.8U</v>
      </c>
      <c r="B257" s="1" t="str">
        <f ca="1">'Input Sheet'!K270</f>
        <v/>
      </c>
      <c r="C257" s="7" t="str">
        <f ca="1">'Input Sheet'!L270</f>
        <v/>
      </c>
      <c r="D257" s="11">
        <f>'Input Sheet'!B270</f>
        <v>3185</v>
      </c>
      <c r="E257" s="8">
        <f>'Input Sheet'!H270</f>
        <v>110.8</v>
      </c>
      <c r="F257" s="61">
        <f>'Input Sheet'!C255/100</f>
        <v>0.9</v>
      </c>
      <c r="G257" s="61">
        <f>'Input Sheet'!F255/100</f>
        <v>1</v>
      </c>
      <c r="H257" s="2">
        <f t="shared" si="31"/>
        <v>5</v>
      </c>
      <c r="I257" s="2">
        <f t="shared" si="32"/>
        <v>5</v>
      </c>
      <c r="J257" s="60">
        <f t="shared" si="29"/>
        <v>4.5</v>
      </c>
      <c r="K257" s="2">
        <f t="shared" si="33"/>
        <v>5</v>
      </c>
      <c r="L257" s="2">
        <f t="shared" si="34"/>
        <v>4.5</v>
      </c>
      <c r="M257" s="2" t="str">
        <f>'Input Sheet'!E270</f>
        <v>C</v>
      </c>
      <c r="N257" s="2">
        <f t="shared" si="35"/>
        <v>4</v>
      </c>
      <c r="P257">
        <f t="shared" si="30"/>
        <v>0</v>
      </c>
      <c r="Q257">
        <f t="shared" si="30"/>
        <v>0</v>
      </c>
      <c r="R257">
        <f t="shared" si="30"/>
        <v>0</v>
      </c>
      <c r="S257">
        <f t="shared" si="30"/>
        <v>5</v>
      </c>
      <c r="T257">
        <f t="shared" si="30"/>
        <v>0</v>
      </c>
    </row>
    <row r="258" spans="1:20" ht="16.5" x14ac:dyDescent="0.25">
      <c r="A258" s="10" t="str">
        <f>'Long Sample Name'!A254</f>
        <v>Sample 3190m: 5% Siltstone, 95% fine to medium, rare coarse Sandstone, 100% bright FLUOR in SST. TG 147.4U</v>
      </c>
      <c r="B258" s="1" t="str">
        <f ca="1">'Input Sheet'!K271</f>
        <v/>
      </c>
      <c r="C258" s="7" t="str">
        <f ca="1">'Input Sheet'!L271</f>
        <v/>
      </c>
      <c r="D258" s="11">
        <f>'Input Sheet'!B271</f>
        <v>3190</v>
      </c>
      <c r="E258" s="8">
        <f>'Input Sheet'!H271</f>
        <v>147.4</v>
      </c>
      <c r="F258" s="61">
        <f>'Input Sheet'!C256/100</f>
        <v>0.95</v>
      </c>
      <c r="G258" s="61">
        <f>'Input Sheet'!F256/100</f>
        <v>1</v>
      </c>
      <c r="H258" s="2">
        <f t="shared" si="31"/>
        <v>5</v>
      </c>
      <c r="I258" s="2">
        <f t="shared" si="32"/>
        <v>5</v>
      </c>
      <c r="J258" s="60">
        <f t="shared" si="29"/>
        <v>4.75</v>
      </c>
      <c r="K258" s="2">
        <f t="shared" si="33"/>
        <v>5</v>
      </c>
      <c r="L258" s="2">
        <f t="shared" si="34"/>
        <v>4.75</v>
      </c>
      <c r="M258" s="2" t="str">
        <f>'Input Sheet'!E271</f>
        <v>C</v>
      </c>
      <c r="N258" s="2">
        <f t="shared" si="35"/>
        <v>4</v>
      </c>
      <c r="P258">
        <f t="shared" si="30"/>
        <v>0</v>
      </c>
      <c r="Q258">
        <f t="shared" si="30"/>
        <v>0</v>
      </c>
      <c r="R258">
        <f t="shared" si="30"/>
        <v>0</v>
      </c>
      <c r="S258">
        <f t="shared" si="30"/>
        <v>5</v>
      </c>
      <c r="T258">
        <f t="shared" si="30"/>
        <v>0</v>
      </c>
    </row>
    <row r="259" spans="1:20" ht="16.5" x14ac:dyDescent="0.25">
      <c r="A259" s="10" t="str">
        <f>'Long Sample Name'!A255</f>
        <v>Sample 3195m: 5% Siltstone, 95% fine to medium, rare coarse Sandstone, 100% bright FLUOR in SST. TG 134.9U</v>
      </c>
      <c r="B259" s="1" t="str">
        <f ca="1">'Input Sheet'!K272</f>
        <v/>
      </c>
      <c r="C259" s="7" t="str">
        <f ca="1">'Input Sheet'!L272</f>
        <v/>
      </c>
      <c r="D259" s="11">
        <f>'Input Sheet'!B272</f>
        <v>3195</v>
      </c>
      <c r="E259" s="8">
        <f>'Input Sheet'!H272</f>
        <v>134.9</v>
      </c>
      <c r="F259" s="61">
        <f>'Input Sheet'!C257/100</f>
        <v>0.95</v>
      </c>
      <c r="G259" s="61">
        <f>'Input Sheet'!F257/100</f>
        <v>1</v>
      </c>
      <c r="H259" s="2">
        <f t="shared" si="31"/>
        <v>5</v>
      </c>
      <c r="I259" s="2">
        <f t="shared" si="32"/>
        <v>5</v>
      </c>
      <c r="J259" s="60">
        <f t="shared" si="29"/>
        <v>4.75</v>
      </c>
      <c r="K259" s="2">
        <f t="shared" si="33"/>
        <v>5</v>
      </c>
      <c r="L259" s="2">
        <f t="shared" si="34"/>
        <v>4.75</v>
      </c>
      <c r="M259" s="2" t="str">
        <f>'Input Sheet'!E272</f>
        <v>C</v>
      </c>
      <c r="N259" s="2">
        <f t="shared" si="35"/>
        <v>4</v>
      </c>
      <c r="P259">
        <f t="shared" si="30"/>
        <v>0</v>
      </c>
      <c r="Q259">
        <f t="shared" si="30"/>
        <v>0</v>
      </c>
      <c r="R259">
        <f t="shared" si="30"/>
        <v>0</v>
      </c>
      <c r="S259">
        <f t="shared" si="30"/>
        <v>5</v>
      </c>
      <c r="T259">
        <f t="shared" si="30"/>
        <v>0</v>
      </c>
    </row>
    <row r="260" spans="1:20" ht="16.5" x14ac:dyDescent="0.25">
      <c r="A260" s="10" t="str">
        <f>'Long Sample Name'!A256</f>
        <v>Sample 3200m: 5% Siltstone, 95% fine to medium, rare coarse Sandstone, 100% bright FLUOR in SST. TG 94.9U</v>
      </c>
      <c r="B260" s="1" t="str">
        <f ca="1">'Input Sheet'!K273</f>
        <v/>
      </c>
      <c r="C260" s="7" t="str">
        <f ca="1">'Input Sheet'!L273</f>
        <v/>
      </c>
      <c r="D260" s="11">
        <f>'Input Sheet'!B273</f>
        <v>3200</v>
      </c>
      <c r="E260" s="8">
        <f>'Input Sheet'!H273</f>
        <v>94.9</v>
      </c>
      <c r="F260" s="61">
        <f>'Input Sheet'!C258/100</f>
        <v>0.95</v>
      </c>
      <c r="G260" s="61">
        <f>'Input Sheet'!F258/100</f>
        <v>1</v>
      </c>
      <c r="H260" s="2">
        <f t="shared" si="31"/>
        <v>5</v>
      </c>
      <c r="I260" s="2">
        <f t="shared" si="32"/>
        <v>5</v>
      </c>
      <c r="J260" s="60">
        <f t="shared" si="29"/>
        <v>4.75</v>
      </c>
      <c r="K260" s="2">
        <f t="shared" si="33"/>
        <v>5</v>
      </c>
      <c r="L260" s="2">
        <f t="shared" si="34"/>
        <v>4.75</v>
      </c>
      <c r="M260" s="2" t="str">
        <f>'Input Sheet'!E273</f>
        <v>C</v>
      </c>
      <c r="N260" s="2">
        <f t="shared" si="35"/>
        <v>4</v>
      </c>
      <c r="P260">
        <f t="shared" si="30"/>
        <v>0</v>
      </c>
      <c r="Q260">
        <f t="shared" si="30"/>
        <v>0</v>
      </c>
      <c r="R260">
        <f t="shared" si="30"/>
        <v>0</v>
      </c>
      <c r="S260">
        <f t="shared" si="30"/>
        <v>5</v>
      </c>
      <c r="T260">
        <f t="shared" si="30"/>
        <v>0</v>
      </c>
    </row>
    <row r="261" spans="1:20" ht="16.5" x14ac:dyDescent="0.25">
      <c r="A261" s="10" t="str">
        <f>'Long Sample Name'!A257</f>
        <v>Sample 3205m: 0% Siltstone, 100% fine to medium, rare coarse Sandstone, 90% bright FLUOR in SST. TG 99.7U</v>
      </c>
      <c r="B261" s="1" t="str">
        <f ca="1">'Input Sheet'!K274</f>
        <v/>
      </c>
      <c r="C261" s="7" t="str">
        <f ca="1">'Input Sheet'!L274</f>
        <v/>
      </c>
      <c r="D261" s="11">
        <f>'Input Sheet'!B274</f>
        <v>3205</v>
      </c>
      <c r="E261" s="8">
        <f>'Input Sheet'!H274</f>
        <v>99.7</v>
      </c>
      <c r="F261" s="61">
        <f>'Input Sheet'!C259/100</f>
        <v>0.95</v>
      </c>
      <c r="G261" s="61">
        <f>'Input Sheet'!F259/100</f>
        <v>1</v>
      </c>
      <c r="H261" s="2">
        <f t="shared" si="31"/>
        <v>5</v>
      </c>
      <c r="I261" s="2">
        <f t="shared" si="32"/>
        <v>5</v>
      </c>
      <c r="J261" s="60">
        <f t="shared" si="29"/>
        <v>4.75</v>
      </c>
      <c r="K261" s="2">
        <f t="shared" si="33"/>
        <v>5</v>
      </c>
      <c r="L261" s="2">
        <f t="shared" si="34"/>
        <v>4.75</v>
      </c>
      <c r="M261" s="2" t="str">
        <f>'Input Sheet'!E274</f>
        <v>C</v>
      </c>
      <c r="N261" s="2">
        <f t="shared" si="35"/>
        <v>4</v>
      </c>
      <c r="P261">
        <f t="shared" si="30"/>
        <v>0</v>
      </c>
      <c r="Q261">
        <f t="shared" si="30"/>
        <v>0</v>
      </c>
      <c r="R261">
        <f t="shared" si="30"/>
        <v>0</v>
      </c>
      <c r="S261">
        <f t="shared" si="30"/>
        <v>5</v>
      </c>
      <c r="T261">
        <f t="shared" si="30"/>
        <v>0</v>
      </c>
    </row>
    <row r="262" spans="1:20" ht="16.5" x14ac:dyDescent="0.25">
      <c r="A262" s="10" t="str">
        <f>'Long Sample Name'!A258</f>
        <v>Sample 3210m: 0% Siltstone, 100% fine to medium, rare coarse Sandstone, 90% bright FLUOR in SST. TG 79.1U</v>
      </c>
      <c r="B262" s="1" t="str">
        <f ca="1">'Input Sheet'!K275</f>
        <v/>
      </c>
      <c r="C262" s="7" t="str">
        <f ca="1">'Input Sheet'!L275</f>
        <v/>
      </c>
      <c r="D262" s="11">
        <f>'Input Sheet'!B275</f>
        <v>3210</v>
      </c>
      <c r="E262" s="8">
        <f>'Input Sheet'!H275</f>
        <v>79.099999999999994</v>
      </c>
      <c r="F262" s="61">
        <f>'Input Sheet'!C260/100</f>
        <v>0.95</v>
      </c>
      <c r="G262" s="61">
        <f>'Input Sheet'!F260/100</f>
        <v>1</v>
      </c>
      <c r="H262" s="2">
        <f t="shared" si="31"/>
        <v>5</v>
      </c>
      <c r="I262" s="2">
        <f t="shared" si="32"/>
        <v>5</v>
      </c>
      <c r="J262" s="60">
        <f t="shared" si="29"/>
        <v>4.75</v>
      </c>
      <c r="K262" s="2">
        <f t="shared" si="33"/>
        <v>5</v>
      </c>
      <c r="L262" s="2">
        <f t="shared" si="34"/>
        <v>4.75</v>
      </c>
      <c r="M262" s="2" t="str">
        <f>'Input Sheet'!E275</f>
        <v>C</v>
      </c>
      <c r="N262" s="2">
        <f t="shared" si="35"/>
        <v>4</v>
      </c>
      <c r="P262">
        <f t="shared" si="30"/>
        <v>0</v>
      </c>
      <c r="Q262">
        <f t="shared" si="30"/>
        <v>0</v>
      </c>
      <c r="R262">
        <f t="shared" si="30"/>
        <v>0</v>
      </c>
      <c r="S262">
        <f t="shared" si="30"/>
        <v>5</v>
      </c>
      <c r="T262">
        <f t="shared" si="30"/>
        <v>0</v>
      </c>
    </row>
    <row r="263" spans="1:20" ht="16.5" x14ac:dyDescent="0.25">
      <c r="A263" s="10" t="str">
        <f>'Long Sample Name'!A259</f>
        <v>Sample 3215m: 5% Siltstone, 95% fine to medium, rare coarse Sandstone, 90% moderately bright FLUOR in SST. TG 88U</v>
      </c>
      <c r="B263" s="1" t="str">
        <f ca="1">'Input Sheet'!K276</f>
        <v/>
      </c>
      <c r="C263" s="7" t="str">
        <f ca="1">'Input Sheet'!L276</f>
        <v/>
      </c>
      <c r="D263" s="11">
        <f>'Input Sheet'!B276</f>
        <v>3215</v>
      </c>
      <c r="E263" s="8">
        <f>'Input Sheet'!H276</f>
        <v>88</v>
      </c>
      <c r="F263" s="61">
        <f>'Input Sheet'!C261/100</f>
        <v>0.95</v>
      </c>
      <c r="G263" s="61">
        <f>'Input Sheet'!F261/100</f>
        <v>1</v>
      </c>
      <c r="H263" s="2">
        <f t="shared" si="31"/>
        <v>5</v>
      </c>
      <c r="I263" s="2">
        <f t="shared" si="32"/>
        <v>5</v>
      </c>
      <c r="J263" s="60">
        <f t="shared" ref="J263:J326" si="36">IF(I263&gt;0,I263*F263,0)</f>
        <v>4.75</v>
      </c>
      <c r="K263" s="2">
        <f t="shared" si="33"/>
        <v>5</v>
      </c>
      <c r="L263" s="2">
        <f t="shared" si="34"/>
        <v>4.75</v>
      </c>
      <c r="M263" s="2" t="str">
        <f>'Input Sheet'!E276</f>
        <v>C</v>
      </c>
      <c r="N263" s="2">
        <f t="shared" si="35"/>
        <v>4</v>
      </c>
      <c r="P263">
        <f t="shared" ref="P263:T313" si="37">IF($M263=P$1,$H263,0)</f>
        <v>0</v>
      </c>
      <c r="Q263">
        <f t="shared" si="37"/>
        <v>0</v>
      </c>
      <c r="R263">
        <f t="shared" si="37"/>
        <v>0</v>
      </c>
      <c r="S263">
        <f t="shared" si="37"/>
        <v>5</v>
      </c>
      <c r="T263">
        <f t="shared" si="37"/>
        <v>0</v>
      </c>
    </row>
    <row r="264" spans="1:20" ht="16.5" x14ac:dyDescent="0.25">
      <c r="A264" s="10" t="str">
        <f>'Long Sample Name'!A260</f>
        <v>Sample 3220m: 5% Siltstone, 95% fine to medium, rare coarse Sandstone, 90% moderately bright FLUOR in SST. TG 76.3U</v>
      </c>
      <c r="B264" s="1" t="str">
        <f ca="1">'Input Sheet'!K277</f>
        <v/>
      </c>
      <c r="C264" s="7" t="str">
        <f ca="1">'Input Sheet'!L277</f>
        <v/>
      </c>
      <c r="D264" s="11">
        <f>'Input Sheet'!B277</f>
        <v>3220</v>
      </c>
      <c r="E264" s="8">
        <f>'Input Sheet'!H277</f>
        <v>76.3</v>
      </c>
      <c r="F264" s="61">
        <f>'Input Sheet'!C262/100</f>
        <v>0.95</v>
      </c>
      <c r="G264" s="61">
        <f>'Input Sheet'!F262/100</f>
        <v>1</v>
      </c>
      <c r="H264" s="2">
        <f t="shared" si="31"/>
        <v>5</v>
      </c>
      <c r="I264" s="2">
        <f t="shared" si="32"/>
        <v>5</v>
      </c>
      <c r="J264" s="60">
        <f t="shared" si="36"/>
        <v>4.75</v>
      </c>
      <c r="K264" s="2">
        <f t="shared" si="33"/>
        <v>5</v>
      </c>
      <c r="L264" s="2">
        <f t="shared" si="34"/>
        <v>4.75</v>
      </c>
      <c r="M264" s="2" t="str">
        <f>'Input Sheet'!E277</f>
        <v>C</v>
      </c>
      <c r="N264" s="2">
        <f t="shared" si="35"/>
        <v>4</v>
      </c>
      <c r="P264">
        <f t="shared" si="37"/>
        <v>0</v>
      </c>
      <c r="Q264">
        <f t="shared" si="37"/>
        <v>0</v>
      </c>
      <c r="R264">
        <f t="shared" si="37"/>
        <v>0</v>
      </c>
      <c r="S264">
        <f t="shared" si="37"/>
        <v>5</v>
      </c>
      <c r="T264">
        <f t="shared" si="37"/>
        <v>0</v>
      </c>
    </row>
    <row r="265" spans="1:20" ht="16.5" x14ac:dyDescent="0.25">
      <c r="A265" s="10" t="str">
        <f>'Long Sample Name'!A261</f>
        <v>Sample 3225m: trace siderite in 20% Siltstone, 80% fine to medium, rare coarse Sandstone, 50% moderately bright FLUOR in SST. TG 90.2U</v>
      </c>
      <c r="B265" s="1" t="str">
        <f ca="1">'Input Sheet'!K278</f>
        <v/>
      </c>
      <c r="C265" s="7" t="str">
        <f ca="1">'Input Sheet'!L278</f>
        <v/>
      </c>
      <c r="D265" s="11">
        <f>'Input Sheet'!B278</f>
        <v>3225</v>
      </c>
      <c r="E265" s="8">
        <f>'Input Sheet'!H278</f>
        <v>90.2</v>
      </c>
      <c r="F265" s="61">
        <f>'Input Sheet'!C263/100</f>
        <v>0.95</v>
      </c>
      <c r="G265" s="61">
        <f>'Input Sheet'!F263/100</f>
        <v>1</v>
      </c>
      <c r="H265" s="2">
        <f t="shared" si="31"/>
        <v>5</v>
      </c>
      <c r="I265" s="2">
        <f t="shared" si="32"/>
        <v>5</v>
      </c>
      <c r="J265" s="60">
        <f t="shared" si="36"/>
        <v>4.75</v>
      </c>
      <c r="K265" s="2">
        <f t="shared" si="33"/>
        <v>5</v>
      </c>
      <c r="L265" s="2">
        <f t="shared" si="34"/>
        <v>4.75</v>
      </c>
      <c r="M265" s="2" t="str">
        <f>'Input Sheet'!E278</f>
        <v>C</v>
      </c>
      <c r="N265" s="2">
        <f t="shared" si="35"/>
        <v>4</v>
      </c>
      <c r="P265">
        <f t="shared" si="37"/>
        <v>0</v>
      </c>
      <c r="Q265">
        <f t="shared" si="37"/>
        <v>0</v>
      </c>
      <c r="R265">
        <f t="shared" si="37"/>
        <v>0</v>
      </c>
      <c r="S265">
        <f t="shared" si="37"/>
        <v>5</v>
      </c>
      <c r="T265">
        <f t="shared" si="37"/>
        <v>0</v>
      </c>
    </row>
    <row r="266" spans="1:20" ht="16.5" x14ac:dyDescent="0.25">
      <c r="A266" s="10" t="str">
        <f>'Long Sample Name'!A262</f>
        <v>Sample 3230m: trace siderite in 20% Siltstone, 80% fine to medium, rare coarse Sandstone, 50% moderately bright FLUOR in SST. TG 56U</v>
      </c>
      <c r="B266" s="1" t="str">
        <f ca="1">'Input Sheet'!K279</f>
        <v/>
      </c>
      <c r="C266" s="7" t="str">
        <f ca="1">'Input Sheet'!L279</f>
        <v/>
      </c>
      <c r="D266" s="11">
        <f>'Input Sheet'!B279</f>
        <v>3230</v>
      </c>
      <c r="E266" s="8">
        <f>'Input Sheet'!H279</f>
        <v>56</v>
      </c>
      <c r="F266" s="61">
        <f>'Input Sheet'!C264/100</f>
        <v>1</v>
      </c>
      <c r="G266" s="61">
        <f>'Input Sheet'!F264/100</f>
        <v>1</v>
      </c>
      <c r="H266" s="2">
        <f t="shared" si="31"/>
        <v>5</v>
      </c>
      <c r="I266" s="2">
        <f t="shared" si="32"/>
        <v>5</v>
      </c>
      <c r="J266" s="60">
        <f t="shared" si="36"/>
        <v>5</v>
      </c>
      <c r="K266" s="2">
        <f t="shared" si="33"/>
        <v>5</v>
      </c>
      <c r="L266" s="2">
        <f t="shared" si="34"/>
        <v>5</v>
      </c>
      <c r="M266" s="2" t="str">
        <f>'Input Sheet'!E279</f>
        <v>C</v>
      </c>
      <c r="N266" s="2">
        <f t="shared" si="35"/>
        <v>4</v>
      </c>
      <c r="P266">
        <f t="shared" si="37"/>
        <v>0</v>
      </c>
      <c r="Q266">
        <f t="shared" si="37"/>
        <v>0</v>
      </c>
      <c r="R266">
        <f t="shared" si="37"/>
        <v>0</v>
      </c>
      <c r="S266">
        <f t="shared" si="37"/>
        <v>5</v>
      </c>
      <c r="T266">
        <f t="shared" si="37"/>
        <v>0</v>
      </c>
    </row>
    <row r="267" spans="1:20" ht="16.5" x14ac:dyDescent="0.25">
      <c r="A267" s="10" t="str">
        <f>'Long Sample Name'!A263</f>
        <v>Sample 3235m: 25% Siltstone, common siderite in 75% fine to coarse Sandstone, 80% moderately bright FLUOR in SST. TG 70.9U</v>
      </c>
      <c r="B267" s="1" t="str">
        <f ca="1">'Input Sheet'!K280</f>
        <v/>
      </c>
      <c r="C267" s="7" t="str">
        <f ca="1">'Input Sheet'!L280</f>
        <v/>
      </c>
      <c r="D267" s="11">
        <f>'Input Sheet'!B280</f>
        <v>3235</v>
      </c>
      <c r="E267" s="8">
        <f>'Input Sheet'!H280</f>
        <v>70.900000000000006</v>
      </c>
      <c r="F267" s="61">
        <f>'Input Sheet'!C265/100</f>
        <v>1</v>
      </c>
      <c r="G267" s="61">
        <f>'Input Sheet'!F265/100</f>
        <v>1</v>
      </c>
      <c r="H267" s="2">
        <f t="shared" si="31"/>
        <v>5</v>
      </c>
      <c r="I267" s="2">
        <f t="shared" si="32"/>
        <v>5</v>
      </c>
      <c r="J267" s="60">
        <f t="shared" si="36"/>
        <v>5</v>
      </c>
      <c r="K267" s="2">
        <f t="shared" si="33"/>
        <v>5</v>
      </c>
      <c r="L267" s="2">
        <f t="shared" si="34"/>
        <v>5</v>
      </c>
      <c r="M267" s="2" t="str">
        <f>'Input Sheet'!E280</f>
        <v>C</v>
      </c>
      <c r="N267" s="2">
        <f t="shared" si="35"/>
        <v>4</v>
      </c>
      <c r="P267">
        <f t="shared" si="37"/>
        <v>0</v>
      </c>
      <c r="Q267">
        <f t="shared" si="37"/>
        <v>0</v>
      </c>
      <c r="R267">
        <f t="shared" si="37"/>
        <v>0</v>
      </c>
      <c r="S267">
        <f t="shared" si="37"/>
        <v>5</v>
      </c>
      <c r="T267">
        <f t="shared" si="37"/>
        <v>0</v>
      </c>
    </row>
    <row r="268" spans="1:20" ht="16.5" x14ac:dyDescent="0.25">
      <c r="A268" s="10" t="str">
        <f>'Long Sample Name'!A264</f>
        <v>Sample 3240m: 20% Siltstone, 80% fine to medium, rare coarse Sandstone, 80% moderately bright FLUOR in SST. TG 67U</v>
      </c>
      <c r="B268" s="1" t="str">
        <f ca="1">'Input Sheet'!K281</f>
        <v/>
      </c>
      <c r="C268" s="7" t="str">
        <f ca="1">'Input Sheet'!L281</f>
        <v/>
      </c>
      <c r="D268" s="11">
        <f>'Input Sheet'!B281</f>
        <v>3240</v>
      </c>
      <c r="E268" s="8">
        <f>'Input Sheet'!H281</f>
        <v>67</v>
      </c>
      <c r="F268" s="61">
        <f>'Input Sheet'!C266/100</f>
        <v>0.95</v>
      </c>
      <c r="G268" s="61">
        <f>'Input Sheet'!F266/100</f>
        <v>1</v>
      </c>
      <c r="H268" s="2">
        <f t="shared" si="31"/>
        <v>5</v>
      </c>
      <c r="I268" s="2">
        <f t="shared" si="32"/>
        <v>5</v>
      </c>
      <c r="J268" s="60">
        <f t="shared" si="36"/>
        <v>4.75</v>
      </c>
      <c r="K268" s="2">
        <f t="shared" si="33"/>
        <v>5</v>
      </c>
      <c r="L268" s="2">
        <f t="shared" si="34"/>
        <v>4.75</v>
      </c>
      <c r="M268" s="2" t="str">
        <f>'Input Sheet'!E281</f>
        <v>C</v>
      </c>
      <c r="N268" s="2">
        <f t="shared" si="35"/>
        <v>4</v>
      </c>
      <c r="P268">
        <f t="shared" si="37"/>
        <v>0</v>
      </c>
      <c r="Q268">
        <f t="shared" si="37"/>
        <v>0</v>
      </c>
      <c r="R268">
        <f t="shared" si="37"/>
        <v>0</v>
      </c>
      <c r="S268">
        <f t="shared" si="37"/>
        <v>5</v>
      </c>
      <c r="T268">
        <f t="shared" si="37"/>
        <v>0</v>
      </c>
    </row>
    <row r="269" spans="1:20" ht="16.5" x14ac:dyDescent="0.25">
      <c r="A269" s="10" t="str">
        <f>'Long Sample Name'!A265</f>
        <v>Sample 3245m: 10% Siltstone, 90% fine to coarse Sandstone, 100% moderately bright FLUOR in SST. TG 95.2U</v>
      </c>
      <c r="B269" s="1" t="str">
        <f ca="1">'Input Sheet'!K282</f>
        <v/>
      </c>
      <c r="C269" s="7" t="str">
        <f ca="1">'Input Sheet'!L282</f>
        <v/>
      </c>
      <c r="D269" s="11">
        <f>'Input Sheet'!B282</f>
        <v>3245</v>
      </c>
      <c r="E269" s="8">
        <f>'Input Sheet'!H282</f>
        <v>95.2</v>
      </c>
      <c r="F269" s="61">
        <f>'Input Sheet'!C267/100</f>
        <v>0.95</v>
      </c>
      <c r="G269" s="61">
        <f>'Input Sheet'!F267/100</f>
        <v>1</v>
      </c>
      <c r="H269" s="2">
        <f t="shared" si="31"/>
        <v>5</v>
      </c>
      <c r="I269" s="2">
        <f t="shared" si="32"/>
        <v>5</v>
      </c>
      <c r="J269" s="60">
        <f t="shared" si="36"/>
        <v>4.75</v>
      </c>
      <c r="K269" s="2">
        <f t="shared" si="33"/>
        <v>5</v>
      </c>
      <c r="L269" s="2">
        <f t="shared" si="34"/>
        <v>4.75</v>
      </c>
      <c r="M269" s="2" t="str">
        <f>'Input Sheet'!E282</f>
        <v>C</v>
      </c>
      <c r="N269" s="2">
        <f t="shared" si="35"/>
        <v>4</v>
      </c>
      <c r="P269">
        <f t="shared" si="37"/>
        <v>0</v>
      </c>
      <c r="Q269">
        <f t="shared" si="37"/>
        <v>0</v>
      </c>
      <c r="R269">
        <f t="shared" si="37"/>
        <v>0</v>
      </c>
      <c r="S269">
        <f t="shared" si="37"/>
        <v>5</v>
      </c>
      <c r="T269">
        <f t="shared" si="37"/>
        <v>0</v>
      </c>
    </row>
    <row r="270" spans="1:20" ht="16.5" x14ac:dyDescent="0.25">
      <c r="A270" s="10" t="str">
        <f>'Long Sample Name'!A266</f>
        <v>Sample 3250m: 5% Siltstone, 95% fine to medium, rare coarse Sandstone, 100% moderately bright FLUOR in SST. TG 106.8U</v>
      </c>
      <c r="B270" s="1" t="str">
        <f ca="1">'Input Sheet'!K283</f>
        <v/>
      </c>
      <c r="C270" s="7" t="str">
        <f ca="1">'Input Sheet'!L283</f>
        <v/>
      </c>
      <c r="D270" s="11">
        <f>'Input Sheet'!B283</f>
        <v>3250</v>
      </c>
      <c r="E270" s="8">
        <f>'Input Sheet'!H283</f>
        <v>106.8</v>
      </c>
      <c r="F270" s="61">
        <f>'Input Sheet'!C268/100</f>
        <v>0.8</v>
      </c>
      <c r="G270" s="61">
        <f>'Input Sheet'!F268/100</f>
        <v>0.8</v>
      </c>
      <c r="H270" s="2">
        <f t="shared" si="31"/>
        <v>5</v>
      </c>
      <c r="I270" s="2">
        <f t="shared" si="32"/>
        <v>5</v>
      </c>
      <c r="J270" s="60">
        <f t="shared" si="36"/>
        <v>4</v>
      </c>
      <c r="K270" s="2">
        <f t="shared" si="33"/>
        <v>5</v>
      </c>
      <c r="L270" s="2">
        <f t="shared" si="34"/>
        <v>4</v>
      </c>
      <c r="M270" s="2" t="str">
        <f>'Input Sheet'!E283</f>
        <v>C</v>
      </c>
      <c r="N270" s="2">
        <f t="shared" si="35"/>
        <v>4</v>
      </c>
      <c r="P270">
        <f t="shared" si="37"/>
        <v>0</v>
      </c>
      <c r="Q270">
        <f t="shared" si="37"/>
        <v>0</v>
      </c>
      <c r="R270">
        <f t="shared" si="37"/>
        <v>0</v>
      </c>
      <c r="S270">
        <f t="shared" si="37"/>
        <v>5</v>
      </c>
      <c r="T270">
        <f t="shared" si="37"/>
        <v>0</v>
      </c>
    </row>
    <row r="271" spans="1:20" ht="16.5" x14ac:dyDescent="0.25">
      <c r="A271" s="10" t="str">
        <f>'Long Sample Name'!A267</f>
        <v>Sample 3255m: 15% Siltstone, 85% fine to medium, rare coarse Sandstone, 100% bright FLUOR in SST. TG 63U</v>
      </c>
      <c r="B271" s="1" t="str">
        <f ca="1">'Input Sheet'!K284</f>
        <v/>
      </c>
      <c r="C271" s="7" t="str">
        <f ca="1">'Input Sheet'!L284</f>
        <v/>
      </c>
      <c r="D271" s="11">
        <f>'Input Sheet'!B284</f>
        <v>3255</v>
      </c>
      <c r="E271" s="8">
        <f>'Input Sheet'!H284</f>
        <v>63</v>
      </c>
      <c r="F271" s="61">
        <f>'Input Sheet'!C269/100</f>
        <v>0.8</v>
      </c>
      <c r="G271" s="61">
        <f>'Input Sheet'!F269/100</f>
        <v>0.8</v>
      </c>
      <c r="H271" s="2">
        <f t="shared" si="31"/>
        <v>5</v>
      </c>
      <c r="I271" s="2">
        <f t="shared" si="32"/>
        <v>5</v>
      </c>
      <c r="J271" s="60">
        <f t="shared" si="36"/>
        <v>4</v>
      </c>
      <c r="K271" s="2">
        <f t="shared" si="33"/>
        <v>5</v>
      </c>
      <c r="L271" s="2">
        <f t="shared" si="34"/>
        <v>4</v>
      </c>
      <c r="M271" s="2" t="str">
        <f>'Input Sheet'!E284</f>
        <v>C</v>
      </c>
      <c r="N271" s="2">
        <f t="shared" si="35"/>
        <v>4</v>
      </c>
      <c r="P271">
        <f t="shared" si="37"/>
        <v>0</v>
      </c>
      <c r="Q271">
        <f t="shared" si="37"/>
        <v>0</v>
      </c>
      <c r="R271">
        <f t="shared" si="37"/>
        <v>0</v>
      </c>
      <c r="S271">
        <f t="shared" si="37"/>
        <v>5</v>
      </c>
      <c r="T271">
        <f t="shared" si="37"/>
        <v>0</v>
      </c>
    </row>
    <row r="272" spans="1:20" ht="16.5" x14ac:dyDescent="0.25">
      <c r="A272" s="10" t="str">
        <f>'Long Sample Name'!A268</f>
        <v>Sample 3260m: 15% Siltstone, 85% fine to medium, rare coarse Sandstone, 100% bright FLUOR in SST. TG 96.6U</v>
      </c>
      <c r="B272" s="1" t="str">
        <f ca="1">'Input Sheet'!K285</f>
        <v/>
      </c>
      <c r="C272" s="7" t="str">
        <f ca="1">'Input Sheet'!L285</f>
        <v/>
      </c>
      <c r="D272" s="11">
        <f>'Input Sheet'!B285</f>
        <v>3260</v>
      </c>
      <c r="E272" s="8">
        <f>'Input Sheet'!H285</f>
        <v>96.6</v>
      </c>
      <c r="F272" s="61">
        <f>'Input Sheet'!C270/100</f>
        <v>0.95</v>
      </c>
      <c r="G272" s="61">
        <f>'Input Sheet'!F270/100</f>
        <v>1</v>
      </c>
      <c r="H272" s="2">
        <f t="shared" si="31"/>
        <v>5</v>
      </c>
      <c r="I272" s="2">
        <f t="shared" si="32"/>
        <v>5</v>
      </c>
      <c r="J272" s="60">
        <f t="shared" si="36"/>
        <v>4.75</v>
      </c>
      <c r="K272" s="2">
        <f t="shared" si="33"/>
        <v>5</v>
      </c>
      <c r="L272" s="2">
        <f t="shared" si="34"/>
        <v>4.75</v>
      </c>
      <c r="M272" s="2" t="str">
        <f>'Input Sheet'!E285</f>
        <v>C</v>
      </c>
      <c r="N272" s="2">
        <f t="shared" si="35"/>
        <v>4</v>
      </c>
      <c r="P272">
        <f t="shared" si="37"/>
        <v>0</v>
      </c>
      <c r="Q272">
        <f t="shared" si="37"/>
        <v>0</v>
      </c>
      <c r="R272">
        <f t="shared" si="37"/>
        <v>0</v>
      </c>
      <c r="S272">
        <f t="shared" si="37"/>
        <v>5</v>
      </c>
      <c r="T272">
        <f t="shared" si="37"/>
        <v>0</v>
      </c>
    </row>
    <row r="273" spans="1:20" ht="16.5" x14ac:dyDescent="0.25">
      <c r="A273" s="10" t="str">
        <f>'Long Sample Name'!A269</f>
        <v>Sample 3265m: 10% Siltstone, 90% fine to medium, rare coarse Sandstone, 100% bright FLUOR in SST. TG 127.9U</v>
      </c>
      <c r="B273" s="1" t="str">
        <f ca="1">'Input Sheet'!K286</f>
        <v/>
      </c>
      <c r="C273" s="7" t="str">
        <f ca="1">'Input Sheet'!L286</f>
        <v/>
      </c>
      <c r="D273" s="11">
        <f>'Input Sheet'!B286</f>
        <v>3265</v>
      </c>
      <c r="E273" s="8">
        <f>'Input Sheet'!H286</f>
        <v>127.9</v>
      </c>
      <c r="F273" s="61">
        <f>'Input Sheet'!C271/100</f>
        <v>0.95</v>
      </c>
      <c r="G273" s="61">
        <f>'Input Sheet'!F271/100</f>
        <v>1</v>
      </c>
      <c r="H273" s="2">
        <f t="shared" si="31"/>
        <v>5</v>
      </c>
      <c r="I273" s="2">
        <f t="shared" si="32"/>
        <v>5</v>
      </c>
      <c r="J273" s="60">
        <f t="shared" si="36"/>
        <v>4.75</v>
      </c>
      <c r="K273" s="2">
        <f t="shared" si="33"/>
        <v>5</v>
      </c>
      <c r="L273" s="2">
        <f t="shared" si="34"/>
        <v>4.75</v>
      </c>
      <c r="M273" s="2" t="str">
        <f>'Input Sheet'!E286</f>
        <v>C</v>
      </c>
      <c r="N273" s="2">
        <f t="shared" si="35"/>
        <v>4</v>
      </c>
      <c r="P273">
        <f t="shared" si="37"/>
        <v>0</v>
      </c>
      <c r="Q273">
        <f t="shared" si="37"/>
        <v>0</v>
      </c>
      <c r="R273">
        <f t="shared" si="37"/>
        <v>0</v>
      </c>
      <c r="S273">
        <f t="shared" si="37"/>
        <v>5</v>
      </c>
      <c r="T273">
        <f t="shared" si="37"/>
        <v>0</v>
      </c>
    </row>
    <row r="274" spans="1:20" ht="16.5" x14ac:dyDescent="0.25">
      <c r="A274" s="10" t="str">
        <f>'Long Sample Name'!A270</f>
        <v>Sample 3270m: 10% Siltstone, 90% fine to medium, rare coarse Sandstone, 100% bright FLUOR in SST. TG 135.6U</v>
      </c>
      <c r="B274" s="1" t="str">
        <f ca="1">'Input Sheet'!K287</f>
        <v/>
      </c>
      <c r="C274" s="7" t="str">
        <f ca="1">'Input Sheet'!L287</f>
        <v/>
      </c>
      <c r="D274" s="11">
        <f>'Input Sheet'!B287</f>
        <v>3270</v>
      </c>
      <c r="E274" s="8">
        <f>'Input Sheet'!H287</f>
        <v>135.6</v>
      </c>
      <c r="F274" s="61">
        <f>'Input Sheet'!C272/100</f>
        <v>0.95</v>
      </c>
      <c r="G274" s="61">
        <f>'Input Sheet'!F272/100</f>
        <v>1</v>
      </c>
      <c r="H274" s="2">
        <f t="shared" si="31"/>
        <v>5</v>
      </c>
      <c r="I274" s="2">
        <f t="shared" si="32"/>
        <v>5</v>
      </c>
      <c r="J274" s="60">
        <f t="shared" si="36"/>
        <v>4.75</v>
      </c>
      <c r="K274" s="2">
        <f t="shared" si="33"/>
        <v>5</v>
      </c>
      <c r="L274" s="2">
        <f t="shared" si="34"/>
        <v>4.75</v>
      </c>
      <c r="M274" s="2" t="str">
        <f>'Input Sheet'!E287</f>
        <v>C</v>
      </c>
      <c r="N274" s="2">
        <f t="shared" si="35"/>
        <v>4</v>
      </c>
      <c r="P274">
        <f t="shared" si="37"/>
        <v>0</v>
      </c>
      <c r="Q274">
        <f t="shared" si="37"/>
        <v>0</v>
      </c>
      <c r="R274">
        <f t="shared" si="37"/>
        <v>0</v>
      </c>
      <c r="S274">
        <f t="shared" si="37"/>
        <v>5</v>
      </c>
      <c r="T274">
        <f t="shared" si="37"/>
        <v>0</v>
      </c>
    </row>
    <row r="275" spans="1:20" ht="16.5" x14ac:dyDescent="0.25">
      <c r="A275" s="10" t="str">
        <f>'Long Sample Name'!A271</f>
        <v>Sample 3275m: 5% Siltstone, 95% fine to coarse Sandstone, 100% bright FLUOR in SST. TG 66.8U</v>
      </c>
      <c r="B275" s="1" t="str">
        <f ca="1">'Input Sheet'!K288</f>
        <v/>
      </c>
      <c r="C275" s="7" t="str">
        <f ca="1">'Input Sheet'!L288</f>
        <v/>
      </c>
      <c r="D275" s="11">
        <f>'Input Sheet'!B288</f>
        <v>3275</v>
      </c>
      <c r="E275" s="8">
        <f>'Input Sheet'!H288</f>
        <v>66.8</v>
      </c>
      <c r="F275" s="61">
        <f>'Input Sheet'!C273/100</f>
        <v>0.95</v>
      </c>
      <c r="G275" s="61">
        <f>'Input Sheet'!F273/100</f>
        <v>1</v>
      </c>
      <c r="H275" s="2">
        <f t="shared" si="31"/>
        <v>5</v>
      </c>
      <c r="I275" s="2">
        <f t="shared" si="32"/>
        <v>5</v>
      </c>
      <c r="J275" s="60">
        <f t="shared" si="36"/>
        <v>4.75</v>
      </c>
      <c r="K275" s="2">
        <f t="shared" si="33"/>
        <v>5</v>
      </c>
      <c r="L275" s="2">
        <f t="shared" si="34"/>
        <v>4.75</v>
      </c>
      <c r="M275" s="2" t="str">
        <f>'Input Sheet'!E288</f>
        <v>C</v>
      </c>
      <c r="N275" s="2">
        <f t="shared" si="35"/>
        <v>4</v>
      </c>
      <c r="P275">
        <f t="shared" si="37"/>
        <v>0</v>
      </c>
      <c r="Q275">
        <f t="shared" si="37"/>
        <v>0</v>
      </c>
      <c r="R275">
        <f t="shared" si="37"/>
        <v>0</v>
      </c>
      <c r="S275">
        <f t="shared" si="37"/>
        <v>5</v>
      </c>
      <c r="T275">
        <f t="shared" si="37"/>
        <v>0</v>
      </c>
    </row>
    <row r="276" spans="1:20" ht="16.5" x14ac:dyDescent="0.25">
      <c r="A276" s="10" t="str">
        <f>'Long Sample Name'!A272</f>
        <v>Sample 3280m: 5% Siltstone, 95% fine to coarse Sandstone, 100% bright FLUOR in SST. TG 148.2U</v>
      </c>
      <c r="B276" s="1" t="str">
        <f ca="1">'Input Sheet'!K289</f>
        <v/>
      </c>
      <c r="C276" s="7" t="str">
        <f ca="1">'Input Sheet'!L289</f>
        <v/>
      </c>
      <c r="D276" s="11">
        <f>'Input Sheet'!B289</f>
        <v>3280</v>
      </c>
      <c r="E276" s="8">
        <f>'Input Sheet'!H289</f>
        <v>148.19999999999999</v>
      </c>
      <c r="F276" s="61">
        <f>'Input Sheet'!C274/100</f>
        <v>1</v>
      </c>
      <c r="G276" s="61">
        <f>'Input Sheet'!F274/100</f>
        <v>0.9</v>
      </c>
      <c r="H276" s="2">
        <f t="shared" si="31"/>
        <v>5</v>
      </c>
      <c r="I276" s="2">
        <f t="shared" si="32"/>
        <v>5</v>
      </c>
      <c r="J276" s="60">
        <f t="shared" si="36"/>
        <v>5</v>
      </c>
      <c r="K276" s="2">
        <f t="shared" si="33"/>
        <v>5</v>
      </c>
      <c r="L276" s="2">
        <f t="shared" si="34"/>
        <v>5</v>
      </c>
      <c r="M276" s="2" t="str">
        <f>'Input Sheet'!E289</f>
        <v>C</v>
      </c>
      <c r="N276" s="2">
        <f t="shared" si="35"/>
        <v>4</v>
      </c>
      <c r="P276">
        <f t="shared" si="37"/>
        <v>0</v>
      </c>
      <c r="Q276">
        <f t="shared" si="37"/>
        <v>0</v>
      </c>
      <c r="R276">
        <f t="shared" si="37"/>
        <v>0</v>
      </c>
      <c r="S276">
        <f t="shared" si="37"/>
        <v>5</v>
      </c>
      <c r="T276">
        <f t="shared" si="37"/>
        <v>0</v>
      </c>
    </row>
    <row r="277" spans="1:20" ht="16.5" x14ac:dyDescent="0.25">
      <c r="A277" s="10" t="str">
        <f>'Long Sample Name'!A273</f>
        <v>Sample 3285m: 10% Siltstone, 90% fine to coarse Sandstone, 100% bright FLUOR in SST. TG 119.7U</v>
      </c>
      <c r="B277" s="1" t="str">
        <f ca="1">'Input Sheet'!K290</f>
        <v/>
      </c>
      <c r="C277" s="7" t="str">
        <f ca="1">'Input Sheet'!L290</f>
        <v/>
      </c>
      <c r="D277" s="11">
        <f>'Input Sheet'!B290</f>
        <v>3285</v>
      </c>
      <c r="E277" s="8">
        <f>'Input Sheet'!H290</f>
        <v>119.7</v>
      </c>
      <c r="F277" s="61">
        <f>'Input Sheet'!C275/100</f>
        <v>1</v>
      </c>
      <c r="G277" s="61">
        <f>'Input Sheet'!F275/100</f>
        <v>0.9</v>
      </c>
      <c r="H277" s="2">
        <f t="shared" si="31"/>
        <v>5</v>
      </c>
      <c r="I277" s="2">
        <f t="shared" si="32"/>
        <v>5</v>
      </c>
      <c r="J277" s="60">
        <f t="shared" si="36"/>
        <v>5</v>
      </c>
      <c r="K277" s="2">
        <f t="shared" si="33"/>
        <v>5</v>
      </c>
      <c r="L277" s="2">
        <f t="shared" si="34"/>
        <v>5</v>
      </c>
      <c r="M277" s="2" t="str">
        <f>'Input Sheet'!E290</f>
        <v>C</v>
      </c>
      <c r="N277" s="2">
        <f t="shared" si="35"/>
        <v>4</v>
      </c>
      <c r="P277">
        <f t="shared" si="37"/>
        <v>0</v>
      </c>
      <c r="Q277">
        <f t="shared" si="37"/>
        <v>0</v>
      </c>
      <c r="R277">
        <f t="shared" si="37"/>
        <v>0</v>
      </c>
      <c r="S277">
        <f t="shared" si="37"/>
        <v>5</v>
      </c>
      <c r="T277">
        <f t="shared" si="37"/>
        <v>0</v>
      </c>
    </row>
    <row r="278" spans="1:20" ht="16.5" x14ac:dyDescent="0.25">
      <c r="A278" s="10" t="str">
        <f>'Long Sample Name'!A274</f>
        <v>Sample 3290m: 10% Siltstone, 90% fine to coarse Sandstone, 100% bright FLUOR in SST. TG 101.9U</v>
      </c>
      <c r="B278" s="1" t="str">
        <f ca="1">'Input Sheet'!K291</f>
        <v/>
      </c>
      <c r="C278" s="7" t="str">
        <f ca="1">'Input Sheet'!L291</f>
        <v/>
      </c>
      <c r="D278" s="11">
        <f>'Input Sheet'!B291</f>
        <v>3290</v>
      </c>
      <c r="E278" s="8">
        <f>'Input Sheet'!H291</f>
        <v>101.9</v>
      </c>
      <c r="F278" s="61">
        <f>'Input Sheet'!C276/100</f>
        <v>0.95</v>
      </c>
      <c r="G278" s="61">
        <f>'Input Sheet'!F276/100</f>
        <v>0.9</v>
      </c>
      <c r="H278" s="2">
        <f t="shared" si="31"/>
        <v>5</v>
      </c>
      <c r="I278" s="2">
        <f t="shared" si="32"/>
        <v>5</v>
      </c>
      <c r="J278" s="60">
        <f t="shared" si="36"/>
        <v>4.75</v>
      </c>
      <c r="K278" s="2">
        <f t="shared" si="33"/>
        <v>5</v>
      </c>
      <c r="L278" s="2">
        <f t="shared" si="34"/>
        <v>4.75</v>
      </c>
      <c r="M278" s="2" t="str">
        <f>'Input Sheet'!E291</f>
        <v>C</v>
      </c>
      <c r="N278" s="2">
        <f t="shared" si="35"/>
        <v>4</v>
      </c>
      <c r="P278">
        <f t="shared" si="37"/>
        <v>0</v>
      </c>
      <c r="Q278">
        <f t="shared" si="37"/>
        <v>0</v>
      </c>
      <c r="R278">
        <f t="shared" si="37"/>
        <v>0</v>
      </c>
      <c r="S278">
        <f t="shared" si="37"/>
        <v>5</v>
      </c>
      <c r="T278">
        <f t="shared" si="37"/>
        <v>0</v>
      </c>
    </row>
    <row r="279" spans="1:20" ht="16.5" x14ac:dyDescent="0.25">
      <c r="A279" s="10" t="str">
        <f>'Long Sample Name'!A275</f>
        <v>Sample 3295m: 5% Siltstone, 95% fine to coarse Sandstone, 90% bright FLUOR in SST. TG 108U</v>
      </c>
      <c r="B279" s="1" t="str">
        <f ca="1">'Input Sheet'!K292</f>
        <v/>
      </c>
      <c r="C279" s="7" t="str">
        <f ca="1">'Input Sheet'!L292</f>
        <v/>
      </c>
      <c r="D279" s="11">
        <f>'Input Sheet'!B292</f>
        <v>3295</v>
      </c>
      <c r="E279" s="8">
        <f>'Input Sheet'!H292</f>
        <v>108</v>
      </c>
      <c r="F279" s="61">
        <f>'Input Sheet'!C277/100</f>
        <v>0.95</v>
      </c>
      <c r="G279" s="61">
        <f>'Input Sheet'!F277/100</f>
        <v>0.9</v>
      </c>
      <c r="H279" s="2">
        <f t="shared" si="31"/>
        <v>5</v>
      </c>
      <c r="I279" s="2">
        <f t="shared" si="32"/>
        <v>5</v>
      </c>
      <c r="J279" s="60">
        <f t="shared" si="36"/>
        <v>4.75</v>
      </c>
      <c r="K279" s="2">
        <f t="shared" si="33"/>
        <v>5</v>
      </c>
      <c r="L279" s="2">
        <f t="shared" si="34"/>
        <v>4.75</v>
      </c>
      <c r="M279" s="2" t="str">
        <f>'Input Sheet'!E292</f>
        <v>C</v>
      </c>
      <c r="N279" s="2">
        <f t="shared" si="35"/>
        <v>4</v>
      </c>
      <c r="P279">
        <f t="shared" si="37"/>
        <v>0</v>
      </c>
      <c r="Q279">
        <f t="shared" si="37"/>
        <v>0</v>
      </c>
      <c r="R279">
        <f t="shared" si="37"/>
        <v>0</v>
      </c>
      <c r="S279">
        <f t="shared" si="37"/>
        <v>5</v>
      </c>
      <c r="T279">
        <f t="shared" si="37"/>
        <v>0</v>
      </c>
    </row>
    <row r="280" spans="1:20" ht="16.5" x14ac:dyDescent="0.25">
      <c r="A280" s="10" t="str">
        <f>'Long Sample Name'!A276</f>
        <v>Sample 3300m: 5% Siltstone, 95% fine to coarse Sandstone, 90% bright FLUOR in SST. TG 144.8U</v>
      </c>
      <c r="B280" s="1" t="str">
        <f ca="1">'Input Sheet'!K293</f>
        <v/>
      </c>
      <c r="C280" s="7" t="str">
        <f ca="1">'Input Sheet'!L293</f>
        <v/>
      </c>
      <c r="D280" s="11">
        <f>'Input Sheet'!B293</f>
        <v>3300</v>
      </c>
      <c r="E280" s="8">
        <f>'Input Sheet'!H293</f>
        <v>144.80000000000001</v>
      </c>
      <c r="F280" s="61">
        <f>'Input Sheet'!C278/100</f>
        <v>0.8</v>
      </c>
      <c r="G280" s="61">
        <f>'Input Sheet'!F278/100</f>
        <v>0.5</v>
      </c>
      <c r="H280" s="2">
        <f t="shared" si="31"/>
        <v>5</v>
      </c>
      <c r="I280" s="2">
        <f t="shared" si="32"/>
        <v>5</v>
      </c>
      <c r="J280" s="60">
        <f t="shared" si="36"/>
        <v>4</v>
      </c>
      <c r="K280" s="2">
        <f t="shared" si="33"/>
        <v>0</v>
      </c>
      <c r="L280" s="2">
        <f t="shared" si="34"/>
        <v>0</v>
      </c>
      <c r="M280" s="2" t="str">
        <f>'Input Sheet'!E293</f>
        <v>C</v>
      </c>
      <c r="N280" s="2">
        <f t="shared" si="35"/>
        <v>4</v>
      </c>
      <c r="P280">
        <f t="shared" si="37"/>
        <v>0</v>
      </c>
      <c r="Q280">
        <f t="shared" si="37"/>
        <v>0</v>
      </c>
      <c r="R280">
        <f t="shared" si="37"/>
        <v>0</v>
      </c>
      <c r="S280">
        <f t="shared" si="37"/>
        <v>5</v>
      </c>
      <c r="T280">
        <f t="shared" si="37"/>
        <v>0</v>
      </c>
    </row>
    <row r="281" spans="1:20" ht="16.5" x14ac:dyDescent="0.25">
      <c r="A281" s="10" t="str">
        <f>'Long Sample Name'!A277</f>
        <v>Sample 3305m: 10% Siltstone, 90% fine to medium, rare coarse Sandstone, 100% bright FLUOR in SST. TG 155.1U</v>
      </c>
      <c r="B281" s="1" t="str">
        <f ca="1">'Input Sheet'!K294</f>
        <v/>
      </c>
      <c r="C281" s="7" t="str">
        <f ca="1">'Input Sheet'!L294</f>
        <v/>
      </c>
      <c r="D281" s="11">
        <f>'Input Sheet'!B294</f>
        <v>3305</v>
      </c>
      <c r="E281" s="8">
        <f>'Input Sheet'!H294</f>
        <v>155.1</v>
      </c>
      <c r="F281" s="61">
        <f>'Input Sheet'!C279/100</f>
        <v>0.8</v>
      </c>
      <c r="G281" s="61">
        <f>'Input Sheet'!F279/100</f>
        <v>0.5</v>
      </c>
      <c r="H281" s="2">
        <f t="shared" si="31"/>
        <v>5</v>
      </c>
      <c r="I281" s="2">
        <f t="shared" si="32"/>
        <v>5</v>
      </c>
      <c r="J281" s="60">
        <f t="shared" si="36"/>
        <v>4</v>
      </c>
      <c r="K281" s="2">
        <f t="shared" si="33"/>
        <v>0</v>
      </c>
      <c r="L281" s="2">
        <f t="shared" si="34"/>
        <v>0</v>
      </c>
      <c r="M281" s="2" t="str">
        <f>'Input Sheet'!E294</f>
        <v>C</v>
      </c>
      <c r="N281" s="2">
        <f t="shared" si="35"/>
        <v>4</v>
      </c>
      <c r="P281">
        <f t="shared" si="37"/>
        <v>0</v>
      </c>
      <c r="Q281">
        <f t="shared" si="37"/>
        <v>0</v>
      </c>
      <c r="R281">
        <f t="shared" si="37"/>
        <v>0</v>
      </c>
      <c r="S281">
        <f t="shared" si="37"/>
        <v>5</v>
      </c>
      <c r="T281">
        <f t="shared" si="37"/>
        <v>0</v>
      </c>
    </row>
    <row r="282" spans="1:20" ht="16.5" x14ac:dyDescent="0.25">
      <c r="A282" s="10" t="str">
        <f>'Long Sample Name'!A278</f>
        <v>Sample 3310m: 10% Siltstone, 90% fine to medium, rare coarse Sandstone, 100% bright FLUOR in SST. TG 140.8U</v>
      </c>
      <c r="B282" s="1" t="str">
        <f ca="1">'Input Sheet'!K295</f>
        <v/>
      </c>
      <c r="C282" s="7" t="str">
        <f ca="1">'Input Sheet'!L295</f>
        <v/>
      </c>
      <c r="D282" s="11">
        <f>'Input Sheet'!B295</f>
        <v>3310</v>
      </c>
      <c r="E282" s="8">
        <f>'Input Sheet'!H295</f>
        <v>140.80000000000001</v>
      </c>
      <c r="F282" s="61">
        <f>'Input Sheet'!C280/100</f>
        <v>0.75</v>
      </c>
      <c r="G282" s="61">
        <f>'Input Sheet'!F280/100</f>
        <v>0.8</v>
      </c>
      <c r="H282" s="2">
        <f t="shared" si="31"/>
        <v>5</v>
      </c>
      <c r="I282" s="2">
        <f t="shared" si="32"/>
        <v>5</v>
      </c>
      <c r="J282" s="60">
        <f t="shared" si="36"/>
        <v>3.75</v>
      </c>
      <c r="K282" s="2">
        <f t="shared" si="33"/>
        <v>5</v>
      </c>
      <c r="L282" s="2">
        <f t="shared" si="34"/>
        <v>3.75</v>
      </c>
      <c r="M282" s="2" t="str">
        <f>'Input Sheet'!E295</f>
        <v>C</v>
      </c>
      <c r="N282" s="2">
        <f t="shared" si="35"/>
        <v>4</v>
      </c>
      <c r="P282">
        <f t="shared" si="37"/>
        <v>0</v>
      </c>
      <c r="Q282">
        <f t="shared" si="37"/>
        <v>0</v>
      </c>
      <c r="R282">
        <f t="shared" si="37"/>
        <v>0</v>
      </c>
      <c r="S282">
        <f t="shared" si="37"/>
        <v>5</v>
      </c>
      <c r="T282">
        <f t="shared" si="37"/>
        <v>0</v>
      </c>
    </row>
    <row r="283" spans="1:20" ht="16.5" x14ac:dyDescent="0.25">
      <c r="A283" s="10" t="str">
        <f>'Long Sample Name'!A279</f>
        <v>Sample 3315m: 10% Siltstone, 90% fine to medium, rare coarse Sandstone, 100% bright FLUOR in SST. TG 138.1U</v>
      </c>
      <c r="B283" s="1" t="str">
        <f ca="1">'Input Sheet'!K296</f>
        <v/>
      </c>
      <c r="C283" s="7" t="str">
        <f ca="1">'Input Sheet'!L296</f>
        <v/>
      </c>
      <c r="D283" s="11">
        <f>'Input Sheet'!B296</f>
        <v>3315</v>
      </c>
      <c r="E283" s="8">
        <f>'Input Sheet'!H296</f>
        <v>138.1</v>
      </c>
      <c r="F283" s="61">
        <f>'Input Sheet'!C281/100</f>
        <v>0.8</v>
      </c>
      <c r="G283" s="61">
        <f>'Input Sheet'!F281/100</f>
        <v>0.8</v>
      </c>
      <c r="H283" s="2">
        <f t="shared" si="31"/>
        <v>5</v>
      </c>
      <c r="I283" s="2">
        <f t="shared" si="32"/>
        <v>5</v>
      </c>
      <c r="J283" s="60">
        <f t="shared" si="36"/>
        <v>4</v>
      </c>
      <c r="K283" s="2">
        <f t="shared" si="33"/>
        <v>5</v>
      </c>
      <c r="L283" s="2">
        <f t="shared" si="34"/>
        <v>4</v>
      </c>
      <c r="M283" s="2" t="str">
        <f>'Input Sheet'!E296</f>
        <v>C</v>
      </c>
      <c r="N283" s="2">
        <f t="shared" si="35"/>
        <v>4</v>
      </c>
      <c r="P283">
        <f t="shared" si="37"/>
        <v>0</v>
      </c>
      <c r="Q283">
        <f t="shared" si="37"/>
        <v>0</v>
      </c>
      <c r="R283">
        <f t="shared" si="37"/>
        <v>0</v>
      </c>
      <c r="S283">
        <f t="shared" si="37"/>
        <v>5</v>
      </c>
      <c r="T283">
        <f t="shared" si="37"/>
        <v>0</v>
      </c>
    </row>
    <row r="284" spans="1:20" ht="16.5" x14ac:dyDescent="0.25">
      <c r="A284" s="10" t="str">
        <f>'Long Sample Name'!A280</f>
        <v>Sample 3320m: 10% Siltstone, 90% fine to medium, rare coarse Sandstone, 100% bright FLUOR in SST. TG 190.2U</v>
      </c>
      <c r="B284" s="1" t="str">
        <f ca="1">'Input Sheet'!K297</f>
        <v/>
      </c>
      <c r="C284" s="7" t="str">
        <f ca="1">'Input Sheet'!L297</f>
        <v/>
      </c>
      <c r="D284" s="11">
        <f>'Input Sheet'!B297</f>
        <v>3320</v>
      </c>
      <c r="E284" s="8">
        <f>'Input Sheet'!H297</f>
        <v>190.2</v>
      </c>
      <c r="F284" s="61">
        <f>'Input Sheet'!C282/100</f>
        <v>0.9</v>
      </c>
      <c r="G284" s="61">
        <f>'Input Sheet'!F282/100</f>
        <v>1</v>
      </c>
      <c r="H284" s="2">
        <f t="shared" si="31"/>
        <v>5</v>
      </c>
      <c r="I284" s="2">
        <f t="shared" si="32"/>
        <v>5</v>
      </c>
      <c r="J284" s="60">
        <f t="shared" si="36"/>
        <v>4.5</v>
      </c>
      <c r="K284" s="2">
        <f t="shared" si="33"/>
        <v>5</v>
      </c>
      <c r="L284" s="2">
        <f t="shared" si="34"/>
        <v>4.5</v>
      </c>
      <c r="M284" s="2" t="str">
        <f>'Input Sheet'!E297</f>
        <v>C</v>
      </c>
      <c r="N284" s="2">
        <f t="shared" si="35"/>
        <v>4</v>
      </c>
      <c r="P284">
        <f t="shared" si="37"/>
        <v>0</v>
      </c>
      <c r="Q284">
        <f t="shared" si="37"/>
        <v>0</v>
      </c>
      <c r="R284">
        <f t="shared" si="37"/>
        <v>0</v>
      </c>
      <c r="S284">
        <f t="shared" si="37"/>
        <v>5</v>
      </c>
      <c r="T284">
        <f t="shared" si="37"/>
        <v>0</v>
      </c>
    </row>
    <row r="285" spans="1:20" ht="16.5" x14ac:dyDescent="0.25">
      <c r="A285" s="10" t="str">
        <f>'Long Sample Name'!A281</f>
        <v>Sample 3325m: common siderite in 20% Siltstone, 80% fine to coarse Sandstone, 80% moderately bright FLUOR in SST. TG 165.8U</v>
      </c>
      <c r="B285" s="1" t="str">
        <f ca="1">'Input Sheet'!K298</f>
        <v/>
      </c>
      <c r="C285" s="7" t="str">
        <f ca="1">'Input Sheet'!L298</f>
        <v/>
      </c>
      <c r="D285" s="11">
        <f>'Input Sheet'!B298</f>
        <v>3325</v>
      </c>
      <c r="E285" s="8">
        <f>'Input Sheet'!H298</f>
        <v>165.8</v>
      </c>
      <c r="F285" s="61">
        <f>'Input Sheet'!C283/100</f>
        <v>0.95</v>
      </c>
      <c r="G285" s="61">
        <f>'Input Sheet'!F283/100</f>
        <v>1</v>
      </c>
      <c r="H285" s="2">
        <f t="shared" si="31"/>
        <v>5</v>
      </c>
      <c r="I285" s="2">
        <f t="shared" si="32"/>
        <v>5</v>
      </c>
      <c r="J285" s="60">
        <f t="shared" si="36"/>
        <v>4.75</v>
      </c>
      <c r="K285" s="2">
        <f t="shared" si="33"/>
        <v>5</v>
      </c>
      <c r="L285" s="2">
        <f t="shared" si="34"/>
        <v>4.75</v>
      </c>
      <c r="M285" s="2" t="str">
        <f>'Input Sheet'!E298</f>
        <v>C</v>
      </c>
      <c r="N285" s="2">
        <f t="shared" si="35"/>
        <v>4</v>
      </c>
      <c r="P285">
        <f t="shared" si="37"/>
        <v>0</v>
      </c>
      <c r="Q285">
        <f t="shared" si="37"/>
        <v>0</v>
      </c>
      <c r="R285">
        <f t="shared" si="37"/>
        <v>0</v>
      </c>
      <c r="S285">
        <f t="shared" si="37"/>
        <v>5</v>
      </c>
      <c r="T285">
        <f t="shared" si="37"/>
        <v>0</v>
      </c>
    </row>
    <row r="286" spans="1:20" ht="16.5" x14ac:dyDescent="0.25">
      <c r="A286" s="10" t="str">
        <f>'Long Sample Name'!A282</f>
        <v>Sample 3330m: common siderite in 20% Siltstone, 80% fine to coarse Sandstone, 80% moderately bright FLUOR in SST. TG 121.4U</v>
      </c>
      <c r="B286" s="1" t="str">
        <f ca="1">'Input Sheet'!K299</f>
        <v/>
      </c>
      <c r="C286" s="7" t="str">
        <f ca="1">'Input Sheet'!L299</f>
        <v/>
      </c>
      <c r="D286" s="11">
        <f>'Input Sheet'!B299</f>
        <v>3330</v>
      </c>
      <c r="E286" s="8">
        <f>'Input Sheet'!H299</f>
        <v>121.4</v>
      </c>
      <c r="F286" s="61">
        <f>'Input Sheet'!C284/100</f>
        <v>0.85</v>
      </c>
      <c r="G286" s="61">
        <f>'Input Sheet'!F284/100</f>
        <v>1</v>
      </c>
      <c r="H286" s="2">
        <f t="shared" si="31"/>
        <v>5</v>
      </c>
      <c r="I286" s="2">
        <f t="shared" si="32"/>
        <v>5</v>
      </c>
      <c r="J286" s="60">
        <f t="shared" si="36"/>
        <v>4.25</v>
      </c>
      <c r="K286" s="2">
        <f t="shared" si="33"/>
        <v>5</v>
      </c>
      <c r="L286" s="2">
        <f t="shared" si="34"/>
        <v>4.25</v>
      </c>
      <c r="M286" s="2" t="str">
        <f>'Input Sheet'!E299</f>
        <v>C</v>
      </c>
      <c r="N286" s="2">
        <f t="shared" si="35"/>
        <v>4</v>
      </c>
      <c r="P286">
        <f t="shared" si="37"/>
        <v>0</v>
      </c>
      <c r="Q286">
        <f t="shared" si="37"/>
        <v>0</v>
      </c>
      <c r="R286">
        <f t="shared" si="37"/>
        <v>0</v>
      </c>
      <c r="S286">
        <f t="shared" si="37"/>
        <v>5</v>
      </c>
      <c r="T286">
        <f t="shared" si="37"/>
        <v>0</v>
      </c>
    </row>
    <row r="287" spans="1:20" ht="16.5" x14ac:dyDescent="0.25">
      <c r="A287" s="10" t="str">
        <f>'Long Sample Name'!A283</f>
        <v>Sample 3335m: 10% Siltstone, common siderite in 90% fine to coarse Sandstone, 80% moderately bright FLUOR in SST. TG 78.5U</v>
      </c>
      <c r="B287" s="1" t="str">
        <f ca="1">'Input Sheet'!K300</f>
        <v/>
      </c>
      <c r="C287" s="7" t="str">
        <f ca="1">'Input Sheet'!L300</f>
        <v/>
      </c>
      <c r="D287" s="11">
        <f>'Input Sheet'!B300</f>
        <v>3335</v>
      </c>
      <c r="E287" s="8">
        <f>'Input Sheet'!H300</f>
        <v>78.5</v>
      </c>
      <c r="F287" s="61">
        <f>'Input Sheet'!C285/100</f>
        <v>0.85</v>
      </c>
      <c r="G287" s="61">
        <f>'Input Sheet'!F285/100</f>
        <v>1</v>
      </c>
      <c r="H287" s="2">
        <f t="shared" si="31"/>
        <v>5</v>
      </c>
      <c r="I287" s="2">
        <f t="shared" si="32"/>
        <v>5</v>
      </c>
      <c r="J287" s="60">
        <f t="shared" si="36"/>
        <v>4.25</v>
      </c>
      <c r="K287" s="2">
        <f t="shared" si="33"/>
        <v>5</v>
      </c>
      <c r="L287" s="2">
        <f t="shared" si="34"/>
        <v>4.25</v>
      </c>
      <c r="M287" s="2" t="str">
        <f>'Input Sheet'!E300</f>
        <v>C</v>
      </c>
      <c r="N287" s="2">
        <f t="shared" si="35"/>
        <v>4</v>
      </c>
      <c r="P287">
        <f t="shared" si="37"/>
        <v>0</v>
      </c>
      <c r="Q287">
        <f t="shared" si="37"/>
        <v>0</v>
      </c>
      <c r="R287">
        <f t="shared" si="37"/>
        <v>0</v>
      </c>
      <c r="S287">
        <f t="shared" si="37"/>
        <v>5</v>
      </c>
      <c r="T287">
        <f t="shared" si="37"/>
        <v>0</v>
      </c>
    </row>
    <row r="288" spans="1:20" ht="16.5" x14ac:dyDescent="0.25">
      <c r="A288" s="10" t="str">
        <f>'Long Sample Name'!A284</f>
        <v>Sample 3340m: 10% Siltstone, common siderite in 90% fine to coarse Sandstone, 80% moderately bright FLUOR in SST. TG U</v>
      </c>
      <c r="B288" s="1" t="str">
        <f ca="1">'Input Sheet'!K301</f>
        <v/>
      </c>
      <c r="C288" s="7" t="str">
        <f ca="1">'Input Sheet'!L301</f>
        <v/>
      </c>
      <c r="D288" s="11">
        <f>'Input Sheet'!B301</f>
        <v>3340</v>
      </c>
      <c r="E288" s="8">
        <f>'Input Sheet'!H301</f>
        <v>0</v>
      </c>
      <c r="F288" s="61">
        <f>'Input Sheet'!C286/100</f>
        <v>0.9</v>
      </c>
      <c r="G288" s="61">
        <f>'Input Sheet'!F286/100</f>
        <v>1</v>
      </c>
      <c r="H288" s="2">
        <f t="shared" si="31"/>
        <v>5</v>
      </c>
      <c r="I288" s="2">
        <f t="shared" si="32"/>
        <v>5</v>
      </c>
      <c r="J288" s="60">
        <f t="shared" si="36"/>
        <v>4.5</v>
      </c>
      <c r="K288" s="2">
        <f t="shared" si="33"/>
        <v>5</v>
      </c>
      <c r="L288" s="2">
        <f t="shared" si="34"/>
        <v>4.5</v>
      </c>
      <c r="M288" s="2" t="str">
        <f>'Input Sheet'!E301</f>
        <v>C</v>
      </c>
      <c r="N288" s="2">
        <f t="shared" si="35"/>
        <v>4</v>
      </c>
      <c r="P288">
        <f t="shared" si="37"/>
        <v>0</v>
      </c>
      <c r="Q288">
        <f t="shared" si="37"/>
        <v>0</v>
      </c>
      <c r="R288">
        <f t="shared" si="37"/>
        <v>0</v>
      </c>
      <c r="S288">
        <f t="shared" si="37"/>
        <v>5</v>
      </c>
      <c r="T288">
        <f t="shared" si="37"/>
        <v>0</v>
      </c>
    </row>
    <row r="289" spans="1:20" ht="16.5" x14ac:dyDescent="0.25">
      <c r="A289" s="10" t="str">
        <f>'Long Sample Name'!A285</f>
        <v>Sample 3345m: common siderite in 25% Siltstone, 75% very fine to coarse Sandstone, 80% moderately bright FLUOR in SST. TG U</v>
      </c>
      <c r="B289" s="1" t="str">
        <f ca="1">'Input Sheet'!K302</f>
        <v/>
      </c>
      <c r="C289" s="7" t="str">
        <f ca="1">'Input Sheet'!L302</f>
        <v/>
      </c>
      <c r="D289" s="11">
        <f>'Input Sheet'!B302</f>
        <v>3345</v>
      </c>
      <c r="E289" s="8">
        <f>'Input Sheet'!H302</f>
        <v>0</v>
      </c>
      <c r="F289" s="61">
        <f>'Input Sheet'!C287/100</f>
        <v>0.9</v>
      </c>
      <c r="G289" s="61">
        <f>'Input Sheet'!F287/100</f>
        <v>1</v>
      </c>
      <c r="H289" s="2">
        <f t="shared" si="31"/>
        <v>5</v>
      </c>
      <c r="I289" s="2">
        <f t="shared" si="32"/>
        <v>5</v>
      </c>
      <c r="J289" s="60">
        <f t="shared" si="36"/>
        <v>4.5</v>
      </c>
      <c r="K289" s="2">
        <f t="shared" si="33"/>
        <v>5</v>
      </c>
      <c r="L289" s="2">
        <f t="shared" si="34"/>
        <v>4.5</v>
      </c>
      <c r="M289" s="2" t="str">
        <f>'Input Sheet'!E302</f>
        <v>C</v>
      </c>
      <c r="N289" s="2">
        <f t="shared" si="35"/>
        <v>4</v>
      </c>
      <c r="P289">
        <f t="shared" si="37"/>
        <v>0</v>
      </c>
      <c r="Q289">
        <f t="shared" si="37"/>
        <v>0</v>
      </c>
      <c r="R289">
        <f t="shared" si="37"/>
        <v>0</v>
      </c>
      <c r="S289">
        <f t="shared" si="37"/>
        <v>5</v>
      </c>
      <c r="T289">
        <f t="shared" si="37"/>
        <v>0</v>
      </c>
    </row>
    <row r="290" spans="1:20" ht="16.5" x14ac:dyDescent="0.25">
      <c r="A290" s="10" t="str">
        <f>'Long Sample Name'!A286</f>
        <v>Sample 3350m: common siderite in 25% Siltstone, 75% very fine to coarse Sandstone, 80% moderately bright FLUOR in SST. TG U</v>
      </c>
      <c r="B290" s="1" t="str">
        <f ca="1">'Input Sheet'!K303</f>
        <v/>
      </c>
      <c r="C290" s="7" t="str">
        <f ca="1">'Input Sheet'!L303</f>
        <v/>
      </c>
      <c r="D290" s="11">
        <f>'Input Sheet'!B303</f>
        <v>3350</v>
      </c>
      <c r="E290" s="8">
        <f>'Input Sheet'!H303</f>
        <v>0</v>
      </c>
      <c r="F290" s="61">
        <f>'Input Sheet'!C288/100</f>
        <v>0.95</v>
      </c>
      <c r="G290" s="61">
        <f>'Input Sheet'!F288/100</f>
        <v>1</v>
      </c>
      <c r="H290" s="2">
        <f t="shared" si="31"/>
        <v>5</v>
      </c>
      <c r="I290" s="2">
        <f t="shared" si="32"/>
        <v>5</v>
      </c>
      <c r="J290" s="60">
        <f t="shared" si="36"/>
        <v>4.75</v>
      </c>
      <c r="K290" s="2">
        <f t="shared" si="33"/>
        <v>5</v>
      </c>
      <c r="L290" s="2">
        <f t="shared" si="34"/>
        <v>4.75</v>
      </c>
      <c r="M290" s="2" t="str">
        <f>'Input Sheet'!E303</f>
        <v>C</v>
      </c>
      <c r="N290" s="2">
        <f t="shared" si="35"/>
        <v>4</v>
      </c>
      <c r="P290">
        <f t="shared" si="37"/>
        <v>0</v>
      </c>
      <c r="Q290">
        <f t="shared" si="37"/>
        <v>0</v>
      </c>
      <c r="R290">
        <f t="shared" si="37"/>
        <v>0</v>
      </c>
      <c r="S290">
        <f t="shared" si="37"/>
        <v>5</v>
      </c>
      <c r="T290">
        <f t="shared" si="37"/>
        <v>0</v>
      </c>
    </row>
    <row r="291" spans="1:20" ht="16.5" x14ac:dyDescent="0.25">
      <c r="A291" s="10" t="str">
        <f>'Long Sample Name'!A287</f>
        <v>Sample 3355m: trace siderite in 30% Siltstone, 70% very fine to coarse Sandstone, 80% moderately bright FLUOR in SST. TG U</v>
      </c>
      <c r="B291" s="1" t="str">
        <f ca="1">'Input Sheet'!K304</f>
        <v/>
      </c>
      <c r="C291" s="7" t="str">
        <f ca="1">'Input Sheet'!L304</f>
        <v/>
      </c>
      <c r="D291" s="11">
        <f>'Input Sheet'!B304</f>
        <v>3355</v>
      </c>
      <c r="E291" s="8">
        <f>'Input Sheet'!H304</f>
        <v>0</v>
      </c>
      <c r="F291" s="61">
        <f>'Input Sheet'!C289/100</f>
        <v>0.95</v>
      </c>
      <c r="G291" s="61">
        <f>'Input Sheet'!F289/100</f>
        <v>1</v>
      </c>
      <c r="H291" s="2">
        <f t="shared" si="31"/>
        <v>5</v>
      </c>
      <c r="I291" s="2">
        <f t="shared" si="32"/>
        <v>5</v>
      </c>
      <c r="J291" s="60">
        <f t="shared" si="36"/>
        <v>4.75</v>
      </c>
      <c r="K291" s="2">
        <f t="shared" si="33"/>
        <v>5</v>
      </c>
      <c r="L291" s="2">
        <f t="shared" si="34"/>
        <v>4.75</v>
      </c>
      <c r="M291" s="2" t="str">
        <f>'Input Sheet'!E304</f>
        <v>C</v>
      </c>
      <c r="N291" s="2">
        <f t="shared" si="35"/>
        <v>4</v>
      </c>
      <c r="P291">
        <f t="shared" si="37"/>
        <v>0</v>
      </c>
      <c r="Q291">
        <f t="shared" si="37"/>
        <v>0</v>
      </c>
      <c r="R291">
        <f t="shared" si="37"/>
        <v>0</v>
      </c>
      <c r="S291">
        <f t="shared" si="37"/>
        <v>5</v>
      </c>
      <c r="T291">
        <f t="shared" si="37"/>
        <v>0</v>
      </c>
    </row>
    <row r="292" spans="1:20" ht="16.5" x14ac:dyDescent="0.25">
      <c r="A292" s="10" t="str">
        <f>'Long Sample Name'!A288</f>
        <v>Sample 3360m: trace siderite in 30% Siltstone, 70% very fine to coarse Sandstone, 80% moderately bright FLUOR in SST. TG U</v>
      </c>
      <c r="B292" s="1" t="str">
        <f ca="1">'Input Sheet'!K305</f>
        <v/>
      </c>
      <c r="C292" s="7" t="str">
        <f ca="1">'Input Sheet'!L305</f>
        <v/>
      </c>
      <c r="D292" s="11">
        <f>'Input Sheet'!B305</f>
        <v>3360</v>
      </c>
      <c r="E292" s="8">
        <f>'Input Sheet'!H305</f>
        <v>0</v>
      </c>
      <c r="F292" s="61">
        <f>'Input Sheet'!C290/100</f>
        <v>0.9</v>
      </c>
      <c r="G292" s="61">
        <f>'Input Sheet'!F290/100</f>
        <v>1</v>
      </c>
      <c r="H292" s="2">
        <f t="shared" si="31"/>
        <v>5</v>
      </c>
      <c r="I292" s="2">
        <f t="shared" si="32"/>
        <v>5</v>
      </c>
      <c r="J292" s="60">
        <f t="shared" si="36"/>
        <v>4.5</v>
      </c>
      <c r="K292" s="2">
        <f t="shared" si="33"/>
        <v>5</v>
      </c>
      <c r="L292" s="2">
        <f t="shared" si="34"/>
        <v>4.5</v>
      </c>
      <c r="M292" s="2" t="str">
        <f>'Input Sheet'!E305</f>
        <v>C</v>
      </c>
      <c r="N292" s="2">
        <f t="shared" si="35"/>
        <v>4</v>
      </c>
      <c r="P292">
        <f t="shared" si="37"/>
        <v>0</v>
      </c>
      <c r="Q292">
        <f t="shared" si="37"/>
        <v>0</v>
      </c>
      <c r="R292">
        <f t="shared" si="37"/>
        <v>0</v>
      </c>
      <c r="S292">
        <f t="shared" si="37"/>
        <v>5</v>
      </c>
      <c r="T292">
        <f t="shared" si="37"/>
        <v>0</v>
      </c>
    </row>
    <row r="293" spans="1:20" ht="16.5" x14ac:dyDescent="0.25">
      <c r="A293" s="10" t="str">
        <f>'Long Sample Name'!A289</f>
        <v>Sample 3365m: trace siderite in 35% Siltstone, 65% very fine to coarse Sandstone, 80% moderately bright FLUOR in SST. TG U</v>
      </c>
      <c r="B293" s="1" t="str">
        <f ca="1">'Input Sheet'!K306</f>
        <v/>
      </c>
      <c r="C293" s="7" t="str">
        <f ca="1">'Input Sheet'!L306</f>
        <v/>
      </c>
      <c r="D293" s="11">
        <f>'Input Sheet'!B306</f>
        <v>3365</v>
      </c>
      <c r="E293" s="8">
        <f>'Input Sheet'!H306</f>
        <v>0</v>
      </c>
      <c r="F293" s="61">
        <f>'Input Sheet'!C291/100</f>
        <v>0.9</v>
      </c>
      <c r="G293" s="61">
        <f>'Input Sheet'!F291/100</f>
        <v>1</v>
      </c>
      <c r="H293" s="2">
        <f t="shared" si="31"/>
        <v>5</v>
      </c>
      <c r="I293" s="2">
        <f t="shared" si="32"/>
        <v>5</v>
      </c>
      <c r="J293" s="60">
        <f t="shared" si="36"/>
        <v>4.5</v>
      </c>
      <c r="K293" s="2">
        <f t="shared" si="33"/>
        <v>5</v>
      </c>
      <c r="L293" s="2">
        <f t="shared" si="34"/>
        <v>4.5</v>
      </c>
      <c r="M293" s="2" t="str">
        <f>'Input Sheet'!E306</f>
        <v>C</v>
      </c>
      <c r="N293" s="2">
        <f t="shared" si="35"/>
        <v>4</v>
      </c>
      <c r="P293">
        <f t="shared" si="37"/>
        <v>0</v>
      </c>
      <c r="Q293">
        <f t="shared" si="37"/>
        <v>0</v>
      </c>
      <c r="R293">
        <f t="shared" si="37"/>
        <v>0</v>
      </c>
      <c r="S293">
        <f t="shared" si="37"/>
        <v>5</v>
      </c>
      <c r="T293">
        <f t="shared" si="37"/>
        <v>0</v>
      </c>
    </row>
    <row r="294" spans="1:20" ht="16.5" x14ac:dyDescent="0.25">
      <c r="A294" s="10" t="str">
        <f>'Long Sample Name'!A290</f>
        <v>Sample 3370m: trace siderite in 35% Siltstone, 65% very fine to coarse Sandstone, 80% moderately bright FLUOR in SST. TG U</v>
      </c>
      <c r="B294" s="1" t="str">
        <f ca="1">'Input Sheet'!K307</f>
        <v/>
      </c>
      <c r="C294" s="7" t="str">
        <f ca="1">'Input Sheet'!L307</f>
        <v/>
      </c>
      <c r="D294" s="11">
        <f>'Input Sheet'!B307</f>
        <v>3370</v>
      </c>
      <c r="E294" s="8">
        <f>'Input Sheet'!H307</f>
        <v>0</v>
      </c>
      <c r="F294" s="61">
        <f>'Input Sheet'!C292/100</f>
        <v>0.95</v>
      </c>
      <c r="G294" s="61">
        <f>'Input Sheet'!F292/100</f>
        <v>0.9</v>
      </c>
      <c r="H294" s="2">
        <f t="shared" si="31"/>
        <v>5</v>
      </c>
      <c r="I294" s="2">
        <f t="shared" si="32"/>
        <v>5</v>
      </c>
      <c r="J294" s="60">
        <f t="shared" si="36"/>
        <v>4.75</v>
      </c>
      <c r="K294" s="2">
        <f t="shared" si="33"/>
        <v>5</v>
      </c>
      <c r="L294" s="2">
        <f t="shared" si="34"/>
        <v>4.75</v>
      </c>
      <c r="M294" s="2" t="str">
        <f>'Input Sheet'!E307</f>
        <v>C</v>
      </c>
      <c r="N294" s="2">
        <f t="shared" si="35"/>
        <v>4</v>
      </c>
      <c r="P294">
        <f t="shared" si="37"/>
        <v>0</v>
      </c>
      <c r="Q294">
        <f t="shared" si="37"/>
        <v>0</v>
      </c>
      <c r="R294">
        <f t="shared" si="37"/>
        <v>0</v>
      </c>
      <c r="S294">
        <f t="shared" si="37"/>
        <v>5</v>
      </c>
      <c r="T294">
        <f t="shared" si="37"/>
        <v>0</v>
      </c>
    </row>
    <row r="295" spans="1:20" ht="16.5" x14ac:dyDescent="0.25">
      <c r="A295" s="10" t="str">
        <f>'Long Sample Name'!A291</f>
        <v>Sample 3375m: common siderite in 45% Siltstone, 55% very fine to fine Sandstone, 80% moderately bright FLUOR in SST. TG U</v>
      </c>
      <c r="B295" s="1" t="str">
        <f ca="1">'Input Sheet'!K308</f>
        <v/>
      </c>
      <c r="C295" s="7" t="str">
        <f ca="1">'Input Sheet'!L308</f>
        <v/>
      </c>
      <c r="D295" s="11">
        <f>'Input Sheet'!B308</f>
        <v>3375</v>
      </c>
      <c r="E295" s="8">
        <f>'Input Sheet'!H308</f>
        <v>0</v>
      </c>
      <c r="F295" s="61">
        <f>'Input Sheet'!C293/100</f>
        <v>0.95</v>
      </c>
      <c r="G295" s="61">
        <f>'Input Sheet'!F293/100</f>
        <v>0.9</v>
      </c>
      <c r="H295" s="2">
        <f t="shared" si="31"/>
        <v>5</v>
      </c>
      <c r="I295" s="2">
        <f t="shared" si="32"/>
        <v>5</v>
      </c>
      <c r="J295" s="60">
        <f t="shared" si="36"/>
        <v>4.75</v>
      </c>
      <c r="K295" s="2">
        <f t="shared" si="33"/>
        <v>5</v>
      </c>
      <c r="L295" s="2">
        <f t="shared" si="34"/>
        <v>4.75</v>
      </c>
      <c r="M295" s="2" t="str">
        <f>'Input Sheet'!E308</f>
        <v>VF</v>
      </c>
      <c r="N295" s="2">
        <f t="shared" si="35"/>
        <v>1</v>
      </c>
      <c r="P295">
        <f t="shared" si="37"/>
        <v>5</v>
      </c>
      <c r="Q295">
        <f t="shared" si="37"/>
        <v>0</v>
      </c>
      <c r="R295">
        <f t="shared" si="37"/>
        <v>0</v>
      </c>
      <c r="S295">
        <f t="shared" si="37"/>
        <v>0</v>
      </c>
      <c r="T295">
        <f t="shared" si="37"/>
        <v>0</v>
      </c>
    </row>
    <row r="296" spans="1:20" ht="16.5" x14ac:dyDescent="0.25">
      <c r="A296" s="10" t="str">
        <f>'Long Sample Name'!A292</f>
        <v>Sample 3380m: common siderite in 45% Siltstone, 55% very fine to fine Sandstone, 80% moderately bright FLUOR in SST. TG U</v>
      </c>
      <c r="B296" s="1" t="str">
        <f ca="1">'Input Sheet'!K309</f>
        <v/>
      </c>
      <c r="C296" s="7" t="str">
        <f ca="1">'Input Sheet'!L309</f>
        <v/>
      </c>
      <c r="D296" s="11">
        <f>'Input Sheet'!B309</f>
        <v>3380</v>
      </c>
      <c r="E296" s="8">
        <f>'Input Sheet'!H309</f>
        <v>0</v>
      </c>
      <c r="F296" s="61">
        <f>'Input Sheet'!C294/100</f>
        <v>0.9</v>
      </c>
      <c r="G296" s="61">
        <f>'Input Sheet'!F294/100</f>
        <v>1</v>
      </c>
      <c r="H296" s="2">
        <f t="shared" si="31"/>
        <v>5</v>
      </c>
      <c r="I296" s="2">
        <f t="shared" si="32"/>
        <v>5</v>
      </c>
      <c r="J296" s="60">
        <f t="shared" si="36"/>
        <v>4.5</v>
      </c>
      <c r="K296" s="2">
        <f t="shared" si="33"/>
        <v>5</v>
      </c>
      <c r="L296" s="2">
        <f t="shared" si="34"/>
        <v>4.5</v>
      </c>
      <c r="M296" s="2" t="str">
        <f>'Input Sheet'!E309</f>
        <v>VF</v>
      </c>
      <c r="N296" s="2">
        <f t="shared" si="35"/>
        <v>1</v>
      </c>
      <c r="P296">
        <f t="shared" si="37"/>
        <v>5</v>
      </c>
      <c r="Q296">
        <f t="shared" si="37"/>
        <v>0</v>
      </c>
      <c r="R296">
        <f t="shared" si="37"/>
        <v>0</v>
      </c>
      <c r="S296">
        <f t="shared" si="37"/>
        <v>0</v>
      </c>
      <c r="T296">
        <f t="shared" si="37"/>
        <v>0</v>
      </c>
    </row>
    <row r="297" spans="1:20" ht="16.5" x14ac:dyDescent="0.25">
      <c r="A297" s="10" t="str">
        <f>'Long Sample Name'!A293</f>
        <v>Sample 3385m: common siderite in 50% Siltstone, 50% very fine to fine Sandstone, 80% moderately bright FLUOR in SST. TG U</v>
      </c>
      <c r="B297" s="1" t="str">
        <f ca="1">'Input Sheet'!K310</f>
        <v/>
      </c>
      <c r="C297" s="7" t="str">
        <f ca="1">'Input Sheet'!L310</f>
        <v/>
      </c>
      <c r="D297" s="11">
        <f>'Input Sheet'!B310</f>
        <v>3385</v>
      </c>
      <c r="E297" s="8">
        <f>'Input Sheet'!H310</f>
        <v>0</v>
      </c>
      <c r="F297" s="61">
        <f>'Input Sheet'!C295/100</f>
        <v>0.9</v>
      </c>
      <c r="G297" s="61">
        <f>'Input Sheet'!F295/100</f>
        <v>1</v>
      </c>
      <c r="H297" s="2">
        <f t="shared" si="31"/>
        <v>5</v>
      </c>
      <c r="I297" s="2">
        <f t="shared" si="32"/>
        <v>5</v>
      </c>
      <c r="J297" s="60">
        <f t="shared" si="36"/>
        <v>4.5</v>
      </c>
      <c r="K297" s="2">
        <f t="shared" si="33"/>
        <v>5</v>
      </c>
      <c r="L297" s="2">
        <f t="shared" si="34"/>
        <v>4.5</v>
      </c>
      <c r="M297" s="2" t="str">
        <f>'Input Sheet'!E310</f>
        <v>VF</v>
      </c>
      <c r="N297" s="2">
        <f t="shared" si="35"/>
        <v>1</v>
      </c>
      <c r="P297">
        <f t="shared" si="37"/>
        <v>5</v>
      </c>
      <c r="Q297">
        <f t="shared" si="37"/>
        <v>0</v>
      </c>
      <c r="R297">
        <f t="shared" si="37"/>
        <v>0</v>
      </c>
      <c r="S297">
        <f t="shared" si="37"/>
        <v>0</v>
      </c>
      <c r="T297">
        <f t="shared" si="37"/>
        <v>0</v>
      </c>
    </row>
    <row r="298" spans="1:20" ht="16.5" x14ac:dyDescent="0.25">
      <c r="A298" s="10" t="str">
        <f>'Long Sample Name'!A294</f>
        <v>Sample 3390m: common siderite in 50% Siltstone, 50% very fine to fine Sandstone, 80% moderately bright FLUOR in SST. TG U</v>
      </c>
      <c r="B298" s="1" t="str">
        <f ca="1">'Input Sheet'!K311</f>
        <v/>
      </c>
      <c r="C298" s="7" t="str">
        <f ca="1">'Input Sheet'!L311</f>
        <v/>
      </c>
      <c r="D298" s="11">
        <f>'Input Sheet'!B311</f>
        <v>3390</v>
      </c>
      <c r="E298" s="8">
        <f>'Input Sheet'!H311</f>
        <v>0</v>
      </c>
      <c r="F298" s="61">
        <f>'Input Sheet'!C296/100</f>
        <v>0.9</v>
      </c>
      <c r="G298" s="61">
        <f>'Input Sheet'!F296/100</f>
        <v>1</v>
      </c>
      <c r="H298" s="2">
        <f t="shared" si="31"/>
        <v>5</v>
      </c>
      <c r="I298" s="2">
        <f t="shared" si="32"/>
        <v>5</v>
      </c>
      <c r="J298" s="60">
        <f t="shared" si="36"/>
        <v>4.5</v>
      </c>
      <c r="K298" s="2">
        <f t="shared" si="33"/>
        <v>5</v>
      </c>
      <c r="L298" s="2">
        <f t="shared" si="34"/>
        <v>4.5</v>
      </c>
      <c r="M298" s="2" t="str">
        <f>'Input Sheet'!E311</f>
        <v>VF</v>
      </c>
      <c r="N298" s="2">
        <f t="shared" si="35"/>
        <v>1</v>
      </c>
      <c r="P298">
        <f t="shared" si="37"/>
        <v>5</v>
      </c>
      <c r="Q298">
        <f t="shared" si="37"/>
        <v>0</v>
      </c>
      <c r="R298">
        <f t="shared" si="37"/>
        <v>0</v>
      </c>
      <c r="S298">
        <f t="shared" si="37"/>
        <v>0</v>
      </c>
      <c r="T298">
        <f t="shared" si="37"/>
        <v>0</v>
      </c>
    </row>
    <row r="299" spans="1:20" ht="16.5" x14ac:dyDescent="0.25">
      <c r="A299" s="10" t="str">
        <f>'Long Sample Name'!A295</f>
        <v>Sample 3394m: common siderite in 50% Siltstone, 50% very fine to fine Sandstone, 80% moderately bright FLUOR in SST. TG U</v>
      </c>
      <c r="B299" s="1" t="str">
        <f ca="1">'Input Sheet'!K312</f>
        <v/>
      </c>
      <c r="C299" s="7" t="str">
        <f ca="1">'Input Sheet'!L312</f>
        <v/>
      </c>
      <c r="D299" s="11">
        <f>'Input Sheet'!B312</f>
        <v>3394</v>
      </c>
      <c r="E299" s="8">
        <f>'Input Sheet'!H312</f>
        <v>0</v>
      </c>
      <c r="F299" s="61">
        <f>'Input Sheet'!C297/100</f>
        <v>0.9</v>
      </c>
      <c r="G299" s="61">
        <f>'Input Sheet'!F297/100</f>
        <v>1</v>
      </c>
      <c r="H299" s="2">
        <f t="shared" si="31"/>
        <v>4</v>
      </c>
      <c r="I299" s="2">
        <f t="shared" si="32"/>
        <v>4</v>
      </c>
      <c r="J299" s="60">
        <f t="shared" si="36"/>
        <v>3.6</v>
      </c>
      <c r="K299" s="2">
        <f t="shared" si="33"/>
        <v>4</v>
      </c>
      <c r="L299" s="2">
        <f t="shared" si="34"/>
        <v>3.6</v>
      </c>
      <c r="M299" s="2" t="str">
        <f>'Input Sheet'!E312</f>
        <v>VF</v>
      </c>
      <c r="N299" s="2">
        <f t="shared" si="35"/>
        <v>1</v>
      </c>
      <c r="P299">
        <f t="shared" si="37"/>
        <v>4</v>
      </c>
      <c r="Q299">
        <f t="shared" si="37"/>
        <v>0</v>
      </c>
      <c r="R299">
        <f t="shared" si="37"/>
        <v>0</v>
      </c>
      <c r="S299">
        <f t="shared" si="37"/>
        <v>0</v>
      </c>
      <c r="T299">
        <f t="shared" si="37"/>
        <v>0</v>
      </c>
    </row>
    <row r="300" spans="1:20" ht="16.5" x14ac:dyDescent="0.25">
      <c r="A300" s="10" t="str">
        <f>'Long Sample Name'!A296</f>
        <v/>
      </c>
      <c r="B300" s="1" t="str">
        <f ca="1">'Input Sheet'!K313</f>
        <v/>
      </c>
      <c r="C300" s="7" t="str">
        <f ca="1">'Input Sheet'!L313</f>
        <v/>
      </c>
      <c r="D300" s="11">
        <f>'Input Sheet'!B313</f>
        <v>0</v>
      </c>
      <c r="E300" s="8">
        <f>'Input Sheet'!H313</f>
        <v>0</v>
      </c>
      <c r="F300" s="61">
        <f>'Input Sheet'!C298/100</f>
        <v>0.8</v>
      </c>
      <c r="G300" s="61">
        <f>'Input Sheet'!F298/100</f>
        <v>0.8</v>
      </c>
      <c r="H300" s="2">
        <f t="shared" si="31"/>
        <v>-3394</v>
      </c>
      <c r="I300" s="2">
        <f t="shared" si="32"/>
        <v>-3394</v>
      </c>
      <c r="J300" s="60">
        <f t="shared" si="36"/>
        <v>0</v>
      </c>
      <c r="K300" s="2">
        <f t="shared" si="33"/>
        <v>-3394</v>
      </c>
      <c r="L300" s="2">
        <f t="shared" si="34"/>
        <v>0</v>
      </c>
      <c r="M300" s="2" t="str">
        <f>'Input Sheet'!E313</f>
        <v/>
      </c>
      <c r="N300" s="2">
        <f t="shared" si="35"/>
        <v>0</v>
      </c>
      <c r="P300">
        <f t="shared" si="37"/>
        <v>0</v>
      </c>
      <c r="Q300">
        <f t="shared" si="37"/>
        <v>0</v>
      </c>
      <c r="R300">
        <f t="shared" si="37"/>
        <v>0</v>
      </c>
      <c r="S300">
        <f t="shared" si="37"/>
        <v>0</v>
      </c>
      <c r="T300">
        <f t="shared" si="37"/>
        <v>0</v>
      </c>
    </row>
    <row r="301" spans="1:20" ht="16.5" x14ac:dyDescent="0.25">
      <c r="A301" s="10" t="str">
        <f>'Long Sample Name'!A297</f>
        <v/>
      </c>
      <c r="B301" s="1" t="str">
        <f ca="1">'Input Sheet'!K314</f>
        <v/>
      </c>
      <c r="C301" s="7" t="str">
        <f ca="1">'Input Sheet'!L314</f>
        <v/>
      </c>
      <c r="D301" s="11">
        <f>'Input Sheet'!B314</f>
        <v>0</v>
      </c>
      <c r="E301" s="8">
        <f>'Input Sheet'!H314</f>
        <v>0</v>
      </c>
      <c r="F301" s="61">
        <f>'Input Sheet'!C299/100</f>
        <v>0.8</v>
      </c>
      <c r="G301" s="61">
        <f>'Input Sheet'!F299/100</f>
        <v>0.8</v>
      </c>
      <c r="H301" s="2">
        <f t="shared" si="31"/>
        <v>0</v>
      </c>
      <c r="I301" s="2">
        <f t="shared" si="32"/>
        <v>0</v>
      </c>
      <c r="J301" s="60">
        <f t="shared" si="36"/>
        <v>0</v>
      </c>
      <c r="K301" s="2">
        <f t="shared" si="33"/>
        <v>0</v>
      </c>
      <c r="L301" s="2">
        <f t="shared" si="34"/>
        <v>0</v>
      </c>
      <c r="M301" s="2" t="str">
        <f>'Input Sheet'!E314</f>
        <v/>
      </c>
      <c r="N301" s="2">
        <f t="shared" si="35"/>
        <v>0</v>
      </c>
      <c r="P301">
        <f t="shared" si="37"/>
        <v>0</v>
      </c>
      <c r="Q301">
        <f t="shared" si="37"/>
        <v>0</v>
      </c>
      <c r="R301">
        <f t="shared" si="37"/>
        <v>0</v>
      </c>
      <c r="S301">
        <f t="shared" si="37"/>
        <v>0</v>
      </c>
      <c r="T301">
        <f t="shared" si="37"/>
        <v>0</v>
      </c>
    </row>
    <row r="302" spans="1:20" ht="16.5" x14ac:dyDescent="0.25">
      <c r="A302" s="10" t="str">
        <f>'Long Sample Name'!A298</f>
        <v/>
      </c>
      <c r="B302" s="1" t="str">
        <f ca="1">'Input Sheet'!K315</f>
        <v/>
      </c>
      <c r="C302" s="7" t="str">
        <f ca="1">'Input Sheet'!L315</f>
        <v/>
      </c>
      <c r="D302" s="11">
        <f>'Input Sheet'!B315</f>
        <v>0</v>
      </c>
      <c r="E302" s="8">
        <f>'Input Sheet'!H315</f>
        <v>0</v>
      </c>
      <c r="F302" s="61">
        <f>'Input Sheet'!C300/100</f>
        <v>0.9</v>
      </c>
      <c r="G302" s="61">
        <f>'Input Sheet'!F300/100</f>
        <v>0.8</v>
      </c>
      <c r="H302" s="2">
        <f t="shared" si="31"/>
        <v>0</v>
      </c>
      <c r="I302" s="2">
        <f t="shared" si="32"/>
        <v>0</v>
      </c>
      <c r="J302" s="60">
        <f t="shared" si="36"/>
        <v>0</v>
      </c>
      <c r="K302" s="2">
        <f t="shared" si="33"/>
        <v>0</v>
      </c>
      <c r="L302" s="2">
        <f t="shared" si="34"/>
        <v>0</v>
      </c>
      <c r="M302" s="2" t="str">
        <f>'Input Sheet'!E315</f>
        <v/>
      </c>
      <c r="N302" s="2">
        <f t="shared" si="35"/>
        <v>0</v>
      </c>
      <c r="P302">
        <f t="shared" si="37"/>
        <v>0</v>
      </c>
      <c r="Q302">
        <f t="shared" si="37"/>
        <v>0</v>
      </c>
      <c r="R302">
        <f t="shared" si="37"/>
        <v>0</v>
      </c>
      <c r="S302">
        <f t="shared" si="37"/>
        <v>0</v>
      </c>
      <c r="T302">
        <f t="shared" si="37"/>
        <v>0</v>
      </c>
    </row>
    <row r="303" spans="1:20" ht="16.5" x14ac:dyDescent="0.25">
      <c r="A303" s="10" t="str">
        <f>'Long Sample Name'!A299</f>
        <v/>
      </c>
      <c r="B303" s="1" t="str">
        <f ca="1">'Input Sheet'!K316</f>
        <v/>
      </c>
      <c r="C303" s="7" t="str">
        <f ca="1">'Input Sheet'!L316</f>
        <v/>
      </c>
      <c r="D303" s="11">
        <f>'Input Sheet'!B316</f>
        <v>0</v>
      </c>
      <c r="E303" s="8">
        <f>'Input Sheet'!H316</f>
        <v>0</v>
      </c>
      <c r="F303" s="61">
        <f>'Input Sheet'!C301/100</f>
        <v>0.9</v>
      </c>
      <c r="G303" s="61">
        <f>'Input Sheet'!F301/100</f>
        <v>0.8</v>
      </c>
      <c r="H303" s="2">
        <f t="shared" si="31"/>
        <v>0</v>
      </c>
      <c r="I303" s="2">
        <f t="shared" si="32"/>
        <v>0</v>
      </c>
      <c r="J303" s="60">
        <f t="shared" si="36"/>
        <v>0</v>
      </c>
      <c r="K303" s="2">
        <f t="shared" si="33"/>
        <v>0</v>
      </c>
      <c r="L303" s="2">
        <f t="shared" si="34"/>
        <v>0</v>
      </c>
      <c r="M303" s="2" t="str">
        <f>'Input Sheet'!E316</f>
        <v/>
      </c>
      <c r="N303" s="2">
        <f t="shared" si="35"/>
        <v>0</v>
      </c>
      <c r="P303">
        <f t="shared" si="37"/>
        <v>0</v>
      </c>
      <c r="Q303">
        <f t="shared" si="37"/>
        <v>0</v>
      </c>
      <c r="R303">
        <f t="shared" si="37"/>
        <v>0</v>
      </c>
      <c r="S303">
        <f t="shared" si="37"/>
        <v>0</v>
      </c>
      <c r="T303">
        <f t="shared" si="37"/>
        <v>0</v>
      </c>
    </row>
    <row r="304" spans="1:20" ht="16.5" x14ac:dyDescent="0.25">
      <c r="A304" s="10" t="str">
        <f>'Long Sample Name'!A300</f>
        <v/>
      </c>
      <c r="B304" s="1" t="str">
        <f ca="1">'Input Sheet'!K317</f>
        <v/>
      </c>
      <c r="C304" s="7" t="str">
        <f ca="1">'Input Sheet'!L317</f>
        <v/>
      </c>
      <c r="D304" s="11">
        <f>'Input Sheet'!B317</f>
        <v>0</v>
      </c>
      <c r="E304" s="8">
        <f>'Input Sheet'!H317</f>
        <v>0</v>
      </c>
      <c r="F304" s="61">
        <f>'Input Sheet'!C302/100</f>
        <v>0.75</v>
      </c>
      <c r="G304" s="61">
        <f>'Input Sheet'!F302/100</f>
        <v>0.8</v>
      </c>
      <c r="H304" s="2">
        <f t="shared" si="31"/>
        <v>0</v>
      </c>
      <c r="I304" s="2">
        <f t="shared" si="32"/>
        <v>0</v>
      </c>
      <c r="J304" s="60">
        <f t="shared" si="36"/>
        <v>0</v>
      </c>
      <c r="K304" s="2">
        <f t="shared" si="33"/>
        <v>0</v>
      </c>
      <c r="L304" s="2">
        <f t="shared" si="34"/>
        <v>0</v>
      </c>
      <c r="M304" s="2" t="str">
        <f>'Input Sheet'!E317</f>
        <v/>
      </c>
      <c r="N304" s="2">
        <f t="shared" si="35"/>
        <v>0</v>
      </c>
      <c r="P304">
        <f t="shared" si="37"/>
        <v>0</v>
      </c>
      <c r="Q304">
        <f t="shared" si="37"/>
        <v>0</v>
      </c>
      <c r="R304">
        <f t="shared" si="37"/>
        <v>0</v>
      </c>
      <c r="S304">
        <f t="shared" si="37"/>
        <v>0</v>
      </c>
      <c r="T304">
        <f t="shared" si="37"/>
        <v>0</v>
      </c>
    </row>
    <row r="305" spans="1:20" ht="16.5" x14ac:dyDescent="0.25">
      <c r="A305" s="10" t="str">
        <f>'Long Sample Name'!A301</f>
        <v/>
      </c>
      <c r="B305" s="1" t="str">
        <f ca="1">'Input Sheet'!K318</f>
        <v/>
      </c>
      <c r="C305" s="7" t="str">
        <f ca="1">'Input Sheet'!L318</f>
        <v/>
      </c>
      <c r="D305" s="11">
        <f>'Input Sheet'!B318</f>
        <v>0</v>
      </c>
      <c r="E305" s="8">
        <f>'Input Sheet'!H318</f>
        <v>0</v>
      </c>
      <c r="F305" s="61">
        <f>'Input Sheet'!C303/100</f>
        <v>0.75</v>
      </c>
      <c r="G305" s="61">
        <f>'Input Sheet'!F303/100</f>
        <v>0.8</v>
      </c>
      <c r="H305" s="2">
        <f t="shared" si="31"/>
        <v>0</v>
      </c>
      <c r="I305" s="2">
        <f t="shared" si="32"/>
        <v>0</v>
      </c>
      <c r="J305" s="60">
        <f t="shared" si="36"/>
        <v>0</v>
      </c>
      <c r="K305" s="2">
        <f t="shared" si="33"/>
        <v>0</v>
      </c>
      <c r="L305" s="2">
        <f t="shared" si="34"/>
        <v>0</v>
      </c>
      <c r="M305" s="2" t="str">
        <f>'Input Sheet'!E318</f>
        <v/>
      </c>
      <c r="N305" s="2">
        <f t="shared" si="35"/>
        <v>0</v>
      </c>
      <c r="P305">
        <f t="shared" si="37"/>
        <v>0</v>
      </c>
      <c r="Q305">
        <f t="shared" si="37"/>
        <v>0</v>
      </c>
      <c r="R305">
        <f t="shared" si="37"/>
        <v>0</v>
      </c>
      <c r="S305">
        <f t="shared" si="37"/>
        <v>0</v>
      </c>
      <c r="T305">
        <f t="shared" si="37"/>
        <v>0</v>
      </c>
    </row>
    <row r="306" spans="1:20" ht="16.5" x14ac:dyDescent="0.25">
      <c r="A306" s="10" t="str">
        <f>'Long Sample Name'!A302</f>
        <v/>
      </c>
      <c r="B306" s="1" t="str">
        <f ca="1">'Input Sheet'!K319</f>
        <v/>
      </c>
      <c r="C306" s="7" t="str">
        <f ca="1">'Input Sheet'!L319</f>
        <v/>
      </c>
      <c r="D306" s="11">
        <f>'Input Sheet'!B319</f>
        <v>0</v>
      </c>
      <c r="E306" s="8">
        <f>'Input Sheet'!H319</f>
        <v>0</v>
      </c>
      <c r="F306" s="61">
        <f>'Input Sheet'!C304/100</f>
        <v>0.7</v>
      </c>
      <c r="G306" s="61">
        <f>'Input Sheet'!F304/100</f>
        <v>0.8</v>
      </c>
      <c r="H306" s="2">
        <f t="shared" si="31"/>
        <v>0</v>
      </c>
      <c r="I306" s="2">
        <f t="shared" si="32"/>
        <v>0</v>
      </c>
      <c r="J306" s="60">
        <f t="shared" si="36"/>
        <v>0</v>
      </c>
      <c r="K306" s="2">
        <f t="shared" si="33"/>
        <v>0</v>
      </c>
      <c r="L306" s="2">
        <f t="shared" si="34"/>
        <v>0</v>
      </c>
      <c r="M306" s="2" t="str">
        <f>'Input Sheet'!E319</f>
        <v/>
      </c>
      <c r="N306" s="2">
        <f t="shared" si="35"/>
        <v>0</v>
      </c>
      <c r="P306">
        <f t="shared" si="37"/>
        <v>0</v>
      </c>
      <c r="Q306">
        <f t="shared" si="37"/>
        <v>0</v>
      </c>
      <c r="R306">
        <f t="shared" si="37"/>
        <v>0</v>
      </c>
      <c r="S306">
        <f t="shared" si="37"/>
        <v>0</v>
      </c>
      <c r="T306">
        <f t="shared" si="37"/>
        <v>0</v>
      </c>
    </row>
    <row r="307" spans="1:20" ht="16.5" x14ac:dyDescent="0.25">
      <c r="A307" s="10" t="str">
        <f>'Long Sample Name'!A303</f>
        <v/>
      </c>
      <c r="B307" s="1" t="str">
        <f ca="1">'Input Sheet'!K320</f>
        <v/>
      </c>
      <c r="C307" s="7" t="str">
        <f ca="1">'Input Sheet'!L320</f>
        <v/>
      </c>
      <c r="D307" s="11">
        <f>'Input Sheet'!B320</f>
        <v>0</v>
      </c>
      <c r="E307" s="8">
        <f>'Input Sheet'!H320</f>
        <v>0</v>
      </c>
      <c r="F307" s="61">
        <f>'Input Sheet'!C305/100</f>
        <v>0.7</v>
      </c>
      <c r="G307" s="61">
        <f>'Input Sheet'!F305/100</f>
        <v>0.8</v>
      </c>
      <c r="H307" s="2">
        <f t="shared" si="31"/>
        <v>0</v>
      </c>
      <c r="I307" s="2">
        <f t="shared" si="32"/>
        <v>0</v>
      </c>
      <c r="J307" s="60">
        <f t="shared" si="36"/>
        <v>0</v>
      </c>
      <c r="K307" s="2">
        <f t="shared" si="33"/>
        <v>0</v>
      </c>
      <c r="L307" s="2">
        <f t="shared" si="34"/>
        <v>0</v>
      </c>
      <c r="M307" s="2" t="str">
        <f>'Input Sheet'!E320</f>
        <v/>
      </c>
      <c r="N307" s="2">
        <f t="shared" si="35"/>
        <v>0</v>
      </c>
      <c r="P307">
        <f t="shared" si="37"/>
        <v>0</v>
      </c>
      <c r="Q307">
        <f t="shared" si="37"/>
        <v>0</v>
      </c>
      <c r="R307">
        <f t="shared" si="37"/>
        <v>0</v>
      </c>
      <c r="S307">
        <f t="shared" si="37"/>
        <v>0</v>
      </c>
      <c r="T307">
        <f t="shared" si="37"/>
        <v>0</v>
      </c>
    </row>
    <row r="308" spans="1:20" ht="16.5" x14ac:dyDescent="0.25">
      <c r="A308" s="10" t="str">
        <f>'Long Sample Name'!A304</f>
        <v/>
      </c>
      <c r="B308" s="1" t="str">
        <f ca="1">'Input Sheet'!K321</f>
        <v/>
      </c>
      <c r="C308" s="7" t="str">
        <f ca="1">'Input Sheet'!L321</f>
        <v/>
      </c>
      <c r="D308" s="11">
        <f>'Input Sheet'!B321</f>
        <v>0</v>
      </c>
      <c r="E308" s="8">
        <f>'Input Sheet'!H321</f>
        <v>0</v>
      </c>
      <c r="F308" s="61">
        <f>'Input Sheet'!C306/100</f>
        <v>0.65</v>
      </c>
      <c r="G308" s="61">
        <f>'Input Sheet'!F306/100</f>
        <v>0.8</v>
      </c>
      <c r="H308" s="2">
        <f t="shared" si="31"/>
        <v>0</v>
      </c>
      <c r="I308" s="2">
        <f t="shared" si="32"/>
        <v>0</v>
      </c>
      <c r="J308" s="60">
        <f t="shared" si="36"/>
        <v>0</v>
      </c>
      <c r="K308" s="2">
        <f t="shared" si="33"/>
        <v>0</v>
      </c>
      <c r="L308" s="2">
        <f t="shared" si="34"/>
        <v>0</v>
      </c>
      <c r="M308" s="2" t="str">
        <f>'Input Sheet'!E321</f>
        <v/>
      </c>
      <c r="N308" s="2">
        <f t="shared" si="35"/>
        <v>0</v>
      </c>
      <c r="P308">
        <f t="shared" si="37"/>
        <v>0</v>
      </c>
      <c r="Q308">
        <f t="shared" si="37"/>
        <v>0</v>
      </c>
      <c r="R308">
        <f t="shared" si="37"/>
        <v>0</v>
      </c>
      <c r="S308">
        <f t="shared" si="37"/>
        <v>0</v>
      </c>
      <c r="T308">
        <f t="shared" si="37"/>
        <v>0</v>
      </c>
    </row>
    <row r="309" spans="1:20" ht="16.5" x14ac:dyDescent="0.25">
      <c r="A309" s="10" t="str">
        <f>'Long Sample Name'!A305</f>
        <v/>
      </c>
      <c r="B309" s="1" t="str">
        <f ca="1">'Input Sheet'!K322</f>
        <v/>
      </c>
      <c r="C309" s="7" t="str">
        <f ca="1">'Input Sheet'!L322</f>
        <v/>
      </c>
      <c r="D309" s="11">
        <f>'Input Sheet'!B322</f>
        <v>0</v>
      </c>
      <c r="E309" s="8">
        <f>'Input Sheet'!H322</f>
        <v>0</v>
      </c>
      <c r="F309" s="61">
        <f>'Input Sheet'!C307/100</f>
        <v>0.65</v>
      </c>
      <c r="G309" s="61">
        <f>'Input Sheet'!F307/100</f>
        <v>0.8</v>
      </c>
      <c r="H309" s="2">
        <f t="shared" si="31"/>
        <v>0</v>
      </c>
      <c r="I309" s="2">
        <f t="shared" si="32"/>
        <v>0</v>
      </c>
      <c r="J309" s="60">
        <f t="shared" si="36"/>
        <v>0</v>
      </c>
      <c r="K309" s="2">
        <f t="shared" si="33"/>
        <v>0</v>
      </c>
      <c r="L309" s="2">
        <f t="shared" si="34"/>
        <v>0</v>
      </c>
      <c r="M309" s="2" t="str">
        <f>'Input Sheet'!E322</f>
        <v/>
      </c>
      <c r="N309" s="2">
        <f t="shared" si="35"/>
        <v>0</v>
      </c>
      <c r="P309">
        <f t="shared" si="37"/>
        <v>0</v>
      </c>
      <c r="Q309">
        <f t="shared" si="37"/>
        <v>0</v>
      </c>
      <c r="R309">
        <f t="shared" si="37"/>
        <v>0</v>
      </c>
      <c r="S309">
        <f t="shared" si="37"/>
        <v>0</v>
      </c>
      <c r="T309">
        <f t="shared" si="37"/>
        <v>0</v>
      </c>
    </row>
    <row r="310" spans="1:20" ht="16.5" x14ac:dyDescent="0.25">
      <c r="A310" s="10" t="str">
        <f>'Long Sample Name'!A306</f>
        <v/>
      </c>
      <c r="B310" s="1" t="str">
        <f ca="1">'Input Sheet'!K323</f>
        <v/>
      </c>
      <c r="C310" s="7" t="str">
        <f ca="1">'Input Sheet'!L323</f>
        <v/>
      </c>
      <c r="D310" s="11">
        <f>'Input Sheet'!B323</f>
        <v>0</v>
      </c>
      <c r="E310" s="8">
        <f>'Input Sheet'!H323</f>
        <v>0</v>
      </c>
      <c r="F310" s="61">
        <f>'Input Sheet'!C308/100</f>
        <v>0.55000000000000004</v>
      </c>
      <c r="G310" s="61">
        <f>'Input Sheet'!F308/100</f>
        <v>0.8</v>
      </c>
      <c r="H310" s="2">
        <f t="shared" si="31"/>
        <v>0</v>
      </c>
      <c r="I310" s="2">
        <f t="shared" si="32"/>
        <v>0</v>
      </c>
      <c r="J310" s="60">
        <f t="shared" si="36"/>
        <v>0</v>
      </c>
      <c r="K310" s="2">
        <f t="shared" si="33"/>
        <v>0</v>
      </c>
      <c r="L310" s="2">
        <f t="shared" si="34"/>
        <v>0</v>
      </c>
      <c r="M310" s="2" t="str">
        <f>'Input Sheet'!E323</f>
        <v/>
      </c>
      <c r="N310" s="2">
        <f t="shared" si="35"/>
        <v>0</v>
      </c>
      <c r="P310">
        <f t="shared" si="37"/>
        <v>0</v>
      </c>
      <c r="Q310">
        <f t="shared" si="37"/>
        <v>0</v>
      </c>
      <c r="R310">
        <f t="shared" si="37"/>
        <v>0</v>
      </c>
      <c r="S310">
        <f t="shared" si="37"/>
        <v>0</v>
      </c>
      <c r="T310">
        <f t="shared" si="37"/>
        <v>0</v>
      </c>
    </row>
    <row r="311" spans="1:20" ht="16.5" x14ac:dyDescent="0.25">
      <c r="A311" s="10" t="str">
        <f>'Long Sample Name'!A307</f>
        <v/>
      </c>
      <c r="B311" s="1" t="str">
        <f ca="1">'Input Sheet'!K324</f>
        <v/>
      </c>
      <c r="C311" s="7" t="str">
        <f ca="1">'Input Sheet'!L324</f>
        <v/>
      </c>
      <c r="D311" s="11">
        <f>'Input Sheet'!B324</f>
        <v>0</v>
      </c>
      <c r="E311" s="8">
        <f>'Input Sheet'!H324</f>
        <v>0</v>
      </c>
      <c r="F311" s="61">
        <f>'Input Sheet'!C309/100</f>
        <v>0.55000000000000004</v>
      </c>
      <c r="G311" s="61">
        <f>'Input Sheet'!F309/100</f>
        <v>0.8</v>
      </c>
      <c r="H311" s="2">
        <f t="shared" si="31"/>
        <v>0</v>
      </c>
      <c r="I311" s="2">
        <f t="shared" si="32"/>
        <v>0</v>
      </c>
      <c r="J311" s="60">
        <f t="shared" si="36"/>
        <v>0</v>
      </c>
      <c r="K311" s="2">
        <f t="shared" si="33"/>
        <v>0</v>
      </c>
      <c r="L311" s="2">
        <f t="shared" si="34"/>
        <v>0</v>
      </c>
      <c r="M311" s="2" t="str">
        <f>'Input Sheet'!E324</f>
        <v/>
      </c>
      <c r="N311" s="2">
        <f t="shared" si="35"/>
        <v>0</v>
      </c>
      <c r="P311">
        <f t="shared" si="37"/>
        <v>0</v>
      </c>
      <c r="Q311">
        <f t="shared" si="37"/>
        <v>0</v>
      </c>
      <c r="R311">
        <f t="shared" si="37"/>
        <v>0</v>
      </c>
      <c r="S311">
        <f t="shared" si="37"/>
        <v>0</v>
      </c>
      <c r="T311">
        <f t="shared" si="37"/>
        <v>0</v>
      </c>
    </row>
    <row r="312" spans="1:20" ht="16.5" x14ac:dyDescent="0.25">
      <c r="A312" s="10" t="str">
        <f>'Long Sample Name'!A308</f>
        <v/>
      </c>
      <c r="B312" s="1" t="str">
        <f ca="1">'Input Sheet'!K325</f>
        <v/>
      </c>
      <c r="C312" s="7" t="str">
        <f ca="1">'Input Sheet'!L325</f>
        <v/>
      </c>
      <c r="D312" s="11">
        <f>'Input Sheet'!B325</f>
        <v>0</v>
      </c>
      <c r="E312" s="8">
        <f>'Input Sheet'!H325</f>
        <v>0</v>
      </c>
      <c r="F312" s="61">
        <f>'Input Sheet'!C310/100</f>
        <v>0.5</v>
      </c>
      <c r="G312" s="61">
        <f>'Input Sheet'!F310/100</f>
        <v>0.8</v>
      </c>
      <c r="H312" s="2">
        <f t="shared" si="31"/>
        <v>0</v>
      </c>
      <c r="I312" s="2">
        <f t="shared" si="32"/>
        <v>0</v>
      </c>
      <c r="J312" s="60">
        <f t="shared" si="36"/>
        <v>0</v>
      </c>
      <c r="K312" s="2">
        <f t="shared" si="33"/>
        <v>0</v>
      </c>
      <c r="L312" s="2">
        <f t="shared" si="34"/>
        <v>0</v>
      </c>
      <c r="M312" s="2" t="str">
        <f>'Input Sheet'!E325</f>
        <v/>
      </c>
      <c r="N312" s="2">
        <f t="shared" si="35"/>
        <v>0</v>
      </c>
      <c r="P312">
        <f t="shared" si="37"/>
        <v>0</v>
      </c>
      <c r="Q312">
        <f t="shared" si="37"/>
        <v>0</v>
      </c>
      <c r="R312">
        <f t="shared" si="37"/>
        <v>0</v>
      </c>
      <c r="S312">
        <f t="shared" si="37"/>
        <v>0</v>
      </c>
      <c r="T312">
        <f t="shared" si="37"/>
        <v>0</v>
      </c>
    </row>
    <row r="313" spans="1:20" ht="16.5" x14ac:dyDescent="0.25">
      <c r="A313" s="10" t="str">
        <f>'Long Sample Name'!A309</f>
        <v/>
      </c>
      <c r="B313" s="1" t="str">
        <f ca="1">'Input Sheet'!K326</f>
        <v/>
      </c>
      <c r="C313" s="7" t="str">
        <f ca="1">'Input Sheet'!L326</f>
        <v/>
      </c>
      <c r="D313" s="11">
        <f>'Input Sheet'!B326</f>
        <v>0</v>
      </c>
      <c r="E313" s="8">
        <f>'Input Sheet'!H326</f>
        <v>0</v>
      </c>
      <c r="F313" s="61">
        <f>'Input Sheet'!C311/100</f>
        <v>0.5</v>
      </c>
      <c r="G313" s="61">
        <f>'Input Sheet'!F311/100</f>
        <v>0.8</v>
      </c>
      <c r="H313" s="2">
        <f t="shared" si="31"/>
        <v>0</v>
      </c>
      <c r="I313" s="2">
        <f t="shared" si="32"/>
        <v>0</v>
      </c>
      <c r="J313" s="60">
        <f t="shared" si="36"/>
        <v>0</v>
      </c>
      <c r="K313" s="2">
        <f t="shared" si="33"/>
        <v>0</v>
      </c>
      <c r="L313" s="2">
        <f t="shared" si="34"/>
        <v>0</v>
      </c>
      <c r="M313" s="2" t="str">
        <f>'Input Sheet'!E326</f>
        <v/>
      </c>
      <c r="N313" s="2">
        <f t="shared" si="35"/>
        <v>0</v>
      </c>
      <c r="P313">
        <f t="shared" si="37"/>
        <v>0</v>
      </c>
      <c r="Q313">
        <f t="shared" si="37"/>
        <v>0</v>
      </c>
      <c r="R313">
        <f t="shared" si="37"/>
        <v>0</v>
      </c>
      <c r="S313">
        <f t="shared" si="37"/>
        <v>0</v>
      </c>
      <c r="T313">
        <f t="shared" si="37"/>
        <v>0</v>
      </c>
    </row>
    <row r="314" spans="1:20" ht="16.5" x14ac:dyDescent="0.25">
      <c r="A314" s="10" t="str">
        <f>'Long Sample Name'!A310</f>
        <v/>
      </c>
      <c r="B314" s="1" t="str">
        <f ca="1">'Input Sheet'!K327</f>
        <v/>
      </c>
      <c r="C314" s="7" t="str">
        <f ca="1">'Input Sheet'!L327</f>
        <v/>
      </c>
      <c r="D314" s="11">
        <f>'Input Sheet'!B327</f>
        <v>0</v>
      </c>
      <c r="E314" s="8">
        <f>'Input Sheet'!H327</f>
        <v>0</v>
      </c>
      <c r="F314" s="61">
        <f>'Input Sheet'!C312/100</f>
        <v>0.5</v>
      </c>
      <c r="G314" s="61">
        <f>'Input Sheet'!F312/100</f>
        <v>0.8</v>
      </c>
      <c r="H314" s="2">
        <f t="shared" ref="H314:H377" si="38">IF(D314&lt;&gt;"",D314-D313,"")</f>
        <v>0</v>
      </c>
      <c r="I314" s="2">
        <f t="shared" ref="I314:I377" si="39">IF(AND(F314&gt;=$F$2,G314&gt;=$G$2),H314,0)</f>
        <v>0</v>
      </c>
      <c r="J314" s="60">
        <f t="shared" si="36"/>
        <v>0</v>
      </c>
      <c r="K314" s="2">
        <f t="shared" ref="K314:K377" si="40">IF(AND(F314&gt;=$F$3,G314&gt;=$G$3),H314,0)</f>
        <v>0</v>
      </c>
      <c r="L314" s="2">
        <f t="shared" ref="L314:L377" si="41">IF(K314&gt;0,K314*F314,0)</f>
        <v>0</v>
      </c>
      <c r="M314" s="2" t="str">
        <f>'Input Sheet'!E327</f>
        <v/>
      </c>
      <c r="N314" s="2">
        <f t="shared" ref="N314:N377" si="42">IF(M314="VF",1,IF(M314="F",2,IF(M314="M",3,IF(M314="C",4,IF(M314="VC",5,0)))))</f>
        <v>0</v>
      </c>
      <c r="P314">
        <f t="shared" ref="P314:T364" si="43">IF($M314=P$1,$H314,0)</f>
        <v>0</v>
      </c>
      <c r="Q314">
        <f t="shared" si="43"/>
        <v>0</v>
      </c>
      <c r="R314">
        <f t="shared" si="43"/>
        <v>0</v>
      </c>
      <c r="S314">
        <f t="shared" si="43"/>
        <v>0</v>
      </c>
      <c r="T314">
        <f t="shared" si="43"/>
        <v>0</v>
      </c>
    </row>
    <row r="315" spans="1:20" ht="16.5" x14ac:dyDescent="0.25">
      <c r="A315" s="10" t="str">
        <f>'Long Sample Name'!A311</f>
        <v/>
      </c>
      <c r="B315" s="1" t="str">
        <f ca="1">'Input Sheet'!K328</f>
        <v/>
      </c>
      <c r="C315" s="7" t="str">
        <f ca="1">'Input Sheet'!L328</f>
        <v/>
      </c>
      <c r="D315" s="11">
        <f>'Input Sheet'!B328</f>
        <v>0</v>
      </c>
      <c r="E315" s="8">
        <f>'Input Sheet'!H328</f>
        <v>0</v>
      </c>
      <c r="F315" s="61">
        <f>'Input Sheet'!C313/100</f>
        <v>0</v>
      </c>
      <c r="G315" s="61">
        <f>'Input Sheet'!F313/100</f>
        <v>0</v>
      </c>
      <c r="H315" s="2">
        <f t="shared" si="38"/>
        <v>0</v>
      </c>
      <c r="I315" s="2">
        <f t="shared" si="39"/>
        <v>0</v>
      </c>
      <c r="J315" s="60">
        <f t="shared" si="36"/>
        <v>0</v>
      </c>
      <c r="K315" s="2">
        <f t="shared" si="40"/>
        <v>0</v>
      </c>
      <c r="L315" s="2">
        <f t="shared" si="41"/>
        <v>0</v>
      </c>
      <c r="M315" s="2" t="str">
        <f>'Input Sheet'!E328</f>
        <v/>
      </c>
      <c r="N315" s="2">
        <f t="shared" si="42"/>
        <v>0</v>
      </c>
      <c r="P315">
        <f t="shared" si="43"/>
        <v>0</v>
      </c>
      <c r="Q315">
        <f t="shared" si="43"/>
        <v>0</v>
      </c>
      <c r="R315">
        <f t="shared" si="43"/>
        <v>0</v>
      </c>
      <c r="S315">
        <f t="shared" si="43"/>
        <v>0</v>
      </c>
      <c r="T315">
        <f t="shared" si="43"/>
        <v>0</v>
      </c>
    </row>
    <row r="316" spans="1:20" ht="16.5" x14ac:dyDescent="0.25">
      <c r="A316" s="10" t="str">
        <f>'Long Sample Name'!A312</f>
        <v/>
      </c>
      <c r="B316" s="1" t="str">
        <f ca="1">'Input Sheet'!K329</f>
        <v/>
      </c>
      <c r="C316" s="7" t="str">
        <f ca="1">'Input Sheet'!L329</f>
        <v/>
      </c>
      <c r="D316" s="11">
        <f>'Input Sheet'!B329</f>
        <v>0</v>
      </c>
      <c r="E316" s="8">
        <f>'Input Sheet'!H329</f>
        <v>0</v>
      </c>
      <c r="F316" s="61">
        <f>'Input Sheet'!C314/100</f>
        <v>0</v>
      </c>
      <c r="G316" s="61">
        <f>'Input Sheet'!F314/100</f>
        <v>0</v>
      </c>
      <c r="H316" s="2">
        <f t="shared" si="38"/>
        <v>0</v>
      </c>
      <c r="I316" s="2">
        <f t="shared" si="39"/>
        <v>0</v>
      </c>
      <c r="J316" s="60">
        <f t="shared" si="36"/>
        <v>0</v>
      </c>
      <c r="K316" s="2">
        <f t="shared" si="40"/>
        <v>0</v>
      </c>
      <c r="L316" s="2">
        <f t="shared" si="41"/>
        <v>0</v>
      </c>
      <c r="M316" s="2" t="str">
        <f>'Input Sheet'!E329</f>
        <v/>
      </c>
      <c r="N316" s="2">
        <f t="shared" si="42"/>
        <v>0</v>
      </c>
      <c r="P316">
        <f t="shared" si="43"/>
        <v>0</v>
      </c>
      <c r="Q316">
        <f t="shared" si="43"/>
        <v>0</v>
      </c>
      <c r="R316">
        <f t="shared" si="43"/>
        <v>0</v>
      </c>
      <c r="S316">
        <f t="shared" si="43"/>
        <v>0</v>
      </c>
      <c r="T316">
        <f t="shared" si="43"/>
        <v>0</v>
      </c>
    </row>
    <row r="317" spans="1:20" ht="16.5" x14ac:dyDescent="0.25">
      <c r="A317" s="10" t="str">
        <f>'Long Sample Name'!A313</f>
        <v/>
      </c>
      <c r="B317" s="1" t="str">
        <f ca="1">'Input Sheet'!K330</f>
        <v/>
      </c>
      <c r="C317" s="7" t="str">
        <f ca="1">'Input Sheet'!L330</f>
        <v/>
      </c>
      <c r="D317" s="11">
        <f>'Input Sheet'!B330</f>
        <v>0</v>
      </c>
      <c r="E317" s="8">
        <f>'Input Sheet'!H330</f>
        <v>0</v>
      </c>
      <c r="F317" s="61">
        <f>'Input Sheet'!C315/100</f>
        <v>0</v>
      </c>
      <c r="G317" s="61">
        <f>'Input Sheet'!F315/100</f>
        <v>0</v>
      </c>
      <c r="H317" s="2">
        <f t="shared" si="38"/>
        <v>0</v>
      </c>
      <c r="I317" s="2">
        <f t="shared" si="39"/>
        <v>0</v>
      </c>
      <c r="J317" s="60">
        <f t="shared" si="36"/>
        <v>0</v>
      </c>
      <c r="K317" s="2">
        <f t="shared" si="40"/>
        <v>0</v>
      </c>
      <c r="L317" s="2">
        <f t="shared" si="41"/>
        <v>0</v>
      </c>
      <c r="M317" s="2" t="str">
        <f>'Input Sheet'!E330</f>
        <v/>
      </c>
      <c r="N317" s="2">
        <f t="shared" si="42"/>
        <v>0</v>
      </c>
      <c r="P317">
        <f t="shared" si="43"/>
        <v>0</v>
      </c>
      <c r="Q317">
        <f t="shared" si="43"/>
        <v>0</v>
      </c>
      <c r="R317">
        <f t="shared" si="43"/>
        <v>0</v>
      </c>
      <c r="S317">
        <f t="shared" si="43"/>
        <v>0</v>
      </c>
      <c r="T317">
        <f t="shared" si="43"/>
        <v>0</v>
      </c>
    </row>
    <row r="318" spans="1:20" ht="16.5" x14ac:dyDescent="0.25">
      <c r="A318" s="10" t="str">
        <f>'Long Sample Name'!A314</f>
        <v/>
      </c>
      <c r="B318" s="1" t="str">
        <f ca="1">'Input Sheet'!K331</f>
        <v/>
      </c>
      <c r="C318" s="7" t="str">
        <f ca="1">'Input Sheet'!L331</f>
        <v/>
      </c>
      <c r="D318" s="11">
        <f>'Input Sheet'!B331</f>
        <v>0</v>
      </c>
      <c r="E318" s="8">
        <f>'Input Sheet'!H331</f>
        <v>0</v>
      </c>
      <c r="F318" s="61">
        <f>'Input Sheet'!C316/100</f>
        <v>0</v>
      </c>
      <c r="G318" s="61">
        <f>'Input Sheet'!F316/100</f>
        <v>0</v>
      </c>
      <c r="H318" s="2">
        <f t="shared" si="38"/>
        <v>0</v>
      </c>
      <c r="I318" s="2">
        <f t="shared" si="39"/>
        <v>0</v>
      </c>
      <c r="J318" s="60">
        <f t="shared" si="36"/>
        <v>0</v>
      </c>
      <c r="K318" s="2">
        <f t="shared" si="40"/>
        <v>0</v>
      </c>
      <c r="L318" s="2">
        <f t="shared" si="41"/>
        <v>0</v>
      </c>
      <c r="M318" s="2" t="str">
        <f>'Input Sheet'!E331</f>
        <v/>
      </c>
      <c r="N318" s="2">
        <f t="shared" si="42"/>
        <v>0</v>
      </c>
      <c r="P318">
        <f t="shared" si="43"/>
        <v>0</v>
      </c>
      <c r="Q318">
        <f t="shared" si="43"/>
        <v>0</v>
      </c>
      <c r="R318">
        <f t="shared" si="43"/>
        <v>0</v>
      </c>
      <c r="S318">
        <f t="shared" si="43"/>
        <v>0</v>
      </c>
      <c r="T318">
        <f t="shared" si="43"/>
        <v>0</v>
      </c>
    </row>
    <row r="319" spans="1:20" ht="16.5" x14ac:dyDescent="0.25">
      <c r="A319" s="10" t="str">
        <f>'Long Sample Name'!A315</f>
        <v/>
      </c>
      <c r="B319" s="1" t="str">
        <f ca="1">'Input Sheet'!K332</f>
        <v/>
      </c>
      <c r="C319" s="7" t="str">
        <f ca="1">'Input Sheet'!L332</f>
        <v/>
      </c>
      <c r="D319" s="11">
        <f>'Input Sheet'!B332</f>
        <v>0</v>
      </c>
      <c r="E319" s="8">
        <f>'Input Sheet'!H332</f>
        <v>0</v>
      </c>
      <c r="F319" s="61">
        <f>'Input Sheet'!C317/100</f>
        <v>0</v>
      </c>
      <c r="G319" s="61">
        <f>'Input Sheet'!F317/100</f>
        <v>0</v>
      </c>
      <c r="H319" s="2">
        <f t="shared" si="38"/>
        <v>0</v>
      </c>
      <c r="I319" s="2">
        <f t="shared" si="39"/>
        <v>0</v>
      </c>
      <c r="J319" s="60">
        <f t="shared" si="36"/>
        <v>0</v>
      </c>
      <c r="K319" s="2">
        <f t="shared" si="40"/>
        <v>0</v>
      </c>
      <c r="L319" s="2">
        <f t="shared" si="41"/>
        <v>0</v>
      </c>
      <c r="M319" s="2" t="str">
        <f>'Input Sheet'!E332</f>
        <v/>
      </c>
      <c r="N319" s="2">
        <f t="shared" si="42"/>
        <v>0</v>
      </c>
      <c r="P319">
        <f t="shared" si="43"/>
        <v>0</v>
      </c>
      <c r="Q319">
        <f t="shared" si="43"/>
        <v>0</v>
      </c>
      <c r="R319">
        <f t="shared" si="43"/>
        <v>0</v>
      </c>
      <c r="S319">
        <f t="shared" si="43"/>
        <v>0</v>
      </c>
      <c r="T319">
        <f t="shared" si="43"/>
        <v>0</v>
      </c>
    </row>
    <row r="320" spans="1:20" ht="16.5" x14ac:dyDescent="0.25">
      <c r="A320" s="10" t="str">
        <f>'Long Sample Name'!A316</f>
        <v/>
      </c>
      <c r="B320" s="1" t="str">
        <f ca="1">'Input Sheet'!K333</f>
        <v/>
      </c>
      <c r="C320" s="7" t="str">
        <f ca="1">'Input Sheet'!L333</f>
        <v/>
      </c>
      <c r="D320" s="11">
        <f>'Input Sheet'!B333</f>
        <v>0</v>
      </c>
      <c r="E320" s="8">
        <f>'Input Sheet'!H333</f>
        <v>0</v>
      </c>
      <c r="F320" s="61">
        <f>'Input Sheet'!C318/100</f>
        <v>0</v>
      </c>
      <c r="G320" s="61">
        <f>'Input Sheet'!F318/100</f>
        <v>0</v>
      </c>
      <c r="H320" s="2">
        <f t="shared" si="38"/>
        <v>0</v>
      </c>
      <c r="I320" s="2">
        <f t="shared" si="39"/>
        <v>0</v>
      </c>
      <c r="J320" s="60">
        <f t="shared" si="36"/>
        <v>0</v>
      </c>
      <c r="K320" s="2">
        <f t="shared" si="40"/>
        <v>0</v>
      </c>
      <c r="L320" s="2">
        <f t="shared" si="41"/>
        <v>0</v>
      </c>
      <c r="M320" s="2" t="str">
        <f>'Input Sheet'!E333</f>
        <v/>
      </c>
      <c r="N320" s="2">
        <f t="shared" si="42"/>
        <v>0</v>
      </c>
      <c r="P320">
        <f t="shared" si="43"/>
        <v>0</v>
      </c>
      <c r="Q320">
        <f t="shared" si="43"/>
        <v>0</v>
      </c>
      <c r="R320">
        <f t="shared" si="43"/>
        <v>0</v>
      </c>
      <c r="S320">
        <f t="shared" si="43"/>
        <v>0</v>
      </c>
      <c r="T320">
        <f t="shared" si="43"/>
        <v>0</v>
      </c>
    </row>
    <row r="321" spans="1:20" ht="16.5" x14ac:dyDescent="0.25">
      <c r="A321" s="10" t="str">
        <f>'Long Sample Name'!A317</f>
        <v/>
      </c>
      <c r="B321" s="1" t="str">
        <f ca="1">'Input Sheet'!K334</f>
        <v/>
      </c>
      <c r="C321" s="7" t="str">
        <f ca="1">'Input Sheet'!L334</f>
        <v/>
      </c>
      <c r="D321" s="11">
        <f>'Input Sheet'!B334</f>
        <v>0</v>
      </c>
      <c r="E321" s="8">
        <f>'Input Sheet'!H334</f>
        <v>0</v>
      </c>
      <c r="F321" s="61">
        <f>'Input Sheet'!C319/100</f>
        <v>0</v>
      </c>
      <c r="G321" s="61">
        <f>'Input Sheet'!F319/100</f>
        <v>0</v>
      </c>
      <c r="H321" s="2">
        <f t="shared" si="38"/>
        <v>0</v>
      </c>
      <c r="I321" s="2">
        <f t="shared" si="39"/>
        <v>0</v>
      </c>
      <c r="J321" s="60">
        <f t="shared" si="36"/>
        <v>0</v>
      </c>
      <c r="K321" s="2">
        <f t="shared" si="40"/>
        <v>0</v>
      </c>
      <c r="L321" s="2">
        <f t="shared" si="41"/>
        <v>0</v>
      </c>
      <c r="M321" s="2" t="str">
        <f>'Input Sheet'!E334</f>
        <v/>
      </c>
      <c r="N321" s="2">
        <f t="shared" si="42"/>
        <v>0</v>
      </c>
      <c r="P321">
        <f t="shared" si="43"/>
        <v>0</v>
      </c>
      <c r="Q321">
        <f t="shared" si="43"/>
        <v>0</v>
      </c>
      <c r="R321">
        <f t="shared" si="43"/>
        <v>0</v>
      </c>
      <c r="S321">
        <f t="shared" si="43"/>
        <v>0</v>
      </c>
      <c r="T321">
        <f t="shared" si="43"/>
        <v>0</v>
      </c>
    </row>
    <row r="322" spans="1:20" ht="16.5" x14ac:dyDescent="0.25">
      <c r="A322" s="10" t="str">
        <f>'Long Sample Name'!A318</f>
        <v/>
      </c>
      <c r="B322" s="1" t="str">
        <f ca="1">'Input Sheet'!K335</f>
        <v/>
      </c>
      <c r="C322" s="7" t="str">
        <f ca="1">'Input Sheet'!L335</f>
        <v/>
      </c>
      <c r="D322" s="11">
        <f>'Input Sheet'!B335</f>
        <v>0</v>
      </c>
      <c r="E322" s="8">
        <f>'Input Sheet'!H335</f>
        <v>0</v>
      </c>
      <c r="F322" s="61">
        <f>'Input Sheet'!C320/100</f>
        <v>0</v>
      </c>
      <c r="G322" s="61">
        <f>'Input Sheet'!F320/100</f>
        <v>0</v>
      </c>
      <c r="H322" s="2">
        <f t="shared" si="38"/>
        <v>0</v>
      </c>
      <c r="I322" s="2">
        <f t="shared" si="39"/>
        <v>0</v>
      </c>
      <c r="J322" s="60">
        <f t="shared" si="36"/>
        <v>0</v>
      </c>
      <c r="K322" s="2">
        <f t="shared" si="40"/>
        <v>0</v>
      </c>
      <c r="L322" s="2">
        <f t="shared" si="41"/>
        <v>0</v>
      </c>
      <c r="M322" s="2" t="str">
        <f>'Input Sheet'!E335</f>
        <v/>
      </c>
      <c r="N322" s="2">
        <f t="shared" si="42"/>
        <v>0</v>
      </c>
      <c r="P322">
        <f t="shared" si="43"/>
        <v>0</v>
      </c>
      <c r="Q322">
        <f t="shared" si="43"/>
        <v>0</v>
      </c>
      <c r="R322">
        <f t="shared" si="43"/>
        <v>0</v>
      </c>
      <c r="S322">
        <f t="shared" si="43"/>
        <v>0</v>
      </c>
      <c r="T322">
        <f t="shared" si="43"/>
        <v>0</v>
      </c>
    </row>
    <row r="323" spans="1:20" ht="16.5" x14ac:dyDescent="0.25">
      <c r="A323" s="10" t="str">
        <f>'Long Sample Name'!A319</f>
        <v/>
      </c>
      <c r="B323" s="1" t="str">
        <f ca="1">'Input Sheet'!K336</f>
        <v/>
      </c>
      <c r="C323" s="7" t="str">
        <f ca="1">'Input Sheet'!L336</f>
        <v/>
      </c>
      <c r="D323" s="11">
        <f>'Input Sheet'!B336</f>
        <v>0</v>
      </c>
      <c r="E323" s="8">
        <f>'Input Sheet'!H336</f>
        <v>0</v>
      </c>
      <c r="F323" s="61">
        <f>'Input Sheet'!C321/100</f>
        <v>0</v>
      </c>
      <c r="G323" s="61">
        <f>'Input Sheet'!F321/100</f>
        <v>0</v>
      </c>
      <c r="H323" s="2">
        <f t="shared" si="38"/>
        <v>0</v>
      </c>
      <c r="I323" s="2">
        <f t="shared" si="39"/>
        <v>0</v>
      </c>
      <c r="J323" s="60">
        <f t="shared" si="36"/>
        <v>0</v>
      </c>
      <c r="K323" s="2">
        <f t="shared" si="40"/>
        <v>0</v>
      </c>
      <c r="L323" s="2">
        <f t="shared" si="41"/>
        <v>0</v>
      </c>
      <c r="M323" s="2" t="str">
        <f>'Input Sheet'!E336</f>
        <v/>
      </c>
      <c r="N323" s="2">
        <f t="shared" si="42"/>
        <v>0</v>
      </c>
      <c r="P323">
        <f t="shared" si="43"/>
        <v>0</v>
      </c>
      <c r="Q323">
        <f t="shared" si="43"/>
        <v>0</v>
      </c>
      <c r="R323">
        <f t="shared" si="43"/>
        <v>0</v>
      </c>
      <c r="S323">
        <f t="shared" si="43"/>
        <v>0</v>
      </c>
      <c r="T323">
        <f t="shared" si="43"/>
        <v>0</v>
      </c>
    </row>
    <row r="324" spans="1:20" ht="16.5" x14ac:dyDescent="0.25">
      <c r="A324" s="10" t="str">
        <f>'Long Sample Name'!A320</f>
        <v/>
      </c>
      <c r="B324" s="1" t="str">
        <f ca="1">'Input Sheet'!K337</f>
        <v/>
      </c>
      <c r="C324" s="7" t="str">
        <f ca="1">'Input Sheet'!L337</f>
        <v/>
      </c>
      <c r="D324" s="11">
        <f>'Input Sheet'!B337</f>
        <v>0</v>
      </c>
      <c r="E324" s="8">
        <f>'Input Sheet'!H337</f>
        <v>0</v>
      </c>
      <c r="F324" s="61">
        <f>'Input Sheet'!C322/100</f>
        <v>0</v>
      </c>
      <c r="G324" s="61">
        <f>'Input Sheet'!F322/100</f>
        <v>0</v>
      </c>
      <c r="H324" s="2">
        <f t="shared" si="38"/>
        <v>0</v>
      </c>
      <c r="I324" s="2">
        <f t="shared" si="39"/>
        <v>0</v>
      </c>
      <c r="J324" s="60">
        <f t="shared" si="36"/>
        <v>0</v>
      </c>
      <c r="K324" s="2">
        <f t="shared" si="40"/>
        <v>0</v>
      </c>
      <c r="L324" s="2">
        <f t="shared" si="41"/>
        <v>0</v>
      </c>
      <c r="M324" s="2" t="str">
        <f>'Input Sheet'!E337</f>
        <v/>
      </c>
      <c r="N324" s="2">
        <f t="shared" si="42"/>
        <v>0</v>
      </c>
      <c r="P324">
        <f t="shared" si="43"/>
        <v>0</v>
      </c>
      <c r="Q324">
        <f t="shared" si="43"/>
        <v>0</v>
      </c>
      <c r="R324">
        <f t="shared" si="43"/>
        <v>0</v>
      </c>
      <c r="S324">
        <f t="shared" si="43"/>
        <v>0</v>
      </c>
      <c r="T324">
        <f t="shared" si="43"/>
        <v>0</v>
      </c>
    </row>
    <row r="325" spans="1:20" ht="16.5" x14ac:dyDescent="0.25">
      <c r="A325" s="10" t="str">
        <f>'Long Sample Name'!A321</f>
        <v/>
      </c>
      <c r="B325" s="1" t="str">
        <f ca="1">'Input Sheet'!K338</f>
        <v/>
      </c>
      <c r="C325" s="7" t="str">
        <f ca="1">'Input Sheet'!L338</f>
        <v/>
      </c>
      <c r="D325" s="11">
        <f>'Input Sheet'!B338</f>
        <v>0</v>
      </c>
      <c r="E325" s="8">
        <f>'Input Sheet'!H338</f>
        <v>0</v>
      </c>
      <c r="F325" s="61">
        <f>'Input Sheet'!C323/100</f>
        <v>0</v>
      </c>
      <c r="G325" s="61">
        <f>'Input Sheet'!F323/100</f>
        <v>0</v>
      </c>
      <c r="H325" s="2">
        <f t="shared" si="38"/>
        <v>0</v>
      </c>
      <c r="I325" s="2">
        <f t="shared" si="39"/>
        <v>0</v>
      </c>
      <c r="J325" s="60">
        <f t="shared" si="36"/>
        <v>0</v>
      </c>
      <c r="K325" s="2">
        <f t="shared" si="40"/>
        <v>0</v>
      </c>
      <c r="L325" s="2">
        <f t="shared" si="41"/>
        <v>0</v>
      </c>
      <c r="M325" s="2" t="str">
        <f>'Input Sheet'!E338</f>
        <v/>
      </c>
      <c r="N325" s="2">
        <f t="shared" si="42"/>
        <v>0</v>
      </c>
      <c r="P325">
        <f t="shared" si="43"/>
        <v>0</v>
      </c>
      <c r="Q325">
        <f t="shared" si="43"/>
        <v>0</v>
      </c>
      <c r="R325">
        <f t="shared" si="43"/>
        <v>0</v>
      </c>
      <c r="S325">
        <f t="shared" si="43"/>
        <v>0</v>
      </c>
      <c r="T325">
        <f t="shared" si="43"/>
        <v>0</v>
      </c>
    </row>
    <row r="326" spans="1:20" ht="16.5" x14ac:dyDescent="0.25">
      <c r="A326" s="10" t="str">
        <f>'Long Sample Name'!A322</f>
        <v/>
      </c>
      <c r="B326" s="1" t="str">
        <f ca="1">'Input Sheet'!K339</f>
        <v/>
      </c>
      <c r="C326" s="7" t="str">
        <f ca="1">'Input Sheet'!L339</f>
        <v/>
      </c>
      <c r="D326" s="11">
        <f>'Input Sheet'!B339</f>
        <v>0</v>
      </c>
      <c r="E326" s="8">
        <f>'Input Sheet'!H339</f>
        <v>0</v>
      </c>
      <c r="F326" s="61">
        <f>'Input Sheet'!C324/100</f>
        <v>0</v>
      </c>
      <c r="G326" s="61">
        <f>'Input Sheet'!F324/100</f>
        <v>0</v>
      </c>
      <c r="H326" s="2">
        <f t="shared" si="38"/>
        <v>0</v>
      </c>
      <c r="I326" s="2">
        <f t="shared" si="39"/>
        <v>0</v>
      </c>
      <c r="J326" s="60">
        <f t="shared" si="36"/>
        <v>0</v>
      </c>
      <c r="K326" s="2">
        <f t="shared" si="40"/>
        <v>0</v>
      </c>
      <c r="L326" s="2">
        <f t="shared" si="41"/>
        <v>0</v>
      </c>
      <c r="M326" s="2" t="str">
        <f>'Input Sheet'!E339</f>
        <v/>
      </c>
      <c r="N326" s="2">
        <f t="shared" si="42"/>
        <v>0</v>
      </c>
      <c r="P326">
        <f t="shared" si="43"/>
        <v>0</v>
      </c>
      <c r="Q326">
        <f t="shared" si="43"/>
        <v>0</v>
      </c>
      <c r="R326">
        <f t="shared" si="43"/>
        <v>0</v>
      </c>
      <c r="S326">
        <f t="shared" si="43"/>
        <v>0</v>
      </c>
      <c r="T326">
        <f t="shared" si="43"/>
        <v>0</v>
      </c>
    </row>
    <row r="327" spans="1:20" ht="16.5" x14ac:dyDescent="0.25">
      <c r="A327" s="10" t="str">
        <f>'Long Sample Name'!A323</f>
        <v/>
      </c>
      <c r="B327" s="1" t="str">
        <f ca="1">'Input Sheet'!K340</f>
        <v/>
      </c>
      <c r="C327" s="7" t="str">
        <f ca="1">'Input Sheet'!L340</f>
        <v/>
      </c>
      <c r="D327" s="11">
        <f>'Input Sheet'!B340</f>
        <v>0</v>
      </c>
      <c r="E327" s="8">
        <f>'Input Sheet'!H340</f>
        <v>0</v>
      </c>
      <c r="F327" s="61">
        <f>'Input Sheet'!C325/100</f>
        <v>0</v>
      </c>
      <c r="G327" s="61">
        <f>'Input Sheet'!F325/100</f>
        <v>0</v>
      </c>
      <c r="H327" s="2">
        <f t="shared" si="38"/>
        <v>0</v>
      </c>
      <c r="I327" s="2">
        <f t="shared" si="39"/>
        <v>0</v>
      </c>
      <c r="J327" s="60">
        <f t="shared" ref="J327:J390" si="44">IF(I327&gt;0,I327*F327,0)</f>
        <v>0</v>
      </c>
      <c r="K327" s="2">
        <f t="shared" si="40"/>
        <v>0</v>
      </c>
      <c r="L327" s="2">
        <f t="shared" si="41"/>
        <v>0</v>
      </c>
      <c r="M327" s="2" t="str">
        <f>'Input Sheet'!E340</f>
        <v/>
      </c>
      <c r="N327" s="2">
        <f t="shared" si="42"/>
        <v>0</v>
      </c>
      <c r="P327">
        <f t="shared" si="43"/>
        <v>0</v>
      </c>
      <c r="Q327">
        <f t="shared" si="43"/>
        <v>0</v>
      </c>
      <c r="R327">
        <f t="shared" si="43"/>
        <v>0</v>
      </c>
      <c r="S327">
        <f t="shared" si="43"/>
        <v>0</v>
      </c>
      <c r="T327">
        <f t="shared" si="43"/>
        <v>0</v>
      </c>
    </row>
    <row r="328" spans="1:20" ht="16.5" x14ac:dyDescent="0.25">
      <c r="A328" s="10" t="str">
        <f>'Long Sample Name'!A324</f>
        <v/>
      </c>
      <c r="B328" s="1" t="str">
        <f ca="1">'Input Sheet'!K341</f>
        <v/>
      </c>
      <c r="C328" s="7" t="str">
        <f ca="1">'Input Sheet'!L341</f>
        <v/>
      </c>
      <c r="D328" s="11">
        <f>'Input Sheet'!B341</f>
        <v>0</v>
      </c>
      <c r="E328" s="8">
        <f>'Input Sheet'!H341</f>
        <v>0</v>
      </c>
      <c r="F328" s="61">
        <f>'Input Sheet'!C326/100</f>
        <v>0</v>
      </c>
      <c r="G328" s="61">
        <f>'Input Sheet'!F326/100</f>
        <v>0</v>
      </c>
      <c r="H328" s="2">
        <f t="shared" si="38"/>
        <v>0</v>
      </c>
      <c r="I328" s="2">
        <f t="shared" si="39"/>
        <v>0</v>
      </c>
      <c r="J328" s="60">
        <f t="shared" si="44"/>
        <v>0</v>
      </c>
      <c r="K328" s="2">
        <f t="shared" si="40"/>
        <v>0</v>
      </c>
      <c r="L328" s="2">
        <f t="shared" si="41"/>
        <v>0</v>
      </c>
      <c r="M328" s="2" t="str">
        <f>'Input Sheet'!E341</f>
        <v/>
      </c>
      <c r="N328" s="2">
        <f t="shared" si="42"/>
        <v>0</v>
      </c>
      <c r="P328">
        <f t="shared" si="43"/>
        <v>0</v>
      </c>
      <c r="Q328">
        <f t="shared" si="43"/>
        <v>0</v>
      </c>
      <c r="R328">
        <f t="shared" si="43"/>
        <v>0</v>
      </c>
      <c r="S328">
        <f t="shared" si="43"/>
        <v>0</v>
      </c>
      <c r="T328">
        <f t="shared" si="43"/>
        <v>0</v>
      </c>
    </row>
    <row r="329" spans="1:20" ht="16.5" x14ac:dyDescent="0.25">
      <c r="A329" s="10" t="str">
        <f>'Long Sample Name'!A325</f>
        <v/>
      </c>
      <c r="B329" s="1" t="str">
        <f ca="1">'Input Sheet'!K342</f>
        <v/>
      </c>
      <c r="C329" s="7" t="str">
        <f ca="1">'Input Sheet'!L342</f>
        <v/>
      </c>
      <c r="D329" s="11">
        <f>'Input Sheet'!B342</f>
        <v>0</v>
      </c>
      <c r="E329" s="8">
        <f>'Input Sheet'!H342</f>
        <v>0</v>
      </c>
      <c r="F329" s="61">
        <f>'Input Sheet'!C327/100</f>
        <v>0</v>
      </c>
      <c r="G329" s="61">
        <f>'Input Sheet'!F327/100</f>
        <v>0</v>
      </c>
      <c r="H329" s="2">
        <f t="shared" si="38"/>
        <v>0</v>
      </c>
      <c r="I329" s="2">
        <f t="shared" si="39"/>
        <v>0</v>
      </c>
      <c r="J329" s="60">
        <f t="shared" si="44"/>
        <v>0</v>
      </c>
      <c r="K329" s="2">
        <f t="shared" si="40"/>
        <v>0</v>
      </c>
      <c r="L329" s="2">
        <f t="shared" si="41"/>
        <v>0</v>
      </c>
      <c r="M329" s="2" t="str">
        <f>'Input Sheet'!E342</f>
        <v/>
      </c>
      <c r="N329" s="2">
        <f t="shared" si="42"/>
        <v>0</v>
      </c>
      <c r="P329">
        <f t="shared" si="43"/>
        <v>0</v>
      </c>
      <c r="Q329">
        <f t="shared" si="43"/>
        <v>0</v>
      </c>
      <c r="R329">
        <f t="shared" si="43"/>
        <v>0</v>
      </c>
      <c r="S329">
        <f t="shared" si="43"/>
        <v>0</v>
      </c>
      <c r="T329">
        <f t="shared" si="43"/>
        <v>0</v>
      </c>
    </row>
    <row r="330" spans="1:20" ht="16.5" x14ac:dyDescent="0.25">
      <c r="A330" s="10" t="str">
        <f>'Long Sample Name'!A326</f>
        <v/>
      </c>
      <c r="B330" s="1" t="str">
        <f ca="1">'Input Sheet'!K343</f>
        <v/>
      </c>
      <c r="C330" s="7" t="str">
        <f ca="1">'Input Sheet'!L343</f>
        <v/>
      </c>
      <c r="D330" s="11">
        <f>'Input Sheet'!B343</f>
        <v>0</v>
      </c>
      <c r="E330" s="8">
        <f>'Input Sheet'!H343</f>
        <v>0</v>
      </c>
      <c r="F330" s="61">
        <f>'Input Sheet'!C328/100</f>
        <v>0</v>
      </c>
      <c r="G330" s="61">
        <f>'Input Sheet'!F328/100</f>
        <v>0</v>
      </c>
      <c r="H330" s="2">
        <f t="shared" si="38"/>
        <v>0</v>
      </c>
      <c r="I330" s="2">
        <f t="shared" si="39"/>
        <v>0</v>
      </c>
      <c r="J330" s="60">
        <f t="shared" si="44"/>
        <v>0</v>
      </c>
      <c r="K330" s="2">
        <f t="shared" si="40"/>
        <v>0</v>
      </c>
      <c r="L330" s="2">
        <f t="shared" si="41"/>
        <v>0</v>
      </c>
      <c r="M330" s="2" t="str">
        <f>'Input Sheet'!E343</f>
        <v/>
      </c>
      <c r="N330" s="2">
        <f t="shared" si="42"/>
        <v>0</v>
      </c>
      <c r="P330">
        <f t="shared" si="43"/>
        <v>0</v>
      </c>
      <c r="Q330">
        <f t="shared" si="43"/>
        <v>0</v>
      </c>
      <c r="R330">
        <f t="shared" si="43"/>
        <v>0</v>
      </c>
      <c r="S330">
        <f t="shared" si="43"/>
        <v>0</v>
      </c>
      <c r="T330">
        <f t="shared" si="43"/>
        <v>0</v>
      </c>
    </row>
    <row r="331" spans="1:20" ht="16.5" x14ac:dyDescent="0.25">
      <c r="A331" s="10" t="str">
        <f>'Long Sample Name'!A327</f>
        <v/>
      </c>
      <c r="B331" s="1" t="str">
        <f ca="1">'Input Sheet'!K344</f>
        <v/>
      </c>
      <c r="C331" s="7" t="str">
        <f ca="1">'Input Sheet'!L344</f>
        <v/>
      </c>
      <c r="D331" s="11">
        <f>'Input Sheet'!B344</f>
        <v>0</v>
      </c>
      <c r="E331" s="8">
        <f>'Input Sheet'!H344</f>
        <v>0</v>
      </c>
      <c r="F331" s="61">
        <f>'Input Sheet'!C329/100</f>
        <v>0</v>
      </c>
      <c r="G331" s="61">
        <f>'Input Sheet'!F329/100</f>
        <v>0</v>
      </c>
      <c r="H331" s="2">
        <f t="shared" si="38"/>
        <v>0</v>
      </c>
      <c r="I331" s="2">
        <f t="shared" si="39"/>
        <v>0</v>
      </c>
      <c r="J331" s="60">
        <f t="shared" si="44"/>
        <v>0</v>
      </c>
      <c r="K331" s="2">
        <f t="shared" si="40"/>
        <v>0</v>
      </c>
      <c r="L331" s="2">
        <f t="shared" si="41"/>
        <v>0</v>
      </c>
      <c r="M331" s="2" t="str">
        <f>'Input Sheet'!E344</f>
        <v/>
      </c>
      <c r="N331" s="2">
        <f t="shared" si="42"/>
        <v>0</v>
      </c>
      <c r="P331">
        <f t="shared" si="43"/>
        <v>0</v>
      </c>
      <c r="Q331">
        <f t="shared" si="43"/>
        <v>0</v>
      </c>
      <c r="R331">
        <f t="shared" si="43"/>
        <v>0</v>
      </c>
      <c r="S331">
        <f t="shared" si="43"/>
        <v>0</v>
      </c>
      <c r="T331">
        <f t="shared" si="43"/>
        <v>0</v>
      </c>
    </row>
    <row r="332" spans="1:20" ht="16.5" x14ac:dyDescent="0.25">
      <c r="A332" s="10" t="str">
        <f>'Long Sample Name'!A328</f>
        <v/>
      </c>
      <c r="B332" s="1" t="str">
        <f ca="1">'Input Sheet'!K345</f>
        <v/>
      </c>
      <c r="C332" s="7" t="str">
        <f ca="1">'Input Sheet'!L345</f>
        <v/>
      </c>
      <c r="D332" s="11">
        <f>'Input Sheet'!B345</f>
        <v>0</v>
      </c>
      <c r="E332" s="8">
        <f>'Input Sheet'!H345</f>
        <v>0</v>
      </c>
      <c r="F332" s="61">
        <f>'Input Sheet'!C330/100</f>
        <v>0</v>
      </c>
      <c r="G332" s="61">
        <f>'Input Sheet'!F330/100</f>
        <v>0</v>
      </c>
      <c r="H332" s="2">
        <f t="shared" si="38"/>
        <v>0</v>
      </c>
      <c r="I332" s="2">
        <f t="shared" si="39"/>
        <v>0</v>
      </c>
      <c r="J332" s="60">
        <f t="shared" si="44"/>
        <v>0</v>
      </c>
      <c r="K332" s="2">
        <f t="shared" si="40"/>
        <v>0</v>
      </c>
      <c r="L332" s="2">
        <f t="shared" si="41"/>
        <v>0</v>
      </c>
      <c r="M332" s="2" t="str">
        <f>'Input Sheet'!E345</f>
        <v/>
      </c>
      <c r="N332" s="2">
        <f t="shared" si="42"/>
        <v>0</v>
      </c>
      <c r="P332">
        <f t="shared" si="43"/>
        <v>0</v>
      </c>
      <c r="Q332">
        <f t="shared" si="43"/>
        <v>0</v>
      </c>
      <c r="R332">
        <f t="shared" si="43"/>
        <v>0</v>
      </c>
      <c r="S332">
        <f t="shared" si="43"/>
        <v>0</v>
      </c>
      <c r="T332">
        <f t="shared" si="43"/>
        <v>0</v>
      </c>
    </row>
    <row r="333" spans="1:20" ht="16.5" x14ac:dyDescent="0.25">
      <c r="A333" s="10" t="str">
        <f>'Long Sample Name'!A329</f>
        <v/>
      </c>
      <c r="B333" s="1" t="str">
        <f ca="1">'Input Sheet'!K346</f>
        <v/>
      </c>
      <c r="C333" s="7" t="str">
        <f ca="1">'Input Sheet'!L346</f>
        <v/>
      </c>
      <c r="D333" s="11">
        <f>'Input Sheet'!B346</f>
        <v>0</v>
      </c>
      <c r="E333" s="8">
        <f>'Input Sheet'!H346</f>
        <v>0</v>
      </c>
      <c r="F333" s="61">
        <f>'Input Sheet'!C331/100</f>
        <v>0</v>
      </c>
      <c r="G333" s="61">
        <f>'Input Sheet'!F331/100</f>
        <v>0</v>
      </c>
      <c r="H333" s="2">
        <f t="shared" si="38"/>
        <v>0</v>
      </c>
      <c r="I333" s="2">
        <f t="shared" si="39"/>
        <v>0</v>
      </c>
      <c r="J333" s="60">
        <f t="shared" si="44"/>
        <v>0</v>
      </c>
      <c r="K333" s="2">
        <f t="shared" si="40"/>
        <v>0</v>
      </c>
      <c r="L333" s="2">
        <f t="shared" si="41"/>
        <v>0</v>
      </c>
      <c r="M333" s="2" t="str">
        <f>'Input Sheet'!E346</f>
        <v/>
      </c>
      <c r="N333" s="2">
        <f t="shared" si="42"/>
        <v>0</v>
      </c>
      <c r="P333">
        <f t="shared" si="43"/>
        <v>0</v>
      </c>
      <c r="Q333">
        <f t="shared" si="43"/>
        <v>0</v>
      </c>
      <c r="R333">
        <f t="shared" si="43"/>
        <v>0</v>
      </c>
      <c r="S333">
        <f t="shared" si="43"/>
        <v>0</v>
      </c>
      <c r="T333">
        <f t="shared" si="43"/>
        <v>0</v>
      </c>
    </row>
    <row r="334" spans="1:20" ht="16.5" x14ac:dyDescent="0.25">
      <c r="A334" s="10" t="str">
        <f>'Long Sample Name'!A330</f>
        <v/>
      </c>
      <c r="B334" s="1" t="str">
        <f ca="1">'Input Sheet'!K347</f>
        <v/>
      </c>
      <c r="C334" s="7" t="str">
        <f ca="1">'Input Sheet'!L347</f>
        <v/>
      </c>
      <c r="D334" s="11">
        <f>'Input Sheet'!B347</f>
        <v>0</v>
      </c>
      <c r="E334" s="8">
        <f>'Input Sheet'!H347</f>
        <v>0</v>
      </c>
      <c r="F334" s="61">
        <f>'Input Sheet'!C332/100</f>
        <v>0</v>
      </c>
      <c r="G334" s="61">
        <f>'Input Sheet'!F332/100</f>
        <v>0</v>
      </c>
      <c r="H334" s="2">
        <f t="shared" si="38"/>
        <v>0</v>
      </c>
      <c r="I334" s="2">
        <f t="shared" si="39"/>
        <v>0</v>
      </c>
      <c r="J334" s="60">
        <f t="shared" si="44"/>
        <v>0</v>
      </c>
      <c r="K334" s="2">
        <f t="shared" si="40"/>
        <v>0</v>
      </c>
      <c r="L334" s="2">
        <f t="shared" si="41"/>
        <v>0</v>
      </c>
      <c r="M334" s="2" t="str">
        <f>'Input Sheet'!E347</f>
        <v/>
      </c>
      <c r="N334" s="2">
        <f t="shared" si="42"/>
        <v>0</v>
      </c>
      <c r="P334">
        <f t="shared" si="43"/>
        <v>0</v>
      </c>
      <c r="Q334">
        <f t="shared" si="43"/>
        <v>0</v>
      </c>
      <c r="R334">
        <f t="shared" si="43"/>
        <v>0</v>
      </c>
      <c r="S334">
        <f t="shared" si="43"/>
        <v>0</v>
      </c>
      <c r="T334">
        <f t="shared" si="43"/>
        <v>0</v>
      </c>
    </row>
    <row r="335" spans="1:20" ht="16.5" x14ac:dyDescent="0.25">
      <c r="A335" s="10" t="str">
        <f>'Long Sample Name'!A331</f>
        <v/>
      </c>
      <c r="B335" s="1" t="str">
        <f ca="1">'Input Sheet'!K348</f>
        <v/>
      </c>
      <c r="C335" s="7" t="str">
        <f ca="1">'Input Sheet'!L348</f>
        <v/>
      </c>
      <c r="D335" s="11">
        <f>'Input Sheet'!B348</f>
        <v>0</v>
      </c>
      <c r="E335" s="8">
        <f>'Input Sheet'!H348</f>
        <v>0</v>
      </c>
      <c r="F335" s="61">
        <f>'Input Sheet'!C333/100</f>
        <v>0</v>
      </c>
      <c r="G335" s="61">
        <f>'Input Sheet'!F333/100</f>
        <v>0</v>
      </c>
      <c r="H335" s="2">
        <f t="shared" si="38"/>
        <v>0</v>
      </c>
      <c r="I335" s="2">
        <f t="shared" si="39"/>
        <v>0</v>
      </c>
      <c r="J335" s="60">
        <f t="shared" si="44"/>
        <v>0</v>
      </c>
      <c r="K335" s="2">
        <f t="shared" si="40"/>
        <v>0</v>
      </c>
      <c r="L335" s="2">
        <f t="shared" si="41"/>
        <v>0</v>
      </c>
      <c r="M335" s="2" t="str">
        <f>'Input Sheet'!E348</f>
        <v/>
      </c>
      <c r="N335" s="2">
        <f t="shared" si="42"/>
        <v>0</v>
      </c>
      <c r="P335">
        <f t="shared" si="43"/>
        <v>0</v>
      </c>
      <c r="Q335">
        <f t="shared" si="43"/>
        <v>0</v>
      </c>
      <c r="R335">
        <f t="shared" si="43"/>
        <v>0</v>
      </c>
      <c r="S335">
        <f t="shared" si="43"/>
        <v>0</v>
      </c>
      <c r="T335">
        <f t="shared" si="43"/>
        <v>0</v>
      </c>
    </row>
    <row r="336" spans="1:20" ht="16.5" x14ac:dyDescent="0.25">
      <c r="A336" s="10" t="str">
        <f>'Long Sample Name'!A332</f>
        <v/>
      </c>
      <c r="B336" s="1" t="str">
        <f ca="1">'Input Sheet'!K349</f>
        <v/>
      </c>
      <c r="C336" s="7" t="str">
        <f ca="1">'Input Sheet'!L349</f>
        <v/>
      </c>
      <c r="D336" s="11">
        <f>'Input Sheet'!B349</f>
        <v>0</v>
      </c>
      <c r="E336" s="8">
        <f>'Input Sheet'!H349</f>
        <v>0</v>
      </c>
      <c r="F336" s="61">
        <f>'Input Sheet'!C334/100</f>
        <v>0</v>
      </c>
      <c r="G336" s="61">
        <f>'Input Sheet'!F334/100</f>
        <v>0</v>
      </c>
      <c r="H336" s="2">
        <f t="shared" si="38"/>
        <v>0</v>
      </c>
      <c r="I336" s="2">
        <f t="shared" si="39"/>
        <v>0</v>
      </c>
      <c r="J336" s="60">
        <f t="shared" si="44"/>
        <v>0</v>
      </c>
      <c r="K336" s="2">
        <f t="shared" si="40"/>
        <v>0</v>
      </c>
      <c r="L336" s="2">
        <f t="shared" si="41"/>
        <v>0</v>
      </c>
      <c r="M336" s="2" t="str">
        <f>'Input Sheet'!E349</f>
        <v/>
      </c>
      <c r="N336" s="2">
        <f t="shared" si="42"/>
        <v>0</v>
      </c>
      <c r="P336">
        <f t="shared" si="43"/>
        <v>0</v>
      </c>
      <c r="Q336">
        <f t="shared" si="43"/>
        <v>0</v>
      </c>
      <c r="R336">
        <f t="shared" si="43"/>
        <v>0</v>
      </c>
      <c r="S336">
        <f t="shared" si="43"/>
        <v>0</v>
      </c>
      <c r="T336">
        <f t="shared" si="43"/>
        <v>0</v>
      </c>
    </row>
    <row r="337" spans="1:20" ht="16.5" x14ac:dyDescent="0.25">
      <c r="A337" s="10" t="str">
        <f>'Long Sample Name'!A333</f>
        <v/>
      </c>
      <c r="B337" s="1" t="str">
        <f ca="1">'Input Sheet'!K350</f>
        <v/>
      </c>
      <c r="C337" s="7" t="str">
        <f ca="1">'Input Sheet'!L350</f>
        <v/>
      </c>
      <c r="D337" s="11">
        <f>'Input Sheet'!B350</f>
        <v>0</v>
      </c>
      <c r="E337" s="8">
        <f>'Input Sheet'!H350</f>
        <v>0</v>
      </c>
      <c r="F337" s="61">
        <f>'Input Sheet'!C335/100</f>
        <v>0</v>
      </c>
      <c r="G337" s="61">
        <f>'Input Sheet'!F335/100</f>
        <v>0</v>
      </c>
      <c r="H337" s="2">
        <f t="shared" si="38"/>
        <v>0</v>
      </c>
      <c r="I337" s="2">
        <f t="shared" si="39"/>
        <v>0</v>
      </c>
      <c r="J337" s="60">
        <f t="shared" si="44"/>
        <v>0</v>
      </c>
      <c r="K337" s="2">
        <f t="shared" si="40"/>
        <v>0</v>
      </c>
      <c r="L337" s="2">
        <f t="shared" si="41"/>
        <v>0</v>
      </c>
      <c r="M337" s="2" t="str">
        <f>'Input Sheet'!E350</f>
        <v/>
      </c>
      <c r="N337" s="2">
        <f t="shared" si="42"/>
        <v>0</v>
      </c>
      <c r="P337">
        <f t="shared" si="43"/>
        <v>0</v>
      </c>
      <c r="Q337">
        <f t="shared" si="43"/>
        <v>0</v>
      </c>
      <c r="R337">
        <f t="shared" si="43"/>
        <v>0</v>
      </c>
      <c r="S337">
        <f t="shared" si="43"/>
        <v>0</v>
      </c>
      <c r="T337">
        <f t="shared" si="43"/>
        <v>0</v>
      </c>
    </row>
    <row r="338" spans="1:20" ht="16.5" x14ac:dyDescent="0.25">
      <c r="A338" s="10" t="str">
        <f>'Long Sample Name'!A334</f>
        <v/>
      </c>
      <c r="B338" s="1" t="str">
        <f ca="1">'Input Sheet'!K351</f>
        <v/>
      </c>
      <c r="C338" s="7" t="str">
        <f ca="1">'Input Sheet'!L351</f>
        <v/>
      </c>
      <c r="D338" s="11">
        <f>'Input Sheet'!B351</f>
        <v>0</v>
      </c>
      <c r="E338" s="8">
        <f>'Input Sheet'!H351</f>
        <v>0</v>
      </c>
      <c r="F338" s="61">
        <f>'Input Sheet'!C336/100</f>
        <v>0</v>
      </c>
      <c r="G338" s="61">
        <f>'Input Sheet'!F336/100</f>
        <v>0</v>
      </c>
      <c r="H338" s="2">
        <f t="shared" si="38"/>
        <v>0</v>
      </c>
      <c r="I338" s="2">
        <f t="shared" si="39"/>
        <v>0</v>
      </c>
      <c r="J338" s="60">
        <f t="shared" si="44"/>
        <v>0</v>
      </c>
      <c r="K338" s="2">
        <f t="shared" si="40"/>
        <v>0</v>
      </c>
      <c r="L338" s="2">
        <f t="shared" si="41"/>
        <v>0</v>
      </c>
      <c r="M338" s="2" t="str">
        <f>'Input Sheet'!E351</f>
        <v/>
      </c>
      <c r="N338" s="2">
        <f t="shared" si="42"/>
        <v>0</v>
      </c>
      <c r="P338">
        <f t="shared" si="43"/>
        <v>0</v>
      </c>
      <c r="Q338">
        <f t="shared" si="43"/>
        <v>0</v>
      </c>
      <c r="R338">
        <f t="shared" si="43"/>
        <v>0</v>
      </c>
      <c r="S338">
        <f t="shared" si="43"/>
        <v>0</v>
      </c>
      <c r="T338">
        <f t="shared" si="43"/>
        <v>0</v>
      </c>
    </row>
    <row r="339" spans="1:20" ht="16.5" x14ac:dyDescent="0.25">
      <c r="A339" s="10" t="str">
        <f>'Long Sample Name'!A335</f>
        <v/>
      </c>
      <c r="B339" s="1" t="str">
        <f ca="1">'Input Sheet'!K352</f>
        <v/>
      </c>
      <c r="C339" s="7" t="str">
        <f ca="1">'Input Sheet'!L352</f>
        <v/>
      </c>
      <c r="D339" s="11">
        <f>'Input Sheet'!B352</f>
        <v>0</v>
      </c>
      <c r="E339" s="8">
        <f>'Input Sheet'!H352</f>
        <v>0</v>
      </c>
      <c r="F339" s="61">
        <f>'Input Sheet'!C337/100</f>
        <v>0</v>
      </c>
      <c r="G339" s="61">
        <f>'Input Sheet'!F337/100</f>
        <v>0</v>
      </c>
      <c r="H339" s="2">
        <f t="shared" si="38"/>
        <v>0</v>
      </c>
      <c r="I339" s="2">
        <f t="shared" si="39"/>
        <v>0</v>
      </c>
      <c r="J339" s="60">
        <f t="shared" si="44"/>
        <v>0</v>
      </c>
      <c r="K339" s="2">
        <f t="shared" si="40"/>
        <v>0</v>
      </c>
      <c r="L339" s="2">
        <f t="shared" si="41"/>
        <v>0</v>
      </c>
      <c r="M339" s="2" t="str">
        <f>'Input Sheet'!E352</f>
        <v/>
      </c>
      <c r="N339" s="2">
        <f t="shared" si="42"/>
        <v>0</v>
      </c>
      <c r="P339">
        <f t="shared" si="43"/>
        <v>0</v>
      </c>
      <c r="Q339">
        <f t="shared" si="43"/>
        <v>0</v>
      </c>
      <c r="R339">
        <f t="shared" si="43"/>
        <v>0</v>
      </c>
      <c r="S339">
        <f t="shared" si="43"/>
        <v>0</v>
      </c>
      <c r="T339">
        <f t="shared" si="43"/>
        <v>0</v>
      </c>
    </row>
    <row r="340" spans="1:20" ht="16.5" x14ac:dyDescent="0.25">
      <c r="A340" s="10" t="str">
        <f>'Long Sample Name'!A336</f>
        <v/>
      </c>
      <c r="B340" s="1" t="str">
        <f ca="1">'Input Sheet'!K353</f>
        <v/>
      </c>
      <c r="C340" s="7" t="str">
        <f ca="1">'Input Sheet'!L353</f>
        <v/>
      </c>
      <c r="D340" s="11">
        <f>'Input Sheet'!B353</f>
        <v>0</v>
      </c>
      <c r="E340" s="8">
        <f>'Input Sheet'!H353</f>
        <v>0</v>
      </c>
      <c r="F340" s="61">
        <f>'Input Sheet'!C338/100</f>
        <v>0</v>
      </c>
      <c r="G340" s="61">
        <f>'Input Sheet'!F338/100</f>
        <v>0</v>
      </c>
      <c r="H340" s="2">
        <f t="shared" si="38"/>
        <v>0</v>
      </c>
      <c r="I340" s="2">
        <f t="shared" si="39"/>
        <v>0</v>
      </c>
      <c r="J340" s="60">
        <f t="shared" si="44"/>
        <v>0</v>
      </c>
      <c r="K340" s="2">
        <f t="shared" si="40"/>
        <v>0</v>
      </c>
      <c r="L340" s="2">
        <f t="shared" si="41"/>
        <v>0</v>
      </c>
      <c r="M340" s="2" t="str">
        <f>'Input Sheet'!E353</f>
        <v/>
      </c>
      <c r="N340" s="2">
        <f t="shared" si="42"/>
        <v>0</v>
      </c>
      <c r="P340">
        <f t="shared" si="43"/>
        <v>0</v>
      </c>
      <c r="Q340">
        <f t="shared" si="43"/>
        <v>0</v>
      </c>
      <c r="R340">
        <f t="shared" si="43"/>
        <v>0</v>
      </c>
      <c r="S340">
        <f t="shared" si="43"/>
        <v>0</v>
      </c>
      <c r="T340">
        <f t="shared" si="43"/>
        <v>0</v>
      </c>
    </row>
    <row r="341" spans="1:20" ht="16.5" x14ac:dyDescent="0.25">
      <c r="A341" s="10" t="str">
        <f>'Long Sample Name'!A337</f>
        <v/>
      </c>
      <c r="B341" s="1" t="str">
        <f ca="1">'Input Sheet'!K354</f>
        <v/>
      </c>
      <c r="C341" s="7" t="str">
        <f ca="1">'Input Sheet'!L354</f>
        <v/>
      </c>
      <c r="D341" s="11">
        <f>'Input Sheet'!B354</f>
        <v>0</v>
      </c>
      <c r="E341" s="8">
        <f>'Input Sheet'!H354</f>
        <v>0</v>
      </c>
      <c r="F341" s="61">
        <f>'Input Sheet'!C339/100</f>
        <v>0</v>
      </c>
      <c r="G341" s="61">
        <f>'Input Sheet'!F339/100</f>
        <v>0</v>
      </c>
      <c r="H341" s="2">
        <f t="shared" si="38"/>
        <v>0</v>
      </c>
      <c r="I341" s="2">
        <f t="shared" si="39"/>
        <v>0</v>
      </c>
      <c r="J341" s="60">
        <f t="shared" si="44"/>
        <v>0</v>
      </c>
      <c r="K341" s="2">
        <f t="shared" si="40"/>
        <v>0</v>
      </c>
      <c r="L341" s="2">
        <f t="shared" si="41"/>
        <v>0</v>
      </c>
      <c r="M341" s="2" t="str">
        <f>'Input Sheet'!E354</f>
        <v/>
      </c>
      <c r="N341" s="2">
        <f t="shared" si="42"/>
        <v>0</v>
      </c>
      <c r="P341">
        <f t="shared" si="43"/>
        <v>0</v>
      </c>
      <c r="Q341">
        <f t="shared" si="43"/>
        <v>0</v>
      </c>
      <c r="R341">
        <f t="shared" si="43"/>
        <v>0</v>
      </c>
      <c r="S341">
        <f t="shared" si="43"/>
        <v>0</v>
      </c>
      <c r="T341">
        <f t="shared" si="43"/>
        <v>0</v>
      </c>
    </row>
    <row r="342" spans="1:20" ht="16.5" x14ac:dyDescent="0.25">
      <c r="A342" s="10" t="str">
        <f>'Long Sample Name'!A338</f>
        <v/>
      </c>
      <c r="B342" s="1" t="str">
        <f ca="1">'Input Sheet'!K355</f>
        <v/>
      </c>
      <c r="C342" s="7" t="str">
        <f ca="1">'Input Sheet'!L355</f>
        <v/>
      </c>
      <c r="D342" s="11">
        <f>'Input Sheet'!B355</f>
        <v>0</v>
      </c>
      <c r="E342" s="8">
        <f>'Input Sheet'!H355</f>
        <v>0</v>
      </c>
      <c r="F342" s="61">
        <f>'Input Sheet'!C340/100</f>
        <v>0</v>
      </c>
      <c r="G342" s="61">
        <f>'Input Sheet'!F340/100</f>
        <v>0</v>
      </c>
      <c r="H342" s="2">
        <f t="shared" si="38"/>
        <v>0</v>
      </c>
      <c r="I342" s="2">
        <f t="shared" si="39"/>
        <v>0</v>
      </c>
      <c r="J342" s="60">
        <f t="shared" si="44"/>
        <v>0</v>
      </c>
      <c r="K342" s="2">
        <f t="shared" si="40"/>
        <v>0</v>
      </c>
      <c r="L342" s="2">
        <f t="shared" si="41"/>
        <v>0</v>
      </c>
      <c r="M342" s="2" t="str">
        <f>'Input Sheet'!E355</f>
        <v/>
      </c>
      <c r="N342" s="2">
        <f t="shared" si="42"/>
        <v>0</v>
      </c>
      <c r="P342">
        <f t="shared" si="43"/>
        <v>0</v>
      </c>
      <c r="Q342">
        <f t="shared" si="43"/>
        <v>0</v>
      </c>
      <c r="R342">
        <f t="shared" si="43"/>
        <v>0</v>
      </c>
      <c r="S342">
        <f t="shared" si="43"/>
        <v>0</v>
      </c>
      <c r="T342">
        <f t="shared" si="43"/>
        <v>0</v>
      </c>
    </row>
    <row r="343" spans="1:20" ht="16.5" x14ac:dyDescent="0.25">
      <c r="A343" s="10" t="str">
        <f>'Long Sample Name'!A339</f>
        <v/>
      </c>
      <c r="B343" s="1" t="str">
        <f ca="1">'Input Sheet'!K356</f>
        <v/>
      </c>
      <c r="C343" s="7" t="str">
        <f ca="1">'Input Sheet'!L356</f>
        <v/>
      </c>
      <c r="D343" s="11">
        <f>'Input Sheet'!B356</f>
        <v>0</v>
      </c>
      <c r="E343" s="8">
        <f>'Input Sheet'!H356</f>
        <v>0</v>
      </c>
      <c r="F343" s="61">
        <f>'Input Sheet'!C341/100</f>
        <v>0</v>
      </c>
      <c r="G343" s="61">
        <f>'Input Sheet'!F341/100</f>
        <v>0</v>
      </c>
      <c r="H343" s="2">
        <f t="shared" si="38"/>
        <v>0</v>
      </c>
      <c r="I343" s="2">
        <f t="shared" si="39"/>
        <v>0</v>
      </c>
      <c r="J343" s="60">
        <f t="shared" si="44"/>
        <v>0</v>
      </c>
      <c r="K343" s="2">
        <f t="shared" si="40"/>
        <v>0</v>
      </c>
      <c r="L343" s="2">
        <f t="shared" si="41"/>
        <v>0</v>
      </c>
      <c r="M343" s="2" t="str">
        <f>'Input Sheet'!E356</f>
        <v/>
      </c>
      <c r="N343" s="2">
        <f t="shared" si="42"/>
        <v>0</v>
      </c>
      <c r="P343">
        <f t="shared" si="43"/>
        <v>0</v>
      </c>
      <c r="Q343">
        <f t="shared" si="43"/>
        <v>0</v>
      </c>
      <c r="R343">
        <f t="shared" si="43"/>
        <v>0</v>
      </c>
      <c r="S343">
        <f t="shared" si="43"/>
        <v>0</v>
      </c>
      <c r="T343">
        <f t="shared" si="43"/>
        <v>0</v>
      </c>
    </row>
    <row r="344" spans="1:20" ht="16.5" x14ac:dyDescent="0.25">
      <c r="A344" s="10" t="str">
        <f>'Long Sample Name'!A340</f>
        <v/>
      </c>
      <c r="B344" s="1" t="str">
        <f ca="1">'Input Sheet'!K357</f>
        <v/>
      </c>
      <c r="C344" s="7" t="str">
        <f ca="1">'Input Sheet'!L357</f>
        <v/>
      </c>
      <c r="D344" s="11">
        <f>'Input Sheet'!B357</f>
        <v>0</v>
      </c>
      <c r="E344" s="8">
        <f>'Input Sheet'!H357</f>
        <v>0</v>
      </c>
      <c r="F344" s="61">
        <f>'Input Sheet'!C342/100</f>
        <v>0</v>
      </c>
      <c r="G344" s="61">
        <f>'Input Sheet'!F342/100</f>
        <v>0</v>
      </c>
      <c r="H344" s="2">
        <f t="shared" si="38"/>
        <v>0</v>
      </c>
      <c r="I344" s="2">
        <f t="shared" si="39"/>
        <v>0</v>
      </c>
      <c r="J344" s="60">
        <f t="shared" si="44"/>
        <v>0</v>
      </c>
      <c r="K344" s="2">
        <f t="shared" si="40"/>
        <v>0</v>
      </c>
      <c r="L344" s="2">
        <f t="shared" si="41"/>
        <v>0</v>
      </c>
      <c r="M344" s="2" t="str">
        <f>'Input Sheet'!E357</f>
        <v/>
      </c>
      <c r="N344" s="2">
        <f t="shared" si="42"/>
        <v>0</v>
      </c>
      <c r="P344">
        <f t="shared" si="43"/>
        <v>0</v>
      </c>
      <c r="Q344">
        <f t="shared" si="43"/>
        <v>0</v>
      </c>
      <c r="R344">
        <f t="shared" si="43"/>
        <v>0</v>
      </c>
      <c r="S344">
        <f t="shared" si="43"/>
        <v>0</v>
      </c>
      <c r="T344">
        <f t="shared" si="43"/>
        <v>0</v>
      </c>
    </row>
    <row r="345" spans="1:20" ht="16.5" x14ac:dyDescent="0.25">
      <c r="A345" s="10" t="str">
        <f>'Long Sample Name'!A341</f>
        <v/>
      </c>
      <c r="B345" s="1" t="str">
        <f ca="1">'Input Sheet'!K358</f>
        <v/>
      </c>
      <c r="C345" s="7" t="str">
        <f ca="1">'Input Sheet'!L358</f>
        <v/>
      </c>
      <c r="D345" s="11">
        <f>'Input Sheet'!B358</f>
        <v>0</v>
      </c>
      <c r="E345" s="8">
        <f>'Input Sheet'!H358</f>
        <v>0</v>
      </c>
      <c r="F345" s="61">
        <f>'Input Sheet'!C343/100</f>
        <v>0</v>
      </c>
      <c r="G345" s="61">
        <f>'Input Sheet'!F343/100</f>
        <v>0</v>
      </c>
      <c r="H345" s="2">
        <f t="shared" si="38"/>
        <v>0</v>
      </c>
      <c r="I345" s="2">
        <f t="shared" si="39"/>
        <v>0</v>
      </c>
      <c r="J345" s="60">
        <f t="shared" si="44"/>
        <v>0</v>
      </c>
      <c r="K345" s="2">
        <f t="shared" si="40"/>
        <v>0</v>
      </c>
      <c r="L345" s="2">
        <f t="shared" si="41"/>
        <v>0</v>
      </c>
      <c r="M345" s="2" t="str">
        <f>'Input Sheet'!E358</f>
        <v/>
      </c>
      <c r="N345" s="2">
        <f t="shared" si="42"/>
        <v>0</v>
      </c>
      <c r="P345">
        <f t="shared" si="43"/>
        <v>0</v>
      </c>
      <c r="Q345">
        <f t="shared" si="43"/>
        <v>0</v>
      </c>
      <c r="R345">
        <f t="shared" si="43"/>
        <v>0</v>
      </c>
      <c r="S345">
        <f t="shared" si="43"/>
        <v>0</v>
      </c>
      <c r="T345">
        <f t="shared" si="43"/>
        <v>0</v>
      </c>
    </row>
    <row r="346" spans="1:20" ht="16.5" x14ac:dyDescent="0.25">
      <c r="A346" s="10" t="str">
        <f>'Long Sample Name'!A342</f>
        <v/>
      </c>
      <c r="B346" s="1" t="str">
        <f ca="1">'Input Sheet'!K359</f>
        <v/>
      </c>
      <c r="C346" s="7" t="str">
        <f ca="1">'Input Sheet'!L359</f>
        <v/>
      </c>
      <c r="D346" s="11">
        <f>'Input Sheet'!B359</f>
        <v>0</v>
      </c>
      <c r="E346" s="8">
        <f>'Input Sheet'!H359</f>
        <v>0</v>
      </c>
      <c r="F346" s="61">
        <f>'Input Sheet'!C344/100</f>
        <v>0</v>
      </c>
      <c r="G346" s="61">
        <f>'Input Sheet'!F344/100</f>
        <v>0</v>
      </c>
      <c r="H346" s="2">
        <f t="shared" si="38"/>
        <v>0</v>
      </c>
      <c r="I346" s="2">
        <f t="shared" si="39"/>
        <v>0</v>
      </c>
      <c r="J346" s="60">
        <f t="shared" si="44"/>
        <v>0</v>
      </c>
      <c r="K346" s="2">
        <f t="shared" si="40"/>
        <v>0</v>
      </c>
      <c r="L346" s="2">
        <f t="shared" si="41"/>
        <v>0</v>
      </c>
      <c r="M346" s="2" t="str">
        <f>'Input Sheet'!E359</f>
        <v/>
      </c>
      <c r="N346" s="2">
        <f t="shared" si="42"/>
        <v>0</v>
      </c>
      <c r="P346">
        <f t="shared" si="43"/>
        <v>0</v>
      </c>
      <c r="Q346">
        <f t="shared" si="43"/>
        <v>0</v>
      </c>
      <c r="R346">
        <f t="shared" si="43"/>
        <v>0</v>
      </c>
      <c r="S346">
        <f t="shared" si="43"/>
        <v>0</v>
      </c>
      <c r="T346">
        <f t="shared" si="43"/>
        <v>0</v>
      </c>
    </row>
    <row r="347" spans="1:20" ht="16.5" x14ac:dyDescent="0.25">
      <c r="A347" s="10" t="str">
        <f>'Long Sample Name'!A343</f>
        <v/>
      </c>
      <c r="B347" s="1" t="str">
        <f ca="1">'Input Sheet'!K360</f>
        <v/>
      </c>
      <c r="C347" s="7" t="str">
        <f ca="1">'Input Sheet'!L360</f>
        <v/>
      </c>
      <c r="D347" s="11">
        <f>'Input Sheet'!B360</f>
        <v>0</v>
      </c>
      <c r="E347" s="8">
        <f>'Input Sheet'!H360</f>
        <v>0</v>
      </c>
      <c r="F347" s="61">
        <f>'Input Sheet'!C345/100</f>
        <v>0</v>
      </c>
      <c r="G347" s="61">
        <f>'Input Sheet'!F345/100</f>
        <v>0</v>
      </c>
      <c r="H347" s="2">
        <f t="shared" si="38"/>
        <v>0</v>
      </c>
      <c r="I347" s="2">
        <f t="shared" si="39"/>
        <v>0</v>
      </c>
      <c r="J347" s="60">
        <f t="shared" si="44"/>
        <v>0</v>
      </c>
      <c r="K347" s="2">
        <f t="shared" si="40"/>
        <v>0</v>
      </c>
      <c r="L347" s="2">
        <f t="shared" si="41"/>
        <v>0</v>
      </c>
      <c r="M347" s="2" t="str">
        <f>'Input Sheet'!E360</f>
        <v/>
      </c>
      <c r="N347" s="2">
        <f t="shared" si="42"/>
        <v>0</v>
      </c>
      <c r="P347">
        <f t="shared" si="43"/>
        <v>0</v>
      </c>
      <c r="Q347">
        <f t="shared" si="43"/>
        <v>0</v>
      </c>
      <c r="R347">
        <f t="shared" si="43"/>
        <v>0</v>
      </c>
      <c r="S347">
        <f t="shared" si="43"/>
        <v>0</v>
      </c>
      <c r="T347">
        <f t="shared" si="43"/>
        <v>0</v>
      </c>
    </row>
    <row r="348" spans="1:20" ht="16.5" x14ac:dyDescent="0.25">
      <c r="A348" s="10" t="str">
        <f>'Long Sample Name'!A344</f>
        <v/>
      </c>
      <c r="B348" s="1" t="str">
        <f ca="1">'Input Sheet'!K361</f>
        <v/>
      </c>
      <c r="C348" s="7" t="str">
        <f ca="1">'Input Sheet'!L361</f>
        <v/>
      </c>
      <c r="D348" s="11">
        <f>'Input Sheet'!B361</f>
        <v>0</v>
      </c>
      <c r="E348" s="8">
        <f>'Input Sheet'!H361</f>
        <v>0</v>
      </c>
      <c r="F348" s="61">
        <f>'Input Sheet'!C346/100</f>
        <v>0</v>
      </c>
      <c r="G348" s="61">
        <f>'Input Sheet'!F346/100</f>
        <v>0</v>
      </c>
      <c r="H348" s="2">
        <f t="shared" si="38"/>
        <v>0</v>
      </c>
      <c r="I348" s="2">
        <f t="shared" si="39"/>
        <v>0</v>
      </c>
      <c r="J348" s="60">
        <f t="shared" si="44"/>
        <v>0</v>
      </c>
      <c r="K348" s="2">
        <f t="shared" si="40"/>
        <v>0</v>
      </c>
      <c r="L348" s="2">
        <f t="shared" si="41"/>
        <v>0</v>
      </c>
      <c r="M348" s="2" t="str">
        <f>'Input Sheet'!E361</f>
        <v/>
      </c>
      <c r="N348" s="2">
        <f t="shared" si="42"/>
        <v>0</v>
      </c>
      <c r="P348">
        <f t="shared" si="43"/>
        <v>0</v>
      </c>
      <c r="Q348">
        <f t="shared" si="43"/>
        <v>0</v>
      </c>
      <c r="R348">
        <f t="shared" si="43"/>
        <v>0</v>
      </c>
      <c r="S348">
        <f t="shared" si="43"/>
        <v>0</v>
      </c>
      <c r="T348">
        <f t="shared" si="43"/>
        <v>0</v>
      </c>
    </row>
    <row r="349" spans="1:20" ht="16.5" x14ac:dyDescent="0.25">
      <c r="A349" s="10" t="str">
        <f>'Long Sample Name'!A345</f>
        <v/>
      </c>
      <c r="B349" s="1" t="str">
        <f ca="1">'Input Sheet'!K362</f>
        <v/>
      </c>
      <c r="C349" s="7" t="str">
        <f ca="1">'Input Sheet'!L362</f>
        <v/>
      </c>
      <c r="D349" s="11">
        <f>'Input Sheet'!B362</f>
        <v>0</v>
      </c>
      <c r="E349" s="8">
        <f>'Input Sheet'!H362</f>
        <v>0</v>
      </c>
      <c r="F349" s="61">
        <f>'Input Sheet'!C347/100</f>
        <v>0</v>
      </c>
      <c r="G349" s="61">
        <f>'Input Sheet'!F347/100</f>
        <v>0</v>
      </c>
      <c r="H349" s="2">
        <f t="shared" si="38"/>
        <v>0</v>
      </c>
      <c r="I349" s="2">
        <f t="shared" si="39"/>
        <v>0</v>
      </c>
      <c r="J349" s="60">
        <f t="shared" si="44"/>
        <v>0</v>
      </c>
      <c r="K349" s="2">
        <f t="shared" si="40"/>
        <v>0</v>
      </c>
      <c r="L349" s="2">
        <f t="shared" si="41"/>
        <v>0</v>
      </c>
      <c r="M349" s="2" t="str">
        <f>'Input Sheet'!E362</f>
        <v/>
      </c>
      <c r="N349" s="2">
        <f t="shared" si="42"/>
        <v>0</v>
      </c>
      <c r="P349">
        <f t="shared" si="43"/>
        <v>0</v>
      </c>
      <c r="Q349">
        <f t="shared" si="43"/>
        <v>0</v>
      </c>
      <c r="R349">
        <f t="shared" si="43"/>
        <v>0</v>
      </c>
      <c r="S349">
        <f t="shared" si="43"/>
        <v>0</v>
      </c>
      <c r="T349">
        <f t="shared" si="43"/>
        <v>0</v>
      </c>
    </row>
    <row r="350" spans="1:20" ht="16.5" x14ac:dyDescent="0.25">
      <c r="A350" s="10" t="str">
        <f>'Long Sample Name'!A346</f>
        <v/>
      </c>
      <c r="B350" s="1" t="str">
        <f ca="1">'Input Sheet'!K363</f>
        <v/>
      </c>
      <c r="C350" s="7" t="str">
        <f ca="1">'Input Sheet'!L363</f>
        <v/>
      </c>
      <c r="D350" s="11">
        <f>'Input Sheet'!B363</f>
        <v>0</v>
      </c>
      <c r="E350" s="8">
        <f>'Input Sheet'!H363</f>
        <v>0</v>
      </c>
      <c r="F350" s="61">
        <f>'Input Sheet'!C348/100</f>
        <v>0</v>
      </c>
      <c r="G350" s="61">
        <f>'Input Sheet'!F348/100</f>
        <v>0</v>
      </c>
      <c r="H350" s="2">
        <f t="shared" si="38"/>
        <v>0</v>
      </c>
      <c r="I350" s="2">
        <f t="shared" si="39"/>
        <v>0</v>
      </c>
      <c r="J350" s="60">
        <f t="shared" si="44"/>
        <v>0</v>
      </c>
      <c r="K350" s="2">
        <f t="shared" si="40"/>
        <v>0</v>
      </c>
      <c r="L350" s="2">
        <f t="shared" si="41"/>
        <v>0</v>
      </c>
      <c r="M350" s="2" t="str">
        <f>'Input Sheet'!E363</f>
        <v/>
      </c>
      <c r="N350" s="2">
        <f t="shared" si="42"/>
        <v>0</v>
      </c>
      <c r="P350">
        <f t="shared" si="43"/>
        <v>0</v>
      </c>
      <c r="Q350">
        <f t="shared" si="43"/>
        <v>0</v>
      </c>
      <c r="R350">
        <f t="shared" si="43"/>
        <v>0</v>
      </c>
      <c r="S350">
        <f t="shared" si="43"/>
        <v>0</v>
      </c>
      <c r="T350">
        <f t="shared" si="43"/>
        <v>0</v>
      </c>
    </row>
    <row r="351" spans="1:20" ht="16.5" x14ac:dyDescent="0.25">
      <c r="A351" s="10" t="str">
        <f>'Long Sample Name'!A347</f>
        <v/>
      </c>
      <c r="B351" s="1" t="str">
        <f ca="1">'Input Sheet'!K364</f>
        <v/>
      </c>
      <c r="C351" s="7" t="str">
        <f ca="1">'Input Sheet'!L364</f>
        <v/>
      </c>
      <c r="D351" s="11">
        <f>'Input Sheet'!B364</f>
        <v>0</v>
      </c>
      <c r="E351" s="8">
        <f>'Input Sheet'!H364</f>
        <v>0</v>
      </c>
      <c r="F351" s="61">
        <f>'Input Sheet'!C349/100</f>
        <v>0</v>
      </c>
      <c r="G351" s="61">
        <f>'Input Sheet'!F349/100</f>
        <v>0</v>
      </c>
      <c r="H351" s="2">
        <f t="shared" si="38"/>
        <v>0</v>
      </c>
      <c r="I351" s="2">
        <f t="shared" si="39"/>
        <v>0</v>
      </c>
      <c r="J351" s="60">
        <f t="shared" si="44"/>
        <v>0</v>
      </c>
      <c r="K351" s="2">
        <f t="shared" si="40"/>
        <v>0</v>
      </c>
      <c r="L351" s="2">
        <f t="shared" si="41"/>
        <v>0</v>
      </c>
      <c r="M351" s="2" t="str">
        <f>'Input Sheet'!E364</f>
        <v/>
      </c>
      <c r="N351" s="2">
        <f t="shared" si="42"/>
        <v>0</v>
      </c>
      <c r="P351">
        <f t="shared" si="43"/>
        <v>0</v>
      </c>
      <c r="Q351">
        <f t="shared" si="43"/>
        <v>0</v>
      </c>
      <c r="R351">
        <f t="shared" si="43"/>
        <v>0</v>
      </c>
      <c r="S351">
        <f t="shared" si="43"/>
        <v>0</v>
      </c>
      <c r="T351">
        <f t="shared" si="43"/>
        <v>0</v>
      </c>
    </row>
    <row r="352" spans="1:20" ht="16.5" x14ac:dyDescent="0.25">
      <c r="A352" s="10" t="str">
        <f>'Long Sample Name'!A348</f>
        <v/>
      </c>
      <c r="B352" s="1" t="str">
        <f ca="1">'Input Sheet'!K365</f>
        <v/>
      </c>
      <c r="C352" s="7" t="str">
        <f ca="1">'Input Sheet'!L365</f>
        <v/>
      </c>
      <c r="D352" s="11">
        <f>'Input Sheet'!B365</f>
        <v>0</v>
      </c>
      <c r="E352" s="8">
        <f>'Input Sheet'!H365</f>
        <v>0</v>
      </c>
      <c r="F352" s="61">
        <f>'Input Sheet'!C350/100</f>
        <v>0</v>
      </c>
      <c r="G352" s="61">
        <f>'Input Sheet'!F350/100</f>
        <v>0</v>
      </c>
      <c r="H352" s="2">
        <f t="shared" si="38"/>
        <v>0</v>
      </c>
      <c r="I352" s="2">
        <f t="shared" si="39"/>
        <v>0</v>
      </c>
      <c r="J352" s="60">
        <f t="shared" si="44"/>
        <v>0</v>
      </c>
      <c r="K352" s="2">
        <f t="shared" si="40"/>
        <v>0</v>
      </c>
      <c r="L352" s="2">
        <f t="shared" si="41"/>
        <v>0</v>
      </c>
      <c r="M352" s="2" t="str">
        <f>'Input Sheet'!E365</f>
        <v/>
      </c>
      <c r="N352" s="2">
        <f t="shared" si="42"/>
        <v>0</v>
      </c>
      <c r="P352">
        <f t="shared" si="43"/>
        <v>0</v>
      </c>
      <c r="Q352">
        <f t="shared" si="43"/>
        <v>0</v>
      </c>
      <c r="R352">
        <f t="shared" si="43"/>
        <v>0</v>
      </c>
      <c r="S352">
        <f t="shared" si="43"/>
        <v>0</v>
      </c>
      <c r="T352">
        <f t="shared" si="43"/>
        <v>0</v>
      </c>
    </row>
    <row r="353" spans="1:20" ht="16.5" x14ac:dyDescent="0.25">
      <c r="A353" s="10" t="str">
        <f>'Long Sample Name'!A349</f>
        <v/>
      </c>
      <c r="B353" s="1" t="str">
        <f ca="1">'Input Sheet'!K366</f>
        <v/>
      </c>
      <c r="C353" s="7" t="str">
        <f ca="1">'Input Sheet'!L366</f>
        <v/>
      </c>
      <c r="D353" s="11">
        <f>'Input Sheet'!B366</f>
        <v>0</v>
      </c>
      <c r="E353" s="8">
        <f>'Input Sheet'!H366</f>
        <v>0</v>
      </c>
      <c r="F353" s="61">
        <f>'Input Sheet'!C351/100</f>
        <v>0</v>
      </c>
      <c r="G353" s="61">
        <f>'Input Sheet'!F351/100</f>
        <v>0</v>
      </c>
      <c r="H353" s="2">
        <f t="shared" si="38"/>
        <v>0</v>
      </c>
      <c r="I353" s="2">
        <f t="shared" si="39"/>
        <v>0</v>
      </c>
      <c r="J353" s="60">
        <f t="shared" si="44"/>
        <v>0</v>
      </c>
      <c r="K353" s="2">
        <f t="shared" si="40"/>
        <v>0</v>
      </c>
      <c r="L353" s="2">
        <f t="shared" si="41"/>
        <v>0</v>
      </c>
      <c r="M353" s="2" t="str">
        <f>'Input Sheet'!E366</f>
        <v/>
      </c>
      <c r="N353" s="2">
        <f t="shared" si="42"/>
        <v>0</v>
      </c>
      <c r="P353">
        <f t="shared" si="43"/>
        <v>0</v>
      </c>
      <c r="Q353">
        <f t="shared" si="43"/>
        <v>0</v>
      </c>
      <c r="R353">
        <f t="shared" si="43"/>
        <v>0</v>
      </c>
      <c r="S353">
        <f t="shared" si="43"/>
        <v>0</v>
      </c>
      <c r="T353">
        <f t="shared" si="43"/>
        <v>0</v>
      </c>
    </row>
    <row r="354" spans="1:20" ht="16.5" x14ac:dyDescent="0.25">
      <c r="A354" s="10" t="str">
        <f>'Long Sample Name'!A350</f>
        <v/>
      </c>
      <c r="B354" s="1" t="str">
        <f ca="1">'Input Sheet'!K367</f>
        <v/>
      </c>
      <c r="C354" s="7" t="str">
        <f ca="1">'Input Sheet'!L367</f>
        <v/>
      </c>
      <c r="D354" s="11">
        <f>'Input Sheet'!B367</f>
        <v>0</v>
      </c>
      <c r="E354" s="8">
        <f>'Input Sheet'!H367</f>
        <v>0</v>
      </c>
      <c r="F354" s="61">
        <f>'Input Sheet'!C352/100</f>
        <v>0</v>
      </c>
      <c r="G354" s="61">
        <f>'Input Sheet'!F352/100</f>
        <v>0</v>
      </c>
      <c r="H354" s="2">
        <f t="shared" si="38"/>
        <v>0</v>
      </c>
      <c r="I354" s="2">
        <f t="shared" si="39"/>
        <v>0</v>
      </c>
      <c r="J354" s="60">
        <f t="shared" si="44"/>
        <v>0</v>
      </c>
      <c r="K354" s="2">
        <f t="shared" si="40"/>
        <v>0</v>
      </c>
      <c r="L354" s="2">
        <f t="shared" si="41"/>
        <v>0</v>
      </c>
      <c r="M354" s="2" t="str">
        <f>'Input Sheet'!E367</f>
        <v/>
      </c>
      <c r="N354" s="2">
        <f t="shared" si="42"/>
        <v>0</v>
      </c>
      <c r="P354">
        <f t="shared" si="43"/>
        <v>0</v>
      </c>
      <c r="Q354">
        <f t="shared" si="43"/>
        <v>0</v>
      </c>
      <c r="R354">
        <f t="shared" si="43"/>
        <v>0</v>
      </c>
      <c r="S354">
        <f t="shared" si="43"/>
        <v>0</v>
      </c>
      <c r="T354">
        <f t="shared" si="43"/>
        <v>0</v>
      </c>
    </row>
    <row r="355" spans="1:20" ht="16.5" x14ac:dyDescent="0.25">
      <c r="A355" s="10" t="str">
        <f>'Long Sample Name'!A351</f>
        <v/>
      </c>
      <c r="B355" s="1" t="str">
        <f ca="1">'Input Sheet'!K368</f>
        <v/>
      </c>
      <c r="C355" s="7" t="str">
        <f ca="1">'Input Sheet'!L368</f>
        <v/>
      </c>
      <c r="D355" s="11">
        <f>'Input Sheet'!B368</f>
        <v>0</v>
      </c>
      <c r="E355" s="8">
        <f>'Input Sheet'!H368</f>
        <v>0</v>
      </c>
      <c r="F355" s="61">
        <f>'Input Sheet'!C353/100</f>
        <v>0</v>
      </c>
      <c r="G355" s="61">
        <f>'Input Sheet'!F353/100</f>
        <v>0</v>
      </c>
      <c r="H355" s="2">
        <f t="shared" si="38"/>
        <v>0</v>
      </c>
      <c r="I355" s="2">
        <f t="shared" si="39"/>
        <v>0</v>
      </c>
      <c r="J355" s="60">
        <f t="shared" si="44"/>
        <v>0</v>
      </c>
      <c r="K355" s="2">
        <f t="shared" si="40"/>
        <v>0</v>
      </c>
      <c r="L355" s="2">
        <f t="shared" si="41"/>
        <v>0</v>
      </c>
      <c r="M355" s="2" t="str">
        <f>'Input Sheet'!E368</f>
        <v/>
      </c>
      <c r="N355" s="2">
        <f t="shared" si="42"/>
        <v>0</v>
      </c>
      <c r="P355">
        <f t="shared" si="43"/>
        <v>0</v>
      </c>
      <c r="Q355">
        <f t="shared" si="43"/>
        <v>0</v>
      </c>
      <c r="R355">
        <f t="shared" si="43"/>
        <v>0</v>
      </c>
      <c r="S355">
        <f t="shared" si="43"/>
        <v>0</v>
      </c>
      <c r="T355">
        <f t="shared" si="43"/>
        <v>0</v>
      </c>
    </row>
    <row r="356" spans="1:20" ht="16.5" x14ac:dyDescent="0.25">
      <c r="A356" s="10" t="str">
        <f>'Long Sample Name'!A352</f>
        <v/>
      </c>
      <c r="B356" s="1" t="str">
        <f ca="1">'Input Sheet'!K369</f>
        <v/>
      </c>
      <c r="C356" s="7" t="str">
        <f ca="1">'Input Sheet'!L369</f>
        <v/>
      </c>
      <c r="D356" s="11">
        <f>'Input Sheet'!B369</f>
        <v>0</v>
      </c>
      <c r="E356" s="8">
        <f>'Input Sheet'!H369</f>
        <v>0</v>
      </c>
      <c r="F356" s="61">
        <f>'Input Sheet'!C354/100</f>
        <v>0</v>
      </c>
      <c r="G356" s="61">
        <f>'Input Sheet'!F354/100</f>
        <v>0</v>
      </c>
      <c r="H356" s="2">
        <f t="shared" si="38"/>
        <v>0</v>
      </c>
      <c r="I356" s="2">
        <f t="shared" si="39"/>
        <v>0</v>
      </c>
      <c r="J356" s="60">
        <f t="shared" si="44"/>
        <v>0</v>
      </c>
      <c r="K356" s="2">
        <f t="shared" si="40"/>
        <v>0</v>
      </c>
      <c r="L356" s="2">
        <f t="shared" si="41"/>
        <v>0</v>
      </c>
      <c r="M356" s="2" t="str">
        <f>'Input Sheet'!E369</f>
        <v/>
      </c>
      <c r="N356" s="2">
        <f t="shared" si="42"/>
        <v>0</v>
      </c>
      <c r="P356">
        <f t="shared" si="43"/>
        <v>0</v>
      </c>
      <c r="Q356">
        <f t="shared" si="43"/>
        <v>0</v>
      </c>
      <c r="R356">
        <f t="shared" si="43"/>
        <v>0</v>
      </c>
      <c r="S356">
        <f t="shared" si="43"/>
        <v>0</v>
      </c>
      <c r="T356">
        <f t="shared" si="43"/>
        <v>0</v>
      </c>
    </row>
    <row r="357" spans="1:20" ht="16.5" x14ac:dyDescent="0.25">
      <c r="A357" s="10" t="str">
        <f>'Long Sample Name'!A353</f>
        <v/>
      </c>
      <c r="B357" s="1" t="str">
        <f ca="1">'Input Sheet'!K370</f>
        <v/>
      </c>
      <c r="C357" s="7" t="str">
        <f ca="1">'Input Sheet'!L370</f>
        <v/>
      </c>
      <c r="D357" s="11">
        <f>'Input Sheet'!B370</f>
        <v>0</v>
      </c>
      <c r="E357" s="8">
        <f>'Input Sheet'!H370</f>
        <v>0</v>
      </c>
      <c r="F357" s="61">
        <f>'Input Sheet'!C355/100</f>
        <v>0</v>
      </c>
      <c r="G357" s="61">
        <f>'Input Sheet'!F355/100</f>
        <v>0</v>
      </c>
      <c r="H357" s="2">
        <f t="shared" si="38"/>
        <v>0</v>
      </c>
      <c r="I357" s="2">
        <f t="shared" si="39"/>
        <v>0</v>
      </c>
      <c r="J357" s="60">
        <f t="shared" si="44"/>
        <v>0</v>
      </c>
      <c r="K357" s="2">
        <f t="shared" si="40"/>
        <v>0</v>
      </c>
      <c r="L357" s="2">
        <f t="shared" si="41"/>
        <v>0</v>
      </c>
      <c r="M357" s="2" t="str">
        <f>'Input Sheet'!E370</f>
        <v/>
      </c>
      <c r="N357" s="2">
        <f t="shared" si="42"/>
        <v>0</v>
      </c>
      <c r="P357">
        <f t="shared" si="43"/>
        <v>0</v>
      </c>
      <c r="Q357">
        <f t="shared" si="43"/>
        <v>0</v>
      </c>
      <c r="R357">
        <f t="shared" si="43"/>
        <v>0</v>
      </c>
      <c r="S357">
        <f t="shared" si="43"/>
        <v>0</v>
      </c>
      <c r="T357">
        <f t="shared" si="43"/>
        <v>0</v>
      </c>
    </row>
    <row r="358" spans="1:20" ht="16.5" x14ac:dyDescent="0.25">
      <c r="A358" s="10" t="str">
        <f>'Long Sample Name'!A354</f>
        <v/>
      </c>
      <c r="B358" s="1" t="str">
        <f ca="1">'Input Sheet'!K371</f>
        <v/>
      </c>
      <c r="C358" s="7" t="str">
        <f ca="1">'Input Sheet'!L371</f>
        <v/>
      </c>
      <c r="D358" s="11">
        <f>'Input Sheet'!B371</f>
        <v>0</v>
      </c>
      <c r="E358" s="8">
        <f>'Input Sheet'!H371</f>
        <v>0</v>
      </c>
      <c r="F358" s="61">
        <f>'Input Sheet'!C356/100</f>
        <v>0</v>
      </c>
      <c r="G358" s="61">
        <f>'Input Sheet'!F356/100</f>
        <v>0</v>
      </c>
      <c r="H358" s="2">
        <f t="shared" si="38"/>
        <v>0</v>
      </c>
      <c r="I358" s="2">
        <f t="shared" si="39"/>
        <v>0</v>
      </c>
      <c r="J358" s="60">
        <f t="shared" si="44"/>
        <v>0</v>
      </c>
      <c r="K358" s="2">
        <f t="shared" si="40"/>
        <v>0</v>
      </c>
      <c r="L358" s="2">
        <f t="shared" si="41"/>
        <v>0</v>
      </c>
      <c r="M358" s="2" t="str">
        <f>'Input Sheet'!E371</f>
        <v/>
      </c>
      <c r="N358" s="2">
        <f t="shared" si="42"/>
        <v>0</v>
      </c>
      <c r="P358">
        <f t="shared" si="43"/>
        <v>0</v>
      </c>
      <c r="Q358">
        <f t="shared" si="43"/>
        <v>0</v>
      </c>
      <c r="R358">
        <f t="shared" si="43"/>
        <v>0</v>
      </c>
      <c r="S358">
        <f t="shared" si="43"/>
        <v>0</v>
      </c>
      <c r="T358">
        <f t="shared" si="43"/>
        <v>0</v>
      </c>
    </row>
    <row r="359" spans="1:20" ht="16.5" x14ac:dyDescent="0.25">
      <c r="A359" s="10" t="str">
        <f>'Long Sample Name'!A355</f>
        <v/>
      </c>
      <c r="B359" s="1" t="str">
        <f ca="1">'Input Sheet'!K372</f>
        <v/>
      </c>
      <c r="C359" s="7" t="str">
        <f ca="1">'Input Sheet'!L372</f>
        <v/>
      </c>
      <c r="D359" s="11">
        <f>'Input Sheet'!B372</f>
        <v>0</v>
      </c>
      <c r="E359" s="8">
        <f>'Input Sheet'!H372</f>
        <v>0</v>
      </c>
      <c r="F359" s="61">
        <f>'Input Sheet'!C357/100</f>
        <v>0</v>
      </c>
      <c r="G359" s="61">
        <f>'Input Sheet'!F357/100</f>
        <v>0</v>
      </c>
      <c r="H359" s="2">
        <f t="shared" si="38"/>
        <v>0</v>
      </c>
      <c r="I359" s="2">
        <f t="shared" si="39"/>
        <v>0</v>
      </c>
      <c r="J359" s="60">
        <f t="shared" si="44"/>
        <v>0</v>
      </c>
      <c r="K359" s="2">
        <f t="shared" si="40"/>
        <v>0</v>
      </c>
      <c r="L359" s="2">
        <f t="shared" si="41"/>
        <v>0</v>
      </c>
      <c r="M359" s="2" t="str">
        <f>'Input Sheet'!E372</f>
        <v/>
      </c>
      <c r="N359" s="2">
        <f t="shared" si="42"/>
        <v>0</v>
      </c>
      <c r="P359">
        <f t="shared" si="43"/>
        <v>0</v>
      </c>
      <c r="Q359">
        <f t="shared" si="43"/>
        <v>0</v>
      </c>
      <c r="R359">
        <f t="shared" si="43"/>
        <v>0</v>
      </c>
      <c r="S359">
        <f t="shared" si="43"/>
        <v>0</v>
      </c>
      <c r="T359">
        <f t="shared" si="43"/>
        <v>0</v>
      </c>
    </row>
    <row r="360" spans="1:20" ht="16.5" x14ac:dyDescent="0.25">
      <c r="A360" s="10" t="str">
        <f>'Long Sample Name'!A356</f>
        <v/>
      </c>
      <c r="B360" s="1" t="str">
        <f ca="1">'Input Sheet'!K373</f>
        <v/>
      </c>
      <c r="C360" s="7" t="str">
        <f ca="1">'Input Sheet'!L373</f>
        <v/>
      </c>
      <c r="D360" s="11">
        <f>'Input Sheet'!B373</f>
        <v>0</v>
      </c>
      <c r="E360" s="8">
        <f>'Input Sheet'!H373</f>
        <v>0</v>
      </c>
      <c r="F360" s="61">
        <f>'Input Sheet'!C358/100</f>
        <v>0</v>
      </c>
      <c r="G360" s="61">
        <f>'Input Sheet'!F358/100</f>
        <v>0</v>
      </c>
      <c r="H360" s="2">
        <f t="shared" si="38"/>
        <v>0</v>
      </c>
      <c r="I360" s="2">
        <f t="shared" si="39"/>
        <v>0</v>
      </c>
      <c r="J360" s="60">
        <f t="shared" si="44"/>
        <v>0</v>
      </c>
      <c r="K360" s="2">
        <f t="shared" si="40"/>
        <v>0</v>
      </c>
      <c r="L360" s="2">
        <f t="shared" si="41"/>
        <v>0</v>
      </c>
      <c r="M360" s="2" t="str">
        <f>'Input Sheet'!E373</f>
        <v/>
      </c>
      <c r="N360" s="2">
        <f t="shared" si="42"/>
        <v>0</v>
      </c>
      <c r="P360">
        <f t="shared" si="43"/>
        <v>0</v>
      </c>
      <c r="Q360">
        <f t="shared" si="43"/>
        <v>0</v>
      </c>
      <c r="R360">
        <f t="shared" si="43"/>
        <v>0</v>
      </c>
      <c r="S360">
        <f t="shared" si="43"/>
        <v>0</v>
      </c>
      <c r="T360">
        <f t="shared" si="43"/>
        <v>0</v>
      </c>
    </row>
    <row r="361" spans="1:20" ht="16.5" x14ac:dyDescent="0.25">
      <c r="A361" s="10" t="str">
        <f>'Long Sample Name'!A357</f>
        <v/>
      </c>
      <c r="B361" s="1" t="str">
        <f ca="1">'Input Sheet'!K374</f>
        <v/>
      </c>
      <c r="C361" s="7" t="str">
        <f ca="1">'Input Sheet'!L374</f>
        <v/>
      </c>
      <c r="D361" s="11">
        <f>'Input Sheet'!B374</f>
        <v>0</v>
      </c>
      <c r="E361" s="8">
        <f>'Input Sheet'!H374</f>
        <v>0</v>
      </c>
      <c r="F361" s="61">
        <f>'Input Sheet'!C359/100</f>
        <v>0</v>
      </c>
      <c r="G361" s="61">
        <f>'Input Sheet'!F359/100</f>
        <v>0</v>
      </c>
      <c r="H361" s="2">
        <f t="shared" si="38"/>
        <v>0</v>
      </c>
      <c r="I361" s="2">
        <f t="shared" si="39"/>
        <v>0</v>
      </c>
      <c r="J361" s="60">
        <f t="shared" si="44"/>
        <v>0</v>
      </c>
      <c r="K361" s="2">
        <f t="shared" si="40"/>
        <v>0</v>
      </c>
      <c r="L361" s="2">
        <f t="shared" si="41"/>
        <v>0</v>
      </c>
      <c r="M361" s="2" t="str">
        <f>'Input Sheet'!E374</f>
        <v/>
      </c>
      <c r="N361" s="2">
        <f t="shared" si="42"/>
        <v>0</v>
      </c>
      <c r="P361">
        <f t="shared" si="43"/>
        <v>0</v>
      </c>
      <c r="Q361">
        <f t="shared" si="43"/>
        <v>0</v>
      </c>
      <c r="R361">
        <f t="shared" si="43"/>
        <v>0</v>
      </c>
      <c r="S361">
        <f t="shared" si="43"/>
        <v>0</v>
      </c>
      <c r="T361">
        <f t="shared" si="43"/>
        <v>0</v>
      </c>
    </row>
    <row r="362" spans="1:20" ht="16.5" x14ac:dyDescent="0.25">
      <c r="A362" s="10" t="str">
        <f>'Long Sample Name'!A358</f>
        <v/>
      </c>
      <c r="B362" s="1" t="str">
        <f ca="1">'Input Sheet'!K375</f>
        <v/>
      </c>
      <c r="C362" s="7" t="str">
        <f ca="1">'Input Sheet'!L375</f>
        <v/>
      </c>
      <c r="D362" s="11">
        <f>'Input Sheet'!B375</f>
        <v>0</v>
      </c>
      <c r="E362" s="8">
        <f>'Input Sheet'!H375</f>
        <v>0</v>
      </c>
      <c r="F362" s="61">
        <f>'Input Sheet'!C360/100</f>
        <v>0</v>
      </c>
      <c r="G362" s="61">
        <f>'Input Sheet'!F360/100</f>
        <v>0</v>
      </c>
      <c r="H362" s="2">
        <f t="shared" si="38"/>
        <v>0</v>
      </c>
      <c r="I362" s="2">
        <f t="shared" si="39"/>
        <v>0</v>
      </c>
      <c r="J362" s="60">
        <f t="shared" si="44"/>
        <v>0</v>
      </c>
      <c r="K362" s="2">
        <f t="shared" si="40"/>
        <v>0</v>
      </c>
      <c r="L362" s="2">
        <f t="shared" si="41"/>
        <v>0</v>
      </c>
      <c r="M362" s="2" t="str">
        <f>'Input Sheet'!E375</f>
        <v/>
      </c>
      <c r="N362" s="2">
        <f t="shared" si="42"/>
        <v>0</v>
      </c>
      <c r="P362">
        <f t="shared" si="43"/>
        <v>0</v>
      </c>
      <c r="Q362">
        <f t="shared" si="43"/>
        <v>0</v>
      </c>
      <c r="R362">
        <f t="shared" si="43"/>
        <v>0</v>
      </c>
      <c r="S362">
        <f t="shared" si="43"/>
        <v>0</v>
      </c>
      <c r="T362">
        <f t="shared" si="43"/>
        <v>0</v>
      </c>
    </row>
    <row r="363" spans="1:20" ht="16.5" x14ac:dyDescent="0.25">
      <c r="A363" s="10" t="str">
        <f>'Long Sample Name'!A359</f>
        <v/>
      </c>
      <c r="B363" s="1" t="str">
        <f ca="1">'Input Sheet'!K376</f>
        <v/>
      </c>
      <c r="C363" s="7" t="str">
        <f ca="1">'Input Sheet'!L376</f>
        <v/>
      </c>
      <c r="D363" s="11">
        <f>'Input Sheet'!B376</f>
        <v>0</v>
      </c>
      <c r="E363" s="8">
        <f>'Input Sheet'!H376</f>
        <v>0</v>
      </c>
      <c r="F363" s="61">
        <f>'Input Sheet'!C361/100</f>
        <v>0</v>
      </c>
      <c r="G363" s="61">
        <f>'Input Sheet'!F361/100</f>
        <v>0</v>
      </c>
      <c r="H363" s="2">
        <f t="shared" si="38"/>
        <v>0</v>
      </c>
      <c r="I363" s="2">
        <f t="shared" si="39"/>
        <v>0</v>
      </c>
      <c r="J363" s="60">
        <f t="shared" si="44"/>
        <v>0</v>
      </c>
      <c r="K363" s="2">
        <f t="shared" si="40"/>
        <v>0</v>
      </c>
      <c r="L363" s="2">
        <f t="shared" si="41"/>
        <v>0</v>
      </c>
      <c r="M363" s="2" t="str">
        <f>'Input Sheet'!E376</f>
        <v/>
      </c>
      <c r="N363" s="2">
        <f t="shared" si="42"/>
        <v>0</v>
      </c>
      <c r="P363">
        <f t="shared" si="43"/>
        <v>0</v>
      </c>
      <c r="Q363">
        <f t="shared" si="43"/>
        <v>0</v>
      </c>
      <c r="R363">
        <f t="shared" si="43"/>
        <v>0</v>
      </c>
      <c r="S363">
        <f t="shared" si="43"/>
        <v>0</v>
      </c>
      <c r="T363">
        <f t="shared" si="43"/>
        <v>0</v>
      </c>
    </row>
    <row r="364" spans="1:20" ht="16.5" x14ac:dyDescent="0.25">
      <c r="A364" s="10" t="str">
        <f>'Long Sample Name'!A360</f>
        <v/>
      </c>
      <c r="B364" s="1" t="str">
        <f ca="1">'Input Sheet'!K377</f>
        <v/>
      </c>
      <c r="C364" s="7" t="str">
        <f ca="1">'Input Sheet'!L377</f>
        <v/>
      </c>
      <c r="D364" s="11">
        <f>'Input Sheet'!B377</f>
        <v>0</v>
      </c>
      <c r="E364" s="8">
        <f>'Input Sheet'!H377</f>
        <v>0</v>
      </c>
      <c r="F364" s="61">
        <f>'Input Sheet'!C362/100</f>
        <v>0</v>
      </c>
      <c r="G364" s="61">
        <f>'Input Sheet'!F362/100</f>
        <v>0</v>
      </c>
      <c r="H364" s="2">
        <f t="shared" si="38"/>
        <v>0</v>
      </c>
      <c r="I364" s="2">
        <f t="shared" si="39"/>
        <v>0</v>
      </c>
      <c r="J364" s="60">
        <f t="shared" si="44"/>
        <v>0</v>
      </c>
      <c r="K364" s="2">
        <f t="shared" si="40"/>
        <v>0</v>
      </c>
      <c r="L364" s="2">
        <f t="shared" si="41"/>
        <v>0</v>
      </c>
      <c r="M364" s="2" t="str">
        <f>'Input Sheet'!E377</f>
        <v/>
      </c>
      <c r="N364" s="2">
        <f t="shared" si="42"/>
        <v>0</v>
      </c>
      <c r="P364">
        <f t="shared" si="43"/>
        <v>0</v>
      </c>
      <c r="Q364">
        <f t="shared" si="43"/>
        <v>0</v>
      </c>
      <c r="R364">
        <f t="shared" si="43"/>
        <v>0</v>
      </c>
      <c r="S364">
        <f t="shared" si="43"/>
        <v>0</v>
      </c>
      <c r="T364">
        <f t="shared" si="43"/>
        <v>0</v>
      </c>
    </row>
    <row r="365" spans="1:20" ht="16.5" x14ac:dyDescent="0.25">
      <c r="A365" s="10" t="str">
        <f>'Long Sample Name'!A361</f>
        <v/>
      </c>
      <c r="B365" s="1" t="str">
        <f ca="1">'Input Sheet'!K378</f>
        <v/>
      </c>
      <c r="C365" s="7" t="str">
        <f ca="1">'Input Sheet'!L378</f>
        <v/>
      </c>
      <c r="D365" s="11">
        <f>'Input Sheet'!B378</f>
        <v>0</v>
      </c>
      <c r="E365" s="8">
        <f>'Input Sheet'!H378</f>
        <v>0</v>
      </c>
      <c r="F365" s="61">
        <f>'Input Sheet'!C363/100</f>
        <v>0</v>
      </c>
      <c r="G365" s="61">
        <f>'Input Sheet'!F363/100</f>
        <v>0</v>
      </c>
      <c r="H365" s="2">
        <f t="shared" si="38"/>
        <v>0</v>
      </c>
      <c r="I365" s="2">
        <f t="shared" si="39"/>
        <v>0</v>
      </c>
      <c r="J365" s="60">
        <f t="shared" si="44"/>
        <v>0</v>
      </c>
      <c r="K365" s="2">
        <f t="shared" si="40"/>
        <v>0</v>
      </c>
      <c r="L365" s="2">
        <f t="shared" si="41"/>
        <v>0</v>
      </c>
      <c r="M365" s="2" t="str">
        <f>'Input Sheet'!E378</f>
        <v/>
      </c>
      <c r="N365" s="2">
        <f t="shared" si="42"/>
        <v>0</v>
      </c>
      <c r="P365">
        <f t="shared" ref="P365:T415" si="45">IF($M365=P$1,$H365,0)</f>
        <v>0</v>
      </c>
      <c r="Q365">
        <f t="shared" si="45"/>
        <v>0</v>
      </c>
      <c r="R365">
        <f t="shared" si="45"/>
        <v>0</v>
      </c>
      <c r="S365">
        <f t="shared" si="45"/>
        <v>0</v>
      </c>
      <c r="T365">
        <f t="shared" si="45"/>
        <v>0</v>
      </c>
    </row>
    <row r="366" spans="1:20" ht="16.5" x14ac:dyDescent="0.25">
      <c r="A366" s="10" t="str">
        <f>'Long Sample Name'!A362</f>
        <v/>
      </c>
      <c r="B366" s="1" t="str">
        <f ca="1">'Input Sheet'!K379</f>
        <v/>
      </c>
      <c r="C366" s="7" t="str">
        <f ca="1">'Input Sheet'!L379</f>
        <v/>
      </c>
      <c r="D366" s="11">
        <f>'Input Sheet'!B379</f>
        <v>0</v>
      </c>
      <c r="E366" s="8">
        <f>'Input Sheet'!H379</f>
        <v>0</v>
      </c>
      <c r="F366" s="61">
        <f>'Input Sheet'!C364/100</f>
        <v>0</v>
      </c>
      <c r="G366" s="61">
        <f>'Input Sheet'!F364/100</f>
        <v>0</v>
      </c>
      <c r="H366" s="2">
        <f t="shared" si="38"/>
        <v>0</v>
      </c>
      <c r="I366" s="2">
        <f t="shared" si="39"/>
        <v>0</v>
      </c>
      <c r="J366" s="60">
        <f t="shared" si="44"/>
        <v>0</v>
      </c>
      <c r="K366" s="2">
        <f t="shared" si="40"/>
        <v>0</v>
      </c>
      <c r="L366" s="2">
        <f t="shared" si="41"/>
        <v>0</v>
      </c>
      <c r="M366" s="2" t="str">
        <f>'Input Sheet'!E379</f>
        <v/>
      </c>
      <c r="N366" s="2">
        <f t="shared" si="42"/>
        <v>0</v>
      </c>
      <c r="P366">
        <f t="shared" si="45"/>
        <v>0</v>
      </c>
      <c r="Q366">
        <f t="shared" si="45"/>
        <v>0</v>
      </c>
      <c r="R366">
        <f t="shared" si="45"/>
        <v>0</v>
      </c>
      <c r="S366">
        <f t="shared" si="45"/>
        <v>0</v>
      </c>
      <c r="T366">
        <f t="shared" si="45"/>
        <v>0</v>
      </c>
    </row>
    <row r="367" spans="1:20" ht="16.5" x14ac:dyDescent="0.25">
      <c r="A367" s="10" t="str">
        <f>'Long Sample Name'!A363</f>
        <v/>
      </c>
      <c r="B367" s="1" t="str">
        <f ca="1">'Input Sheet'!K380</f>
        <v/>
      </c>
      <c r="C367" s="7" t="str">
        <f ca="1">'Input Sheet'!L380</f>
        <v/>
      </c>
      <c r="D367" s="11">
        <f>'Input Sheet'!B380</f>
        <v>0</v>
      </c>
      <c r="E367" s="8">
        <f>'Input Sheet'!H380</f>
        <v>0</v>
      </c>
      <c r="F367" s="61">
        <f>'Input Sheet'!C365/100</f>
        <v>0</v>
      </c>
      <c r="G367" s="61">
        <f>'Input Sheet'!F365/100</f>
        <v>0</v>
      </c>
      <c r="H367" s="2">
        <f t="shared" si="38"/>
        <v>0</v>
      </c>
      <c r="I367" s="2">
        <f t="shared" si="39"/>
        <v>0</v>
      </c>
      <c r="J367" s="60">
        <f t="shared" si="44"/>
        <v>0</v>
      </c>
      <c r="K367" s="2">
        <f t="shared" si="40"/>
        <v>0</v>
      </c>
      <c r="L367" s="2">
        <f t="shared" si="41"/>
        <v>0</v>
      </c>
      <c r="M367" s="2" t="str">
        <f>'Input Sheet'!E380</f>
        <v/>
      </c>
      <c r="N367" s="2">
        <f t="shared" si="42"/>
        <v>0</v>
      </c>
      <c r="P367">
        <f t="shared" si="45"/>
        <v>0</v>
      </c>
      <c r="Q367">
        <f t="shared" si="45"/>
        <v>0</v>
      </c>
      <c r="R367">
        <f t="shared" si="45"/>
        <v>0</v>
      </c>
      <c r="S367">
        <f t="shared" si="45"/>
        <v>0</v>
      </c>
      <c r="T367">
        <f t="shared" si="45"/>
        <v>0</v>
      </c>
    </row>
    <row r="368" spans="1:20" ht="16.5" x14ac:dyDescent="0.25">
      <c r="A368" s="10" t="str">
        <f>'Long Sample Name'!A364</f>
        <v/>
      </c>
      <c r="B368" s="1" t="str">
        <f ca="1">'Input Sheet'!K381</f>
        <v/>
      </c>
      <c r="C368" s="7" t="str">
        <f ca="1">'Input Sheet'!L381</f>
        <v/>
      </c>
      <c r="D368" s="11">
        <f>'Input Sheet'!B381</f>
        <v>0</v>
      </c>
      <c r="E368" s="8">
        <f>'Input Sheet'!H381</f>
        <v>0</v>
      </c>
      <c r="F368" s="61">
        <f>'Input Sheet'!C366/100</f>
        <v>0</v>
      </c>
      <c r="G368" s="61">
        <f>'Input Sheet'!F366/100</f>
        <v>0</v>
      </c>
      <c r="H368" s="2">
        <f t="shared" si="38"/>
        <v>0</v>
      </c>
      <c r="I368" s="2">
        <f t="shared" si="39"/>
        <v>0</v>
      </c>
      <c r="J368" s="60">
        <f t="shared" si="44"/>
        <v>0</v>
      </c>
      <c r="K368" s="2">
        <f t="shared" si="40"/>
        <v>0</v>
      </c>
      <c r="L368" s="2">
        <f t="shared" si="41"/>
        <v>0</v>
      </c>
      <c r="M368" s="2" t="str">
        <f>'Input Sheet'!E381</f>
        <v/>
      </c>
      <c r="N368" s="2">
        <f t="shared" si="42"/>
        <v>0</v>
      </c>
      <c r="P368">
        <f t="shared" si="45"/>
        <v>0</v>
      </c>
      <c r="Q368">
        <f t="shared" si="45"/>
        <v>0</v>
      </c>
      <c r="R368">
        <f t="shared" si="45"/>
        <v>0</v>
      </c>
      <c r="S368">
        <f t="shared" si="45"/>
        <v>0</v>
      </c>
      <c r="T368">
        <f t="shared" si="45"/>
        <v>0</v>
      </c>
    </row>
    <row r="369" spans="1:20" ht="16.5" x14ac:dyDescent="0.25">
      <c r="A369" s="10" t="str">
        <f>'Long Sample Name'!A365</f>
        <v/>
      </c>
      <c r="B369" s="1" t="str">
        <f ca="1">'Input Sheet'!K382</f>
        <v/>
      </c>
      <c r="C369" s="7" t="str">
        <f ca="1">'Input Sheet'!L382</f>
        <v/>
      </c>
      <c r="D369" s="11">
        <f>'Input Sheet'!B382</f>
        <v>0</v>
      </c>
      <c r="E369" s="8">
        <f>'Input Sheet'!H382</f>
        <v>0</v>
      </c>
      <c r="F369" s="61">
        <f>'Input Sheet'!C367/100</f>
        <v>0</v>
      </c>
      <c r="G369" s="61">
        <f>'Input Sheet'!F367/100</f>
        <v>0</v>
      </c>
      <c r="H369" s="2">
        <f t="shared" si="38"/>
        <v>0</v>
      </c>
      <c r="I369" s="2">
        <f t="shared" si="39"/>
        <v>0</v>
      </c>
      <c r="J369" s="60">
        <f t="shared" si="44"/>
        <v>0</v>
      </c>
      <c r="K369" s="2">
        <f t="shared" si="40"/>
        <v>0</v>
      </c>
      <c r="L369" s="2">
        <f t="shared" si="41"/>
        <v>0</v>
      </c>
      <c r="M369" s="2" t="str">
        <f>'Input Sheet'!E382</f>
        <v/>
      </c>
      <c r="N369" s="2">
        <f t="shared" si="42"/>
        <v>0</v>
      </c>
      <c r="P369">
        <f t="shared" si="45"/>
        <v>0</v>
      </c>
      <c r="Q369">
        <f t="shared" si="45"/>
        <v>0</v>
      </c>
      <c r="R369">
        <f t="shared" si="45"/>
        <v>0</v>
      </c>
      <c r="S369">
        <f t="shared" si="45"/>
        <v>0</v>
      </c>
      <c r="T369">
        <f t="shared" si="45"/>
        <v>0</v>
      </c>
    </row>
    <row r="370" spans="1:20" ht="16.5" x14ac:dyDescent="0.25">
      <c r="A370" s="10" t="str">
        <f>'Long Sample Name'!A366</f>
        <v/>
      </c>
      <c r="B370" s="1" t="str">
        <f ca="1">'Input Sheet'!K383</f>
        <v/>
      </c>
      <c r="C370" s="7" t="str">
        <f ca="1">'Input Sheet'!L383</f>
        <v/>
      </c>
      <c r="D370" s="11">
        <f>'Input Sheet'!B383</f>
        <v>0</v>
      </c>
      <c r="E370" s="8">
        <f>'Input Sheet'!H383</f>
        <v>0</v>
      </c>
      <c r="F370" s="61">
        <f>'Input Sheet'!C368/100</f>
        <v>0</v>
      </c>
      <c r="G370" s="61">
        <f>'Input Sheet'!F368/100</f>
        <v>0</v>
      </c>
      <c r="H370" s="2">
        <f t="shared" si="38"/>
        <v>0</v>
      </c>
      <c r="I370" s="2">
        <f t="shared" si="39"/>
        <v>0</v>
      </c>
      <c r="J370" s="60">
        <f t="shared" si="44"/>
        <v>0</v>
      </c>
      <c r="K370" s="2">
        <f t="shared" si="40"/>
        <v>0</v>
      </c>
      <c r="L370" s="2">
        <f t="shared" si="41"/>
        <v>0</v>
      </c>
      <c r="M370" s="2" t="str">
        <f>'Input Sheet'!E383</f>
        <v/>
      </c>
      <c r="N370" s="2">
        <f t="shared" si="42"/>
        <v>0</v>
      </c>
      <c r="P370">
        <f t="shared" si="45"/>
        <v>0</v>
      </c>
      <c r="Q370">
        <f t="shared" si="45"/>
        <v>0</v>
      </c>
      <c r="R370">
        <f t="shared" si="45"/>
        <v>0</v>
      </c>
      <c r="S370">
        <f t="shared" si="45"/>
        <v>0</v>
      </c>
      <c r="T370">
        <f t="shared" si="45"/>
        <v>0</v>
      </c>
    </row>
    <row r="371" spans="1:20" ht="16.5" x14ac:dyDescent="0.25">
      <c r="A371" s="10" t="str">
        <f>'Long Sample Name'!A367</f>
        <v/>
      </c>
      <c r="B371" s="1" t="str">
        <f ca="1">'Input Sheet'!K384</f>
        <v/>
      </c>
      <c r="C371" s="7" t="str">
        <f ca="1">'Input Sheet'!L384</f>
        <v/>
      </c>
      <c r="D371" s="11">
        <f>'Input Sheet'!B384</f>
        <v>0</v>
      </c>
      <c r="E371" s="8">
        <f>'Input Sheet'!H384</f>
        <v>0</v>
      </c>
      <c r="F371" s="61">
        <f>'Input Sheet'!C369/100</f>
        <v>0</v>
      </c>
      <c r="G371" s="61">
        <f>'Input Sheet'!F369/100</f>
        <v>0</v>
      </c>
      <c r="H371" s="2">
        <f t="shared" si="38"/>
        <v>0</v>
      </c>
      <c r="I371" s="2">
        <f t="shared" si="39"/>
        <v>0</v>
      </c>
      <c r="J371" s="60">
        <f t="shared" si="44"/>
        <v>0</v>
      </c>
      <c r="K371" s="2">
        <f t="shared" si="40"/>
        <v>0</v>
      </c>
      <c r="L371" s="2">
        <f t="shared" si="41"/>
        <v>0</v>
      </c>
      <c r="M371" s="2" t="str">
        <f>'Input Sheet'!E384</f>
        <v/>
      </c>
      <c r="N371" s="2">
        <f t="shared" si="42"/>
        <v>0</v>
      </c>
      <c r="P371">
        <f t="shared" si="45"/>
        <v>0</v>
      </c>
      <c r="Q371">
        <f t="shared" si="45"/>
        <v>0</v>
      </c>
      <c r="R371">
        <f t="shared" si="45"/>
        <v>0</v>
      </c>
      <c r="S371">
        <f t="shared" si="45"/>
        <v>0</v>
      </c>
      <c r="T371">
        <f t="shared" si="45"/>
        <v>0</v>
      </c>
    </row>
    <row r="372" spans="1:20" ht="16.5" x14ac:dyDescent="0.25">
      <c r="A372" s="10" t="str">
        <f>'Long Sample Name'!A368</f>
        <v/>
      </c>
      <c r="B372" s="1" t="str">
        <f ca="1">'Input Sheet'!K385</f>
        <v/>
      </c>
      <c r="C372" s="7" t="str">
        <f ca="1">'Input Sheet'!L385</f>
        <v/>
      </c>
      <c r="D372" s="11">
        <f>'Input Sheet'!B385</f>
        <v>0</v>
      </c>
      <c r="E372" s="8">
        <f>'Input Sheet'!H385</f>
        <v>0</v>
      </c>
      <c r="F372" s="61">
        <f>'Input Sheet'!C370/100</f>
        <v>0</v>
      </c>
      <c r="G372" s="61">
        <f>'Input Sheet'!F370/100</f>
        <v>0</v>
      </c>
      <c r="H372" s="2">
        <f t="shared" si="38"/>
        <v>0</v>
      </c>
      <c r="I372" s="2">
        <f t="shared" si="39"/>
        <v>0</v>
      </c>
      <c r="J372" s="60">
        <f t="shared" si="44"/>
        <v>0</v>
      </c>
      <c r="K372" s="2">
        <f t="shared" si="40"/>
        <v>0</v>
      </c>
      <c r="L372" s="2">
        <f t="shared" si="41"/>
        <v>0</v>
      </c>
      <c r="M372" s="2" t="str">
        <f>'Input Sheet'!E385</f>
        <v/>
      </c>
      <c r="N372" s="2">
        <f t="shared" si="42"/>
        <v>0</v>
      </c>
      <c r="P372">
        <f t="shared" si="45"/>
        <v>0</v>
      </c>
      <c r="Q372">
        <f t="shared" si="45"/>
        <v>0</v>
      </c>
      <c r="R372">
        <f t="shared" si="45"/>
        <v>0</v>
      </c>
      <c r="S372">
        <f t="shared" si="45"/>
        <v>0</v>
      </c>
      <c r="T372">
        <f t="shared" si="45"/>
        <v>0</v>
      </c>
    </row>
    <row r="373" spans="1:20" ht="16.5" x14ac:dyDescent="0.25">
      <c r="A373" s="10" t="str">
        <f>'Long Sample Name'!A369</f>
        <v/>
      </c>
      <c r="B373" s="1" t="str">
        <f ca="1">'Input Sheet'!K386</f>
        <v/>
      </c>
      <c r="C373" s="7" t="str">
        <f ca="1">'Input Sheet'!L386</f>
        <v/>
      </c>
      <c r="D373" s="11">
        <f>'Input Sheet'!B386</f>
        <v>0</v>
      </c>
      <c r="E373" s="8">
        <f>'Input Sheet'!H386</f>
        <v>0</v>
      </c>
      <c r="F373" s="61">
        <f>'Input Sheet'!C371/100</f>
        <v>0</v>
      </c>
      <c r="G373" s="61">
        <f>'Input Sheet'!F371/100</f>
        <v>0</v>
      </c>
      <c r="H373" s="2">
        <f t="shared" si="38"/>
        <v>0</v>
      </c>
      <c r="I373" s="2">
        <f t="shared" si="39"/>
        <v>0</v>
      </c>
      <c r="J373" s="60">
        <f t="shared" si="44"/>
        <v>0</v>
      </c>
      <c r="K373" s="2">
        <f t="shared" si="40"/>
        <v>0</v>
      </c>
      <c r="L373" s="2">
        <f t="shared" si="41"/>
        <v>0</v>
      </c>
      <c r="M373" s="2" t="str">
        <f>'Input Sheet'!E386</f>
        <v/>
      </c>
      <c r="N373" s="2">
        <f t="shared" si="42"/>
        <v>0</v>
      </c>
      <c r="P373">
        <f t="shared" si="45"/>
        <v>0</v>
      </c>
      <c r="Q373">
        <f t="shared" si="45"/>
        <v>0</v>
      </c>
      <c r="R373">
        <f t="shared" si="45"/>
        <v>0</v>
      </c>
      <c r="S373">
        <f t="shared" si="45"/>
        <v>0</v>
      </c>
      <c r="T373">
        <f t="shared" si="45"/>
        <v>0</v>
      </c>
    </row>
    <row r="374" spans="1:20" ht="16.5" x14ac:dyDescent="0.25">
      <c r="A374" s="10" t="str">
        <f>'Long Sample Name'!A370</f>
        <v/>
      </c>
      <c r="B374" s="1" t="str">
        <f ca="1">'Input Sheet'!K387</f>
        <v/>
      </c>
      <c r="C374" s="7" t="str">
        <f ca="1">'Input Sheet'!L387</f>
        <v/>
      </c>
      <c r="D374" s="11">
        <f>'Input Sheet'!B387</f>
        <v>0</v>
      </c>
      <c r="E374" s="8">
        <f>'Input Sheet'!H387</f>
        <v>0</v>
      </c>
      <c r="F374" s="61">
        <f>'Input Sheet'!C372/100</f>
        <v>0</v>
      </c>
      <c r="G374" s="61">
        <f>'Input Sheet'!F372/100</f>
        <v>0</v>
      </c>
      <c r="H374" s="2">
        <f t="shared" si="38"/>
        <v>0</v>
      </c>
      <c r="I374" s="2">
        <f t="shared" si="39"/>
        <v>0</v>
      </c>
      <c r="J374" s="60">
        <f t="shared" si="44"/>
        <v>0</v>
      </c>
      <c r="K374" s="2">
        <f t="shared" si="40"/>
        <v>0</v>
      </c>
      <c r="L374" s="2">
        <f t="shared" si="41"/>
        <v>0</v>
      </c>
      <c r="M374" s="2" t="str">
        <f>'Input Sheet'!E387</f>
        <v/>
      </c>
      <c r="N374" s="2">
        <f t="shared" si="42"/>
        <v>0</v>
      </c>
      <c r="P374">
        <f t="shared" si="45"/>
        <v>0</v>
      </c>
      <c r="Q374">
        <f t="shared" si="45"/>
        <v>0</v>
      </c>
      <c r="R374">
        <f t="shared" si="45"/>
        <v>0</v>
      </c>
      <c r="S374">
        <f t="shared" si="45"/>
        <v>0</v>
      </c>
      <c r="T374">
        <f t="shared" si="45"/>
        <v>0</v>
      </c>
    </row>
    <row r="375" spans="1:20" ht="16.5" x14ac:dyDescent="0.25">
      <c r="A375" s="10" t="str">
        <f>'Long Sample Name'!A371</f>
        <v/>
      </c>
      <c r="B375" s="1" t="str">
        <f ca="1">'Input Sheet'!K388</f>
        <v/>
      </c>
      <c r="C375" s="7" t="str">
        <f ca="1">'Input Sheet'!L388</f>
        <v/>
      </c>
      <c r="D375" s="11">
        <f>'Input Sheet'!B388</f>
        <v>0</v>
      </c>
      <c r="E375" s="8">
        <f>'Input Sheet'!H388</f>
        <v>0</v>
      </c>
      <c r="F375" s="61">
        <f>'Input Sheet'!C373/100</f>
        <v>0</v>
      </c>
      <c r="G375" s="61">
        <f>'Input Sheet'!F373/100</f>
        <v>0</v>
      </c>
      <c r="H375" s="2">
        <f t="shared" si="38"/>
        <v>0</v>
      </c>
      <c r="I375" s="2">
        <f t="shared" si="39"/>
        <v>0</v>
      </c>
      <c r="J375" s="60">
        <f t="shared" si="44"/>
        <v>0</v>
      </c>
      <c r="K375" s="2">
        <f t="shared" si="40"/>
        <v>0</v>
      </c>
      <c r="L375" s="2">
        <f t="shared" si="41"/>
        <v>0</v>
      </c>
      <c r="M375" s="2" t="str">
        <f>'Input Sheet'!E388</f>
        <v/>
      </c>
      <c r="N375" s="2">
        <f t="shared" si="42"/>
        <v>0</v>
      </c>
      <c r="P375">
        <f t="shared" si="45"/>
        <v>0</v>
      </c>
      <c r="Q375">
        <f t="shared" si="45"/>
        <v>0</v>
      </c>
      <c r="R375">
        <f t="shared" si="45"/>
        <v>0</v>
      </c>
      <c r="S375">
        <f t="shared" si="45"/>
        <v>0</v>
      </c>
      <c r="T375">
        <f t="shared" si="45"/>
        <v>0</v>
      </c>
    </row>
    <row r="376" spans="1:20" ht="16.5" x14ac:dyDescent="0.25">
      <c r="A376" s="10" t="str">
        <f>'Long Sample Name'!A372</f>
        <v/>
      </c>
      <c r="B376" s="1" t="str">
        <f ca="1">'Input Sheet'!K389</f>
        <v/>
      </c>
      <c r="C376" s="7" t="str">
        <f ca="1">'Input Sheet'!L389</f>
        <v/>
      </c>
      <c r="D376" s="11">
        <f>'Input Sheet'!B389</f>
        <v>0</v>
      </c>
      <c r="E376" s="8">
        <f>'Input Sheet'!H389</f>
        <v>0</v>
      </c>
      <c r="F376" s="61">
        <f>'Input Sheet'!C374/100</f>
        <v>0</v>
      </c>
      <c r="G376" s="61">
        <f>'Input Sheet'!F374/100</f>
        <v>0</v>
      </c>
      <c r="H376" s="2">
        <f t="shared" si="38"/>
        <v>0</v>
      </c>
      <c r="I376" s="2">
        <f t="shared" si="39"/>
        <v>0</v>
      </c>
      <c r="J376" s="60">
        <f t="shared" si="44"/>
        <v>0</v>
      </c>
      <c r="K376" s="2">
        <f t="shared" si="40"/>
        <v>0</v>
      </c>
      <c r="L376" s="2">
        <f t="shared" si="41"/>
        <v>0</v>
      </c>
      <c r="M376" s="2" t="str">
        <f>'Input Sheet'!E389</f>
        <v/>
      </c>
      <c r="N376" s="2">
        <f t="shared" si="42"/>
        <v>0</v>
      </c>
      <c r="P376">
        <f t="shared" si="45"/>
        <v>0</v>
      </c>
      <c r="Q376">
        <f t="shared" si="45"/>
        <v>0</v>
      </c>
      <c r="R376">
        <f t="shared" si="45"/>
        <v>0</v>
      </c>
      <c r="S376">
        <f t="shared" si="45"/>
        <v>0</v>
      </c>
      <c r="T376">
        <f t="shared" si="45"/>
        <v>0</v>
      </c>
    </row>
    <row r="377" spans="1:20" ht="16.5" x14ac:dyDescent="0.25">
      <c r="A377" s="10" t="str">
        <f>'Long Sample Name'!A373</f>
        <v/>
      </c>
      <c r="B377" s="1" t="str">
        <f ca="1">'Input Sheet'!K390</f>
        <v/>
      </c>
      <c r="C377" s="7" t="str">
        <f ca="1">'Input Sheet'!L390</f>
        <v/>
      </c>
      <c r="D377" s="11">
        <f>'Input Sheet'!B390</f>
        <v>0</v>
      </c>
      <c r="E377" s="8">
        <f>'Input Sheet'!H390</f>
        <v>0</v>
      </c>
      <c r="F377" s="61">
        <f>'Input Sheet'!C375/100</f>
        <v>0</v>
      </c>
      <c r="G377" s="61">
        <f>'Input Sheet'!F375/100</f>
        <v>0</v>
      </c>
      <c r="H377" s="2">
        <f t="shared" si="38"/>
        <v>0</v>
      </c>
      <c r="I377" s="2">
        <f t="shared" si="39"/>
        <v>0</v>
      </c>
      <c r="J377" s="60">
        <f t="shared" si="44"/>
        <v>0</v>
      </c>
      <c r="K377" s="2">
        <f t="shared" si="40"/>
        <v>0</v>
      </c>
      <c r="L377" s="2">
        <f t="shared" si="41"/>
        <v>0</v>
      </c>
      <c r="M377" s="2" t="str">
        <f>'Input Sheet'!E390</f>
        <v/>
      </c>
      <c r="N377" s="2">
        <f t="shared" si="42"/>
        <v>0</v>
      </c>
      <c r="P377">
        <f t="shared" si="45"/>
        <v>0</v>
      </c>
      <c r="Q377">
        <f t="shared" si="45"/>
        <v>0</v>
      </c>
      <c r="R377">
        <f t="shared" si="45"/>
        <v>0</v>
      </c>
      <c r="S377">
        <f t="shared" si="45"/>
        <v>0</v>
      </c>
      <c r="T377">
        <f t="shared" si="45"/>
        <v>0</v>
      </c>
    </row>
    <row r="378" spans="1:20" ht="16.5" x14ac:dyDescent="0.25">
      <c r="A378" s="10" t="str">
        <f>'Long Sample Name'!A374</f>
        <v/>
      </c>
      <c r="B378" s="1" t="str">
        <f ca="1">'Input Sheet'!K391</f>
        <v/>
      </c>
      <c r="C378" s="7" t="str">
        <f ca="1">'Input Sheet'!L391</f>
        <v/>
      </c>
      <c r="D378" s="11">
        <f>'Input Sheet'!B391</f>
        <v>0</v>
      </c>
      <c r="E378" s="8">
        <f>'Input Sheet'!H391</f>
        <v>0</v>
      </c>
      <c r="F378" s="61">
        <f>'Input Sheet'!C376/100</f>
        <v>0</v>
      </c>
      <c r="G378" s="61">
        <f>'Input Sheet'!F376/100</f>
        <v>0</v>
      </c>
      <c r="H378" s="2">
        <f t="shared" ref="H378:H417" si="46">IF(D378&lt;&gt;"",D378-D377,"")</f>
        <v>0</v>
      </c>
      <c r="I378" s="2">
        <f t="shared" ref="I378:I417" si="47">IF(AND(F378&gt;=$F$2,G378&gt;=$G$2),H378,0)</f>
        <v>0</v>
      </c>
      <c r="J378" s="60">
        <f t="shared" si="44"/>
        <v>0</v>
      </c>
      <c r="K378" s="2">
        <f t="shared" ref="K378:K417" si="48">IF(AND(F378&gt;=$F$3,G378&gt;=$G$3),H378,0)</f>
        <v>0</v>
      </c>
      <c r="L378" s="2">
        <f t="shared" ref="L378:L417" si="49">IF(K378&gt;0,K378*F378,0)</f>
        <v>0</v>
      </c>
      <c r="M378" s="2" t="str">
        <f>'Input Sheet'!E391</f>
        <v/>
      </c>
      <c r="N378" s="2">
        <f t="shared" ref="N378:N417" si="50">IF(M378="VF",1,IF(M378="F",2,IF(M378="M",3,IF(M378="C",4,IF(M378="VC",5,0)))))</f>
        <v>0</v>
      </c>
      <c r="P378">
        <f t="shared" si="45"/>
        <v>0</v>
      </c>
      <c r="Q378">
        <f t="shared" si="45"/>
        <v>0</v>
      </c>
      <c r="R378">
        <f t="shared" si="45"/>
        <v>0</v>
      </c>
      <c r="S378">
        <f t="shared" si="45"/>
        <v>0</v>
      </c>
      <c r="T378">
        <f t="shared" si="45"/>
        <v>0</v>
      </c>
    </row>
    <row r="379" spans="1:20" ht="16.5" x14ac:dyDescent="0.25">
      <c r="A379" s="10" t="str">
        <f>'Long Sample Name'!A375</f>
        <v/>
      </c>
      <c r="B379" s="1" t="str">
        <f ca="1">'Input Sheet'!K392</f>
        <v/>
      </c>
      <c r="C379" s="7" t="str">
        <f ca="1">'Input Sheet'!L392</f>
        <v/>
      </c>
      <c r="D379" s="11">
        <f>'Input Sheet'!B392</f>
        <v>0</v>
      </c>
      <c r="E379" s="8">
        <f>'Input Sheet'!H392</f>
        <v>0</v>
      </c>
      <c r="F379" s="61">
        <f>'Input Sheet'!C377/100</f>
        <v>0</v>
      </c>
      <c r="G379" s="61">
        <f>'Input Sheet'!F377/100</f>
        <v>0</v>
      </c>
      <c r="H379" s="2">
        <f t="shared" si="46"/>
        <v>0</v>
      </c>
      <c r="I379" s="2">
        <f t="shared" si="47"/>
        <v>0</v>
      </c>
      <c r="J379" s="60">
        <f t="shared" si="44"/>
        <v>0</v>
      </c>
      <c r="K379" s="2">
        <f t="shared" si="48"/>
        <v>0</v>
      </c>
      <c r="L379" s="2">
        <f t="shared" si="49"/>
        <v>0</v>
      </c>
      <c r="M379" s="2" t="str">
        <f>'Input Sheet'!E392</f>
        <v/>
      </c>
      <c r="N379" s="2">
        <f t="shared" si="50"/>
        <v>0</v>
      </c>
      <c r="P379">
        <f t="shared" si="45"/>
        <v>0</v>
      </c>
      <c r="Q379">
        <f t="shared" si="45"/>
        <v>0</v>
      </c>
      <c r="R379">
        <f t="shared" si="45"/>
        <v>0</v>
      </c>
      <c r="S379">
        <f t="shared" si="45"/>
        <v>0</v>
      </c>
      <c r="T379">
        <f t="shared" si="45"/>
        <v>0</v>
      </c>
    </row>
    <row r="380" spans="1:20" ht="16.5" x14ac:dyDescent="0.25">
      <c r="A380" s="10" t="str">
        <f>'Long Sample Name'!A376</f>
        <v/>
      </c>
      <c r="B380" s="1" t="str">
        <f ca="1">'Input Sheet'!K393</f>
        <v/>
      </c>
      <c r="C380" s="7" t="str">
        <f ca="1">'Input Sheet'!L393</f>
        <v/>
      </c>
      <c r="D380" s="11">
        <f>'Input Sheet'!B393</f>
        <v>0</v>
      </c>
      <c r="E380" s="8">
        <f>'Input Sheet'!H393</f>
        <v>0</v>
      </c>
      <c r="F380" s="61">
        <f>'Input Sheet'!C378/100</f>
        <v>0</v>
      </c>
      <c r="G380" s="61">
        <f>'Input Sheet'!F378/100</f>
        <v>0</v>
      </c>
      <c r="H380" s="2">
        <f t="shared" si="46"/>
        <v>0</v>
      </c>
      <c r="I380" s="2">
        <f t="shared" si="47"/>
        <v>0</v>
      </c>
      <c r="J380" s="60">
        <f t="shared" si="44"/>
        <v>0</v>
      </c>
      <c r="K380" s="2">
        <f t="shared" si="48"/>
        <v>0</v>
      </c>
      <c r="L380" s="2">
        <f t="shared" si="49"/>
        <v>0</v>
      </c>
      <c r="M380" s="2" t="str">
        <f>'Input Sheet'!E393</f>
        <v/>
      </c>
      <c r="N380" s="2">
        <f t="shared" si="50"/>
        <v>0</v>
      </c>
      <c r="P380">
        <f t="shared" si="45"/>
        <v>0</v>
      </c>
      <c r="Q380">
        <f t="shared" si="45"/>
        <v>0</v>
      </c>
      <c r="R380">
        <f t="shared" si="45"/>
        <v>0</v>
      </c>
      <c r="S380">
        <f t="shared" si="45"/>
        <v>0</v>
      </c>
      <c r="T380">
        <f t="shared" si="45"/>
        <v>0</v>
      </c>
    </row>
    <row r="381" spans="1:20" ht="16.5" x14ac:dyDescent="0.25">
      <c r="A381" s="10" t="str">
        <f>'Long Sample Name'!A377</f>
        <v/>
      </c>
      <c r="B381" s="1" t="str">
        <f ca="1">'Input Sheet'!K394</f>
        <v/>
      </c>
      <c r="C381" s="7" t="str">
        <f ca="1">'Input Sheet'!L394</f>
        <v/>
      </c>
      <c r="D381" s="11">
        <f>'Input Sheet'!B394</f>
        <v>0</v>
      </c>
      <c r="E381" s="8">
        <f>'Input Sheet'!H394</f>
        <v>0</v>
      </c>
      <c r="F381" s="61">
        <f>'Input Sheet'!C379/100</f>
        <v>0</v>
      </c>
      <c r="G381" s="61">
        <f>'Input Sheet'!F379/100</f>
        <v>0</v>
      </c>
      <c r="H381" s="2">
        <f t="shared" si="46"/>
        <v>0</v>
      </c>
      <c r="I381" s="2">
        <f t="shared" si="47"/>
        <v>0</v>
      </c>
      <c r="J381" s="60">
        <f t="shared" si="44"/>
        <v>0</v>
      </c>
      <c r="K381" s="2">
        <f t="shared" si="48"/>
        <v>0</v>
      </c>
      <c r="L381" s="2">
        <f t="shared" si="49"/>
        <v>0</v>
      </c>
      <c r="M381" s="2" t="str">
        <f>'Input Sheet'!E394</f>
        <v/>
      </c>
      <c r="N381" s="2">
        <f t="shared" si="50"/>
        <v>0</v>
      </c>
      <c r="P381">
        <f t="shared" si="45"/>
        <v>0</v>
      </c>
      <c r="Q381">
        <f t="shared" si="45"/>
        <v>0</v>
      </c>
      <c r="R381">
        <f t="shared" si="45"/>
        <v>0</v>
      </c>
      <c r="S381">
        <f t="shared" si="45"/>
        <v>0</v>
      </c>
      <c r="T381">
        <f t="shared" si="45"/>
        <v>0</v>
      </c>
    </row>
    <row r="382" spans="1:20" ht="16.5" x14ac:dyDescent="0.25">
      <c r="A382" s="10" t="str">
        <f>'Long Sample Name'!A378</f>
        <v/>
      </c>
      <c r="B382" s="1" t="str">
        <f ca="1">'Input Sheet'!K395</f>
        <v/>
      </c>
      <c r="C382" s="7" t="str">
        <f ca="1">'Input Sheet'!L395</f>
        <v/>
      </c>
      <c r="D382" s="11">
        <f>'Input Sheet'!B395</f>
        <v>0</v>
      </c>
      <c r="E382" s="8">
        <f>'Input Sheet'!H395</f>
        <v>0</v>
      </c>
      <c r="F382" s="61">
        <f>'Input Sheet'!C380/100</f>
        <v>0</v>
      </c>
      <c r="G382" s="61">
        <f>'Input Sheet'!F380/100</f>
        <v>0</v>
      </c>
      <c r="H382" s="2">
        <f t="shared" si="46"/>
        <v>0</v>
      </c>
      <c r="I382" s="2">
        <f t="shared" si="47"/>
        <v>0</v>
      </c>
      <c r="J382" s="60">
        <f t="shared" si="44"/>
        <v>0</v>
      </c>
      <c r="K382" s="2">
        <f t="shared" si="48"/>
        <v>0</v>
      </c>
      <c r="L382" s="2">
        <f t="shared" si="49"/>
        <v>0</v>
      </c>
      <c r="M382" s="2" t="str">
        <f>'Input Sheet'!E395</f>
        <v/>
      </c>
      <c r="N382" s="2">
        <f t="shared" si="50"/>
        <v>0</v>
      </c>
      <c r="P382">
        <f t="shared" si="45"/>
        <v>0</v>
      </c>
      <c r="Q382">
        <f t="shared" si="45"/>
        <v>0</v>
      </c>
      <c r="R382">
        <f t="shared" si="45"/>
        <v>0</v>
      </c>
      <c r="S382">
        <f t="shared" si="45"/>
        <v>0</v>
      </c>
      <c r="T382">
        <f t="shared" si="45"/>
        <v>0</v>
      </c>
    </row>
    <row r="383" spans="1:20" ht="16.5" x14ac:dyDescent="0.25">
      <c r="A383" s="10" t="str">
        <f>'Long Sample Name'!A379</f>
        <v/>
      </c>
      <c r="B383" s="1" t="str">
        <f ca="1">'Input Sheet'!K396</f>
        <v/>
      </c>
      <c r="C383" s="7" t="str">
        <f ca="1">'Input Sheet'!L396</f>
        <v/>
      </c>
      <c r="D383" s="11">
        <f>'Input Sheet'!B396</f>
        <v>0</v>
      </c>
      <c r="E383" s="8">
        <f>'Input Sheet'!H396</f>
        <v>0</v>
      </c>
      <c r="F383" s="61">
        <f>'Input Sheet'!C381/100</f>
        <v>0</v>
      </c>
      <c r="G383" s="61">
        <f>'Input Sheet'!F381/100</f>
        <v>0</v>
      </c>
      <c r="H383" s="2">
        <f t="shared" si="46"/>
        <v>0</v>
      </c>
      <c r="I383" s="2">
        <f t="shared" si="47"/>
        <v>0</v>
      </c>
      <c r="J383" s="60">
        <f t="shared" si="44"/>
        <v>0</v>
      </c>
      <c r="K383" s="2">
        <f t="shared" si="48"/>
        <v>0</v>
      </c>
      <c r="L383" s="2">
        <f t="shared" si="49"/>
        <v>0</v>
      </c>
      <c r="M383" s="2" t="str">
        <f>'Input Sheet'!E396</f>
        <v/>
      </c>
      <c r="N383" s="2">
        <f t="shared" si="50"/>
        <v>0</v>
      </c>
      <c r="P383">
        <f t="shared" si="45"/>
        <v>0</v>
      </c>
      <c r="Q383">
        <f t="shared" si="45"/>
        <v>0</v>
      </c>
      <c r="R383">
        <f t="shared" si="45"/>
        <v>0</v>
      </c>
      <c r="S383">
        <f t="shared" si="45"/>
        <v>0</v>
      </c>
      <c r="T383">
        <f t="shared" si="45"/>
        <v>0</v>
      </c>
    </row>
    <row r="384" spans="1:20" ht="16.5" x14ac:dyDescent="0.25">
      <c r="A384" s="10" t="str">
        <f>'Long Sample Name'!A380</f>
        <v/>
      </c>
      <c r="B384" s="1" t="str">
        <f ca="1">'Input Sheet'!K397</f>
        <v/>
      </c>
      <c r="C384" s="7" t="str">
        <f ca="1">'Input Sheet'!L397</f>
        <v/>
      </c>
      <c r="D384" s="11">
        <f>'Input Sheet'!B397</f>
        <v>0</v>
      </c>
      <c r="E384" s="8">
        <f>'Input Sheet'!H397</f>
        <v>0</v>
      </c>
      <c r="F384" s="61">
        <f>'Input Sheet'!C382/100</f>
        <v>0</v>
      </c>
      <c r="G384" s="61">
        <f>'Input Sheet'!F382/100</f>
        <v>0</v>
      </c>
      <c r="H384" s="2">
        <f t="shared" si="46"/>
        <v>0</v>
      </c>
      <c r="I384" s="2">
        <f t="shared" si="47"/>
        <v>0</v>
      </c>
      <c r="J384" s="60">
        <f t="shared" si="44"/>
        <v>0</v>
      </c>
      <c r="K384" s="2">
        <f t="shared" si="48"/>
        <v>0</v>
      </c>
      <c r="L384" s="2">
        <f t="shared" si="49"/>
        <v>0</v>
      </c>
      <c r="M384" s="2" t="str">
        <f>'Input Sheet'!E397</f>
        <v/>
      </c>
      <c r="N384" s="2">
        <f t="shared" si="50"/>
        <v>0</v>
      </c>
      <c r="P384">
        <f t="shared" si="45"/>
        <v>0</v>
      </c>
      <c r="Q384">
        <f t="shared" si="45"/>
        <v>0</v>
      </c>
      <c r="R384">
        <f t="shared" si="45"/>
        <v>0</v>
      </c>
      <c r="S384">
        <f t="shared" si="45"/>
        <v>0</v>
      </c>
      <c r="T384">
        <f t="shared" si="45"/>
        <v>0</v>
      </c>
    </row>
    <row r="385" spans="1:20" ht="16.5" x14ac:dyDescent="0.25">
      <c r="A385" s="10" t="str">
        <f>'Long Sample Name'!A381</f>
        <v/>
      </c>
      <c r="B385" s="1" t="str">
        <f ca="1">'Input Sheet'!K398</f>
        <v/>
      </c>
      <c r="C385" s="7" t="str">
        <f ca="1">'Input Sheet'!L398</f>
        <v/>
      </c>
      <c r="D385" s="11">
        <f>'Input Sheet'!B398</f>
        <v>0</v>
      </c>
      <c r="E385" s="8">
        <f>'Input Sheet'!H398</f>
        <v>0</v>
      </c>
      <c r="F385" s="61">
        <f>'Input Sheet'!C383/100</f>
        <v>0</v>
      </c>
      <c r="G385" s="61">
        <f>'Input Sheet'!F383/100</f>
        <v>0</v>
      </c>
      <c r="H385" s="2">
        <f t="shared" si="46"/>
        <v>0</v>
      </c>
      <c r="I385" s="2">
        <f t="shared" si="47"/>
        <v>0</v>
      </c>
      <c r="J385" s="60">
        <f t="shared" si="44"/>
        <v>0</v>
      </c>
      <c r="K385" s="2">
        <f t="shared" si="48"/>
        <v>0</v>
      </c>
      <c r="L385" s="2">
        <f t="shared" si="49"/>
        <v>0</v>
      </c>
      <c r="M385" s="2" t="str">
        <f>'Input Sheet'!E398</f>
        <v/>
      </c>
      <c r="N385" s="2">
        <f t="shared" si="50"/>
        <v>0</v>
      </c>
      <c r="P385">
        <f t="shared" si="45"/>
        <v>0</v>
      </c>
      <c r="Q385">
        <f t="shared" si="45"/>
        <v>0</v>
      </c>
      <c r="R385">
        <f t="shared" si="45"/>
        <v>0</v>
      </c>
      <c r="S385">
        <f t="shared" si="45"/>
        <v>0</v>
      </c>
      <c r="T385">
        <f t="shared" si="45"/>
        <v>0</v>
      </c>
    </row>
    <row r="386" spans="1:20" ht="16.5" x14ac:dyDescent="0.25">
      <c r="A386" s="10" t="str">
        <f>'Long Sample Name'!A382</f>
        <v/>
      </c>
      <c r="B386" s="1" t="str">
        <f ca="1">'Input Sheet'!K399</f>
        <v/>
      </c>
      <c r="C386" s="7" t="str">
        <f ca="1">'Input Sheet'!L399</f>
        <v/>
      </c>
      <c r="D386" s="11">
        <f>'Input Sheet'!B399</f>
        <v>0</v>
      </c>
      <c r="E386" s="8">
        <f>'Input Sheet'!H399</f>
        <v>0</v>
      </c>
      <c r="F386" s="61">
        <f>'Input Sheet'!C384/100</f>
        <v>0</v>
      </c>
      <c r="G386" s="61">
        <f>'Input Sheet'!F384/100</f>
        <v>0</v>
      </c>
      <c r="H386" s="2">
        <f t="shared" si="46"/>
        <v>0</v>
      </c>
      <c r="I386" s="2">
        <f t="shared" si="47"/>
        <v>0</v>
      </c>
      <c r="J386" s="60">
        <f t="shared" si="44"/>
        <v>0</v>
      </c>
      <c r="K386" s="2">
        <f t="shared" si="48"/>
        <v>0</v>
      </c>
      <c r="L386" s="2">
        <f t="shared" si="49"/>
        <v>0</v>
      </c>
      <c r="M386" s="2" t="str">
        <f>'Input Sheet'!E399</f>
        <v/>
      </c>
      <c r="N386" s="2">
        <f t="shared" si="50"/>
        <v>0</v>
      </c>
      <c r="P386">
        <f t="shared" si="45"/>
        <v>0</v>
      </c>
      <c r="Q386">
        <f t="shared" si="45"/>
        <v>0</v>
      </c>
      <c r="R386">
        <f t="shared" si="45"/>
        <v>0</v>
      </c>
      <c r="S386">
        <f t="shared" si="45"/>
        <v>0</v>
      </c>
      <c r="T386">
        <f t="shared" si="45"/>
        <v>0</v>
      </c>
    </row>
    <row r="387" spans="1:20" ht="16.5" x14ac:dyDescent="0.25">
      <c r="A387" s="10" t="str">
        <f>'Long Sample Name'!A383</f>
        <v/>
      </c>
      <c r="B387" s="1" t="str">
        <f ca="1">'Input Sheet'!K400</f>
        <v/>
      </c>
      <c r="C387" s="7" t="str">
        <f ca="1">'Input Sheet'!L400</f>
        <v/>
      </c>
      <c r="D387" s="11">
        <f>'Input Sheet'!B400</f>
        <v>0</v>
      </c>
      <c r="E387" s="8">
        <f>'Input Sheet'!H400</f>
        <v>0</v>
      </c>
      <c r="F387" s="61">
        <f>'Input Sheet'!C385/100</f>
        <v>0</v>
      </c>
      <c r="G387" s="61">
        <f>'Input Sheet'!F385/100</f>
        <v>0</v>
      </c>
      <c r="H387" s="2">
        <f t="shared" si="46"/>
        <v>0</v>
      </c>
      <c r="I387" s="2">
        <f t="shared" si="47"/>
        <v>0</v>
      </c>
      <c r="J387" s="60">
        <f t="shared" si="44"/>
        <v>0</v>
      </c>
      <c r="K387" s="2">
        <f t="shared" si="48"/>
        <v>0</v>
      </c>
      <c r="L387" s="2">
        <f t="shared" si="49"/>
        <v>0</v>
      </c>
      <c r="M387" s="2" t="str">
        <f>'Input Sheet'!E400</f>
        <v/>
      </c>
      <c r="N387" s="2">
        <f t="shared" si="50"/>
        <v>0</v>
      </c>
      <c r="P387">
        <f t="shared" si="45"/>
        <v>0</v>
      </c>
      <c r="Q387">
        <f t="shared" si="45"/>
        <v>0</v>
      </c>
      <c r="R387">
        <f t="shared" si="45"/>
        <v>0</v>
      </c>
      <c r="S387">
        <f t="shared" si="45"/>
        <v>0</v>
      </c>
      <c r="T387">
        <f t="shared" si="45"/>
        <v>0</v>
      </c>
    </row>
    <row r="388" spans="1:20" ht="16.5" x14ac:dyDescent="0.25">
      <c r="A388" s="10" t="str">
        <f>'Long Sample Name'!A384</f>
        <v/>
      </c>
      <c r="B388" s="1" t="str">
        <f ca="1">'Input Sheet'!K401</f>
        <v/>
      </c>
      <c r="C388" s="7" t="str">
        <f ca="1">'Input Sheet'!L401</f>
        <v/>
      </c>
      <c r="D388" s="11">
        <f>'Input Sheet'!B401</f>
        <v>0</v>
      </c>
      <c r="E388" s="8">
        <f>'Input Sheet'!H401</f>
        <v>0</v>
      </c>
      <c r="F388" s="61">
        <f>'Input Sheet'!C386/100</f>
        <v>0</v>
      </c>
      <c r="G388" s="61">
        <f>'Input Sheet'!F386/100</f>
        <v>0</v>
      </c>
      <c r="H388" s="2">
        <f t="shared" si="46"/>
        <v>0</v>
      </c>
      <c r="I388" s="2">
        <f t="shared" si="47"/>
        <v>0</v>
      </c>
      <c r="J388" s="60">
        <f t="shared" si="44"/>
        <v>0</v>
      </c>
      <c r="K388" s="2">
        <f t="shared" si="48"/>
        <v>0</v>
      </c>
      <c r="L388" s="2">
        <f t="shared" si="49"/>
        <v>0</v>
      </c>
      <c r="M388" s="2" t="str">
        <f>'Input Sheet'!E401</f>
        <v/>
      </c>
      <c r="N388" s="2">
        <f t="shared" si="50"/>
        <v>0</v>
      </c>
      <c r="P388">
        <f t="shared" si="45"/>
        <v>0</v>
      </c>
      <c r="Q388">
        <f t="shared" si="45"/>
        <v>0</v>
      </c>
      <c r="R388">
        <f t="shared" si="45"/>
        <v>0</v>
      </c>
      <c r="S388">
        <f t="shared" si="45"/>
        <v>0</v>
      </c>
      <c r="T388">
        <f t="shared" si="45"/>
        <v>0</v>
      </c>
    </row>
    <row r="389" spans="1:20" ht="16.5" x14ac:dyDescent="0.25">
      <c r="A389" s="10" t="str">
        <f>'Long Sample Name'!A385</f>
        <v/>
      </c>
      <c r="B389" s="1" t="str">
        <f ca="1">'Input Sheet'!K402</f>
        <v/>
      </c>
      <c r="C389" s="7" t="str">
        <f ca="1">'Input Sheet'!L402</f>
        <v/>
      </c>
      <c r="D389" s="11">
        <f>'Input Sheet'!B402</f>
        <v>0</v>
      </c>
      <c r="E389" s="8">
        <f>'Input Sheet'!H402</f>
        <v>0</v>
      </c>
      <c r="F389" s="61">
        <f>'Input Sheet'!C387/100</f>
        <v>0</v>
      </c>
      <c r="G389" s="61">
        <f>'Input Sheet'!F387/100</f>
        <v>0</v>
      </c>
      <c r="H389" s="2">
        <f t="shared" si="46"/>
        <v>0</v>
      </c>
      <c r="I389" s="2">
        <f t="shared" si="47"/>
        <v>0</v>
      </c>
      <c r="J389" s="60">
        <f t="shared" si="44"/>
        <v>0</v>
      </c>
      <c r="K389" s="2">
        <f t="shared" si="48"/>
        <v>0</v>
      </c>
      <c r="L389" s="2">
        <f t="shared" si="49"/>
        <v>0</v>
      </c>
      <c r="M389" s="2" t="str">
        <f>'Input Sheet'!E402</f>
        <v/>
      </c>
      <c r="N389" s="2">
        <f t="shared" si="50"/>
        <v>0</v>
      </c>
      <c r="P389">
        <f t="shared" si="45"/>
        <v>0</v>
      </c>
      <c r="Q389">
        <f t="shared" si="45"/>
        <v>0</v>
      </c>
      <c r="R389">
        <f t="shared" si="45"/>
        <v>0</v>
      </c>
      <c r="S389">
        <f t="shared" si="45"/>
        <v>0</v>
      </c>
      <c r="T389">
        <f t="shared" si="45"/>
        <v>0</v>
      </c>
    </row>
    <row r="390" spans="1:20" ht="16.5" x14ac:dyDescent="0.25">
      <c r="A390" s="10" t="str">
        <f>'Long Sample Name'!A386</f>
        <v/>
      </c>
      <c r="B390" s="1" t="str">
        <f ca="1">'Input Sheet'!K403</f>
        <v/>
      </c>
      <c r="C390" s="7" t="str">
        <f ca="1">'Input Sheet'!L403</f>
        <v/>
      </c>
      <c r="D390" s="11">
        <f>'Input Sheet'!B403</f>
        <v>0</v>
      </c>
      <c r="E390" s="8">
        <f>'Input Sheet'!H403</f>
        <v>0</v>
      </c>
      <c r="F390" s="61">
        <f>'Input Sheet'!C388/100</f>
        <v>0</v>
      </c>
      <c r="G390" s="61">
        <f>'Input Sheet'!F388/100</f>
        <v>0</v>
      </c>
      <c r="H390" s="2">
        <f t="shared" si="46"/>
        <v>0</v>
      </c>
      <c r="I390" s="2">
        <f t="shared" si="47"/>
        <v>0</v>
      </c>
      <c r="J390" s="60">
        <f t="shared" si="44"/>
        <v>0</v>
      </c>
      <c r="K390" s="2">
        <f t="shared" si="48"/>
        <v>0</v>
      </c>
      <c r="L390" s="2">
        <f t="shared" si="49"/>
        <v>0</v>
      </c>
      <c r="M390" s="2" t="str">
        <f>'Input Sheet'!E403</f>
        <v/>
      </c>
      <c r="N390" s="2">
        <f t="shared" si="50"/>
        <v>0</v>
      </c>
      <c r="P390">
        <f t="shared" si="45"/>
        <v>0</v>
      </c>
      <c r="Q390">
        <f t="shared" si="45"/>
        <v>0</v>
      </c>
      <c r="R390">
        <f t="shared" si="45"/>
        <v>0</v>
      </c>
      <c r="S390">
        <f t="shared" si="45"/>
        <v>0</v>
      </c>
      <c r="T390">
        <f t="shared" si="45"/>
        <v>0</v>
      </c>
    </row>
    <row r="391" spans="1:20" ht="16.5" x14ac:dyDescent="0.25">
      <c r="A391" s="10" t="str">
        <f>'Long Sample Name'!A387</f>
        <v/>
      </c>
      <c r="B391" s="1" t="str">
        <f ca="1">'Input Sheet'!K404</f>
        <v/>
      </c>
      <c r="C391" s="7" t="str">
        <f ca="1">'Input Sheet'!L404</f>
        <v/>
      </c>
      <c r="D391" s="11">
        <f>'Input Sheet'!B404</f>
        <v>0</v>
      </c>
      <c r="E391" s="8">
        <f>'Input Sheet'!H404</f>
        <v>0</v>
      </c>
      <c r="F391" s="61">
        <f>'Input Sheet'!C389/100</f>
        <v>0</v>
      </c>
      <c r="G391" s="61">
        <f>'Input Sheet'!F389/100</f>
        <v>0</v>
      </c>
      <c r="H391" s="2">
        <f t="shared" si="46"/>
        <v>0</v>
      </c>
      <c r="I391" s="2">
        <f t="shared" si="47"/>
        <v>0</v>
      </c>
      <c r="J391" s="60">
        <f t="shared" ref="J391:J417" si="51">IF(I391&gt;0,I391*F391,0)</f>
        <v>0</v>
      </c>
      <c r="K391" s="2">
        <f t="shared" si="48"/>
        <v>0</v>
      </c>
      <c r="L391" s="2">
        <f t="shared" si="49"/>
        <v>0</v>
      </c>
      <c r="M391" s="2" t="str">
        <f>'Input Sheet'!E404</f>
        <v/>
      </c>
      <c r="N391" s="2">
        <f t="shared" si="50"/>
        <v>0</v>
      </c>
      <c r="P391">
        <f t="shared" si="45"/>
        <v>0</v>
      </c>
      <c r="Q391">
        <f t="shared" si="45"/>
        <v>0</v>
      </c>
      <c r="R391">
        <f t="shared" si="45"/>
        <v>0</v>
      </c>
      <c r="S391">
        <f t="shared" si="45"/>
        <v>0</v>
      </c>
      <c r="T391">
        <f t="shared" si="45"/>
        <v>0</v>
      </c>
    </row>
    <row r="392" spans="1:20" ht="16.5" x14ac:dyDescent="0.25">
      <c r="A392" s="10" t="str">
        <f>'Long Sample Name'!A388</f>
        <v/>
      </c>
      <c r="B392" s="1" t="str">
        <f ca="1">'Input Sheet'!K405</f>
        <v/>
      </c>
      <c r="C392" s="7" t="str">
        <f ca="1">'Input Sheet'!L405</f>
        <v/>
      </c>
      <c r="D392" s="11">
        <f>'Input Sheet'!B405</f>
        <v>0</v>
      </c>
      <c r="E392" s="8">
        <f>'Input Sheet'!H405</f>
        <v>0</v>
      </c>
      <c r="F392" s="61">
        <f>'Input Sheet'!C390/100</f>
        <v>0</v>
      </c>
      <c r="G392" s="61">
        <f>'Input Sheet'!F390/100</f>
        <v>0</v>
      </c>
      <c r="H392" s="2">
        <f t="shared" si="46"/>
        <v>0</v>
      </c>
      <c r="I392" s="2">
        <f t="shared" si="47"/>
        <v>0</v>
      </c>
      <c r="J392" s="60">
        <f t="shared" si="51"/>
        <v>0</v>
      </c>
      <c r="K392" s="2">
        <f t="shared" si="48"/>
        <v>0</v>
      </c>
      <c r="L392" s="2">
        <f t="shared" si="49"/>
        <v>0</v>
      </c>
      <c r="M392" s="2" t="str">
        <f>'Input Sheet'!E405</f>
        <v/>
      </c>
      <c r="N392" s="2">
        <f t="shared" si="50"/>
        <v>0</v>
      </c>
      <c r="P392">
        <f t="shared" si="45"/>
        <v>0</v>
      </c>
      <c r="Q392">
        <f t="shared" si="45"/>
        <v>0</v>
      </c>
      <c r="R392">
        <f t="shared" si="45"/>
        <v>0</v>
      </c>
      <c r="S392">
        <f t="shared" si="45"/>
        <v>0</v>
      </c>
      <c r="T392">
        <f t="shared" si="45"/>
        <v>0</v>
      </c>
    </row>
    <row r="393" spans="1:20" ht="16.5" x14ac:dyDescent="0.25">
      <c r="A393" s="10" t="str">
        <f>'Long Sample Name'!A389</f>
        <v/>
      </c>
      <c r="B393" s="1" t="str">
        <f ca="1">'Input Sheet'!K406</f>
        <v/>
      </c>
      <c r="C393" s="7" t="str">
        <f ca="1">'Input Sheet'!L406</f>
        <v/>
      </c>
      <c r="D393" s="11">
        <f>'Input Sheet'!B406</f>
        <v>0</v>
      </c>
      <c r="E393" s="8">
        <f>'Input Sheet'!H406</f>
        <v>0</v>
      </c>
      <c r="F393" s="61">
        <f>'Input Sheet'!C391/100</f>
        <v>0</v>
      </c>
      <c r="G393" s="61">
        <f>'Input Sheet'!F391/100</f>
        <v>0</v>
      </c>
      <c r="H393" s="2">
        <f t="shared" si="46"/>
        <v>0</v>
      </c>
      <c r="I393" s="2">
        <f t="shared" si="47"/>
        <v>0</v>
      </c>
      <c r="J393" s="60">
        <f t="shared" si="51"/>
        <v>0</v>
      </c>
      <c r="K393" s="2">
        <f t="shared" si="48"/>
        <v>0</v>
      </c>
      <c r="L393" s="2">
        <f t="shared" si="49"/>
        <v>0</v>
      </c>
      <c r="M393" s="2" t="str">
        <f>'Input Sheet'!E406</f>
        <v/>
      </c>
      <c r="N393" s="2">
        <f t="shared" si="50"/>
        <v>0</v>
      </c>
      <c r="P393">
        <f t="shared" si="45"/>
        <v>0</v>
      </c>
      <c r="Q393">
        <f t="shared" si="45"/>
        <v>0</v>
      </c>
      <c r="R393">
        <f t="shared" si="45"/>
        <v>0</v>
      </c>
      <c r="S393">
        <f t="shared" si="45"/>
        <v>0</v>
      </c>
      <c r="T393">
        <f t="shared" si="45"/>
        <v>0</v>
      </c>
    </row>
    <row r="394" spans="1:20" ht="16.5" x14ac:dyDescent="0.25">
      <c r="A394" s="10" t="str">
        <f>'Long Sample Name'!A390</f>
        <v/>
      </c>
      <c r="B394" s="1" t="str">
        <f ca="1">'Input Sheet'!K407</f>
        <v/>
      </c>
      <c r="C394" s="7" t="str">
        <f ca="1">'Input Sheet'!L407</f>
        <v/>
      </c>
      <c r="D394" s="11">
        <f>'Input Sheet'!B407</f>
        <v>0</v>
      </c>
      <c r="E394" s="8">
        <f>'Input Sheet'!H407</f>
        <v>0</v>
      </c>
      <c r="F394" s="61">
        <f>'Input Sheet'!C392/100</f>
        <v>0</v>
      </c>
      <c r="G394" s="61">
        <f>'Input Sheet'!F392/100</f>
        <v>0</v>
      </c>
      <c r="H394" s="2">
        <f t="shared" si="46"/>
        <v>0</v>
      </c>
      <c r="I394" s="2">
        <f t="shared" si="47"/>
        <v>0</v>
      </c>
      <c r="J394" s="60">
        <f t="shared" si="51"/>
        <v>0</v>
      </c>
      <c r="K394" s="2">
        <f t="shared" si="48"/>
        <v>0</v>
      </c>
      <c r="L394" s="2">
        <f t="shared" si="49"/>
        <v>0</v>
      </c>
      <c r="M394" s="2" t="str">
        <f>'Input Sheet'!E407</f>
        <v/>
      </c>
      <c r="N394" s="2">
        <f t="shared" si="50"/>
        <v>0</v>
      </c>
      <c r="P394">
        <f t="shared" si="45"/>
        <v>0</v>
      </c>
      <c r="Q394">
        <f t="shared" si="45"/>
        <v>0</v>
      </c>
      <c r="R394">
        <f t="shared" si="45"/>
        <v>0</v>
      </c>
      <c r="S394">
        <f t="shared" si="45"/>
        <v>0</v>
      </c>
      <c r="T394">
        <f t="shared" si="45"/>
        <v>0</v>
      </c>
    </row>
    <row r="395" spans="1:20" ht="16.5" x14ac:dyDescent="0.25">
      <c r="A395" s="10" t="str">
        <f>'Long Sample Name'!A391</f>
        <v/>
      </c>
      <c r="B395" s="1" t="str">
        <f ca="1">'Input Sheet'!K408</f>
        <v/>
      </c>
      <c r="C395" s="7" t="str">
        <f ca="1">'Input Sheet'!L408</f>
        <v/>
      </c>
      <c r="D395" s="11">
        <f>'Input Sheet'!B408</f>
        <v>0</v>
      </c>
      <c r="E395" s="8">
        <f>'Input Sheet'!H408</f>
        <v>0</v>
      </c>
      <c r="F395" s="61">
        <f>'Input Sheet'!C393/100</f>
        <v>0</v>
      </c>
      <c r="G395" s="61">
        <f>'Input Sheet'!F393/100</f>
        <v>0</v>
      </c>
      <c r="H395" s="2">
        <f t="shared" si="46"/>
        <v>0</v>
      </c>
      <c r="I395" s="2">
        <f t="shared" si="47"/>
        <v>0</v>
      </c>
      <c r="J395" s="60">
        <f t="shared" si="51"/>
        <v>0</v>
      </c>
      <c r="K395" s="2">
        <f t="shared" si="48"/>
        <v>0</v>
      </c>
      <c r="L395" s="2">
        <f t="shared" si="49"/>
        <v>0</v>
      </c>
      <c r="M395" s="2" t="str">
        <f>'Input Sheet'!E408</f>
        <v/>
      </c>
      <c r="N395" s="2">
        <f t="shared" si="50"/>
        <v>0</v>
      </c>
      <c r="P395">
        <f t="shared" si="45"/>
        <v>0</v>
      </c>
      <c r="Q395">
        <f t="shared" si="45"/>
        <v>0</v>
      </c>
      <c r="R395">
        <f t="shared" si="45"/>
        <v>0</v>
      </c>
      <c r="S395">
        <f t="shared" si="45"/>
        <v>0</v>
      </c>
      <c r="T395">
        <f t="shared" si="45"/>
        <v>0</v>
      </c>
    </row>
    <row r="396" spans="1:20" ht="16.5" x14ac:dyDescent="0.25">
      <c r="A396" s="10" t="str">
        <f>'Long Sample Name'!A392</f>
        <v/>
      </c>
      <c r="B396" s="1" t="str">
        <f ca="1">'Input Sheet'!K409</f>
        <v/>
      </c>
      <c r="C396" s="7" t="str">
        <f ca="1">'Input Sheet'!L409</f>
        <v/>
      </c>
      <c r="D396" s="11">
        <f>'Input Sheet'!B409</f>
        <v>0</v>
      </c>
      <c r="E396" s="8">
        <f>'Input Sheet'!H409</f>
        <v>0</v>
      </c>
      <c r="F396" s="61">
        <f>'Input Sheet'!C394/100</f>
        <v>0</v>
      </c>
      <c r="G396" s="61">
        <f>'Input Sheet'!F394/100</f>
        <v>0</v>
      </c>
      <c r="H396" s="2">
        <f t="shared" si="46"/>
        <v>0</v>
      </c>
      <c r="I396" s="2">
        <f t="shared" si="47"/>
        <v>0</v>
      </c>
      <c r="J396" s="60">
        <f t="shared" si="51"/>
        <v>0</v>
      </c>
      <c r="K396" s="2">
        <f t="shared" si="48"/>
        <v>0</v>
      </c>
      <c r="L396" s="2">
        <f t="shared" si="49"/>
        <v>0</v>
      </c>
      <c r="M396" s="2" t="str">
        <f>'Input Sheet'!E409</f>
        <v/>
      </c>
      <c r="N396" s="2">
        <f t="shared" si="50"/>
        <v>0</v>
      </c>
      <c r="P396">
        <f t="shared" si="45"/>
        <v>0</v>
      </c>
      <c r="Q396">
        <f t="shared" si="45"/>
        <v>0</v>
      </c>
      <c r="R396">
        <f t="shared" si="45"/>
        <v>0</v>
      </c>
      <c r="S396">
        <f t="shared" si="45"/>
        <v>0</v>
      </c>
      <c r="T396">
        <f t="shared" si="45"/>
        <v>0</v>
      </c>
    </row>
    <row r="397" spans="1:20" ht="16.5" x14ac:dyDescent="0.25">
      <c r="A397" s="10" t="str">
        <f>'Long Sample Name'!A393</f>
        <v/>
      </c>
      <c r="B397" s="1" t="str">
        <f ca="1">'Input Sheet'!K410</f>
        <v/>
      </c>
      <c r="C397" s="7" t="str">
        <f ca="1">'Input Sheet'!L410</f>
        <v/>
      </c>
      <c r="D397" s="11">
        <f>'Input Sheet'!B410</f>
        <v>0</v>
      </c>
      <c r="E397" s="8">
        <f>'Input Sheet'!H410</f>
        <v>0</v>
      </c>
      <c r="F397" s="61">
        <f>'Input Sheet'!C395/100</f>
        <v>0</v>
      </c>
      <c r="G397" s="61">
        <f>'Input Sheet'!F395/100</f>
        <v>0</v>
      </c>
      <c r="H397" s="2">
        <f t="shared" si="46"/>
        <v>0</v>
      </c>
      <c r="I397" s="2">
        <f t="shared" si="47"/>
        <v>0</v>
      </c>
      <c r="J397" s="60">
        <f t="shared" si="51"/>
        <v>0</v>
      </c>
      <c r="K397" s="2">
        <f t="shared" si="48"/>
        <v>0</v>
      </c>
      <c r="L397" s="2">
        <f t="shared" si="49"/>
        <v>0</v>
      </c>
      <c r="M397" s="2" t="str">
        <f>'Input Sheet'!E410</f>
        <v/>
      </c>
      <c r="N397" s="2">
        <f t="shared" si="50"/>
        <v>0</v>
      </c>
      <c r="P397">
        <f t="shared" si="45"/>
        <v>0</v>
      </c>
      <c r="Q397">
        <f t="shared" si="45"/>
        <v>0</v>
      </c>
      <c r="R397">
        <f t="shared" si="45"/>
        <v>0</v>
      </c>
      <c r="S397">
        <f t="shared" si="45"/>
        <v>0</v>
      </c>
      <c r="T397">
        <f t="shared" si="45"/>
        <v>0</v>
      </c>
    </row>
    <row r="398" spans="1:20" ht="16.5" x14ac:dyDescent="0.25">
      <c r="A398" s="10" t="str">
        <f>'Long Sample Name'!A394</f>
        <v/>
      </c>
      <c r="B398" s="1" t="str">
        <f ca="1">'Input Sheet'!K411</f>
        <v/>
      </c>
      <c r="C398" s="7" t="str">
        <f ca="1">'Input Sheet'!L411</f>
        <v/>
      </c>
      <c r="D398" s="11">
        <f>'Input Sheet'!B411</f>
        <v>0</v>
      </c>
      <c r="E398" s="8">
        <f>'Input Sheet'!H411</f>
        <v>0</v>
      </c>
      <c r="F398" s="61">
        <f>'Input Sheet'!C396/100</f>
        <v>0</v>
      </c>
      <c r="G398" s="61">
        <f>'Input Sheet'!F396/100</f>
        <v>0</v>
      </c>
      <c r="H398" s="2">
        <f t="shared" si="46"/>
        <v>0</v>
      </c>
      <c r="I398" s="2">
        <f t="shared" si="47"/>
        <v>0</v>
      </c>
      <c r="J398" s="60">
        <f t="shared" si="51"/>
        <v>0</v>
      </c>
      <c r="K398" s="2">
        <f t="shared" si="48"/>
        <v>0</v>
      </c>
      <c r="L398" s="2">
        <f t="shared" si="49"/>
        <v>0</v>
      </c>
      <c r="M398" s="2" t="str">
        <f>'Input Sheet'!E411</f>
        <v/>
      </c>
      <c r="N398" s="2">
        <f t="shared" si="50"/>
        <v>0</v>
      </c>
      <c r="P398">
        <f t="shared" si="45"/>
        <v>0</v>
      </c>
      <c r="Q398">
        <f t="shared" si="45"/>
        <v>0</v>
      </c>
      <c r="R398">
        <f t="shared" si="45"/>
        <v>0</v>
      </c>
      <c r="S398">
        <f t="shared" si="45"/>
        <v>0</v>
      </c>
      <c r="T398">
        <f t="shared" si="45"/>
        <v>0</v>
      </c>
    </row>
    <row r="399" spans="1:20" ht="16.5" x14ac:dyDescent="0.25">
      <c r="A399" s="10" t="str">
        <f>'Long Sample Name'!A395</f>
        <v/>
      </c>
      <c r="B399" s="1" t="str">
        <f ca="1">'Input Sheet'!K412</f>
        <v/>
      </c>
      <c r="C399" s="7" t="str">
        <f ca="1">'Input Sheet'!L412</f>
        <v/>
      </c>
      <c r="D399" s="11">
        <f>'Input Sheet'!B412</f>
        <v>0</v>
      </c>
      <c r="E399" s="8">
        <f>'Input Sheet'!H412</f>
        <v>0</v>
      </c>
      <c r="F399" s="61">
        <f>'Input Sheet'!C397/100</f>
        <v>0</v>
      </c>
      <c r="G399" s="61">
        <f>'Input Sheet'!F397/100</f>
        <v>0</v>
      </c>
      <c r="H399" s="2">
        <f t="shared" si="46"/>
        <v>0</v>
      </c>
      <c r="I399" s="2">
        <f t="shared" si="47"/>
        <v>0</v>
      </c>
      <c r="J399" s="60">
        <f t="shared" si="51"/>
        <v>0</v>
      </c>
      <c r="K399" s="2">
        <f t="shared" si="48"/>
        <v>0</v>
      </c>
      <c r="L399" s="2">
        <f t="shared" si="49"/>
        <v>0</v>
      </c>
      <c r="M399" s="2" t="str">
        <f>'Input Sheet'!E412</f>
        <v/>
      </c>
      <c r="N399" s="2">
        <f t="shared" si="50"/>
        <v>0</v>
      </c>
      <c r="P399">
        <f t="shared" si="45"/>
        <v>0</v>
      </c>
      <c r="Q399">
        <f t="shared" si="45"/>
        <v>0</v>
      </c>
      <c r="R399">
        <f t="shared" si="45"/>
        <v>0</v>
      </c>
      <c r="S399">
        <f t="shared" si="45"/>
        <v>0</v>
      </c>
      <c r="T399">
        <f t="shared" si="45"/>
        <v>0</v>
      </c>
    </row>
    <row r="400" spans="1:20" ht="16.5" x14ac:dyDescent="0.25">
      <c r="A400" s="10" t="str">
        <f>'Long Sample Name'!A396</f>
        <v/>
      </c>
      <c r="B400" s="1" t="str">
        <f ca="1">'Input Sheet'!K413</f>
        <v/>
      </c>
      <c r="C400" s="7" t="str">
        <f ca="1">'Input Sheet'!L413</f>
        <v/>
      </c>
      <c r="D400" s="11">
        <f>'Input Sheet'!B413</f>
        <v>0</v>
      </c>
      <c r="E400" s="8">
        <f>'Input Sheet'!H413</f>
        <v>0</v>
      </c>
      <c r="F400" s="61">
        <f>'Input Sheet'!C398/100</f>
        <v>0</v>
      </c>
      <c r="G400" s="61">
        <f>'Input Sheet'!F398/100</f>
        <v>0</v>
      </c>
      <c r="H400" s="2">
        <f t="shared" si="46"/>
        <v>0</v>
      </c>
      <c r="I400" s="2">
        <f t="shared" si="47"/>
        <v>0</v>
      </c>
      <c r="J400" s="60">
        <f t="shared" si="51"/>
        <v>0</v>
      </c>
      <c r="K400" s="2">
        <f t="shared" si="48"/>
        <v>0</v>
      </c>
      <c r="L400" s="2">
        <f t="shared" si="49"/>
        <v>0</v>
      </c>
      <c r="M400" s="2" t="str">
        <f>'Input Sheet'!E413</f>
        <v/>
      </c>
      <c r="N400" s="2">
        <f t="shared" si="50"/>
        <v>0</v>
      </c>
      <c r="P400">
        <f t="shared" si="45"/>
        <v>0</v>
      </c>
      <c r="Q400">
        <f t="shared" si="45"/>
        <v>0</v>
      </c>
      <c r="R400">
        <f t="shared" si="45"/>
        <v>0</v>
      </c>
      <c r="S400">
        <f t="shared" si="45"/>
        <v>0</v>
      </c>
      <c r="T400">
        <f t="shared" si="45"/>
        <v>0</v>
      </c>
    </row>
    <row r="401" spans="1:20" ht="16.5" x14ac:dyDescent="0.25">
      <c r="A401" s="10" t="str">
        <f>'Long Sample Name'!A397</f>
        <v/>
      </c>
      <c r="B401" s="1" t="str">
        <f ca="1">'Input Sheet'!K414</f>
        <v/>
      </c>
      <c r="C401" s="7" t="str">
        <f ca="1">'Input Sheet'!L414</f>
        <v/>
      </c>
      <c r="D401" s="11">
        <f>'Input Sheet'!B414</f>
        <v>0</v>
      </c>
      <c r="E401" s="8">
        <f>'Input Sheet'!H414</f>
        <v>0</v>
      </c>
      <c r="F401" s="61">
        <f>'Input Sheet'!C399/100</f>
        <v>0</v>
      </c>
      <c r="G401" s="61">
        <f>'Input Sheet'!F399/100</f>
        <v>0</v>
      </c>
      <c r="H401" s="2">
        <f t="shared" si="46"/>
        <v>0</v>
      </c>
      <c r="I401" s="2">
        <f t="shared" si="47"/>
        <v>0</v>
      </c>
      <c r="J401" s="60">
        <f t="shared" si="51"/>
        <v>0</v>
      </c>
      <c r="K401" s="2">
        <f t="shared" si="48"/>
        <v>0</v>
      </c>
      <c r="L401" s="2">
        <f t="shared" si="49"/>
        <v>0</v>
      </c>
      <c r="M401" s="2" t="str">
        <f>'Input Sheet'!E414</f>
        <v/>
      </c>
      <c r="N401" s="2">
        <f t="shared" si="50"/>
        <v>0</v>
      </c>
      <c r="P401">
        <f t="shared" si="45"/>
        <v>0</v>
      </c>
      <c r="Q401">
        <f t="shared" si="45"/>
        <v>0</v>
      </c>
      <c r="R401">
        <f t="shared" si="45"/>
        <v>0</v>
      </c>
      <c r="S401">
        <f t="shared" si="45"/>
        <v>0</v>
      </c>
      <c r="T401">
        <f t="shared" si="45"/>
        <v>0</v>
      </c>
    </row>
    <row r="402" spans="1:20" ht="16.5" x14ac:dyDescent="0.25">
      <c r="A402" s="10" t="str">
        <f>'Long Sample Name'!A398</f>
        <v/>
      </c>
      <c r="B402" s="1" t="str">
        <f ca="1">'Input Sheet'!K415</f>
        <v/>
      </c>
      <c r="C402" s="7" t="str">
        <f ca="1">'Input Sheet'!L415</f>
        <v/>
      </c>
      <c r="D402" s="11">
        <f>'Input Sheet'!B415</f>
        <v>0</v>
      </c>
      <c r="E402" s="8">
        <f>'Input Sheet'!H415</f>
        <v>0</v>
      </c>
      <c r="F402" s="61">
        <f>'Input Sheet'!C400/100</f>
        <v>0</v>
      </c>
      <c r="G402" s="61">
        <f>'Input Sheet'!F400/100</f>
        <v>0</v>
      </c>
      <c r="H402" s="2">
        <f t="shared" si="46"/>
        <v>0</v>
      </c>
      <c r="I402" s="2">
        <f t="shared" si="47"/>
        <v>0</v>
      </c>
      <c r="J402" s="60">
        <f t="shared" si="51"/>
        <v>0</v>
      </c>
      <c r="K402" s="2">
        <f t="shared" si="48"/>
        <v>0</v>
      </c>
      <c r="L402" s="2">
        <f t="shared" si="49"/>
        <v>0</v>
      </c>
      <c r="M402" s="2" t="str">
        <f>'Input Sheet'!E415</f>
        <v/>
      </c>
      <c r="N402" s="2">
        <f t="shared" si="50"/>
        <v>0</v>
      </c>
      <c r="P402">
        <f t="shared" si="45"/>
        <v>0</v>
      </c>
      <c r="Q402">
        <f t="shared" si="45"/>
        <v>0</v>
      </c>
      <c r="R402">
        <f t="shared" si="45"/>
        <v>0</v>
      </c>
      <c r="S402">
        <f t="shared" si="45"/>
        <v>0</v>
      </c>
      <c r="T402">
        <f t="shared" si="45"/>
        <v>0</v>
      </c>
    </row>
    <row r="403" spans="1:20" ht="16.5" x14ac:dyDescent="0.25">
      <c r="A403" s="10" t="str">
        <f>'Long Sample Name'!A399</f>
        <v/>
      </c>
      <c r="B403" s="1" t="str">
        <f ca="1">'Input Sheet'!K416</f>
        <v/>
      </c>
      <c r="C403" s="7" t="str">
        <f ca="1">'Input Sheet'!L416</f>
        <v/>
      </c>
      <c r="D403" s="11">
        <f>'Input Sheet'!B416</f>
        <v>0</v>
      </c>
      <c r="E403" s="8">
        <f>'Input Sheet'!H416</f>
        <v>0</v>
      </c>
      <c r="F403" s="61">
        <f>'Input Sheet'!C401/100</f>
        <v>0</v>
      </c>
      <c r="G403" s="61">
        <f>'Input Sheet'!F401/100</f>
        <v>0</v>
      </c>
      <c r="H403" s="2">
        <f t="shared" si="46"/>
        <v>0</v>
      </c>
      <c r="I403" s="2">
        <f t="shared" si="47"/>
        <v>0</v>
      </c>
      <c r="J403" s="60">
        <f t="shared" si="51"/>
        <v>0</v>
      </c>
      <c r="K403" s="2">
        <f t="shared" si="48"/>
        <v>0</v>
      </c>
      <c r="L403" s="2">
        <f t="shared" si="49"/>
        <v>0</v>
      </c>
      <c r="M403" s="2" t="str">
        <f>'Input Sheet'!E416</f>
        <v/>
      </c>
      <c r="N403" s="2">
        <f t="shared" si="50"/>
        <v>0</v>
      </c>
      <c r="P403">
        <f t="shared" si="45"/>
        <v>0</v>
      </c>
      <c r="Q403">
        <f t="shared" si="45"/>
        <v>0</v>
      </c>
      <c r="R403">
        <f t="shared" si="45"/>
        <v>0</v>
      </c>
      <c r="S403">
        <f t="shared" si="45"/>
        <v>0</v>
      </c>
      <c r="T403">
        <f t="shared" si="45"/>
        <v>0</v>
      </c>
    </row>
    <row r="404" spans="1:20" ht="16.5" x14ac:dyDescent="0.25">
      <c r="A404" s="10" t="str">
        <f>'Long Sample Name'!A400</f>
        <v/>
      </c>
      <c r="B404" s="1" t="str">
        <f ca="1">'Input Sheet'!K417</f>
        <v/>
      </c>
      <c r="C404" s="7" t="str">
        <f ca="1">'Input Sheet'!L417</f>
        <v/>
      </c>
      <c r="D404" s="11">
        <f>'Input Sheet'!B417</f>
        <v>0</v>
      </c>
      <c r="E404" s="8">
        <f>'Input Sheet'!H417</f>
        <v>0</v>
      </c>
      <c r="F404" s="61">
        <f>'Input Sheet'!C402/100</f>
        <v>0</v>
      </c>
      <c r="G404" s="61">
        <f>'Input Sheet'!F402/100</f>
        <v>0</v>
      </c>
      <c r="H404" s="2">
        <f t="shared" si="46"/>
        <v>0</v>
      </c>
      <c r="I404" s="2">
        <f t="shared" si="47"/>
        <v>0</v>
      </c>
      <c r="J404" s="60">
        <f t="shared" si="51"/>
        <v>0</v>
      </c>
      <c r="K404" s="2">
        <f t="shared" si="48"/>
        <v>0</v>
      </c>
      <c r="L404" s="2">
        <f t="shared" si="49"/>
        <v>0</v>
      </c>
      <c r="M404" s="2" t="str">
        <f>'Input Sheet'!E417</f>
        <v/>
      </c>
      <c r="N404" s="2">
        <f t="shared" si="50"/>
        <v>0</v>
      </c>
      <c r="P404">
        <f t="shared" si="45"/>
        <v>0</v>
      </c>
      <c r="Q404">
        <f t="shared" si="45"/>
        <v>0</v>
      </c>
      <c r="R404">
        <f t="shared" si="45"/>
        <v>0</v>
      </c>
      <c r="S404">
        <f t="shared" si="45"/>
        <v>0</v>
      </c>
      <c r="T404">
        <f t="shared" si="45"/>
        <v>0</v>
      </c>
    </row>
    <row r="405" spans="1:20" ht="16.5" x14ac:dyDescent="0.25">
      <c r="A405" s="10" t="str">
        <f>'Long Sample Name'!A401</f>
        <v/>
      </c>
      <c r="B405" s="1" t="str">
        <f ca="1">'Input Sheet'!K418</f>
        <v/>
      </c>
      <c r="C405" s="7" t="str">
        <f ca="1">'Input Sheet'!L418</f>
        <v/>
      </c>
      <c r="D405" s="11">
        <f>'Input Sheet'!B418</f>
        <v>0</v>
      </c>
      <c r="E405" s="8">
        <f>'Input Sheet'!H418</f>
        <v>0</v>
      </c>
      <c r="F405" s="61">
        <f>'Input Sheet'!C403/100</f>
        <v>0</v>
      </c>
      <c r="G405" s="61">
        <f>'Input Sheet'!F403/100</f>
        <v>0</v>
      </c>
      <c r="H405" s="2">
        <f t="shared" si="46"/>
        <v>0</v>
      </c>
      <c r="I405" s="2">
        <f t="shared" si="47"/>
        <v>0</v>
      </c>
      <c r="J405" s="60">
        <f t="shared" si="51"/>
        <v>0</v>
      </c>
      <c r="K405" s="2">
        <f t="shared" si="48"/>
        <v>0</v>
      </c>
      <c r="L405" s="2">
        <f t="shared" si="49"/>
        <v>0</v>
      </c>
      <c r="M405" s="2" t="str">
        <f>'Input Sheet'!E418</f>
        <v/>
      </c>
      <c r="N405" s="2">
        <f t="shared" si="50"/>
        <v>0</v>
      </c>
      <c r="P405">
        <f t="shared" si="45"/>
        <v>0</v>
      </c>
      <c r="Q405">
        <f t="shared" si="45"/>
        <v>0</v>
      </c>
      <c r="R405">
        <f t="shared" si="45"/>
        <v>0</v>
      </c>
      <c r="S405">
        <f t="shared" si="45"/>
        <v>0</v>
      </c>
      <c r="T405">
        <f t="shared" si="45"/>
        <v>0</v>
      </c>
    </row>
    <row r="406" spans="1:20" ht="16.5" x14ac:dyDescent="0.25">
      <c r="A406" s="10" t="str">
        <f>'Long Sample Name'!A402</f>
        <v/>
      </c>
      <c r="B406" s="1" t="str">
        <f ca="1">'Input Sheet'!K419</f>
        <v/>
      </c>
      <c r="C406" s="7" t="str">
        <f ca="1">'Input Sheet'!L419</f>
        <v/>
      </c>
      <c r="D406" s="11">
        <f>'Input Sheet'!B419</f>
        <v>0</v>
      </c>
      <c r="E406" s="8">
        <f>'Input Sheet'!H419</f>
        <v>0</v>
      </c>
      <c r="F406" s="61">
        <f>'Input Sheet'!C404/100</f>
        <v>0</v>
      </c>
      <c r="G406" s="61">
        <f>'Input Sheet'!F404/100</f>
        <v>0</v>
      </c>
      <c r="H406" s="2">
        <f t="shared" si="46"/>
        <v>0</v>
      </c>
      <c r="I406" s="2">
        <f t="shared" si="47"/>
        <v>0</v>
      </c>
      <c r="J406" s="60">
        <f t="shared" si="51"/>
        <v>0</v>
      </c>
      <c r="K406" s="2">
        <f t="shared" si="48"/>
        <v>0</v>
      </c>
      <c r="L406" s="2">
        <f t="shared" si="49"/>
        <v>0</v>
      </c>
      <c r="M406" s="2" t="str">
        <f>'Input Sheet'!E419</f>
        <v/>
      </c>
      <c r="N406" s="2">
        <f t="shared" si="50"/>
        <v>0</v>
      </c>
      <c r="P406">
        <f t="shared" si="45"/>
        <v>0</v>
      </c>
      <c r="Q406">
        <f t="shared" si="45"/>
        <v>0</v>
      </c>
      <c r="R406">
        <f t="shared" si="45"/>
        <v>0</v>
      </c>
      <c r="S406">
        <f t="shared" si="45"/>
        <v>0</v>
      </c>
      <c r="T406">
        <f t="shared" si="45"/>
        <v>0</v>
      </c>
    </row>
    <row r="407" spans="1:20" ht="16.5" x14ac:dyDescent="0.25">
      <c r="A407" s="10" t="str">
        <f>'Long Sample Name'!A403</f>
        <v/>
      </c>
      <c r="B407" s="1" t="str">
        <f ca="1">'Input Sheet'!K420</f>
        <v/>
      </c>
      <c r="C407" s="7" t="str">
        <f ca="1">'Input Sheet'!L420</f>
        <v/>
      </c>
      <c r="D407" s="11">
        <f>'Input Sheet'!B420</f>
        <v>0</v>
      </c>
      <c r="E407" s="8">
        <f>'Input Sheet'!H420</f>
        <v>0</v>
      </c>
      <c r="F407" s="61">
        <f>'Input Sheet'!C405/100</f>
        <v>0</v>
      </c>
      <c r="G407" s="61">
        <f>'Input Sheet'!F405/100</f>
        <v>0</v>
      </c>
      <c r="H407" s="2">
        <f t="shared" si="46"/>
        <v>0</v>
      </c>
      <c r="I407" s="2">
        <f t="shared" si="47"/>
        <v>0</v>
      </c>
      <c r="J407" s="60">
        <f t="shared" si="51"/>
        <v>0</v>
      </c>
      <c r="K407" s="2">
        <f t="shared" si="48"/>
        <v>0</v>
      </c>
      <c r="L407" s="2">
        <f t="shared" si="49"/>
        <v>0</v>
      </c>
      <c r="M407" s="2" t="str">
        <f>'Input Sheet'!E420</f>
        <v/>
      </c>
      <c r="N407" s="2">
        <f t="shared" si="50"/>
        <v>0</v>
      </c>
      <c r="P407">
        <f t="shared" si="45"/>
        <v>0</v>
      </c>
      <c r="Q407">
        <f t="shared" si="45"/>
        <v>0</v>
      </c>
      <c r="R407">
        <f t="shared" si="45"/>
        <v>0</v>
      </c>
      <c r="S407">
        <f t="shared" si="45"/>
        <v>0</v>
      </c>
      <c r="T407">
        <f t="shared" si="45"/>
        <v>0</v>
      </c>
    </row>
    <row r="408" spans="1:20" ht="16.5" x14ac:dyDescent="0.25">
      <c r="A408" s="10" t="str">
        <f>'Long Sample Name'!A404</f>
        <v/>
      </c>
      <c r="B408" s="1" t="str">
        <f ca="1">'Input Sheet'!K421</f>
        <v/>
      </c>
      <c r="C408" s="7" t="str">
        <f ca="1">'Input Sheet'!L421</f>
        <v/>
      </c>
      <c r="D408" s="11">
        <f>'Input Sheet'!B421</f>
        <v>0</v>
      </c>
      <c r="E408" s="8">
        <f>'Input Sheet'!H421</f>
        <v>0</v>
      </c>
      <c r="F408" s="61">
        <f>'Input Sheet'!C406/100</f>
        <v>0</v>
      </c>
      <c r="G408" s="61">
        <f>'Input Sheet'!F406/100</f>
        <v>0</v>
      </c>
      <c r="H408" s="2">
        <f t="shared" si="46"/>
        <v>0</v>
      </c>
      <c r="I408" s="2">
        <f t="shared" si="47"/>
        <v>0</v>
      </c>
      <c r="J408" s="60">
        <f t="shared" si="51"/>
        <v>0</v>
      </c>
      <c r="K408" s="2">
        <f t="shared" si="48"/>
        <v>0</v>
      </c>
      <c r="L408" s="2">
        <f t="shared" si="49"/>
        <v>0</v>
      </c>
      <c r="M408" s="2" t="str">
        <f>'Input Sheet'!E421</f>
        <v/>
      </c>
      <c r="N408" s="2">
        <f t="shared" si="50"/>
        <v>0</v>
      </c>
      <c r="P408">
        <f t="shared" si="45"/>
        <v>0</v>
      </c>
      <c r="Q408">
        <f t="shared" si="45"/>
        <v>0</v>
      </c>
      <c r="R408">
        <f t="shared" si="45"/>
        <v>0</v>
      </c>
      <c r="S408">
        <f t="shared" si="45"/>
        <v>0</v>
      </c>
      <c r="T408">
        <f t="shared" si="45"/>
        <v>0</v>
      </c>
    </row>
    <row r="409" spans="1:20" ht="16.5" x14ac:dyDescent="0.25">
      <c r="A409" s="10" t="str">
        <f>'Long Sample Name'!A405</f>
        <v/>
      </c>
      <c r="B409" s="1" t="str">
        <f ca="1">'Input Sheet'!K422</f>
        <v/>
      </c>
      <c r="C409" s="7" t="str">
        <f ca="1">'Input Sheet'!L422</f>
        <v/>
      </c>
      <c r="D409" s="11">
        <f>'Input Sheet'!B422</f>
        <v>0</v>
      </c>
      <c r="E409" s="8">
        <f>'Input Sheet'!H422</f>
        <v>0</v>
      </c>
      <c r="F409" s="61">
        <f>'Input Sheet'!C407/100</f>
        <v>0</v>
      </c>
      <c r="G409" s="61">
        <f>'Input Sheet'!F407/100</f>
        <v>0</v>
      </c>
      <c r="H409" s="2">
        <f t="shared" si="46"/>
        <v>0</v>
      </c>
      <c r="I409" s="2">
        <f t="shared" si="47"/>
        <v>0</v>
      </c>
      <c r="J409" s="60">
        <f t="shared" si="51"/>
        <v>0</v>
      </c>
      <c r="K409" s="2">
        <f t="shared" si="48"/>
        <v>0</v>
      </c>
      <c r="L409" s="2">
        <f t="shared" si="49"/>
        <v>0</v>
      </c>
      <c r="M409" s="2" t="str">
        <f>'Input Sheet'!E422</f>
        <v/>
      </c>
      <c r="N409" s="2">
        <f t="shared" si="50"/>
        <v>0</v>
      </c>
      <c r="P409">
        <f t="shared" si="45"/>
        <v>0</v>
      </c>
      <c r="Q409">
        <f t="shared" si="45"/>
        <v>0</v>
      </c>
      <c r="R409">
        <f t="shared" si="45"/>
        <v>0</v>
      </c>
      <c r="S409">
        <f t="shared" si="45"/>
        <v>0</v>
      </c>
      <c r="T409">
        <f t="shared" si="45"/>
        <v>0</v>
      </c>
    </row>
    <row r="410" spans="1:20" ht="16.5" x14ac:dyDescent="0.25">
      <c r="A410" s="10" t="str">
        <f>'Long Sample Name'!A406</f>
        <v/>
      </c>
      <c r="B410" s="1" t="str">
        <f ca="1">'Input Sheet'!K423</f>
        <v/>
      </c>
      <c r="C410" s="7" t="str">
        <f ca="1">'Input Sheet'!L423</f>
        <v/>
      </c>
      <c r="D410" s="11">
        <f>'Input Sheet'!B423</f>
        <v>0</v>
      </c>
      <c r="E410" s="8">
        <f>'Input Sheet'!H423</f>
        <v>0</v>
      </c>
      <c r="F410" s="61">
        <f>'Input Sheet'!C408/100</f>
        <v>0</v>
      </c>
      <c r="G410" s="61">
        <f>'Input Sheet'!F408/100</f>
        <v>0</v>
      </c>
      <c r="H410" s="2">
        <f t="shared" si="46"/>
        <v>0</v>
      </c>
      <c r="I410" s="2">
        <f t="shared" si="47"/>
        <v>0</v>
      </c>
      <c r="J410" s="60">
        <f t="shared" si="51"/>
        <v>0</v>
      </c>
      <c r="K410" s="2">
        <f t="shared" si="48"/>
        <v>0</v>
      </c>
      <c r="L410" s="2">
        <f t="shared" si="49"/>
        <v>0</v>
      </c>
      <c r="M410" s="2" t="str">
        <f>'Input Sheet'!E423</f>
        <v/>
      </c>
      <c r="N410" s="2">
        <f t="shared" si="50"/>
        <v>0</v>
      </c>
      <c r="P410">
        <f t="shared" si="45"/>
        <v>0</v>
      </c>
      <c r="Q410">
        <f t="shared" si="45"/>
        <v>0</v>
      </c>
      <c r="R410">
        <f t="shared" si="45"/>
        <v>0</v>
      </c>
      <c r="S410">
        <f t="shared" si="45"/>
        <v>0</v>
      </c>
      <c r="T410">
        <f t="shared" si="45"/>
        <v>0</v>
      </c>
    </row>
    <row r="411" spans="1:20" ht="16.5" x14ac:dyDescent="0.25">
      <c r="A411" s="10" t="str">
        <f>'Long Sample Name'!A407</f>
        <v/>
      </c>
      <c r="B411" s="1" t="str">
        <f ca="1">'Input Sheet'!K424</f>
        <v/>
      </c>
      <c r="C411" s="7" t="str">
        <f ca="1">'Input Sheet'!L424</f>
        <v/>
      </c>
      <c r="D411" s="11">
        <f>'Input Sheet'!B424</f>
        <v>0</v>
      </c>
      <c r="E411" s="8">
        <f>'Input Sheet'!H424</f>
        <v>0</v>
      </c>
      <c r="F411" s="61">
        <f>'Input Sheet'!C409/100</f>
        <v>0</v>
      </c>
      <c r="G411" s="61">
        <f>'Input Sheet'!F409/100</f>
        <v>0</v>
      </c>
      <c r="H411" s="2">
        <f t="shared" si="46"/>
        <v>0</v>
      </c>
      <c r="I411" s="2">
        <f t="shared" si="47"/>
        <v>0</v>
      </c>
      <c r="J411" s="60">
        <f t="shared" si="51"/>
        <v>0</v>
      </c>
      <c r="K411" s="2">
        <f t="shared" si="48"/>
        <v>0</v>
      </c>
      <c r="L411" s="2">
        <f t="shared" si="49"/>
        <v>0</v>
      </c>
      <c r="M411" s="2" t="str">
        <f>'Input Sheet'!E424</f>
        <v/>
      </c>
      <c r="N411" s="2">
        <f t="shared" si="50"/>
        <v>0</v>
      </c>
      <c r="P411">
        <f t="shared" si="45"/>
        <v>0</v>
      </c>
      <c r="Q411">
        <f t="shared" si="45"/>
        <v>0</v>
      </c>
      <c r="R411">
        <f t="shared" si="45"/>
        <v>0</v>
      </c>
      <c r="S411">
        <f t="shared" si="45"/>
        <v>0</v>
      </c>
      <c r="T411">
        <f t="shared" si="45"/>
        <v>0</v>
      </c>
    </row>
    <row r="412" spans="1:20" ht="16.5" x14ac:dyDescent="0.25">
      <c r="A412" s="10" t="str">
        <f>'Long Sample Name'!A408</f>
        <v/>
      </c>
      <c r="B412" s="1" t="str">
        <f ca="1">'Input Sheet'!K425</f>
        <v/>
      </c>
      <c r="C412" s="7" t="str">
        <f ca="1">'Input Sheet'!L425</f>
        <v/>
      </c>
      <c r="D412" s="11">
        <f>'Input Sheet'!B425</f>
        <v>0</v>
      </c>
      <c r="E412" s="8">
        <f>'Input Sheet'!H425</f>
        <v>0</v>
      </c>
      <c r="F412" s="61">
        <f>'Input Sheet'!C410/100</f>
        <v>0</v>
      </c>
      <c r="G412" s="61">
        <f>'Input Sheet'!F410/100</f>
        <v>0</v>
      </c>
      <c r="H412" s="2">
        <f t="shared" si="46"/>
        <v>0</v>
      </c>
      <c r="I412" s="2">
        <f t="shared" si="47"/>
        <v>0</v>
      </c>
      <c r="J412" s="60">
        <f t="shared" si="51"/>
        <v>0</v>
      </c>
      <c r="K412" s="2">
        <f t="shared" si="48"/>
        <v>0</v>
      </c>
      <c r="L412" s="2">
        <f t="shared" si="49"/>
        <v>0</v>
      </c>
      <c r="M412" s="2" t="str">
        <f>'Input Sheet'!E425</f>
        <v/>
      </c>
      <c r="N412" s="2">
        <f t="shared" si="50"/>
        <v>0</v>
      </c>
      <c r="P412">
        <f t="shared" si="45"/>
        <v>0</v>
      </c>
      <c r="Q412">
        <f t="shared" si="45"/>
        <v>0</v>
      </c>
      <c r="R412">
        <f t="shared" si="45"/>
        <v>0</v>
      </c>
      <c r="S412">
        <f t="shared" si="45"/>
        <v>0</v>
      </c>
      <c r="T412">
        <f t="shared" si="45"/>
        <v>0</v>
      </c>
    </row>
    <row r="413" spans="1:20" ht="16.5" x14ac:dyDescent="0.25">
      <c r="A413" s="10" t="str">
        <f>'Long Sample Name'!A409</f>
        <v/>
      </c>
      <c r="B413" s="1" t="str">
        <f ca="1">'Input Sheet'!K426</f>
        <v/>
      </c>
      <c r="C413" s="7" t="str">
        <f ca="1">'Input Sheet'!L426</f>
        <v/>
      </c>
      <c r="D413" s="11">
        <f>'Input Sheet'!B426</f>
        <v>0</v>
      </c>
      <c r="E413" s="8">
        <f>'Input Sheet'!H426</f>
        <v>0</v>
      </c>
      <c r="F413" s="61">
        <f>'Input Sheet'!C411/100</f>
        <v>0</v>
      </c>
      <c r="G413" s="61">
        <f>'Input Sheet'!F411/100</f>
        <v>0</v>
      </c>
      <c r="H413" s="2">
        <f t="shared" si="46"/>
        <v>0</v>
      </c>
      <c r="I413" s="2">
        <f t="shared" si="47"/>
        <v>0</v>
      </c>
      <c r="J413" s="60">
        <f t="shared" si="51"/>
        <v>0</v>
      </c>
      <c r="K413" s="2">
        <f t="shared" si="48"/>
        <v>0</v>
      </c>
      <c r="L413" s="2">
        <f t="shared" si="49"/>
        <v>0</v>
      </c>
      <c r="M413" s="2" t="str">
        <f>'Input Sheet'!E426</f>
        <v/>
      </c>
      <c r="N413" s="2">
        <f t="shared" si="50"/>
        <v>0</v>
      </c>
      <c r="P413">
        <f t="shared" si="45"/>
        <v>0</v>
      </c>
      <c r="Q413">
        <f t="shared" si="45"/>
        <v>0</v>
      </c>
      <c r="R413">
        <f t="shared" si="45"/>
        <v>0</v>
      </c>
      <c r="S413">
        <f t="shared" si="45"/>
        <v>0</v>
      </c>
      <c r="T413">
        <f t="shared" si="45"/>
        <v>0</v>
      </c>
    </row>
    <row r="414" spans="1:20" ht="16.5" x14ac:dyDescent="0.25">
      <c r="A414" s="10" t="str">
        <f>'Long Sample Name'!A410</f>
        <v/>
      </c>
      <c r="B414" s="1" t="str">
        <f ca="1">'Input Sheet'!K427</f>
        <v/>
      </c>
      <c r="C414" s="7" t="str">
        <f ca="1">'Input Sheet'!L427</f>
        <v/>
      </c>
      <c r="D414" s="11">
        <f>'Input Sheet'!B427</f>
        <v>0</v>
      </c>
      <c r="E414" s="8">
        <f>'Input Sheet'!H427</f>
        <v>0</v>
      </c>
      <c r="F414" s="61">
        <f>'Input Sheet'!C412/100</f>
        <v>0</v>
      </c>
      <c r="G414" s="61">
        <f>'Input Sheet'!F412/100</f>
        <v>0</v>
      </c>
      <c r="H414" s="2">
        <f t="shared" si="46"/>
        <v>0</v>
      </c>
      <c r="I414" s="2">
        <f t="shared" si="47"/>
        <v>0</v>
      </c>
      <c r="J414" s="60">
        <f t="shared" si="51"/>
        <v>0</v>
      </c>
      <c r="K414" s="2">
        <f t="shared" si="48"/>
        <v>0</v>
      </c>
      <c r="L414" s="2">
        <f t="shared" si="49"/>
        <v>0</v>
      </c>
      <c r="M414" s="2" t="str">
        <f>'Input Sheet'!E427</f>
        <v/>
      </c>
      <c r="N414" s="2">
        <f t="shared" si="50"/>
        <v>0</v>
      </c>
      <c r="P414">
        <f t="shared" si="45"/>
        <v>0</v>
      </c>
      <c r="Q414">
        <f t="shared" si="45"/>
        <v>0</v>
      </c>
      <c r="R414">
        <f t="shared" si="45"/>
        <v>0</v>
      </c>
      <c r="S414">
        <f t="shared" si="45"/>
        <v>0</v>
      </c>
      <c r="T414">
        <f t="shared" si="45"/>
        <v>0</v>
      </c>
    </row>
    <row r="415" spans="1:20" ht="16.5" x14ac:dyDescent="0.25">
      <c r="A415" s="10" t="str">
        <f>'Long Sample Name'!A411</f>
        <v/>
      </c>
      <c r="B415" s="1" t="str">
        <f ca="1">'Input Sheet'!K428</f>
        <v/>
      </c>
      <c r="C415" s="7" t="str">
        <f ca="1">'Input Sheet'!L428</f>
        <v/>
      </c>
      <c r="D415" s="11">
        <f>'Input Sheet'!B428</f>
        <v>0</v>
      </c>
      <c r="E415" s="8">
        <f>'Input Sheet'!H428</f>
        <v>0</v>
      </c>
      <c r="F415" s="61">
        <f>'Input Sheet'!C413/100</f>
        <v>0</v>
      </c>
      <c r="G415" s="61">
        <f>'Input Sheet'!F413/100</f>
        <v>0</v>
      </c>
      <c r="H415" s="2">
        <f t="shared" si="46"/>
        <v>0</v>
      </c>
      <c r="I415" s="2">
        <f t="shared" si="47"/>
        <v>0</v>
      </c>
      <c r="J415" s="60">
        <f t="shared" si="51"/>
        <v>0</v>
      </c>
      <c r="K415" s="2">
        <f t="shared" si="48"/>
        <v>0</v>
      </c>
      <c r="L415" s="2">
        <f t="shared" si="49"/>
        <v>0</v>
      </c>
      <c r="M415" s="2" t="str">
        <f>'Input Sheet'!E428</f>
        <v/>
      </c>
      <c r="N415" s="2">
        <f t="shared" si="50"/>
        <v>0</v>
      </c>
      <c r="P415">
        <f t="shared" si="45"/>
        <v>0</v>
      </c>
      <c r="Q415">
        <f t="shared" si="45"/>
        <v>0</v>
      </c>
      <c r="R415">
        <f t="shared" si="45"/>
        <v>0</v>
      </c>
      <c r="S415">
        <f t="shared" si="45"/>
        <v>0</v>
      </c>
      <c r="T415">
        <f t="shared" si="45"/>
        <v>0</v>
      </c>
    </row>
    <row r="416" spans="1:20" ht="16.5" x14ac:dyDescent="0.25">
      <c r="A416" s="10" t="str">
        <f>'Long Sample Name'!A412</f>
        <v/>
      </c>
      <c r="B416" s="1" t="str">
        <f ca="1">'Input Sheet'!K429</f>
        <v/>
      </c>
      <c r="C416" s="7" t="str">
        <f ca="1">'Input Sheet'!L429</f>
        <v/>
      </c>
      <c r="D416" s="11">
        <f>'Input Sheet'!B429</f>
        <v>0</v>
      </c>
      <c r="E416" s="8">
        <f>'Input Sheet'!H429</f>
        <v>0</v>
      </c>
      <c r="F416" s="61">
        <f>'Input Sheet'!C414/100</f>
        <v>0</v>
      </c>
      <c r="G416" s="61">
        <f>'Input Sheet'!F414/100</f>
        <v>0</v>
      </c>
      <c r="H416" s="2">
        <f t="shared" si="46"/>
        <v>0</v>
      </c>
      <c r="I416" s="2">
        <f t="shared" si="47"/>
        <v>0</v>
      </c>
      <c r="J416" s="60">
        <f t="shared" si="51"/>
        <v>0</v>
      </c>
      <c r="K416" s="2">
        <f t="shared" si="48"/>
        <v>0</v>
      </c>
      <c r="L416" s="2">
        <f t="shared" si="49"/>
        <v>0</v>
      </c>
      <c r="M416" s="2" t="str">
        <f>'Input Sheet'!E429</f>
        <v/>
      </c>
      <c r="N416" s="2">
        <f t="shared" si="50"/>
        <v>0</v>
      </c>
      <c r="P416">
        <f t="shared" ref="P416:T417" si="52">IF($M416=P$1,$H416,0)</f>
        <v>0</v>
      </c>
      <c r="Q416">
        <f t="shared" si="52"/>
        <v>0</v>
      </c>
      <c r="R416">
        <f t="shared" si="52"/>
        <v>0</v>
      </c>
      <c r="S416">
        <f t="shared" si="52"/>
        <v>0</v>
      </c>
      <c r="T416">
        <f t="shared" si="52"/>
        <v>0</v>
      </c>
    </row>
    <row r="417" spans="1:20" ht="16.5" x14ac:dyDescent="0.25">
      <c r="A417" s="10" t="str">
        <f>'Long Sample Name'!A413</f>
        <v/>
      </c>
      <c r="B417" s="1" t="str">
        <f ca="1">'Input Sheet'!K430</f>
        <v/>
      </c>
      <c r="C417" s="7" t="str">
        <f ca="1">'Input Sheet'!L430</f>
        <v/>
      </c>
      <c r="D417" s="11">
        <f>'Input Sheet'!B430</f>
        <v>0</v>
      </c>
      <c r="E417" s="8">
        <f>'Input Sheet'!H430</f>
        <v>0</v>
      </c>
      <c r="F417" s="61">
        <f>'Input Sheet'!C415/100</f>
        <v>0</v>
      </c>
      <c r="G417" s="61">
        <f>'Input Sheet'!F415/100</f>
        <v>0</v>
      </c>
      <c r="H417" s="2">
        <f t="shared" si="46"/>
        <v>0</v>
      </c>
      <c r="I417" s="2">
        <f t="shared" si="47"/>
        <v>0</v>
      </c>
      <c r="J417" s="60">
        <f t="shared" si="51"/>
        <v>0</v>
      </c>
      <c r="K417" s="2">
        <f t="shared" si="48"/>
        <v>0</v>
      </c>
      <c r="L417" s="2">
        <f t="shared" si="49"/>
        <v>0</v>
      </c>
      <c r="M417" s="2" t="str">
        <f>'Input Sheet'!E430</f>
        <v/>
      </c>
      <c r="N417" s="2">
        <f t="shared" si="50"/>
        <v>0</v>
      </c>
      <c r="P417">
        <f t="shared" si="52"/>
        <v>0</v>
      </c>
      <c r="Q417">
        <f t="shared" si="52"/>
        <v>0</v>
      </c>
      <c r="R417">
        <f t="shared" si="52"/>
        <v>0</v>
      </c>
      <c r="S417">
        <f t="shared" si="52"/>
        <v>0</v>
      </c>
      <c r="T417">
        <f t="shared" si="52"/>
        <v>0</v>
      </c>
    </row>
  </sheetData>
  <mergeCells count="3">
    <mergeCell ref="A1:E1"/>
    <mergeCell ref="A2:E2"/>
    <mergeCell ref="A3:E3"/>
  </mergeCells>
  <conditionalFormatting sqref="H1:H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4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O41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disablePrompts="1" count="1">
    <dataValidation type="list" allowBlank="1" showInputMessage="1" showErrorMessage="1" sqref="P1:T1 P5:T5" xr:uid="{00000000-0002-0000-0300-000000000000}">
      <formula1>$AE$6:$AE$6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>
      <selection activeCell="A2" sqref="A2"/>
    </sheetView>
  </sheetViews>
  <sheetFormatPr defaultColWidth="8.7109375" defaultRowHeight="15" x14ac:dyDescent="0.25"/>
  <sheetData>
    <row r="1" spans="1:1" x14ac:dyDescent="0.25">
      <c r="A1" t="s">
        <v>4</v>
      </c>
    </row>
    <row r="2" spans="1:1" x14ac:dyDescent="0.25">
      <c r="A2" t="s">
        <v>74</v>
      </c>
    </row>
    <row r="3" spans="1:1" x14ac:dyDescent="0.25">
      <c r="A3" t="s">
        <v>16</v>
      </c>
    </row>
    <row r="4" spans="1:1" x14ac:dyDescent="0.25">
      <c r="A4" t="s">
        <v>21</v>
      </c>
    </row>
    <row r="5" spans="1:1" x14ac:dyDescent="0.25">
      <c r="A5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lcf76f155ced4ddcb4097134ff3c332f xmlns="525c6e3c-d2e9-4aaf-b2c8-6be610c2f5fd">
      <Terms xmlns="http://schemas.microsoft.com/office/infopath/2007/PartnerControls"/>
    </lcf76f155ced4ddcb4097134ff3c332f>
    <Notes xmlns="525c6e3c-d2e9-4aaf-b2c8-6be610c2f5f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217D6A-CB4B-4282-A3E2-94622D7E2C18}">
  <ds:schemaRefs>
    <ds:schemaRef ds:uri="http://schemas.microsoft.com/office/2006/documentManagement/types"/>
    <ds:schemaRef ds:uri="http://www.w3.org/XML/1998/namespace"/>
    <ds:schemaRef ds:uri="af08517a-32b5-46b0-bcb4-7b0b62888fb5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3e19932-81c3-4940-b0b1-ae025cdc5beb"/>
    <ds:schemaRef ds:uri="http://schemas.microsoft.com/office/2006/metadata/properties"/>
    <ds:schemaRef ds:uri="c4de8975-a9e2-4032-8275-674640ba9e13"/>
    <ds:schemaRef ds:uri="525c6e3c-d2e9-4aaf-b2c8-6be610c2f5fd"/>
  </ds:schemaRefs>
</ds:datastoreItem>
</file>

<file path=customXml/itemProps2.xml><?xml version="1.0" encoding="utf-8"?>
<ds:datastoreItem xmlns:ds="http://schemas.openxmlformats.org/officeDocument/2006/customXml" ds:itemID="{DFE3A7B0-8165-4EF5-ADAF-1D5F3F36C0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5c6e3c-d2e9-4aaf-b2c8-6be610c2f5fd"/>
    <ds:schemaRef ds:uri="416a3325-149f-4ed5-ad81-b499dd2029e2"/>
    <ds:schemaRef ds:uri="c4de8975-a9e2-4032-8275-674640ba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52F68B-C7AF-4C37-861B-01A3A4EE2B2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AD3A20B-3F8A-4DF9-B6C4-04019162DE6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26c2670-3368-498f-a16b-70466cda23c0}" enabled="1" method="Standard" siteId="{447a9cb9-b230-46bf-b430-a7b9f50e3c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Sheet</vt:lpstr>
      <vt:lpstr>Input Sheet</vt:lpstr>
      <vt:lpstr>Long Sample Name</vt:lpstr>
      <vt:lpstr>Calculations Sheet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Thiel, Madison (Madison)</dc:creator>
  <cp:keywords/>
  <dc:description/>
  <cp:lastModifiedBy>Fernie, Nicholas (Nicholas)</cp:lastModifiedBy>
  <cp:revision/>
  <dcterms:created xsi:type="dcterms:W3CDTF">2023-07-25T05:25:18Z</dcterms:created>
  <dcterms:modified xsi:type="dcterms:W3CDTF">2026-07-06T22:55:41Z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</Properties>
</file>