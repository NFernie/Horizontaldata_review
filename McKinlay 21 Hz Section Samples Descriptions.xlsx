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S:\data_admin\data-wells\_EPShare Upload\COOPER_ToUpload\"/>
    </mc:Choice>
  </mc:AlternateContent>
  <xr:revisionPtr revIDLastSave="0" documentId="8_{BD645B95-7794-4F9F-A247-6E2FA8DF4B5C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1" l="1"/>
  <c r="D101" i="1"/>
  <c r="D102" i="1"/>
  <c r="D103" i="1"/>
  <c r="D104" i="1"/>
  <c r="D105" i="1"/>
  <c r="D99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78" i="1"/>
  <c r="P4" i="1"/>
  <c r="D28" i="1"/>
  <c r="D29" i="1"/>
  <c r="D26" i="1"/>
  <c r="D27" i="1"/>
  <c r="D25" i="1"/>
  <c r="D14" i="1"/>
  <c r="D15" i="1"/>
  <c r="D16" i="1"/>
  <c r="D17" i="1"/>
  <c r="D18" i="1"/>
  <c r="D19" i="1"/>
  <c r="D20" i="1"/>
  <c r="D21" i="1"/>
  <c r="D22" i="1"/>
  <c r="D23" i="1"/>
  <c r="D24" i="1"/>
  <c r="D1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I250" i="1" l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236" i="1" l="1"/>
  <c r="I217" i="1"/>
  <c r="I218" i="1"/>
  <c r="I219" i="1"/>
  <c r="I220" i="1"/>
  <c r="I221" i="1"/>
  <c r="I222" i="1"/>
  <c r="I216" i="1"/>
  <c r="L216" i="1" l="1"/>
  <c r="M216" i="1" s="1"/>
  <c r="J216" i="1"/>
  <c r="K216" i="1" s="1"/>
  <c r="L217" i="1" l="1"/>
  <c r="M217" i="1" s="1"/>
  <c r="L222" i="1"/>
  <c r="M222" i="1" s="1"/>
  <c r="L218" i="1"/>
  <c r="M218" i="1" s="1"/>
  <c r="L219" i="1"/>
  <c r="M219" i="1" s="1"/>
  <c r="L220" i="1"/>
  <c r="M220" i="1" s="1"/>
  <c r="L221" i="1"/>
  <c r="M221" i="1" s="1"/>
  <c r="I66" i="1"/>
  <c r="L66" i="1" s="1"/>
  <c r="M66" i="1" s="1"/>
  <c r="L417" i="1" l="1"/>
  <c r="M417" i="1" s="1"/>
  <c r="J417" i="1"/>
  <c r="K417" i="1" s="1"/>
  <c r="L416" i="1"/>
  <c r="M416" i="1" s="1"/>
  <c r="J416" i="1"/>
  <c r="K416" i="1" s="1"/>
  <c r="L415" i="1"/>
  <c r="M415" i="1" s="1"/>
  <c r="J415" i="1"/>
  <c r="K415" i="1" s="1"/>
  <c r="L414" i="1"/>
  <c r="M414" i="1" s="1"/>
  <c r="J414" i="1"/>
  <c r="K414" i="1" s="1"/>
  <c r="L413" i="1"/>
  <c r="M413" i="1" s="1"/>
  <c r="J413" i="1"/>
  <c r="K413" i="1" s="1"/>
  <c r="L412" i="1"/>
  <c r="M412" i="1" s="1"/>
  <c r="J412" i="1"/>
  <c r="K412" i="1" s="1"/>
  <c r="L411" i="1"/>
  <c r="M411" i="1" s="1"/>
  <c r="J411" i="1"/>
  <c r="K411" i="1" s="1"/>
  <c r="L410" i="1"/>
  <c r="M410" i="1" s="1"/>
  <c r="J410" i="1"/>
  <c r="K410" i="1" s="1"/>
  <c r="L409" i="1"/>
  <c r="M409" i="1" s="1"/>
  <c r="J409" i="1"/>
  <c r="K409" i="1" s="1"/>
  <c r="L408" i="1"/>
  <c r="M408" i="1" s="1"/>
  <c r="J408" i="1"/>
  <c r="K408" i="1" s="1"/>
  <c r="L407" i="1"/>
  <c r="M407" i="1" s="1"/>
  <c r="J407" i="1"/>
  <c r="K407" i="1" s="1"/>
  <c r="L406" i="1"/>
  <c r="M406" i="1" s="1"/>
  <c r="J406" i="1"/>
  <c r="K406" i="1" s="1"/>
  <c r="L405" i="1"/>
  <c r="M405" i="1" s="1"/>
  <c r="J405" i="1"/>
  <c r="K405" i="1" s="1"/>
  <c r="L404" i="1"/>
  <c r="M404" i="1" s="1"/>
  <c r="J404" i="1"/>
  <c r="K404" i="1" s="1"/>
  <c r="L403" i="1"/>
  <c r="M403" i="1" s="1"/>
  <c r="J403" i="1"/>
  <c r="K403" i="1" s="1"/>
  <c r="L402" i="1"/>
  <c r="M402" i="1" s="1"/>
  <c r="J402" i="1"/>
  <c r="K402" i="1" s="1"/>
  <c r="L401" i="1"/>
  <c r="M401" i="1" s="1"/>
  <c r="J401" i="1"/>
  <c r="K401" i="1" s="1"/>
  <c r="L400" i="1"/>
  <c r="M400" i="1" s="1"/>
  <c r="J400" i="1"/>
  <c r="K400" i="1" s="1"/>
  <c r="L399" i="1"/>
  <c r="M399" i="1" s="1"/>
  <c r="J399" i="1"/>
  <c r="K399" i="1" s="1"/>
  <c r="L398" i="1"/>
  <c r="M398" i="1" s="1"/>
  <c r="J398" i="1"/>
  <c r="K398" i="1" s="1"/>
  <c r="L397" i="1"/>
  <c r="M397" i="1" s="1"/>
  <c r="J397" i="1"/>
  <c r="K397" i="1" s="1"/>
  <c r="L396" i="1"/>
  <c r="M396" i="1" s="1"/>
  <c r="J396" i="1"/>
  <c r="K396" i="1" s="1"/>
  <c r="L395" i="1"/>
  <c r="M395" i="1" s="1"/>
  <c r="J395" i="1"/>
  <c r="K395" i="1" s="1"/>
  <c r="L394" i="1"/>
  <c r="M394" i="1" s="1"/>
  <c r="J394" i="1"/>
  <c r="K394" i="1" s="1"/>
  <c r="L393" i="1"/>
  <c r="M393" i="1" s="1"/>
  <c r="J393" i="1"/>
  <c r="K393" i="1" s="1"/>
  <c r="L392" i="1"/>
  <c r="M392" i="1" s="1"/>
  <c r="J392" i="1"/>
  <c r="K392" i="1" s="1"/>
  <c r="L391" i="1"/>
  <c r="M391" i="1" s="1"/>
  <c r="J391" i="1"/>
  <c r="K391" i="1" s="1"/>
  <c r="L390" i="1"/>
  <c r="M390" i="1" s="1"/>
  <c r="J390" i="1"/>
  <c r="K390" i="1" s="1"/>
  <c r="L389" i="1"/>
  <c r="M389" i="1" s="1"/>
  <c r="J389" i="1"/>
  <c r="K389" i="1" s="1"/>
  <c r="L388" i="1"/>
  <c r="M388" i="1" s="1"/>
  <c r="J388" i="1"/>
  <c r="K388" i="1" s="1"/>
  <c r="L387" i="1"/>
  <c r="M387" i="1" s="1"/>
  <c r="J387" i="1"/>
  <c r="K387" i="1" s="1"/>
  <c r="L386" i="1"/>
  <c r="M386" i="1" s="1"/>
  <c r="J386" i="1"/>
  <c r="K386" i="1" s="1"/>
  <c r="L385" i="1"/>
  <c r="M385" i="1" s="1"/>
  <c r="J385" i="1"/>
  <c r="K385" i="1" s="1"/>
  <c r="L384" i="1"/>
  <c r="M384" i="1" s="1"/>
  <c r="J384" i="1"/>
  <c r="K384" i="1" s="1"/>
  <c r="L383" i="1"/>
  <c r="M383" i="1" s="1"/>
  <c r="J383" i="1"/>
  <c r="K383" i="1" s="1"/>
  <c r="L382" i="1"/>
  <c r="M382" i="1" s="1"/>
  <c r="J382" i="1"/>
  <c r="K382" i="1" s="1"/>
  <c r="L381" i="1"/>
  <c r="M381" i="1" s="1"/>
  <c r="J381" i="1"/>
  <c r="K381" i="1" s="1"/>
  <c r="L380" i="1"/>
  <c r="M380" i="1" s="1"/>
  <c r="J380" i="1"/>
  <c r="K380" i="1" s="1"/>
  <c r="L379" i="1"/>
  <c r="M379" i="1" s="1"/>
  <c r="J379" i="1"/>
  <c r="K379" i="1" s="1"/>
  <c r="L378" i="1"/>
  <c r="M378" i="1" s="1"/>
  <c r="J378" i="1"/>
  <c r="K378" i="1" s="1"/>
  <c r="L377" i="1"/>
  <c r="M377" i="1" s="1"/>
  <c r="J377" i="1"/>
  <c r="K377" i="1" s="1"/>
  <c r="L376" i="1"/>
  <c r="M376" i="1" s="1"/>
  <c r="J376" i="1"/>
  <c r="K376" i="1" s="1"/>
  <c r="L375" i="1"/>
  <c r="M375" i="1" s="1"/>
  <c r="J375" i="1"/>
  <c r="K375" i="1" s="1"/>
  <c r="L374" i="1"/>
  <c r="M374" i="1" s="1"/>
  <c r="J374" i="1"/>
  <c r="K374" i="1" s="1"/>
  <c r="L373" i="1"/>
  <c r="M373" i="1" s="1"/>
  <c r="J373" i="1"/>
  <c r="K373" i="1" s="1"/>
  <c r="L372" i="1"/>
  <c r="M372" i="1" s="1"/>
  <c r="J372" i="1"/>
  <c r="K372" i="1" s="1"/>
  <c r="L371" i="1"/>
  <c r="M371" i="1" s="1"/>
  <c r="J371" i="1"/>
  <c r="K371" i="1" s="1"/>
  <c r="L370" i="1"/>
  <c r="M370" i="1" s="1"/>
  <c r="J370" i="1"/>
  <c r="K370" i="1" s="1"/>
  <c r="L369" i="1"/>
  <c r="M369" i="1" s="1"/>
  <c r="J369" i="1"/>
  <c r="K369" i="1" s="1"/>
  <c r="L368" i="1"/>
  <c r="M368" i="1" s="1"/>
  <c r="J368" i="1"/>
  <c r="K368" i="1" s="1"/>
  <c r="L367" i="1"/>
  <c r="M367" i="1" s="1"/>
  <c r="J367" i="1"/>
  <c r="K367" i="1" s="1"/>
  <c r="L366" i="1"/>
  <c r="M366" i="1" s="1"/>
  <c r="J366" i="1"/>
  <c r="K366" i="1" s="1"/>
  <c r="L365" i="1"/>
  <c r="M365" i="1" s="1"/>
  <c r="J365" i="1"/>
  <c r="K365" i="1" s="1"/>
  <c r="L364" i="1"/>
  <c r="M364" i="1" s="1"/>
  <c r="J364" i="1"/>
  <c r="K364" i="1" s="1"/>
  <c r="L363" i="1"/>
  <c r="M363" i="1" s="1"/>
  <c r="J363" i="1"/>
  <c r="K363" i="1" s="1"/>
  <c r="L362" i="1"/>
  <c r="M362" i="1" s="1"/>
  <c r="J362" i="1"/>
  <c r="K362" i="1" s="1"/>
  <c r="L361" i="1"/>
  <c r="M361" i="1" s="1"/>
  <c r="J361" i="1"/>
  <c r="K361" i="1" s="1"/>
  <c r="L360" i="1"/>
  <c r="M360" i="1" s="1"/>
  <c r="J360" i="1"/>
  <c r="K360" i="1" s="1"/>
  <c r="L359" i="1"/>
  <c r="M359" i="1" s="1"/>
  <c r="J359" i="1"/>
  <c r="K359" i="1" s="1"/>
  <c r="L358" i="1"/>
  <c r="M358" i="1" s="1"/>
  <c r="J358" i="1"/>
  <c r="K358" i="1" s="1"/>
  <c r="L357" i="1"/>
  <c r="M357" i="1" s="1"/>
  <c r="J357" i="1"/>
  <c r="K357" i="1" s="1"/>
  <c r="L356" i="1"/>
  <c r="M356" i="1" s="1"/>
  <c r="J356" i="1"/>
  <c r="K356" i="1" s="1"/>
  <c r="L355" i="1"/>
  <c r="M355" i="1" s="1"/>
  <c r="J355" i="1"/>
  <c r="K355" i="1" s="1"/>
  <c r="L354" i="1"/>
  <c r="M354" i="1" s="1"/>
  <c r="J354" i="1"/>
  <c r="K354" i="1" s="1"/>
  <c r="L353" i="1"/>
  <c r="M353" i="1" s="1"/>
  <c r="J353" i="1"/>
  <c r="K353" i="1" s="1"/>
  <c r="L352" i="1"/>
  <c r="M352" i="1" s="1"/>
  <c r="J352" i="1"/>
  <c r="K352" i="1" s="1"/>
  <c r="L351" i="1"/>
  <c r="M351" i="1" s="1"/>
  <c r="J351" i="1"/>
  <c r="K351" i="1" s="1"/>
  <c r="L350" i="1"/>
  <c r="M350" i="1" s="1"/>
  <c r="J350" i="1"/>
  <c r="K350" i="1" s="1"/>
  <c r="L349" i="1"/>
  <c r="M349" i="1" s="1"/>
  <c r="J349" i="1"/>
  <c r="K349" i="1" s="1"/>
  <c r="L348" i="1"/>
  <c r="M348" i="1" s="1"/>
  <c r="J348" i="1"/>
  <c r="K348" i="1" s="1"/>
  <c r="L347" i="1"/>
  <c r="M347" i="1" s="1"/>
  <c r="J347" i="1"/>
  <c r="K347" i="1" s="1"/>
  <c r="L346" i="1"/>
  <c r="M346" i="1" s="1"/>
  <c r="J346" i="1"/>
  <c r="K346" i="1" s="1"/>
  <c r="L345" i="1"/>
  <c r="M345" i="1" s="1"/>
  <c r="J345" i="1"/>
  <c r="K345" i="1" s="1"/>
  <c r="L344" i="1"/>
  <c r="M344" i="1" s="1"/>
  <c r="J344" i="1"/>
  <c r="K344" i="1" s="1"/>
  <c r="L343" i="1"/>
  <c r="M343" i="1" s="1"/>
  <c r="J343" i="1"/>
  <c r="K343" i="1" s="1"/>
  <c r="L342" i="1"/>
  <c r="M342" i="1" s="1"/>
  <c r="J342" i="1"/>
  <c r="K342" i="1" s="1"/>
  <c r="L341" i="1"/>
  <c r="M341" i="1" s="1"/>
  <c r="J341" i="1"/>
  <c r="K341" i="1" s="1"/>
  <c r="L340" i="1"/>
  <c r="M340" i="1" s="1"/>
  <c r="J340" i="1"/>
  <c r="K340" i="1" s="1"/>
  <c r="L339" i="1"/>
  <c r="M339" i="1" s="1"/>
  <c r="J339" i="1"/>
  <c r="K339" i="1" s="1"/>
  <c r="L338" i="1"/>
  <c r="M338" i="1" s="1"/>
  <c r="J338" i="1"/>
  <c r="K338" i="1" s="1"/>
  <c r="L337" i="1"/>
  <c r="M337" i="1" s="1"/>
  <c r="J337" i="1"/>
  <c r="K337" i="1" s="1"/>
  <c r="L336" i="1"/>
  <c r="M336" i="1" s="1"/>
  <c r="J336" i="1"/>
  <c r="K336" i="1" s="1"/>
  <c r="L335" i="1"/>
  <c r="M335" i="1" s="1"/>
  <c r="J335" i="1"/>
  <c r="K335" i="1" s="1"/>
  <c r="L334" i="1"/>
  <c r="M334" i="1" s="1"/>
  <c r="J334" i="1"/>
  <c r="K334" i="1" s="1"/>
  <c r="L333" i="1"/>
  <c r="M333" i="1" s="1"/>
  <c r="J333" i="1"/>
  <c r="K333" i="1" s="1"/>
  <c r="L332" i="1"/>
  <c r="M332" i="1" s="1"/>
  <c r="J332" i="1"/>
  <c r="K332" i="1" s="1"/>
  <c r="J331" i="1"/>
  <c r="K331" i="1" s="1"/>
  <c r="L331" i="1"/>
  <c r="M331" i="1" s="1"/>
  <c r="J330" i="1"/>
  <c r="K330" i="1" s="1"/>
  <c r="L330" i="1"/>
  <c r="M330" i="1" s="1"/>
  <c r="J329" i="1"/>
  <c r="K329" i="1" s="1"/>
  <c r="L329" i="1"/>
  <c r="M329" i="1" s="1"/>
  <c r="L328" i="1"/>
  <c r="M328" i="1" s="1"/>
  <c r="J328" i="1"/>
  <c r="K328" i="1" s="1"/>
  <c r="L327" i="1"/>
  <c r="M327" i="1" s="1"/>
  <c r="J327" i="1"/>
  <c r="K327" i="1" s="1"/>
  <c r="J326" i="1"/>
  <c r="K326" i="1" s="1"/>
  <c r="L326" i="1"/>
  <c r="M326" i="1" s="1"/>
  <c r="J325" i="1"/>
  <c r="K325" i="1" s="1"/>
  <c r="L325" i="1"/>
  <c r="M325" i="1" s="1"/>
  <c r="J324" i="1"/>
  <c r="K324" i="1" s="1"/>
  <c r="L324" i="1"/>
  <c r="M324" i="1" s="1"/>
  <c r="J323" i="1"/>
  <c r="K323" i="1" s="1"/>
  <c r="L323" i="1"/>
  <c r="M323" i="1" s="1"/>
  <c r="J322" i="1"/>
  <c r="K322" i="1" s="1"/>
  <c r="L322" i="1"/>
  <c r="M322" i="1" s="1"/>
  <c r="J321" i="1"/>
  <c r="K321" i="1" s="1"/>
  <c r="L321" i="1"/>
  <c r="M321" i="1" s="1"/>
  <c r="L320" i="1"/>
  <c r="M320" i="1" s="1"/>
  <c r="J320" i="1"/>
  <c r="K320" i="1" s="1"/>
  <c r="L319" i="1"/>
  <c r="M319" i="1" s="1"/>
  <c r="J319" i="1"/>
  <c r="K319" i="1" s="1"/>
  <c r="J318" i="1"/>
  <c r="K318" i="1" s="1"/>
  <c r="L318" i="1"/>
  <c r="M318" i="1" s="1"/>
  <c r="J317" i="1"/>
  <c r="K317" i="1" s="1"/>
  <c r="L317" i="1"/>
  <c r="M317" i="1" s="1"/>
  <c r="L316" i="1"/>
  <c r="M316" i="1" s="1"/>
  <c r="J316" i="1"/>
  <c r="K316" i="1" s="1"/>
  <c r="J315" i="1"/>
  <c r="K315" i="1" s="1"/>
  <c r="L315" i="1"/>
  <c r="M315" i="1" s="1"/>
  <c r="J314" i="1"/>
  <c r="K314" i="1" s="1"/>
  <c r="L314" i="1"/>
  <c r="M314" i="1" s="1"/>
  <c r="J313" i="1"/>
  <c r="K313" i="1" s="1"/>
  <c r="L313" i="1"/>
  <c r="M313" i="1" s="1"/>
  <c r="L312" i="1"/>
  <c r="M312" i="1" s="1"/>
  <c r="J312" i="1"/>
  <c r="K312" i="1" s="1"/>
  <c r="L311" i="1"/>
  <c r="M311" i="1" s="1"/>
  <c r="J311" i="1"/>
  <c r="K311" i="1" s="1"/>
  <c r="J310" i="1"/>
  <c r="K310" i="1" s="1"/>
  <c r="L310" i="1"/>
  <c r="M310" i="1" s="1"/>
  <c r="J309" i="1"/>
  <c r="K309" i="1" s="1"/>
  <c r="L309" i="1"/>
  <c r="M309" i="1" s="1"/>
  <c r="J308" i="1"/>
  <c r="K308" i="1" s="1"/>
  <c r="L308" i="1"/>
  <c r="M308" i="1" s="1"/>
  <c r="J307" i="1"/>
  <c r="K307" i="1" s="1"/>
  <c r="L307" i="1"/>
  <c r="M307" i="1" s="1"/>
  <c r="J306" i="1"/>
  <c r="K306" i="1" s="1"/>
  <c r="L306" i="1"/>
  <c r="M306" i="1" s="1"/>
  <c r="J305" i="1"/>
  <c r="K305" i="1" s="1"/>
  <c r="L305" i="1"/>
  <c r="M305" i="1" s="1"/>
  <c r="L304" i="1"/>
  <c r="M304" i="1" s="1"/>
  <c r="J304" i="1"/>
  <c r="K304" i="1" s="1"/>
  <c r="L303" i="1"/>
  <c r="M303" i="1" s="1"/>
  <c r="J303" i="1"/>
  <c r="K303" i="1" s="1"/>
  <c r="J302" i="1"/>
  <c r="K302" i="1" s="1"/>
  <c r="L302" i="1"/>
  <c r="M302" i="1" s="1"/>
  <c r="J301" i="1"/>
  <c r="K301" i="1" s="1"/>
  <c r="L301" i="1"/>
  <c r="M301" i="1" s="1"/>
  <c r="L300" i="1"/>
  <c r="M300" i="1" s="1"/>
  <c r="J300" i="1"/>
  <c r="K300" i="1" s="1"/>
  <c r="J299" i="1"/>
  <c r="K299" i="1" s="1"/>
  <c r="L299" i="1"/>
  <c r="M299" i="1" s="1"/>
  <c r="J298" i="1"/>
  <c r="K298" i="1" s="1"/>
  <c r="L298" i="1"/>
  <c r="M298" i="1" s="1"/>
  <c r="J297" i="1"/>
  <c r="K297" i="1" s="1"/>
  <c r="L297" i="1"/>
  <c r="M297" i="1" s="1"/>
  <c r="J296" i="1"/>
  <c r="K296" i="1" s="1"/>
  <c r="L296" i="1"/>
  <c r="M296" i="1" s="1"/>
  <c r="J295" i="1"/>
  <c r="K295" i="1" s="1"/>
  <c r="L295" i="1"/>
  <c r="M295" i="1" s="1"/>
  <c r="J294" i="1"/>
  <c r="K294" i="1" s="1"/>
  <c r="L294" i="1"/>
  <c r="M294" i="1" s="1"/>
  <c r="J293" i="1"/>
  <c r="K293" i="1" s="1"/>
  <c r="L293" i="1"/>
  <c r="M293" i="1" s="1"/>
  <c r="L292" i="1"/>
  <c r="M292" i="1" s="1"/>
  <c r="J292" i="1"/>
  <c r="K292" i="1" s="1"/>
  <c r="L291" i="1"/>
  <c r="M291" i="1" s="1"/>
  <c r="J291" i="1"/>
  <c r="K291" i="1" s="1"/>
  <c r="J290" i="1"/>
  <c r="K290" i="1" s="1"/>
  <c r="L290" i="1"/>
  <c r="M290" i="1" s="1"/>
  <c r="J289" i="1"/>
  <c r="K289" i="1" s="1"/>
  <c r="L289" i="1"/>
  <c r="M289" i="1" s="1"/>
  <c r="L288" i="1"/>
  <c r="M288" i="1" s="1"/>
  <c r="J288" i="1"/>
  <c r="K288" i="1" s="1"/>
  <c r="L287" i="1"/>
  <c r="M287" i="1" s="1"/>
  <c r="J287" i="1"/>
  <c r="K287" i="1" s="1"/>
  <c r="J286" i="1"/>
  <c r="K286" i="1" s="1"/>
  <c r="L286" i="1"/>
  <c r="M286" i="1" s="1"/>
  <c r="J285" i="1"/>
  <c r="K285" i="1" s="1"/>
  <c r="L285" i="1"/>
  <c r="M285" i="1" s="1"/>
  <c r="L284" i="1"/>
  <c r="M284" i="1" s="1"/>
  <c r="J284" i="1"/>
  <c r="K284" i="1" s="1"/>
  <c r="J283" i="1"/>
  <c r="K283" i="1" s="1"/>
  <c r="L283" i="1"/>
  <c r="M283" i="1" s="1"/>
  <c r="J282" i="1"/>
  <c r="K282" i="1" s="1"/>
  <c r="L282" i="1"/>
  <c r="M282" i="1" s="1"/>
  <c r="J281" i="1"/>
  <c r="K281" i="1" s="1"/>
  <c r="L281" i="1"/>
  <c r="M281" i="1" s="1"/>
  <c r="L280" i="1"/>
  <c r="M280" i="1" s="1"/>
  <c r="J280" i="1"/>
  <c r="K280" i="1" s="1"/>
  <c r="L279" i="1"/>
  <c r="M279" i="1" s="1"/>
  <c r="J279" i="1"/>
  <c r="K279" i="1" s="1"/>
  <c r="J278" i="1"/>
  <c r="K278" i="1" s="1"/>
  <c r="L278" i="1"/>
  <c r="M278" i="1" s="1"/>
  <c r="J277" i="1"/>
  <c r="K277" i="1" s="1"/>
  <c r="M277" i="1"/>
  <c r="M276" i="1"/>
  <c r="J276" i="1"/>
  <c r="K276" i="1" s="1"/>
  <c r="J275" i="1"/>
  <c r="K275" i="1" s="1"/>
  <c r="M275" i="1"/>
  <c r="J274" i="1"/>
  <c r="K274" i="1" s="1"/>
  <c r="M274" i="1"/>
  <c r="J273" i="1"/>
  <c r="K273" i="1" s="1"/>
  <c r="M273" i="1"/>
  <c r="L272" i="1"/>
  <c r="M272" i="1" s="1"/>
  <c r="J272" i="1"/>
  <c r="K272" i="1" s="1"/>
  <c r="L270" i="1"/>
  <c r="M270" i="1" s="1"/>
  <c r="J270" i="1"/>
  <c r="K270" i="1" s="1"/>
  <c r="L271" i="1"/>
  <c r="M271" i="1" s="1"/>
  <c r="J271" i="1"/>
  <c r="K271" i="1" s="1"/>
  <c r="J269" i="1"/>
  <c r="K269" i="1" s="1"/>
  <c r="L269" i="1"/>
  <c r="M269" i="1" s="1"/>
  <c r="L268" i="1"/>
  <c r="M268" i="1" s="1"/>
  <c r="J268" i="1"/>
  <c r="K268" i="1" s="1"/>
  <c r="J267" i="1"/>
  <c r="K267" i="1" s="1"/>
  <c r="L267" i="1"/>
  <c r="M267" i="1" s="1"/>
  <c r="J266" i="1"/>
  <c r="K266" i="1" s="1"/>
  <c r="L266" i="1"/>
  <c r="M266" i="1" s="1"/>
  <c r="J265" i="1"/>
  <c r="K265" i="1" s="1"/>
  <c r="L265" i="1"/>
  <c r="M265" i="1" s="1"/>
  <c r="L264" i="1"/>
  <c r="M264" i="1" s="1"/>
  <c r="J264" i="1"/>
  <c r="K264" i="1" s="1"/>
  <c r="L263" i="1"/>
  <c r="M263" i="1" s="1"/>
  <c r="J263" i="1"/>
  <c r="K263" i="1" s="1"/>
  <c r="J262" i="1"/>
  <c r="K262" i="1" s="1"/>
  <c r="L262" i="1"/>
  <c r="M262" i="1" s="1"/>
  <c r="J261" i="1"/>
  <c r="K261" i="1" s="1"/>
  <c r="L261" i="1"/>
  <c r="M261" i="1" s="1"/>
  <c r="L260" i="1"/>
  <c r="M260" i="1" s="1"/>
  <c r="J260" i="1"/>
  <c r="K260" i="1" s="1"/>
  <c r="J259" i="1"/>
  <c r="K259" i="1" s="1"/>
  <c r="L259" i="1"/>
  <c r="M259" i="1" s="1"/>
  <c r="J258" i="1"/>
  <c r="K258" i="1" s="1"/>
  <c r="L258" i="1"/>
  <c r="M258" i="1" s="1"/>
  <c r="J257" i="1"/>
  <c r="K257" i="1" s="1"/>
  <c r="L257" i="1"/>
  <c r="M257" i="1" s="1"/>
  <c r="L256" i="1"/>
  <c r="M256" i="1" s="1"/>
  <c r="J256" i="1"/>
  <c r="K256" i="1" s="1"/>
  <c r="L255" i="1"/>
  <c r="M255" i="1" s="1"/>
  <c r="J255" i="1"/>
  <c r="K255" i="1" s="1"/>
  <c r="J254" i="1"/>
  <c r="K254" i="1" s="1"/>
  <c r="L254" i="1"/>
  <c r="M254" i="1" s="1"/>
  <c r="L253" i="1"/>
  <c r="M253" i="1" s="1"/>
  <c r="J253" i="1"/>
  <c r="K253" i="1" s="1"/>
  <c r="J252" i="1"/>
  <c r="K252" i="1" s="1"/>
  <c r="L252" i="1"/>
  <c r="M252" i="1" s="1"/>
  <c r="J251" i="1"/>
  <c r="K251" i="1" s="1"/>
  <c r="L251" i="1"/>
  <c r="M251" i="1" s="1"/>
  <c r="J250" i="1"/>
  <c r="K250" i="1" s="1"/>
  <c r="L250" i="1"/>
  <c r="M250" i="1" s="1"/>
  <c r="J236" i="1"/>
  <c r="K236" i="1" s="1"/>
  <c r="L236" i="1"/>
  <c r="M236" i="1" s="1"/>
  <c r="J66" i="1"/>
  <c r="K66" i="1" s="1"/>
  <c r="J32" i="1"/>
  <c r="K32" i="1" s="1"/>
  <c r="J33" i="1"/>
  <c r="K33" i="1" s="1"/>
  <c r="J35" i="1"/>
  <c r="K35" i="1" s="1"/>
  <c r="J122" i="1"/>
  <c r="K122" i="1" s="1"/>
  <c r="J142" i="1"/>
  <c r="K142" i="1" s="1"/>
  <c r="J143" i="1"/>
  <c r="K143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8" i="1"/>
  <c r="K228" i="1" s="1"/>
  <c r="J229" i="1"/>
  <c r="K229" i="1" s="1"/>
  <c r="J230" i="1"/>
  <c r="K230" i="1" s="1"/>
  <c r="J231" i="1"/>
  <c r="K231" i="1" s="1"/>
  <c r="J232" i="1"/>
  <c r="K232" i="1" s="1"/>
  <c r="I49" i="1"/>
  <c r="J49" i="1" s="1"/>
  <c r="K49" i="1" s="1"/>
  <c r="I50" i="1"/>
  <c r="J50" i="1" s="1"/>
  <c r="K50" i="1" s="1"/>
  <c r="I51" i="1"/>
  <c r="L51" i="1" s="1"/>
  <c r="M51" i="1" s="1"/>
  <c r="I52" i="1"/>
  <c r="L52" i="1" s="1"/>
  <c r="M52" i="1" s="1"/>
  <c r="I53" i="1"/>
  <c r="L53" i="1" s="1"/>
  <c r="M53" i="1" s="1"/>
  <c r="I54" i="1"/>
  <c r="J54" i="1" s="1"/>
  <c r="K54" i="1" s="1"/>
  <c r="I55" i="1"/>
  <c r="L55" i="1" s="1"/>
  <c r="M55" i="1" s="1"/>
  <c r="I56" i="1"/>
  <c r="I57" i="1"/>
  <c r="J57" i="1" s="1"/>
  <c r="K57" i="1" s="1"/>
  <c r="I58" i="1"/>
  <c r="J58" i="1" s="1"/>
  <c r="K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I65" i="1"/>
  <c r="J65" i="1" s="1"/>
  <c r="K65" i="1" s="1"/>
  <c r="I67" i="1"/>
  <c r="L67" i="1" s="1"/>
  <c r="M67" i="1" s="1"/>
  <c r="I68" i="1"/>
  <c r="L68" i="1" s="1"/>
  <c r="M68" i="1" s="1"/>
  <c r="I69" i="1"/>
  <c r="J69" i="1" s="1"/>
  <c r="K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J77" i="1" s="1"/>
  <c r="K77" i="1" s="1"/>
  <c r="I78" i="1"/>
  <c r="J78" i="1" s="1"/>
  <c r="K78" i="1" s="1"/>
  <c r="I79" i="1"/>
  <c r="L79" i="1" s="1"/>
  <c r="M79" i="1" s="1"/>
  <c r="I80" i="1"/>
  <c r="I81" i="1"/>
  <c r="I82" i="1"/>
  <c r="I83" i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J90" i="1" s="1"/>
  <c r="K90" i="1" s="1"/>
  <c r="I91" i="1"/>
  <c r="J91" i="1" s="1"/>
  <c r="K91" i="1" s="1"/>
  <c r="I92" i="1"/>
  <c r="L92" i="1" s="1"/>
  <c r="M92" i="1" s="1"/>
  <c r="I93" i="1"/>
  <c r="I94" i="1"/>
  <c r="J94" i="1" s="1"/>
  <c r="K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J112" i="1" s="1"/>
  <c r="K112" i="1" s="1"/>
  <c r="I113" i="1"/>
  <c r="L113" i="1" s="1"/>
  <c r="M113" i="1" s="1"/>
  <c r="I114" i="1"/>
  <c r="L114" i="1" s="1"/>
  <c r="M114" i="1" s="1"/>
  <c r="I115" i="1"/>
  <c r="J115" i="1" s="1"/>
  <c r="K115" i="1" s="1"/>
  <c r="I116" i="1"/>
  <c r="L116" i="1" s="1"/>
  <c r="M116" i="1" s="1"/>
  <c r="I117" i="1"/>
  <c r="J117" i="1" s="1"/>
  <c r="K117" i="1" s="1"/>
  <c r="I118" i="1"/>
  <c r="L118" i="1" s="1"/>
  <c r="M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L125" i="1" s="1"/>
  <c r="M125" i="1" s="1"/>
  <c r="I126" i="1"/>
  <c r="J126" i="1" s="1"/>
  <c r="K126" i="1" s="1"/>
  <c r="I127" i="1"/>
  <c r="L127" i="1" s="1"/>
  <c r="M127" i="1" s="1"/>
  <c r="I128" i="1"/>
  <c r="J128" i="1" s="1"/>
  <c r="K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J133" i="1" s="1"/>
  <c r="K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J173" i="1" s="1"/>
  <c r="K173" i="1" s="1"/>
  <c r="I174" i="1"/>
  <c r="J174" i="1" s="1"/>
  <c r="K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L196" i="1" s="1"/>
  <c r="M196" i="1" s="1"/>
  <c r="I197" i="1"/>
  <c r="I198" i="1"/>
  <c r="L198" i="1" s="1"/>
  <c r="M198" i="1" s="1"/>
  <c r="I199" i="1"/>
  <c r="L199" i="1" s="1"/>
  <c r="M199" i="1" s="1"/>
  <c r="I200" i="1"/>
  <c r="J200" i="1" s="1"/>
  <c r="K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J207" i="1" s="1"/>
  <c r="K207" i="1" s="1"/>
  <c r="I208" i="1"/>
  <c r="J208" i="1" s="1"/>
  <c r="K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23" i="1"/>
  <c r="J223" i="1" s="1"/>
  <c r="K223" i="1" s="1"/>
  <c r="I224" i="1"/>
  <c r="L224" i="1" s="1"/>
  <c r="M224" i="1" s="1"/>
  <c r="I225" i="1"/>
  <c r="J225" i="1" s="1"/>
  <c r="K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7" i="1"/>
  <c r="J237" i="1" s="1"/>
  <c r="K237" i="1" s="1"/>
  <c r="I238" i="1"/>
  <c r="I239" i="1"/>
  <c r="J239" i="1" s="1"/>
  <c r="K239" i="1" s="1"/>
  <c r="I240" i="1"/>
  <c r="L240" i="1" s="1"/>
  <c r="M240" i="1" s="1"/>
  <c r="I241" i="1"/>
  <c r="L241" i="1" s="1"/>
  <c r="M241" i="1" s="1"/>
  <c r="I242" i="1"/>
  <c r="I243" i="1"/>
  <c r="J243" i="1" s="1"/>
  <c r="K243" i="1" s="1"/>
  <c r="I244" i="1"/>
  <c r="J244" i="1" s="1"/>
  <c r="K244" i="1" s="1"/>
  <c r="I245" i="1"/>
  <c r="L245" i="1" s="1"/>
  <c r="M245" i="1" s="1"/>
  <c r="I246" i="1"/>
  <c r="I247" i="1"/>
  <c r="J247" i="1" s="1"/>
  <c r="K247" i="1" s="1"/>
  <c r="I248" i="1"/>
  <c r="I249" i="1"/>
  <c r="I32" i="1"/>
  <c r="L32" i="1" s="1"/>
  <c r="M32" i="1" s="1"/>
  <c r="I33" i="1"/>
  <c r="L33" i="1" s="1"/>
  <c r="M33" i="1" s="1"/>
  <c r="I34" i="1"/>
  <c r="I35" i="1"/>
  <c r="L35" i="1" s="1"/>
  <c r="M35" i="1" s="1"/>
  <c r="I36" i="1"/>
  <c r="I37" i="1"/>
  <c r="L37" i="1" s="1"/>
  <c r="M37" i="1" s="1"/>
  <c r="I38" i="1"/>
  <c r="L38" i="1" s="1"/>
  <c r="M38" i="1" s="1"/>
  <c r="I39" i="1"/>
  <c r="J39" i="1" s="1"/>
  <c r="K39" i="1" s="1"/>
  <c r="I40" i="1"/>
  <c r="L40" i="1" s="1"/>
  <c r="M40" i="1" s="1"/>
  <c r="I41" i="1"/>
  <c r="J41" i="1" s="1"/>
  <c r="K41" i="1" s="1"/>
  <c r="I42" i="1"/>
  <c r="J42" i="1" s="1"/>
  <c r="K42" i="1" s="1"/>
  <c r="I43" i="1"/>
  <c r="L43" i="1" s="1"/>
  <c r="M43" i="1" s="1"/>
  <c r="I44" i="1"/>
  <c r="L44" i="1" s="1"/>
  <c r="M44" i="1" s="1"/>
  <c r="I45" i="1"/>
  <c r="L45" i="1" s="1"/>
  <c r="M45" i="1" s="1"/>
  <c r="I46" i="1"/>
  <c r="J46" i="1" s="1"/>
  <c r="K46" i="1" s="1"/>
  <c r="I47" i="1"/>
  <c r="J47" i="1" s="1"/>
  <c r="K47" i="1" s="1"/>
  <c r="I48" i="1"/>
  <c r="L48" i="1" s="1"/>
  <c r="M48" i="1" s="1"/>
  <c r="I30" i="1"/>
  <c r="I31" i="1"/>
  <c r="L31" i="1" s="1"/>
  <c r="M31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L24" i="1" s="1"/>
  <c r="M24" i="1" s="1"/>
  <c r="I25" i="1"/>
  <c r="I26" i="1"/>
  <c r="I27" i="1"/>
  <c r="I28" i="1"/>
  <c r="I29" i="1"/>
  <c r="I8" i="1"/>
  <c r="I9" i="1"/>
  <c r="I10" i="1"/>
  <c r="L7" i="1"/>
  <c r="M7" i="1" s="1"/>
  <c r="L8" i="1"/>
  <c r="M8" i="1" s="1"/>
  <c r="L9" i="1"/>
  <c r="M9" i="1" s="1"/>
  <c r="L10" i="1"/>
  <c r="M10" i="1" s="1"/>
  <c r="J7" i="1"/>
  <c r="K7" i="1" s="1"/>
  <c r="J8" i="1"/>
  <c r="K8" i="1" s="1"/>
  <c r="J9" i="1"/>
  <c r="K9" i="1" s="1"/>
  <c r="J10" i="1"/>
  <c r="K10" i="1" s="1"/>
  <c r="I7" i="1"/>
  <c r="L83" i="1" l="1"/>
  <c r="M83" i="1" s="1"/>
  <c r="J83" i="1"/>
  <c r="K83" i="1" s="1"/>
  <c r="L82" i="1"/>
  <c r="M82" i="1" s="1"/>
  <c r="J82" i="1"/>
  <c r="K82" i="1" s="1"/>
  <c r="L81" i="1"/>
  <c r="M81" i="1" s="1"/>
  <c r="J81" i="1"/>
  <c r="K81" i="1" s="1"/>
  <c r="L80" i="1"/>
  <c r="M80" i="1" s="1"/>
  <c r="J80" i="1"/>
  <c r="K80" i="1" s="1"/>
  <c r="L36" i="1"/>
  <c r="M36" i="1" s="1"/>
  <c r="J36" i="1"/>
  <c r="K36" i="1" s="1"/>
  <c r="L34" i="1"/>
  <c r="M34" i="1" s="1"/>
  <c r="J34" i="1"/>
  <c r="K34" i="1" s="1"/>
  <c r="L249" i="1"/>
  <c r="M249" i="1" s="1"/>
  <c r="J249" i="1"/>
  <c r="K249" i="1" s="1"/>
  <c r="L248" i="1"/>
  <c r="M248" i="1" s="1"/>
  <c r="J248" i="1"/>
  <c r="K248" i="1" s="1"/>
  <c r="L246" i="1"/>
  <c r="M246" i="1" s="1"/>
  <c r="J246" i="1"/>
  <c r="K246" i="1" s="1"/>
  <c r="L242" i="1"/>
  <c r="M242" i="1" s="1"/>
  <c r="J242" i="1"/>
  <c r="K242" i="1" s="1"/>
  <c r="L238" i="1"/>
  <c r="M238" i="1" s="1"/>
  <c r="J238" i="1"/>
  <c r="K238" i="1" s="1"/>
  <c r="L197" i="1"/>
  <c r="M197" i="1" s="1"/>
  <c r="J197" i="1"/>
  <c r="K197" i="1" s="1"/>
  <c r="J93" i="1"/>
  <c r="K93" i="1" s="1"/>
  <c r="L93" i="1"/>
  <c r="M93" i="1" s="1"/>
  <c r="L64" i="1"/>
  <c r="M64" i="1" s="1"/>
  <c r="J64" i="1"/>
  <c r="K64" i="1" s="1"/>
  <c r="J56" i="1"/>
  <c r="K56" i="1" s="1"/>
  <c r="L56" i="1"/>
  <c r="M56" i="1" s="1"/>
  <c r="J119" i="1"/>
  <c r="K119" i="1" s="1"/>
  <c r="J113" i="1"/>
  <c r="K113" i="1" s="1"/>
  <c r="J38" i="1"/>
  <c r="K38" i="1" s="1"/>
  <c r="L239" i="1"/>
  <c r="M239" i="1" s="1"/>
  <c r="L243" i="1"/>
  <c r="M243" i="1" s="1"/>
  <c r="L247" i="1"/>
  <c r="M247" i="1" s="1"/>
  <c r="J62" i="1"/>
  <c r="K62" i="1" s="1"/>
  <c r="J87" i="1"/>
  <c r="K87" i="1" s="1"/>
  <c r="L200" i="1"/>
  <c r="M200" i="1" s="1"/>
  <c r="J227" i="1"/>
  <c r="K227" i="1" s="1"/>
  <c r="J175" i="1"/>
  <c r="K175" i="1" s="1"/>
  <c r="J240" i="1"/>
  <c r="K240" i="1" s="1"/>
  <c r="L244" i="1"/>
  <c r="M244" i="1" s="1"/>
  <c r="J169" i="1"/>
  <c r="K169" i="1" s="1"/>
  <c r="J235" i="1"/>
  <c r="K235" i="1" s="1"/>
  <c r="L237" i="1"/>
  <c r="M237" i="1" s="1"/>
  <c r="J241" i="1"/>
  <c r="K241" i="1" s="1"/>
  <c r="J245" i="1"/>
  <c r="K245" i="1" s="1"/>
  <c r="J213" i="1"/>
  <c r="K213" i="1" s="1"/>
  <c r="J205" i="1"/>
  <c r="K205" i="1" s="1"/>
  <c r="J151" i="1"/>
  <c r="K151" i="1" s="1"/>
  <c r="J95" i="1"/>
  <c r="K95" i="1" s="1"/>
  <c r="J73" i="1"/>
  <c r="K73" i="1" s="1"/>
  <c r="J44" i="1"/>
  <c r="K44" i="1" s="1"/>
  <c r="L46" i="1"/>
  <c r="M46" i="1" s="1"/>
  <c r="L128" i="1"/>
  <c r="M128" i="1" s="1"/>
  <c r="L223" i="1"/>
  <c r="M223" i="1" s="1"/>
  <c r="J203" i="1"/>
  <c r="K203" i="1" s="1"/>
  <c r="J212" i="1"/>
  <c r="K212" i="1" s="1"/>
  <c r="J204" i="1"/>
  <c r="K204" i="1" s="1"/>
  <c r="J177" i="1"/>
  <c r="K177" i="1" s="1"/>
  <c r="J145" i="1"/>
  <c r="K145" i="1" s="1"/>
  <c r="J121" i="1"/>
  <c r="K121" i="1" s="1"/>
  <c r="J89" i="1"/>
  <c r="K89" i="1" s="1"/>
  <c r="J71" i="1"/>
  <c r="K71" i="1" s="1"/>
  <c r="J40" i="1"/>
  <c r="K40" i="1" s="1"/>
  <c r="L207" i="1"/>
  <c r="M207" i="1" s="1"/>
  <c r="J211" i="1"/>
  <c r="K211" i="1" s="1"/>
  <c r="J210" i="1"/>
  <c r="K210" i="1" s="1"/>
  <c r="J202" i="1"/>
  <c r="K202" i="1" s="1"/>
  <c r="L208" i="1"/>
  <c r="M208" i="1" s="1"/>
  <c r="L39" i="1"/>
  <c r="M39" i="1" s="1"/>
  <c r="J234" i="1"/>
  <c r="K234" i="1" s="1"/>
  <c r="J226" i="1"/>
  <c r="K226" i="1" s="1"/>
  <c r="J209" i="1"/>
  <c r="K209" i="1" s="1"/>
  <c r="J201" i="1"/>
  <c r="K201" i="1" s="1"/>
  <c r="J167" i="1"/>
  <c r="K167" i="1" s="1"/>
  <c r="J137" i="1"/>
  <c r="K137" i="1" s="1"/>
  <c r="J111" i="1"/>
  <c r="K111" i="1" s="1"/>
  <c r="L54" i="1"/>
  <c r="M54" i="1" s="1"/>
  <c r="L225" i="1"/>
  <c r="M225" i="1" s="1"/>
  <c r="J233" i="1"/>
  <c r="K233" i="1" s="1"/>
  <c r="J161" i="1"/>
  <c r="K161" i="1" s="1"/>
  <c r="J135" i="1"/>
  <c r="K135" i="1" s="1"/>
  <c r="J105" i="1"/>
  <c r="K105" i="1" s="1"/>
  <c r="L50" i="1"/>
  <c r="M50" i="1" s="1"/>
  <c r="J224" i="1"/>
  <c r="K224" i="1" s="1"/>
  <c r="J215" i="1"/>
  <c r="K215" i="1" s="1"/>
  <c r="J199" i="1"/>
  <c r="K199" i="1" s="1"/>
  <c r="J159" i="1"/>
  <c r="K159" i="1" s="1"/>
  <c r="J129" i="1"/>
  <c r="K129" i="1" s="1"/>
  <c r="J103" i="1"/>
  <c r="K103" i="1" s="1"/>
  <c r="J48" i="1"/>
  <c r="K48" i="1" s="1"/>
  <c r="L115" i="1"/>
  <c r="M115" i="1" s="1"/>
  <c r="L58" i="1"/>
  <c r="M58" i="1" s="1"/>
  <c r="J214" i="1"/>
  <c r="K214" i="1" s="1"/>
  <c r="J206" i="1"/>
  <c r="K206" i="1" s="1"/>
  <c r="J198" i="1"/>
  <c r="K198" i="1" s="1"/>
  <c r="J153" i="1"/>
  <c r="K153" i="1" s="1"/>
  <c r="J127" i="1"/>
  <c r="K127" i="1" s="1"/>
  <c r="J97" i="1"/>
  <c r="K97" i="1" s="1"/>
  <c r="J79" i="1"/>
  <c r="K79" i="1" s="1"/>
  <c r="L47" i="1"/>
  <c r="M47" i="1" s="1"/>
  <c r="L42" i="1"/>
  <c r="M42" i="1" s="1"/>
  <c r="L78" i="1"/>
  <c r="M78" i="1" s="1"/>
  <c r="L94" i="1"/>
  <c r="M94" i="1" s="1"/>
  <c r="L112" i="1"/>
  <c r="M112" i="1" s="1"/>
  <c r="L133" i="1"/>
  <c r="M133" i="1" s="1"/>
  <c r="L174" i="1"/>
  <c r="M174" i="1" s="1"/>
  <c r="J176" i="1"/>
  <c r="K176" i="1" s="1"/>
  <c r="J168" i="1"/>
  <c r="K168" i="1" s="1"/>
  <c r="J160" i="1"/>
  <c r="K160" i="1" s="1"/>
  <c r="J152" i="1"/>
  <c r="K152" i="1" s="1"/>
  <c r="J144" i="1"/>
  <c r="K144" i="1" s="1"/>
  <c r="J136" i="1"/>
  <c r="K136" i="1" s="1"/>
  <c r="J120" i="1"/>
  <c r="K120" i="1" s="1"/>
  <c r="J104" i="1"/>
  <c r="K104" i="1" s="1"/>
  <c r="J96" i="1"/>
  <c r="K96" i="1" s="1"/>
  <c r="J88" i="1"/>
  <c r="K88" i="1" s="1"/>
  <c r="J72" i="1"/>
  <c r="K72" i="1" s="1"/>
  <c r="J63" i="1"/>
  <c r="K63" i="1" s="1"/>
  <c r="J55" i="1"/>
  <c r="K55" i="1" s="1"/>
  <c r="L65" i="1"/>
  <c r="M65" i="1" s="1"/>
  <c r="L57" i="1"/>
  <c r="L49" i="1"/>
  <c r="M49" i="1" s="1"/>
  <c r="L41" i="1"/>
  <c r="M41" i="1" s="1"/>
  <c r="L91" i="1"/>
  <c r="M91" i="1" s="1"/>
  <c r="L126" i="1"/>
  <c r="M126" i="1" s="1"/>
  <c r="L69" i="1"/>
  <c r="M69" i="1" s="1"/>
  <c r="J166" i="1"/>
  <c r="J158" i="1"/>
  <c r="K158" i="1" s="1"/>
  <c r="J150" i="1"/>
  <c r="K150" i="1" s="1"/>
  <c r="J134" i="1"/>
  <c r="K134" i="1" s="1"/>
  <c r="J118" i="1"/>
  <c r="K118" i="1" s="1"/>
  <c r="J110" i="1"/>
  <c r="K110" i="1" s="1"/>
  <c r="J102" i="1"/>
  <c r="K102" i="1" s="1"/>
  <c r="J86" i="1"/>
  <c r="K86" i="1" s="1"/>
  <c r="J70" i="1"/>
  <c r="K70" i="1" s="1"/>
  <c r="J61" i="1"/>
  <c r="K61" i="1" s="1"/>
  <c r="J53" i="1"/>
  <c r="K53" i="1" s="1"/>
  <c r="J45" i="1"/>
  <c r="K45" i="1" s="1"/>
  <c r="J37" i="1"/>
  <c r="K37" i="1" s="1"/>
  <c r="L77" i="1"/>
  <c r="M77" i="1" s="1"/>
  <c r="L117" i="1"/>
  <c r="M117" i="1" s="1"/>
  <c r="J157" i="1"/>
  <c r="K157" i="1" s="1"/>
  <c r="J141" i="1"/>
  <c r="K141" i="1" s="1"/>
  <c r="J125" i="1"/>
  <c r="K125" i="1" s="1"/>
  <c r="J109" i="1"/>
  <c r="K109" i="1" s="1"/>
  <c r="J101" i="1"/>
  <c r="K101" i="1" s="1"/>
  <c r="J85" i="1"/>
  <c r="K85" i="1" s="1"/>
  <c r="J52" i="1"/>
  <c r="K52" i="1" s="1"/>
  <c r="J180" i="1"/>
  <c r="K180" i="1" s="1"/>
  <c r="J172" i="1"/>
  <c r="K172" i="1" s="1"/>
  <c r="J164" i="1"/>
  <c r="K164" i="1" s="1"/>
  <c r="J156" i="1"/>
  <c r="K156" i="1" s="1"/>
  <c r="J148" i="1"/>
  <c r="K148" i="1" s="1"/>
  <c r="J140" i="1"/>
  <c r="K140" i="1" s="1"/>
  <c r="J132" i="1"/>
  <c r="K132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76" i="1"/>
  <c r="K76" i="1" s="1"/>
  <c r="J68" i="1"/>
  <c r="K68" i="1" s="1"/>
  <c r="J59" i="1"/>
  <c r="K59" i="1" s="1"/>
  <c r="J51" i="1"/>
  <c r="K51" i="1" s="1"/>
  <c r="J43" i="1"/>
  <c r="K43" i="1" s="1"/>
  <c r="L173" i="1"/>
  <c r="M173" i="1" s="1"/>
  <c r="J165" i="1"/>
  <c r="K165" i="1" s="1"/>
  <c r="J149" i="1"/>
  <c r="K149" i="1" s="1"/>
  <c r="J60" i="1"/>
  <c r="K60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31" i="1"/>
  <c r="K131" i="1" s="1"/>
  <c r="J123" i="1"/>
  <c r="K123" i="1" s="1"/>
  <c r="J107" i="1"/>
  <c r="K107" i="1" s="1"/>
  <c r="J99" i="1"/>
  <c r="K99" i="1" s="1"/>
  <c r="J75" i="1"/>
  <c r="K75" i="1" s="1"/>
  <c r="J67" i="1"/>
  <c r="K67" i="1" s="1"/>
  <c r="L90" i="1"/>
  <c r="M90" i="1" s="1"/>
  <c r="J178" i="1"/>
  <c r="K178" i="1" s="1"/>
  <c r="J170" i="1"/>
  <c r="K170" i="1" s="1"/>
  <c r="J162" i="1"/>
  <c r="K162" i="1" s="1"/>
  <c r="J154" i="1"/>
  <c r="K154" i="1" s="1"/>
  <c r="J146" i="1"/>
  <c r="K146" i="1" s="1"/>
  <c r="J138" i="1"/>
  <c r="K138" i="1" s="1"/>
  <c r="J130" i="1"/>
  <c r="K130" i="1" s="1"/>
  <c r="J114" i="1"/>
  <c r="K114" i="1" s="1"/>
  <c r="J106" i="1"/>
  <c r="K106" i="1" s="1"/>
  <c r="J98" i="1"/>
  <c r="K98" i="1" s="1"/>
  <c r="J74" i="1"/>
  <c r="K74" i="1" s="1"/>
  <c r="K166" i="1"/>
  <c r="I6" i="1"/>
  <c r="M57" i="1" l="1"/>
  <c r="L5" i="1"/>
  <c r="L6" i="1"/>
  <c r="M6" i="1" s="1"/>
  <c r="J6" i="1"/>
  <c r="K6" i="1" s="1"/>
  <c r="J5" i="1"/>
  <c r="J3" i="1" s="1"/>
  <c r="L3" i="1" l="1"/>
  <c r="M5" i="1"/>
  <c r="K5" i="1"/>
  <c r="M3" i="1" l="1"/>
  <c r="R4" i="1" s="1"/>
  <c r="K3" i="1"/>
  <c r="R2" i="1" s="1"/>
</calcChain>
</file>

<file path=xl/sharedStrings.xml><?xml version="1.0" encoding="utf-8"?>
<sst xmlns="http://schemas.openxmlformats.org/spreadsheetml/2006/main" count="190" uniqueCount="186">
  <si>
    <t>cutoff</t>
  </si>
  <si>
    <t>Upper</t>
  </si>
  <si>
    <t>Lower</t>
  </si>
  <si>
    <t>Top DC20-20</t>
  </si>
  <si>
    <t>Upper pay/in reservoir</t>
  </si>
  <si>
    <t>Upper Class Cut Off</t>
  </si>
  <si>
    <t>sum</t>
  </si>
  <si>
    <t>pay</t>
  </si>
  <si>
    <t>Lower Class Cut Off</t>
  </si>
  <si>
    <t>DC20-20 intersected</t>
  </si>
  <si>
    <t>Lower pay/in reservoir</t>
  </si>
  <si>
    <t>description</t>
  </si>
  <si>
    <t>Date</t>
  </si>
  <si>
    <t>Time</t>
  </si>
  <si>
    <t>MD</t>
  </si>
  <si>
    <t>%SH</t>
  </si>
  <si>
    <t>TG</t>
  </si>
  <si>
    <t>%SS</t>
  </si>
  <si>
    <t>%fluoro</t>
  </si>
  <si>
    <t>interval</t>
  </si>
  <si>
    <t>pay?:)</t>
  </si>
  <si>
    <t>Sample 1685m 70% Cement, 20% light grey Siltstone, 10% Sandstone.</t>
  </si>
  <si>
    <t>Sample 1690m 70% light grey arenaceous Siltstone, 30% very fine grained Sandstone.</t>
  </si>
  <si>
    <t>Sample 1695m 60% Siltstone, 40% fine grained Sandstone.</t>
  </si>
  <si>
    <t>Sample 1700m 50% Siltstone, 50% fine grained Sandstone</t>
  </si>
  <si>
    <t>Sample 1705m 60% Siltstone, 40% fine grained Sandstone.</t>
  </si>
  <si>
    <t>Sample 1710m 60% Siltstone, 40% fine-grained Sandstone.</t>
  </si>
  <si>
    <t>Sample 1715m 80% Siltstone, 20% Sandstone.</t>
  </si>
  <si>
    <t>Sample 1720m 80% Siltstone, 20% Sandstone.</t>
  </si>
  <si>
    <t>Sample 1725m 70% Siltstone, 30% Sandstone</t>
  </si>
  <si>
    <t>Sample 1730m 50% Siltstone, 50% fine grained Sandstone.</t>
  </si>
  <si>
    <t>Sample 1735m 60% Siltstone, 40% fine grained Sandstone.</t>
  </si>
  <si>
    <t>Sample 1740m 40% Siltstone, 60% fine grained Sandstone.</t>
  </si>
  <si>
    <t>Sample 1745m 60% Siltstone 40% Sandstone</t>
  </si>
  <si>
    <t>Sample 1750m 70% medium grey argillaceous Siltstone, 30% fine-grained Sandstone.</t>
  </si>
  <si>
    <t>Sample 1755m 20% light to medium grey argillaceous Siltstone, 80% off white, minor translucent, very fine to fine Sandstone.</t>
  </si>
  <si>
    <t>Sample 1760m 70% Siltstone, 30% off white, very fine to fine, strong siliceous cement in Sandstone. Fluorescence trace dim yellow spotted, slow white streaming cut.</t>
  </si>
  <si>
    <t>Sample 1765m 50% Siltstone 50% Sandstone. 15% moderately bright yellow green patchy, slow yellow white cut, thin yellow white film residue.</t>
  </si>
  <si>
    <t>Sample 1770m 20% Siltstone, 80% Sandstone. 5% moderately bright yellow green patchy fluorescence in Sandstone.</t>
  </si>
  <si>
    <t>Sample 1775m 50% Siltstone, 50% Sandstone. Trace yellow white spotted Fluorescence in Sandstone</t>
  </si>
  <si>
    <t>Sample 1780m: 40% Siltstone. 60% very fine to fine Sandstone. TG: 92U. 10% mod bri fluor.</t>
  </si>
  <si>
    <t>Intersected mcKinlay at 1782mMD</t>
  </si>
  <si>
    <t>Sample 1785m: 30% Siltstone. 70% very fine to fine aggs, fine to coarse loose, common medium Sandstone. TG: 96U. 80% bri fluor.</t>
  </si>
  <si>
    <t>1790m: 20% Siltstone. 80% very fine to fine aggs, fine to coarse loose, common coarse Sandstone. TG: 84U. 100% mod bri fluor.</t>
  </si>
  <si>
    <t>1795m: 20% Siltstone. 80% very fine to fine aggs, minor medium to coarse loose Sandstone. TG: 87U. 100% mod bri-bri fluor.</t>
  </si>
  <si>
    <t>1800m: 15% Siltstone. 85% very fine to fine aggs, minor coarse loose Sandstone. TG: 82U. 100% mod bri-bri fluor.</t>
  </si>
  <si>
    <t>1805m: 10% Siltstone. 90% very fine to fine aggs, trace coarse loose Sandstone. TG: 74U. 90% mod bri-bri fluor.</t>
  </si>
  <si>
    <t>1810m: 10% Siltstone. 90% very fine to fine aggs, trace coarse loose Sandstone. TG: 87U. 90% mod bri-bri fluor.</t>
  </si>
  <si>
    <t>1815m: 20% Siltstone. 80% very fine to fine Sandstone. TG: 91U. 95% mod bri-bri fluor.</t>
  </si>
  <si>
    <t>1820m: 20% Siltstone. 80% very fine to fine Sandstone. TG: 112U. 100% bri fluor.</t>
  </si>
  <si>
    <t>1825m: 25% Siltstone. 75% very fine to fine Sandstone. TG: 89U. 100% bri fluor.</t>
  </si>
  <si>
    <t>1830m: 20% Siltstone. 80% very fine to fine Sandstone. TG: 85U. 100% bri fluor</t>
  </si>
  <si>
    <t>1835m: 20% Siltstone. 80% very fine to fine Sandstone. TG: 120U. 95% bri fluor.</t>
  </si>
  <si>
    <t>1840m: 10% Siltstone. 90% very fine to fine Sandstone. TG: 103U. 100% bri fluor.</t>
  </si>
  <si>
    <t>1845m: 15% Siltstone. 85% very fine to fine Sandstone. TG: 100U. 100% bri fluor.</t>
  </si>
  <si>
    <t>1850m: 30% Siltstone. 70% very fine to fine Sandstone. TG: 130U. 100% bri fluor.</t>
  </si>
  <si>
    <t>1855m: 25% Siltstone. 75% very fine to fine Sandstone. TG: 161U. 100% bri fluor.</t>
  </si>
  <si>
    <t>1860m: 20% Siltstone. 80% very fine Sandstone. TG: 152U. 80% mod bri fluor.</t>
  </si>
  <si>
    <t>Sandstone in the last sample was grading to aren siltstone in part</t>
  </si>
  <si>
    <t>1865m: 20% Siltstone. 80% very fine Sandstone. TG: 135U. 90% mod bri - brifluor.</t>
  </si>
  <si>
    <t>1870m: 15% Siltstone. 85% very fine Sandstone. TG: 212U. 90% mod bri - bri fluor.</t>
  </si>
  <si>
    <t>1875m: 10% Siltstone. 90% very fine to fine Sandstone. TG: 355U. 100% bri fluor.</t>
  </si>
  <si>
    <t>1880m: 10% Siltstone. 90% very fine to fine Sandstone. TG: 270U. 100% bri fluor.</t>
  </si>
  <si>
    <t>tight aggregates, haven't seen the loose sands for a while now</t>
  </si>
  <si>
    <t>1885m: 15% Siltstone. 85% very fine to fine Sandstone. TG: 180U. 100% bri fluor.</t>
  </si>
  <si>
    <t>pushed up by hard layer</t>
  </si>
  <si>
    <t>1890m: 20% Siltstone. 80% very fine to fine Sandstone. TG: 146U. 100% bri fluor.</t>
  </si>
  <si>
    <t>1895m: 10% Siltstone. 90% very fine to fine Sandstone. TG: 145U. 100% mod bri fluor.</t>
  </si>
  <si>
    <t>1900m: 10% Siltstone. 90% very fine to fine Sandstone. TG: 115U. 90% mod bri fluor.</t>
  </si>
  <si>
    <t>getting pushed up by hard layer</t>
  </si>
  <si>
    <t>1905m: 15% Siltstone. 85% very fine to fine Sandstone. TG: 130U. 100% bri fluor.</t>
  </si>
  <si>
    <t>1910m: 15% Siltstone. 85% very fine to fine Sandstone. TG: 94U. 100% bri fluor.</t>
  </si>
  <si>
    <t>1915m: 10% Siltstone. 90% very fine to fine Sandstone. TG: 260U. 90% bri fluor.</t>
  </si>
  <si>
    <t>1920m: 5% Siltstone. 95% very fine to fine Sandstone. TG: 195U. 100% bri fluor.</t>
  </si>
  <si>
    <t>1925m: 5% Siltstone. 95% very fine to fine Sandstone. TG: 167U. 100% bri fluor.</t>
  </si>
  <si>
    <t>1930m: 5% Siltstone. 95% very fine to coarse, com loose Sandstone. TG: 192U. 100% bri fluor.</t>
  </si>
  <si>
    <t>1935m: 10% Siltstone. 90% very fine to coarse, com loose Sandstone. TG: 240U. 100% bri fluor.</t>
  </si>
  <si>
    <t>1940m: 5% Siltstone. 95% very fine to coarse, predominantly loose Sandstone. TG: 190U. 100% bri fluor.</t>
  </si>
  <si>
    <t>1945m: 5% Siltstone. 95% very fine to coarse, predominantly loose Sandstone. TG: 234U. 100% bri fluor.</t>
  </si>
  <si>
    <t>1950m: 100% very fine to coarse, predominantly loose Sandstone. TG: 288U. 100% bri fluor.</t>
  </si>
  <si>
    <t>1955m: 100% very fine to coarse, predominantly loose Sandstone. TG: 300U. 100% bri fluor.</t>
  </si>
  <si>
    <t>1960m: 100% very fine to coarse, predominantly loose Sandstone. TG: 320U. 100% bri fluor.</t>
  </si>
  <si>
    <t>1965m 100% fine to coarse, predominantly medium grained Sandstone. BG;280U 100% bright yellow green fluorescence.</t>
  </si>
  <si>
    <t>1970m 100% predominantly medium grained Sandstone. Fluorescence 100% yellow green even.</t>
  </si>
  <si>
    <t>1975m 100% predominantly medium grained Sandstone. BG 220U Fluorescence 100% yellow green even.</t>
  </si>
  <si>
    <t>1980m 100% predominantly medium grained Sandstone. BG; 180 U, Fluorescence 100% bright yellow green even.</t>
  </si>
  <si>
    <t>1985m 100% fine to medium grained Sandstone, BG: 180U. Fluorescence 100% bright yellow green even.</t>
  </si>
  <si>
    <t>1990m 100% fine to medium grained Sandstone. BG 190U. Fluorescence 100% bright yellow green even.</t>
  </si>
  <si>
    <t>1995m 100% fine to med grained Sandstone. BG: 190U. Fluorescence 100% bright yellow green even.</t>
  </si>
  <si>
    <t>2000m Trace medium grey Siltstone. 100% fine to coarse predominantly medium grain Sandstone. BG 180 U 90% moderately bright yellow green even.</t>
  </si>
  <si>
    <t>2005m 100% fine to coarse, predominantly medium grained Sandstone. BG: 160U. Fluorescence 100% moderately bright to bright yellow green even.</t>
  </si>
  <si>
    <t>2010m Trace medium grey Siltstone, 100% fine to coarse predominantly medium grey, minor silty matrix, Sandstone. BG: 200U. Fluorescence 80% bright yellow green even.</t>
  </si>
  <si>
    <t>2015m 100% fine to coarse grained, predominantly dis-aggregated Sandstone. BG: 196U. Fluorescence 90% moderately bright yellow green even, moderately bright yellow green streaming cut, moderately bright wh film residue.</t>
  </si>
  <si>
    <t>Across the sample and the fluor cut it's bright but not as bright as previously. The sandstone has minor silty matrix (it's a bit dirty)</t>
  </si>
  <si>
    <t>2020m 100% off white, fine grained, weak siliceous cement, common off white argillaceous matrix Sandstone. BG: 200U. Fluorescence 85% moderatley bright yellow green streaming cut, moderately bright yellow white film residue.</t>
  </si>
  <si>
    <t>slight variation in grain size (above with 1.5m and below 1.5m window). Phil was describing fine to coarse. I have been seeing fine to coarse but predominantly medium. The last few with the slight decrease in fluor are a little more silty.</t>
  </si>
  <si>
    <t>2025m 100% fine grained Sandstone. BG 200U. Fluorescence 90% moderately bright to bright yellow green even, moderately bright yellow green streaming cut, moderately bright yellow white film residue.</t>
  </si>
  <si>
    <t>That 2020m sand isn't as good. Generally fine grained.</t>
  </si>
  <si>
    <t>2030m 100% fine grained Sandstone, BG: 195U. Fluorescence 80% moderately bright yellow green even, moderately bright yellow green streaming cut, moderately bright yellow white film residue.</t>
  </si>
  <si>
    <t>2035m 100% fine grained, common off white argillaceous matrix, friable, Sandstone. BG 185U. Fluorescence 80% moderately bright yellow green even, moderately bright yellow green streaming cut, moderately bright yellow white ring to thin film residue.</t>
  </si>
  <si>
    <t>2040m 100% off white, fine to medium, weak siliceous cement, common off white argillaceous matrix, friable Sandstone. BG 180U Fluorescence 90% moderately bright yellow green patchy to even, moderately bright yellow green streaming cut, moderately bright ring to thin film residue.</t>
  </si>
  <si>
    <t>2045m 100% fine to medium grained Sandstone, BG 205U Fluorescence 80% as above.</t>
  </si>
  <si>
    <t>2050m 100% fine to medium grained Sandstone. BG 242U Fluorescence 95% bright yellow green even, bright yellow green streaming cut, bright yellow green film residue.</t>
  </si>
  <si>
    <t>2055m 100% fine grained Sandstone, BG 180U, Fluorescence 95% bright yellow green even.</t>
  </si>
  <si>
    <t>2060m 100% fine grained Sandstone, BG 186U Fluorescence 90% bright yellow green even.</t>
  </si>
  <si>
    <t>2065m 100% very light brown/off white, very fine to fine Sandstone. BG: 150U Fluorescence 90% bright yellow green, moderately bright yellow green streaming cut, moderately bright white film to thick ring residue.</t>
  </si>
  <si>
    <t>2070m 100% fine grained Sandstone. BG: 156U Fluorescence 90% moderately bright yellow green even.</t>
  </si>
  <si>
    <t>2075m 100% very fine to fine grained Sandstone, BG 162U, Fluorescence 90% bright yellow green even.</t>
  </si>
  <si>
    <t>2080m 10% medium grey Siltstone, 90% very fine to fine grained arg/silty Sandstone, BG: 164U Fluorescence 70% moderately bright yellow green even to patchy.</t>
  </si>
  <si>
    <t>2085m 100% very fine grained , argillaceous/silty matrix Sandstone. BG: 168U Fluorescence 70% moderately bright yellow green. Note: silty/ argillaceous content easily washes from samples.</t>
  </si>
  <si>
    <t>2090m 20% med gry, brownish grey Siltstone. 80% very fine to fine, argillacous/silty matrix Sandstone. BG: 158U Fluorescence 60% of Sandstone moderately bright yellow green patchy.</t>
  </si>
  <si>
    <t>2095m 5% Siltstone, 95% very fine to fine grained silty Sandstone. BG 160U Fluorescence 60% dim to mod bright yellow green patchy.</t>
  </si>
  <si>
    <t>2100m 5% Siltstone, 95% very fine to fine grained silty Sandstone, BG 160U. Fluorescence 60% dim to moderately bright yellow green patchy. Note silt content easily washes from samples.</t>
  </si>
  <si>
    <t>2105m 5% Siltstone, 95% verfy fine grained Sandstone. BG: 150U Flourescence 60% moderately bright yellow green patchy.</t>
  </si>
  <si>
    <t>2110m 5% Siltstone. 95% veryf fine to fine grained Sandstone. BG: 170U Fluorescence 60% moderately bright yellow green patchy.</t>
  </si>
  <si>
    <t>2115m 100% very fine to fine grained Sandstone. BG: 186U Fluorescence 75% moderately bright yellow green patchy to even.</t>
  </si>
  <si>
    <t>2120m 100% very fine to medium, predominantly fine grained Sandstone. BG 179U Fluorescence 85% moderately bright yellow green patchy to even.</t>
  </si>
  <si>
    <t>2125m 100% very fine to medium, pred fine grained Sandstone. BG 188U Fluorescence 85% moderately bright yellow green patchy to even.</t>
  </si>
  <si>
    <t>2130m 5% Siltstone, 95% fine grained Sandstone. BG: 145U Fluorescence 80% moderately bright yellow green patchy to even.</t>
  </si>
  <si>
    <t>2135m 100% very fine to medium predominantly fine grained Sandstone: BG 145U Fluorescence 80% moderately bright yellow green patchy to even.</t>
  </si>
  <si>
    <t>2140m trace Siltstone, 100% very fine to medium, pred fine grained sandstone. BG 205U Fluorescence 95% moderately bright yellow green even to patchy.</t>
  </si>
  <si>
    <t>2145m 100% fine to medium grained Sandstone. BG 186U Fluorescence 100% bright yellow green even.</t>
  </si>
  <si>
    <t>2150m 100% fine to medium grained Sandstone. BG 186U Fluorescence 100% moderately right yellow green even.</t>
  </si>
  <si>
    <t>Sample 2155m: 5% Siltstone. 95% fine to medium, common loose Sandstone. TG: 182U. 100% bri fluor.</t>
  </si>
  <si>
    <t>Sample 2160m: 10% Siltstone. 90% very fine to fine, rare medium to coarse Sandstone. TG: 185U. 100% bri fluor.</t>
  </si>
  <si>
    <t>Sample 2165m: 10% Siltstone. 90% very fine to fine, rare medium to coarse Sandstone. TG: 243U. 100% bri fluor.</t>
  </si>
  <si>
    <t>Sample 2170m: 10% Siltstone. 90% very fine to fine, occasional to common medium to coarse Sandstone. TG: 221U. 100% bri fluor.</t>
  </si>
  <si>
    <t>Sample 2175m: 10% Siltstone. 90% very fine to fine, occasional to common medium to coarse Sandstone. TG: 200U. 100% bri fluor.</t>
  </si>
  <si>
    <t>Sample 2180m: 20% Siltstone. 80% very fine to fine, occasional to common medium to coarse Sandstone. TG: 195U. 100% bri fluor.</t>
  </si>
  <si>
    <t>Sample 2185m: 15% Siltstone. 85% very fine to coarse, abundant medium to coarse loose Sandstone. TG: 160U. 100% bri fluor.</t>
  </si>
  <si>
    <t>Sample 2190m: 20% Siltstone. 80% very fine to coarse, occasional to common medium to coarse loose Sandstone. TG: 120U. 60% bri fluor.</t>
  </si>
  <si>
    <t>2185 Murta Exit</t>
  </si>
  <si>
    <t>between 2185m and 2190m. We lose the loose sandstone. siltstone begins to increase. both oil and gas shows start to trend down</t>
  </si>
  <si>
    <t>Sample 2195m: 60% Siltstone. 40% very fine to coarse, occasional to common medium to coarse loose Sandstone. TG: 97U. 50% bri fluor.</t>
  </si>
  <si>
    <t>Sample 2200m: 50% Siltstone. 50% very fine to coarse, occasional to common medium to coarse loose Sandstone. TG: 100U. 40% bri fluor.</t>
  </si>
  <si>
    <t>Sample 2205m: 55% Siltstone. 45% very fine to fine, rare medium to coarse, occasional medium loose Sandstone. TG: 94U. 30% bri fluor.</t>
  </si>
  <si>
    <t>Sample 2210m: 55% Siltstone. 45% very fine to fine, rare medium to coarse, occasional medium loose Sandstone. TG: 112U. 10% bri fluor.</t>
  </si>
  <si>
    <t>Sample 2215m: 70% Siltstone. 30% very fine to fine, rare medium to coarse, occasional medium loose Sandstone. TG: 110U. 10% mod bri-dll fluor.</t>
  </si>
  <si>
    <t>11:45PM</t>
  </si>
  <si>
    <t>sandstone is grading to siltstone in part</t>
  </si>
  <si>
    <t>Sample 2220m: 60% Siltstone. 40% very fine to fine, Sandstone. TG: 85U. 20% mod bri-dll fluor.</t>
  </si>
  <si>
    <t>Sample 2225m: 60% Siltstone. 40% very fine to fine, Sandstone. TG: 88U. 40% mod bri-dll fluor.</t>
  </si>
  <si>
    <t>Sample 2230m: 50% Siltstone. 50% very fine to fine, Sandstone. TG: 80U. 40% mod bri-dll fluor.</t>
  </si>
  <si>
    <t>possible reentry from 2227mMD</t>
  </si>
  <si>
    <t>Sample 2235m: 60% Siltstone. 40% very fine to fine, Sandstone. TG: 83U. 30% mod bri-dll fluor.</t>
  </si>
  <si>
    <t>Sample 2240m: 70% Siltstone. 30% very fine to fine, trace loose Sandstone. TG: 103U. 20% mod bri-dll fluor.</t>
  </si>
  <si>
    <t>Sample 2245m: 50% Siltstone. 50% very fine to fine aggregates , common to occasional medium to coarse loose Sandstone. TG: 190U. 70% mod bri fluor.</t>
  </si>
  <si>
    <t>very clearly McKinlay sample</t>
  </si>
  <si>
    <t>Sample 2250m: 20% Siltstone80% very fine to fine aggregates, common to occasional medium to coarse loose Sandstone. TG: 195U. 100% mod bri fluor.</t>
  </si>
  <si>
    <t>We got 3/30 dls when we scraped and headed down . Azimuth got pushed left hard when we tried to drop restricting drop then inc fell pretty hard when drop finally came, cheers</t>
  </si>
  <si>
    <t>Sample 2255m: 15% Siltstone 85% very fine to fine aggregates, common to occasional medium to coarse loose Sandstone. TG: 158U. 100% mod bri fluor.</t>
  </si>
  <si>
    <t>Sample 2260m: 20% Siltstone 80% very fine to fine aggregates, common to occasional medium to coarse loose Sandstone. TG: 156U. 100% mod bri fluor.</t>
  </si>
  <si>
    <t>Sample 2265m: 30% Siltstone 70% very fine, minor loose Sandstone. TG: 132U. 80% bri fluor.</t>
  </si>
  <si>
    <t>sandstone grading to siltstone in part</t>
  </si>
  <si>
    <t>Sample 2270m: 40% Siltstone 60% very fine, minor loose Sandstone. TG: 118U. 40% bri fluor.</t>
  </si>
  <si>
    <t>Sample 2275m: 60% Siltstone 40% very fine Sandstone. TG: 115U. 70% mod bri fluor.</t>
  </si>
  <si>
    <t>Sample 2280m: 30% Siltstone 70% very fine to fine Sandstone. TG: 250U. 80% bri fluor.</t>
  </si>
  <si>
    <t>Sample 2285m: 10% Siltstone 90% very fine to fine, common loose Sandstone. TG: 230U. 100% bri fluor.</t>
  </si>
  <si>
    <t>Sample 2290m: 100% very fine to fine, abundant loose Sandstone. TG: 154U. 100% bri fluor.</t>
  </si>
  <si>
    <t>Sample 2295m: 10% Siltstone. 90% very fine to fine, minor loose Sandstone. TG: 116U. 100% bri fluor.</t>
  </si>
  <si>
    <t>Sandstone grading to aren siltstone</t>
  </si>
  <si>
    <t>Sample 2300m: 20% Siltstone. 80% very fine to fine Sandstone. TG: 138U. 100% bri fluor.</t>
  </si>
  <si>
    <t>Sample 2305m: 15% Siltstone. 85% very fine to fine Sandstone. TG: 128U. 100% bri fluor.</t>
  </si>
  <si>
    <t>Sample 2310m: 20% Siltstone. 80% very fine to fine Sandstone. TG: 145U. 100% bri fluor.</t>
  </si>
  <si>
    <t>Sample 2315m: 10% Siltstone. 90% very fine to fine Sandstone. TG: 185U. 100% bri fluor.</t>
  </si>
  <si>
    <t>Sample 2320m: 100% very fine to fine Sandstone. TG: 195U. 100% bri fluor.</t>
  </si>
  <si>
    <t>Sample 2325m: 100% very fine to fine Sandstone. TG: 185U. 100% bri fluor.</t>
  </si>
  <si>
    <t>Sample 2330m: 100% very fine to fine Sandstone. TG: 160U. 100% bri fluor.</t>
  </si>
  <si>
    <t>Sample 2335m: 100% very fine to fine Sandstone. TG: 147U. 100% bri fluor.</t>
  </si>
  <si>
    <t>Sample 2340m: 100% very fine to fine Sandstone, occasional to common loose. TG: 146U. 100% bri fluor.</t>
  </si>
  <si>
    <t>2345m tr Siltstone, 100% fine to medium grained Sandstone. BG 135U 100% moderately bright yellow green even.</t>
  </si>
  <si>
    <t>2350m Trace Siltstone, 100% fine to med grained, loose/dis-aggregated Sandstone. BG 120U Fluorescence 100% bright yellow green even, moderately fast bright yellow white streaming cut, thick yellow green ring to film residue.</t>
  </si>
  <si>
    <t>2355m 10% Siltstone, 90% fine to med grained Sandstone. BG 116U Fluorescence 80% moderately right yellow green patchy to even.</t>
  </si>
  <si>
    <t>2360m 20% Siltstone 80% fine grained Sandstone. BG: 100U Fluorescence 40% moderatel bright yellow green patchy.</t>
  </si>
  <si>
    <t>2365m 10% Siltstone, 90% fine grained Sandstone. BG 110U Fluorescence 80% mod bright yellow green even.</t>
  </si>
  <si>
    <t>2370m 20% Siltstone, 80% fine grained Sandstone. BG 90U Fluorescence 40% moderately bright yellow green patchy to even.</t>
  </si>
  <si>
    <t>2375m 25% Siltstone, 75% fine to medium grained Sandstone. BG 110U, Fluorescence 50% mod bright yellow green patchy.</t>
  </si>
  <si>
    <t>2380m 20% Siltstone, 80% fine to medium grained Sandstone. BG 80U, Fluorescence 30% dim to moderately bright yellow green patchy .</t>
  </si>
  <si>
    <t>2385m 10% Siltstone 90% fine to medium grained Sandstone, BG 115U Fluorescence 30% dim to moderately bright yellow green patchy to even.</t>
  </si>
  <si>
    <t>2390m 10% Siltstone 90% fine grained Sandstone, BG 85U 50% dim to moderately bright yellow green patchy to even.</t>
  </si>
  <si>
    <t>2395m 20% Siltstone, 80% fine grained Sandstone, BG 110Y Fluorescence 20% dim to mod bright yellow green patchy.</t>
  </si>
  <si>
    <t>2400m 20% Siltstone 80% fine to medium grained Sandstone. BG 115U Fluorescence, 30% moderately bright yellow green patchy.</t>
  </si>
  <si>
    <t>2405m 20% Siltstone, 80% fine grained Sandstone, BG 125U Fluorescence 30% moderately bright yellow green patchy.</t>
  </si>
  <si>
    <t>2410m 10% Siltstone, 90% fine to occasionally medium grained Sandstone. BG 110U Fluorescence, 70% moderately bright yellow green patchy to even.</t>
  </si>
  <si>
    <t>2415m 5% Siltstone, 95% fine grained Sandstone, BG 130U Fluorescence 50% moderately bright yellow green patchy.</t>
  </si>
  <si>
    <t>2417m 5% Siltstone, 95% fine grained Sandstone, BG 110U Fluorescence 70% dim to moderately bright yellow green patchy to even.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</si>
</sst>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m/d/yy;@"/>
    <numFmt numFmtId="166" formatCode="[$-F400]h:mm:ss\ AM/PM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charset val="1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1" fontId="0" fillId="0" borderId="2" xfId="1" applyNumberFormat="1" applyFont="1" applyBorder="1"/>
    <xf numFmtId="9" fontId="0" fillId="0" borderId="2" xfId="1" applyFont="1" applyBorder="1"/>
    <xf numFmtId="9" fontId="0" fillId="0" borderId="2" xfId="0" applyNumberFormat="1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1" fontId="0" fillId="0" borderId="2" xfId="0" applyNumberFormat="1" applyBorder="1"/>
    <xf numFmtId="0" fontId="2" fillId="0" borderId="2" xfId="0" applyFont="1" applyBorder="1" applyAlignment="1">
      <alignment vertical="center" wrapText="1"/>
    </xf>
    <xf numFmtId="9" fontId="0" fillId="0" borderId="2" xfId="1" applyNumberFormat="1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9" fontId="2" fillId="0" borderId="2" xfId="0" applyNumberFormat="1" applyFont="1" applyBorder="1" applyAlignment="1">
      <alignment vertical="center" wrapText="1"/>
    </xf>
    <xf numFmtId="0" fontId="3" fillId="0" borderId="0" xfId="0" applyFont="1"/>
    <xf numFmtId="2" fontId="0" fillId="0" borderId="0" xfId="0" applyNumberFormat="1"/>
    <xf numFmtId="0" fontId="2" fillId="0" borderId="2" xfId="0" applyFont="1" applyFill="1" applyBorder="1"/>
    <xf numFmtId="164" fontId="0" fillId="0" borderId="2" xfId="0" applyNumberFormat="1" applyFill="1" applyBorder="1"/>
    <xf numFmtId="0" fontId="0" fillId="0" borderId="2" xfId="0" applyFill="1" applyBorder="1"/>
    <xf numFmtId="9" fontId="0" fillId="0" borderId="2" xfId="0" applyNumberFormat="1" applyFill="1" applyBorder="1"/>
    <xf numFmtId="1" fontId="0" fillId="0" borderId="2" xfId="1" applyNumberFormat="1" applyFont="1" applyFill="1" applyBorder="1"/>
    <xf numFmtId="0" fontId="0" fillId="0" borderId="0" xfId="0" applyFill="1" applyBorder="1"/>
    <xf numFmtId="0" fontId="0" fillId="0" borderId="0" xfId="0" applyFill="1"/>
    <xf numFmtId="165" fontId="0" fillId="0" borderId="2" xfId="0" applyNumberFormat="1" applyBorder="1"/>
    <xf numFmtId="165" fontId="0" fillId="0" borderId="2" xfId="0" applyNumberFormat="1" applyFill="1" applyBorder="1"/>
    <xf numFmtId="165" fontId="0" fillId="0" borderId="2" xfId="0" applyNumberFormat="1" applyBorder="1" applyAlignment="1">
      <alignment horizontal="right"/>
    </xf>
    <xf numFmtId="0" fontId="4" fillId="0" borderId="0" xfId="0" applyFont="1" applyAlignment="1">
      <alignment wrapText="1"/>
    </xf>
    <xf numFmtId="166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7"/>
  <sheetViews>
    <sheetView tabSelected="1" zoomScale="90" zoomScaleNormal="90" workbookViewId="0">
      <pane ySplit="4" topLeftCell="A5" activePane="bottomLeft" state="frozen"/>
      <selection pane="bottomLeft" activeCell="O155" sqref="O155"/>
    </sheetView>
  </sheetViews>
  <sheetFormatPr defaultRowHeight="16.5" x14ac:dyDescent="0.45"/>
  <cols>
    <col min="1" max="1" width="98.453125" style="9" customWidth="1"/>
    <col min="2" max="2" width="9.81640625" style="26" bestFit="1" customWidth="1"/>
    <col min="3" max="3" width="11.81640625" style="4" bestFit="1" customWidth="1"/>
    <col min="4" max="4" width="15.1796875" style="5" customWidth="1"/>
    <col min="5" max="5" width="10" style="8" bestFit="1" customWidth="1"/>
    <col min="6" max="6" width="9.1796875" style="6"/>
    <col min="7" max="7" width="9.1796875" style="7"/>
    <col min="8" max="8" width="10.453125" style="8" bestFit="1" customWidth="1"/>
    <col min="9" max="13" width="9.1796875" style="5"/>
    <col min="14" max="14" width="9.1796875" style="15"/>
  </cols>
  <sheetData>
    <row r="1" spans="1:18" x14ac:dyDescent="0.45">
      <c r="G1" s="7" t="s">
        <v>0</v>
      </c>
      <c r="H1" s="13" t="s">
        <v>0</v>
      </c>
      <c r="J1" s="10" t="s">
        <v>1</v>
      </c>
      <c r="K1" s="10"/>
      <c r="L1" s="10" t="s">
        <v>2</v>
      </c>
      <c r="M1" s="10"/>
      <c r="N1" s="14"/>
      <c r="P1" t="s">
        <v>3</v>
      </c>
      <c r="R1" t="s">
        <v>4</v>
      </c>
    </row>
    <row r="2" spans="1:18" ht="12.5" x14ac:dyDescent="0.25">
      <c r="A2" s="31" t="s">
        <v>5</v>
      </c>
      <c r="B2" s="31"/>
      <c r="C2" s="31"/>
      <c r="D2" s="31"/>
      <c r="E2" s="31"/>
      <c r="F2" s="31"/>
      <c r="G2" s="7">
        <v>0.75</v>
      </c>
      <c r="H2" s="13">
        <v>0.5</v>
      </c>
      <c r="J2" s="5" t="s">
        <v>6</v>
      </c>
      <c r="K2" s="5" t="s">
        <v>7</v>
      </c>
      <c r="L2" s="5" t="s">
        <v>6</v>
      </c>
      <c r="M2" s="5" t="s">
        <v>7</v>
      </c>
      <c r="P2" s="1">
        <v>1770</v>
      </c>
      <c r="R2" s="2">
        <f>K3/$P$4</f>
        <v>0.73709428129829979</v>
      </c>
    </row>
    <row r="3" spans="1:18" ht="12.5" x14ac:dyDescent="0.25">
      <c r="A3" s="31" t="s">
        <v>8</v>
      </c>
      <c r="B3" s="31"/>
      <c r="C3" s="31"/>
      <c r="D3" s="31"/>
      <c r="E3" s="31"/>
      <c r="F3" s="31"/>
      <c r="G3" s="7">
        <v>0.55000000000000004</v>
      </c>
      <c r="H3" s="13">
        <v>0.01</v>
      </c>
      <c r="J3" s="5">
        <f>SUM(J5:J297)</f>
        <v>517</v>
      </c>
      <c r="K3" s="5">
        <f>SUM(K5:K297)</f>
        <v>476.9</v>
      </c>
      <c r="L3" s="5">
        <f>SUM(L5:L297)</f>
        <v>587</v>
      </c>
      <c r="M3" s="5">
        <f>SUM(M5:M297)</f>
        <v>529.4</v>
      </c>
      <c r="P3" t="s">
        <v>9</v>
      </c>
      <c r="R3" t="s">
        <v>10</v>
      </c>
    </row>
    <row r="4" spans="1:18" x14ac:dyDescent="0.45">
      <c r="A4" s="9" t="s">
        <v>11</v>
      </c>
      <c r="B4" s="26" t="s">
        <v>12</v>
      </c>
      <c r="C4" s="4" t="s">
        <v>13</v>
      </c>
      <c r="D4" s="5" t="s">
        <v>14</v>
      </c>
      <c r="E4" s="8" t="s">
        <v>15</v>
      </c>
      <c r="F4" s="11" t="s">
        <v>16</v>
      </c>
      <c r="G4" s="7" t="s">
        <v>17</v>
      </c>
      <c r="H4" s="13" t="s">
        <v>18</v>
      </c>
      <c r="I4" s="5" t="s">
        <v>19</v>
      </c>
      <c r="J4" s="5" t="s">
        <v>20</v>
      </c>
      <c r="L4" s="5" t="s">
        <v>20</v>
      </c>
      <c r="P4" s="3">
        <f>MAX(D5:D1048576)-P2</f>
        <v>647</v>
      </c>
      <c r="R4" s="2">
        <f>M3/$P$4</f>
        <v>0.8182380216383307</v>
      </c>
    </row>
    <row r="5" spans="1:18" x14ac:dyDescent="0.45">
      <c r="A5" s="17" t="s">
        <v>21</v>
      </c>
      <c r="B5" s="26">
        <v>44236</v>
      </c>
      <c r="C5" s="4">
        <v>0.46666666666666662</v>
      </c>
      <c r="D5" s="12">
        <v>1685</v>
      </c>
      <c r="E5" s="16">
        <v>0.2</v>
      </c>
      <c r="F5" s="11">
        <v>0</v>
      </c>
      <c r="G5" s="7">
        <v>0.1</v>
      </c>
      <c r="H5" s="13">
        <v>0</v>
      </c>
      <c r="I5" s="5">
        <v>0</v>
      </c>
      <c r="J5" s="5">
        <f t="shared" ref="J5:J66" si="0">IF(AND(G5&gt;=$G$2,H5&gt;=$H$2),I5,0)</f>
        <v>0</v>
      </c>
      <c r="K5" s="5">
        <f t="shared" ref="K5:K68" si="1">IF(J5&gt;0,J5*G5,0)</f>
        <v>0</v>
      </c>
      <c r="L5" s="5">
        <f t="shared" ref="L5:L67" si="2">IF(AND(G5&gt;=$G$3,H5&gt;=$H$3),I5,0)</f>
        <v>0</v>
      </c>
      <c r="M5" s="5">
        <f t="shared" ref="M5:M68" si="3">IF(L5&gt;0,L5*G5,0)</f>
        <v>0</v>
      </c>
    </row>
    <row r="6" spans="1:18" x14ac:dyDescent="0.25">
      <c r="A6" s="12" t="s">
        <v>22</v>
      </c>
      <c r="B6" s="26">
        <v>44236</v>
      </c>
      <c r="C6" s="4">
        <v>0.48055555555555557</v>
      </c>
      <c r="D6" s="12">
        <v>1690</v>
      </c>
      <c r="E6" s="16">
        <v>0.7</v>
      </c>
      <c r="F6" s="11">
        <v>0</v>
      </c>
      <c r="G6" s="7">
        <f t="shared" ref="G6:G67" si="4">100%-E6</f>
        <v>0.30000000000000004</v>
      </c>
      <c r="H6" s="13">
        <v>0</v>
      </c>
      <c r="I6" s="5">
        <f t="shared" ref="I6:I67" si="5">IF(D6&lt;&gt;"",D6-D5,"")</f>
        <v>5</v>
      </c>
      <c r="J6" s="5">
        <f t="shared" si="0"/>
        <v>0</v>
      </c>
      <c r="K6" s="5">
        <f t="shared" si="1"/>
        <v>0</v>
      </c>
      <c r="L6" s="5">
        <f t="shared" si="2"/>
        <v>0</v>
      </c>
      <c r="M6" s="5">
        <f t="shared" si="3"/>
        <v>0</v>
      </c>
    </row>
    <row r="7" spans="1:18" x14ac:dyDescent="0.45">
      <c r="A7" s="29" t="s">
        <v>23</v>
      </c>
      <c r="B7" s="26">
        <v>44236</v>
      </c>
      <c r="C7" s="4">
        <v>0.52430555555555558</v>
      </c>
      <c r="D7" s="5">
        <v>1695</v>
      </c>
      <c r="E7" s="8">
        <v>0.6</v>
      </c>
      <c r="F7" s="6">
        <v>0</v>
      </c>
      <c r="G7" s="7">
        <f t="shared" si="4"/>
        <v>0.4</v>
      </c>
      <c r="H7" s="8">
        <v>0</v>
      </c>
      <c r="I7" s="5">
        <f t="shared" si="5"/>
        <v>5</v>
      </c>
      <c r="J7" s="5">
        <f t="shared" si="0"/>
        <v>0</v>
      </c>
      <c r="K7" s="5">
        <f t="shared" si="1"/>
        <v>0</v>
      </c>
      <c r="L7" s="5">
        <f t="shared" si="2"/>
        <v>0</v>
      </c>
      <c r="M7" s="5">
        <f t="shared" si="3"/>
        <v>0</v>
      </c>
    </row>
    <row r="8" spans="1:18" x14ac:dyDescent="0.45">
      <c r="A8" s="29" t="s">
        <v>24</v>
      </c>
      <c r="B8" s="26">
        <v>44236</v>
      </c>
      <c r="C8" s="4">
        <v>0.52569444444444446</v>
      </c>
      <c r="D8" s="5">
        <v>1700</v>
      </c>
      <c r="E8" s="8">
        <v>0.5</v>
      </c>
      <c r="F8" s="6">
        <v>0</v>
      </c>
      <c r="G8" s="7">
        <f t="shared" si="4"/>
        <v>0.5</v>
      </c>
      <c r="H8" s="8">
        <v>0</v>
      </c>
      <c r="I8" s="5">
        <f t="shared" si="5"/>
        <v>5</v>
      </c>
      <c r="J8" s="5">
        <f t="shared" si="0"/>
        <v>0</v>
      </c>
      <c r="K8" s="5">
        <f t="shared" si="1"/>
        <v>0</v>
      </c>
      <c r="L8" s="5">
        <f t="shared" si="2"/>
        <v>0</v>
      </c>
      <c r="M8" s="5">
        <f t="shared" si="3"/>
        <v>0</v>
      </c>
    </row>
    <row r="9" spans="1:18" x14ac:dyDescent="0.45">
      <c r="A9" s="29" t="s">
        <v>25</v>
      </c>
      <c r="B9" s="26">
        <v>44236</v>
      </c>
      <c r="C9" s="4">
        <v>0.53749999999999998</v>
      </c>
      <c r="D9" s="5">
        <v>1705</v>
      </c>
      <c r="E9" s="8">
        <v>0.6</v>
      </c>
      <c r="F9" s="6">
        <v>0</v>
      </c>
      <c r="G9" s="7">
        <f t="shared" si="4"/>
        <v>0.4</v>
      </c>
      <c r="H9" s="8">
        <v>0</v>
      </c>
      <c r="I9" s="5">
        <f t="shared" si="5"/>
        <v>5</v>
      </c>
      <c r="J9" s="5">
        <f t="shared" si="0"/>
        <v>0</v>
      </c>
      <c r="K9" s="5">
        <f t="shared" si="1"/>
        <v>0</v>
      </c>
      <c r="L9" s="5">
        <f t="shared" si="2"/>
        <v>0</v>
      </c>
      <c r="M9" s="5">
        <f t="shared" si="3"/>
        <v>0</v>
      </c>
    </row>
    <row r="10" spans="1:18" x14ac:dyDescent="0.45">
      <c r="A10" s="29" t="s">
        <v>26</v>
      </c>
      <c r="B10" s="26">
        <v>44236</v>
      </c>
      <c r="C10" s="4">
        <v>0.55694444444444446</v>
      </c>
      <c r="D10" s="5">
        <v>1710</v>
      </c>
      <c r="E10" s="8">
        <v>0.6</v>
      </c>
      <c r="F10" s="6">
        <v>0</v>
      </c>
      <c r="G10" s="7">
        <f t="shared" si="4"/>
        <v>0.4</v>
      </c>
      <c r="H10" s="8">
        <v>0</v>
      </c>
      <c r="I10" s="5">
        <f t="shared" si="5"/>
        <v>5</v>
      </c>
      <c r="J10" s="5">
        <f t="shared" si="0"/>
        <v>0</v>
      </c>
      <c r="K10" s="5">
        <f t="shared" si="1"/>
        <v>0</v>
      </c>
      <c r="L10" s="5">
        <f t="shared" si="2"/>
        <v>0</v>
      </c>
      <c r="M10" s="5">
        <f t="shared" si="3"/>
        <v>0</v>
      </c>
    </row>
    <row r="11" spans="1:18" x14ac:dyDescent="0.45">
      <c r="A11" s="29" t="s">
        <v>27</v>
      </c>
      <c r="B11" s="26">
        <v>44236</v>
      </c>
      <c r="C11" s="4">
        <v>0.58680555555555558</v>
      </c>
      <c r="D11" s="5">
        <v>1715</v>
      </c>
      <c r="E11" s="8">
        <v>0.8</v>
      </c>
      <c r="F11" s="6">
        <v>0</v>
      </c>
      <c r="G11" s="7">
        <f t="shared" si="4"/>
        <v>0.19999999999999996</v>
      </c>
      <c r="H11" s="8">
        <v>0</v>
      </c>
      <c r="I11" s="5">
        <f t="shared" si="5"/>
        <v>5</v>
      </c>
      <c r="J11" s="5">
        <f t="shared" si="0"/>
        <v>0</v>
      </c>
      <c r="K11" s="5">
        <f t="shared" si="1"/>
        <v>0</v>
      </c>
      <c r="L11" s="5">
        <f t="shared" si="2"/>
        <v>0</v>
      </c>
      <c r="M11" s="5">
        <f t="shared" si="3"/>
        <v>0</v>
      </c>
    </row>
    <row r="12" spans="1:18" x14ac:dyDescent="0.45">
      <c r="A12" s="29" t="s">
        <v>28</v>
      </c>
      <c r="B12" s="26">
        <v>44236</v>
      </c>
      <c r="C12" s="4">
        <v>0.59791666666666665</v>
      </c>
      <c r="D12" s="5">
        <v>1720</v>
      </c>
      <c r="E12" s="8">
        <v>0.8</v>
      </c>
      <c r="F12" s="6">
        <v>0</v>
      </c>
      <c r="G12" s="7">
        <f t="shared" si="4"/>
        <v>0.19999999999999996</v>
      </c>
      <c r="H12" s="8">
        <v>0</v>
      </c>
      <c r="I12" s="5">
        <f t="shared" si="5"/>
        <v>5</v>
      </c>
      <c r="J12" s="5">
        <f t="shared" si="0"/>
        <v>0</v>
      </c>
      <c r="K12" s="5">
        <f t="shared" si="1"/>
        <v>0</v>
      </c>
      <c r="L12" s="5">
        <f t="shared" si="2"/>
        <v>0</v>
      </c>
      <c r="M12" s="5">
        <f t="shared" si="3"/>
        <v>0</v>
      </c>
    </row>
    <row r="13" spans="1:18" x14ac:dyDescent="0.45">
      <c r="A13" s="29" t="s">
        <v>29</v>
      </c>
      <c r="B13" s="26">
        <v>44236</v>
      </c>
      <c r="C13" s="4">
        <v>0.62986111111111109</v>
      </c>
      <c r="D13" s="5">
        <f>D12+5</f>
        <v>1725</v>
      </c>
      <c r="E13" s="8">
        <v>0.7</v>
      </c>
      <c r="F13" s="6">
        <v>0</v>
      </c>
      <c r="G13" s="7">
        <f t="shared" si="4"/>
        <v>0.30000000000000004</v>
      </c>
      <c r="H13" s="8">
        <v>0</v>
      </c>
      <c r="I13" s="5">
        <f t="shared" si="5"/>
        <v>5</v>
      </c>
      <c r="J13" s="5">
        <f t="shared" si="0"/>
        <v>0</v>
      </c>
      <c r="K13" s="5">
        <f t="shared" si="1"/>
        <v>0</v>
      </c>
      <c r="L13" s="5">
        <f t="shared" si="2"/>
        <v>0</v>
      </c>
      <c r="M13" s="5">
        <f t="shared" si="3"/>
        <v>0</v>
      </c>
    </row>
    <row r="14" spans="1:18" x14ac:dyDescent="0.45">
      <c r="A14" s="29" t="s">
        <v>30</v>
      </c>
      <c r="B14" s="26">
        <v>44236</v>
      </c>
      <c r="C14" s="4">
        <v>0.12986111111111112</v>
      </c>
      <c r="D14" s="5">
        <f t="shared" ref="D14:D29" si="6">D13+5</f>
        <v>1730</v>
      </c>
      <c r="E14" s="8">
        <v>0.5</v>
      </c>
      <c r="F14" s="6">
        <v>0</v>
      </c>
      <c r="G14" s="7">
        <f t="shared" si="4"/>
        <v>0.5</v>
      </c>
      <c r="H14" s="8">
        <v>0</v>
      </c>
      <c r="I14" s="5">
        <f t="shared" si="5"/>
        <v>5</v>
      </c>
      <c r="J14" s="5">
        <f t="shared" si="0"/>
        <v>0</v>
      </c>
      <c r="K14" s="5">
        <f t="shared" si="1"/>
        <v>0</v>
      </c>
      <c r="L14" s="5">
        <f t="shared" si="2"/>
        <v>0</v>
      </c>
      <c r="M14" s="5">
        <f t="shared" si="3"/>
        <v>0</v>
      </c>
    </row>
    <row r="15" spans="1:18" x14ac:dyDescent="0.45">
      <c r="A15" s="29" t="s">
        <v>31</v>
      </c>
      <c r="B15" s="26">
        <v>44236</v>
      </c>
      <c r="C15" s="4">
        <v>0.63680555555555551</v>
      </c>
      <c r="D15" s="5">
        <f t="shared" si="6"/>
        <v>1735</v>
      </c>
      <c r="E15" s="8">
        <v>0.6</v>
      </c>
      <c r="F15" s="6">
        <v>0</v>
      </c>
      <c r="G15" s="7">
        <f t="shared" si="4"/>
        <v>0.4</v>
      </c>
      <c r="H15" s="8">
        <v>0</v>
      </c>
      <c r="I15" s="5">
        <f t="shared" si="5"/>
        <v>5</v>
      </c>
      <c r="J15" s="5">
        <f t="shared" si="0"/>
        <v>0</v>
      </c>
      <c r="K15" s="5">
        <f t="shared" si="1"/>
        <v>0</v>
      </c>
      <c r="L15" s="5">
        <f t="shared" si="2"/>
        <v>0</v>
      </c>
      <c r="M15" s="5">
        <f t="shared" si="3"/>
        <v>0</v>
      </c>
    </row>
    <row r="16" spans="1:18" x14ac:dyDescent="0.45">
      <c r="A16" s="29" t="s">
        <v>32</v>
      </c>
      <c r="B16" s="26">
        <v>44236</v>
      </c>
      <c r="C16" s="4">
        <v>0.6777777777777777</v>
      </c>
      <c r="D16" s="5">
        <f t="shared" si="6"/>
        <v>1740</v>
      </c>
      <c r="E16" s="8">
        <v>0.4</v>
      </c>
      <c r="F16" s="6">
        <v>0</v>
      </c>
      <c r="G16" s="7">
        <f t="shared" si="4"/>
        <v>0.6</v>
      </c>
      <c r="H16" s="8">
        <v>0</v>
      </c>
      <c r="I16" s="5">
        <f t="shared" si="5"/>
        <v>5</v>
      </c>
      <c r="J16" s="5">
        <f t="shared" si="0"/>
        <v>0</v>
      </c>
      <c r="K16" s="5">
        <f t="shared" si="1"/>
        <v>0</v>
      </c>
      <c r="L16" s="5">
        <f t="shared" si="2"/>
        <v>0</v>
      </c>
      <c r="M16" s="5">
        <f t="shared" si="3"/>
        <v>0</v>
      </c>
    </row>
    <row r="17" spans="1:14" x14ac:dyDescent="0.45">
      <c r="A17" s="29" t="s">
        <v>33</v>
      </c>
      <c r="B17" s="26">
        <v>44236</v>
      </c>
      <c r="C17" s="4">
        <v>0.68958333333333333</v>
      </c>
      <c r="D17" s="5">
        <f t="shared" si="6"/>
        <v>1745</v>
      </c>
      <c r="E17" s="8">
        <v>0.6</v>
      </c>
      <c r="F17" s="6">
        <v>0</v>
      </c>
      <c r="G17" s="7">
        <f t="shared" si="4"/>
        <v>0.4</v>
      </c>
      <c r="H17" s="8">
        <v>0</v>
      </c>
      <c r="I17" s="5">
        <f t="shared" si="5"/>
        <v>5</v>
      </c>
      <c r="J17" s="5">
        <f t="shared" si="0"/>
        <v>0</v>
      </c>
      <c r="K17" s="5">
        <f t="shared" si="1"/>
        <v>0</v>
      </c>
      <c r="L17" s="5">
        <f t="shared" si="2"/>
        <v>0</v>
      </c>
      <c r="M17" s="5">
        <f t="shared" si="3"/>
        <v>0</v>
      </c>
    </row>
    <row r="18" spans="1:14" ht="20.25" customHeight="1" x14ac:dyDescent="0.45">
      <c r="A18" s="29" t="s">
        <v>34</v>
      </c>
      <c r="B18" s="26">
        <v>44236</v>
      </c>
      <c r="C18" s="4">
        <v>0.68958333333333333</v>
      </c>
      <c r="D18" s="5">
        <f t="shared" si="6"/>
        <v>1750</v>
      </c>
      <c r="E18" s="8">
        <v>0.7</v>
      </c>
      <c r="F18" s="6">
        <v>0</v>
      </c>
      <c r="G18" s="7">
        <f t="shared" si="4"/>
        <v>0.30000000000000004</v>
      </c>
      <c r="H18" s="8">
        <v>0</v>
      </c>
      <c r="I18" s="5">
        <f t="shared" si="5"/>
        <v>5</v>
      </c>
      <c r="J18" s="5">
        <f t="shared" si="0"/>
        <v>0</v>
      </c>
      <c r="K18" s="5">
        <f t="shared" si="1"/>
        <v>0</v>
      </c>
      <c r="L18" s="5">
        <f t="shared" si="2"/>
        <v>0</v>
      </c>
      <c r="M18" s="5">
        <f t="shared" si="3"/>
        <v>0</v>
      </c>
    </row>
    <row r="19" spans="1:14" ht="33.75" customHeight="1" x14ac:dyDescent="0.45">
      <c r="A19" s="29" t="s">
        <v>35</v>
      </c>
      <c r="B19" s="26">
        <v>44236</v>
      </c>
      <c r="C19" s="4">
        <v>0.7055555555555556</v>
      </c>
      <c r="D19" s="5">
        <f t="shared" si="6"/>
        <v>1755</v>
      </c>
      <c r="E19" s="8">
        <v>0.2</v>
      </c>
      <c r="F19" s="6">
        <v>0</v>
      </c>
      <c r="G19" s="7">
        <f t="shared" si="4"/>
        <v>0.8</v>
      </c>
      <c r="H19" s="8">
        <v>0</v>
      </c>
      <c r="I19" s="5">
        <f t="shared" si="5"/>
        <v>5</v>
      </c>
      <c r="J19" s="5">
        <f t="shared" si="0"/>
        <v>0</v>
      </c>
      <c r="K19" s="5">
        <f t="shared" si="1"/>
        <v>0</v>
      </c>
      <c r="L19" s="5">
        <f t="shared" si="2"/>
        <v>0</v>
      </c>
      <c r="M19" s="5">
        <f t="shared" si="3"/>
        <v>0</v>
      </c>
    </row>
    <row r="20" spans="1:14" ht="34.5" customHeight="1" x14ac:dyDescent="0.45">
      <c r="A20" s="29" t="s">
        <v>36</v>
      </c>
      <c r="B20" s="26">
        <v>44236</v>
      </c>
      <c r="C20" s="4">
        <v>0.72430555555555554</v>
      </c>
      <c r="D20" s="5">
        <f t="shared" si="6"/>
        <v>1760</v>
      </c>
      <c r="E20" s="8">
        <v>0.7</v>
      </c>
      <c r="F20" s="6">
        <v>0</v>
      </c>
      <c r="G20" s="7">
        <f t="shared" si="4"/>
        <v>0.30000000000000004</v>
      </c>
      <c r="H20" s="8">
        <v>0</v>
      </c>
      <c r="I20" s="5">
        <f t="shared" si="5"/>
        <v>5</v>
      </c>
      <c r="J20" s="5">
        <f t="shared" si="0"/>
        <v>0</v>
      </c>
      <c r="K20" s="5">
        <f t="shared" si="1"/>
        <v>0</v>
      </c>
      <c r="L20" s="5">
        <f t="shared" si="2"/>
        <v>0</v>
      </c>
      <c r="M20" s="5">
        <f t="shared" si="3"/>
        <v>0</v>
      </c>
    </row>
    <row r="21" spans="1:14" s="25" customFormat="1" ht="33" x14ac:dyDescent="0.45">
      <c r="A21" s="29" t="s">
        <v>37</v>
      </c>
      <c r="B21" s="26">
        <v>44236</v>
      </c>
      <c r="C21" s="20">
        <v>0.74444444444444446</v>
      </c>
      <c r="D21" s="5">
        <f t="shared" si="6"/>
        <v>1765</v>
      </c>
      <c r="E21" s="22">
        <v>0.5</v>
      </c>
      <c r="F21" s="23">
        <v>11</v>
      </c>
      <c r="G21" s="7">
        <f t="shared" si="4"/>
        <v>0.5</v>
      </c>
      <c r="H21" s="22">
        <v>0</v>
      </c>
      <c r="I21" s="21">
        <f t="shared" si="5"/>
        <v>5</v>
      </c>
      <c r="J21" s="21">
        <f t="shared" si="0"/>
        <v>0</v>
      </c>
      <c r="K21" s="21">
        <f t="shared" si="1"/>
        <v>0</v>
      </c>
      <c r="L21" s="21">
        <f t="shared" si="2"/>
        <v>0</v>
      </c>
      <c r="M21" s="21">
        <f t="shared" si="3"/>
        <v>0</v>
      </c>
      <c r="N21" s="24"/>
    </row>
    <row r="22" spans="1:14" ht="33" x14ac:dyDescent="0.45">
      <c r="A22" s="29" t="s">
        <v>38</v>
      </c>
      <c r="B22" s="26">
        <v>44236</v>
      </c>
      <c r="C22" s="4">
        <v>0.75138888888888899</v>
      </c>
      <c r="D22" s="5">
        <f t="shared" si="6"/>
        <v>1770</v>
      </c>
      <c r="E22" s="8">
        <v>0.2</v>
      </c>
      <c r="F22" s="6">
        <v>11</v>
      </c>
      <c r="G22" s="7">
        <f t="shared" si="4"/>
        <v>0.8</v>
      </c>
      <c r="H22" s="8">
        <v>0.01</v>
      </c>
      <c r="I22" s="5">
        <f t="shared" si="5"/>
        <v>5</v>
      </c>
      <c r="J22" s="5">
        <f t="shared" si="0"/>
        <v>0</v>
      </c>
      <c r="K22" s="5">
        <f t="shared" si="1"/>
        <v>0</v>
      </c>
      <c r="L22" s="5">
        <f t="shared" si="2"/>
        <v>5</v>
      </c>
      <c r="M22" s="5">
        <f t="shared" si="3"/>
        <v>4</v>
      </c>
    </row>
    <row r="23" spans="1:14" x14ac:dyDescent="0.45">
      <c r="A23" s="29" t="s">
        <v>39</v>
      </c>
      <c r="B23" s="26">
        <v>44236</v>
      </c>
      <c r="C23" s="4">
        <v>0.76666666666666661</v>
      </c>
      <c r="D23" s="5">
        <f t="shared" si="6"/>
        <v>1775</v>
      </c>
      <c r="E23" s="8">
        <v>0.5</v>
      </c>
      <c r="F23" s="6">
        <v>15</v>
      </c>
      <c r="G23" s="7">
        <f t="shared" si="4"/>
        <v>0.5</v>
      </c>
      <c r="H23" s="8">
        <v>0.01</v>
      </c>
      <c r="I23" s="5">
        <f t="shared" si="5"/>
        <v>5</v>
      </c>
      <c r="J23" s="5">
        <f t="shared" si="0"/>
        <v>0</v>
      </c>
      <c r="K23" s="5">
        <f t="shared" si="1"/>
        <v>0</v>
      </c>
      <c r="L23" s="5">
        <f t="shared" si="2"/>
        <v>0</v>
      </c>
      <c r="M23" s="5">
        <f t="shared" si="3"/>
        <v>0</v>
      </c>
    </row>
    <row r="24" spans="1:14" x14ac:dyDescent="0.45">
      <c r="A24" s="29" t="s">
        <v>40</v>
      </c>
      <c r="B24" s="26">
        <v>44236</v>
      </c>
      <c r="C24" s="4">
        <v>0.7909722222222223</v>
      </c>
      <c r="D24" s="5">
        <f t="shared" si="6"/>
        <v>1780</v>
      </c>
      <c r="E24" s="8">
        <v>0.4</v>
      </c>
      <c r="F24" s="6">
        <v>92</v>
      </c>
      <c r="G24" s="7">
        <f t="shared" si="4"/>
        <v>0.6</v>
      </c>
      <c r="H24" s="8">
        <v>0.1</v>
      </c>
      <c r="I24" s="5">
        <f t="shared" si="5"/>
        <v>5</v>
      </c>
      <c r="J24" s="5">
        <f t="shared" si="0"/>
        <v>0</v>
      </c>
      <c r="K24" s="5">
        <f t="shared" si="1"/>
        <v>0</v>
      </c>
      <c r="L24" s="5">
        <f t="shared" si="2"/>
        <v>5</v>
      </c>
      <c r="M24" s="5">
        <f t="shared" si="3"/>
        <v>3</v>
      </c>
      <c r="N24" s="15" t="s">
        <v>41</v>
      </c>
    </row>
    <row r="25" spans="1:14" ht="33" x14ac:dyDescent="0.45">
      <c r="A25" s="29" t="s">
        <v>42</v>
      </c>
      <c r="B25" s="26">
        <v>44236</v>
      </c>
      <c r="C25" s="4">
        <v>0.8027777777777777</v>
      </c>
      <c r="D25" s="5">
        <f t="shared" si="6"/>
        <v>1785</v>
      </c>
      <c r="E25" s="8">
        <v>0.3</v>
      </c>
      <c r="F25" s="6">
        <v>96</v>
      </c>
      <c r="G25" s="7">
        <f t="shared" si="4"/>
        <v>0.7</v>
      </c>
      <c r="H25" s="8">
        <v>0.8</v>
      </c>
      <c r="I25" s="5">
        <f t="shared" si="5"/>
        <v>5</v>
      </c>
      <c r="J25" s="5">
        <f t="shared" si="0"/>
        <v>0</v>
      </c>
      <c r="K25" s="5">
        <f t="shared" si="1"/>
        <v>0</v>
      </c>
      <c r="L25" s="5">
        <f t="shared" si="2"/>
        <v>5</v>
      </c>
      <c r="M25" s="5">
        <f t="shared" si="3"/>
        <v>3.5</v>
      </c>
    </row>
    <row r="26" spans="1:14" ht="33" x14ac:dyDescent="0.45">
      <c r="A26" s="29" t="s">
        <v>43</v>
      </c>
      <c r="B26" s="26">
        <v>44236</v>
      </c>
      <c r="C26" s="4">
        <v>0.81805555555555554</v>
      </c>
      <c r="D26" s="5">
        <f t="shared" si="6"/>
        <v>1790</v>
      </c>
      <c r="E26" s="8">
        <v>0.2</v>
      </c>
      <c r="F26" s="6">
        <v>84</v>
      </c>
      <c r="G26" s="7">
        <f t="shared" si="4"/>
        <v>0.8</v>
      </c>
      <c r="H26" s="8">
        <v>1</v>
      </c>
      <c r="I26" s="5">
        <f t="shared" si="5"/>
        <v>5</v>
      </c>
      <c r="J26" s="5">
        <f t="shared" si="0"/>
        <v>5</v>
      </c>
      <c r="K26" s="5">
        <f t="shared" si="1"/>
        <v>4</v>
      </c>
      <c r="L26" s="5">
        <f t="shared" si="2"/>
        <v>5</v>
      </c>
      <c r="M26" s="5">
        <f t="shared" si="3"/>
        <v>4</v>
      </c>
    </row>
    <row r="27" spans="1:14" ht="33" x14ac:dyDescent="0.45">
      <c r="A27" s="29" t="s">
        <v>44</v>
      </c>
      <c r="B27" s="26">
        <v>44236</v>
      </c>
      <c r="C27" s="4">
        <v>0.83819444444444446</v>
      </c>
      <c r="D27" s="5">
        <f t="shared" si="6"/>
        <v>1795</v>
      </c>
      <c r="E27" s="8">
        <v>0.2</v>
      </c>
      <c r="F27" s="6">
        <v>87</v>
      </c>
      <c r="G27" s="7">
        <f t="shared" si="4"/>
        <v>0.8</v>
      </c>
      <c r="H27" s="8">
        <v>1</v>
      </c>
      <c r="I27" s="5">
        <f t="shared" si="5"/>
        <v>5</v>
      </c>
      <c r="J27" s="5">
        <f t="shared" si="0"/>
        <v>5</v>
      </c>
      <c r="K27" s="5">
        <f t="shared" si="1"/>
        <v>4</v>
      </c>
      <c r="L27" s="5">
        <f t="shared" si="2"/>
        <v>5</v>
      </c>
      <c r="M27" s="5">
        <f t="shared" si="3"/>
        <v>4</v>
      </c>
    </row>
    <row r="28" spans="1:14" ht="33" x14ac:dyDescent="0.45">
      <c r="A28" s="29" t="s">
        <v>45</v>
      </c>
      <c r="B28" s="26">
        <v>44236</v>
      </c>
      <c r="C28" s="4">
        <v>0.85486111111111107</v>
      </c>
      <c r="D28" s="5">
        <f t="shared" si="6"/>
        <v>1800</v>
      </c>
      <c r="E28" s="8">
        <v>0.15</v>
      </c>
      <c r="F28" s="6">
        <v>82</v>
      </c>
      <c r="G28" s="7">
        <f t="shared" si="4"/>
        <v>0.85</v>
      </c>
      <c r="H28" s="8">
        <v>1</v>
      </c>
      <c r="I28" s="5">
        <f t="shared" si="5"/>
        <v>5</v>
      </c>
      <c r="J28" s="5">
        <f t="shared" si="0"/>
        <v>5</v>
      </c>
      <c r="K28" s="5">
        <f t="shared" si="1"/>
        <v>4.25</v>
      </c>
      <c r="L28" s="5">
        <f t="shared" si="2"/>
        <v>5</v>
      </c>
      <c r="M28" s="5">
        <f t="shared" si="3"/>
        <v>4.25</v>
      </c>
    </row>
    <row r="29" spans="1:14" ht="33" x14ac:dyDescent="0.45">
      <c r="A29" s="29" t="s">
        <v>46</v>
      </c>
      <c r="B29" s="26">
        <v>44236</v>
      </c>
      <c r="C29" s="4">
        <v>0.86805555555555547</v>
      </c>
      <c r="D29" s="5">
        <f t="shared" si="6"/>
        <v>1805</v>
      </c>
      <c r="E29" s="8">
        <v>0.1</v>
      </c>
      <c r="F29" s="6">
        <v>74</v>
      </c>
      <c r="G29" s="7">
        <f t="shared" si="4"/>
        <v>0.9</v>
      </c>
      <c r="H29" s="8">
        <v>0.9</v>
      </c>
      <c r="I29" s="5">
        <f t="shared" si="5"/>
        <v>5</v>
      </c>
      <c r="J29" s="5">
        <f t="shared" si="0"/>
        <v>5</v>
      </c>
      <c r="K29" s="5">
        <f t="shared" si="1"/>
        <v>4.5</v>
      </c>
      <c r="L29" s="5">
        <f t="shared" si="2"/>
        <v>5</v>
      </c>
      <c r="M29" s="5">
        <f t="shared" si="3"/>
        <v>4.5</v>
      </c>
    </row>
    <row r="30" spans="1:14" ht="33" x14ac:dyDescent="0.45">
      <c r="A30" s="29" t="s">
        <v>47</v>
      </c>
      <c r="B30" s="26">
        <v>44236</v>
      </c>
      <c r="C30" s="4">
        <v>0.88194444444444453</v>
      </c>
      <c r="D30" s="5">
        <v>1810</v>
      </c>
      <c r="E30" s="8">
        <v>0.1</v>
      </c>
      <c r="F30" s="6">
        <v>87</v>
      </c>
      <c r="G30" s="7">
        <f t="shared" si="4"/>
        <v>0.9</v>
      </c>
      <c r="H30" s="8">
        <v>0.9</v>
      </c>
      <c r="I30" s="5">
        <f t="shared" si="5"/>
        <v>5</v>
      </c>
      <c r="J30" s="5">
        <f t="shared" si="0"/>
        <v>5</v>
      </c>
      <c r="K30" s="5">
        <f t="shared" si="1"/>
        <v>4.5</v>
      </c>
      <c r="L30" s="5">
        <f t="shared" si="2"/>
        <v>5</v>
      </c>
      <c r="M30" s="5">
        <f t="shared" si="3"/>
        <v>4.5</v>
      </c>
    </row>
    <row r="31" spans="1:14" s="25" customFormat="1" x14ac:dyDescent="0.45">
      <c r="A31" s="29" t="s">
        <v>48</v>
      </c>
      <c r="B31" s="26">
        <v>44236</v>
      </c>
      <c r="C31" s="20">
        <v>0.90902777777777777</v>
      </c>
      <c r="D31" s="21">
        <v>1815</v>
      </c>
      <c r="E31" s="22">
        <v>0.2</v>
      </c>
      <c r="F31" s="23">
        <v>91</v>
      </c>
      <c r="G31" s="7">
        <f t="shared" si="4"/>
        <v>0.8</v>
      </c>
      <c r="H31" s="22">
        <v>0.95</v>
      </c>
      <c r="I31" s="21">
        <f t="shared" si="5"/>
        <v>5</v>
      </c>
      <c r="J31" s="21">
        <f t="shared" si="0"/>
        <v>5</v>
      </c>
      <c r="K31" s="21">
        <f t="shared" si="1"/>
        <v>4</v>
      </c>
      <c r="L31" s="21">
        <f t="shared" si="2"/>
        <v>5</v>
      </c>
      <c r="M31" s="21">
        <f t="shared" si="3"/>
        <v>4</v>
      </c>
      <c r="N31" s="24"/>
    </row>
    <row r="32" spans="1:14" x14ac:dyDescent="0.45">
      <c r="A32" s="29" t="s">
        <v>49</v>
      </c>
      <c r="B32" s="26">
        <v>44236</v>
      </c>
      <c r="C32" s="4">
        <v>0.92291666666666661</v>
      </c>
      <c r="D32" s="5">
        <v>1820</v>
      </c>
      <c r="E32" s="8">
        <v>0.2</v>
      </c>
      <c r="F32" s="6">
        <v>112</v>
      </c>
      <c r="G32" s="7">
        <f t="shared" si="4"/>
        <v>0.8</v>
      </c>
      <c r="H32" s="8">
        <v>1</v>
      </c>
      <c r="I32" s="5">
        <f t="shared" si="5"/>
        <v>5</v>
      </c>
      <c r="J32" s="5">
        <f t="shared" si="0"/>
        <v>5</v>
      </c>
      <c r="K32" s="5">
        <f t="shared" si="1"/>
        <v>4</v>
      </c>
      <c r="L32" s="5">
        <f t="shared" si="2"/>
        <v>5</v>
      </c>
      <c r="M32" s="5">
        <f t="shared" si="3"/>
        <v>4</v>
      </c>
    </row>
    <row r="33" spans="1:14" x14ac:dyDescent="0.45">
      <c r="A33" s="29" t="s">
        <v>50</v>
      </c>
      <c r="B33" s="26">
        <v>44236</v>
      </c>
      <c r="C33" s="4">
        <v>0.93611111111111101</v>
      </c>
      <c r="D33" s="5">
        <v>1825</v>
      </c>
      <c r="E33" s="8">
        <v>0.25</v>
      </c>
      <c r="F33" s="6">
        <v>89</v>
      </c>
      <c r="G33" s="7">
        <f t="shared" si="4"/>
        <v>0.75</v>
      </c>
      <c r="H33" s="8">
        <v>1</v>
      </c>
      <c r="I33" s="5">
        <f t="shared" si="5"/>
        <v>5</v>
      </c>
      <c r="J33" s="5">
        <f t="shared" si="0"/>
        <v>5</v>
      </c>
      <c r="K33" s="5">
        <f t="shared" si="1"/>
        <v>3.75</v>
      </c>
      <c r="L33" s="5">
        <f t="shared" si="2"/>
        <v>5</v>
      </c>
      <c r="M33" s="5">
        <f t="shared" si="3"/>
        <v>3.75</v>
      </c>
    </row>
    <row r="34" spans="1:14" x14ac:dyDescent="0.45">
      <c r="A34" s="9" t="s">
        <v>51</v>
      </c>
      <c r="B34" s="26">
        <v>44236</v>
      </c>
      <c r="C34" s="4">
        <v>0.95208333333333339</v>
      </c>
      <c r="D34" s="5">
        <v>1830</v>
      </c>
      <c r="E34" s="8">
        <v>0.2</v>
      </c>
      <c r="F34" s="6">
        <v>85</v>
      </c>
      <c r="G34" s="7">
        <f t="shared" si="4"/>
        <v>0.8</v>
      </c>
      <c r="H34" s="8">
        <v>1</v>
      </c>
      <c r="I34" s="5">
        <f t="shared" si="5"/>
        <v>5</v>
      </c>
      <c r="J34" s="5">
        <f t="shared" si="0"/>
        <v>5</v>
      </c>
      <c r="K34" s="5">
        <f t="shared" si="1"/>
        <v>4</v>
      </c>
      <c r="L34" s="5">
        <f t="shared" si="2"/>
        <v>5</v>
      </c>
      <c r="M34" s="5">
        <f t="shared" si="3"/>
        <v>4</v>
      </c>
    </row>
    <row r="35" spans="1:14" x14ac:dyDescent="0.45">
      <c r="A35" s="9" t="s">
        <v>52</v>
      </c>
      <c r="B35" s="26">
        <v>44236</v>
      </c>
      <c r="C35" s="4">
        <v>0.97361111111111109</v>
      </c>
      <c r="D35" s="5">
        <v>1835</v>
      </c>
      <c r="E35" s="8">
        <v>0.2</v>
      </c>
      <c r="F35" s="6">
        <v>120</v>
      </c>
      <c r="G35" s="7">
        <f t="shared" si="4"/>
        <v>0.8</v>
      </c>
      <c r="H35" s="8">
        <v>0.95</v>
      </c>
      <c r="I35" s="5">
        <f t="shared" si="5"/>
        <v>5</v>
      </c>
      <c r="J35" s="5">
        <f t="shared" si="0"/>
        <v>5</v>
      </c>
      <c r="K35" s="5">
        <f t="shared" si="1"/>
        <v>4</v>
      </c>
      <c r="L35" s="5">
        <f t="shared" si="2"/>
        <v>5</v>
      </c>
      <c r="M35" s="5">
        <f t="shared" si="3"/>
        <v>4</v>
      </c>
    </row>
    <row r="36" spans="1:14" x14ac:dyDescent="0.45">
      <c r="A36" s="9" t="s">
        <v>53</v>
      </c>
      <c r="B36" s="26">
        <v>44236</v>
      </c>
      <c r="C36" s="4">
        <v>0.98611111111111116</v>
      </c>
      <c r="D36" s="5">
        <v>1840</v>
      </c>
      <c r="E36" s="8">
        <v>0.1</v>
      </c>
      <c r="F36" s="6">
        <v>103</v>
      </c>
      <c r="G36" s="7">
        <f t="shared" si="4"/>
        <v>0.9</v>
      </c>
      <c r="H36" s="8">
        <v>1</v>
      </c>
      <c r="I36" s="5">
        <f t="shared" si="5"/>
        <v>5</v>
      </c>
      <c r="J36" s="5">
        <f t="shared" si="0"/>
        <v>5</v>
      </c>
      <c r="K36" s="5">
        <f t="shared" si="1"/>
        <v>4.5</v>
      </c>
      <c r="L36" s="5">
        <f t="shared" si="2"/>
        <v>5</v>
      </c>
      <c r="M36" s="5">
        <f t="shared" si="3"/>
        <v>4.5</v>
      </c>
    </row>
    <row r="37" spans="1:14" x14ac:dyDescent="0.45">
      <c r="A37" s="9" t="s">
        <v>54</v>
      </c>
      <c r="B37" s="26">
        <v>44264</v>
      </c>
      <c r="C37" s="4">
        <v>0.50416666666666665</v>
      </c>
      <c r="D37" s="5">
        <v>1845</v>
      </c>
      <c r="E37" s="8">
        <v>0.15</v>
      </c>
      <c r="F37" s="6">
        <v>100</v>
      </c>
      <c r="G37" s="7">
        <f t="shared" si="4"/>
        <v>0.85</v>
      </c>
      <c r="H37" s="8">
        <v>1</v>
      </c>
      <c r="I37" s="5">
        <f t="shared" si="5"/>
        <v>5</v>
      </c>
      <c r="J37" s="5">
        <f t="shared" si="0"/>
        <v>5</v>
      </c>
      <c r="K37" s="5">
        <f t="shared" si="1"/>
        <v>4.25</v>
      </c>
      <c r="L37" s="5">
        <f t="shared" si="2"/>
        <v>5</v>
      </c>
      <c r="M37" s="5">
        <f t="shared" si="3"/>
        <v>4.25</v>
      </c>
    </row>
    <row r="38" spans="1:14" x14ac:dyDescent="0.45">
      <c r="A38" s="9" t="s">
        <v>55</v>
      </c>
      <c r="B38" s="26">
        <v>44264</v>
      </c>
      <c r="C38" s="4">
        <v>0.52013888888888882</v>
      </c>
      <c r="D38" s="5">
        <v>1850</v>
      </c>
      <c r="E38" s="8">
        <v>0.3</v>
      </c>
      <c r="F38" s="6">
        <v>130</v>
      </c>
      <c r="G38" s="7">
        <f t="shared" si="4"/>
        <v>0.7</v>
      </c>
      <c r="H38" s="8">
        <v>1</v>
      </c>
      <c r="I38" s="5">
        <f t="shared" si="5"/>
        <v>5</v>
      </c>
      <c r="J38" s="5">
        <f t="shared" si="0"/>
        <v>0</v>
      </c>
      <c r="K38" s="5">
        <f t="shared" si="1"/>
        <v>0</v>
      </c>
      <c r="L38" s="5">
        <f t="shared" si="2"/>
        <v>5</v>
      </c>
      <c r="M38" s="5">
        <f t="shared" si="3"/>
        <v>3.5</v>
      </c>
    </row>
    <row r="39" spans="1:14" x14ac:dyDescent="0.45">
      <c r="A39" s="9" t="s">
        <v>56</v>
      </c>
      <c r="B39" s="26">
        <v>44264</v>
      </c>
      <c r="C39" s="4">
        <v>0.53472222222222221</v>
      </c>
      <c r="D39" s="5">
        <v>1855</v>
      </c>
      <c r="E39" s="8">
        <v>0.25</v>
      </c>
      <c r="F39" s="6">
        <v>161</v>
      </c>
      <c r="G39" s="7">
        <f t="shared" si="4"/>
        <v>0.75</v>
      </c>
      <c r="H39" s="8">
        <v>1</v>
      </c>
      <c r="I39" s="5">
        <f t="shared" si="5"/>
        <v>5</v>
      </c>
      <c r="J39" s="5">
        <f t="shared" si="0"/>
        <v>5</v>
      </c>
      <c r="K39" s="5">
        <f t="shared" si="1"/>
        <v>3.75</v>
      </c>
      <c r="L39" s="5">
        <f t="shared" si="2"/>
        <v>5</v>
      </c>
      <c r="M39" s="5">
        <f t="shared" si="3"/>
        <v>3.75</v>
      </c>
    </row>
    <row r="40" spans="1:14" x14ac:dyDescent="0.45">
      <c r="A40" s="9" t="s">
        <v>57</v>
      </c>
      <c r="B40" s="26">
        <v>44264</v>
      </c>
      <c r="C40" s="4">
        <v>4.1666666666666664E-2</v>
      </c>
      <c r="D40" s="5">
        <v>1860</v>
      </c>
      <c r="E40" s="8">
        <v>0.2</v>
      </c>
      <c r="F40" s="6">
        <v>152</v>
      </c>
      <c r="G40" s="7">
        <f t="shared" si="4"/>
        <v>0.8</v>
      </c>
      <c r="H40" s="8">
        <v>0.8</v>
      </c>
      <c r="I40" s="5">
        <f t="shared" si="5"/>
        <v>5</v>
      </c>
      <c r="J40" s="5">
        <f t="shared" si="0"/>
        <v>5</v>
      </c>
      <c r="K40" s="5">
        <f t="shared" si="1"/>
        <v>4</v>
      </c>
      <c r="L40" s="5">
        <f t="shared" si="2"/>
        <v>5</v>
      </c>
      <c r="M40" s="5">
        <f t="shared" si="3"/>
        <v>4</v>
      </c>
      <c r="N40" s="15" t="s">
        <v>58</v>
      </c>
    </row>
    <row r="41" spans="1:14" x14ac:dyDescent="0.45">
      <c r="A41" s="9" t="s">
        <v>59</v>
      </c>
      <c r="B41" s="26">
        <v>44264</v>
      </c>
      <c r="C41" s="4">
        <v>5.4166666666666669E-2</v>
      </c>
      <c r="D41" s="5">
        <v>1865</v>
      </c>
      <c r="E41" s="8">
        <v>0.2</v>
      </c>
      <c r="F41" s="6">
        <v>135</v>
      </c>
      <c r="G41" s="7">
        <f t="shared" si="4"/>
        <v>0.8</v>
      </c>
      <c r="H41" s="8">
        <v>0.9</v>
      </c>
      <c r="I41" s="5">
        <f t="shared" si="5"/>
        <v>5</v>
      </c>
      <c r="J41" s="5">
        <f t="shared" si="0"/>
        <v>5</v>
      </c>
      <c r="K41" s="5">
        <f t="shared" si="1"/>
        <v>4</v>
      </c>
      <c r="L41" s="5">
        <f t="shared" si="2"/>
        <v>5</v>
      </c>
      <c r="M41" s="5">
        <f t="shared" si="3"/>
        <v>4</v>
      </c>
    </row>
    <row r="42" spans="1:14" x14ac:dyDescent="0.45">
      <c r="A42" s="9" t="s">
        <v>60</v>
      </c>
      <c r="B42" s="26">
        <v>44264</v>
      </c>
      <c r="C42" s="4">
        <v>6.25E-2</v>
      </c>
      <c r="D42" s="5">
        <v>1870</v>
      </c>
      <c r="E42" s="8">
        <v>0.15</v>
      </c>
      <c r="F42" s="6">
        <v>212</v>
      </c>
      <c r="G42" s="7">
        <f t="shared" si="4"/>
        <v>0.85</v>
      </c>
      <c r="H42" s="8">
        <v>0.9</v>
      </c>
      <c r="I42" s="5">
        <f t="shared" si="5"/>
        <v>5</v>
      </c>
      <c r="J42" s="5">
        <f t="shared" si="0"/>
        <v>5</v>
      </c>
      <c r="K42" s="5">
        <f t="shared" si="1"/>
        <v>4.25</v>
      </c>
      <c r="L42" s="5">
        <f t="shared" si="2"/>
        <v>5</v>
      </c>
      <c r="M42" s="5">
        <f t="shared" si="3"/>
        <v>4.25</v>
      </c>
    </row>
    <row r="43" spans="1:14" x14ac:dyDescent="0.45">
      <c r="A43" s="9" t="s">
        <v>61</v>
      </c>
      <c r="B43" s="26">
        <v>44264</v>
      </c>
      <c r="C43" s="4">
        <v>7.8472222222222221E-2</v>
      </c>
      <c r="D43" s="5">
        <v>1875</v>
      </c>
      <c r="E43" s="8">
        <v>0.1</v>
      </c>
      <c r="F43" s="6">
        <v>355</v>
      </c>
      <c r="G43" s="7">
        <f t="shared" si="4"/>
        <v>0.9</v>
      </c>
      <c r="H43" s="8">
        <v>1</v>
      </c>
      <c r="I43" s="5">
        <f t="shared" si="5"/>
        <v>5</v>
      </c>
      <c r="J43" s="5">
        <f t="shared" si="0"/>
        <v>5</v>
      </c>
      <c r="K43" s="5">
        <f t="shared" si="1"/>
        <v>4.5</v>
      </c>
      <c r="L43" s="5">
        <f t="shared" si="2"/>
        <v>5</v>
      </c>
      <c r="M43" s="5">
        <f t="shared" si="3"/>
        <v>4.5</v>
      </c>
    </row>
    <row r="44" spans="1:14" x14ac:dyDescent="0.45">
      <c r="A44" s="9" t="s">
        <v>62</v>
      </c>
      <c r="B44" s="26">
        <v>44264</v>
      </c>
      <c r="C44" s="4">
        <v>9.0277777777777776E-2</v>
      </c>
      <c r="D44" s="5">
        <v>1880</v>
      </c>
      <c r="E44" s="8">
        <v>0.1</v>
      </c>
      <c r="F44" s="6">
        <v>270</v>
      </c>
      <c r="G44" s="7">
        <f t="shared" si="4"/>
        <v>0.9</v>
      </c>
      <c r="H44" s="8">
        <v>1</v>
      </c>
      <c r="I44" s="5">
        <f t="shared" si="5"/>
        <v>5</v>
      </c>
      <c r="J44" s="5">
        <f t="shared" si="0"/>
        <v>5</v>
      </c>
      <c r="K44" s="5">
        <f>IF(J44&gt;0,J44*G44,0)</f>
        <v>4.5</v>
      </c>
      <c r="L44" s="5">
        <f t="shared" si="2"/>
        <v>5</v>
      </c>
      <c r="M44" s="5">
        <f t="shared" si="3"/>
        <v>4.5</v>
      </c>
      <c r="N44" s="15" t="s">
        <v>63</v>
      </c>
    </row>
    <row r="45" spans="1:14" x14ac:dyDescent="0.45">
      <c r="A45" s="9" t="s">
        <v>64</v>
      </c>
      <c r="B45" s="26">
        <v>44264</v>
      </c>
      <c r="C45" s="4">
        <v>9.7916666666666666E-2</v>
      </c>
      <c r="D45" s="5">
        <v>1885</v>
      </c>
      <c r="E45" s="8">
        <v>0.15</v>
      </c>
      <c r="F45" s="6">
        <v>180</v>
      </c>
      <c r="G45" s="7">
        <f t="shared" si="4"/>
        <v>0.85</v>
      </c>
      <c r="H45" s="8">
        <v>1</v>
      </c>
      <c r="I45" s="5">
        <f t="shared" si="5"/>
        <v>5</v>
      </c>
      <c r="J45" s="5">
        <f t="shared" si="0"/>
        <v>5</v>
      </c>
      <c r="K45" s="5">
        <f t="shared" si="1"/>
        <v>4.25</v>
      </c>
      <c r="L45" s="5">
        <f t="shared" si="2"/>
        <v>5</v>
      </c>
      <c r="M45" s="5">
        <f t="shared" si="3"/>
        <v>4.25</v>
      </c>
      <c r="N45" s="15" t="s">
        <v>65</v>
      </c>
    </row>
    <row r="46" spans="1:14" x14ac:dyDescent="0.45">
      <c r="A46" s="9" t="s">
        <v>66</v>
      </c>
      <c r="B46" s="26">
        <v>44264</v>
      </c>
      <c r="C46" s="4">
        <v>0.10902777777777778</v>
      </c>
      <c r="D46" s="5">
        <v>1890</v>
      </c>
      <c r="E46" s="8">
        <v>0.2</v>
      </c>
      <c r="F46" s="6">
        <v>146</v>
      </c>
      <c r="G46" s="7">
        <f t="shared" si="4"/>
        <v>0.8</v>
      </c>
      <c r="H46" s="8">
        <v>1</v>
      </c>
      <c r="I46" s="5">
        <f t="shared" si="5"/>
        <v>5</v>
      </c>
      <c r="J46" s="5">
        <f t="shared" si="0"/>
        <v>5</v>
      </c>
      <c r="K46" s="5">
        <f t="shared" si="1"/>
        <v>4</v>
      </c>
      <c r="L46" s="5">
        <f t="shared" si="2"/>
        <v>5</v>
      </c>
      <c r="M46" s="5">
        <f t="shared" si="3"/>
        <v>4</v>
      </c>
    </row>
    <row r="47" spans="1:14" x14ac:dyDescent="0.45">
      <c r="A47" s="9" t="s">
        <v>67</v>
      </c>
      <c r="B47" s="26">
        <v>44264</v>
      </c>
      <c r="C47" s="4">
        <v>0.12847222222222224</v>
      </c>
      <c r="D47" s="5">
        <v>1895</v>
      </c>
      <c r="E47" s="8">
        <v>0.1</v>
      </c>
      <c r="F47" s="6">
        <v>145</v>
      </c>
      <c r="G47" s="7">
        <f t="shared" si="4"/>
        <v>0.9</v>
      </c>
      <c r="H47" s="8">
        <v>1</v>
      </c>
      <c r="I47" s="5">
        <f t="shared" si="5"/>
        <v>5</v>
      </c>
      <c r="J47" s="5">
        <f t="shared" si="0"/>
        <v>5</v>
      </c>
      <c r="K47" s="5">
        <f t="shared" si="1"/>
        <v>4.5</v>
      </c>
      <c r="L47" s="5">
        <f t="shared" si="2"/>
        <v>5</v>
      </c>
      <c r="M47" s="5">
        <f t="shared" si="3"/>
        <v>4.5</v>
      </c>
    </row>
    <row r="48" spans="1:14" x14ac:dyDescent="0.45">
      <c r="A48" s="9" t="s">
        <v>68</v>
      </c>
      <c r="B48" s="26">
        <v>44264</v>
      </c>
      <c r="C48" s="4">
        <v>0.14444444444444446</v>
      </c>
      <c r="D48" s="5">
        <v>1900</v>
      </c>
      <c r="E48" s="8">
        <v>0.1</v>
      </c>
      <c r="F48" s="6">
        <v>115</v>
      </c>
      <c r="G48" s="7">
        <f t="shared" si="4"/>
        <v>0.9</v>
      </c>
      <c r="H48" s="8">
        <v>0.9</v>
      </c>
      <c r="I48" s="5">
        <f t="shared" si="5"/>
        <v>5</v>
      </c>
      <c r="J48" s="5">
        <f t="shared" si="0"/>
        <v>5</v>
      </c>
      <c r="K48" s="5">
        <f t="shared" si="1"/>
        <v>4.5</v>
      </c>
      <c r="L48" s="5">
        <f t="shared" si="2"/>
        <v>5</v>
      </c>
      <c r="M48" s="5">
        <f t="shared" si="3"/>
        <v>4.5</v>
      </c>
      <c r="N48" s="15" t="s">
        <v>69</v>
      </c>
    </row>
    <row r="49" spans="1:14" x14ac:dyDescent="0.45">
      <c r="A49" s="9" t="s">
        <v>70</v>
      </c>
      <c r="B49" s="26">
        <v>44264</v>
      </c>
      <c r="C49" s="4">
        <v>0.15347222222222223</v>
      </c>
      <c r="D49" s="5">
        <v>1905</v>
      </c>
      <c r="E49" s="8">
        <v>0.15</v>
      </c>
      <c r="F49" s="6">
        <v>130</v>
      </c>
      <c r="G49" s="7">
        <f t="shared" si="4"/>
        <v>0.85</v>
      </c>
      <c r="H49" s="8">
        <v>1</v>
      </c>
      <c r="I49" s="5">
        <f t="shared" si="5"/>
        <v>5</v>
      </c>
      <c r="J49" s="5">
        <f t="shared" si="0"/>
        <v>5</v>
      </c>
      <c r="K49" s="5">
        <f t="shared" si="1"/>
        <v>4.25</v>
      </c>
      <c r="L49" s="5">
        <f t="shared" si="2"/>
        <v>5</v>
      </c>
      <c r="M49" s="5">
        <f t="shared" si="3"/>
        <v>4.25</v>
      </c>
    </row>
    <row r="50" spans="1:14" x14ac:dyDescent="0.45">
      <c r="A50" s="9" t="s">
        <v>71</v>
      </c>
      <c r="B50" s="26">
        <v>44264</v>
      </c>
      <c r="C50" s="4">
        <v>0.16388888888888889</v>
      </c>
      <c r="D50" s="5">
        <v>1910</v>
      </c>
      <c r="E50" s="8">
        <v>0.15</v>
      </c>
      <c r="F50" s="6">
        <v>94</v>
      </c>
      <c r="G50" s="7">
        <f t="shared" si="4"/>
        <v>0.85</v>
      </c>
      <c r="H50" s="8">
        <v>1</v>
      </c>
      <c r="I50" s="5">
        <f t="shared" si="5"/>
        <v>5</v>
      </c>
      <c r="J50" s="5">
        <f t="shared" si="0"/>
        <v>5</v>
      </c>
      <c r="K50" s="5">
        <f t="shared" si="1"/>
        <v>4.25</v>
      </c>
      <c r="L50" s="5">
        <f t="shared" si="2"/>
        <v>5</v>
      </c>
      <c r="M50" s="5">
        <f t="shared" si="3"/>
        <v>4.25</v>
      </c>
    </row>
    <row r="51" spans="1:14" x14ac:dyDescent="0.45">
      <c r="A51" s="9" t="s">
        <v>72</v>
      </c>
      <c r="B51" s="26">
        <v>44264</v>
      </c>
      <c r="C51" s="4">
        <v>0.17500000000000002</v>
      </c>
      <c r="D51" s="5">
        <v>1915</v>
      </c>
      <c r="E51" s="8">
        <v>0.1</v>
      </c>
      <c r="F51" s="6">
        <v>260</v>
      </c>
      <c r="G51" s="7">
        <f t="shared" si="4"/>
        <v>0.9</v>
      </c>
      <c r="H51" s="8">
        <v>0.9</v>
      </c>
      <c r="I51" s="5">
        <f t="shared" si="5"/>
        <v>5</v>
      </c>
      <c r="J51" s="5">
        <f t="shared" si="0"/>
        <v>5</v>
      </c>
      <c r="K51" s="5">
        <f t="shared" si="1"/>
        <v>4.5</v>
      </c>
      <c r="L51" s="5">
        <f t="shared" si="2"/>
        <v>5</v>
      </c>
      <c r="M51" s="5">
        <f t="shared" si="3"/>
        <v>4.5</v>
      </c>
    </row>
    <row r="52" spans="1:14" s="25" customFormat="1" x14ac:dyDescent="0.45">
      <c r="A52" s="19" t="s">
        <v>73</v>
      </c>
      <c r="B52" s="26">
        <v>44264</v>
      </c>
      <c r="C52" s="20">
        <v>0.18333333333333335</v>
      </c>
      <c r="D52" s="21">
        <v>1920</v>
      </c>
      <c r="E52" s="22">
        <v>0.05</v>
      </c>
      <c r="F52" s="23">
        <v>195</v>
      </c>
      <c r="G52" s="7">
        <f t="shared" si="4"/>
        <v>0.95</v>
      </c>
      <c r="H52" s="22">
        <v>1</v>
      </c>
      <c r="I52" s="21">
        <f t="shared" si="5"/>
        <v>5</v>
      </c>
      <c r="J52" s="21">
        <f t="shared" si="0"/>
        <v>5</v>
      </c>
      <c r="K52" s="21">
        <f t="shared" si="1"/>
        <v>4.75</v>
      </c>
      <c r="L52" s="21">
        <f t="shared" si="2"/>
        <v>5</v>
      </c>
      <c r="M52" s="21">
        <f t="shared" si="3"/>
        <v>4.75</v>
      </c>
      <c r="N52" s="24"/>
    </row>
    <row r="53" spans="1:14" x14ac:dyDescent="0.45">
      <c r="A53" s="9" t="s">
        <v>74</v>
      </c>
      <c r="B53" s="26">
        <v>44264</v>
      </c>
      <c r="C53" s="4">
        <v>0.20138888888888887</v>
      </c>
      <c r="D53" s="5">
        <v>1925</v>
      </c>
      <c r="E53" s="8">
        <v>0.05</v>
      </c>
      <c r="F53" s="6">
        <v>167</v>
      </c>
      <c r="G53" s="7">
        <f t="shared" si="4"/>
        <v>0.95</v>
      </c>
      <c r="H53" s="8">
        <v>1</v>
      </c>
      <c r="I53" s="5">
        <f t="shared" si="5"/>
        <v>5</v>
      </c>
      <c r="J53" s="5">
        <f t="shared" si="0"/>
        <v>5</v>
      </c>
      <c r="K53" s="5">
        <f t="shared" si="1"/>
        <v>4.75</v>
      </c>
      <c r="L53" s="5">
        <f t="shared" si="2"/>
        <v>5</v>
      </c>
      <c r="M53" s="5">
        <f t="shared" si="3"/>
        <v>4.75</v>
      </c>
    </row>
    <row r="54" spans="1:14" x14ac:dyDescent="0.45">
      <c r="A54" s="9" t="s">
        <v>75</v>
      </c>
      <c r="B54" s="26">
        <v>44264</v>
      </c>
      <c r="C54" s="4">
        <v>0.21180555555555555</v>
      </c>
      <c r="D54" s="5">
        <v>1930</v>
      </c>
      <c r="E54" s="8">
        <v>0.05</v>
      </c>
      <c r="F54" s="6">
        <v>192</v>
      </c>
      <c r="G54" s="7">
        <f t="shared" si="4"/>
        <v>0.95</v>
      </c>
      <c r="H54" s="8">
        <v>1</v>
      </c>
      <c r="I54" s="5">
        <f t="shared" si="5"/>
        <v>5</v>
      </c>
      <c r="J54" s="5">
        <f t="shared" si="0"/>
        <v>5</v>
      </c>
      <c r="K54" s="5">
        <f t="shared" si="1"/>
        <v>4.75</v>
      </c>
      <c r="L54" s="5">
        <f t="shared" si="2"/>
        <v>5</v>
      </c>
      <c r="M54" s="5">
        <f t="shared" si="3"/>
        <v>4.75</v>
      </c>
    </row>
    <row r="55" spans="1:14" x14ac:dyDescent="0.45">
      <c r="A55" s="9" t="s">
        <v>76</v>
      </c>
      <c r="B55" s="26">
        <v>44264</v>
      </c>
      <c r="C55" s="4">
        <v>0.22152777777777777</v>
      </c>
      <c r="D55" s="5">
        <v>1935</v>
      </c>
      <c r="E55" s="8">
        <v>0.1</v>
      </c>
      <c r="F55" s="6">
        <v>240</v>
      </c>
      <c r="G55" s="7">
        <f t="shared" si="4"/>
        <v>0.9</v>
      </c>
      <c r="H55" s="8">
        <v>1</v>
      </c>
      <c r="I55" s="5">
        <f t="shared" si="5"/>
        <v>5</v>
      </c>
      <c r="J55" s="5">
        <f t="shared" si="0"/>
        <v>5</v>
      </c>
      <c r="K55" s="5">
        <f t="shared" si="1"/>
        <v>4.5</v>
      </c>
      <c r="L55" s="5">
        <f t="shared" si="2"/>
        <v>5</v>
      </c>
      <c r="M55" s="5">
        <f t="shared" si="3"/>
        <v>4.5</v>
      </c>
    </row>
    <row r="56" spans="1:14" x14ac:dyDescent="0.45">
      <c r="A56" s="9" t="s">
        <v>77</v>
      </c>
      <c r="B56" s="26">
        <v>44264</v>
      </c>
      <c r="C56" s="4">
        <v>0.22916666666666666</v>
      </c>
      <c r="D56" s="5">
        <v>1940</v>
      </c>
      <c r="E56" s="8">
        <v>0.05</v>
      </c>
      <c r="F56" s="6">
        <v>190</v>
      </c>
      <c r="G56" s="7">
        <f t="shared" si="4"/>
        <v>0.95</v>
      </c>
      <c r="H56" s="8">
        <v>1</v>
      </c>
      <c r="I56" s="5">
        <f t="shared" si="5"/>
        <v>5</v>
      </c>
      <c r="J56" s="5">
        <f t="shared" si="0"/>
        <v>5</v>
      </c>
      <c r="K56" s="5">
        <f t="shared" si="1"/>
        <v>4.75</v>
      </c>
      <c r="L56" s="5">
        <f t="shared" si="2"/>
        <v>5</v>
      </c>
      <c r="M56" s="5">
        <f t="shared" si="3"/>
        <v>4.75</v>
      </c>
    </row>
    <row r="57" spans="1:14" x14ac:dyDescent="0.45">
      <c r="A57" s="9" t="s">
        <v>78</v>
      </c>
      <c r="B57" s="26">
        <v>44264</v>
      </c>
      <c r="C57" s="4">
        <v>0.23958333333333334</v>
      </c>
      <c r="D57" s="5">
        <v>1945</v>
      </c>
      <c r="E57" s="8">
        <v>0.05</v>
      </c>
      <c r="F57" s="6">
        <v>234</v>
      </c>
      <c r="G57" s="7">
        <f t="shared" si="4"/>
        <v>0.95</v>
      </c>
      <c r="H57" s="8">
        <v>1</v>
      </c>
      <c r="I57" s="5">
        <f t="shared" si="5"/>
        <v>5</v>
      </c>
      <c r="J57" s="5">
        <f t="shared" si="0"/>
        <v>5</v>
      </c>
      <c r="K57" s="5">
        <f t="shared" si="1"/>
        <v>4.75</v>
      </c>
      <c r="L57" s="5">
        <f t="shared" si="2"/>
        <v>5</v>
      </c>
      <c r="M57" s="5">
        <f t="shared" si="3"/>
        <v>4.75</v>
      </c>
    </row>
    <row r="58" spans="1:14" x14ac:dyDescent="0.45">
      <c r="A58" s="9" t="s">
        <v>79</v>
      </c>
      <c r="B58" s="26">
        <v>44264</v>
      </c>
      <c r="C58" s="4">
        <v>0.27013888888888887</v>
      </c>
      <c r="D58" s="5">
        <v>1950</v>
      </c>
      <c r="E58" s="8">
        <v>0</v>
      </c>
      <c r="F58" s="6">
        <v>288</v>
      </c>
      <c r="G58" s="7">
        <f t="shared" si="4"/>
        <v>1</v>
      </c>
      <c r="H58" s="8">
        <v>1</v>
      </c>
      <c r="I58" s="5">
        <f t="shared" si="5"/>
        <v>5</v>
      </c>
      <c r="J58" s="5">
        <f t="shared" si="0"/>
        <v>5</v>
      </c>
      <c r="K58" s="5">
        <f t="shared" si="1"/>
        <v>5</v>
      </c>
      <c r="L58" s="5">
        <f t="shared" si="2"/>
        <v>5</v>
      </c>
      <c r="M58" s="5">
        <f t="shared" si="3"/>
        <v>5</v>
      </c>
    </row>
    <row r="59" spans="1:14" x14ac:dyDescent="0.45">
      <c r="A59" s="9" t="s">
        <v>80</v>
      </c>
      <c r="B59" s="26">
        <v>44264</v>
      </c>
      <c r="C59" s="4">
        <v>0.28541666666666665</v>
      </c>
      <c r="D59" s="5">
        <v>1955</v>
      </c>
      <c r="E59" s="8">
        <v>0</v>
      </c>
      <c r="F59" s="6">
        <v>300</v>
      </c>
      <c r="G59" s="7">
        <f t="shared" si="4"/>
        <v>1</v>
      </c>
      <c r="H59" s="8">
        <v>1</v>
      </c>
      <c r="I59" s="5">
        <f t="shared" si="5"/>
        <v>5</v>
      </c>
      <c r="J59" s="5">
        <f t="shared" si="0"/>
        <v>5</v>
      </c>
      <c r="K59" s="5">
        <f t="shared" si="1"/>
        <v>5</v>
      </c>
      <c r="L59" s="5">
        <f t="shared" si="2"/>
        <v>5</v>
      </c>
      <c r="M59" s="5">
        <f t="shared" si="3"/>
        <v>5</v>
      </c>
    </row>
    <row r="60" spans="1:14" x14ac:dyDescent="0.45">
      <c r="A60" s="9" t="s">
        <v>81</v>
      </c>
      <c r="B60" s="26">
        <v>44264</v>
      </c>
      <c r="C60" s="4">
        <v>0.28541666666666665</v>
      </c>
      <c r="D60" s="5">
        <v>1960</v>
      </c>
      <c r="E60" s="8">
        <v>0</v>
      </c>
      <c r="F60" s="6">
        <v>320</v>
      </c>
      <c r="G60" s="7">
        <f t="shared" si="4"/>
        <v>1</v>
      </c>
      <c r="H60" s="8">
        <v>1</v>
      </c>
      <c r="I60" s="5">
        <f t="shared" si="5"/>
        <v>5</v>
      </c>
      <c r="J60" s="5">
        <f t="shared" si="0"/>
        <v>5</v>
      </c>
      <c r="K60" s="5">
        <f t="shared" si="1"/>
        <v>5</v>
      </c>
      <c r="L60" s="5">
        <f t="shared" si="2"/>
        <v>5</v>
      </c>
      <c r="M60" s="5">
        <f t="shared" si="3"/>
        <v>5</v>
      </c>
    </row>
    <row r="61" spans="1:14" x14ac:dyDescent="0.45">
      <c r="A61" s="9" t="s">
        <v>82</v>
      </c>
      <c r="B61" s="26">
        <v>44264</v>
      </c>
      <c r="C61" s="4">
        <v>0.30069444444444443</v>
      </c>
      <c r="D61" s="5">
        <v>1965</v>
      </c>
      <c r="E61" s="8">
        <v>0</v>
      </c>
      <c r="F61" s="6">
        <v>280</v>
      </c>
      <c r="G61" s="7">
        <f t="shared" si="4"/>
        <v>1</v>
      </c>
      <c r="H61" s="8">
        <v>1</v>
      </c>
      <c r="I61" s="5">
        <f t="shared" si="5"/>
        <v>5</v>
      </c>
      <c r="J61" s="5">
        <f t="shared" si="0"/>
        <v>5</v>
      </c>
      <c r="K61" s="5">
        <f t="shared" si="1"/>
        <v>5</v>
      </c>
      <c r="L61" s="5">
        <f t="shared" si="2"/>
        <v>5</v>
      </c>
      <c r="M61" s="5">
        <f t="shared" si="3"/>
        <v>5</v>
      </c>
    </row>
    <row r="62" spans="1:14" x14ac:dyDescent="0.45">
      <c r="A62" s="9" t="s">
        <v>83</v>
      </c>
      <c r="B62" s="26">
        <v>44264</v>
      </c>
      <c r="C62" s="4">
        <v>0.32291666666666669</v>
      </c>
      <c r="D62" s="5">
        <v>1970</v>
      </c>
      <c r="E62" s="8">
        <v>0</v>
      </c>
      <c r="F62" s="6">
        <v>190</v>
      </c>
      <c r="G62" s="7">
        <f t="shared" si="4"/>
        <v>1</v>
      </c>
      <c r="H62" s="8">
        <v>1</v>
      </c>
      <c r="I62" s="5">
        <f t="shared" si="5"/>
        <v>5</v>
      </c>
      <c r="J62" s="5">
        <f t="shared" si="0"/>
        <v>5</v>
      </c>
      <c r="K62" s="5">
        <f t="shared" si="1"/>
        <v>5</v>
      </c>
      <c r="L62" s="5">
        <f t="shared" si="2"/>
        <v>5</v>
      </c>
      <c r="M62" s="5">
        <f t="shared" si="3"/>
        <v>5</v>
      </c>
    </row>
    <row r="63" spans="1:14" x14ac:dyDescent="0.45">
      <c r="A63" s="9" t="s">
        <v>84</v>
      </c>
      <c r="B63" s="26">
        <v>44264</v>
      </c>
      <c r="C63" s="4">
        <v>0.32708333333333334</v>
      </c>
      <c r="D63" s="5">
        <v>1975</v>
      </c>
      <c r="E63" s="8">
        <v>0</v>
      </c>
      <c r="F63" s="6">
        <v>220</v>
      </c>
      <c r="G63" s="7">
        <f t="shared" si="4"/>
        <v>1</v>
      </c>
      <c r="H63" s="8">
        <v>1</v>
      </c>
      <c r="I63" s="5">
        <f t="shared" si="5"/>
        <v>5</v>
      </c>
      <c r="J63" s="5">
        <f t="shared" si="0"/>
        <v>5</v>
      </c>
      <c r="K63" s="5">
        <f t="shared" si="1"/>
        <v>5</v>
      </c>
      <c r="L63" s="5">
        <f t="shared" si="2"/>
        <v>5</v>
      </c>
      <c r="M63" s="5">
        <f t="shared" si="3"/>
        <v>5</v>
      </c>
    </row>
    <row r="64" spans="1:14" x14ac:dyDescent="0.45">
      <c r="A64" s="9" t="s">
        <v>85</v>
      </c>
      <c r="B64" s="26">
        <v>44264</v>
      </c>
      <c r="C64" s="4">
        <v>0.3347222222222222</v>
      </c>
      <c r="D64" s="5">
        <v>1980</v>
      </c>
      <c r="E64" s="8">
        <v>0</v>
      </c>
      <c r="F64" s="6">
        <v>180</v>
      </c>
      <c r="G64" s="7">
        <f t="shared" si="4"/>
        <v>1</v>
      </c>
      <c r="H64" s="8">
        <v>1</v>
      </c>
      <c r="I64" s="5">
        <f t="shared" si="5"/>
        <v>5</v>
      </c>
      <c r="J64" s="5">
        <f t="shared" si="0"/>
        <v>5</v>
      </c>
      <c r="K64" s="5">
        <f t="shared" si="1"/>
        <v>5</v>
      </c>
      <c r="L64" s="5">
        <f t="shared" si="2"/>
        <v>5</v>
      </c>
      <c r="M64" s="5">
        <f t="shared" si="3"/>
        <v>5</v>
      </c>
    </row>
    <row r="65" spans="1:14" x14ac:dyDescent="0.45">
      <c r="A65" s="9" t="s">
        <v>86</v>
      </c>
      <c r="B65" s="26">
        <v>44264</v>
      </c>
      <c r="C65" s="4">
        <v>0.3527777777777778</v>
      </c>
      <c r="D65" s="5">
        <v>1985</v>
      </c>
      <c r="E65" s="8">
        <v>0</v>
      </c>
      <c r="F65" s="6">
        <v>180</v>
      </c>
      <c r="G65" s="7">
        <f t="shared" si="4"/>
        <v>1</v>
      </c>
      <c r="H65" s="8">
        <v>1</v>
      </c>
      <c r="I65" s="5">
        <f t="shared" si="5"/>
        <v>5</v>
      </c>
      <c r="J65" s="5">
        <f t="shared" si="0"/>
        <v>5</v>
      </c>
      <c r="K65" s="5">
        <f t="shared" si="1"/>
        <v>5</v>
      </c>
      <c r="L65" s="5">
        <f t="shared" si="2"/>
        <v>5</v>
      </c>
      <c r="M65" s="5">
        <f t="shared" si="3"/>
        <v>5</v>
      </c>
    </row>
    <row r="66" spans="1:14" x14ac:dyDescent="0.45">
      <c r="A66" s="9" t="s">
        <v>87</v>
      </c>
      <c r="B66" s="26">
        <v>44264</v>
      </c>
      <c r="C66" s="4">
        <v>0.37152777777777773</v>
      </c>
      <c r="D66" s="5">
        <v>1990</v>
      </c>
      <c r="E66" s="8">
        <v>0</v>
      </c>
      <c r="F66" s="6">
        <v>190</v>
      </c>
      <c r="G66" s="7">
        <f t="shared" si="4"/>
        <v>1</v>
      </c>
      <c r="H66" s="8">
        <v>1</v>
      </c>
      <c r="I66" s="5">
        <f t="shared" si="5"/>
        <v>5</v>
      </c>
      <c r="J66" s="5">
        <f t="shared" si="0"/>
        <v>5</v>
      </c>
      <c r="K66" s="5">
        <f t="shared" si="1"/>
        <v>5</v>
      </c>
      <c r="L66" s="5">
        <f t="shared" si="2"/>
        <v>5</v>
      </c>
      <c r="M66" s="5">
        <f t="shared" si="3"/>
        <v>5</v>
      </c>
    </row>
    <row r="67" spans="1:14" x14ac:dyDescent="0.45">
      <c r="A67" s="9" t="s">
        <v>88</v>
      </c>
      <c r="B67" s="26">
        <v>44264</v>
      </c>
      <c r="C67" s="4">
        <v>0.4152777777777778</v>
      </c>
      <c r="D67" s="5">
        <v>1995</v>
      </c>
      <c r="E67" s="8">
        <v>0</v>
      </c>
      <c r="F67" s="6">
        <v>190</v>
      </c>
      <c r="G67" s="7">
        <f t="shared" si="4"/>
        <v>1</v>
      </c>
      <c r="H67" s="8">
        <v>1</v>
      </c>
      <c r="I67" s="5">
        <f t="shared" si="5"/>
        <v>5</v>
      </c>
      <c r="J67" s="5">
        <f t="shared" ref="J67:J130" si="7">IF(AND(G67&gt;=$G$2,H67&gt;=$H$2),I67,0)</f>
        <v>5</v>
      </c>
      <c r="K67" s="5">
        <f t="shared" si="1"/>
        <v>5</v>
      </c>
      <c r="L67" s="5">
        <f t="shared" si="2"/>
        <v>5</v>
      </c>
      <c r="M67" s="5">
        <f t="shared" si="3"/>
        <v>5</v>
      </c>
    </row>
    <row r="68" spans="1:14" x14ac:dyDescent="0.45">
      <c r="A68" s="9" t="s">
        <v>89</v>
      </c>
      <c r="B68" s="26">
        <v>44264</v>
      </c>
      <c r="C68" s="4">
        <v>0.4152777777777778</v>
      </c>
      <c r="D68" s="5">
        <v>2000</v>
      </c>
      <c r="E68" s="8">
        <v>0</v>
      </c>
      <c r="F68" s="6">
        <v>180</v>
      </c>
      <c r="G68" s="7">
        <f t="shared" ref="G68:G131" si="8">100%-E68</f>
        <v>1</v>
      </c>
      <c r="H68" s="8">
        <v>1</v>
      </c>
      <c r="I68" s="5">
        <f t="shared" ref="I68:I131" si="9">IF(D68&lt;&gt;"",D68-D67,"")</f>
        <v>5</v>
      </c>
      <c r="J68" s="5">
        <f t="shared" si="7"/>
        <v>5</v>
      </c>
      <c r="K68" s="5">
        <f t="shared" si="1"/>
        <v>5</v>
      </c>
      <c r="L68" s="5">
        <f t="shared" ref="L68:L131" si="10">IF(AND(G68&gt;=$G$3,H68&gt;=$H$3),I68,0)</f>
        <v>5</v>
      </c>
      <c r="M68" s="5">
        <f t="shared" si="3"/>
        <v>5</v>
      </c>
    </row>
    <row r="69" spans="1:14" x14ac:dyDescent="0.45">
      <c r="A69" s="9" t="s">
        <v>90</v>
      </c>
      <c r="B69" s="26">
        <v>44264</v>
      </c>
      <c r="C69" s="4">
        <v>0.41875000000000001</v>
      </c>
      <c r="D69" s="5">
        <v>2005</v>
      </c>
      <c r="E69" s="8">
        <v>0</v>
      </c>
      <c r="F69" s="6">
        <v>160</v>
      </c>
      <c r="G69" s="7">
        <f t="shared" si="8"/>
        <v>1</v>
      </c>
      <c r="H69" s="8">
        <v>1</v>
      </c>
      <c r="I69" s="5">
        <f t="shared" si="9"/>
        <v>5</v>
      </c>
      <c r="J69" s="5">
        <f t="shared" si="7"/>
        <v>5</v>
      </c>
      <c r="K69" s="5">
        <f t="shared" ref="K69:K132" si="11">IF(J69&gt;0,J69*G69,0)</f>
        <v>5</v>
      </c>
      <c r="L69" s="5">
        <f t="shared" si="10"/>
        <v>5</v>
      </c>
      <c r="M69" s="5">
        <f t="shared" ref="M69:M132" si="12">IF(L69&gt;0,L69*G69,0)</f>
        <v>5</v>
      </c>
    </row>
    <row r="70" spans="1:14" x14ac:dyDescent="0.45">
      <c r="A70" s="9" t="s">
        <v>91</v>
      </c>
      <c r="B70" s="26">
        <v>44264</v>
      </c>
      <c r="C70" s="30">
        <v>0.42083333333333334</v>
      </c>
      <c r="D70" s="5">
        <v>2010</v>
      </c>
      <c r="E70" s="8">
        <v>0</v>
      </c>
      <c r="F70" s="6">
        <v>200</v>
      </c>
      <c r="G70" s="7">
        <f t="shared" si="8"/>
        <v>1</v>
      </c>
      <c r="H70" s="8">
        <v>0.8</v>
      </c>
      <c r="I70" s="5">
        <f t="shared" si="9"/>
        <v>5</v>
      </c>
      <c r="J70" s="5">
        <f t="shared" si="7"/>
        <v>5</v>
      </c>
      <c r="K70" s="5">
        <f t="shared" si="11"/>
        <v>5</v>
      </c>
      <c r="L70" s="5">
        <f t="shared" si="10"/>
        <v>5</v>
      </c>
      <c r="M70" s="5">
        <f t="shared" si="12"/>
        <v>5</v>
      </c>
    </row>
    <row r="71" spans="1:14" x14ac:dyDescent="0.45">
      <c r="A71" s="9" t="s">
        <v>92</v>
      </c>
      <c r="B71" s="26">
        <v>44264</v>
      </c>
      <c r="C71" s="30">
        <v>0.43402777777777773</v>
      </c>
      <c r="D71" s="5">
        <v>2015</v>
      </c>
      <c r="E71" s="8">
        <v>0</v>
      </c>
      <c r="F71" s="6">
        <v>196</v>
      </c>
      <c r="G71" s="7">
        <f t="shared" si="8"/>
        <v>1</v>
      </c>
      <c r="H71" s="8">
        <v>0.9</v>
      </c>
      <c r="I71" s="5">
        <f t="shared" si="9"/>
        <v>5</v>
      </c>
      <c r="J71" s="5">
        <f t="shared" si="7"/>
        <v>5</v>
      </c>
      <c r="K71" s="5">
        <f t="shared" si="11"/>
        <v>5</v>
      </c>
      <c r="L71" s="5">
        <f t="shared" si="10"/>
        <v>5</v>
      </c>
      <c r="M71" s="5">
        <f t="shared" si="12"/>
        <v>5</v>
      </c>
      <c r="N71" s="15" t="s">
        <v>93</v>
      </c>
    </row>
    <row r="72" spans="1:14" s="25" customFormat="1" x14ac:dyDescent="0.45">
      <c r="A72" s="19" t="s">
        <v>94</v>
      </c>
      <c r="B72" s="26">
        <v>44264</v>
      </c>
      <c r="C72" s="30">
        <v>0.4465277777777778</v>
      </c>
      <c r="D72" s="21">
        <v>2020</v>
      </c>
      <c r="E72" s="22">
        <v>0</v>
      </c>
      <c r="F72" s="23">
        <v>200</v>
      </c>
      <c r="G72" s="7">
        <f t="shared" si="8"/>
        <v>1</v>
      </c>
      <c r="H72" s="22">
        <v>0.85</v>
      </c>
      <c r="I72" s="21">
        <f t="shared" si="9"/>
        <v>5</v>
      </c>
      <c r="J72" s="21">
        <f t="shared" si="7"/>
        <v>5</v>
      </c>
      <c r="K72" s="21">
        <f t="shared" si="11"/>
        <v>5</v>
      </c>
      <c r="L72" s="21">
        <f t="shared" si="10"/>
        <v>5</v>
      </c>
      <c r="M72" s="21">
        <f t="shared" si="12"/>
        <v>5</v>
      </c>
      <c r="N72" s="24" t="s">
        <v>95</v>
      </c>
    </row>
    <row r="73" spans="1:14" x14ac:dyDescent="0.45">
      <c r="A73" s="9" t="s">
        <v>96</v>
      </c>
      <c r="B73" s="26">
        <v>44264</v>
      </c>
      <c r="C73" s="30">
        <v>0.45</v>
      </c>
      <c r="D73" s="5">
        <v>2025</v>
      </c>
      <c r="E73" s="8">
        <v>0</v>
      </c>
      <c r="F73" s="6">
        <v>200</v>
      </c>
      <c r="G73" s="7">
        <f t="shared" si="8"/>
        <v>1</v>
      </c>
      <c r="H73" s="8">
        <v>0.9</v>
      </c>
      <c r="I73" s="5">
        <f t="shared" si="9"/>
        <v>5</v>
      </c>
      <c r="J73" s="5">
        <f t="shared" si="7"/>
        <v>5</v>
      </c>
      <c r="K73" s="5">
        <f t="shared" si="11"/>
        <v>5</v>
      </c>
      <c r="L73" s="5">
        <f t="shared" si="10"/>
        <v>5</v>
      </c>
      <c r="M73" s="5">
        <f t="shared" si="12"/>
        <v>5</v>
      </c>
      <c r="N73" s="15" t="s">
        <v>97</v>
      </c>
    </row>
    <row r="74" spans="1:14" x14ac:dyDescent="0.45">
      <c r="A74" s="9" t="s">
        <v>98</v>
      </c>
      <c r="B74" s="26">
        <v>44264</v>
      </c>
      <c r="C74" s="30">
        <v>0.46736111111111112</v>
      </c>
      <c r="D74" s="5">
        <v>2030</v>
      </c>
      <c r="E74" s="8">
        <v>0</v>
      </c>
      <c r="F74" s="6">
        <v>195</v>
      </c>
      <c r="G74" s="7">
        <f t="shared" si="8"/>
        <v>1</v>
      </c>
      <c r="H74" s="8">
        <v>0.8</v>
      </c>
      <c r="I74" s="5">
        <f t="shared" si="9"/>
        <v>5</v>
      </c>
      <c r="J74" s="5">
        <f t="shared" si="7"/>
        <v>5</v>
      </c>
      <c r="K74" s="5">
        <f t="shared" si="11"/>
        <v>5</v>
      </c>
      <c r="L74" s="5">
        <f t="shared" si="10"/>
        <v>5</v>
      </c>
      <c r="M74" s="5">
        <f t="shared" si="12"/>
        <v>5</v>
      </c>
    </row>
    <row r="75" spans="1:14" x14ac:dyDescent="0.45">
      <c r="A75" s="9" t="s">
        <v>99</v>
      </c>
      <c r="B75" s="26">
        <v>44264</v>
      </c>
      <c r="C75" s="30">
        <v>0.47986111111111113</v>
      </c>
      <c r="D75" s="5">
        <v>2035</v>
      </c>
      <c r="E75" s="8">
        <v>0</v>
      </c>
      <c r="F75" s="6">
        <v>185</v>
      </c>
      <c r="G75" s="7">
        <f t="shared" si="8"/>
        <v>1</v>
      </c>
      <c r="H75" s="8">
        <v>0.8</v>
      </c>
      <c r="I75" s="5">
        <f t="shared" si="9"/>
        <v>5</v>
      </c>
      <c r="J75" s="5">
        <f t="shared" si="7"/>
        <v>5</v>
      </c>
      <c r="K75" s="5">
        <f t="shared" si="11"/>
        <v>5</v>
      </c>
      <c r="L75" s="5">
        <f t="shared" si="10"/>
        <v>5</v>
      </c>
      <c r="M75" s="5">
        <f t="shared" si="12"/>
        <v>5</v>
      </c>
    </row>
    <row r="76" spans="1:14" ht="49.5" x14ac:dyDescent="0.45">
      <c r="A76" s="29" t="s">
        <v>100</v>
      </c>
      <c r="B76" s="26">
        <v>44264</v>
      </c>
      <c r="C76" s="30">
        <v>0.5</v>
      </c>
      <c r="D76" s="5">
        <v>2040</v>
      </c>
      <c r="E76" s="8">
        <v>0</v>
      </c>
      <c r="F76" s="6">
        <v>180</v>
      </c>
      <c r="G76" s="7">
        <f t="shared" si="8"/>
        <v>1</v>
      </c>
      <c r="H76" s="8">
        <v>0.9</v>
      </c>
      <c r="I76" s="5">
        <f t="shared" si="9"/>
        <v>5</v>
      </c>
      <c r="J76" s="5">
        <f t="shared" si="7"/>
        <v>5</v>
      </c>
      <c r="K76" s="5">
        <f t="shared" si="11"/>
        <v>5</v>
      </c>
      <c r="L76" s="5">
        <f t="shared" si="10"/>
        <v>5</v>
      </c>
      <c r="M76" s="5">
        <f t="shared" si="12"/>
        <v>5</v>
      </c>
    </row>
    <row r="77" spans="1:14" x14ac:dyDescent="0.45">
      <c r="A77" s="29" t="s">
        <v>101</v>
      </c>
      <c r="B77" s="26">
        <v>44264</v>
      </c>
      <c r="C77" s="30">
        <v>0.5</v>
      </c>
      <c r="D77" s="5">
        <v>2045</v>
      </c>
      <c r="E77" s="8">
        <v>0</v>
      </c>
      <c r="F77" s="6">
        <v>250</v>
      </c>
      <c r="G77" s="7">
        <f t="shared" si="8"/>
        <v>1</v>
      </c>
      <c r="H77" s="8">
        <v>0.8</v>
      </c>
      <c r="I77" s="5">
        <f t="shared" si="9"/>
        <v>5</v>
      </c>
      <c r="J77" s="5">
        <f t="shared" si="7"/>
        <v>5</v>
      </c>
      <c r="K77" s="5">
        <f t="shared" si="11"/>
        <v>5</v>
      </c>
      <c r="L77" s="5">
        <f t="shared" si="10"/>
        <v>5</v>
      </c>
      <c r="M77" s="5">
        <f t="shared" si="12"/>
        <v>5</v>
      </c>
    </row>
    <row r="78" spans="1:14" ht="33" x14ac:dyDescent="0.45">
      <c r="A78" s="29" t="s">
        <v>102</v>
      </c>
      <c r="B78" s="26">
        <v>44264</v>
      </c>
      <c r="C78" s="30">
        <v>0.51458333333333328</v>
      </c>
      <c r="D78" s="5">
        <f>D77+5</f>
        <v>2050</v>
      </c>
      <c r="E78" s="8">
        <v>0</v>
      </c>
      <c r="F78" s="6">
        <v>242</v>
      </c>
      <c r="G78" s="7">
        <f t="shared" si="8"/>
        <v>1</v>
      </c>
      <c r="H78" s="8">
        <v>0.95</v>
      </c>
      <c r="I78" s="5">
        <f t="shared" si="9"/>
        <v>5</v>
      </c>
      <c r="J78" s="5">
        <f t="shared" si="7"/>
        <v>5</v>
      </c>
      <c r="K78" s="5">
        <f t="shared" si="11"/>
        <v>5</v>
      </c>
      <c r="L78" s="5">
        <f t="shared" si="10"/>
        <v>5</v>
      </c>
      <c r="M78" s="5">
        <f t="shared" si="12"/>
        <v>5</v>
      </c>
    </row>
    <row r="79" spans="1:14" x14ac:dyDescent="0.45">
      <c r="A79" s="29" t="s">
        <v>103</v>
      </c>
      <c r="B79" s="26">
        <v>44264</v>
      </c>
      <c r="C79" s="30">
        <v>0.5395833333333333</v>
      </c>
      <c r="D79" s="5">
        <f t="shared" ref="D79:D98" si="13">D78+5</f>
        <v>2055</v>
      </c>
      <c r="E79" s="8">
        <v>0</v>
      </c>
      <c r="F79" s="6">
        <v>180</v>
      </c>
      <c r="G79" s="7">
        <f t="shared" si="8"/>
        <v>1</v>
      </c>
      <c r="H79" s="8">
        <v>0.95</v>
      </c>
      <c r="I79" s="5">
        <f t="shared" si="9"/>
        <v>5</v>
      </c>
      <c r="J79" s="5">
        <f t="shared" si="7"/>
        <v>5</v>
      </c>
      <c r="K79" s="5">
        <f t="shared" si="11"/>
        <v>5</v>
      </c>
      <c r="L79" s="5">
        <f t="shared" si="10"/>
        <v>5</v>
      </c>
      <c r="M79" s="5">
        <f t="shared" si="12"/>
        <v>5</v>
      </c>
    </row>
    <row r="80" spans="1:14" x14ac:dyDescent="0.45">
      <c r="A80" s="29" t="s">
        <v>104</v>
      </c>
      <c r="B80" s="26">
        <v>44264</v>
      </c>
      <c r="C80" s="30">
        <v>0.5395833333333333</v>
      </c>
      <c r="D80" s="5">
        <f t="shared" si="13"/>
        <v>2060</v>
      </c>
      <c r="E80" s="8">
        <v>0</v>
      </c>
      <c r="F80" s="6">
        <v>186</v>
      </c>
      <c r="G80" s="7">
        <f t="shared" si="8"/>
        <v>1</v>
      </c>
      <c r="H80" s="8">
        <v>0.9</v>
      </c>
      <c r="I80" s="5">
        <f t="shared" si="9"/>
        <v>5</v>
      </c>
      <c r="J80" s="5">
        <f t="shared" si="7"/>
        <v>5</v>
      </c>
      <c r="K80" s="5">
        <f t="shared" si="11"/>
        <v>5</v>
      </c>
      <c r="L80" s="5">
        <f t="shared" si="10"/>
        <v>5</v>
      </c>
      <c r="M80" s="5">
        <f t="shared" si="12"/>
        <v>5</v>
      </c>
    </row>
    <row r="81" spans="1:14" ht="49.5" x14ac:dyDescent="0.45">
      <c r="A81" s="29" t="s">
        <v>105</v>
      </c>
      <c r="B81" s="26">
        <v>44264</v>
      </c>
      <c r="C81" s="30">
        <v>0.56805555555555554</v>
      </c>
      <c r="D81" s="5">
        <f t="shared" si="13"/>
        <v>2065</v>
      </c>
      <c r="E81" s="8">
        <v>0</v>
      </c>
      <c r="F81" s="6">
        <v>150</v>
      </c>
      <c r="G81" s="7">
        <f t="shared" si="8"/>
        <v>1</v>
      </c>
      <c r="H81" s="8">
        <v>0.9</v>
      </c>
      <c r="I81" s="5">
        <f t="shared" si="9"/>
        <v>5</v>
      </c>
      <c r="J81" s="5">
        <f t="shared" si="7"/>
        <v>5</v>
      </c>
      <c r="K81" s="5">
        <f t="shared" si="11"/>
        <v>5</v>
      </c>
      <c r="L81" s="5">
        <f t="shared" si="10"/>
        <v>5</v>
      </c>
      <c r="M81" s="5">
        <f t="shared" si="12"/>
        <v>5</v>
      </c>
    </row>
    <row r="82" spans="1:14" x14ac:dyDescent="0.45">
      <c r="A82" s="29" t="s">
        <v>106</v>
      </c>
      <c r="B82" s="26">
        <v>44264</v>
      </c>
      <c r="C82" s="30">
        <v>0.57638888888888895</v>
      </c>
      <c r="D82" s="5">
        <f t="shared" si="13"/>
        <v>2070</v>
      </c>
      <c r="E82" s="8">
        <v>0</v>
      </c>
      <c r="F82" s="6">
        <v>156</v>
      </c>
      <c r="G82" s="7">
        <f t="shared" si="8"/>
        <v>1</v>
      </c>
      <c r="H82" s="8">
        <v>0.9</v>
      </c>
      <c r="I82" s="5">
        <f t="shared" si="9"/>
        <v>5</v>
      </c>
      <c r="J82" s="5">
        <f t="shared" si="7"/>
        <v>5</v>
      </c>
      <c r="K82" s="5">
        <f t="shared" si="11"/>
        <v>5</v>
      </c>
      <c r="L82" s="5">
        <f t="shared" si="10"/>
        <v>5</v>
      </c>
      <c r="M82" s="5">
        <f t="shared" si="12"/>
        <v>5</v>
      </c>
    </row>
    <row r="83" spans="1:14" x14ac:dyDescent="0.45">
      <c r="A83" s="29" t="s">
        <v>107</v>
      </c>
      <c r="B83" s="26">
        <v>44264</v>
      </c>
      <c r="C83" s="30">
        <v>0.57777777777777783</v>
      </c>
      <c r="D83" s="5">
        <f t="shared" si="13"/>
        <v>2075</v>
      </c>
      <c r="E83" s="8">
        <v>0</v>
      </c>
      <c r="F83" s="6">
        <v>162</v>
      </c>
      <c r="G83" s="7">
        <f t="shared" si="8"/>
        <v>1</v>
      </c>
      <c r="H83" s="8">
        <v>0.9</v>
      </c>
      <c r="I83" s="5">
        <f t="shared" si="9"/>
        <v>5</v>
      </c>
      <c r="J83" s="5">
        <f t="shared" si="7"/>
        <v>5</v>
      </c>
      <c r="K83" s="5">
        <f t="shared" si="11"/>
        <v>5</v>
      </c>
      <c r="L83" s="5">
        <f t="shared" si="10"/>
        <v>5</v>
      </c>
      <c r="M83" s="5">
        <f t="shared" si="12"/>
        <v>5</v>
      </c>
    </row>
    <row r="84" spans="1:14" ht="33" x14ac:dyDescent="0.45">
      <c r="A84" s="29" t="s">
        <v>108</v>
      </c>
      <c r="B84" s="26">
        <v>44264</v>
      </c>
      <c r="C84" s="30">
        <v>0.59236111111111112</v>
      </c>
      <c r="D84" s="5">
        <f t="shared" si="13"/>
        <v>2080</v>
      </c>
      <c r="E84" s="8">
        <v>0.1</v>
      </c>
      <c r="F84" s="6">
        <v>164</v>
      </c>
      <c r="G84" s="7">
        <f t="shared" si="8"/>
        <v>0.9</v>
      </c>
      <c r="H84" s="8">
        <v>0.7</v>
      </c>
      <c r="I84" s="5">
        <f t="shared" si="9"/>
        <v>5</v>
      </c>
      <c r="J84" s="5">
        <f t="shared" si="7"/>
        <v>5</v>
      </c>
      <c r="K84" s="5">
        <f t="shared" si="11"/>
        <v>4.5</v>
      </c>
      <c r="L84" s="5">
        <f t="shared" si="10"/>
        <v>5</v>
      </c>
      <c r="M84" s="5">
        <f t="shared" si="12"/>
        <v>4.5</v>
      </c>
    </row>
    <row r="85" spans="1:14" ht="33" x14ac:dyDescent="0.45">
      <c r="A85" s="29" t="s">
        <v>109</v>
      </c>
      <c r="B85" s="26">
        <v>44264</v>
      </c>
      <c r="C85" s="30">
        <v>0.61041666666666672</v>
      </c>
      <c r="D85" s="5">
        <f t="shared" si="13"/>
        <v>2085</v>
      </c>
      <c r="E85" s="8">
        <v>0</v>
      </c>
      <c r="F85" s="6">
        <v>168</v>
      </c>
      <c r="G85" s="7">
        <f t="shared" si="8"/>
        <v>1</v>
      </c>
      <c r="H85" s="8">
        <v>0.7</v>
      </c>
      <c r="I85" s="5">
        <f t="shared" si="9"/>
        <v>5</v>
      </c>
      <c r="J85" s="5">
        <f t="shared" si="7"/>
        <v>5</v>
      </c>
      <c r="K85" s="5">
        <f t="shared" si="11"/>
        <v>5</v>
      </c>
      <c r="L85" s="5">
        <f t="shared" si="10"/>
        <v>5</v>
      </c>
      <c r="M85" s="5">
        <f t="shared" si="12"/>
        <v>5</v>
      </c>
    </row>
    <row r="86" spans="1:14" ht="33" x14ac:dyDescent="0.45">
      <c r="A86" s="29" t="s">
        <v>110</v>
      </c>
      <c r="B86" s="26">
        <v>44264</v>
      </c>
      <c r="C86" s="30">
        <v>0.61736111111111114</v>
      </c>
      <c r="D86" s="5">
        <f t="shared" si="13"/>
        <v>2090</v>
      </c>
      <c r="E86" s="8">
        <v>0.2</v>
      </c>
      <c r="F86" s="6">
        <v>158</v>
      </c>
      <c r="G86" s="7">
        <f t="shared" si="8"/>
        <v>0.8</v>
      </c>
      <c r="H86" s="8">
        <v>0.6</v>
      </c>
      <c r="I86" s="5">
        <f t="shared" si="9"/>
        <v>5</v>
      </c>
      <c r="J86" s="5">
        <f t="shared" si="7"/>
        <v>5</v>
      </c>
      <c r="K86" s="5">
        <f t="shared" si="11"/>
        <v>4</v>
      </c>
      <c r="L86" s="5">
        <f t="shared" si="10"/>
        <v>5</v>
      </c>
      <c r="M86" s="5">
        <f t="shared" si="12"/>
        <v>4</v>
      </c>
    </row>
    <row r="87" spans="1:14" ht="33" x14ac:dyDescent="0.45">
      <c r="A87" s="29" t="s">
        <v>111</v>
      </c>
      <c r="B87" s="26">
        <v>44264</v>
      </c>
      <c r="C87" s="30">
        <v>0.64444444444444449</v>
      </c>
      <c r="D87" s="5">
        <f t="shared" si="13"/>
        <v>2095</v>
      </c>
      <c r="E87" s="8">
        <v>0.05</v>
      </c>
      <c r="F87" s="6">
        <v>160</v>
      </c>
      <c r="G87" s="7">
        <f t="shared" si="8"/>
        <v>0.95</v>
      </c>
      <c r="H87" s="8">
        <v>0.6</v>
      </c>
      <c r="I87" s="5">
        <f t="shared" si="9"/>
        <v>5</v>
      </c>
      <c r="J87" s="5">
        <f t="shared" si="7"/>
        <v>5</v>
      </c>
      <c r="K87" s="5">
        <f t="shared" si="11"/>
        <v>4.75</v>
      </c>
      <c r="L87" s="5">
        <f t="shared" si="10"/>
        <v>5</v>
      </c>
      <c r="M87" s="5">
        <f t="shared" si="12"/>
        <v>4.75</v>
      </c>
    </row>
    <row r="88" spans="1:14" ht="33" x14ac:dyDescent="0.45">
      <c r="A88" s="29" t="s">
        <v>112</v>
      </c>
      <c r="B88" s="26">
        <v>44264</v>
      </c>
      <c r="C88" s="30">
        <v>0.64583333333333337</v>
      </c>
      <c r="D88" s="5">
        <f t="shared" si="13"/>
        <v>2100</v>
      </c>
      <c r="E88" s="8">
        <v>0.05</v>
      </c>
      <c r="F88" s="6">
        <v>160</v>
      </c>
      <c r="G88" s="7">
        <f t="shared" si="8"/>
        <v>0.95</v>
      </c>
      <c r="H88" s="8">
        <v>0.6</v>
      </c>
      <c r="I88" s="5">
        <f t="shared" si="9"/>
        <v>5</v>
      </c>
      <c r="J88" s="5">
        <f t="shared" si="7"/>
        <v>5</v>
      </c>
      <c r="K88" s="5">
        <f t="shared" si="11"/>
        <v>4.75</v>
      </c>
      <c r="L88" s="5">
        <f t="shared" si="10"/>
        <v>5</v>
      </c>
      <c r="M88" s="5">
        <f t="shared" si="12"/>
        <v>4.75</v>
      </c>
    </row>
    <row r="89" spans="1:14" ht="33" x14ac:dyDescent="0.45">
      <c r="A89" s="29" t="s">
        <v>113</v>
      </c>
      <c r="B89" s="26">
        <v>44264</v>
      </c>
      <c r="C89" s="30">
        <v>0.65625</v>
      </c>
      <c r="D89" s="5">
        <f t="shared" si="13"/>
        <v>2105</v>
      </c>
      <c r="E89" s="8">
        <v>0.05</v>
      </c>
      <c r="F89" s="6">
        <v>150</v>
      </c>
      <c r="G89" s="7">
        <f t="shared" si="8"/>
        <v>0.95</v>
      </c>
      <c r="H89" s="8">
        <v>0.6</v>
      </c>
      <c r="I89" s="5">
        <f t="shared" si="9"/>
        <v>5</v>
      </c>
      <c r="J89" s="5">
        <f t="shared" si="7"/>
        <v>5</v>
      </c>
      <c r="K89" s="5">
        <f t="shared" si="11"/>
        <v>4.75</v>
      </c>
      <c r="L89" s="5">
        <f t="shared" si="10"/>
        <v>5</v>
      </c>
      <c r="M89" s="5">
        <f t="shared" si="12"/>
        <v>4.75</v>
      </c>
    </row>
    <row r="90" spans="1:14" ht="33" x14ac:dyDescent="0.45">
      <c r="A90" s="29" t="s">
        <v>114</v>
      </c>
      <c r="B90" s="26">
        <v>44264</v>
      </c>
      <c r="C90" s="30">
        <v>0.65625</v>
      </c>
      <c r="D90" s="5">
        <f t="shared" si="13"/>
        <v>2110</v>
      </c>
      <c r="E90" s="8">
        <v>0.05</v>
      </c>
      <c r="F90" s="6">
        <v>170</v>
      </c>
      <c r="G90" s="7">
        <f t="shared" si="8"/>
        <v>0.95</v>
      </c>
      <c r="H90" s="8">
        <v>0.6</v>
      </c>
      <c r="I90" s="5">
        <f t="shared" si="9"/>
        <v>5</v>
      </c>
      <c r="J90" s="5">
        <f t="shared" si="7"/>
        <v>5</v>
      </c>
      <c r="K90" s="5">
        <f t="shared" si="11"/>
        <v>4.75</v>
      </c>
      <c r="L90" s="5">
        <f t="shared" si="10"/>
        <v>5</v>
      </c>
      <c r="M90" s="5">
        <f t="shared" si="12"/>
        <v>4.75</v>
      </c>
    </row>
    <row r="91" spans="1:14" ht="33" x14ac:dyDescent="0.45">
      <c r="A91" s="29" t="s">
        <v>115</v>
      </c>
      <c r="B91" s="26">
        <v>44264</v>
      </c>
      <c r="C91" s="30">
        <v>0.69166666666666676</v>
      </c>
      <c r="D91" s="5">
        <f t="shared" si="13"/>
        <v>2115</v>
      </c>
      <c r="E91" s="8">
        <v>0</v>
      </c>
      <c r="F91" s="6">
        <v>186</v>
      </c>
      <c r="G91" s="7">
        <f t="shared" si="8"/>
        <v>1</v>
      </c>
      <c r="H91" s="8">
        <v>0.75</v>
      </c>
      <c r="I91" s="5">
        <f t="shared" si="9"/>
        <v>5</v>
      </c>
      <c r="J91" s="5">
        <f t="shared" si="7"/>
        <v>5</v>
      </c>
      <c r="K91" s="5">
        <f t="shared" si="11"/>
        <v>5</v>
      </c>
      <c r="L91" s="5">
        <f t="shared" si="10"/>
        <v>5</v>
      </c>
      <c r="M91" s="5">
        <f t="shared" si="12"/>
        <v>5</v>
      </c>
    </row>
    <row r="92" spans="1:14" ht="33" x14ac:dyDescent="0.45">
      <c r="A92" s="29" t="s">
        <v>116</v>
      </c>
      <c r="B92" s="26">
        <v>44264</v>
      </c>
      <c r="C92" s="30">
        <v>0.69652777777777775</v>
      </c>
      <c r="D92" s="5">
        <f t="shared" si="13"/>
        <v>2120</v>
      </c>
      <c r="E92" s="8">
        <v>0</v>
      </c>
      <c r="F92" s="6">
        <v>179</v>
      </c>
      <c r="G92" s="7">
        <f t="shared" si="8"/>
        <v>1</v>
      </c>
      <c r="H92" s="8">
        <v>0.85</v>
      </c>
      <c r="I92" s="5">
        <f t="shared" si="9"/>
        <v>5</v>
      </c>
      <c r="J92" s="5">
        <f t="shared" si="7"/>
        <v>5</v>
      </c>
      <c r="K92" s="5">
        <f t="shared" si="11"/>
        <v>5</v>
      </c>
      <c r="L92" s="5">
        <f t="shared" si="10"/>
        <v>5</v>
      </c>
      <c r="M92" s="5">
        <f t="shared" si="12"/>
        <v>5</v>
      </c>
    </row>
    <row r="93" spans="1:14" ht="33" x14ac:dyDescent="0.45">
      <c r="A93" s="29" t="s">
        <v>117</v>
      </c>
      <c r="B93" s="26">
        <v>44264</v>
      </c>
      <c r="C93" s="30">
        <v>0.71458333333333324</v>
      </c>
      <c r="D93" s="5">
        <f t="shared" si="13"/>
        <v>2125</v>
      </c>
      <c r="E93" s="8">
        <v>0</v>
      </c>
      <c r="F93" s="6">
        <v>188</v>
      </c>
      <c r="G93" s="7">
        <f t="shared" si="8"/>
        <v>1</v>
      </c>
      <c r="H93" s="8">
        <v>0.85</v>
      </c>
      <c r="I93" s="5">
        <f t="shared" si="9"/>
        <v>5</v>
      </c>
      <c r="J93" s="5">
        <f t="shared" si="7"/>
        <v>5</v>
      </c>
      <c r="K93" s="5">
        <f t="shared" si="11"/>
        <v>5</v>
      </c>
      <c r="L93" s="5">
        <f t="shared" si="10"/>
        <v>5</v>
      </c>
      <c r="M93" s="5">
        <f t="shared" si="12"/>
        <v>5</v>
      </c>
    </row>
    <row r="94" spans="1:14" s="25" customFormat="1" ht="33" x14ac:dyDescent="0.45">
      <c r="A94" s="29" t="s">
        <v>118</v>
      </c>
      <c r="B94" s="26">
        <v>44264</v>
      </c>
      <c r="C94" s="30">
        <v>0.71458333333333324</v>
      </c>
      <c r="D94" s="5">
        <f t="shared" si="13"/>
        <v>2130</v>
      </c>
      <c r="E94" s="22">
        <v>0.05</v>
      </c>
      <c r="F94" s="23">
        <v>145</v>
      </c>
      <c r="G94" s="7">
        <f t="shared" si="8"/>
        <v>0.95</v>
      </c>
      <c r="H94" s="22">
        <v>0.8</v>
      </c>
      <c r="I94" s="21">
        <f t="shared" si="9"/>
        <v>5</v>
      </c>
      <c r="J94" s="21">
        <f t="shared" si="7"/>
        <v>5</v>
      </c>
      <c r="K94" s="21">
        <f t="shared" si="11"/>
        <v>4.75</v>
      </c>
      <c r="L94" s="21">
        <f t="shared" si="10"/>
        <v>5</v>
      </c>
      <c r="M94" s="21">
        <f t="shared" si="12"/>
        <v>4.75</v>
      </c>
      <c r="N94" s="24"/>
    </row>
    <row r="95" spans="1:14" ht="33" x14ac:dyDescent="0.45">
      <c r="A95" s="29" t="s">
        <v>119</v>
      </c>
      <c r="B95" s="26">
        <v>44264</v>
      </c>
      <c r="C95" s="30">
        <v>0.73125000000000007</v>
      </c>
      <c r="D95" s="5">
        <f t="shared" si="13"/>
        <v>2135</v>
      </c>
      <c r="E95" s="8">
        <v>0</v>
      </c>
      <c r="F95" s="6">
        <v>145</v>
      </c>
      <c r="G95" s="7">
        <f t="shared" si="8"/>
        <v>1</v>
      </c>
      <c r="H95" s="8">
        <v>0.8</v>
      </c>
      <c r="I95" s="5">
        <f t="shared" si="9"/>
        <v>5</v>
      </c>
      <c r="J95" s="5">
        <f t="shared" si="7"/>
        <v>5</v>
      </c>
      <c r="K95" s="5">
        <f t="shared" si="11"/>
        <v>5</v>
      </c>
      <c r="L95" s="5">
        <f t="shared" si="10"/>
        <v>5</v>
      </c>
      <c r="M95" s="5">
        <f t="shared" si="12"/>
        <v>5</v>
      </c>
    </row>
    <row r="96" spans="1:14" ht="33" x14ac:dyDescent="0.45">
      <c r="A96" s="29" t="s">
        <v>120</v>
      </c>
      <c r="B96" s="26">
        <v>44264</v>
      </c>
      <c r="C96" s="30">
        <v>0.73958333333333337</v>
      </c>
      <c r="D96" s="5">
        <f t="shared" si="13"/>
        <v>2140</v>
      </c>
      <c r="E96" s="8">
        <v>0</v>
      </c>
      <c r="F96" s="6">
        <v>205</v>
      </c>
      <c r="G96" s="7">
        <f t="shared" si="8"/>
        <v>1</v>
      </c>
      <c r="H96" s="8">
        <v>0.95</v>
      </c>
      <c r="I96" s="5">
        <f t="shared" si="9"/>
        <v>5</v>
      </c>
      <c r="J96" s="5">
        <f t="shared" si="7"/>
        <v>5</v>
      </c>
      <c r="K96" s="5">
        <f t="shared" si="11"/>
        <v>5</v>
      </c>
      <c r="L96" s="5">
        <f t="shared" si="10"/>
        <v>5</v>
      </c>
      <c r="M96" s="5">
        <f t="shared" si="12"/>
        <v>5</v>
      </c>
    </row>
    <row r="97" spans="1:15" x14ac:dyDescent="0.45">
      <c r="A97" s="29" t="s">
        <v>121</v>
      </c>
      <c r="B97" s="26">
        <v>44264</v>
      </c>
      <c r="C97" s="30">
        <v>0.74722222222222223</v>
      </c>
      <c r="D97" s="5">
        <f t="shared" si="13"/>
        <v>2145</v>
      </c>
      <c r="E97" s="8">
        <v>0</v>
      </c>
      <c r="F97" s="6">
        <v>186</v>
      </c>
      <c r="G97" s="7">
        <f t="shared" si="8"/>
        <v>1</v>
      </c>
      <c r="H97" s="8">
        <v>1</v>
      </c>
      <c r="I97" s="5">
        <f t="shared" si="9"/>
        <v>5</v>
      </c>
      <c r="J97" s="5">
        <f t="shared" si="7"/>
        <v>5</v>
      </c>
      <c r="K97" s="5">
        <f t="shared" si="11"/>
        <v>5</v>
      </c>
      <c r="L97" s="5">
        <f t="shared" si="10"/>
        <v>5</v>
      </c>
      <c r="M97" s="5">
        <f t="shared" si="12"/>
        <v>5</v>
      </c>
    </row>
    <row r="98" spans="1:15" ht="33" x14ac:dyDescent="0.45">
      <c r="A98" s="29" t="s">
        <v>122</v>
      </c>
      <c r="B98" s="26">
        <v>44264</v>
      </c>
      <c r="C98" s="30">
        <v>0.7583333333333333</v>
      </c>
      <c r="D98" s="5">
        <f t="shared" si="13"/>
        <v>2150</v>
      </c>
      <c r="E98" s="8">
        <v>0</v>
      </c>
      <c r="F98" s="6">
        <v>186</v>
      </c>
      <c r="G98" s="7">
        <f t="shared" si="8"/>
        <v>1</v>
      </c>
      <c r="H98" s="8">
        <v>1</v>
      </c>
      <c r="I98" s="5">
        <f t="shared" si="9"/>
        <v>5</v>
      </c>
      <c r="J98" s="5">
        <f t="shared" si="7"/>
        <v>5</v>
      </c>
      <c r="K98" s="5">
        <f t="shared" si="11"/>
        <v>5</v>
      </c>
      <c r="L98" s="5">
        <f t="shared" si="10"/>
        <v>5</v>
      </c>
      <c r="M98" s="5">
        <f t="shared" si="12"/>
        <v>5</v>
      </c>
    </row>
    <row r="99" spans="1:15" x14ac:dyDescent="0.45">
      <c r="A99" s="29" t="s">
        <v>123</v>
      </c>
      <c r="B99" s="26">
        <v>44264</v>
      </c>
      <c r="C99" s="30">
        <v>0.78749999999999998</v>
      </c>
      <c r="D99" s="5">
        <f>D98+5</f>
        <v>2155</v>
      </c>
      <c r="E99" s="8">
        <v>0.05</v>
      </c>
      <c r="F99" s="6">
        <v>182</v>
      </c>
      <c r="G99" s="7">
        <f t="shared" si="8"/>
        <v>0.95</v>
      </c>
      <c r="H99" s="8">
        <v>1</v>
      </c>
      <c r="I99" s="5">
        <f t="shared" si="9"/>
        <v>5</v>
      </c>
      <c r="J99" s="5">
        <f t="shared" si="7"/>
        <v>5</v>
      </c>
      <c r="K99" s="5">
        <f t="shared" si="11"/>
        <v>4.75</v>
      </c>
      <c r="L99" s="5">
        <f t="shared" si="10"/>
        <v>5</v>
      </c>
      <c r="M99" s="5">
        <f t="shared" si="12"/>
        <v>4.75</v>
      </c>
    </row>
    <row r="100" spans="1:15" ht="33" x14ac:dyDescent="0.45">
      <c r="A100" s="29" t="s">
        <v>124</v>
      </c>
      <c r="B100" s="26">
        <v>44264</v>
      </c>
      <c r="C100" s="30">
        <v>0.79513888888888884</v>
      </c>
      <c r="D100" s="5">
        <f t="shared" ref="D100:D105" si="14">D99+5</f>
        <v>2160</v>
      </c>
      <c r="E100" s="8">
        <v>0.1</v>
      </c>
      <c r="F100" s="6">
        <v>185</v>
      </c>
      <c r="G100" s="7">
        <f t="shared" si="8"/>
        <v>0.9</v>
      </c>
      <c r="H100" s="8">
        <v>1</v>
      </c>
      <c r="I100" s="5">
        <f t="shared" si="9"/>
        <v>5</v>
      </c>
      <c r="J100" s="5">
        <f t="shared" si="7"/>
        <v>5</v>
      </c>
      <c r="K100" s="5">
        <f t="shared" si="11"/>
        <v>4.5</v>
      </c>
      <c r="L100" s="5">
        <f t="shared" si="10"/>
        <v>5</v>
      </c>
      <c r="M100" s="5">
        <f t="shared" si="12"/>
        <v>4.5</v>
      </c>
    </row>
    <row r="101" spans="1:15" ht="33" x14ac:dyDescent="0.45">
      <c r="A101" s="29" t="s">
        <v>125</v>
      </c>
      <c r="B101" s="26">
        <v>44264</v>
      </c>
      <c r="C101" s="30">
        <v>0.82361111111111107</v>
      </c>
      <c r="D101" s="5">
        <f t="shared" si="14"/>
        <v>2165</v>
      </c>
      <c r="E101" s="8">
        <v>0.1</v>
      </c>
      <c r="F101" s="6">
        <v>243</v>
      </c>
      <c r="G101" s="7">
        <f t="shared" si="8"/>
        <v>0.9</v>
      </c>
      <c r="H101" s="8">
        <v>1</v>
      </c>
      <c r="I101" s="5">
        <f t="shared" si="9"/>
        <v>5</v>
      </c>
      <c r="J101" s="5">
        <f t="shared" si="7"/>
        <v>5</v>
      </c>
      <c r="K101" s="5">
        <f t="shared" si="11"/>
        <v>4.5</v>
      </c>
      <c r="L101" s="5">
        <f t="shared" si="10"/>
        <v>5</v>
      </c>
      <c r="M101" s="5">
        <f t="shared" si="12"/>
        <v>4.5</v>
      </c>
    </row>
    <row r="102" spans="1:15" ht="33" x14ac:dyDescent="0.45">
      <c r="A102" s="29" t="s">
        <v>126</v>
      </c>
      <c r="B102" s="26">
        <v>44264</v>
      </c>
      <c r="C102" s="30">
        <v>0.8256944444444444</v>
      </c>
      <c r="D102" s="5">
        <f t="shared" si="14"/>
        <v>2170</v>
      </c>
      <c r="E102" s="8">
        <v>0.1</v>
      </c>
      <c r="F102" s="6">
        <v>221</v>
      </c>
      <c r="G102" s="7">
        <f t="shared" si="8"/>
        <v>0.9</v>
      </c>
      <c r="H102" s="8">
        <v>1</v>
      </c>
      <c r="I102" s="5">
        <f t="shared" si="9"/>
        <v>5</v>
      </c>
      <c r="J102" s="5">
        <f t="shared" si="7"/>
        <v>5</v>
      </c>
      <c r="K102" s="5">
        <f t="shared" si="11"/>
        <v>4.5</v>
      </c>
      <c r="L102" s="5">
        <f t="shared" si="10"/>
        <v>5</v>
      </c>
      <c r="M102" s="5">
        <f t="shared" si="12"/>
        <v>4.5</v>
      </c>
    </row>
    <row r="103" spans="1:15" ht="33" x14ac:dyDescent="0.45">
      <c r="A103" s="29" t="s">
        <v>127</v>
      </c>
      <c r="B103" s="26">
        <v>44264</v>
      </c>
      <c r="C103" s="30">
        <v>0.84305555555555556</v>
      </c>
      <c r="D103" s="5">
        <f t="shared" si="14"/>
        <v>2175</v>
      </c>
      <c r="E103" s="8">
        <v>0.1</v>
      </c>
      <c r="F103" s="6">
        <v>200</v>
      </c>
      <c r="G103" s="7">
        <f t="shared" si="8"/>
        <v>0.9</v>
      </c>
      <c r="H103" s="8">
        <v>1</v>
      </c>
      <c r="I103" s="5">
        <f t="shared" si="9"/>
        <v>5</v>
      </c>
      <c r="J103" s="5">
        <f t="shared" si="7"/>
        <v>5</v>
      </c>
      <c r="K103" s="5">
        <f t="shared" si="11"/>
        <v>4.5</v>
      </c>
      <c r="L103" s="5">
        <f t="shared" si="10"/>
        <v>5</v>
      </c>
      <c r="M103" s="5">
        <f t="shared" si="12"/>
        <v>4.5</v>
      </c>
    </row>
    <row r="104" spans="1:15" ht="33" x14ac:dyDescent="0.45">
      <c r="A104" s="29" t="s">
        <v>128</v>
      </c>
      <c r="B104" s="26">
        <v>44264</v>
      </c>
      <c r="C104" s="30">
        <v>0.85625000000000007</v>
      </c>
      <c r="D104" s="5">
        <f t="shared" si="14"/>
        <v>2180</v>
      </c>
      <c r="E104" s="8">
        <v>0.2</v>
      </c>
      <c r="F104" s="6">
        <v>195</v>
      </c>
      <c r="G104" s="7">
        <f t="shared" si="8"/>
        <v>0.8</v>
      </c>
      <c r="H104" s="8">
        <v>1</v>
      </c>
      <c r="I104" s="5">
        <f t="shared" si="9"/>
        <v>5</v>
      </c>
      <c r="J104" s="5">
        <f t="shared" si="7"/>
        <v>5</v>
      </c>
      <c r="K104" s="5">
        <f t="shared" si="11"/>
        <v>4</v>
      </c>
      <c r="L104" s="5">
        <f t="shared" si="10"/>
        <v>5</v>
      </c>
      <c r="M104" s="5">
        <f t="shared" si="12"/>
        <v>4</v>
      </c>
    </row>
    <row r="105" spans="1:15" ht="33" x14ac:dyDescent="0.45">
      <c r="A105" s="29" t="s">
        <v>129</v>
      </c>
      <c r="B105" s="26">
        <v>44264</v>
      </c>
      <c r="C105" s="30">
        <v>0.87083333333333324</v>
      </c>
      <c r="D105" s="5">
        <f t="shared" si="14"/>
        <v>2185</v>
      </c>
      <c r="E105" s="8">
        <v>0.15</v>
      </c>
      <c r="F105" s="6">
        <v>160</v>
      </c>
      <c r="G105" s="7">
        <f t="shared" si="8"/>
        <v>0.85</v>
      </c>
      <c r="H105" s="8">
        <v>1</v>
      </c>
      <c r="I105" s="5">
        <f t="shared" si="9"/>
        <v>5</v>
      </c>
      <c r="J105" s="5">
        <f t="shared" si="7"/>
        <v>5</v>
      </c>
      <c r="K105" s="5">
        <f t="shared" si="11"/>
        <v>4.25</v>
      </c>
      <c r="L105" s="5">
        <f t="shared" si="10"/>
        <v>5</v>
      </c>
      <c r="M105" s="5">
        <f t="shared" si="12"/>
        <v>4.25</v>
      </c>
    </row>
    <row r="106" spans="1:15" ht="33" x14ac:dyDescent="0.45">
      <c r="A106" s="29" t="s">
        <v>130</v>
      </c>
      <c r="B106" s="26">
        <v>44264</v>
      </c>
      <c r="C106" s="30">
        <v>0.89583333333333337</v>
      </c>
      <c r="D106" s="5">
        <v>2190</v>
      </c>
      <c r="E106" s="8">
        <v>0.2</v>
      </c>
      <c r="F106" s="6">
        <v>120</v>
      </c>
      <c r="G106" s="7">
        <f t="shared" si="8"/>
        <v>0.8</v>
      </c>
      <c r="H106" s="8">
        <v>0.6</v>
      </c>
      <c r="I106" s="5">
        <f t="shared" si="9"/>
        <v>5</v>
      </c>
      <c r="J106" s="5">
        <f t="shared" si="7"/>
        <v>5</v>
      </c>
      <c r="K106" s="5">
        <f t="shared" si="11"/>
        <v>4</v>
      </c>
      <c r="L106" s="5">
        <f t="shared" si="10"/>
        <v>5</v>
      </c>
      <c r="M106" s="5">
        <f t="shared" si="12"/>
        <v>4</v>
      </c>
      <c r="N106" s="15" t="s">
        <v>131</v>
      </c>
      <c r="O106" t="s">
        <v>132</v>
      </c>
    </row>
    <row r="107" spans="1:15" x14ac:dyDescent="0.45">
      <c r="A107" s="9" t="s">
        <v>133</v>
      </c>
      <c r="B107" s="26">
        <v>44264</v>
      </c>
      <c r="C107" s="30">
        <v>0.92222222222222217</v>
      </c>
      <c r="D107" s="5">
        <v>2195</v>
      </c>
      <c r="E107" s="8">
        <v>0.6</v>
      </c>
      <c r="F107" s="6">
        <v>97</v>
      </c>
      <c r="G107" s="7">
        <f t="shared" si="8"/>
        <v>0.4</v>
      </c>
      <c r="H107" s="8">
        <v>0.5</v>
      </c>
      <c r="I107" s="5">
        <f t="shared" si="9"/>
        <v>5</v>
      </c>
      <c r="J107" s="5">
        <f t="shared" si="7"/>
        <v>0</v>
      </c>
      <c r="K107" s="5">
        <f t="shared" si="11"/>
        <v>0</v>
      </c>
      <c r="L107" s="5">
        <f t="shared" si="10"/>
        <v>0</v>
      </c>
      <c r="M107" s="5">
        <f t="shared" si="12"/>
        <v>0</v>
      </c>
    </row>
    <row r="108" spans="1:15" x14ac:dyDescent="0.45">
      <c r="A108" s="9" t="s">
        <v>134</v>
      </c>
      <c r="B108" s="26">
        <v>44264</v>
      </c>
      <c r="C108" s="30">
        <v>0.93194444444444446</v>
      </c>
      <c r="D108" s="5">
        <v>2200</v>
      </c>
      <c r="E108" s="8">
        <v>0.5</v>
      </c>
      <c r="F108" s="6">
        <v>100</v>
      </c>
      <c r="G108" s="7">
        <f t="shared" si="8"/>
        <v>0.5</v>
      </c>
      <c r="H108" s="8">
        <v>0.4</v>
      </c>
      <c r="I108" s="5">
        <f t="shared" si="9"/>
        <v>5</v>
      </c>
      <c r="J108" s="5">
        <f t="shared" si="7"/>
        <v>0</v>
      </c>
      <c r="K108" s="5">
        <f t="shared" si="11"/>
        <v>0</v>
      </c>
      <c r="L108" s="5">
        <f t="shared" si="10"/>
        <v>0</v>
      </c>
      <c r="M108" s="5">
        <f t="shared" si="12"/>
        <v>0</v>
      </c>
    </row>
    <row r="109" spans="1:15" ht="33" x14ac:dyDescent="0.45">
      <c r="A109" s="29" t="s">
        <v>135</v>
      </c>
      <c r="B109" s="26">
        <v>44264</v>
      </c>
      <c r="C109" s="30">
        <v>0.95000000000000007</v>
      </c>
      <c r="D109" s="5">
        <v>2205</v>
      </c>
      <c r="E109" s="8">
        <v>0.55000000000000004</v>
      </c>
      <c r="F109" s="6">
        <v>94</v>
      </c>
      <c r="G109" s="7">
        <f t="shared" si="8"/>
        <v>0.44999999999999996</v>
      </c>
      <c r="H109" s="8">
        <v>0.3</v>
      </c>
      <c r="I109" s="5">
        <f t="shared" si="9"/>
        <v>5</v>
      </c>
      <c r="J109" s="5">
        <f t="shared" si="7"/>
        <v>0</v>
      </c>
      <c r="K109" s="5">
        <f t="shared" si="11"/>
        <v>0</v>
      </c>
      <c r="L109" s="5">
        <f t="shared" si="10"/>
        <v>0</v>
      </c>
      <c r="M109" s="5">
        <f t="shared" si="12"/>
        <v>0</v>
      </c>
    </row>
    <row r="110" spans="1:15" ht="33" x14ac:dyDescent="0.45">
      <c r="A110" s="29" t="s">
        <v>136</v>
      </c>
      <c r="B110" s="26">
        <v>44264</v>
      </c>
      <c r="C110" s="30">
        <v>0.95000000000000007</v>
      </c>
      <c r="D110" s="5">
        <v>2210</v>
      </c>
      <c r="E110" s="8">
        <v>0.55000000000000004</v>
      </c>
      <c r="F110" s="6">
        <v>112</v>
      </c>
      <c r="G110" s="7">
        <f t="shared" si="8"/>
        <v>0.44999999999999996</v>
      </c>
      <c r="H110" s="8">
        <v>0.1</v>
      </c>
      <c r="I110" s="5">
        <f t="shared" si="9"/>
        <v>5</v>
      </c>
      <c r="J110" s="5">
        <f t="shared" si="7"/>
        <v>0</v>
      </c>
      <c r="K110" s="5">
        <f t="shared" si="11"/>
        <v>0</v>
      </c>
      <c r="L110" s="5">
        <f t="shared" si="10"/>
        <v>0</v>
      </c>
      <c r="M110" s="5">
        <f t="shared" si="12"/>
        <v>0</v>
      </c>
    </row>
    <row r="111" spans="1:15" ht="33" x14ac:dyDescent="0.45">
      <c r="A111" s="29" t="s">
        <v>137</v>
      </c>
      <c r="B111" s="26">
        <v>44264</v>
      </c>
      <c r="C111" s="30" t="s">
        <v>138</v>
      </c>
      <c r="D111" s="5">
        <v>2215</v>
      </c>
      <c r="E111" s="8">
        <v>0.7</v>
      </c>
      <c r="F111" s="6">
        <v>110</v>
      </c>
      <c r="G111" s="7">
        <f t="shared" si="8"/>
        <v>0.30000000000000004</v>
      </c>
      <c r="H111" s="8">
        <v>0.1</v>
      </c>
      <c r="I111" s="5">
        <f t="shared" si="9"/>
        <v>5</v>
      </c>
      <c r="J111" s="5">
        <f t="shared" si="7"/>
        <v>0</v>
      </c>
      <c r="K111" s="5">
        <f t="shared" si="11"/>
        <v>0</v>
      </c>
      <c r="L111" s="5">
        <f t="shared" si="10"/>
        <v>0</v>
      </c>
      <c r="M111" s="5">
        <f t="shared" si="12"/>
        <v>0</v>
      </c>
      <c r="N111" s="15" t="s">
        <v>139</v>
      </c>
    </row>
    <row r="112" spans="1:15" x14ac:dyDescent="0.45">
      <c r="A112" s="9" t="s">
        <v>140</v>
      </c>
      <c r="B112" s="26">
        <v>44264</v>
      </c>
      <c r="C112" s="4">
        <v>0.9902777777777777</v>
      </c>
      <c r="D112" s="5">
        <v>2220</v>
      </c>
      <c r="E112" s="8">
        <v>0.6</v>
      </c>
      <c r="F112" s="6">
        <v>85</v>
      </c>
      <c r="G112" s="7">
        <f t="shared" si="8"/>
        <v>0.4</v>
      </c>
      <c r="H112" s="8">
        <v>0.2</v>
      </c>
      <c r="I112" s="5">
        <f t="shared" si="9"/>
        <v>5</v>
      </c>
      <c r="J112" s="5">
        <f t="shared" si="7"/>
        <v>0</v>
      </c>
      <c r="K112" s="5">
        <f t="shared" si="11"/>
        <v>0</v>
      </c>
      <c r="L112" s="5">
        <f t="shared" si="10"/>
        <v>0</v>
      </c>
      <c r="M112" s="5">
        <f t="shared" si="12"/>
        <v>0</v>
      </c>
    </row>
    <row r="113" spans="1:14" x14ac:dyDescent="0.45">
      <c r="A113" s="9" t="s">
        <v>141</v>
      </c>
      <c r="B113" s="26">
        <v>44295</v>
      </c>
      <c r="C113" s="4">
        <v>1.3888888888888889E-3</v>
      </c>
      <c r="D113" s="5">
        <v>2225</v>
      </c>
      <c r="E113" s="8">
        <v>0.6</v>
      </c>
      <c r="F113" s="6">
        <v>88</v>
      </c>
      <c r="G113" s="7">
        <f t="shared" si="8"/>
        <v>0.4</v>
      </c>
      <c r="H113" s="8">
        <v>0.4</v>
      </c>
      <c r="I113" s="5">
        <f t="shared" si="9"/>
        <v>5</v>
      </c>
      <c r="J113" s="5">
        <f t="shared" si="7"/>
        <v>0</v>
      </c>
      <c r="K113" s="5">
        <f t="shared" si="11"/>
        <v>0</v>
      </c>
      <c r="L113" s="5">
        <f t="shared" si="10"/>
        <v>0</v>
      </c>
      <c r="M113" s="5">
        <f t="shared" si="12"/>
        <v>0</v>
      </c>
    </row>
    <row r="114" spans="1:14" s="25" customFormat="1" x14ac:dyDescent="0.45">
      <c r="A114" s="19" t="s">
        <v>142</v>
      </c>
      <c r="B114" s="27">
        <v>44295</v>
      </c>
      <c r="C114" s="20">
        <v>0.5180555555555556</v>
      </c>
      <c r="D114" s="21">
        <v>2230</v>
      </c>
      <c r="E114" s="22">
        <v>0.5</v>
      </c>
      <c r="F114" s="23">
        <v>80</v>
      </c>
      <c r="G114" s="7">
        <f t="shared" si="8"/>
        <v>0.5</v>
      </c>
      <c r="H114" s="22">
        <v>0.4</v>
      </c>
      <c r="I114" s="21">
        <f t="shared" si="9"/>
        <v>5</v>
      </c>
      <c r="J114" s="21">
        <f t="shared" si="7"/>
        <v>0</v>
      </c>
      <c r="K114" s="21">
        <f t="shared" si="11"/>
        <v>0</v>
      </c>
      <c r="L114" s="21">
        <f t="shared" si="10"/>
        <v>0</v>
      </c>
      <c r="M114" s="21">
        <f t="shared" si="12"/>
        <v>0</v>
      </c>
      <c r="N114" s="24" t="s">
        <v>143</v>
      </c>
    </row>
    <row r="115" spans="1:14" x14ac:dyDescent="0.45">
      <c r="A115" s="9" t="s">
        <v>144</v>
      </c>
      <c r="B115" s="26">
        <v>44295</v>
      </c>
      <c r="C115" s="4">
        <v>3.4027777777777775E-2</v>
      </c>
      <c r="D115" s="5">
        <v>2235</v>
      </c>
      <c r="E115" s="8">
        <v>0.6</v>
      </c>
      <c r="F115" s="6">
        <v>83</v>
      </c>
      <c r="G115" s="7">
        <f t="shared" si="8"/>
        <v>0.4</v>
      </c>
      <c r="H115" s="8">
        <v>0.3</v>
      </c>
      <c r="I115" s="5">
        <f t="shared" si="9"/>
        <v>5</v>
      </c>
      <c r="J115" s="5">
        <f t="shared" si="7"/>
        <v>0</v>
      </c>
      <c r="K115" s="5">
        <f t="shared" si="11"/>
        <v>0</v>
      </c>
      <c r="L115" s="5">
        <f t="shared" si="10"/>
        <v>0</v>
      </c>
      <c r="M115" s="5">
        <f t="shared" si="12"/>
        <v>0</v>
      </c>
    </row>
    <row r="116" spans="1:14" x14ac:dyDescent="0.45">
      <c r="A116" s="9" t="s">
        <v>145</v>
      </c>
      <c r="B116" s="26">
        <v>44295</v>
      </c>
      <c r="C116" s="4">
        <v>0.54097222222222219</v>
      </c>
      <c r="D116" s="5">
        <v>2240</v>
      </c>
      <c r="E116" s="8">
        <v>0.7</v>
      </c>
      <c r="F116" s="6">
        <v>103</v>
      </c>
      <c r="G116" s="7">
        <f t="shared" si="8"/>
        <v>0.30000000000000004</v>
      </c>
      <c r="H116" s="8">
        <v>0.2</v>
      </c>
      <c r="I116" s="5">
        <f t="shared" si="9"/>
        <v>5</v>
      </c>
      <c r="J116" s="5">
        <f t="shared" si="7"/>
        <v>0</v>
      </c>
      <c r="K116" s="5">
        <f t="shared" si="11"/>
        <v>0</v>
      </c>
      <c r="L116" s="5">
        <f t="shared" si="10"/>
        <v>0</v>
      </c>
      <c r="M116" s="5">
        <f t="shared" si="12"/>
        <v>0</v>
      </c>
    </row>
    <row r="117" spans="1:14" x14ac:dyDescent="0.45">
      <c r="A117" s="9" t="s">
        <v>146</v>
      </c>
      <c r="B117" s="26">
        <v>44295</v>
      </c>
      <c r="C117" s="4">
        <v>5.0694444444444452E-2</v>
      </c>
      <c r="D117" s="5">
        <v>2245</v>
      </c>
      <c r="E117" s="8">
        <v>0.5</v>
      </c>
      <c r="F117" s="6">
        <v>190</v>
      </c>
      <c r="G117" s="7">
        <f t="shared" si="8"/>
        <v>0.5</v>
      </c>
      <c r="H117" s="8">
        <v>0.7</v>
      </c>
      <c r="I117" s="5">
        <f t="shared" si="9"/>
        <v>5</v>
      </c>
      <c r="J117" s="5">
        <f t="shared" si="7"/>
        <v>0</v>
      </c>
      <c r="K117" s="5">
        <f t="shared" si="11"/>
        <v>0</v>
      </c>
      <c r="L117" s="5">
        <f t="shared" si="10"/>
        <v>0</v>
      </c>
      <c r="M117" s="5">
        <f t="shared" si="12"/>
        <v>0</v>
      </c>
      <c r="N117" s="15" t="s">
        <v>147</v>
      </c>
    </row>
    <row r="118" spans="1:14" x14ac:dyDescent="0.45">
      <c r="A118" s="17" t="s">
        <v>148</v>
      </c>
      <c r="B118" s="26">
        <v>44295</v>
      </c>
      <c r="C118" s="4">
        <v>6.3194444444444442E-2</v>
      </c>
      <c r="D118" s="5">
        <v>2250</v>
      </c>
      <c r="E118" s="8">
        <v>0.2</v>
      </c>
      <c r="F118" s="6">
        <v>195</v>
      </c>
      <c r="G118" s="7">
        <f t="shared" si="8"/>
        <v>0.8</v>
      </c>
      <c r="H118" s="8">
        <v>1</v>
      </c>
      <c r="I118" s="5">
        <f t="shared" si="9"/>
        <v>5</v>
      </c>
      <c r="J118" s="5">
        <f t="shared" si="7"/>
        <v>5</v>
      </c>
      <c r="K118" s="5">
        <f t="shared" si="11"/>
        <v>4</v>
      </c>
      <c r="L118" s="5">
        <f t="shared" si="10"/>
        <v>5</v>
      </c>
      <c r="M118" s="5">
        <f t="shared" si="12"/>
        <v>4</v>
      </c>
      <c r="N118" s="15" t="s">
        <v>149</v>
      </c>
    </row>
    <row r="119" spans="1:14" x14ac:dyDescent="0.45">
      <c r="A119" s="9" t="s">
        <v>150</v>
      </c>
      <c r="B119" s="26">
        <v>44295</v>
      </c>
      <c r="C119" s="4">
        <v>7.1527777777777787E-2</v>
      </c>
      <c r="D119" s="5">
        <v>2255</v>
      </c>
      <c r="E119" s="8">
        <v>0.15</v>
      </c>
      <c r="F119" s="6">
        <v>158</v>
      </c>
      <c r="G119" s="7">
        <f t="shared" si="8"/>
        <v>0.85</v>
      </c>
      <c r="H119" s="8">
        <v>1</v>
      </c>
      <c r="I119" s="5">
        <f t="shared" si="9"/>
        <v>5</v>
      </c>
      <c r="J119" s="5">
        <f t="shared" si="7"/>
        <v>5</v>
      </c>
      <c r="K119" s="5">
        <f t="shared" si="11"/>
        <v>4.25</v>
      </c>
      <c r="L119" s="5">
        <f t="shared" si="10"/>
        <v>5</v>
      </c>
      <c r="M119" s="5">
        <f t="shared" si="12"/>
        <v>4.25</v>
      </c>
    </row>
    <row r="120" spans="1:14" x14ac:dyDescent="0.45">
      <c r="A120" s="9" t="s">
        <v>151</v>
      </c>
      <c r="B120" s="26">
        <v>44295</v>
      </c>
      <c r="C120" s="4">
        <v>8.8888888888888892E-2</v>
      </c>
      <c r="D120" s="5">
        <v>2260</v>
      </c>
      <c r="E120" s="8">
        <v>0.2</v>
      </c>
      <c r="F120" s="6">
        <v>156</v>
      </c>
      <c r="G120" s="7">
        <f t="shared" si="8"/>
        <v>0.8</v>
      </c>
      <c r="H120" s="8">
        <v>1</v>
      </c>
      <c r="I120" s="5">
        <f t="shared" si="9"/>
        <v>5</v>
      </c>
      <c r="J120" s="5">
        <f t="shared" si="7"/>
        <v>5</v>
      </c>
      <c r="K120" s="5">
        <f t="shared" si="11"/>
        <v>4</v>
      </c>
      <c r="L120" s="5">
        <f t="shared" si="10"/>
        <v>5</v>
      </c>
      <c r="M120" s="5">
        <f t="shared" si="12"/>
        <v>4</v>
      </c>
    </row>
    <row r="121" spans="1:14" x14ac:dyDescent="0.45">
      <c r="A121" s="9" t="s">
        <v>152</v>
      </c>
      <c r="B121" s="26">
        <v>44295</v>
      </c>
      <c r="C121" s="4">
        <v>9.375E-2</v>
      </c>
      <c r="D121" s="5">
        <v>2265</v>
      </c>
      <c r="E121" s="8">
        <v>0.3</v>
      </c>
      <c r="F121" s="6">
        <v>132</v>
      </c>
      <c r="G121" s="7">
        <f t="shared" si="8"/>
        <v>0.7</v>
      </c>
      <c r="H121" s="8">
        <v>0.8</v>
      </c>
      <c r="I121" s="5">
        <f t="shared" si="9"/>
        <v>5</v>
      </c>
      <c r="J121" s="5">
        <f t="shared" si="7"/>
        <v>0</v>
      </c>
      <c r="K121" s="5">
        <f t="shared" si="11"/>
        <v>0</v>
      </c>
      <c r="L121" s="5">
        <f t="shared" si="10"/>
        <v>5</v>
      </c>
      <c r="M121" s="5">
        <f t="shared" si="12"/>
        <v>3.5</v>
      </c>
      <c r="N121" s="15" t="s">
        <v>153</v>
      </c>
    </row>
    <row r="122" spans="1:14" x14ac:dyDescent="0.45">
      <c r="A122" s="9" t="s">
        <v>154</v>
      </c>
      <c r="B122" s="26">
        <v>44295</v>
      </c>
      <c r="C122" s="4">
        <v>0.10972222222222222</v>
      </c>
      <c r="D122" s="5">
        <v>2270</v>
      </c>
      <c r="E122" s="8">
        <v>0.4</v>
      </c>
      <c r="F122" s="6">
        <v>118</v>
      </c>
      <c r="G122" s="7">
        <f t="shared" si="8"/>
        <v>0.6</v>
      </c>
      <c r="H122" s="8">
        <v>0.4</v>
      </c>
      <c r="I122" s="5">
        <f t="shared" si="9"/>
        <v>5</v>
      </c>
      <c r="J122" s="5">
        <f t="shared" si="7"/>
        <v>0</v>
      </c>
      <c r="K122" s="5">
        <f t="shared" si="11"/>
        <v>0</v>
      </c>
      <c r="L122" s="5">
        <f t="shared" si="10"/>
        <v>5</v>
      </c>
      <c r="M122" s="5">
        <f t="shared" si="12"/>
        <v>3</v>
      </c>
    </row>
    <row r="123" spans="1:14" x14ac:dyDescent="0.45">
      <c r="A123" s="9" t="s">
        <v>155</v>
      </c>
      <c r="B123" s="26">
        <v>44295</v>
      </c>
      <c r="C123" s="4">
        <v>0.1173611111111111</v>
      </c>
      <c r="D123" s="5">
        <v>2275</v>
      </c>
      <c r="E123" s="8">
        <v>0.6</v>
      </c>
      <c r="F123" s="6">
        <v>115</v>
      </c>
      <c r="G123" s="7">
        <f t="shared" si="8"/>
        <v>0.4</v>
      </c>
      <c r="H123" s="8">
        <v>0.7</v>
      </c>
      <c r="I123" s="5">
        <f t="shared" si="9"/>
        <v>5</v>
      </c>
      <c r="J123" s="5">
        <f t="shared" si="7"/>
        <v>0</v>
      </c>
      <c r="K123" s="5">
        <f t="shared" si="11"/>
        <v>0</v>
      </c>
      <c r="L123" s="5">
        <f t="shared" si="10"/>
        <v>0</v>
      </c>
      <c r="M123" s="5">
        <f t="shared" si="12"/>
        <v>0</v>
      </c>
    </row>
    <row r="124" spans="1:14" x14ac:dyDescent="0.45">
      <c r="A124" s="9" t="s">
        <v>156</v>
      </c>
      <c r="B124" s="26">
        <v>44295</v>
      </c>
      <c r="C124" s="4">
        <v>0.13541666666666666</v>
      </c>
      <c r="D124" s="5">
        <v>2280</v>
      </c>
      <c r="E124" s="8">
        <v>0.3</v>
      </c>
      <c r="F124" s="6">
        <v>250</v>
      </c>
      <c r="G124" s="7">
        <f t="shared" si="8"/>
        <v>0.7</v>
      </c>
      <c r="H124" s="8">
        <v>0.8</v>
      </c>
      <c r="I124" s="5">
        <f t="shared" si="9"/>
        <v>5</v>
      </c>
      <c r="J124" s="5">
        <f t="shared" si="7"/>
        <v>0</v>
      </c>
      <c r="K124" s="5">
        <f t="shared" si="11"/>
        <v>0</v>
      </c>
      <c r="L124" s="5">
        <f t="shared" si="10"/>
        <v>5</v>
      </c>
      <c r="M124" s="5">
        <f t="shared" si="12"/>
        <v>3.5</v>
      </c>
    </row>
    <row r="125" spans="1:14" x14ac:dyDescent="0.45">
      <c r="A125" s="9" t="s">
        <v>157</v>
      </c>
      <c r="B125" s="26">
        <v>44295</v>
      </c>
      <c r="C125" s="4">
        <v>0.14930555555555555</v>
      </c>
      <c r="D125" s="5">
        <v>2285</v>
      </c>
      <c r="E125" s="8">
        <v>0.1</v>
      </c>
      <c r="F125" s="6">
        <v>230</v>
      </c>
      <c r="G125" s="7">
        <f t="shared" si="8"/>
        <v>0.9</v>
      </c>
      <c r="H125" s="8">
        <v>1</v>
      </c>
      <c r="I125" s="5">
        <f t="shared" si="9"/>
        <v>5</v>
      </c>
      <c r="J125" s="5">
        <f t="shared" si="7"/>
        <v>5</v>
      </c>
      <c r="K125" s="5">
        <f t="shared" si="11"/>
        <v>4.5</v>
      </c>
      <c r="L125" s="5">
        <f t="shared" si="10"/>
        <v>5</v>
      </c>
      <c r="M125" s="5">
        <f t="shared" si="12"/>
        <v>4.5</v>
      </c>
    </row>
    <row r="126" spans="1:14" x14ac:dyDescent="0.45">
      <c r="A126" s="9" t="s">
        <v>158</v>
      </c>
      <c r="B126" s="26">
        <v>44295</v>
      </c>
      <c r="C126" s="4">
        <v>0.15416666666666667</v>
      </c>
      <c r="D126" s="5">
        <v>2290</v>
      </c>
      <c r="E126" s="8">
        <v>0</v>
      </c>
      <c r="F126" s="6">
        <v>154</v>
      </c>
      <c r="G126" s="7">
        <f t="shared" si="8"/>
        <v>1</v>
      </c>
      <c r="H126" s="8">
        <v>1</v>
      </c>
      <c r="I126" s="5">
        <f t="shared" si="9"/>
        <v>5</v>
      </c>
      <c r="J126" s="5">
        <f t="shared" si="7"/>
        <v>5</v>
      </c>
      <c r="K126" s="5">
        <f t="shared" si="11"/>
        <v>5</v>
      </c>
      <c r="L126" s="5">
        <f t="shared" si="10"/>
        <v>5</v>
      </c>
      <c r="M126" s="5">
        <f t="shared" si="12"/>
        <v>5</v>
      </c>
    </row>
    <row r="127" spans="1:14" x14ac:dyDescent="0.45">
      <c r="A127" s="9" t="s">
        <v>159</v>
      </c>
      <c r="B127" s="26">
        <v>44295</v>
      </c>
      <c r="C127" s="4">
        <v>0.16944444444444443</v>
      </c>
      <c r="D127" s="5">
        <v>2295</v>
      </c>
      <c r="E127" s="8">
        <v>0.1</v>
      </c>
      <c r="F127" s="6">
        <v>116</v>
      </c>
      <c r="G127" s="7">
        <f t="shared" si="8"/>
        <v>0.9</v>
      </c>
      <c r="H127" s="8">
        <v>1</v>
      </c>
      <c r="I127" s="5">
        <f t="shared" si="9"/>
        <v>5</v>
      </c>
      <c r="J127" s="5">
        <f t="shared" si="7"/>
        <v>5</v>
      </c>
      <c r="K127" s="5">
        <f t="shared" si="11"/>
        <v>4.5</v>
      </c>
      <c r="L127" s="5">
        <f t="shared" si="10"/>
        <v>5</v>
      </c>
      <c r="M127" s="5">
        <f t="shared" si="12"/>
        <v>4.5</v>
      </c>
      <c r="N127" s="15" t="s">
        <v>160</v>
      </c>
    </row>
    <row r="128" spans="1:14" x14ac:dyDescent="0.45">
      <c r="A128" s="17" t="s">
        <v>161</v>
      </c>
      <c r="B128" s="26">
        <v>44295</v>
      </c>
      <c r="C128" s="4">
        <v>0.17916666666666667</v>
      </c>
      <c r="D128" s="5">
        <v>2300</v>
      </c>
      <c r="E128" s="8">
        <v>0.2</v>
      </c>
      <c r="F128" s="6">
        <v>138</v>
      </c>
      <c r="G128" s="7">
        <f t="shared" si="8"/>
        <v>0.8</v>
      </c>
      <c r="H128" s="8">
        <v>1</v>
      </c>
      <c r="I128" s="5">
        <f t="shared" si="9"/>
        <v>5</v>
      </c>
      <c r="J128" s="5">
        <f t="shared" si="7"/>
        <v>5</v>
      </c>
      <c r="K128" s="5">
        <f t="shared" si="11"/>
        <v>4</v>
      </c>
      <c r="L128" s="5">
        <f t="shared" si="10"/>
        <v>5</v>
      </c>
      <c r="M128" s="5">
        <f t="shared" si="12"/>
        <v>4</v>
      </c>
    </row>
    <row r="129" spans="1:14" x14ac:dyDescent="0.45">
      <c r="A129" s="9" t="s">
        <v>162</v>
      </c>
      <c r="B129" s="26">
        <v>44295</v>
      </c>
      <c r="C129" s="4">
        <v>0.19236111111111112</v>
      </c>
      <c r="D129" s="5">
        <v>2305</v>
      </c>
      <c r="E129" s="8">
        <v>0.15</v>
      </c>
      <c r="F129" s="6">
        <v>128</v>
      </c>
      <c r="G129" s="7">
        <f t="shared" si="8"/>
        <v>0.85</v>
      </c>
      <c r="H129" s="8">
        <v>1</v>
      </c>
      <c r="I129" s="5">
        <f t="shared" si="9"/>
        <v>5</v>
      </c>
      <c r="J129" s="5">
        <f t="shared" si="7"/>
        <v>5</v>
      </c>
      <c r="K129" s="5">
        <f t="shared" si="11"/>
        <v>4.25</v>
      </c>
      <c r="L129" s="5">
        <f t="shared" si="10"/>
        <v>5</v>
      </c>
      <c r="M129" s="5">
        <f t="shared" si="12"/>
        <v>4.25</v>
      </c>
    </row>
    <row r="130" spans="1:14" x14ac:dyDescent="0.45">
      <c r="A130" s="9" t="s">
        <v>163</v>
      </c>
      <c r="B130" s="26">
        <v>44295</v>
      </c>
      <c r="C130" s="4">
        <v>0.19722222222222222</v>
      </c>
      <c r="D130" s="5">
        <v>2310</v>
      </c>
      <c r="E130" s="8">
        <v>0.2</v>
      </c>
      <c r="F130" s="6">
        <v>145</v>
      </c>
      <c r="G130" s="7">
        <f t="shared" si="8"/>
        <v>0.8</v>
      </c>
      <c r="H130" s="8">
        <v>1</v>
      </c>
      <c r="I130" s="5">
        <f t="shared" si="9"/>
        <v>5</v>
      </c>
      <c r="J130" s="5">
        <f t="shared" si="7"/>
        <v>5</v>
      </c>
      <c r="K130" s="5">
        <f t="shared" si="11"/>
        <v>4</v>
      </c>
      <c r="L130" s="5">
        <f t="shared" si="10"/>
        <v>5</v>
      </c>
      <c r="M130" s="5">
        <f t="shared" si="12"/>
        <v>4</v>
      </c>
    </row>
    <row r="131" spans="1:14" x14ac:dyDescent="0.45">
      <c r="A131" s="9" t="s">
        <v>164</v>
      </c>
      <c r="B131" s="26">
        <v>44295</v>
      </c>
      <c r="C131" s="4">
        <v>0.21388888888888891</v>
      </c>
      <c r="D131" s="5">
        <v>2315</v>
      </c>
      <c r="E131" s="8">
        <v>0.1</v>
      </c>
      <c r="F131" s="6">
        <v>185</v>
      </c>
      <c r="G131" s="7">
        <f t="shared" si="8"/>
        <v>0.9</v>
      </c>
      <c r="H131" s="8">
        <v>1</v>
      </c>
      <c r="I131" s="5">
        <f t="shared" si="9"/>
        <v>5</v>
      </c>
      <c r="J131" s="5">
        <f t="shared" ref="J131:J194" si="15">IF(AND(G131&gt;=$G$2,H131&gt;=$H$2),I131,0)</f>
        <v>5</v>
      </c>
      <c r="K131" s="5">
        <f t="shared" si="11"/>
        <v>4.5</v>
      </c>
      <c r="L131" s="5">
        <f t="shared" si="10"/>
        <v>5</v>
      </c>
      <c r="M131" s="5">
        <f t="shared" si="12"/>
        <v>4.5</v>
      </c>
    </row>
    <row r="132" spans="1:14" x14ac:dyDescent="0.45">
      <c r="A132" s="9" t="s">
        <v>165</v>
      </c>
      <c r="B132" s="26">
        <v>44295</v>
      </c>
      <c r="C132" s="4">
        <v>0.22083333333333333</v>
      </c>
      <c r="D132" s="5">
        <v>2320</v>
      </c>
      <c r="E132" s="8">
        <v>0</v>
      </c>
      <c r="F132" s="6">
        <v>195</v>
      </c>
      <c r="G132" s="7">
        <f t="shared" ref="G132:G195" si="16">100%-E132</f>
        <v>1</v>
      </c>
      <c r="H132" s="8">
        <v>1</v>
      </c>
      <c r="I132" s="5">
        <f t="shared" ref="I132:I195" si="17">IF(D132&lt;&gt;"",D132-D131,"")</f>
        <v>5</v>
      </c>
      <c r="J132" s="5">
        <f t="shared" si="15"/>
        <v>5</v>
      </c>
      <c r="K132" s="5">
        <f t="shared" si="11"/>
        <v>5</v>
      </c>
      <c r="L132" s="5">
        <f t="shared" ref="L132:L195" si="18">IF(AND(G132&gt;=$G$3,H132&gt;=$H$3),I132,0)</f>
        <v>5</v>
      </c>
      <c r="M132" s="5">
        <f t="shared" si="12"/>
        <v>5</v>
      </c>
    </row>
    <row r="133" spans="1:14" x14ac:dyDescent="0.45">
      <c r="A133" s="9" t="s">
        <v>166</v>
      </c>
      <c r="B133" s="26">
        <v>44295</v>
      </c>
      <c r="C133" s="4">
        <v>0.23124999999999998</v>
      </c>
      <c r="D133" s="5">
        <v>2325</v>
      </c>
      <c r="E133" s="8">
        <v>0</v>
      </c>
      <c r="F133" s="6">
        <v>185</v>
      </c>
      <c r="G133" s="7">
        <f t="shared" si="16"/>
        <v>1</v>
      </c>
      <c r="H133" s="8">
        <v>1</v>
      </c>
      <c r="I133" s="5">
        <f t="shared" si="17"/>
        <v>5</v>
      </c>
      <c r="J133" s="5">
        <f t="shared" si="15"/>
        <v>5</v>
      </c>
      <c r="K133" s="5">
        <f t="shared" ref="K133:K196" si="19">IF(J133&gt;0,J133*G133,0)</f>
        <v>5</v>
      </c>
      <c r="L133" s="5">
        <f t="shared" si="18"/>
        <v>5</v>
      </c>
      <c r="M133" s="5">
        <f t="shared" ref="M133:M196" si="20">IF(L133&gt;0,L133*G133,0)</f>
        <v>5</v>
      </c>
    </row>
    <row r="134" spans="1:14" s="25" customFormat="1" x14ac:dyDescent="0.45">
      <c r="A134" s="19" t="s">
        <v>167</v>
      </c>
      <c r="B134" s="27">
        <v>44295</v>
      </c>
      <c r="C134" s="20">
        <v>0.24166666666666667</v>
      </c>
      <c r="D134" s="21">
        <v>2330</v>
      </c>
      <c r="E134" s="22">
        <v>0</v>
      </c>
      <c r="F134" s="23">
        <v>160</v>
      </c>
      <c r="G134" s="7">
        <f t="shared" si="16"/>
        <v>1</v>
      </c>
      <c r="H134" s="22">
        <v>1</v>
      </c>
      <c r="I134" s="21">
        <f t="shared" si="17"/>
        <v>5</v>
      </c>
      <c r="J134" s="21">
        <f t="shared" si="15"/>
        <v>5</v>
      </c>
      <c r="K134" s="21">
        <f t="shared" si="19"/>
        <v>5</v>
      </c>
      <c r="L134" s="21">
        <f t="shared" si="18"/>
        <v>5</v>
      </c>
      <c r="M134" s="21">
        <f t="shared" si="20"/>
        <v>5</v>
      </c>
      <c r="N134" s="24"/>
    </row>
    <row r="135" spans="1:14" x14ac:dyDescent="0.45">
      <c r="A135" s="9" t="s">
        <v>168</v>
      </c>
      <c r="B135" s="26">
        <v>44295</v>
      </c>
      <c r="C135" s="4">
        <v>0.26458333333333334</v>
      </c>
      <c r="D135" s="5">
        <v>2335</v>
      </c>
      <c r="E135" s="8">
        <v>0</v>
      </c>
      <c r="F135" s="6">
        <v>147</v>
      </c>
      <c r="G135" s="7">
        <f t="shared" si="16"/>
        <v>1</v>
      </c>
      <c r="H135" s="8">
        <v>1</v>
      </c>
      <c r="I135" s="5">
        <f t="shared" si="17"/>
        <v>5</v>
      </c>
      <c r="J135" s="5">
        <f t="shared" si="15"/>
        <v>5</v>
      </c>
      <c r="K135" s="5">
        <f t="shared" si="19"/>
        <v>5</v>
      </c>
      <c r="L135" s="5">
        <f t="shared" si="18"/>
        <v>5</v>
      </c>
      <c r="M135" s="5">
        <f t="shared" si="20"/>
        <v>5</v>
      </c>
    </row>
    <row r="136" spans="1:14" x14ac:dyDescent="0.45">
      <c r="A136" s="9" t="s">
        <v>169</v>
      </c>
      <c r="B136" s="26">
        <v>44295</v>
      </c>
      <c r="C136" s="4">
        <v>0.26458333333333334</v>
      </c>
      <c r="D136" s="5">
        <v>2340</v>
      </c>
      <c r="E136" s="8">
        <v>0</v>
      </c>
      <c r="F136" s="6">
        <v>146</v>
      </c>
      <c r="G136" s="7">
        <f t="shared" si="16"/>
        <v>1</v>
      </c>
      <c r="H136" s="8">
        <v>1</v>
      </c>
      <c r="I136" s="5">
        <f t="shared" si="17"/>
        <v>5</v>
      </c>
      <c r="J136" s="5">
        <f t="shared" si="15"/>
        <v>5</v>
      </c>
      <c r="K136" s="5">
        <f t="shared" si="19"/>
        <v>5</v>
      </c>
      <c r="L136" s="5">
        <f t="shared" si="18"/>
        <v>5</v>
      </c>
      <c r="M136" s="5">
        <f t="shared" si="20"/>
        <v>5</v>
      </c>
    </row>
    <row r="137" spans="1:14" x14ac:dyDescent="0.45">
      <c r="A137" s="9" t="s">
        <v>170</v>
      </c>
      <c r="B137" s="26">
        <v>44295</v>
      </c>
      <c r="C137" s="4">
        <v>0.29375000000000001</v>
      </c>
      <c r="D137" s="5">
        <v>2345</v>
      </c>
      <c r="E137" s="8">
        <v>0</v>
      </c>
      <c r="F137" s="6">
        <v>135</v>
      </c>
      <c r="G137" s="7">
        <f t="shared" si="16"/>
        <v>1</v>
      </c>
      <c r="H137" s="8">
        <v>1</v>
      </c>
      <c r="I137" s="5">
        <f t="shared" si="17"/>
        <v>5</v>
      </c>
      <c r="J137" s="5">
        <f t="shared" si="15"/>
        <v>5</v>
      </c>
      <c r="K137" s="5">
        <f t="shared" si="19"/>
        <v>5</v>
      </c>
      <c r="L137" s="5">
        <f t="shared" si="18"/>
        <v>5</v>
      </c>
      <c r="M137" s="5">
        <f t="shared" si="20"/>
        <v>5</v>
      </c>
    </row>
    <row r="138" spans="1:14" x14ac:dyDescent="0.45">
      <c r="A138" s="9" t="s">
        <v>171</v>
      </c>
      <c r="B138" s="26">
        <v>44295</v>
      </c>
      <c r="C138" s="4">
        <v>0.2986111111111111</v>
      </c>
      <c r="D138" s="5">
        <v>2350</v>
      </c>
      <c r="E138" s="8">
        <v>0</v>
      </c>
      <c r="F138" s="6">
        <v>120</v>
      </c>
      <c r="G138" s="7">
        <f t="shared" si="16"/>
        <v>1</v>
      </c>
      <c r="H138" s="8">
        <v>1</v>
      </c>
      <c r="I138" s="5">
        <f t="shared" si="17"/>
        <v>5</v>
      </c>
      <c r="J138" s="5">
        <f t="shared" si="15"/>
        <v>5</v>
      </c>
      <c r="K138" s="5">
        <f t="shared" si="19"/>
        <v>5</v>
      </c>
      <c r="L138" s="5">
        <f t="shared" si="18"/>
        <v>5</v>
      </c>
      <c r="M138" s="5">
        <f t="shared" si="20"/>
        <v>5</v>
      </c>
    </row>
    <row r="139" spans="1:14" x14ac:dyDescent="0.45">
      <c r="A139" s="9" t="s">
        <v>172</v>
      </c>
      <c r="B139" s="26">
        <v>44295</v>
      </c>
      <c r="C139" s="4">
        <v>0.31180555555555556</v>
      </c>
      <c r="D139" s="5">
        <v>2355</v>
      </c>
      <c r="E139" s="8">
        <v>0.1</v>
      </c>
      <c r="F139" s="6">
        <v>116</v>
      </c>
      <c r="G139" s="7">
        <f t="shared" si="16"/>
        <v>0.9</v>
      </c>
      <c r="H139" s="8">
        <v>0.8</v>
      </c>
      <c r="I139" s="5">
        <f t="shared" si="17"/>
        <v>5</v>
      </c>
      <c r="J139" s="5">
        <f t="shared" si="15"/>
        <v>5</v>
      </c>
      <c r="K139" s="5">
        <f t="shared" si="19"/>
        <v>4.5</v>
      </c>
      <c r="L139" s="5">
        <f t="shared" si="18"/>
        <v>5</v>
      </c>
      <c r="M139" s="5">
        <f t="shared" si="20"/>
        <v>4.5</v>
      </c>
    </row>
    <row r="140" spans="1:14" x14ac:dyDescent="0.45">
      <c r="A140" s="9" t="s">
        <v>173</v>
      </c>
      <c r="B140" s="26">
        <v>44295</v>
      </c>
      <c r="C140" s="4">
        <v>0.31805555555555554</v>
      </c>
      <c r="D140" s="5">
        <v>2360</v>
      </c>
      <c r="E140" s="8">
        <v>0.2</v>
      </c>
      <c r="F140" s="6">
        <v>100</v>
      </c>
      <c r="G140" s="7">
        <f t="shared" si="16"/>
        <v>0.8</v>
      </c>
      <c r="H140" s="8">
        <v>0.4</v>
      </c>
      <c r="I140" s="5">
        <f t="shared" si="17"/>
        <v>5</v>
      </c>
      <c r="J140" s="5">
        <f t="shared" si="15"/>
        <v>0</v>
      </c>
      <c r="K140" s="5">
        <f t="shared" si="19"/>
        <v>0</v>
      </c>
      <c r="L140" s="5">
        <f t="shared" si="18"/>
        <v>5</v>
      </c>
      <c r="M140" s="5">
        <f t="shared" si="20"/>
        <v>4</v>
      </c>
    </row>
    <row r="141" spans="1:14" x14ac:dyDescent="0.45">
      <c r="A141" s="9" t="s">
        <v>174</v>
      </c>
      <c r="B141" s="26">
        <v>44295</v>
      </c>
      <c r="C141" s="4">
        <v>0.32500000000000001</v>
      </c>
      <c r="D141" s="5">
        <v>2365</v>
      </c>
      <c r="E141" s="8">
        <v>0.1</v>
      </c>
      <c r="F141" s="6">
        <v>110</v>
      </c>
      <c r="G141" s="7">
        <f t="shared" si="16"/>
        <v>0.9</v>
      </c>
      <c r="H141" s="8">
        <v>0.8</v>
      </c>
      <c r="I141" s="5">
        <f t="shared" si="17"/>
        <v>5</v>
      </c>
      <c r="J141" s="5">
        <f t="shared" si="15"/>
        <v>5</v>
      </c>
      <c r="K141" s="5">
        <f t="shared" si="19"/>
        <v>4.5</v>
      </c>
      <c r="L141" s="5">
        <f t="shared" si="18"/>
        <v>5</v>
      </c>
      <c r="M141" s="5">
        <f t="shared" si="20"/>
        <v>4.5</v>
      </c>
    </row>
    <row r="142" spans="1:14" x14ac:dyDescent="0.45">
      <c r="A142" s="9" t="s">
        <v>175</v>
      </c>
      <c r="B142" s="26">
        <v>44295</v>
      </c>
      <c r="C142" s="4">
        <v>0.33611111111111108</v>
      </c>
      <c r="D142" s="5">
        <v>2370</v>
      </c>
      <c r="E142" s="8">
        <v>0.2</v>
      </c>
      <c r="F142" s="6">
        <v>90</v>
      </c>
      <c r="G142" s="7">
        <f t="shared" si="16"/>
        <v>0.8</v>
      </c>
      <c r="H142" s="8">
        <v>0.4</v>
      </c>
      <c r="I142" s="5">
        <f t="shared" si="17"/>
        <v>5</v>
      </c>
      <c r="J142" s="5">
        <f t="shared" si="15"/>
        <v>0</v>
      </c>
      <c r="K142" s="5">
        <f t="shared" si="19"/>
        <v>0</v>
      </c>
      <c r="L142" s="5">
        <f t="shared" si="18"/>
        <v>5</v>
      </c>
      <c r="M142" s="5">
        <f t="shared" si="20"/>
        <v>4</v>
      </c>
    </row>
    <row r="143" spans="1:14" x14ac:dyDescent="0.45">
      <c r="A143" s="9" t="s">
        <v>176</v>
      </c>
      <c r="B143" s="26">
        <v>44295</v>
      </c>
      <c r="C143" s="4">
        <v>0.34861111111111115</v>
      </c>
      <c r="D143" s="5">
        <v>2375</v>
      </c>
      <c r="E143" s="8">
        <v>0.25</v>
      </c>
      <c r="F143" s="6">
        <v>110</v>
      </c>
      <c r="G143" s="7">
        <f t="shared" si="16"/>
        <v>0.75</v>
      </c>
      <c r="H143" s="8">
        <v>0.5</v>
      </c>
      <c r="I143" s="5">
        <f t="shared" si="17"/>
        <v>5</v>
      </c>
      <c r="J143" s="5">
        <f t="shared" si="15"/>
        <v>5</v>
      </c>
      <c r="K143" s="5">
        <f t="shared" si="19"/>
        <v>3.75</v>
      </c>
      <c r="L143" s="5">
        <f t="shared" si="18"/>
        <v>5</v>
      </c>
      <c r="M143" s="5">
        <f t="shared" si="20"/>
        <v>3.75</v>
      </c>
    </row>
    <row r="144" spans="1:14" x14ac:dyDescent="0.45">
      <c r="A144" s="9" t="s">
        <v>177</v>
      </c>
      <c r="B144" s="26">
        <v>44295</v>
      </c>
      <c r="C144" s="4">
        <v>0.35972222222222222</v>
      </c>
      <c r="D144" s="5">
        <v>2380</v>
      </c>
      <c r="E144" s="8">
        <v>0.2</v>
      </c>
      <c r="F144" s="6">
        <v>80</v>
      </c>
      <c r="G144" s="7">
        <f t="shared" si="16"/>
        <v>0.8</v>
      </c>
      <c r="H144" s="8">
        <v>0.3</v>
      </c>
      <c r="I144" s="5">
        <f t="shared" si="17"/>
        <v>5</v>
      </c>
      <c r="J144" s="5">
        <f t="shared" si="15"/>
        <v>0</v>
      </c>
      <c r="K144" s="5">
        <f t="shared" si="19"/>
        <v>0</v>
      </c>
      <c r="L144" s="5">
        <f t="shared" si="18"/>
        <v>5</v>
      </c>
      <c r="M144" s="5">
        <f t="shared" si="20"/>
        <v>4</v>
      </c>
    </row>
    <row r="145" spans="1:14" x14ac:dyDescent="0.45">
      <c r="A145" s="9" t="s">
        <v>178</v>
      </c>
      <c r="B145" s="26">
        <v>44295</v>
      </c>
      <c r="C145" s="4">
        <v>0.37222222222222223</v>
      </c>
      <c r="D145" s="5">
        <v>2385</v>
      </c>
      <c r="E145" s="8">
        <v>0.1</v>
      </c>
      <c r="F145" s="6">
        <v>115</v>
      </c>
      <c r="G145" s="7">
        <f t="shared" si="16"/>
        <v>0.9</v>
      </c>
      <c r="H145" s="8">
        <v>0.3</v>
      </c>
      <c r="I145" s="5">
        <f t="shared" si="17"/>
        <v>5</v>
      </c>
      <c r="J145" s="5">
        <f t="shared" si="15"/>
        <v>0</v>
      </c>
      <c r="K145" s="5">
        <f t="shared" si="19"/>
        <v>0</v>
      </c>
      <c r="L145" s="5">
        <f t="shared" si="18"/>
        <v>5</v>
      </c>
      <c r="M145" s="5">
        <f t="shared" si="20"/>
        <v>4.5</v>
      </c>
    </row>
    <row r="146" spans="1:14" x14ac:dyDescent="0.45">
      <c r="A146" s="9" t="s">
        <v>179</v>
      </c>
      <c r="B146" s="26">
        <v>44295</v>
      </c>
      <c r="C146" s="4">
        <v>0.38194444444444442</v>
      </c>
      <c r="D146" s="5">
        <v>2390</v>
      </c>
      <c r="E146" s="8">
        <v>0.1</v>
      </c>
      <c r="F146" s="6">
        <v>85</v>
      </c>
      <c r="G146" s="7">
        <f t="shared" si="16"/>
        <v>0.9</v>
      </c>
      <c r="H146" s="8">
        <v>0.5</v>
      </c>
      <c r="I146" s="5">
        <f t="shared" si="17"/>
        <v>5</v>
      </c>
      <c r="J146" s="5">
        <f t="shared" si="15"/>
        <v>5</v>
      </c>
      <c r="K146" s="5">
        <f t="shared" si="19"/>
        <v>4.5</v>
      </c>
      <c r="L146" s="5">
        <f t="shared" si="18"/>
        <v>5</v>
      </c>
      <c r="M146" s="5">
        <f t="shared" si="20"/>
        <v>4.5</v>
      </c>
    </row>
    <row r="147" spans="1:14" x14ac:dyDescent="0.45">
      <c r="A147" s="9" t="s">
        <v>180</v>
      </c>
      <c r="B147" s="26">
        <v>44295</v>
      </c>
      <c r="C147" s="4">
        <v>0.39166666666666666</v>
      </c>
      <c r="D147" s="5">
        <v>2395</v>
      </c>
      <c r="E147" s="8">
        <v>0.2</v>
      </c>
      <c r="F147" s="6">
        <v>110</v>
      </c>
      <c r="G147" s="7">
        <f t="shared" si="16"/>
        <v>0.8</v>
      </c>
      <c r="H147" s="8">
        <v>0.2</v>
      </c>
      <c r="I147" s="5">
        <f t="shared" si="17"/>
        <v>5</v>
      </c>
      <c r="J147" s="5">
        <f t="shared" si="15"/>
        <v>0</v>
      </c>
      <c r="K147" s="5">
        <f t="shared" si="19"/>
        <v>0</v>
      </c>
      <c r="L147" s="5">
        <f t="shared" si="18"/>
        <v>5</v>
      </c>
      <c r="M147" s="5">
        <f t="shared" si="20"/>
        <v>4</v>
      </c>
    </row>
    <row r="148" spans="1:14" x14ac:dyDescent="0.45">
      <c r="A148" s="9" t="s">
        <v>181</v>
      </c>
      <c r="B148" s="26">
        <v>44295</v>
      </c>
      <c r="C148" s="4">
        <v>0.40486111111111112</v>
      </c>
      <c r="D148" s="5">
        <v>2400</v>
      </c>
      <c r="E148" s="8">
        <v>0.2</v>
      </c>
      <c r="F148" s="6">
        <v>115</v>
      </c>
      <c r="G148" s="7">
        <f t="shared" si="16"/>
        <v>0.8</v>
      </c>
      <c r="H148" s="8">
        <v>0.3</v>
      </c>
      <c r="I148" s="5">
        <f t="shared" si="17"/>
        <v>5</v>
      </c>
      <c r="J148" s="5">
        <f t="shared" si="15"/>
        <v>0</v>
      </c>
      <c r="K148" s="5">
        <f t="shared" si="19"/>
        <v>0</v>
      </c>
      <c r="L148" s="5">
        <f t="shared" si="18"/>
        <v>5</v>
      </c>
      <c r="M148" s="5">
        <f t="shared" si="20"/>
        <v>4</v>
      </c>
    </row>
    <row r="149" spans="1:14" x14ac:dyDescent="0.45">
      <c r="A149" s="9" t="s">
        <v>182</v>
      </c>
      <c r="B149" s="26">
        <v>44295</v>
      </c>
      <c r="C149" s="4">
        <v>0.4284722222222222</v>
      </c>
      <c r="D149" s="5">
        <v>2405</v>
      </c>
      <c r="E149" s="8">
        <v>0.2</v>
      </c>
      <c r="F149" s="6">
        <v>125</v>
      </c>
      <c r="G149" s="7">
        <f t="shared" si="16"/>
        <v>0.8</v>
      </c>
      <c r="H149" s="8">
        <v>0.3</v>
      </c>
      <c r="I149" s="5">
        <f t="shared" si="17"/>
        <v>5</v>
      </c>
      <c r="J149" s="5">
        <f t="shared" si="15"/>
        <v>0</v>
      </c>
      <c r="K149" s="5">
        <f t="shared" si="19"/>
        <v>0</v>
      </c>
      <c r="L149" s="5">
        <f t="shared" si="18"/>
        <v>5</v>
      </c>
      <c r="M149" s="5">
        <f t="shared" si="20"/>
        <v>4</v>
      </c>
    </row>
    <row r="150" spans="1:14" x14ac:dyDescent="0.45">
      <c r="A150" s="9" t="s">
        <v>183</v>
      </c>
      <c r="B150" s="26">
        <v>44295</v>
      </c>
      <c r="C150" s="4">
        <v>0.4284722222222222</v>
      </c>
      <c r="D150" s="5">
        <v>2410</v>
      </c>
      <c r="E150" s="8">
        <v>0.1</v>
      </c>
      <c r="F150" s="6">
        <v>110</v>
      </c>
      <c r="G150" s="7">
        <f t="shared" si="16"/>
        <v>0.9</v>
      </c>
      <c r="H150" s="8">
        <v>0.7</v>
      </c>
      <c r="I150" s="5">
        <f t="shared" si="17"/>
        <v>5</v>
      </c>
      <c r="J150" s="5">
        <f t="shared" si="15"/>
        <v>5</v>
      </c>
      <c r="K150" s="5">
        <f t="shared" si="19"/>
        <v>4.5</v>
      </c>
      <c r="L150" s="5">
        <f t="shared" si="18"/>
        <v>5</v>
      </c>
      <c r="M150" s="5">
        <f t="shared" si="20"/>
        <v>4.5</v>
      </c>
    </row>
    <row r="151" spans="1:14" x14ac:dyDescent="0.45">
      <c r="A151" s="9" t="s">
        <v>184</v>
      </c>
      <c r="B151" s="26">
        <v>44295</v>
      </c>
      <c r="C151" s="4">
        <v>0.43888888888888888</v>
      </c>
      <c r="D151" s="5">
        <v>2415</v>
      </c>
      <c r="E151" s="8">
        <v>0.05</v>
      </c>
      <c r="F151" s="6">
        <v>130</v>
      </c>
      <c r="G151" s="7">
        <f t="shared" si="16"/>
        <v>0.95</v>
      </c>
      <c r="H151" s="8">
        <v>0.5</v>
      </c>
      <c r="I151" s="5">
        <f t="shared" si="17"/>
        <v>5</v>
      </c>
      <c r="J151" s="5">
        <f t="shared" si="15"/>
        <v>5</v>
      </c>
      <c r="K151" s="5">
        <f t="shared" si="19"/>
        <v>4.75</v>
      </c>
      <c r="L151" s="5">
        <f t="shared" si="18"/>
        <v>5</v>
      </c>
      <c r="M151" s="5">
        <f t="shared" si="20"/>
        <v>4.75</v>
      </c>
    </row>
    <row r="152" spans="1:14" x14ac:dyDescent="0.45">
      <c r="A152" s="9" t="s">
        <v>185</v>
      </c>
      <c r="B152" s="26">
        <v>44295</v>
      </c>
      <c r="C152" s="4">
        <v>0.44930555555555557</v>
      </c>
      <c r="D152" s="5">
        <v>2417</v>
      </c>
      <c r="E152" s="8">
        <v>0.05</v>
      </c>
      <c r="F152" s="6">
        <v>110</v>
      </c>
      <c r="G152" s="7">
        <f t="shared" si="16"/>
        <v>0.95</v>
      </c>
      <c r="H152" s="8">
        <v>0.7</v>
      </c>
      <c r="I152" s="5">
        <f t="shared" si="17"/>
        <v>2</v>
      </c>
      <c r="J152" s="5">
        <f t="shared" si="15"/>
        <v>2</v>
      </c>
      <c r="K152" s="5">
        <f t="shared" si="19"/>
        <v>1.9</v>
      </c>
      <c r="L152" s="5">
        <f t="shared" si="18"/>
        <v>2</v>
      </c>
      <c r="M152" s="5">
        <f t="shared" si="20"/>
        <v>1.9</v>
      </c>
    </row>
    <row r="153" spans="1:14" x14ac:dyDescent="0.45">
      <c r="G153" s="7">
        <f t="shared" si="16"/>
        <v>1</v>
      </c>
      <c r="I153" s="5" t="str">
        <f t="shared" si="17"/>
        <v/>
      </c>
      <c r="J153" s="5">
        <f t="shared" si="15"/>
        <v>0</v>
      </c>
      <c r="K153" s="5">
        <f t="shared" si="19"/>
        <v>0</v>
      </c>
      <c r="L153" s="5">
        <f t="shared" si="18"/>
        <v>0</v>
      </c>
      <c r="M153" s="5">
        <f t="shared" si="20"/>
        <v>0</v>
      </c>
    </row>
    <row r="154" spans="1:14" s="25" customFormat="1" x14ac:dyDescent="0.45">
      <c r="A154" s="19"/>
      <c r="B154" s="27"/>
      <c r="C154" s="20"/>
      <c r="D154" s="21"/>
      <c r="E154" s="22"/>
      <c r="F154" s="23"/>
      <c r="G154" s="7">
        <f t="shared" si="16"/>
        <v>1</v>
      </c>
      <c r="H154" s="22"/>
      <c r="I154" s="21" t="str">
        <f t="shared" si="17"/>
        <v/>
      </c>
      <c r="J154" s="21">
        <f t="shared" si="15"/>
        <v>0</v>
      </c>
      <c r="K154" s="21">
        <f t="shared" si="19"/>
        <v>0</v>
      </c>
      <c r="L154" s="21">
        <f t="shared" si="18"/>
        <v>0</v>
      </c>
      <c r="M154" s="21">
        <f t="shared" si="20"/>
        <v>0</v>
      </c>
      <c r="N154" s="24"/>
    </row>
    <row r="155" spans="1:14" x14ac:dyDescent="0.45">
      <c r="G155" s="7">
        <f t="shared" si="16"/>
        <v>1</v>
      </c>
      <c r="I155" s="5" t="str">
        <f t="shared" si="17"/>
        <v/>
      </c>
      <c r="J155" s="5">
        <f t="shared" si="15"/>
        <v>0</v>
      </c>
      <c r="K155" s="5">
        <f t="shared" si="19"/>
        <v>0</v>
      </c>
      <c r="L155" s="5">
        <f t="shared" si="18"/>
        <v>0</v>
      </c>
      <c r="M155" s="5">
        <f t="shared" si="20"/>
        <v>0</v>
      </c>
    </row>
    <row r="156" spans="1:14" x14ac:dyDescent="0.45">
      <c r="G156" s="7">
        <f t="shared" si="16"/>
        <v>1</v>
      </c>
      <c r="I156" s="5" t="str">
        <f t="shared" si="17"/>
        <v/>
      </c>
      <c r="J156" s="5">
        <f t="shared" si="15"/>
        <v>0</v>
      </c>
      <c r="K156" s="5">
        <f t="shared" si="19"/>
        <v>0</v>
      </c>
      <c r="L156" s="5">
        <f t="shared" si="18"/>
        <v>0</v>
      </c>
      <c r="M156" s="5">
        <f t="shared" si="20"/>
        <v>0</v>
      </c>
    </row>
    <row r="157" spans="1:14" x14ac:dyDescent="0.45">
      <c r="G157" s="7">
        <f t="shared" si="16"/>
        <v>1</v>
      </c>
      <c r="I157" s="5" t="str">
        <f t="shared" si="17"/>
        <v/>
      </c>
      <c r="J157" s="5">
        <f t="shared" si="15"/>
        <v>0</v>
      </c>
      <c r="K157" s="5">
        <f t="shared" si="19"/>
        <v>0</v>
      </c>
      <c r="L157" s="5">
        <f t="shared" si="18"/>
        <v>0</v>
      </c>
      <c r="M157" s="5">
        <f t="shared" si="20"/>
        <v>0</v>
      </c>
    </row>
    <row r="158" spans="1:14" x14ac:dyDescent="0.45">
      <c r="G158" s="7">
        <f t="shared" si="16"/>
        <v>1</v>
      </c>
      <c r="I158" s="5" t="str">
        <f t="shared" si="17"/>
        <v/>
      </c>
      <c r="J158" s="5">
        <f t="shared" si="15"/>
        <v>0</v>
      </c>
      <c r="K158" s="5">
        <f t="shared" si="19"/>
        <v>0</v>
      </c>
      <c r="L158" s="5">
        <f t="shared" si="18"/>
        <v>0</v>
      </c>
      <c r="M158" s="5">
        <f t="shared" si="20"/>
        <v>0</v>
      </c>
    </row>
    <row r="159" spans="1:14" x14ac:dyDescent="0.45">
      <c r="G159" s="7">
        <f t="shared" si="16"/>
        <v>1</v>
      </c>
      <c r="I159" s="5" t="str">
        <f t="shared" si="17"/>
        <v/>
      </c>
      <c r="J159" s="5">
        <f t="shared" si="15"/>
        <v>0</v>
      </c>
      <c r="K159" s="5">
        <f t="shared" si="19"/>
        <v>0</v>
      </c>
      <c r="L159" s="5">
        <f t="shared" si="18"/>
        <v>0</v>
      </c>
      <c r="M159" s="5">
        <f t="shared" si="20"/>
        <v>0</v>
      </c>
    </row>
    <row r="160" spans="1:14" x14ac:dyDescent="0.45">
      <c r="G160" s="7">
        <f t="shared" si="16"/>
        <v>1</v>
      </c>
      <c r="I160" s="5" t="str">
        <f t="shared" si="17"/>
        <v/>
      </c>
      <c r="J160" s="5">
        <f t="shared" si="15"/>
        <v>0</v>
      </c>
      <c r="K160" s="5">
        <f t="shared" si="19"/>
        <v>0</v>
      </c>
      <c r="L160" s="5">
        <f t="shared" si="18"/>
        <v>0</v>
      </c>
      <c r="M160" s="5">
        <f t="shared" si="20"/>
        <v>0</v>
      </c>
    </row>
    <row r="161" spans="1:14" x14ac:dyDescent="0.45">
      <c r="G161" s="7">
        <f t="shared" si="16"/>
        <v>1</v>
      </c>
      <c r="I161" s="5" t="str">
        <f t="shared" si="17"/>
        <v/>
      </c>
      <c r="J161" s="5">
        <f t="shared" si="15"/>
        <v>0</v>
      </c>
      <c r="K161" s="5">
        <f t="shared" si="19"/>
        <v>0</v>
      </c>
      <c r="L161" s="5">
        <f t="shared" si="18"/>
        <v>0</v>
      </c>
      <c r="M161" s="5">
        <f t="shared" si="20"/>
        <v>0</v>
      </c>
    </row>
    <row r="162" spans="1:14" x14ac:dyDescent="0.45">
      <c r="G162" s="7">
        <f t="shared" si="16"/>
        <v>1</v>
      </c>
      <c r="I162" s="5" t="str">
        <f t="shared" si="17"/>
        <v/>
      </c>
      <c r="J162" s="5">
        <f t="shared" si="15"/>
        <v>0</v>
      </c>
      <c r="K162" s="5">
        <f t="shared" si="19"/>
        <v>0</v>
      </c>
      <c r="L162" s="5">
        <f t="shared" si="18"/>
        <v>0</v>
      </c>
      <c r="M162" s="5">
        <f t="shared" si="20"/>
        <v>0</v>
      </c>
    </row>
    <row r="163" spans="1:14" x14ac:dyDescent="0.45">
      <c r="G163" s="7">
        <f t="shared" si="16"/>
        <v>1</v>
      </c>
      <c r="I163" s="5" t="str">
        <f t="shared" si="17"/>
        <v/>
      </c>
      <c r="J163" s="5">
        <f t="shared" si="15"/>
        <v>0</v>
      </c>
      <c r="K163" s="5">
        <f t="shared" si="19"/>
        <v>0</v>
      </c>
      <c r="L163" s="5">
        <f t="shared" si="18"/>
        <v>0</v>
      </c>
      <c r="M163" s="5">
        <f t="shared" si="20"/>
        <v>0</v>
      </c>
    </row>
    <row r="164" spans="1:14" x14ac:dyDescent="0.45">
      <c r="G164" s="7">
        <f t="shared" si="16"/>
        <v>1</v>
      </c>
      <c r="I164" s="5" t="str">
        <f t="shared" si="17"/>
        <v/>
      </c>
      <c r="J164" s="5">
        <f t="shared" si="15"/>
        <v>0</v>
      </c>
      <c r="K164" s="5">
        <f t="shared" si="19"/>
        <v>0</v>
      </c>
      <c r="L164" s="5">
        <f t="shared" si="18"/>
        <v>0</v>
      </c>
      <c r="M164" s="5">
        <f t="shared" si="20"/>
        <v>0</v>
      </c>
    </row>
    <row r="165" spans="1:14" x14ac:dyDescent="0.45">
      <c r="G165" s="7">
        <f t="shared" si="16"/>
        <v>1</v>
      </c>
      <c r="I165" s="5" t="str">
        <f t="shared" si="17"/>
        <v/>
      </c>
      <c r="J165" s="5">
        <f t="shared" si="15"/>
        <v>0</v>
      </c>
      <c r="K165" s="5">
        <f t="shared" si="19"/>
        <v>0</v>
      </c>
      <c r="L165" s="5">
        <f t="shared" si="18"/>
        <v>0</v>
      </c>
      <c r="M165" s="5">
        <f t="shared" si="20"/>
        <v>0</v>
      </c>
    </row>
    <row r="166" spans="1:14" x14ac:dyDescent="0.45">
      <c r="G166" s="7">
        <f t="shared" si="16"/>
        <v>1</v>
      </c>
      <c r="I166" s="5" t="str">
        <f t="shared" si="17"/>
        <v/>
      </c>
      <c r="J166" s="5">
        <f t="shared" si="15"/>
        <v>0</v>
      </c>
      <c r="K166" s="5">
        <f t="shared" si="19"/>
        <v>0</v>
      </c>
      <c r="L166" s="5">
        <f t="shared" si="18"/>
        <v>0</v>
      </c>
      <c r="M166" s="5">
        <f t="shared" si="20"/>
        <v>0</v>
      </c>
    </row>
    <row r="167" spans="1:14" x14ac:dyDescent="0.45">
      <c r="G167" s="7">
        <f t="shared" si="16"/>
        <v>1</v>
      </c>
      <c r="I167" s="5" t="str">
        <f t="shared" si="17"/>
        <v/>
      </c>
      <c r="J167" s="5">
        <f t="shared" si="15"/>
        <v>0</v>
      </c>
      <c r="K167" s="5">
        <f t="shared" si="19"/>
        <v>0</v>
      </c>
      <c r="L167" s="5">
        <f t="shared" si="18"/>
        <v>0</v>
      </c>
      <c r="M167" s="5">
        <f t="shared" si="20"/>
        <v>0</v>
      </c>
    </row>
    <row r="168" spans="1:14" x14ac:dyDescent="0.45">
      <c r="G168" s="7">
        <f t="shared" si="16"/>
        <v>1</v>
      </c>
      <c r="I168" s="5" t="str">
        <f t="shared" si="17"/>
        <v/>
      </c>
      <c r="J168" s="5">
        <f t="shared" si="15"/>
        <v>0</v>
      </c>
      <c r="K168" s="5">
        <f t="shared" si="19"/>
        <v>0</v>
      </c>
      <c r="L168" s="5">
        <f t="shared" si="18"/>
        <v>0</v>
      </c>
      <c r="M168" s="5">
        <f t="shared" si="20"/>
        <v>0</v>
      </c>
    </row>
    <row r="169" spans="1:14" x14ac:dyDescent="0.45">
      <c r="G169" s="7">
        <f t="shared" si="16"/>
        <v>1</v>
      </c>
      <c r="I169" s="5" t="str">
        <f t="shared" si="17"/>
        <v/>
      </c>
      <c r="J169" s="5">
        <f t="shared" si="15"/>
        <v>0</v>
      </c>
      <c r="K169" s="5">
        <f t="shared" si="19"/>
        <v>0</v>
      </c>
      <c r="L169" s="5">
        <f t="shared" si="18"/>
        <v>0</v>
      </c>
      <c r="M169" s="5">
        <f t="shared" si="20"/>
        <v>0</v>
      </c>
    </row>
    <row r="170" spans="1:14" x14ac:dyDescent="0.45">
      <c r="G170" s="7">
        <f t="shared" si="16"/>
        <v>1</v>
      </c>
      <c r="I170" s="5" t="str">
        <f t="shared" si="17"/>
        <v/>
      </c>
      <c r="J170" s="5">
        <f t="shared" si="15"/>
        <v>0</v>
      </c>
      <c r="K170" s="5">
        <f t="shared" si="19"/>
        <v>0</v>
      </c>
      <c r="L170" s="5">
        <f t="shared" si="18"/>
        <v>0</v>
      </c>
      <c r="M170" s="5">
        <f t="shared" si="20"/>
        <v>0</v>
      </c>
    </row>
    <row r="171" spans="1:14" x14ac:dyDescent="0.45">
      <c r="G171" s="7">
        <f t="shared" si="16"/>
        <v>1</v>
      </c>
      <c r="I171" s="5" t="str">
        <f t="shared" si="17"/>
        <v/>
      </c>
      <c r="J171" s="5">
        <f t="shared" si="15"/>
        <v>0</v>
      </c>
      <c r="K171" s="5">
        <f t="shared" si="19"/>
        <v>0</v>
      </c>
      <c r="L171" s="5">
        <f t="shared" si="18"/>
        <v>0</v>
      </c>
      <c r="M171" s="5">
        <f t="shared" si="20"/>
        <v>0</v>
      </c>
    </row>
    <row r="172" spans="1:14" x14ac:dyDescent="0.45">
      <c r="G172" s="7">
        <f t="shared" si="16"/>
        <v>1</v>
      </c>
      <c r="I172" s="5" t="str">
        <f t="shared" si="17"/>
        <v/>
      </c>
      <c r="J172" s="5">
        <f t="shared" si="15"/>
        <v>0</v>
      </c>
      <c r="K172" s="5">
        <f t="shared" si="19"/>
        <v>0</v>
      </c>
      <c r="L172" s="5">
        <f t="shared" si="18"/>
        <v>0</v>
      </c>
      <c r="M172" s="5">
        <f t="shared" si="20"/>
        <v>0</v>
      </c>
    </row>
    <row r="173" spans="1:14" x14ac:dyDescent="0.45">
      <c r="G173" s="7">
        <f t="shared" si="16"/>
        <v>1</v>
      </c>
      <c r="I173" s="5" t="str">
        <f t="shared" si="17"/>
        <v/>
      </c>
      <c r="J173" s="5">
        <f t="shared" si="15"/>
        <v>0</v>
      </c>
      <c r="K173" s="5">
        <f t="shared" si="19"/>
        <v>0</v>
      </c>
      <c r="L173" s="5">
        <f t="shared" si="18"/>
        <v>0</v>
      </c>
      <c r="M173" s="5">
        <f t="shared" si="20"/>
        <v>0</v>
      </c>
    </row>
    <row r="174" spans="1:14" s="25" customFormat="1" x14ac:dyDescent="0.45">
      <c r="A174" s="19"/>
      <c r="B174" s="27"/>
      <c r="C174" s="20"/>
      <c r="D174" s="21"/>
      <c r="E174" s="22"/>
      <c r="F174" s="23"/>
      <c r="G174" s="7">
        <f t="shared" si="16"/>
        <v>1</v>
      </c>
      <c r="H174" s="22"/>
      <c r="I174" s="21" t="str">
        <f t="shared" si="17"/>
        <v/>
      </c>
      <c r="J174" s="21">
        <f t="shared" si="15"/>
        <v>0</v>
      </c>
      <c r="K174" s="21">
        <f t="shared" si="19"/>
        <v>0</v>
      </c>
      <c r="L174" s="21">
        <f t="shared" si="18"/>
        <v>0</v>
      </c>
      <c r="M174" s="21">
        <f t="shared" si="20"/>
        <v>0</v>
      </c>
      <c r="N174" s="24"/>
    </row>
    <row r="175" spans="1:14" x14ac:dyDescent="0.45">
      <c r="G175" s="7">
        <f t="shared" si="16"/>
        <v>1</v>
      </c>
      <c r="I175" s="5" t="str">
        <f t="shared" si="17"/>
        <v/>
      </c>
      <c r="J175" s="5">
        <f t="shared" si="15"/>
        <v>0</v>
      </c>
      <c r="K175" s="5">
        <f t="shared" si="19"/>
        <v>0</v>
      </c>
      <c r="L175" s="5">
        <f t="shared" si="18"/>
        <v>0</v>
      </c>
      <c r="M175" s="5">
        <f t="shared" si="20"/>
        <v>0</v>
      </c>
    </row>
    <row r="176" spans="1:14" x14ac:dyDescent="0.45">
      <c r="G176" s="7">
        <f t="shared" si="16"/>
        <v>1</v>
      </c>
      <c r="I176" s="5" t="str">
        <f t="shared" si="17"/>
        <v/>
      </c>
      <c r="J176" s="5">
        <f t="shared" si="15"/>
        <v>0</v>
      </c>
      <c r="K176" s="5">
        <f t="shared" si="19"/>
        <v>0</v>
      </c>
      <c r="L176" s="5">
        <f t="shared" si="18"/>
        <v>0</v>
      </c>
      <c r="M176" s="5">
        <f t="shared" si="20"/>
        <v>0</v>
      </c>
    </row>
    <row r="177" spans="7:13" x14ac:dyDescent="0.45">
      <c r="G177" s="7">
        <f t="shared" si="16"/>
        <v>1</v>
      </c>
      <c r="I177" s="5" t="str">
        <f t="shared" si="17"/>
        <v/>
      </c>
      <c r="J177" s="5">
        <f t="shared" si="15"/>
        <v>0</v>
      </c>
      <c r="K177" s="5">
        <f t="shared" si="19"/>
        <v>0</v>
      </c>
      <c r="L177" s="5">
        <f t="shared" si="18"/>
        <v>0</v>
      </c>
      <c r="M177" s="5">
        <f t="shared" si="20"/>
        <v>0</v>
      </c>
    </row>
    <row r="178" spans="7:13" x14ac:dyDescent="0.45">
      <c r="G178" s="7">
        <f t="shared" si="16"/>
        <v>1</v>
      </c>
      <c r="I178" s="5" t="str">
        <f t="shared" si="17"/>
        <v/>
      </c>
      <c r="J178" s="5">
        <f t="shared" si="15"/>
        <v>0</v>
      </c>
      <c r="K178" s="5">
        <f t="shared" si="19"/>
        <v>0</v>
      </c>
      <c r="L178" s="5">
        <f t="shared" si="18"/>
        <v>0</v>
      </c>
      <c r="M178" s="5">
        <f t="shared" si="20"/>
        <v>0</v>
      </c>
    </row>
    <row r="179" spans="7:13" x14ac:dyDescent="0.45">
      <c r="G179" s="7">
        <f t="shared" si="16"/>
        <v>1</v>
      </c>
      <c r="I179" s="5" t="str">
        <f t="shared" si="17"/>
        <v/>
      </c>
      <c r="J179" s="5">
        <f t="shared" si="15"/>
        <v>0</v>
      </c>
      <c r="K179" s="5">
        <f t="shared" si="19"/>
        <v>0</v>
      </c>
      <c r="L179" s="5">
        <f t="shared" si="18"/>
        <v>0</v>
      </c>
      <c r="M179" s="5">
        <f t="shared" si="20"/>
        <v>0</v>
      </c>
    </row>
    <row r="180" spans="7:13" x14ac:dyDescent="0.45">
      <c r="G180" s="7">
        <f t="shared" si="16"/>
        <v>1</v>
      </c>
      <c r="I180" s="5" t="str">
        <f t="shared" si="17"/>
        <v/>
      </c>
      <c r="J180" s="5">
        <f t="shared" si="15"/>
        <v>0</v>
      </c>
      <c r="K180" s="5">
        <f t="shared" si="19"/>
        <v>0</v>
      </c>
      <c r="L180" s="5">
        <f t="shared" si="18"/>
        <v>0</v>
      </c>
      <c r="M180" s="5">
        <f t="shared" si="20"/>
        <v>0</v>
      </c>
    </row>
    <row r="181" spans="7:13" x14ac:dyDescent="0.45">
      <c r="G181" s="7">
        <f t="shared" si="16"/>
        <v>1</v>
      </c>
      <c r="I181" s="5" t="str">
        <f t="shared" si="17"/>
        <v/>
      </c>
      <c r="J181" s="5">
        <f t="shared" si="15"/>
        <v>0</v>
      </c>
      <c r="K181" s="5">
        <f t="shared" si="19"/>
        <v>0</v>
      </c>
      <c r="L181" s="5">
        <f t="shared" si="18"/>
        <v>0</v>
      </c>
      <c r="M181" s="5">
        <f t="shared" si="20"/>
        <v>0</v>
      </c>
    </row>
    <row r="182" spans="7:13" x14ac:dyDescent="0.45">
      <c r="G182" s="7">
        <f t="shared" si="16"/>
        <v>1</v>
      </c>
      <c r="I182" s="5" t="str">
        <f t="shared" si="17"/>
        <v/>
      </c>
      <c r="J182" s="5">
        <f t="shared" si="15"/>
        <v>0</v>
      </c>
      <c r="K182" s="5">
        <f t="shared" si="19"/>
        <v>0</v>
      </c>
      <c r="L182" s="5">
        <f t="shared" si="18"/>
        <v>0</v>
      </c>
      <c r="M182" s="5">
        <f t="shared" si="20"/>
        <v>0</v>
      </c>
    </row>
    <row r="183" spans="7:13" x14ac:dyDescent="0.45">
      <c r="G183" s="7">
        <f t="shared" si="16"/>
        <v>1</v>
      </c>
      <c r="I183" s="5" t="str">
        <f t="shared" si="17"/>
        <v/>
      </c>
      <c r="J183" s="5">
        <f t="shared" si="15"/>
        <v>0</v>
      </c>
      <c r="K183" s="5">
        <f t="shared" si="19"/>
        <v>0</v>
      </c>
      <c r="L183" s="5">
        <f t="shared" si="18"/>
        <v>0</v>
      </c>
      <c r="M183" s="5">
        <f t="shared" si="20"/>
        <v>0</v>
      </c>
    </row>
    <row r="184" spans="7:13" x14ac:dyDescent="0.45">
      <c r="G184" s="7">
        <f t="shared" si="16"/>
        <v>1</v>
      </c>
      <c r="I184" s="5" t="str">
        <f t="shared" si="17"/>
        <v/>
      </c>
      <c r="J184" s="5">
        <f t="shared" si="15"/>
        <v>0</v>
      </c>
      <c r="K184" s="5">
        <f t="shared" si="19"/>
        <v>0</v>
      </c>
      <c r="L184" s="5">
        <f t="shared" si="18"/>
        <v>0</v>
      </c>
      <c r="M184" s="5">
        <f t="shared" si="20"/>
        <v>0</v>
      </c>
    </row>
    <row r="185" spans="7:13" x14ac:dyDescent="0.45">
      <c r="G185" s="7">
        <f t="shared" si="16"/>
        <v>1</v>
      </c>
      <c r="I185" s="5" t="str">
        <f t="shared" si="17"/>
        <v/>
      </c>
      <c r="J185" s="5">
        <f t="shared" si="15"/>
        <v>0</v>
      </c>
      <c r="K185" s="5">
        <f t="shared" si="19"/>
        <v>0</v>
      </c>
      <c r="L185" s="5">
        <f t="shared" si="18"/>
        <v>0</v>
      </c>
      <c r="M185" s="5">
        <f t="shared" si="20"/>
        <v>0</v>
      </c>
    </row>
    <row r="186" spans="7:13" x14ac:dyDescent="0.45">
      <c r="G186" s="7">
        <f t="shared" si="16"/>
        <v>1</v>
      </c>
      <c r="I186" s="5" t="str">
        <f t="shared" si="17"/>
        <v/>
      </c>
      <c r="J186" s="5">
        <f t="shared" si="15"/>
        <v>0</v>
      </c>
      <c r="K186" s="5">
        <f t="shared" si="19"/>
        <v>0</v>
      </c>
      <c r="L186" s="5">
        <f t="shared" si="18"/>
        <v>0</v>
      </c>
      <c r="M186" s="5">
        <f t="shared" si="20"/>
        <v>0</v>
      </c>
    </row>
    <row r="187" spans="7:13" x14ac:dyDescent="0.45">
      <c r="G187" s="7">
        <f t="shared" si="16"/>
        <v>1</v>
      </c>
      <c r="I187" s="5" t="str">
        <f t="shared" si="17"/>
        <v/>
      </c>
      <c r="J187" s="5">
        <f t="shared" si="15"/>
        <v>0</v>
      </c>
      <c r="K187" s="5">
        <f t="shared" si="19"/>
        <v>0</v>
      </c>
      <c r="L187" s="5">
        <f t="shared" si="18"/>
        <v>0</v>
      </c>
      <c r="M187" s="5">
        <f t="shared" si="20"/>
        <v>0</v>
      </c>
    </row>
    <row r="188" spans="7:13" x14ac:dyDescent="0.45">
      <c r="G188" s="7">
        <f t="shared" si="16"/>
        <v>1</v>
      </c>
      <c r="I188" s="5" t="str">
        <f t="shared" si="17"/>
        <v/>
      </c>
      <c r="J188" s="5">
        <f t="shared" si="15"/>
        <v>0</v>
      </c>
      <c r="K188" s="5">
        <f t="shared" si="19"/>
        <v>0</v>
      </c>
      <c r="L188" s="5">
        <f t="shared" si="18"/>
        <v>0</v>
      </c>
      <c r="M188" s="5">
        <f t="shared" si="20"/>
        <v>0</v>
      </c>
    </row>
    <row r="189" spans="7:13" x14ac:dyDescent="0.45">
      <c r="G189" s="7">
        <f t="shared" si="16"/>
        <v>1</v>
      </c>
      <c r="I189" s="5" t="str">
        <f t="shared" si="17"/>
        <v/>
      </c>
      <c r="J189" s="5">
        <f t="shared" si="15"/>
        <v>0</v>
      </c>
      <c r="K189" s="5">
        <f t="shared" si="19"/>
        <v>0</v>
      </c>
      <c r="L189" s="5">
        <f t="shared" si="18"/>
        <v>0</v>
      </c>
      <c r="M189" s="5">
        <f t="shared" si="20"/>
        <v>0</v>
      </c>
    </row>
    <row r="190" spans="7:13" x14ac:dyDescent="0.45">
      <c r="G190" s="7">
        <f t="shared" si="16"/>
        <v>1</v>
      </c>
      <c r="I190" s="5" t="str">
        <f t="shared" si="17"/>
        <v/>
      </c>
      <c r="J190" s="5">
        <f t="shared" si="15"/>
        <v>0</v>
      </c>
      <c r="K190" s="5">
        <f t="shared" si="19"/>
        <v>0</v>
      </c>
      <c r="L190" s="5">
        <f t="shared" si="18"/>
        <v>0</v>
      </c>
      <c r="M190" s="5">
        <f t="shared" si="20"/>
        <v>0</v>
      </c>
    </row>
    <row r="191" spans="7:13" x14ac:dyDescent="0.45">
      <c r="G191" s="7">
        <f t="shared" si="16"/>
        <v>1</v>
      </c>
      <c r="I191" s="5" t="str">
        <f t="shared" si="17"/>
        <v/>
      </c>
      <c r="J191" s="5">
        <f t="shared" si="15"/>
        <v>0</v>
      </c>
      <c r="K191" s="5">
        <f t="shared" si="19"/>
        <v>0</v>
      </c>
      <c r="L191" s="5">
        <f t="shared" si="18"/>
        <v>0</v>
      </c>
      <c r="M191" s="5">
        <f t="shared" si="20"/>
        <v>0</v>
      </c>
    </row>
    <row r="192" spans="7:13" x14ac:dyDescent="0.45">
      <c r="G192" s="7">
        <f t="shared" si="16"/>
        <v>1</v>
      </c>
      <c r="I192" s="5" t="str">
        <f t="shared" si="17"/>
        <v/>
      </c>
      <c r="J192" s="5">
        <f t="shared" si="15"/>
        <v>0</v>
      </c>
      <c r="K192" s="5">
        <f t="shared" si="19"/>
        <v>0</v>
      </c>
      <c r="L192" s="5">
        <f t="shared" si="18"/>
        <v>0</v>
      </c>
      <c r="M192" s="5">
        <f t="shared" si="20"/>
        <v>0</v>
      </c>
    </row>
    <row r="193" spans="1:14" x14ac:dyDescent="0.45">
      <c r="G193" s="7">
        <f t="shared" si="16"/>
        <v>1</v>
      </c>
      <c r="I193" s="5" t="str">
        <f t="shared" si="17"/>
        <v/>
      </c>
      <c r="J193" s="5">
        <f t="shared" si="15"/>
        <v>0</v>
      </c>
      <c r="K193" s="5">
        <f t="shared" si="19"/>
        <v>0</v>
      </c>
      <c r="L193" s="5">
        <f t="shared" si="18"/>
        <v>0</v>
      </c>
      <c r="M193" s="5">
        <f t="shared" si="20"/>
        <v>0</v>
      </c>
    </row>
    <row r="194" spans="1:14" x14ac:dyDescent="0.45">
      <c r="G194" s="7">
        <f t="shared" si="16"/>
        <v>1</v>
      </c>
      <c r="I194" s="5" t="str">
        <f t="shared" si="17"/>
        <v/>
      </c>
      <c r="J194" s="5">
        <f t="shared" si="15"/>
        <v>0</v>
      </c>
      <c r="K194" s="5">
        <f t="shared" si="19"/>
        <v>0</v>
      </c>
      <c r="L194" s="5">
        <f t="shared" si="18"/>
        <v>0</v>
      </c>
      <c r="M194" s="5">
        <f t="shared" si="20"/>
        <v>0</v>
      </c>
    </row>
    <row r="195" spans="1:14" x14ac:dyDescent="0.45">
      <c r="G195" s="7">
        <f t="shared" si="16"/>
        <v>1</v>
      </c>
      <c r="I195" s="5" t="str">
        <f t="shared" si="17"/>
        <v/>
      </c>
      <c r="J195" s="5">
        <f t="shared" ref="J195:J258" si="21">IF(AND(G195&gt;=$G$2,H195&gt;=$H$2),I195,0)</f>
        <v>0</v>
      </c>
      <c r="K195" s="5">
        <f t="shared" si="19"/>
        <v>0</v>
      </c>
      <c r="L195" s="5">
        <f t="shared" si="18"/>
        <v>0</v>
      </c>
      <c r="M195" s="5">
        <f t="shared" si="20"/>
        <v>0</v>
      </c>
    </row>
    <row r="196" spans="1:14" x14ac:dyDescent="0.45">
      <c r="G196" s="7">
        <f t="shared" ref="G196:G259" si="22">100%-E196</f>
        <v>1</v>
      </c>
      <c r="I196" s="5" t="str">
        <f t="shared" ref="I196:I259" si="23">IF(D196&lt;&gt;"",D196-D195,"")</f>
        <v/>
      </c>
      <c r="J196" s="5">
        <f t="shared" si="21"/>
        <v>0</v>
      </c>
      <c r="K196" s="5">
        <f t="shared" si="19"/>
        <v>0</v>
      </c>
      <c r="L196" s="5">
        <f t="shared" ref="L196:L259" si="24">IF(AND(G196&gt;=$G$3,H196&gt;=$H$3),I196,0)</f>
        <v>0</v>
      </c>
      <c r="M196" s="5">
        <f t="shared" si="20"/>
        <v>0</v>
      </c>
    </row>
    <row r="197" spans="1:14" x14ac:dyDescent="0.45">
      <c r="G197" s="7">
        <f t="shared" si="22"/>
        <v>1</v>
      </c>
      <c r="I197" s="5" t="str">
        <f t="shared" si="23"/>
        <v/>
      </c>
      <c r="J197" s="5">
        <f t="shared" si="21"/>
        <v>0</v>
      </c>
      <c r="K197" s="5">
        <f t="shared" ref="K197:K260" si="25">IF(J197&gt;0,J197*G197,0)</f>
        <v>0</v>
      </c>
      <c r="L197" s="5">
        <f t="shared" si="24"/>
        <v>0</v>
      </c>
      <c r="M197" s="5">
        <f t="shared" ref="M197:M260" si="26">IF(L197&gt;0,L197*G197,0)</f>
        <v>0</v>
      </c>
    </row>
    <row r="198" spans="1:14" x14ac:dyDescent="0.45">
      <c r="G198" s="7">
        <f t="shared" si="22"/>
        <v>1</v>
      </c>
      <c r="I198" s="5" t="str">
        <f t="shared" si="23"/>
        <v/>
      </c>
      <c r="J198" s="5">
        <f t="shared" si="21"/>
        <v>0</v>
      </c>
      <c r="K198" s="5">
        <f t="shared" si="25"/>
        <v>0</v>
      </c>
      <c r="L198" s="5">
        <f t="shared" si="24"/>
        <v>0</v>
      </c>
      <c r="M198" s="5">
        <f t="shared" si="26"/>
        <v>0</v>
      </c>
    </row>
    <row r="199" spans="1:14" x14ac:dyDescent="0.45">
      <c r="G199" s="7">
        <f t="shared" si="22"/>
        <v>1</v>
      </c>
      <c r="I199" s="5" t="str">
        <f t="shared" si="23"/>
        <v/>
      </c>
      <c r="J199" s="5">
        <f t="shared" si="21"/>
        <v>0</v>
      </c>
      <c r="K199" s="5">
        <f t="shared" si="25"/>
        <v>0</v>
      </c>
      <c r="L199" s="5">
        <f t="shared" si="24"/>
        <v>0</v>
      </c>
      <c r="M199" s="5">
        <f t="shared" si="26"/>
        <v>0</v>
      </c>
    </row>
    <row r="200" spans="1:14" x14ac:dyDescent="0.45">
      <c r="G200" s="7">
        <f t="shared" si="22"/>
        <v>1</v>
      </c>
      <c r="I200" s="5" t="str">
        <f t="shared" si="23"/>
        <v/>
      </c>
      <c r="J200" s="5">
        <f t="shared" si="21"/>
        <v>0</v>
      </c>
      <c r="K200" s="5">
        <f t="shared" si="25"/>
        <v>0</v>
      </c>
      <c r="L200" s="5">
        <f t="shared" si="24"/>
        <v>0</v>
      </c>
      <c r="M200" s="5">
        <f t="shared" si="26"/>
        <v>0</v>
      </c>
    </row>
    <row r="201" spans="1:14" x14ac:dyDescent="0.45">
      <c r="G201" s="7">
        <f t="shared" si="22"/>
        <v>1</v>
      </c>
      <c r="I201" s="5" t="str">
        <f t="shared" si="23"/>
        <v/>
      </c>
      <c r="J201" s="5">
        <f t="shared" si="21"/>
        <v>0</v>
      </c>
      <c r="K201" s="5">
        <f t="shared" si="25"/>
        <v>0</v>
      </c>
      <c r="L201" s="5">
        <f t="shared" si="24"/>
        <v>0</v>
      </c>
      <c r="M201" s="5">
        <f t="shared" si="26"/>
        <v>0</v>
      </c>
    </row>
    <row r="202" spans="1:14" s="25" customFormat="1" x14ac:dyDescent="0.45">
      <c r="A202" s="19"/>
      <c r="B202" s="27"/>
      <c r="C202" s="20"/>
      <c r="D202" s="21"/>
      <c r="E202" s="22"/>
      <c r="F202" s="23"/>
      <c r="G202" s="7">
        <f t="shared" si="22"/>
        <v>1</v>
      </c>
      <c r="H202" s="22"/>
      <c r="I202" s="21" t="str">
        <f t="shared" si="23"/>
        <v/>
      </c>
      <c r="J202" s="21">
        <f t="shared" si="21"/>
        <v>0</v>
      </c>
      <c r="K202" s="21">
        <f t="shared" si="25"/>
        <v>0</v>
      </c>
      <c r="L202" s="21">
        <f t="shared" si="24"/>
        <v>0</v>
      </c>
      <c r="M202" s="21">
        <f t="shared" si="26"/>
        <v>0</v>
      </c>
      <c r="N202" s="24"/>
    </row>
    <row r="203" spans="1:14" x14ac:dyDescent="0.45">
      <c r="G203" s="7">
        <f t="shared" si="22"/>
        <v>1</v>
      </c>
      <c r="I203" s="5" t="str">
        <f t="shared" si="23"/>
        <v/>
      </c>
      <c r="J203" s="5">
        <f t="shared" si="21"/>
        <v>0</v>
      </c>
      <c r="K203" s="5">
        <f t="shared" si="25"/>
        <v>0</v>
      </c>
      <c r="L203" s="5">
        <f t="shared" si="24"/>
        <v>0</v>
      </c>
      <c r="M203" s="5">
        <f t="shared" si="26"/>
        <v>0</v>
      </c>
    </row>
    <row r="204" spans="1:14" x14ac:dyDescent="0.45">
      <c r="G204" s="7">
        <f t="shared" si="22"/>
        <v>1</v>
      </c>
      <c r="I204" s="5" t="str">
        <f t="shared" si="23"/>
        <v/>
      </c>
      <c r="J204" s="5">
        <f t="shared" si="21"/>
        <v>0</v>
      </c>
      <c r="K204" s="5">
        <f t="shared" si="25"/>
        <v>0</v>
      </c>
      <c r="L204" s="5">
        <f t="shared" si="24"/>
        <v>0</v>
      </c>
      <c r="M204" s="5">
        <f t="shared" si="26"/>
        <v>0</v>
      </c>
    </row>
    <row r="205" spans="1:14" x14ac:dyDescent="0.45">
      <c r="G205" s="7">
        <f t="shared" si="22"/>
        <v>1</v>
      </c>
      <c r="I205" s="5" t="str">
        <f t="shared" si="23"/>
        <v/>
      </c>
      <c r="J205" s="5">
        <f t="shared" si="21"/>
        <v>0</v>
      </c>
      <c r="K205" s="5">
        <f t="shared" si="25"/>
        <v>0</v>
      </c>
      <c r="L205" s="5">
        <f t="shared" si="24"/>
        <v>0</v>
      </c>
      <c r="M205" s="5">
        <f t="shared" si="26"/>
        <v>0</v>
      </c>
    </row>
    <row r="206" spans="1:14" x14ac:dyDescent="0.45">
      <c r="G206" s="7">
        <f t="shared" si="22"/>
        <v>1</v>
      </c>
      <c r="I206" s="5" t="str">
        <f t="shared" si="23"/>
        <v/>
      </c>
      <c r="J206" s="5">
        <f t="shared" si="21"/>
        <v>0</v>
      </c>
      <c r="K206" s="5">
        <f t="shared" si="25"/>
        <v>0</v>
      </c>
      <c r="L206" s="5">
        <f t="shared" si="24"/>
        <v>0</v>
      </c>
      <c r="M206" s="5">
        <f t="shared" si="26"/>
        <v>0</v>
      </c>
    </row>
    <row r="207" spans="1:14" x14ac:dyDescent="0.45">
      <c r="G207" s="7">
        <f t="shared" si="22"/>
        <v>1</v>
      </c>
      <c r="I207" s="5" t="str">
        <f t="shared" si="23"/>
        <v/>
      </c>
      <c r="J207" s="5">
        <f t="shared" si="21"/>
        <v>0</v>
      </c>
      <c r="K207" s="5">
        <f t="shared" si="25"/>
        <v>0</v>
      </c>
      <c r="L207" s="5">
        <f t="shared" si="24"/>
        <v>0</v>
      </c>
      <c r="M207" s="5">
        <f t="shared" si="26"/>
        <v>0</v>
      </c>
    </row>
    <row r="208" spans="1:14" x14ac:dyDescent="0.45">
      <c r="G208" s="7">
        <f t="shared" si="22"/>
        <v>1</v>
      </c>
      <c r="I208" s="5" t="str">
        <f t="shared" si="23"/>
        <v/>
      </c>
      <c r="J208" s="5">
        <f t="shared" si="21"/>
        <v>0</v>
      </c>
      <c r="K208" s="5">
        <f t="shared" si="25"/>
        <v>0</v>
      </c>
      <c r="L208" s="5">
        <f t="shared" si="24"/>
        <v>0</v>
      </c>
      <c r="M208" s="5">
        <f t="shared" si="26"/>
        <v>0</v>
      </c>
    </row>
    <row r="209" spans="1:14" x14ac:dyDescent="0.45">
      <c r="G209" s="7">
        <f t="shared" si="22"/>
        <v>1</v>
      </c>
      <c r="I209" s="5" t="str">
        <f t="shared" si="23"/>
        <v/>
      </c>
      <c r="J209" s="5">
        <f t="shared" si="21"/>
        <v>0</v>
      </c>
      <c r="K209" s="5">
        <f t="shared" si="25"/>
        <v>0</v>
      </c>
      <c r="L209" s="5">
        <f t="shared" si="24"/>
        <v>0</v>
      </c>
      <c r="M209" s="5">
        <f t="shared" si="26"/>
        <v>0</v>
      </c>
    </row>
    <row r="210" spans="1:14" x14ac:dyDescent="0.45">
      <c r="G210" s="7">
        <f t="shared" si="22"/>
        <v>1</v>
      </c>
      <c r="I210" s="5" t="str">
        <f t="shared" si="23"/>
        <v/>
      </c>
      <c r="J210" s="5">
        <f t="shared" si="21"/>
        <v>0</v>
      </c>
      <c r="K210" s="5">
        <f t="shared" si="25"/>
        <v>0</v>
      </c>
      <c r="L210" s="5">
        <f t="shared" si="24"/>
        <v>0</v>
      </c>
      <c r="M210" s="5">
        <f t="shared" si="26"/>
        <v>0</v>
      </c>
    </row>
    <row r="211" spans="1:14" x14ac:dyDescent="0.45">
      <c r="G211" s="7">
        <f t="shared" si="22"/>
        <v>1</v>
      </c>
      <c r="I211" s="5" t="str">
        <f t="shared" si="23"/>
        <v/>
      </c>
      <c r="J211" s="5">
        <f t="shared" si="21"/>
        <v>0</v>
      </c>
      <c r="K211" s="5">
        <f t="shared" si="25"/>
        <v>0</v>
      </c>
      <c r="L211" s="5">
        <f t="shared" si="24"/>
        <v>0</v>
      </c>
      <c r="M211" s="5">
        <f t="shared" si="26"/>
        <v>0</v>
      </c>
    </row>
    <row r="212" spans="1:14" x14ac:dyDescent="0.45">
      <c r="G212" s="7">
        <f t="shared" si="22"/>
        <v>1</v>
      </c>
      <c r="I212" s="5" t="str">
        <f t="shared" si="23"/>
        <v/>
      </c>
      <c r="J212" s="5">
        <f t="shared" si="21"/>
        <v>0</v>
      </c>
      <c r="K212" s="5">
        <f t="shared" si="25"/>
        <v>0</v>
      </c>
      <c r="L212" s="5">
        <f t="shared" si="24"/>
        <v>0</v>
      </c>
      <c r="M212" s="5">
        <f t="shared" si="26"/>
        <v>0</v>
      </c>
    </row>
    <row r="213" spans="1:14" x14ac:dyDescent="0.45">
      <c r="G213" s="7">
        <f t="shared" si="22"/>
        <v>1</v>
      </c>
      <c r="I213" s="5" t="str">
        <f t="shared" si="23"/>
        <v/>
      </c>
      <c r="J213" s="5">
        <f t="shared" si="21"/>
        <v>0</v>
      </c>
      <c r="K213" s="5">
        <f t="shared" si="25"/>
        <v>0</v>
      </c>
      <c r="L213" s="5">
        <f t="shared" si="24"/>
        <v>0</v>
      </c>
      <c r="M213" s="5">
        <f t="shared" si="26"/>
        <v>0</v>
      </c>
    </row>
    <row r="214" spans="1:14" x14ac:dyDescent="0.45">
      <c r="G214" s="7">
        <f t="shared" si="22"/>
        <v>1</v>
      </c>
      <c r="I214" s="5" t="str">
        <f t="shared" si="23"/>
        <v/>
      </c>
      <c r="J214" s="5">
        <f t="shared" si="21"/>
        <v>0</v>
      </c>
      <c r="K214" s="5">
        <f t="shared" si="25"/>
        <v>0</v>
      </c>
      <c r="L214" s="5">
        <f t="shared" si="24"/>
        <v>0</v>
      </c>
      <c r="M214" s="5">
        <f t="shared" si="26"/>
        <v>0</v>
      </c>
    </row>
    <row r="215" spans="1:14" x14ac:dyDescent="0.45">
      <c r="G215" s="7">
        <f t="shared" si="22"/>
        <v>1</v>
      </c>
      <c r="I215" s="5" t="str">
        <f t="shared" si="23"/>
        <v/>
      </c>
      <c r="J215" s="5">
        <f t="shared" si="21"/>
        <v>0</v>
      </c>
      <c r="K215" s="5">
        <f t="shared" si="25"/>
        <v>0</v>
      </c>
      <c r="L215" s="5">
        <f t="shared" si="24"/>
        <v>0</v>
      </c>
      <c r="M215" s="5">
        <f t="shared" si="26"/>
        <v>0</v>
      </c>
    </row>
    <row r="216" spans="1:14" x14ac:dyDescent="0.45">
      <c r="G216" s="7">
        <f t="shared" si="22"/>
        <v>1</v>
      </c>
      <c r="I216" s="5" t="str">
        <f t="shared" si="23"/>
        <v/>
      </c>
      <c r="J216" s="5">
        <f t="shared" si="21"/>
        <v>0</v>
      </c>
      <c r="K216" s="5">
        <f t="shared" si="25"/>
        <v>0</v>
      </c>
      <c r="L216" s="5">
        <f t="shared" si="24"/>
        <v>0</v>
      </c>
      <c r="M216" s="5">
        <f t="shared" si="26"/>
        <v>0</v>
      </c>
    </row>
    <row r="217" spans="1:14" x14ac:dyDescent="0.45">
      <c r="G217" s="7">
        <f t="shared" si="22"/>
        <v>1</v>
      </c>
      <c r="I217" s="5" t="str">
        <f t="shared" si="23"/>
        <v/>
      </c>
      <c r="J217" s="5">
        <f t="shared" si="21"/>
        <v>0</v>
      </c>
      <c r="K217" s="5">
        <f t="shared" si="25"/>
        <v>0</v>
      </c>
      <c r="L217" s="5">
        <f t="shared" si="24"/>
        <v>0</v>
      </c>
      <c r="M217" s="5">
        <f t="shared" si="26"/>
        <v>0</v>
      </c>
    </row>
    <row r="218" spans="1:14" x14ac:dyDescent="0.45">
      <c r="G218" s="7">
        <f t="shared" si="22"/>
        <v>1</v>
      </c>
      <c r="I218" s="5" t="str">
        <f t="shared" si="23"/>
        <v/>
      </c>
      <c r="J218" s="5">
        <f t="shared" si="21"/>
        <v>0</v>
      </c>
      <c r="K218" s="5">
        <f t="shared" si="25"/>
        <v>0</v>
      </c>
      <c r="L218" s="5">
        <f t="shared" si="24"/>
        <v>0</v>
      </c>
      <c r="M218" s="5">
        <f t="shared" si="26"/>
        <v>0</v>
      </c>
    </row>
    <row r="219" spans="1:14" x14ac:dyDescent="0.45">
      <c r="G219" s="7">
        <f t="shared" si="22"/>
        <v>1</v>
      </c>
      <c r="I219" s="5" t="str">
        <f t="shared" si="23"/>
        <v/>
      </c>
      <c r="J219" s="5">
        <f t="shared" si="21"/>
        <v>0</v>
      </c>
      <c r="K219" s="5">
        <f t="shared" si="25"/>
        <v>0</v>
      </c>
      <c r="L219" s="5">
        <f t="shared" si="24"/>
        <v>0</v>
      </c>
      <c r="M219" s="5">
        <f t="shared" si="26"/>
        <v>0</v>
      </c>
    </row>
    <row r="220" spans="1:14" x14ac:dyDescent="0.45">
      <c r="G220" s="7">
        <f t="shared" si="22"/>
        <v>1</v>
      </c>
      <c r="I220" s="5" t="str">
        <f t="shared" si="23"/>
        <v/>
      </c>
      <c r="J220" s="5">
        <f t="shared" si="21"/>
        <v>0</v>
      </c>
      <c r="K220" s="5">
        <f t="shared" si="25"/>
        <v>0</v>
      </c>
      <c r="L220" s="5">
        <f t="shared" si="24"/>
        <v>0</v>
      </c>
      <c r="M220" s="5">
        <f t="shared" si="26"/>
        <v>0</v>
      </c>
    </row>
    <row r="221" spans="1:14" x14ac:dyDescent="0.45">
      <c r="G221" s="7">
        <f t="shared" si="22"/>
        <v>1</v>
      </c>
      <c r="I221" s="5" t="str">
        <f t="shared" si="23"/>
        <v/>
      </c>
      <c r="J221" s="5">
        <f t="shared" si="21"/>
        <v>0</v>
      </c>
      <c r="K221" s="5">
        <f t="shared" si="25"/>
        <v>0</v>
      </c>
      <c r="L221" s="5">
        <f t="shared" si="24"/>
        <v>0</v>
      </c>
      <c r="M221" s="5">
        <f t="shared" si="26"/>
        <v>0</v>
      </c>
    </row>
    <row r="222" spans="1:14" x14ac:dyDescent="0.45">
      <c r="G222" s="7">
        <f t="shared" si="22"/>
        <v>1</v>
      </c>
      <c r="I222" s="5" t="str">
        <f t="shared" si="23"/>
        <v/>
      </c>
      <c r="J222" s="5">
        <f t="shared" si="21"/>
        <v>0</v>
      </c>
      <c r="K222" s="5">
        <f t="shared" si="25"/>
        <v>0</v>
      </c>
      <c r="L222" s="5">
        <f t="shared" si="24"/>
        <v>0</v>
      </c>
      <c r="M222" s="5">
        <f t="shared" si="26"/>
        <v>0</v>
      </c>
    </row>
    <row r="223" spans="1:14" x14ac:dyDescent="0.45">
      <c r="G223" s="7">
        <f t="shared" si="22"/>
        <v>1</v>
      </c>
      <c r="I223" s="5" t="str">
        <f t="shared" si="23"/>
        <v/>
      </c>
      <c r="J223" s="5">
        <f t="shared" si="21"/>
        <v>0</v>
      </c>
      <c r="K223" s="5">
        <f t="shared" si="25"/>
        <v>0</v>
      </c>
      <c r="L223" s="5">
        <f t="shared" si="24"/>
        <v>0</v>
      </c>
      <c r="M223" s="5">
        <f t="shared" si="26"/>
        <v>0</v>
      </c>
    </row>
    <row r="224" spans="1:14" s="25" customFormat="1" x14ac:dyDescent="0.45">
      <c r="A224" s="19"/>
      <c r="B224" s="27"/>
      <c r="C224" s="20"/>
      <c r="D224" s="21"/>
      <c r="E224" s="22"/>
      <c r="F224" s="23"/>
      <c r="G224" s="7">
        <f t="shared" si="22"/>
        <v>1</v>
      </c>
      <c r="H224" s="22"/>
      <c r="I224" s="21" t="str">
        <f t="shared" si="23"/>
        <v/>
      </c>
      <c r="J224" s="21">
        <f t="shared" si="21"/>
        <v>0</v>
      </c>
      <c r="K224" s="21">
        <f t="shared" si="25"/>
        <v>0</v>
      </c>
      <c r="L224" s="21">
        <f t="shared" si="24"/>
        <v>0</v>
      </c>
      <c r="M224" s="21">
        <f t="shared" si="26"/>
        <v>0</v>
      </c>
      <c r="N224" s="24"/>
    </row>
    <row r="225" spans="7:13" x14ac:dyDescent="0.45">
      <c r="G225" s="7">
        <f t="shared" si="22"/>
        <v>1</v>
      </c>
      <c r="I225" s="5" t="str">
        <f t="shared" si="23"/>
        <v/>
      </c>
      <c r="J225" s="5">
        <f t="shared" si="21"/>
        <v>0</v>
      </c>
      <c r="K225" s="5">
        <f t="shared" si="25"/>
        <v>0</v>
      </c>
      <c r="L225" s="5">
        <f t="shared" si="24"/>
        <v>0</v>
      </c>
      <c r="M225" s="5">
        <f t="shared" si="26"/>
        <v>0</v>
      </c>
    </row>
    <row r="226" spans="7:13" x14ac:dyDescent="0.45">
      <c r="G226" s="7">
        <f t="shared" si="22"/>
        <v>1</v>
      </c>
      <c r="I226" s="5" t="str">
        <f t="shared" si="23"/>
        <v/>
      </c>
      <c r="J226" s="5">
        <f t="shared" si="21"/>
        <v>0</v>
      </c>
      <c r="K226" s="5">
        <f t="shared" si="25"/>
        <v>0</v>
      </c>
      <c r="L226" s="5">
        <f t="shared" si="24"/>
        <v>0</v>
      </c>
      <c r="M226" s="5">
        <f t="shared" si="26"/>
        <v>0</v>
      </c>
    </row>
    <row r="227" spans="7:13" x14ac:dyDescent="0.45">
      <c r="G227" s="7">
        <f t="shared" si="22"/>
        <v>1</v>
      </c>
      <c r="I227" s="5" t="str">
        <f t="shared" si="23"/>
        <v/>
      </c>
      <c r="J227" s="5">
        <f t="shared" si="21"/>
        <v>0</v>
      </c>
      <c r="K227" s="5">
        <f t="shared" si="25"/>
        <v>0</v>
      </c>
      <c r="L227" s="5">
        <f t="shared" si="24"/>
        <v>0</v>
      </c>
      <c r="M227" s="5">
        <f t="shared" si="26"/>
        <v>0</v>
      </c>
    </row>
    <row r="228" spans="7:13" x14ac:dyDescent="0.45">
      <c r="G228" s="7">
        <f t="shared" si="22"/>
        <v>1</v>
      </c>
      <c r="I228" s="5" t="str">
        <f t="shared" si="23"/>
        <v/>
      </c>
      <c r="J228" s="5">
        <f t="shared" si="21"/>
        <v>0</v>
      </c>
      <c r="K228" s="5">
        <f t="shared" si="25"/>
        <v>0</v>
      </c>
      <c r="L228" s="5">
        <f t="shared" si="24"/>
        <v>0</v>
      </c>
      <c r="M228" s="5">
        <f t="shared" si="26"/>
        <v>0</v>
      </c>
    </row>
    <row r="229" spans="7:13" x14ac:dyDescent="0.45">
      <c r="G229" s="7">
        <f t="shared" si="22"/>
        <v>1</v>
      </c>
      <c r="I229" s="5" t="str">
        <f t="shared" si="23"/>
        <v/>
      </c>
      <c r="J229" s="5">
        <f t="shared" si="21"/>
        <v>0</v>
      </c>
      <c r="K229" s="5">
        <f t="shared" si="25"/>
        <v>0</v>
      </c>
      <c r="L229" s="5">
        <f t="shared" si="24"/>
        <v>0</v>
      </c>
      <c r="M229" s="5">
        <f t="shared" si="26"/>
        <v>0</v>
      </c>
    </row>
    <row r="230" spans="7:13" x14ac:dyDescent="0.45">
      <c r="G230" s="7">
        <f t="shared" si="22"/>
        <v>1</v>
      </c>
      <c r="I230" s="5" t="str">
        <f t="shared" si="23"/>
        <v/>
      </c>
      <c r="J230" s="5">
        <f t="shared" si="21"/>
        <v>0</v>
      </c>
      <c r="K230" s="5">
        <f t="shared" si="25"/>
        <v>0</v>
      </c>
      <c r="L230" s="5">
        <f t="shared" si="24"/>
        <v>0</v>
      </c>
      <c r="M230" s="5">
        <f t="shared" si="26"/>
        <v>0</v>
      </c>
    </row>
    <row r="231" spans="7:13" x14ac:dyDescent="0.45">
      <c r="G231" s="7">
        <f t="shared" si="22"/>
        <v>1</v>
      </c>
      <c r="I231" s="5" t="str">
        <f t="shared" si="23"/>
        <v/>
      </c>
      <c r="J231" s="5">
        <f t="shared" si="21"/>
        <v>0</v>
      </c>
      <c r="K231" s="5">
        <f t="shared" si="25"/>
        <v>0</v>
      </c>
      <c r="L231" s="5">
        <f t="shared" si="24"/>
        <v>0</v>
      </c>
      <c r="M231" s="5">
        <f t="shared" si="26"/>
        <v>0</v>
      </c>
    </row>
    <row r="232" spans="7:13" x14ac:dyDescent="0.45">
      <c r="G232" s="7">
        <f t="shared" si="22"/>
        <v>1</v>
      </c>
      <c r="I232" s="5" t="str">
        <f t="shared" si="23"/>
        <v/>
      </c>
      <c r="J232" s="5">
        <f t="shared" si="21"/>
        <v>0</v>
      </c>
      <c r="K232" s="5">
        <f t="shared" si="25"/>
        <v>0</v>
      </c>
      <c r="L232" s="5">
        <f t="shared" si="24"/>
        <v>0</v>
      </c>
      <c r="M232" s="5">
        <f t="shared" si="26"/>
        <v>0</v>
      </c>
    </row>
    <row r="233" spans="7:13" x14ac:dyDescent="0.45">
      <c r="G233" s="7">
        <f t="shared" si="22"/>
        <v>1</v>
      </c>
      <c r="I233" s="5" t="str">
        <f t="shared" si="23"/>
        <v/>
      </c>
      <c r="J233" s="5">
        <f t="shared" si="21"/>
        <v>0</v>
      </c>
      <c r="K233" s="5">
        <f t="shared" si="25"/>
        <v>0</v>
      </c>
      <c r="L233" s="5">
        <f t="shared" si="24"/>
        <v>0</v>
      </c>
      <c r="M233" s="5">
        <f t="shared" si="26"/>
        <v>0</v>
      </c>
    </row>
    <row r="234" spans="7:13" x14ac:dyDescent="0.45">
      <c r="G234" s="7">
        <f t="shared" si="22"/>
        <v>1</v>
      </c>
      <c r="I234" s="5" t="str">
        <f t="shared" si="23"/>
        <v/>
      </c>
      <c r="J234" s="5">
        <f t="shared" si="21"/>
        <v>0</v>
      </c>
      <c r="K234" s="5">
        <f t="shared" si="25"/>
        <v>0</v>
      </c>
      <c r="L234" s="5">
        <f t="shared" si="24"/>
        <v>0</v>
      </c>
      <c r="M234" s="5">
        <f t="shared" si="26"/>
        <v>0</v>
      </c>
    </row>
    <row r="235" spans="7:13" x14ac:dyDescent="0.45">
      <c r="G235" s="7">
        <f t="shared" si="22"/>
        <v>1</v>
      </c>
      <c r="I235" s="5" t="str">
        <f t="shared" si="23"/>
        <v/>
      </c>
      <c r="J235" s="5">
        <f t="shared" si="21"/>
        <v>0</v>
      </c>
      <c r="K235" s="5">
        <f t="shared" si="25"/>
        <v>0</v>
      </c>
      <c r="L235" s="5">
        <f t="shared" si="24"/>
        <v>0</v>
      </c>
      <c r="M235" s="5">
        <f t="shared" si="26"/>
        <v>0</v>
      </c>
    </row>
    <row r="236" spans="7:13" x14ac:dyDescent="0.45">
      <c r="G236" s="7">
        <f t="shared" si="22"/>
        <v>1</v>
      </c>
      <c r="I236" s="5" t="str">
        <f t="shared" si="23"/>
        <v/>
      </c>
      <c r="J236" s="5">
        <f t="shared" si="21"/>
        <v>0</v>
      </c>
      <c r="K236" s="5">
        <f t="shared" si="25"/>
        <v>0</v>
      </c>
      <c r="L236" s="5">
        <f t="shared" si="24"/>
        <v>0</v>
      </c>
      <c r="M236" s="5">
        <f t="shared" si="26"/>
        <v>0</v>
      </c>
    </row>
    <row r="237" spans="7:13" x14ac:dyDescent="0.45">
      <c r="G237" s="7">
        <f t="shared" si="22"/>
        <v>1</v>
      </c>
      <c r="I237" s="5" t="str">
        <f t="shared" si="23"/>
        <v/>
      </c>
      <c r="J237" s="5">
        <f t="shared" si="21"/>
        <v>0</v>
      </c>
      <c r="K237" s="5">
        <f t="shared" si="25"/>
        <v>0</v>
      </c>
      <c r="L237" s="5">
        <f t="shared" si="24"/>
        <v>0</v>
      </c>
      <c r="M237" s="5">
        <f t="shared" si="26"/>
        <v>0</v>
      </c>
    </row>
    <row r="238" spans="7:13" x14ac:dyDescent="0.45">
      <c r="G238" s="7">
        <f t="shared" si="22"/>
        <v>1</v>
      </c>
      <c r="I238" s="5" t="str">
        <f t="shared" si="23"/>
        <v/>
      </c>
      <c r="J238" s="5">
        <f t="shared" si="21"/>
        <v>0</v>
      </c>
      <c r="K238" s="5">
        <f t="shared" si="25"/>
        <v>0</v>
      </c>
      <c r="L238" s="5">
        <f t="shared" si="24"/>
        <v>0</v>
      </c>
      <c r="M238" s="5">
        <f t="shared" si="26"/>
        <v>0</v>
      </c>
    </row>
    <row r="239" spans="7:13" x14ac:dyDescent="0.45">
      <c r="G239" s="7">
        <f t="shared" si="22"/>
        <v>1</v>
      </c>
      <c r="I239" s="5" t="str">
        <f t="shared" si="23"/>
        <v/>
      </c>
      <c r="J239" s="5">
        <f t="shared" si="21"/>
        <v>0</v>
      </c>
      <c r="K239" s="5">
        <f t="shared" si="25"/>
        <v>0</v>
      </c>
      <c r="L239" s="5">
        <f t="shared" si="24"/>
        <v>0</v>
      </c>
      <c r="M239" s="5">
        <f t="shared" si="26"/>
        <v>0</v>
      </c>
    </row>
    <row r="240" spans="7:13" x14ac:dyDescent="0.45">
      <c r="G240" s="7">
        <f t="shared" si="22"/>
        <v>1</v>
      </c>
      <c r="I240" s="5" t="str">
        <f t="shared" si="23"/>
        <v/>
      </c>
      <c r="J240" s="5">
        <f t="shared" si="21"/>
        <v>0</v>
      </c>
      <c r="K240" s="5">
        <f t="shared" si="25"/>
        <v>0</v>
      </c>
      <c r="L240" s="5">
        <f t="shared" si="24"/>
        <v>0</v>
      </c>
      <c r="M240" s="5">
        <f t="shared" si="26"/>
        <v>0</v>
      </c>
    </row>
    <row r="241" spans="1:14" x14ac:dyDescent="0.45">
      <c r="G241" s="7">
        <f t="shared" si="22"/>
        <v>1</v>
      </c>
      <c r="I241" s="5" t="str">
        <f t="shared" si="23"/>
        <v/>
      </c>
      <c r="J241" s="5">
        <f t="shared" si="21"/>
        <v>0</v>
      </c>
      <c r="K241" s="5">
        <f t="shared" si="25"/>
        <v>0</v>
      </c>
      <c r="L241" s="5">
        <f t="shared" si="24"/>
        <v>0</v>
      </c>
      <c r="M241" s="5">
        <f t="shared" si="26"/>
        <v>0</v>
      </c>
    </row>
    <row r="242" spans="1:14" x14ac:dyDescent="0.45">
      <c r="G242" s="7">
        <f t="shared" si="22"/>
        <v>1</v>
      </c>
      <c r="I242" s="5" t="str">
        <f t="shared" si="23"/>
        <v/>
      </c>
      <c r="J242" s="5">
        <f t="shared" si="21"/>
        <v>0</v>
      </c>
      <c r="K242" s="5">
        <f t="shared" si="25"/>
        <v>0</v>
      </c>
      <c r="L242" s="5">
        <f t="shared" si="24"/>
        <v>0</v>
      </c>
      <c r="M242" s="5">
        <f t="shared" si="26"/>
        <v>0</v>
      </c>
    </row>
    <row r="243" spans="1:14" x14ac:dyDescent="0.45">
      <c r="G243" s="7">
        <f t="shared" si="22"/>
        <v>1</v>
      </c>
      <c r="I243" s="5" t="str">
        <f t="shared" si="23"/>
        <v/>
      </c>
      <c r="J243" s="5">
        <f t="shared" si="21"/>
        <v>0</v>
      </c>
      <c r="K243" s="5">
        <f t="shared" si="25"/>
        <v>0</v>
      </c>
      <c r="L243" s="5">
        <f t="shared" si="24"/>
        <v>0</v>
      </c>
      <c r="M243" s="5">
        <f t="shared" si="26"/>
        <v>0</v>
      </c>
    </row>
    <row r="244" spans="1:14" x14ac:dyDescent="0.45">
      <c r="G244" s="7">
        <f t="shared" si="22"/>
        <v>1</v>
      </c>
      <c r="I244" s="5" t="str">
        <f t="shared" si="23"/>
        <v/>
      </c>
      <c r="J244" s="5">
        <f t="shared" si="21"/>
        <v>0</v>
      </c>
      <c r="K244" s="5">
        <f t="shared" si="25"/>
        <v>0</v>
      </c>
      <c r="L244" s="5">
        <f t="shared" si="24"/>
        <v>0</v>
      </c>
      <c r="M244" s="5">
        <f t="shared" si="26"/>
        <v>0</v>
      </c>
    </row>
    <row r="245" spans="1:14" x14ac:dyDescent="0.45">
      <c r="G245" s="7">
        <f t="shared" si="22"/>
        <v>1</v>
      </c>
      <c r="I245" s="5" t="str">
        <f t="shared" si="23"/>
        <v/>
      </c>
      <c r="J245" s="5">
        <f t="shared" si="21"/>
        <v>0</v>
      </c>
      <c r="K245" s="5">
        <f t="shared" si="25"/>
        <v>0</v>
      </c>
      <c r="L245" s="5">
        <f t="shared" si="24"/>
        <v>0</v>
      </c>
      <c r="M245" s="5">
        <f t="shared" si="26"/>
        <v>0</v>
      </c>
    </row>
    <row r="246" spans="1:14" x14ac:dyDescent="0.45">
      <c r="G246" s="7">
        <f t="shared" si="22"/>
        <v>1</v>
      </c>
      <c r="I246" s="5" t="str">
        <f t="shared" si="23"/>
        <v/>
      </c>
      <c r="J246" s="5">
        <f t="shared" si="21"/>
        <v>0</v>
      </c>
      <c r="K246" s="5">
        <f t="shared" si="25"/>
        <v>0</v>
      </c>
      <c r="L246" s="5">
        <f t="shared" si="24"/>
        <v>0</v>
      </c>
      <c r="M246" s="5">
        <f t="shared" si="26"/>
        <v>0</v>
      </c>
    </row>
    <row r="247" spans="1:14" x14ac:dyDescent="0.45">
      <c r="G247" s="7">
        <f t="shared" si="22"/>
        <v>1</v>
      </c>
      <c r="I247" s="5" t="str">
        <f t="shared" si="23"/>
        <v/>
      </c>
      <c r="J247" s="5">
        <f t="shared" si="21"/>
        <v>0</v>
      </c>
      <c r="K247" s="5">
        <f t="shared" si="25"/>
        <v>0</v>
      </c>
      <c r="L247" s="5">
        <f t="shared" si="24"/>
        <v>0</v>
      </c>
      <c r="M247" s="5">
        <f t="shared" si="26"/>
        <v>0</v>
      </c>
    </row>
    <row r="248" spans="1:14" s="25" customFormat="1" x14ac:dyDescent="0.45">
      <c r="A248" s="19"/>
      <c r="B248" s="27"/>
      <c r="C248" s="20"/>
      <c r="D248" s="21"/>
      <c r="E248" s="22"/>
      <c r="F248" s="23"/>
      <c r="G248" s="7">
        <f t="shared" si="22"/>
        <v>1</v>
      </c>
      <c r="H248" s="22"/>
      <c r="I248" s="21" t="str">
        <f t="shared" si="23"/>
        <v/>
      </c>
      <c r="J248" s="21">
        <f t="shared" si="21"/>
        <v>0</v>
      </c>
      <c r="K248" s="21">
        <f t="shared" si="25"/>
        <v>0</v>
      </c>
      <c r="L248" s="21">
        <f t="shared" si="24"/>
        <v>0</v>
      </c>
      <c r="M248" s="21">
        <f t="shared" si="26"/>
        <v>0</v>
      </c>
      <c r="N248" s="24"/>
    </row>
    <row r="249" spans="1:14" x14ac:dyDescent="0.45">
      <c r="G249" s="7">
        <f t="shared" si="22"/>
        <v>1</v>
      </c>
      <c r="I249" s="5" t="str">
        <f t="shared" si="23"/>
        <v/>
      </c>
      <c r="J249" s="5">
        <f t="shared" si="21"/>
        <v>0</v>
      </c>
      <c r="K249" s="5">
        <f t="shared" si="25"/>
        <v>0</v>
      </c>
      <c r="L249" s="5">
        <f t="shared" si="24"/>
        <v>0</v>
      </c>
      <c r="M249" s="5">
        <f t="shared" si="26"/>
        <v>0</v>
      </c>
    </row>
    <row r="250" spans="1:14" x14ac:dyDescent="0.45">
      <c r="G250" s="7">
        <f t="shared" si="22"/>
        <v>1</v>
      </c>
      <c r="I250" s="5" t="str">
        <f t="shared" si="23"/>
        <v/>
      </c>
      <c r="J250" s="5">
        <f t="shared" si="21"/>
        <v>0</v>
      </c>
      <c r="K250" s="5">
        <f t="shared" si="25"/>
        <v>0</v>
      </c>
      <c r="L250" s="5">
        <f t="shared" si="24"/>
        <v>0</v>
      </c>
      <c r="M250" s="5">
        <f t="shared" si="26"/>
        <v>0</v>
      </c>
    </row>
    <row r="251" spans="1:14" x14ac:dyDescent="0.45">
      <c r="G251" s="7">
        <f t="shared" si="22"/>
        <v>1</v>
      </c>
      <c r="I251" s="5" t="str">
        <f t="shared" si="23"/>
        <v/>
      </c>
      <c r="J251" s="5">
        <f t="shared" si="21"/>
        <v>0</v>
      </c>
      <c r="K251" s="5">
        <f t="shared" si="25"/>
        <v>0</v>
      </c>
      <c r="L251" s="5">
        <f t="shared" si="24"/>
        <v>0</v>
      </c>
      <c r="M251" s="5">
        <f t="shared" si="26"/>
        <v>0</v>
      </c>
    </row>
    <row r="252" spans="1:14" x14ac:dyDescent="0.45">
      <c r="G252" s="7">
        <f t="shared" si="22"/>
        <v>1</v>
      </c>
      <c r="I252" s="5" t="str">
        <f t="shared" si="23"/>
        <v/>
      </c>
      <c r="J252" s="5">
        <f t="shared" si="21"/>
        <v>0</v>
      </c>
      <c r="K252" s="5">
        <f t="shared" si="25"/>
        <v>0</v>
      </c>
      <c r="L252" s="5">
        <f t="shared" si="24"/>
        <v>0</v>
      </c>
      <c r="M252" s="5">
        <f t="shared" si="26"/>
        <v>0</v>
      </c>
    </row>
    <row r="253" spans="1:14" x14ac:dyDescent="0.45">
      <c r="G253" s="7">
        <f t="shared" si="22"/>
        <v>1</v>
      </c>
      <c r="I253" s="5" t="str">
        <f t="shared" si="23"/>
        <v/>
      </c>
      <c r="J253" s="5">
        <f t="shared" si="21"/>
        <v>0</v>
      </c>
      <c r="K253" s="5">
        <f t="shared" si="25"/>
        <v>0</v>
      </c>
      <c r="L253" s="5">
        <f t="shared" si="24"/>
        <v>0</v>
      </c>
      <c r="M253" s="5">
        <f t="shared" si="26"/>
        <v>0</v>
      </c>
    </row>
    <row r="254" spans="1:14" x14ac:dyDescent="0.45">
      <c r="G254" s="7">
        <f t="shared" si="22"/>
        <v>1</v>
      </c>
      <c r="I254" s="5" t="str">
        <f t="shared" si="23"/>
        <v/>
      </c>
      <c r="J254" s="5">
        <f t="shared" si="21"/>
        <v>0</v>
      </c>
      <c r="K254" s="5">
        <f t="shared" si="25"/>
        <v>0</v>
      </c>
      <c r="L254" s="5">
        <f t="shared" si="24"/>
        <v>0</v>
      </c>
      <c r="M254" s="5">
        <f t="shared" si="26"/>
        <v>0</v>
      </c>
    </row>
    <row r="255" spans="1:14" x14ac:dyDescent="0.45">
      <c r="G255" s="7">
        <f t="shared" si="22"/>
        <v>1</v>
      </c>
      <c r="I255" s="5" t="str">
        <f t="shared" si="23"/>
        <v/>
      </c>
      <c r="J255" s="5">
        <f t="shared" si="21"/>
        <v>0</v>
      </c>
      <c r="K255" s="5">
        <f t="shared" si="25"/>
        <v>0</v>
      </c>
      <c r="L255" s="5">
        <f t="shared" si="24"/>
        <v>0</v>
      </c>
      <c r="M255" s="5">
        <f t="shared" si="26"/>
        <v>0</v>
      </c>
    </row>
    <row r="256" spans="1:14" x14ac:dyDescent="0.45">
      <c r="G256" s="7">
        <f t="shared" si="22"/>
        <v>1</v>
      </c>
      <c r="I256" s="5" t="str">
        <f t="shared" si="23"/>
        <v/>
      </c>
      <c r="J256" s="5">
        <f t="shared" si="21"/>
        <v>0</v>
      </c>
      <c r="K256" s="5">
        <f t="shared" si="25"/>
        <v>0</v>
      </c>
      <c r="L256" s="5">
        <f t="shared" si="24"/>
        <v>0</v>
      </c>
      <c r="M256" s="5">
        <f t="shared" si="26"/>
        <v>0</v>
      </c>
    </row>
    <row r="257" spans="1:14" x14ac:dyDescent="0.45">
      <c r="G257" s="7">
        <f t="shared" si="22"/>
        <v>1</v>
      </c>
      <c r="I257" s="5" t="str">
        <f t="shared" si="23"/>
        <v/>
      </c>
      <c r="J257" s="5">
        <f t="shared" si="21"/>
        <v>0</v>
      </c>
      <c r="K257" s="5">
        <f t="shared" si="25"/>
        <v>0</v>
      </c>
      <c r="L257" s="5">
        <f t="shared" si="24"/>
        <v>0</v>
      </c>
      <c r="M257" s="5">
        <f t="shared" si="26"/>
        <v>0</v>
      </c>
    </row>
    <row r="258" spans="1:14" x14ac:dyDescent="0.45">
      <c r="G258" s="7">
        <f t="shared" si="22"/>
        <v>1</v>
      </c>
      <c r="I258" s="5" t="str">
        <f t="shared" si="23"/>
        <v/>
      </c>
      <c r="J258" s="5">
        <f t="shared" si="21"/>
        <v>0</v>
      </c>
      <c r="K258" s="5">
        <f t="shared" si="25"/>
        <v>0</v>
      </c>
      <c r="L258" s="5">
        <f t="shared" si="24"/>
        <v>0</v>
      </c>
      <c r="M258" s="5">
        <f t="shared" si="26"/>
        <v>0</v>
      </c>
    </row>
    <row r="259" spans="1:14" x14ac:dyDescent="0.45">
      <c r="G259" s="7">
        <f t="shared" si="22"/>
        <v>1</v>
      </c>
      <c r="I259" s="5" t="str">
        <f t="shared" si="23"/>
        <v/>
      </c>
      <c r="J259" s="5">
        <f t="shared" ref="J259:J322" si="27">IF(AND(G259&gt;=$G$2,H259&gt;=$H$2),I259,0)</f>
        <v>0</v>
      </c>
      <c r="K259" s="5">
        <f t="shared" si="25"/>
        <v>0</v>
      </c>
      <c r="L259" s="5">
        <f t="shared" si="24"/>
        <v>0</v>
      </c>
      <c r="M259" s="5">
        <f t="shared" si="26"/>
        <v>0</v>
      </c>
    </row>
    <row r="260" spans="1:14" x14ac:dyDescent="0.45">
      <c r="G260" s="7">
        <f t="shared" ref="G260:G323" si="28">100%-E260</f>
        <v>1</v>
      </c>
      <c r="I260" s="5" t="str">
        <f t="shared" ref="I260:I323" si="29">IF(D260&lt;&gt;"",D260-D259,"")</f>
        <v/>
      </c>
      <c r="J260" s="5">
        <f t="shared" si="27"/>
        <v>0</v>
      </c>
      <c r="K260" s="5">
        <f t="shared" si="25"/>
        <v>0</v>
      </c>
      <c r="L260" s="5">
        <f t="shared" ref="L260:L323" si="30">IF(AND(G260&gt;=$G$3,H260&gt;=$H$3),I260,0)</f>
        <v>0</v>
      </c>
      <c r="M260" s="5">
        <f t="shared" si="26"/>
        <v>0</v>
      </c>
    </row>
    <row r="261" spans="1:14" x14ac:dyDescent="0.45">
      <c r="G261" s="7">
        <f t="shared" si="28"/>
        <v>1</v>
      </c>
      <c r="I261" s="5" t="str">
        <f t="shared" si="29"/>
        <v/>
      </c>
      <c r="J261" s="5">
        <f t="shared" si="27"/>
        <v>0</v>
      </c>
      <c r="K261" s="5">
        <f t="shared" ref="K261:K324" si="31">IF(J261&gt;0,J261*G261,0)</f>
        <v>0</v>
      </c>
      <c r="L261" s="5">
        <f t="shared" si="30"/>
        <v>0</v>
      </c>
      <c r="M261" s="5">
        <f t="shared" ref="M261:M324" si="32">IF(L261&gt;0,L261*G261,0)</f>
        <v>0</v>
      </c>
    </row>
    <row r="262" spans="1:14" x14ac:dyDescent="0.45">
      <c r="G262" s="7">
        <f t="shared" si="28"/>
        <v>1</v>
      </c>
      <c r="I262" s="5" t="str">
        <f t="shared" si="29"/>
        <v/>
      </c>
      <c r="J262" s="5">
        <f t="shared" si="27"/>
        <v>0</v>
      </c>
      <c r="K262" s="5">
        <f t="shared" si="31"/>
        <v>0</v>
      </c>
      <c r="L262" s="5">
        <f t="shared" si="30"/>
        <v>0</v>
      </c>
      <c r="M262" s="5">
        <f t="shared" si="32"/>
        <v>0</v>
      </c>
    </row>
    <row r="263" spans="1:14" x14ac:dyDescent="0.45">
      <c r="G263" s="7">
        <f t="shared" si="28"/>
        <v>1</v>
      </c>
      <c r="I263" s="5" t="str">
        <f t="shared" si="29"/>
        <v/>
      </c>
      <c r="J263" s="5">
        <f t="shared" si="27"/>
        <v>0</v>
      </c>
      <c r="K263" s="5">
        <f t="shared" si="31"/>
        <v>0</v>
      </c>
      <c r="L263" s="5">
        <f t="shared" si="30"/>
        <v>0</v>
      </c>
      <c r="M263" s="5">
        <f t="shared" si="32"/>
        <v>0</v>
      </c>
    </row>
    <row r="264" spans="1:14" x14ac:dyDescent="0.45">
      <c r="G264" s="7">
        <f t="shared" si="28"/>
        <v>1</v>
      </c>
      <c r="I264" s="5" t="str">
        <f t="shared" si="29"/>
        <v/>
      </c>
      <c r="J264" s="5">
        <f t="shared" si="27"/>
        <v>0</v>
      </c>
      <c r="K264" s="5">
        <f t="shared" si="31"/>
        <v>0</v>
      </c>
      <c r="L264" s="5">
        <f t="shared" si="30"/>
        <v>0</v>
      </c>
      <c r="M264" s="5">
        <f t="shared" si="32"/>
        <v>0</v>
      </c>
    </row>
    <row r="265" spans="1:14" x14ac:dyDescent="0.45">
      <c r="G265" s="7">
        <f t="shared" si="28"/>
        <v>1</v>
      </c>
      <c r="I265" s="5" t="str">
        <f t="shared" si="29"/>
        <v/>
      </c>
      <c r="J265" s="5">
        <f t="shared" si="27"/>
        <v>0</v>
      </c>
      <c r="K265" s="5">
        <f t="shared" si="31"/>
        <v>0</v>
      </c>
      <c r="L265" s="5">
        <f t="shared" si="30"/>
        <v>0</v>
      </c>
      <c r="M265" s="5">
        <f t="shared" si="32"/>
        <v>0</v>
      </c>
    </row>
    <row r="266" spans="1:14" x14ac:dyDescent="0.45">
      <c r="G266" s="7">
        <f t="shared" si="28"/>
        <v>1</v>
      </c>
      <c r="I266" s="5" t="str">
        <f t="shared" si="29"/>
        <v/>
      </c>
      <c r="J266" s="5">
        <f t="shared" si="27"/>
        <v>0</v>
      </c>
      <c r="K266" s="5">
        <f t="shared" si="31"/>
        <v>0</v>
      </c>
      <c r="L266" s="5">
        <f t="shared" si="30"/>
        <v>0</v>
      </c>
      <c r="M266" s="5">
        <f t="shared" si="32"/>
        <v>0</v>
      </c>
    </row>
    <row r="267" spans="1:14" x14ac:dyDescent="0.45">
      <c r="G267" s="7">
        <f t="shared" si="28"/>
        <v>1</v>
      </c>
      <c r="I267" s="5" t="str">
        <f t="shared" si="29"/>
        <v/>
      </c>
      <c r="J267" s="5">
        <f t="shared" si="27"/>
        <v>0</v>
      </c>
      <c r="K267" s="5">
        <f t="shared" si="31"/>
        <v>0</v>
      </c>
      <c r="L267" s="5">
        <f t="shared" si="30"/>
        <v>0</v>
      </c>
      <c r="M267" s="5">
        <f t="shared" si="32"/>
        <v>0</v>
      </c>
    </row>
    <row r="268" spans="1:14" s="25" customFormat="1" x14ac:dyDescent="0.45">
      <c r="A268" s="19"/>
      <c r="B268" s="27"/>
      <c r="C268" s="20"/>
      <c r="D268" s="21"/>
      <c r="E268" s="22"/>
      <c r="F268" s="23"/>
      <c r="G268" s="7">
        <f t="shared" si="28"/>
        <v>1</v>
      </c>
      <c r="H268" s="22"/>
      <c r="I268" s="21" t="str">
        <f t="shared" si="29"/>
        <v/>
      </c>
      <c r="J268" s="21">
        <f t="shared" si="27"/>
        <v>0</v>
      </c>
      <c r="K268" s="21">
        <f t="shared" si="31"/>
        <v>0</v>
      </c>
      <c r="L268" s="21">
        <f t="shared" si="30"/>
        <v>0</v>
      </c>
      <c r="M268" s="21">
        <f t="shared" si="32"/>
        <v>0</v>
      </c>
      <c r="N268" s="24"/>
    </row>
    <row r="269" spans="1:14" x14ac:dyDescent="0.45">
      <c r="G269" s="7">
        <f t="shared" si="28"/>
        <v>1</v>
      </c>
      <c r="I269" s="5" t="str">
        <f t="shared" si="29"/>
        <v/>
      </c>
      <c r="J269" s="5">
        <f t="shared" si="27"/>
        <v>0</v>
      </c>
      <c r="K269" s="5">
        <f t="shared" si="31"/>
        <v>0</v>
      </c>
      <c r="L269" s="5">
        <f t="shared" si="30"/>
        <v>0</v>
      </c>
      <c r="M269" s="5">
        <f t="shared" si="32"/>
        <v>0</v>
      </c>
    </row>
    <row r="270" spans="1:14" x14ac:dyDescent="0.45">
      <c r="G270" s="7">
        <f t="shared" si="28"/>
        <v>1</v>
      </c>
      <c r="I270" s="5" t="str">
        <f t="shared" si="29"/>
        <v/>
      </c>
      <c r="J270" s="5">
        <f t="shared" si="27"/>
        <v>0</v>
      </c>
      <c r="K270" s="5">
        <f t="shared" si="31"/>
        <v>0</v>
      </c>
      <c r="L270" s="5">
        <f t="shared" si="30"/>
        <v>0</v>
      </c>
      <c r="M270" s="5">
        <f t="shared" si="32"/>
        <v>0</v>
      </c>
    </row>
    <row r="271" spans="1:14" x14ac:dyDescent="0.45">
      <c r="G271" s="7">
        <f t="shared" si="28"/>
        <v>1</v>
      </c>
      <c r="I271" s="5" t="str">
        <f t="shared" si="29"/>
        <v/>
      </c>
      <c r="J271" s="5">
        <f t="shared" si="27"/>
        <v>0</v>
      </c>
      <c r="K271" s="5">
        <f t="shared" si="31"/>
        <v>0</v>
      </c>
      <c r="L271" s="5">
        <f t="shared" si="30"/>
        <v>0</v>
      </c>
      <c r="M271" s="5">
        <f t="shared" si="32"/>
        <v>0</v>
      </c>
    </row>
    <row r="272" spans="1:14" x14ac:dyDescent="0.45">
      <c r="G272" s="7">
        <f t="shared" si="28"/>
        <v>1</v>
      </c>
      <c r="I272" s="5" t="str">
        <f t="shared" si="29"/>
        <v/>
      </c>
      <c r="J272" s="5">
        <f t="shared" si="27"/>
        <v>0</v>
      </c>
      <c r="K272" s="5">
        <f t="shared" si="31"/>
        <v>0</v>
      </c>
      <c r="L272" s="5">
        <f t="shared" si="30"/>
        <v>0</v>
      </c>
      <c r="M272" s="5">
        <f t="shared" si="32"/>
        <v>0</v>
      </c>
    </row>
    <row r="273" spans="7:13" x14ac:dyDescent="0.45">
      <c r="G273" s="7">
        <f t="shared" si="28"/>
        <v>1</v>
      </c>
      <c r="I273" s="5" t="str">
        <f t="shared" si="29"/>
        <v/>
      </c>
      <c r="J273" s="5">
        <f t="shared" si="27"/>
        <v>0</v>
      </c>
      <c r="K273" s="5">
        <f t="shared" si="31"/>
        <v>0</v>
      </c>
      <c r="L273" s="5">
        <v>0</v>
      </c>
      <c r="M273" s="5">
        <f t="shared" si="32"/>
        <v>0</v>
      </c>
    </row>
    <row r="274" spans="7:13" x14ac:dyDescent="0.45">
      <c r="G274" s="7">
        <f t="shared" si="28"/>
        <v>1</v>
      </c>
      <c r="I274" s="5" t="str">
        <f t="shared" si="29"/>
        <v/>
      </c>
      <c r="J274" s="5">
        <f t="shared" si="27"/>
        <v>0</v>
      </c>
      <c r="K274" s="5">
        <f t="shared" si="31"/>
        <v>0</v>
      </c>
      <c r="L274" s="5">
        <v>0</v>
      </c>
      <c r="M274" s="5">
        <f t="shared" si="32"/>
        <v>0</v>
      </c>
    </row>
    <row r="275" spans="7:13" x14ac:dyDescent="0.45">
      <c r="G275" s="7">
        <f t="shared" si="28"/>
        <v>1</v>
      </c>
      <c r="I275" s="5" t="str">
        <f t="shared" si="29"/>
        <v/>
      </c>
      <c r="J275" s="5">
        <f t="shared" si="27"/>
        <v>0</v>
      </c>
      <c r="K275" s="5">
        <f t="shared" si="31"/>
        <v>0</v>
      </c>
      <c r="L275" s="5">
        <v>0</v>
      </c>
      <c r="M275" s="5">
        <f t="shared" si="32"/>
        <v>0</v>
      </c>
    </row>
    <row r="276" spans="7:13" x14ac:dyDescent="0.45">
      <c r="G276" s="7">
        <f t="shared" si="28"/>
        <v>1</v>
      </c>
      <c r="I276" s="5" t="str">
        <f t="shared" si="29"/>
        <v/>
      </c>
      <c r="J276" s="5">
        <f t="shared" si="27"/>
        <v>0</v>
      </c>
      <c r="K276" s="5">
        <f t="shared" si="31"/>
        <v>0</v>
      </c>
      <c r="L276" s="5">
        <v>0</v>
      </c>
      <c r="M276" s="5">
        <f t="shared" si="32"/>
        <v>0</v>
      </c>
    </row>
    <row r="277" spans="7:13" x14ac:dyDescent="0.45">
      <c r="G277" s="7">
        <f t="shared" si="28"/>
        <v>1</v>
      </c>
      <c r="I277" s="5" t="str">
        <f t="shared" si="29"/>
        <v/>
      </c>
      <c r="J277" s="5">
        <f t="shared" si="27"/>
        <v>0</v>
      </c>
      <c r="K277" s="5">
        <f t="shared" si="31"/>
        <v>0</v>
      </c>
      <c r="L277" s="5">
        <v>0</v>
      </c>
      <c r="M277" s="5">
        <f t="shared" si="32"/>
        <v>0</v>
      </c>
    </row>
    <row r="278" spans="7:13" x14ac:dyDescent="0.45">
      <c r="G278" s="7">
        <f t="shared" si="28"/>
        <v>1</v>
      </c>
      <c r="I278" s="5" t="str">
        <f t="shared" si="29"/>
        <v/>
      </c>
      <c r="J278" s="5">
        <f t="shared" si="27"/>
        <v>0</v>
      </c>
      <c r="K278" s="5">
        <f t="shared" si="31"/>
        <v>0</v>
      </c>
      <c r="L278" s="5">
        <f t="shared" si="30"/>
        <v>0</v>
      </c>
      <c r="M278" s="5">
        <f t="shared" si="32"/>
        <v>0</v>
      </c>
    </row>
    <row r="279" spans="7:13" x14ac:dyDescent="0.45">
      <c r="G279" s="7">
        <f t="shared" si="28"/>
        <v>1</v>
      </c>
      <c r="I279" s="5" t="str">
        <f t="shared" si="29"/>
        <v/>
      </c>
      <c r="J279" s="5">
        <f t="shared" si="27"/>
        <v>0</v>
      </c>
      <c r="K279" s="5">
        <f t="shared" si="31"/>
        <v>0</v>
      </c>
      <c r="L279" s="5">
        <f t="shared" si="30"/>
        <v>0</v>
      </c>
      <c r="M279" s="5">
        <f t="shared" si="32"/>
        <v>0</v>
      </c>
    </row>
    <row r="280" spans="7:13" x14ac:dyDescent="0.45">
      <c r="G280" s="7">
        <f t="shared" si="28"/>
        <v>1</v>
      </c>
      <c r="I280" s="5" t="str">
        <f t="shared" si="29"/>
        <v/>
      </c>
      <c r="J280" s="5">
        <f t="shared" si="27"/>
        <v>0</v>
      </c>
      <c r="K280" s="5">
        <f t="shared" si="31"/>
        <v>0</v>
      </c>
      <c r="L280" s="5">
        <f t="shared" si="30"/>
        <v>0</v>
      </c>
      <c r="M280" s="5">
        <f t="shared" si="32"/>
        <v>0</v>
      </c>
    </row>
    <row r="281" spans="7:13" x14ac:dyDescent="0.45">
      <c r="G281" s="7">
        <f t="shared" si="28"/>
        <v>1</v>
      </c>
      <c r="I281" s="5" t="str">
        <f t="shared" si="29"/>
        <v/>
      </c>
      <c r="J281" s="5">
        <f t="shared" si="27"/>
        <v>0</v>
      </c>
      <c r="K281" s="5">
        <f t="shared" si="31"/>
        <v>0</v>
      </c>
      <c r="L281" s="5">
        <f t="shared" si="30"/>
        <v>0</v>
      </c>
      <c r="M281" s="5">
        <f t="shared" si="32"/>
        <v>0</v>
      </c>
    </row>
    <row r="282" spans="7:13" x14ac:dyDescent="0.45">
      <c r="G282" s="7">
        <f t="shared" si="28"/>
        <v>1</v>
      </c>
      <c r="I282" s="5" t="str">
        <f t="shared" si="29"/>
        <v/>
      </c>
      <c r="J282" s="5">
        <f t="shared" si="27"/>
        <v>0</v>
      </c>
      <c r="K282" s="5">
        <f t="shared" si="31"/>
        <v>0</v>
      </c>
      <c r="L282" s="5">
        <f t="shared" si="30"/>
        <v>0</v>
      </c>
      <c r="M282" s="5">
        <f t="shared" si="32"/>
        <v>0</v>
      </c>
    </row>
    <row r="283" spans="7:13" x14ac:dyDescent="0.45">
      <c r="G283" s="7">
        <f t="shared" si="28"/>
        <v>1</v>
      </c>
      <c r="I283" s="5" t="str">
        <f t="shared" si="29"/>
        <v/>
      </c>
      <c r="J283" s="5">
        <f t="shared" si="27"/>
        <v>0</v>
      </c>
      <c r="K283" s="5">
        <f t="shared" si="31"/>
        <v>0</v>
      </c>
      <c r="L283" s="5">
        <f t="shared" si="30"/>
        <v>0</v>
      </c>
      <c r="M283" s="5">
        <f t="shared" si="32"/>
        <v>0</v>
      </c>
    </row>
    <row r="284" spans="7:13" x14ac:dyDescent="0.45">
      <c r="G284" s="7">
        <f t="shared" si="28"/>
        <v>1</v>
      </c>
      <c r="I284" s="5" t="str">
        <f t="shared" si="29"/>
        <v/>
      </c>
      <c r="J284" s="5">
        <f t="shared" si="27"/>
        <v>0</v>
      </c>
      <c r="K284" s="5">
        <f t="shared" si="31"/>
        <v>0</v>
      </c>
      <c r="L284" s="5">
        <f t="shared" si="30"/>
        <v>0</v>
      </c>
      <c r="M284" s="5">
        <f t="shared" si="32"/>
        <v>0</v>
      </c>
    </row>
    <row r="285" spans="7:13" x14ac:dyDescent="0.45">
      <c r="G285" s="7">
        <f t="shared" si="28"/>
        <v>1</v>
      </c>
      <c r="I285" s="5" t="str">
        <f t="shared" si="29"/>
        <v/>
      </c>
      <c r="J285" s="5">
        <f t="shared" si="27"/>
        <v>0</v>
      </c>
      <c r="K285" s="5">
        <f t="shared" si="31"/>
        <v>0</v>
      </c>
      <c r="L285" s="5">
        <f t="shared" si="30"/>
        <v>0</v>
      </c>
      <c r="M285" s="5">
        <f t="shared" si="32"/>
        <v>0</v>
      </c>
    </row>
    <row r="286" spans="7:13" x14ac:dyDescent="0.45">
      <c r="G286" s="7">
        <f t="shared" si="28"/>
        <v>1</v>
      </c>
      <c r="I286" s="5" t="str">
        <f t="shared" si="29"/>
        <v/>
      </c>
      <c r="J286" s="5">
        <f t="shared" si="27"/>
        <v>0</v>
      </c>
      <c r="K286" s="5">
        <f t="shared" si="31"/>
        <v>0</v>
      </c>
      <c r="L286" s="5">
        <f t="shared" si="30"/>
        <v>0</v>
      </c>
      <c r="M286" s="5">
        <f t="shared" si="32"/>
        <v>0</v>
      </c>
    </row>
    <row r="287" spans="7:13" x14ac:dyDescent="0.45">
      <c r="G287" s="7">
        <f t="shared" si="28"/>
        <v>1</v>
      </c>
      <c r="I287" s="5" t="str">
        <f t="shared" si="29"/>
        <v/>
      </c>
      <c r="J287" s="5">
        <f t="shared" si="27"/>
        <v>0</v>
      </c>
      <c r="K287" s="5">
        <f t="shared" si="31"/>
        <v>0</v>
      </c>
      <c r="L287" s="5">
        <f t="shared" si="30"/>
        <v>0</v>
      </c>
      <c r="M287" s="5">
        <f t="shared" si="32"/>
        <v>0</v>
      </c>
    </row>
    <row r="288" spans="7:13" x14ac:dyDescent="0.45">
      <c r="G288" s="7">
        <f t="shared" si="28"/>
        <v>1</v>
      </c>
      <c r="I288" s="5" t="str">
        <f t="shared" si="29"/>
        <v/>
      </c>
      <c r="J288" s="5">
        <f t="shared" si="27"/>
        <v>0</v>
      </c>
      <c r="K288" s="5">
        <f t="shared" si="31"/>
        <v>0</v>
      </c>
      <c r="L288" s="5">
        <f t="shared" si="30"/>
        <v>0</v>
      </c>
      <c r="M288" s="5">
        <f t="shared" si="32"/>
        <v>0</v>
      </c>
    </row>
    <row r="289" spans="7:13" x14ac:dyDescent="0.45">
      <c r="G289" s="7">
        <f t="shared" si="28"/>
        <v>1</v>
      </c>
      <c r="I289" s="5" t="str">
        <f t="shared" si="29"/>
        <v/>
      </c>
      <c r="J289" s="5">
        <f t="shared" si="27"/>
        <v>0</v>
      </c>
      <c r="K289" s="5">
        <f t="shared" si="31"/>
        <v>0</v>
      </c>
      <c r="L289" s="5">
        <f t="shared" si="30"/>
        <v>0</v>
      </c>
      <c r="M289" s="5">
        <f t="shared" si="32"/>
        <v>0</v>
      </c>
    </row>
    <row r="290" spans="7:13" x14ac:dyDescent="0.45">
      <c r="G290" s="7">
        <f t="shared" si="28"/>
        <v>1</v>
      </c>
      <c r="I290" s="5" t="str">
        <f t="shared" si="29"/>
        <v/>
      </c>
      <c r="J290" s="5">
        <f t="shared" si="27"/>
        <v>0</v>
      </c>
      <c r="K290" s="5">
        <f t="shared" si="31"/>
        <v>0</v>
      </c>
      <c r="L290" s="5">
        <f t="shared" si="30"/>
        <v>0</v>
      </c>
      <c r="M290" s="5">
        <f t="shared" si="32"/>
        <v>0</v>
      </c>
    </row>
    <row r="291" spans="7:13" x14ac:dyDescent="0.45">
      <c r="G291" s="7">
        <f t="shared" si="28"/>
        <v>1</v>
      </c>
      <c r="I291" s="5" t="str">
        <f t="shared" si="29"/>
        <v/>
      </c>
      <c r="J291" s="5">
        <f t="shared" si="27"/>
        <v>0</v>
      </c>
      <c r="K291" s="5">
        <f t="shared" si="31"/>
        <v>0</v>
      </c>
      <c r="L291" s="5">
        <f t="shared" si="30"/>
        <v>0</v>
      </c>
      <c r="M291" s="5">
        <f t="shared" si="32"/>
        <v>0</v>
      </c>
    </row>
    <row r="292" spans="7:13" x14ac:dyDescent="0.45">
      <c r="G292" s="7">
        <f t="shared" si="28"/>
        <v>1</v>
      </c>
      <c r="I292" s="5" t="str">
        <f t="shared" si="29"/>
        <v/>
      </c>
      <c r="J292" s="5">
        <f t="shared" si="27"/>
        <v>0</v>
      </c>
      <c r="K292" s="5">
        <f t="shared" si="31"/>
        <v>0</v>
      </c>
      <c r="L292" s="5">
        <f t="shared" si="30"/>
        <v>0</v>
      </c>
      <c r="M292" s="5">
        <f t="shared" si="32"/>
        <v>0</v>
      </c>
    </row>
    <row r="293" spans="7:13" x14ac:dyDescent="0.45">
      <c r="G293" s="7">
        <f t="shared" si="28"/>
        <v>1</v>
      </c>
      <c r="I293" s="5" t="str">
        <f t="shared" si="29"/>
        <v/>
      </c>
      <c r="J293" s="5">
        <f t="shared" si="27"/>
        <v>0</v>
      </c>
      <c r="K293" s="5">
        <f t="shared" si="31"/>
        <v>0</v>
      </c>
      <c r="L293" s="5">
        <f t="shared" si="30"/>
        <v>0</v>
      </c>
      <c r="M293" s="5">
        <f t="shared" si="32"/>
        <v>0</v>
      </c>
    </row>
    <row r="294" spans="7:13" x14ac:dyDescent="0.45">
      <c r="G294" s="7">
        <f t="shared" si="28"/>
        <v>1</v>
      </c>
      <c r="I294" s="5" t="str">
        <f t="shared" si="29"/>
        <v/>
      </c>
      <c r="J294" s="5">
        <f t="shared" si="27"/>
        <v>0</v>
      </c>
      <c r="K294" s="5">
        <f t="shared" si="31"/>
        <v>0</v>
      </c>
      <c r="L294" s="5">
        <f t="shared" si="30"/>
        <v>0</v>
      </c>
      <c r="M294" s="5">
        <f t="shared" si="32"/>
        <v>0</v>
      </c>
    </row>
    <row r="295" spans="7:13" x14ac:dyDescent="0.45">
      <c r="G295" s="7">
        <f t="shared" si="28"/>
        <v>1</v>
      </c>
      <c r="I295" s="5" t="str">
        <f t="shared" si="29"/>
        <v/>
      </c>
      <c r="J295" s="5">
        <f t="shared" si="27"/>
        <v>0</v>
      </c>
      <c r="K295" s="5">
        <f t="shared" si="31"/>
        <v>0</v>
      </c>
      <c r="L295" s="5">
        <f t="shared" si="30"/>
        <v>0</v>
      </c>
      <c r="M295" s="5">
        <f t="shared" si="32"/>
        <v>0</v>
      </c>
    </row>
    <row r="296" spans="7:13" x14ac:dyDescent="0.45">
      <c r="G296" s="7">
        <f t="shared" si="28"/>
        <v>1</v>
      </c>
      <c r="I296" s="5" t="str">
        <f t="shared" si="29"/>
        <v/>
      </c>
      <c r="J296" s="5">
        <f t="shared" si="27"/>
        <v>0</v>
      </c>
      <c r="K296" s="5">
        <f t="shared" si="31"/>
        <v>0</v>
      </c>
      <c r="L296" s="5">
        <f t="shared" si="30"/>
        <v>0</v>
      </c>
      <c r="M296" s="5">
        <f t="shared" si="32"/>
        <v>0</v>
      </c>
    </row>
    <row r="297" spans="7:13" x14ac:dyDescent="0.45">
      <c r="G297" s="7">
        <f t="shared" si="28"/>
        <v>1</v>
      </c>
      <c r="I297" s="5" t="str">
        <f t="shared" si="29"/>
        <v/>
      </c>
      <c r="J297" s="5">
        <f t="shared" si="27"/>
        <v>0</v>
      </c>
      <c r="K297" s="5">
        <f t="shared" si="31"/>
        <v>0</v>
      </c>
      <c r="L297" s="5">
        <f t="shared" si="30"/>
        <v>0</v>
      </c>
      <c r="M297" s="5">
        <f t="shared" si="32"/>
        <v>0</v>
      </c>
    </row>
    <row r="298" spans="7:13" x14ac:dyDescent="0.45">
      <c r="G298" s="7">
        <f t="shared" si="28"/>
        <v>1</v>
      </c>
      <c r="I298" s="5" t="str">
        <f t="shared" si="29"/>
        <v/>
      </c>
      <c r="J298" s="5">
        <f t="shared" si="27"/>
        <v>0</v>
      </c>
      <c r="K298" s="5">
        <f t="shared" si="31"/>
        <v>0</v>
      </c>
      <c r="L298" s="5">
        <f t="shared" si="30"/>
        <v>0</v>
      </c>
      <c r="M298" s="5">
        <f t="shared" si="32"/>
        <v>0</v>
      </c>
    </row>
    <row r="299" spans="7:13" x14ac:dyDescent="0.45">
      <c r="G299" s="7">
        <f t="shared" si="28"/>
        <v>1</v>
      </c>
      <c r="I299" s="5" t="str">
        <f t="shared" si="29"/>
        <v/>
      </c>
      <c r="J299" s="5">
        <f t="shared" si="27"/>
        <v>0</v>
      </c>
      <c r="K299" s="5">
        <f t="shared" si="31"/>
        <v>0</v>
      </c>
      <c r="L299" s="5">
        <f t="shared" si="30"/>
        <v>0</v>
      </c>
      <c r="M299" s="5">
        <f t="shared" si="32"/>
        <v>0</v>
      </c>
    </row>
    <row r="300" spans="7:13" x14ac:dyDescent="0.45">
      <c r="G300" s="7">
        <f t="shared" si="28"/>
        <v>1</v>
      </c>
      <c r="I300" s="5" t="str">
        <f t="shared" si="29"/>
        <v/>
      </c>
      <c r="J300" s="5">
        <f t="shared" si="27"/>
        <v>0</v>
      </c>
      <c r="K300" s="5">
        <f t="shared" si="31"/>
        <v>0</v>
      </c>
      <c r="L300" s="5">
        <f t="shared" si="30"/>
        <v>0</v>
      </c>
      <c r="M300" s="5">
        <f t="shared" si="32"/>
        <v>0</v>
      </c>
    </row>
    <row r="301" spans="7:13" x14ac:dyDescent="0.45">
      <c r="G301" s="7">
        <f t="shared" si="28"/>
        <v>1</v>
      </c>
      <c r="I301" s="5" t="str">
        <f t="shared" si="29"/>
        <v/>
      </c>
      <c r="J301" s="5">
        <f t="shared" si="27"/>
        <v>0</v>
      </c>
      <c r="K301" s="5">
        <f t="shared" si="31"/>
        <v>0</v>
      </c>
      <c r="L301" s="5">
        <f t="shared" si="30"/>
        <v>0</v>
      </c>
      <c r="M301" s="5">
        <f t="shared" si="32"/>
        <v>0</v>
      </c>
    </row>
    <row r="302" spans="7:13" x14ac:dyDescent="0.45">
      <c r="G302" s="7">
        <f t="shared" si="28"/>
        <v>1</v>
      </c>
      <c r="I302" s="5" t="str">
        <f t="shared" si="29"/>
        <v/>
      </c>
      <c r="J302" s="5">
        <f t="shared" si="27"/>
        <v>0</v>
      </c>
      <c r="K302" s="5">
        <f t="shared" si="31"/>
        <v>0</v>
      </c>
      <c r="L302" s="5">
        <f t="shared" si="30"/>
        <v>0</v>
      </c>
      <c r="M302" s="5">
        <f t="shared" si="32"/>
        <v>0</v>
      </c>
    </row>
    <row r="303" spans="7:13" x14ac:dyDescent="0.45">
      <c r="G303" s="7">
        <f t="shared" si="28"/>
        <v>1</v>
      </c>
      <c r="I303" s="5" t="str">
        <f t="shared" si="29"/>
        <v/>
      </c>
      <c r="J303" s="5">
        <f t="shared" si="27"/>
        <v>0</v>
      </c>
      <c r="K303" s="5">
        <f t="shared" si="31"/>
        <v>0</v>
      </c>
      <c r="L303" s="5">
        <f t="shared" si="30"/>
        <v>0</v>
      </c>
      <c r="M303" s="5">
        <f t="shared" si="32"/>
        <v>0</v>
      </c>
    </row>
    <row r="304" spans="7:13" x14ac:dyDescent="0.45">
      <c r="G304" s="7">
        <f t="shared" si="28"/>
        <v>1</v>
      </c>
      <c r="I304" s="5" t="str">
        <f t="shared" si="29"/>
        <v/>
      </c>
      <c r="J304" s="5">
        <f t="shared" si="27"/>
        <v>0</v>
      </c>
      <c r="K304" s="5">
        <f t="shared" si="31"/>
        <v>0</v>
      </c>
      <c r="L304" s="5">
        <f t="shared" si="30"/>
        <v>0</v>
      </c>
      <c r="M304" s="5">
        <f t="shared" si="32"/>
        <v>0</v>
      </c>
    </row>
    <row r="305" spans="7:16" x14ac:dyDescent="0.45">
      <c r="G305" s="7">
        <f t="shared" si="28"/>
        <v>1</v>
      </c>
      <c r="I305" s="5" t="str">
        <f t="shared" si="29"/>
        <v/>
      </c>
      <c r="J305" s="5">
        <f t="shared" si="27"/>
        <v>0</v>
      </c>
      <c r="K305" s="5">
        <f t="shared" si="31"/>
        <v>0</v>
      </c>
      <c r="L305" s="5">
        <f t="shared" si="30"/>
        <v>0</v>
      </c>
      <c r="M305" s="5">
        <f t="shared" si="32"/>
        <v>0</v>
      </c>
    </row>
    <row r="306" spans="7:16" x14ac:dyDescent="0.45">
      <c r="G306" s="7">
        <f t="shared" si="28"/>
        <v>1</v>
      </c>
      <c r="I306" s="5" t="str">
        <f t="shared" si="29"/>
        <v/>
      </c>
      <c r="J306" s="5">
        <f t="shared" si="27"/>
        <v>0</v>
      </c>
      <c r="K306" s="5">
        <f t="shared" si="31"/>
        <v>0</v>
      </c>
      <c r="L306" s="5">
        <f t="shared" si="30"/>
        <v>0</v>
      </c>
      <c r="M306" s="5">
        <f t="shared" si="32"/>
        <v>0</v>
      </c>
    </row>
    <row r="307" spans="7:16" x14ac:dyDescent="0.45">
      <c r="G307" s="7">
        <f t="shared" si="28"/>
        <v>1</v>
      </c>
      <c r="I307" s="5" t="str">
        <f t="shared" si="29"/>
        <v/>
      </c>
      <c r="J307" s="5">
        <f t="shared" si="27"/>
        <v>0</v>
      </c>
      <c r="K307" s="5">
        <f t="shared" si="31"/>
        <v>0</v>
      </c>
      <c r="L307" s="5">
        <f t="shared" si="30"/>
        <v>0</v>
      </c>
      <c r="M307" s="5">
        <f t="shared" si="32"/>
        <v>0</v>
      </c>
    </row>
    <row r="308" spans="7:16" x14ac:dyDescent="0.45">
      <c r="G308" s="7">
        <f t="shared" si="28"/>
        <v>1</v>
      </c>
      <c r="I308" s="5" t="str">
        <f t="shared" si="29"/>
        <v/>
      </c>
      <c r="J308" s="5">
        <f t="shared" si="27"/>
        <v>0</v>
      </c>
      <c r="K308" s="5">
        <f t="shared" si="31"/>
        <v>0</v>
      </c>
      <c r="L308" s="5">
        <f t="shared" si="30"/>
        <v>0</v>
      </c>
      <c r="M308" s="5">
        <f t="shared" si="32"/>
        <v>0</v>
      </c>
    </row>
    <row r="309" spans="7:16" x14ac:dyDescent="0.45">
      <c r="G309" s="7">
        <f t="shared" si="28"/>
        <v>1</v>
      </c>
      <c r="I309" s="5" t="str">
        <f t="shared" si="29"/>
        <v/>
      </c>
      <c r="J309" s="5">
        <f t="shared" si="27"/>
        <v>0</v>
      </c>
      <c r="K309" s="5">
        <f t="shared" si="31"/>
        <v>0</v>
      </c>
      <c r="L309" s="5">
        <f t="shared" si="30"/>
        <v>0</v>
      </c>
      <c r="M309" s="5">
        <f t="shared" si="32"/>
        <v>0</v>
      </c>
    </row>
    <row r="310" spans="7:16" x14ac:dyDescent="0.45">
      <c r="G310" s="7">
        <f t="shared" si="28"/>
        <v>1</v>
      </c>
      <c r="I310" s="5" t="str">
        <f t="shared" si="29"/>
        <v/>
      </c>
      <c r="J310" s="5">
        <f t="shared" si="27"/>
        <v>0</v>
      </c>
      <c r="K310" s="5">
        <f t="shared" si="31"/>
        <v>0</v>
      </c>
      <c r="L310" s="5">
        <f t="shared" si="30"/>
        <v>0</v>
      </c>
      <c r="M310" s="5">
        <f t="shared" si="32"/>
        <v>0</v>
      </c>
    </row>
    <row r="311" spans="7:16" x14ac:dyDescent="0.45">
      <c r="G311" s="7">
        <f t="shared" si="28"/>
        <v>1</v>
      </c>
      <c r="I311" s="5" t="str">
        <f t="shared" si="29"/>
        <v/>
      </c>
      <c r="J311" s="5">
        <f t="shared" si="27"/>
        <v>0</v>
      </c>
      <c r="K311" s="5">
        <f t="shared" si="31"/>
        <v>0</v>
      </c>
      <c r="L311" s="5">
        <f t="shared" si="30"/>
        <v>0</v>
      </c>
      <c r="M311" s="5">
        <f t="shared" si="32"/>
        <v>0</v>
      </c>
    </row>
    <row r="312" spans="7:16" x14ac:dyDescent="0.45">
      <c r="G312" s="7">
        <f t="shared" si="28"/>
        <v>1</v>
      </c>
      <c r="I312" s="5" t="str">
        <f t="shared" si="29"/>
        <v/>
      </c>
      <c r="J312" s="5">
        <f t="shared" si="27"/>
        <v>0</v>
      </c>
      <c r="K312" s="5">
        <f t="shared" si="31"/>
        <v>0</v>
      </c>
      <c r="L312" s="5">
        <f t="shared" si="30"/>
        <v>0</v>
      </c>
      <c r="M312" s="5">
        <f t="shared" si="32"/>
        <v>0</v>
      </c>
    </row>
    <row r="313" spans="7:16" x14ac:dyDescent="0.45">
      <c r="G313" s="7">
        <f t="shared" si="28"/>
        <v>1</v>
      </c>
      <c r="I313" s="5" t="str">
        <f t="shared" si="29"/>
        <v/>
      </c>
      <c r="J313" s="5">
        <f t="shared" si="27"/>
        <v>0</v>
      </c>
      <c r="K313" s="5">
        <f t="shared" si="31"/>
        <v>0</v>
      </c>
      <c r="L313" s="5">
        <f t="shared" si="30"/>
        <v>0</v>
      </c>
      <c r="M313" s="5">
        <f t="shared" si="32"/>
        <v>0</v>
      </c>
    </row>
    <row r="314" spans="7:16" x14ac:dyDescent="0.45">
      <c r="G314" s="7">
        <f t="shared" si="28"/>
        <v>1</v>
      </c>
      <c r="I314" s="5" t="str">
        <f t="shared" si="29"/>
        <v/>
      </c>
      <c r="J314" s="5">
        <f t="shared" si="27"/>
        <v>0</v>
      </c>
      <c r="K314" s="5">
        <f t="shared" si="31"/>
        <v>0</v>
      </c>
      <c r="L314" s="5">
        <f t="shared" si="30"/>
        <v>0</v>
      </c>
      <c r="M314" s="5">
        <f t="shared" si="32"/>
        <v>0</v>
      </c>
    </row>
    <row r="315" spans="7:16" x14ac:dyDescent="0.45">
      <c r="G315" s="7">
        <f t="shared" si="28"/>
        <v>1</v>
      </c>
      <c r="I315" s="5" t="str">
        <f t="shared" si="29"/>
        <v/>
      </c>
      <c r="J315" s="5">
        <f t="shared" si="27"/>
        <v>0</v>
      </c>
      <c r="K315" s="5">
        <f t="shared" si="31"/>
        <v>0</v>
      </c>
      <c r="L315" s="5">
        <f t="shared" si="30"/>
        <v>0</v>
      </c>
      <c r="M315" s="5">
        <f t="shared" si="32"/>
        <v>0</v>
      </c>
    </row>
    <row r="316" spans="7:16" x14ac:dyDescent="0.45">
      <c r="G316" s="7">
        <f t="shared" si="28"/>
        <v>1</v>
      </c>
      <c r="I316" s="5" t="str">
        <f t="shared" si="29"/>
        <v/>
      </c>
      <c r="J316" s="5">
        <f t="shared" si="27"/>
        <v>0</v>
      </c>
      <c r="K316" s="5">
        <f t="shared" si="31"/>
        <v>0</v>
      </c>
      <c r="L316" s="5">
        <f t="shared" si="30"/>
        <v>0</v>
      </c>
      <c r="M316" s="5">
        <f t="shared" si="32"/>
        <v>0</v>
      </c>
      <c r="P316" s="18"/>
    </row>
    <row r="317" spans="7:16" x14ac:dyDescent="0.45">
      <c r="G317" s="7">
        <f t="shared" si="28"/>
        <v>1</v>
      </c>
      <c r="I317" s="5" t="str">
        <f t="shared" si="29"/>
        <v/>
      </c>
      <c r="J317" s="5">
        <f t="shared" si="27"/>
        <v>0</v>
      </c>
      <c r="K317" s="5">
        <f t="shared" si="31"/>
        <v>0</v>
      </c>
      <c r="L317" s="5">
        <f t="shared" si="30"/>
        <v>0</v>
      </c>
      <c r="M317" s="5">
        <f t="shared" si="32"/>
        <v>0</v>
      </c>
    </row>
    <row r="318" spans="7:16" x14ac:dyDescent="0.45">
      <c r="G318" s="7">
        <f t="shared" si="28"/>
        <v>1</v>
      </c>
      <c r="I318" s="5" t="str">
        <f t="shared" si="29"/>
        <v/>
      </c>
      <c r="J318" s="5">
        <f t="shared" si="27"/>
        <v>0</v>
      </c>
      <c r="K318" s="5">
        <f t="shared" si="31"/>
        <v>0</v>
      </c>
      <c r="L318" s="5">
        <f t="shared" si="30"/>
        <v>0</v>
      </c>
      <c r="M318" s="5">
        <f t="shared" si="32"/>
        <v>0</v>
      </c>
    </row>
    <row r="319" spans="7:16" x14ac:dyDescent="0.45">
      <c r="G319" s="7">
        <f t="shared" si="28"/>
        <v>1</v>
      </c>
      <c r="I319" s="5" t="str">
        <f t="shared" si="29"/>
        <v/>
      </c>
      <c r="J319" s="5">
        <f t="shared" si="27"/>
        <v>0</v>
      </c>
      <c r="K319" s="5">
        <f t="shared" si="31"/>
        <v>0</v>
      </c>
      <c r="L319" s="5">
        <f t="shared" si="30"/>
        <v>0</v>
      </c>
      <c r="M319" s="5">
        <f t="shared" si="32"/>
        <v>0</v>
      </c>
    </row>
    <row r="320" spans="7:16" x14ac:dyDescent="0.45">
      <c r="G320" s="7">
        <f t="shared" si="28"/>
        <v>1</v>
      </c>
      <c r="I320" s="5" t="str">
        <f t="shared" si="29"/>
        <v/>
      </c>
      <c r="J320" s="5">
        <f t="shared" si="27"/>
        <v>0</v>
      </c>
      <c r="K320" s="5">
        <f t="shared" si="31"/>
        <v>0</v>
      </c>
      <c r="L320" s="5">
        <f t="shared" si="30"/>
        <v>0</v>
      </c>
      <c r="M320" s="5">
        <f t="shared" si="32"/>
        <v>0</v>
      </c>
    </row>
    <row r="321" spans="2:13" x14ac:dyDescent="0.45">
      <c r="B321" s="28"/>
      <c r="G321" s="7">
        <f t="shared" si="28"/>
        <v>1</v>
      </c>
      <c r="I321" s="5" t="str">
        <f t="shared" si="29"/>
        <v/>
      </c>
      <c r="J321" s="5">
        <f t="shared" si="27"/>
        <v>0</v>
      </c>
      <c r="K321" s="5">
        <f t="shared" si="31"/>
        <v>0</v>
      </c>
      <c r="L321" s="5">
        <f t="shared" si="30"/>
        <v>0</v>
      </c>
      <c r="M321" s="5">
        <f t="shared" si="32"/>
        <v>0</v>
      </c>
    </row>
    <row r="322" spans="2:13" x14ac:dyDescent="0.45">
      <c r="B322" s="28"/>
      <c r="G322" s="7">
        <f t="shared" si="28"/>
        <v>1</v>
      </c>
      <c r="I322" s="5" t="str">
        <f t="shared" si="29"/>
        <v/>
      </c>
      <c r="J322" s="5">
        <f t="shared" si="27"/>
        <v>0</v>
      </c>
      <c r="K322" s="5">
        <f t="shared" si="31"/>
        <v>0</v>
      </c>
      <c r="L322" s="5">
        <f t="shared" si="30"/>
        <v>0</v>
      </c>
      <c r="M322" s="5">
        <f t="shared" si="32"/>
        <v>0</v>
      </c>
    </row>
    <row r="323" spans="2:13" x14ac:dyDescent="0.45">
      <c r="B323" s="28"/>
      <c r="G323" s="7">
        <f t="shared" si="28"/>
        <v>1</v>
      </c>
      <c r="I323" s="5" t="str">
        <f t="shared" si="29"/>
        <v/>
      </c>
      <c r="J323" s="5">
        <f t="shared" ref="J323:J386" si="33">IF(AND(G323&gt;=$G$2,H323&gt;=$H$2),I323,0)</f>
        <v>0</v>
      </c>
      <c r="K323" s="5">
        <f t="shared" si="31"/>
        <v>0</v>
      </c>
      <c r="L323" s="5">
        <f t="shared" si="30"/>
        <v>0</v>
      </c>
      <c r="M323" s="5">
        <f t="shared" si="32"/>
        <v>0</v>
      </c>
    </row>
    <row r="324" spans="2:13" x14ac:dyDescent="0.45">
      <c r="B324" s="28"/>
      <c r="G324" s="7">
        <f t="shared" ref="G324:G387" si="34">100%-E324</f>
        <v>1</v>
      </c>
      <c r="I324" s="5" t="str">
        <f t="shared" ref="I324:I387" si="35">IF(D324&lt;&gt;"",D324-D323,"")</f>
        <v/>
      </c>
      <c r="J324" s="5">
        <f t="shared" si="33"/>
        <v>0</v>
      </c>
      <c r="K324" s="5">
        <f t="shared" si="31"/>
        <v>0</v>
      </c>
      <c r="L324" s="5">
        <f t="shared" ref="L324:L387" si="36">IF(AND(G324&gt;=$G$3,H324&gt;=$H$3),I324,0)</f>
        <v>0</v>
      </c>
      <c r="M324" s="5">
        <f t="shared" si="32"/>
        <v>0</v>
      </c>
    </row>
    <row r="325" spans="2:13" x14ac:dyDescent="0.45">
      <c r="B325" s="28"/>
      <c r="G325" s="7">
        <f t="shared" si="34"/>
        <v>1</v>
      </c>
      <c r="I325" s="5" t="str">
        <f t="shared" si="35"/>
        <v/>
      </c>
      <c r="J325" s="5">
        <f t="shared" si="33"/>
        <v>0</v>
      </c>
      <c r="K325" s="5">
        <f t="shared" ref="K325:K388" si="37">IF(J325&gt;0,J325*G325,0)</f>
        <v>0</v>
      </c>
      <c r="L325" s="5">
        <f t="shared" si="36"/>
        <v>0</v>
      </c>
      <c r="M325" s="5">
        <f t="shared" ref="M325:M388" si="38">IF(L325&gt;0,L325*G325,0)</f>
        <v>0</v>
      </c>
    </row>
    <row r="326" spans="2:13" x14ac:dyDescent="0.45">
      <c r="B326" s="28"/>
      <c r="G326" s="7">
        <f t="shared" si="34"/>
        <v>1</v>
      </c>
      <c r="I326" s="5" t="str">
        <f t="shared" si="35"/>
        <v/>
      </c>
      <c r="J326" s="5">
        <f t="shared" si="33"/>
        <v>0</v>
      </c>
      <c r="K326" s="5">
        <f t="shared" si="37"/>
        <v>0</v>
      </c>
      <c r="L326" s="5">
        <f t="shared" si="36"/>
        <v>0</v>
      </c>
      <c r="M326" s="5">
        <f t="shared" si="38"/>
        <v>0</v>
      </c>
    </row>
    <row r="327" spans="2:13" x14ac:dyDescent="0.45">
      <c r="B327" s="28"/>
      <c r="G327" s="7">
        <f t="shared" si="34"/>
        <v>1</v>
      </c>
      <c r="I327" s="5" t="str">
        <f t="shared" si="35"/>
        <v/>
      </c>
      <c r="J327" s="5">
        <f t="shared" si="33"/>
        <v>0</v>
      </c>
      <c r="K327" s="5">
        <f t="shared" si="37"/>
        <v>0</v>
      </c>
      <c r="L327" s="5">
        <f t="shared" si="36"/>
        <v>0</v>
      </c>
      <c r="M327" s="5">
        <f t="shared" si="38"/>
        <v>0</v>
      </c>
    </row>
    <row r="328" spans="2:13" x14ac:dyDescent="0.45">
      <c r="B328" s="28"/>
      <c r="G328" s="7">
        <f t="shared" si="34"/>
        <v>1</v>
      </c>
      <c r="I328" s="5" t="str">
        <f t="shared" si="35"/>
        <v/>
      </c>
      <c r="J328" s="5">
        <f t="shared" si="33"/>
        <v>0</v>
      </c>
      <c r="K328" s="5">
        <f t="shared" si="37"/>
        <v>0</v>
      </c>
      <c r="L328" s="5">
        <f t="shared" si="36"/>
        <v>0</v>
      </c>
      <c r="M328" s="5">
        <f t="shared" si="38"/>
        <v>0</v>
      </c>
    </row>
    <row r="329" spans="2:13" x14ac:dyDescent="0.45">
      <c r="B329" s="28"/>
      <c r="G329" s="7">
        <f t="shared" si="34"/>
        <v>1</v>
      </c>
      <c r="I329" s="5" t="str">
        <f t="shared" si="35"/>
        <v/>
      </c>
      <c r="J329" s="5">
        <f t="shared" si="33"/>
        <v>0</v>
      </c>
      <c r="K329" s="5">
        <f t="shared" si="37"/>
        <v>0</v>
      </c>
      <c r="L329" s="5">
        <f t="shared" si="36"/>
        <v>0</v>
      </c>
      <c r="M329" s="5">
        <f t="shared" si="38"/>
        <v>0</v>
      </c>
    </row>
    <row r="330" spans="2:13" x14ac:dyDescent="0.45">
      <c r="B330" s="28"/>
      <c r="G330" s="7">
        <f t="shared" si="34"/>
        <v>1</v>
      </c>
      <c r="I330" s="5" t="str">
        <f t="shared" si="35"/>
        <v/>
      </c>
      <c r="J330" s="5">
        <f t="shared" si="33"/>
        <v>0</v>
      </c>
      <c r="K330" s="5">
        <f t="shared" si="37"/>
        <v>0</v>
      </c>
      <c r="L330" s="5">
        <f t="shared" si="36"/>
        <v>0</v>
      </c>
      <c r="M330" s="5">
        <f t="shared" si="38"/>
        <v>0</v>
      </c>
    </row>
    <row r="331" spans="2:13" x14ac:dyDescent="0.45">
      <c r="B331" s="28"/>
      <c r="G331" s="7">
        <f t="shared" si="34"/>
        <v>1</v>
      </c>
      <c r="I331" s="5" t="str">
        <f t="shared" si="35"/>
        <v/>
      </c>
      <c r="J331" s="5">
        <f t="shared" si="33"/>
        <v>0</v>
      </c>
      <c r="K331" s="5">
        <f t="shared" si="37"/>
        <v>0</v>
      </c>
      <c r="L331" s="5">
        <f t="shared" si="36"/>
        <v>0</v>
      </c>
      <c r="M331" s="5">
        <f t="shared" si="38"/>
        <v>0</v>
      </c>
    </row>
    <row r="332" spans="2:13" x14ac:dyDescent="0.45">
      <c r="B332" s="28"/>
      <c r="G332" s="7">
        <f t="shared" si="34"/>
        <v>1</v>
      </c>
      <c r="I332" s="5" t="str">
        <f t="shared" si="35"/>
        <v/>
      </c>
      <c r="J332" s="5">
        <f t="shared" si="33"/>
        <v>0</v>
      </c>
      <c r="K332" s="5">
        <f t="shared" si="37"/>
        <v>0</v>
      </c>
      <c r="L332" s="5">
        <f t="shared" si="36"/>
        <v>0</v>
      </c>
      <c r="M332" s="5">
        <f t="shared" si="38"/>
        <v>0</v>
      </c>
    </row>
    <row r="333" spans="2:13" x14ac:dyDescent="0.45">
      <c r="G333" s="7">
        <f t="shared" si="34"/>
        <v>1</v>
      </c>
      <c r="I333" s="5" t="str">
        <f t="shared" si="35"/>
        <v/>
      </c>
      <c r="J333" s="5">
        <f t="shared" si="33"/>
        <v>0</v>
      </c>
      <c r="K333" s="5">
        <f t="shared" si="37"/>
        <v>0</v>
      </c>
      <c r="L333" s="5">
        <f t="shared" si="36"/>
        <v>0</v>
      </c>
      <c r="M333" s="5">
        <f t="shared" si="38"/>
        <v>0</v>
      </c>
    </row>
    <row r="334" spans="2:13" x14ac:dyDescent="0.45">
      <c r="G334" s="7">
        <f t="shared" si="34"/>
        <v>1</v>
      </c>
      <c r="I334" s="5" t="str">
        <f t="shared" si="35"/>
        <v/>
      </c>
      <c r="J334" s="5">
        <f t="shared" si="33"/>
        <v>0</v>
      </c>
      <c r="K334" s="5">
        <f t="shared" si="37"/>
        <v>0</v>
      </c>
      <c r="L334" s="5">
        <f t="shared" si="36"/>
        <v>0</v>
      </c>
      <c r="M334" s="5">
        <f t="shared" si="38"/>
        <v>0</v>
      </c>
    </row>
    <row r="335" spans="2:13" x14ac:dyDescent="0.45">
      <c r="G335" s="7">
        <f t="shared" si="34"/>
        <v>1</v>
      </c>
      <c r="I335" s="5" t="str">
        <f t="shared" si="35"/>
        <v/>
      </c>
      <c r="J335" s="5">
        <f t="shared" si="33"/>
        <v>0</v>
      </c>
      <c r="K335" s="5">
        <f t="shared" si="37"/>
        <v>0</v>
      </c>
      <c r="L335" s="5">
        <f t="shared" si="36"/>
        <v>0</v>
      </c>
      <c r="M335" s="5">
        <f t="shared" si="38"/>
        <v>0</v>
      </c>
    </row>
    <row r="336" spans="2:13" x14ac:dyDescent="0.45">
      <c r="G336" s="7">
        <f t="shared" si="34"/>
        <v>1</v>
      </c>
      <c r="I336" s="5" t="str">
        <f t="shared" si="35"/>
        <v/>
      </c>
      <c r="J336" s="5">
        <f t="shared" si="33"/>
        <v>0</v>
      </c>
      <c r="K336" s="5">
        <f t="shared" si="37"/>
        <v>0</v>
      </c>
      <c r="L336" s="5">
        <f t="shared" si="36"/>
        <v>0</v>
      </c>
      <c r="M336" s="5">
        <f t="shared" si="38"/>
        <v>0</v>
      </c>
    </row>
    <row r="337" spans="7:13" x14ac:dyDescent="0.45">
      <c r="G337" s="7">
        <f t="shared" si="34"/>
        <v>1</v>
      </c>
      <c r="I337" s="5" t="str">
        <f t="shared" si="35"/>
        <v/>
      </c>
      <c r="J337" s="5">
        <f t="shared" si="33"/>
        <v>0</v>
      </c>
      <c r="K337" s="5">
        <f t="shared" si="37"/>
        <v>0</v>
      </c>
      <c r="L337" s="5">
        <f t="shared" si="36"/>
        <v>0</v>
      </c>
      <c r="M337" s="5">
        <f t="shared" si="38"/>
        <v>0</v>
      </c>
    </row>
    <row r="338" spans="7:13" x14ac:dyDescent="0.45">
      <c r="G338" s="7">
        <f t="shared" si="34"/>
        <v>1</v>
      </c>
      <c r="I338" s="5" t="str">
        <f t="shared" si="35"/>
        <v/>
      </c>
      <c r="J338" s="5">
        <f t="shared" si="33"/>
        <v>0</v>
      </c>
      <c r="K338" s="5">
        <f t="shared" si="37"/>
        <v>0</v>
      </c>
      <c r="L338" s="5">
        <f t="shared" si="36"/>
        <v>0</v>
      </c>
      <c r="M338" s="5">
        <f t="shared" si="38"/>
        <v>0</v>
      </c>
    </row>
    <row r="339" spans="7:13" x14ac:dyDescent="0.45">
      <c r="G339" s="7">
        <f t="shared" si="34"/>
        <v>1</v>
      </c>
      <c r="I339" s="5" t="str">
        <f t="shared" si="35"/>
        <v/>
      </c>
      <c r="J339" s="5">
        <f t="shared" si="33"/>
        <v>0</v>
      </c>
      <c r="K339" s="5">
        <f t="shared" si="37"/>
        <v>0</v>
      </c>
      <c r="L339" s="5">
        <f t="shared" si="36"/>
        <v>0</v>
      </c>
      <c r="M339" s="5">
        <f t="shared" si="38"/>
        <v>0</v>
      </c>
    </row>
    <row r="340" spans="7:13" x14ac:dyDescent="0.45">
      <c r="G340" s="7">
        <f t="shared" si="34"/>
        <v>1</v>
      </c>
      <c r="I340" s="5" t="str">
        <f t="shared" si="35"/>
        <v/>
      </c>
      <c r="J340" s="5">
        <f t="shared" si="33"/>
        <v>0</v>
      </c>
      <c r="K340" s="5">
        <f t="shared" si="37"/>
        <v>0</v>
      </c>
      <c r="L340" s="5">
        <f t="shared" si="36"/>
        <v>0</v>
      </c>
      <c r="M340" s="5">
        <f t="shared" si="38"/>
        <v>0</v>
      </c>
    </row>
    <row r="341" spans="7:13" x14ac:dyDescent="0.45">
      <c r="G341" s="7">
        <f t="shared" si="34"/>
        <v>1</v>
      </c>
      <c r="I341" s="5" t="str">
        <f t="shared" si="35"/>
        <v/>
      </c>
      <c r="J341" s="5">
        <f t="shared" si="33"/>
        <v>0</v>
      </c>
      <c r="K341" s="5">
        <f t="shared" si="37"/>
        <v>0</v>
      </c>
      <c r="L341" s="5">
        <f t="shared" si="36"/>
        <v>0</v>
      </c>
      <c r="M341" s="5">
        <f t="shared" si="38"/>
        <v>0</v>
      </c>
    </row>
    <row r="342" spans="7:13" x14ac:dyDescent="0.45">
      <c r="G342" s="7">
        <f t="shared" si="34"/>
        <v>1</v>
      </c>
      <c r="I342" s="5" t="str">
        <f t="shared" si="35"/>
        <v/>
      </c>
      <c r="J342" s="5">
        <f t="shared" si="33"/>
        <v>0</v>
      </c>
      <c r="K342" s="5">
        <f t="shared" si="37"/>
        <v>0</v>
      </c>
      <c r="L342" s="5">
        <f t="shared" si="36"/>
        <v>0</v>
      </c>
      <c r="M342" s="5">
        <f t="shared" si="38"/>
        <v>0</v>
      </c>
    </row>
    <row r="343" spans="7:13" x14ac:dyDescent="0.45">
      <c r="G343" s="7">
        <f t="shared" si="34"/>
        <v>1</v>
      </c>
      <c r="I343" s="5" t="str">
        <f t="shared" si="35"/>
        <v/>
      </c>
      <c r="J343" s="5">
        <f t="shared" si="33"/>
        <v>0</v>
      </c>
      <c r="K343" s="5">
        <f t="shared" si="37"/>
        <v>0</v>
      </c>
      <c r="L343" s="5">
        <f t="shared" si="36"/>
        <v>0</v>
      </c>
      <c r="M343" s="5">
        <f t="shared" si="38"/>
        <v>0</v>
      </c>
    </row>
    <row r="344" spans="7:13" x14ac:dyDescent="0.45">
      <c r="G344" s="7">
        <f t="shared" si="34"/>
        <v>1</v>
      </c>
      <c r="I344" s="5" t="str">
        <f t="shared" si="35"/>
        <v/>
      </c>
      <c r="J344" s="5">
        <f t="shared" si="33"/>
        <v>0</v>
      </c>
      <c r="K344" s="5">
        <f t="shared" si="37"/>
        <v>0</v>
      </c>
      <c r="L344" s="5">
        <f t="shared" si="36"/>
        <v>0</v>
      </c>
      <c r="M344" s="5">
        <f t="shared" si="38"/>
        <v>0</v>
      </c>
    </row>
    <row r="345" spans="7:13" x14ac:dyDescent="0.45">
      <c r="G345" s="7">
        <f t="shared" si="34"/>
        <v>1</v>
      </c>
      <c r="I345" s="5" t="str">
        <f t="shared" si="35"/>
        <v/>
      </c>
      <c r="J345" s="5">
        <f t="shared" si="33"/>
        <v>0</v>
      </c>
      <c r="K345" s="5">
        <f t="shared" si="37"/>
        <v>0</v>
      </c>
      <c r="L345" s="5">
        <f t="shared" si="36"/>
        <v>0</v>
      </c>
      <c r="M345" s="5">
        <f t="shared" si="38"/>
        <v>0</v>
      </c>
    </row>
    <row r="346" spans="7:13" x14ac:dyDescent="0.45">
      <c r="G346" s="7">
        <f t="shared" si="34"/>
        <v>1</v>
      </c>
      <c r="I346" s="5" t="str">
        <f t="shared" si="35"/>
        <v/>
      </c>
      <c r="J346" s="5">
        <f t="shared" si="33"/>
        <v>0</v>
      </c>
      <c r="K346" s="5">
        <f t="shared" si="37"/>
        <v>0</v>
      </c>
      <c r="L346" s="5">
        <f t="shared" si="36"/>
        <v>0</v>
      </c>
      <c r="M346" s="5">
        <f t="shared" si="38"/>
        <v>0</v>
      </c>
    </row>
    <row r="347" spans="7:13" x14ac:dyDescent="0.45">
      <c r="G347" s="7">
        <f t="shared" si="34"/>
        <v>1</v>
      </c>
      <c r="I347" s="5" t="str">
        <f t="shared" si="35"/>
        <v/>
      </c>
      <c r="J347" s="5">
        <f t="shared" si="33"/>
        <v>0</v>
      </c>
      <c r="K347" s="5">
        <f t="shared" si="37"/>
        <v>0</v>
      </c>
      <c r="L347" s="5">
        <f t="shared" si="36"/>
        <v>0</v>
      </c>
      <c r="M347" s="5">
        <f t="shared" si="38"/>
        <v>0</v>
      </c>
    </row>
    <row r="348" spans="7:13" x14ac:dyDescent="0.45">
      <c r="G348" s="7">
        <f t="shared" si="34"/>
        <v>1</v>
      </c>
      <c r="I348" s="5" t="str">
        <f t="shared" si="35"/>
        <v/>
      </c>
      <c r="J348" s="5">
        <f t="shared" si="33"/>
        <v>0</v>
      </c>
      <c r="K348" s="5">
        <f t="shared" si="37"/>
        <v>0</v>
      </c>
      <c r="L348" s="5">
        <f t="shared" si="36"/>
        <v>0</v>
      </c>
      <c r="M348" s="5">
        <f t="shared" si="38"/>
        <v>0</v>
      </c>
    </row>
    <row r="349" spans="7:13" x14ac:dyDescent="0.45">
      <c r="G349" s="7">
        <f t="shared" si="34"/>
        <v>1</v>
      </c>
      <c r="I349" s="5" t="str">
        <f t="shared" si="35"/>
        <v/>
      </c>
      <c r="J349" s="5">
        <f t="shared" si="33"/>
        <v>0</v>
      </c>
      <c r="K349" s="5">
        <f t="shared" si="37"/>
        <v>0</v>
      </c>
      <c r="L349" s="5">
        <f t="shared" si="36"/>
        <v>0</v>
      </c>
      <c r="M349" s="5">
        <f t="shared" si="38"/>
        <v>0</v>
      </c>
    </row>
    <row r="350" spans="7:13" x14ac:dyDescent="0.45">
      <c r="G350" s="7">
        <f t="shared" si="34"/>
        <v>1</v>
      </c>
      <c r="I350" s="5" t="str">
        <f t="shared" si="35"/>
        <v/>
      </c>
      <c r="J350" s="5">
        <f t="shared" si="33"/>
        <v>0</v>
      </c>
      <c r="K350" s="5">
        <f t="shared" si="37"/>
        <v>0</v>
      </c>
      <c r="L350" s="5">
        <f t="shared" si="36"/>
        <v>0</v>
      </c>
      <c r="M350" s="5">
        <f t="shared" si="38"/>
        <v>0</v>
      </c>
    </row>
    <row r="351" spans="7:13" x14ac:dyDescent="0.45">
      <c r="G351" s="7">
        <f t="shared" si="34"/>
        <v>1</v>
      </c>
      <c r="I351" s="5" t="str">
        <f t="shared" si="35"/>
        <v/>
      </c>
      <c r="J351" s="5">
        <f t="shared" si="33"/>
        <v>0</v>
      </c>
      <c r="K351" s="5">
        <f t="shared" si="37"/>
        <v>0</v>
      </c>
      <c r="L351" s="5">
        <f t="shared" si="36"/>
        <v>0</v>
      </c>
      <c r="M351" s="5">
        <f t="shared" si="38"/>
        <v>0</v>
      </c>
    </row>
    <row r="352" spans="7:13" x14ac:dyDescent="0.45">
      <c r="G352" s="7">
        <f t="shared" si="34"/>
        <v>1</v>
      </c>
      <c r="I352" s="5" t="str">
        <f t="shared" si="35"/>
        <v/>
      </c>
      <c r="J352" s="5">
        <f t="shared" si="33"/>
        <v>0</v>
      </c>
      <c r="K352" s="5">
        <f t="shared" si="37"/>
        <v>0</v>
      </c>
      <c r="L352" s="5">
        <f t="shared" si="36"/>
        <v>0</v>
      </c>
      <c r="M352" s="5">
        <f t="shared" si="38"/>
        <v>0</v>
      </c>
    </row>
    <row r="353" spans="7:13" x14ac:dyDescent="0.45">
      <c r="G353" s="7">
        <f t="shared" si="34"/>
        <v>1</v>
      </c>
      <c r="I353" s="5" t="str">
        <f t="shared" si="35"/>
        <v/>
      </c>
      <c r="J353" s="5">
        <f t="shared" si="33"/>
        <v>0</v>
      </c>
      <c r="K353" s="5">
        <f t="shared" si="37"/>
        <v>0</v>
      </c>
      <c r="L353" s="5">
        <f t="shared" si="36"/>
        <v>0</v>
      </c>
      <c r="M353" s="5">
        <f t="shared" si="38"/>
        <v>0</v>
      </c>
    </row>
    <row r="354" spans="7:13" x14ac:dyDescent="0.45">
      <c r="G354" s="7">
        <f t="shared" si="34"/>
        <v>1</v>
      </c>
      <c r="I354" s="5" t="str">
        <f t="shared" si="35"/>
        <v/>
      </c>
      <c r="J354" s="5">
        <f t="shared" si="33"/>
        <v>0</v>
      </c>
      <c r="K354" s="5">
        <f t="shared" si="37"/>
        <v>0</v>
      </c>
      <c r="L354" s="5">
        <f t="shared" si="36"/>
        <v>0</v>
      </c>
      <c r="M354" s="5">
        <f t="shared" si="38"/>
        <v>0</v>
      </c>
    </row>
    <row r="355" spans="7:13" x14ac:dyDescent="0.45">
      <c r="G355" s="7">
        <f t="shared" si="34"/>
        <v>1</v>
      </c>
      <c r="I355" s="5" t="str">
        <f t="shared" si="35"/>
        <v/>
      </c>
      <c r="J355" s="5">
        <f t="shared" si="33"/>
        <v>0</v>
      </c>
      <c r="K355" s="5">
        <f t="shared" si="37"/>
        <v>0</v>
      </c>
      <c r="L355" s="5">
        <f t="shared" si="36"/>
        <v>0</v>
      </c>
      <c r="M355" s="5">
        <f t="shared" si="38"/>
        <v>0</v>
      </c>
    </row>
    <row r="356" spans="7:13" x14ac:dyDescent="0.45">
      <c r="G356" s="7">
        <f t="shared" si="34"/>
        <v>1</v>
      </c>
      <c r="I356" s="5" t="str">
        <f t="shared" si="35"/>
        <v/>
      </c>
      <c r="J356" s="5">
        <f t="shared" si="33"/>
        <v>0</v>
      </c>
      <c r="K356" s="5">
        <f t="shared" si="37"/>
        <v>0</v>
      </c>
      <c r="L356" s="5">
        <f t="shared" si="36"/>
        <v>0</v>
      </c>
      <c r="M356" s="5">
        <f t="shared" si="38"/>
        <v>0</v>
      </c>
    </row>
    <row r="357" spans="7:13" x14ac:dyDescent="0.45">
      <c r="G357" s="7">
        <f t="shared" si="34"/>
        <v>1</v>
      </c>
      <c r="I357" s="5" t="str">
        <f t="shared" si="35"/>
        <v/>
      </c>
      <c r="J357" s="5">
        <f t="shared" si="33"/>
        <v>0</v>
      </c>
      <c r="K357" s="5">
        <f t="shared" si="37"/>
        <v>0</v>
      </c>
      <c r="L357" s="5">
        <f t="shared" si="36"/>
        <v>0</v>
      </c>
      <c r="M357" s="5">
        <f t="shared" si="38"/>
        <v>0</v>
      </c>
    </row>
    <row r="358" spans="7:13" x14ac:dyDescent="0.45">
      <c r="G358" s="7">
        <f t="shared" si="34"/>
        <v>1</v>
      </c>
      <c r="I358" s="5" t="str">
        <f t="shared" si="35"/>
        <v/>
      </c>
      <c r="J358" s="5">
        <f t="shared" si="33"/>
        <v>0</v>
      </c>
      <c r="K358" s="5">
        <f t="shared" si="37"/>
        <v>0</v>
      </c>
      <c r="L358" s="5">
        <f t="shared" si="36"/>
        <v>0</v>
      </c>
      <c r="M358" s="5">
        <f t="shared" si="38"/>
        <v>0</v>
      </c>
    </row>
    <row r="359" spans="7:13" x14ac:dyDescent="0.45">
      <c r="G359" s="7">
        <f t="shared" si="34"/>
        <v>1</v>
      </c>
      <c r="I359" s="5" t="str">
        <f t="shared" si="35"/>
        <v/>
      </c>
      <c r="J359" s="5">
        <f t="shared" si="33"/>
        <v>0</v>
      </c>
      <c r="K359" s="5">
        <f t="shared" si="37"/>
        <v>0</v>
      </c>
      <c r="L359" s="5">
        <f t="shared" si="36"/>
        <v>0</v>
      </c>
      <c r="M359" s="5">
        <f t="shared" si="38"/>
        <v>0</v>
      </c>
    </row>
    <row r="360" spans="7:13" x14ac:dyDescent="0.45">
      <c r="G360" s="7">
        <f t="shared" si="34"/>
        <v>1</v>
      </c>
      <c r="I360" s="5" t="str">
        <f t="shared" si="35"/>
        <v/>
      </c>
      <c r="J360" s="5">
        <f t="shared" si="33"/>
        <v>0</v>
      </c>
      <c r="K360" s="5">
        <f t="shared" si="37"/>
        <v>0</v>
      </c>
      <c r="L360" s="5">
        <f t="shared" si="36"/>
        <v>0</v>
      </c>
      <c r="M360" s="5">
        <f t="shared" si="38"/>
        <v>0</v>
      </c>
    </row>
    <row r="361" spans="7:13" x14ac:dyDescent="0.45">
      <c r="G361" s="7">
        <f t="shared" si="34"/>
        <v>1</v>
      </c>
      <c r="I361" s="5" t="str">
        <f t="shared" si="35"/>
        <v/>
      </c>
      <c r="J361" s="5">
        <f t="shared" si="33"/>
        <v>0</v>
      </c>
      <c r="K361" s="5">
        <f t="shared" si="37"/>
        <v>0</v>
      </c>
      <c r="L361" s="5">
        <f t="shared" si="36"/>
        <v>0</v>
      </c>
      <c r="M361" s="5">
        <f t="shared" si="38"/>
        <v>0</v>
      </c>
    </row>
    <row r="362" spans="7:13" x14ac:dyDescent="0.45">
      <c r="G362" s="7">
        <f t="shared" si="34"/>
        <v>1</v>
      </c>
      <c r="I362" s="5" t="str">
        <f t="shared" si="35"/>
        <v/>
      </c>
      <c r="J362" s="5">
        <f t="shared" si="33"/>
        <v>0</v>
      </c>
      <c r="K362" s="5">
        <f t="shared" si="37"/>
        <v>0</v>
      </c>
      <c r="L362" s="5">
        <f t="shared" si="36"/>
        <v>0</v>
      </c>
      <c r="M362" s="5">
        <f t="shared" si="38"/>
        <v>0</v>
      </c>
    </row>
    <row r="363" spans="7:13" x14ac:dyDescent="0.45">
      <c r="G363" s="7">
        <f t="shared" si="34"/>
        <v>1</v>
      </c>
      <c r="I363" s="5" t="str">
        <f t="shared" si="35"/>
        <v/>
      </c>
      <c r="J363" s="5">
        <f t="shared" si="33"/>
        <v>0</v>
      </c>
      <c r="K363" s="5">
        <f t="shared" si="37"/>
        <v>0</v>
      </c>
      <c r="L363" s="5">
        <f t="shared" si="36"/>
        <v>0</v>
      </c>
      <c r="M363" s="5">
        <f t="shared" si="38"/>
        <v>0</v>
      </c>
    </row>
    <row r="364" spans="7:13" x14ac:dyDescent="0.45">
      <c r="G364" s="7">
        <f t="shared" si="34"/>
        <v>1</v>
      </c>
      <c r="I364" s="5" t="str">
        <f t="shared" si="35"/>
        <v/>
      </c>
      <c r="J364" s="5">
        <f t="shared" si="33"/>
        <v>0</v>
      </c>
      <c r="K364" s="5">
        <f t="shared" si="37"/>
        <v>0</v>
      </c>
      <c r="L364" s="5">
        <f t="shared" si="36"/>
        <v>0</v>
      </c>
      <c r="M364" s="5">
        <f t="shared" si="38"/>
        <v>0</v>
      </c>
    </row>
    <row r="365" spans="7:13" x14ac:dyDescent="0.45">
      <c r="G365" s="7">
        <f t="shared" si="34"/>
        <v>1</v>
      </c>
      <c r="I365" s="5" t="str">
        <f t="shared" si="35"/>
        <v/>
      </c>
      <c r="J365" s="5">
        <f t="shared" si="33"/>
        <v>0</v>
      </c>
      <c r="K365" s="5">
        <f t="shared" si="37"/>
        <v>0</v>
      </c>
      <c r="L365" s="5">
        <f t="shared" si="36"/>
        <v>0</v>
      </c>
      <c r="M365" s="5">
        <f t="shared" si="38"/>
        <v>0</v>
      </c>
    </row>
    <row r="366" spans="7:13" x14ac:dyDescent="0.45">
      <c r="G366" s="7">
        <f t="shared" si="34"/>
        <v>1</v>
      </c>
      <c r="I366" s="5" t="str">
        <f t="shared" si="35"/>
        <v/>
      </c>
      <c r="J366" s="5">
        <f t="shared" si="33"/>
        <v>0</v>
      </c>
      <c r="K366" s="5">
        <f t="shared" si="37"/>
        <v>0</v>
      </c>
      <c r="L366" s="5">
        <f t="shared" si="36"/>
        <v>0</v>
      </c>
      <c r="M366" s="5">
        <f t="shared" si="38"/>
        <v>0</v>
      </c>
    </row>
    <row r="367" spans="7:13" x14ac:dyDescent="0.45">
      <c r="G367" s="7">
        <f t="shared" si="34"/>
        <v>1</v>
      </c>
      <c r="I367" s="5" t="str">
        <f t="shared" si="35"/>
        <v/>
      </c>
      <c r="J367" s="5">
        <f t="shared" si="33"/>
        <v>0</v>
      </c>
      <c r="K367" s="5">
        <f t="shared" si="37"/>
        <v>0</v>
      </c>
      <c r="L367" s="5">
        <f t="shared" si="36"/>
        <v>0</v>
      </c>
      <c r="M367" s="5">
        <f t="shared" si="38"/>
        <v>0</v>
      </c>
    </row>
    <row r="368" spans="7:13" x14ac:dyDescent="0.45">
      <c r="G368" s="7">
        <f t="shared" si="34"/>
        <v>1</v>
      </c>
      <c r="I368" s="5" t="str">
        <f t="shared" si="35"/>
        <v/>
      </c>
      <c r="J368" s="5">
        <f t="shared" si="33"/>
        <v>0</v>
      </c>
      <c r="K368" s="5">
        <f t="shared" si="37"/>
        <v>0</v>
      </c>
      <c r="L368" s="5">
        <f t="shared" si="36"/>
        <v>0</v>
      </c>
      <c r="M368" s="5">
        <f t="shared" si="38"/>
        <v>0</v>
      </c>
    </row>
    <row r="369" spans="7:13" x14ac:dyDescent="0.45">
      <c r="G369" s="7">
        <f t="shared" si="34"/>
        <v>1</v>
      </c>
      <c r="I369" s="5" t="str">
        <f t="shared" si="35"/>
        <v/>
      </c>
      <c r="J369" s="5">
        <f t="shared" si="33"/>
        <v>0</v>
      </c>
      <c r="K369" s="5">
        <f t="shared" si="37"/>
        <v>0</v>
      </c>
      <c r="L369" s="5">
        <f t="shared" si="36"/>
        <v>0</v>
      </c>
      <c r="M369" s="5">
        <f t="shared" si="38"/>
        <v>0</v>
      </c>
    </row>
    <row r="370" spans="7:13" x14ac:dyDescent="0.45">
      <c r="G370" s="7">
        <f t="shared" si="34"/>
        <v>1</v>
      </c>
      <c r="I370" s="5" t="str">
        <f t="shared" si="35"/>
        <v/>
      </c>
      <c r="J370" s="5">
        <f t="shared" si="33"/>
        <v>0</v>
      </c>
      <c r="K370" s="5">
        <f t="shared" si="37"/>
        <v>0</v>
      </c>
      <c r="L370" s="5">
        <f t="shared" si="36"/>
        <v>0</v>
      </c>
      <c r="M370" s="5">
        <f t="shared" si="38"/>
        <v>0</v>
      </c>
    </row>
    <row r="371" spans="7:13" x14ac:dyDescent="0.45">
      <c r="G371" s="7">
        <f t="shared" si="34"/>
        <v>1</v>
      </c>
      <c r="I371" s="5" t="str">
        <f t="shared" si="35"/>
        <v/>
      </c>
      <c r="J371" s="5">
        <f t="shared" si="33"/>
        <v>0</v>
      </c>
      <c r="K371" s="5">
        <f t="shared" si="37"/>
        <v>0</v>
      </c>
      <c r="L371" s="5">
        <f t="shared" si="36"/>
        <v>0</v>
      </c>
      <c r="M371" s="5">
        <f t="shared" si="38"/>
        <v>0</v>
      </c>
    </row>
    <row r="372" spans="7:13" x14ac:dyDescent="0.45">
      <c r="G372" s="7">
        <f t="shared" si="34"/>
        <v>1</v>
      </c>
      <c r="I372" s="5" t="str">
        <f t="shared" si="35"/>
        <v/>
      </c>
      <c r="J372" s="5">
        <f t="shared" si="33"/>
        <v>0</v>
      </c>
      <c r="K372" s="5">
        <f t="shared" si="37"/>
        <v>0</v>
      </c>
      <c r="L372" s="5">
        <f t="shared" si="36"/>
        <v>0</v>
      </c>
      <c r="M372" s="5">
        <f t="shared" si="38"/>
        <v>0</v>
      </c>
    </row>
    <row r="373" spans="7:13" x14ac:dyDescent="0.45">
      <c r="G373" s="7">
        <f t="shared" si="34"/>
        <v>1</v>
      </c>
      <c r="I373" s="5" t="str">
        <f t="shared" si="35"/>
        <v/>
      </c>
      <c r="J373" s="5">
        <f t="shared" si="33"/>
        <v>0</v>
      </c>
      <c r="K373" s="5">
        <f t="shared" si="37"/>
        <v>0</v>
      </c>
      <c r="L373" s="5">
        <f t="shared" si="36"/>
        <v>0</v>
      </c>
      <c r="M373" s="5">
        <f t="shared" si="38"/>
        <v>0</v>
      </c>
    </row>
    <row r="374" spans="7:13" x14ac:dyDescent="0.45">
      <c r="G374" s="7">
        <f t="shared" si="34"/>
        <v>1</v>
      </c>
      <c r="I374" s="5" t="str">
        <f t="shared" si="35"/>
        <v/>
      </c>
      <c r="J374" s="5">
        <f t="shared" si="33"/>
        <v>0</v>
      </c>
      <c r="K374" s="5">
        <f t="shared" si="37"/>
        <v>0</v>
      </c>
      <c r="L374" s="5">
        <f t="shared" si="36"/>
        <v>0</v>
      </c>
      <c r="M374" s="5">
        <f t="shared" si="38"/>
        <v>0</v>
      </c>
    </row>
    <row r="375" spans="7:13" x14ac:dyDescent="0.45">
      <c r="G375" s="7">
        <f t="shared" si="34"/>
        <v>1</v>
      </c>
      <c r="I375" s="5" t="str">
        <f t="shared" si="35"/>
        <v/>
      </c>
      <c r="J375" s="5">
        <f t="shared" si="33"/>
        <v>0</v>
      </c>
      <c r="K375" s="5">
        <f t="shared" si="37"/>
        <v>0</v>
      </c>
      <c r="L375" s="5">
        <f t="shared" si="36"/>
        <v>0</v>
      </c>
      <c r="M375" s="5">
        <f t="shared" si="38"/>
        <v>0</v>
      </c>
    </row>
    <row r="376" spans="7:13" x14ac:dyDescent="0.45">
      <c r="G376" s="7">
        <f t="shared" si="34"/>
        <v>1</v>
      </c>
      <c r="I376" s="5" t="str">
        <f t="shared" si="35"/>
        <v/>
      </c>
      <c r="J376" s="5">
        <f t="shared" si="33"/>
        <v>0</v>
      </c>
      <c r="K376" s="5">
        <f t="shared" si="37"/>
        <v>0</v>
      </c>
      <c r="L376" s="5">
        <f t="shared" si="36"/>
        <v>0</v>
      </c>
      <c r="M376" s="5">
        <f t="shared" si="38"/>
        <v>0</v>
      </c>
    </row>
    <row r="377" spans="7:13" x14ac:dyDescent="0.45">
      <c r="G377" s="7">
        <f t="shared" si="34"/>
        <v>1</v>
      </c>
      <c r="I377" s="5" t="str">
        <f t="shared" si="35"/>
        <v/>
      </c>
      <c r="J377" s="5">
        <f t="shared" si="33"/>
        <v>0</v>
      </c>
      <c r="K377" s="5">
        <f t="shared" si="37"/>
        <v>0</v>
      </c>
      <c r="L377" s="5">
        <f t="shared" si="36"/>
        <v>0</v>
      </c>
      <c r="M377" s="5">
        <f t="shared" si="38"/>
        <v>0</v>
      </c>
    </row>
    <row r="378" spans="7:13" x14ac:dyDescent="0.45">
      <c r="G378" s="7">
        <f t="shared" si="34"/>
        <v>1</v>
      </c>
      <c r="I378" s="5" t="str">
        <f t="shared" si="35"/>
        <v/>
      </c>
      <c r="J378" s="5">
        <f t="shared" si="33"/>
        <v>0</v>
      </c>
      <c r="K378" s="5">
        <f t="shared" si="37"/>
        <v>0</v>
      </c>
      <c r="L378" s="5">
        <f t="shared" si="36"/>
        <v>0</v>
      </c>
      <c r="M378" s="5">
        <f t="shared" si="38"/>
        <v>0</v>
      </c>
    </row>
    <row r="379" spans="7:13" x14ac:dyDescent="0.45">
      <c r="G379" s="7">
        <f t="shared" si="34"/>
        <v>1</v>
      </c>
      <c r="I379" s="5" t="str">
        <f t="shared" si="35"/>
        <v/>
      </c>
      <c r="J379" s="5">
        <f t="shared" si="33"/>
        <v>0</v>
      </c>
      <c r="K379" s="5">
        <f t="shared" si="37"/>
        <v>0</v>
      </c>
      <c r="L379" s="5">
        <f t="shared" si="36"/>
        <v>0</v>
      </c>
      <c r="M379" s="5">
        <f t="shared" si="38"/>
        <v>0</v>
      </c>
    </row>
    <row r="380" spans="7:13" x14ac:dyDescent="0.45">
      <c r="G380" s="7">
        <f t="shared" si="34"/>
        <v>1</v>
      </c>
      <c r="I380" s="5" t="str">
        <f t="shared" si="35"/>
        <v/>
      </c>
      <c r="J380" s="5">
        <f t="shared" si="33"/>
        <v>0</v>
      </c>
      <c r="K380" s="5">
        <f t="shared" si="37"/>
        <v>0</v>
      </c>
      <c r="L380" s="5">
        <f t="shared" si="36"/>
        <v>0</v>
      </c>
      <c r="M380" s="5">
        <f t="shared" si="38"/>
        <v>0</v>
      </c>
    </row>
    <row r="381" spans="7:13" x14ac:dyDescent="0.45">
      <c r="G381" s="7">
        <f t="shared" si="34"/>
        <v>1</v>
      </c>
      <c r="I381" s="5" t="str">
        <f t="shared" si="35"/>
        <v/>
      </c>
      <c r="J381" s="5">
        <f t="shared" si="33"/>
        <v>0</v>
      </c>
      <c r="K381" s="5">
        <f t="shared" si="37"/>
        <v>0</v>
      </c>
      <c r="L381" s="5">
        <f t="shared" si="36"/>
        <v>0</v>
      </c>
      <c r="M381" s="5">
        <f t="shared" si="38"/>
        <v>0</v>
      </c>
    </row>
    <row r="382" spans="7:13" x14ac:dyDescent="0.45">
      <c r="G382" s="7">
        <f t="shared" si="34"/>
        <v>1</v>
      </c>
      <c r="I382" s="5" t="str">
        <f t="shared" si="35"/>
        <v/>
      </c>
      <c r="J382" s="5">
        <f t="shared" si="33"/>
        <v>0</v>
      </c>
      <c r="K382" s="5">
        <f t="shared" si="37"/>
        <v>0</v>
      </c>
      <c r="L382" s="5">
        <f t="shared" si="36"/>
        <v>0</v>
      </c>
      <c r="M382" s="5">
        <f t="shared" si="38"/>
        <v>0</v>
      </c>
    </row>
    <row r="383" spans="7:13" x14ac:dyDescent="0.45">
      <c r="G383" s="7">
        <f t="shared" si="34"/>
        <v>1</v>
      </c>
      <c r="I383" s="5" t="str">
        <f t="shared" si="35"/>
        <v/>
      </c>
      <c r="J383" s="5">
        <f t="shared" si="33"/>
        <v>0</v>
      </c>
      <c r="K383" s="5">
        <f t="shared" si="37"/>
        <v>0</v>
      </c>
      <c r="L383" s="5">
        <f t="shared" si="36"/>
        <v>0</v>
      </c>
      <c r="M383" s="5">
        <f t="shared" si="38"/>
        <v>0</v>
      </c>
    </row>
    <row r="384" spans="7:13" x14ac:dyDescent="0.45">
      <c r="G384" s="7">
        <f t="shared" si="34"/>
        <v>1</v>
      </c>
      <c r="I384" s="5" t="str">
        <f t="shared" si="35"/>
        <v/>
      </c>
      <c r="J384" s="5">
        <f t="shared" si="33"/>
        <v>0</v>
      </c>
      <c r="K384" s="5">
        <f t="shared" si="37"/>
        <v>0</v>
      </c>
      <c r="L384" s="5">
        <f t="shared" si="36"/>
        <v>0</v>
      </c>
      <c r="M384" s="5">
        <f t="shared" si="38"/>
        <v>0</v>
      </c>
    </row>
    <row r="385" spans="7:13" x14ac:dyDescent="0.45">
      <c r="G385" s="7">
        <f t="shared" si="34"/>
        <v>1</v>
      </c>
      <c r="I385" s="5" t="str">
        <f t="shared" si="35"/>
        <v/>
      </c>
      <c r="J385" s="5">
        <f t="shared" si="33"/>
        <v>0</v>
      </c>
      <c r="K385" s="5">
        <f t="shared" si="37"/>
        <v>0</v>
      </c>
      <c r="L385" s="5">
        <f t="shared" si="36"/>
        <v>0</v>
      </c>
      <c r="M385" s="5">
        <f t="shared" si="38"/>
        <v>0</v>
      </c>
    </row>
    <row r="386" spans="7:13" x14ac:dyDescent="0.45">
      <c r="G386" s="7">
        <f t="shared" si="34"/>
        <v>1</v>
      </c>
      <c r="I386" s="5" t="str">
        <f t="shared" si="35"/>
        <v/>
      </c>
      <c r="J386" s="5">
        <f t="shared" si="33"/>
        <v>0</v>
      </c>
      <c r="K386" s="5">
        <f t="shared" si="37"/>
        <v>0</v>
      </c>
      <c r="L386" s="5">
        <f t="shared" si="36"/>
        <v>0</v>
      </c>
      <c r="M386" s="5">
        <f t="shared" si="38"/>
        <v>0</v>
      </c>
    </row>
    <row r="387" spans="7:13" x14ac:dyDescent="0.45">
      <c r="G387" s="7">
        <f t="shared" si="34"/>
        <v>1</v>
      </c>
      <c r="I387" s="5" t="str">
        <f t="shared" si="35"/>
        <v/>
      </c>
      <c r="J387" s="5">
        <f t="shared" ref="J387:J417" si="39">IF(AND(G387&gt;=$G$2,H387&gt;=$H$2),I387,0)</f>
        <v>0</v>
      </c>
      <c r="K387" s="5">
        <f t="shared" si="37"/>
        <v>0</v>
      </c>
      <c r="L387" s="5">
        <f t="shared" si="36"/>
        <v>0</v>
      </c>
      <c r="M387" s="5">
        <f t="shared" si="38"/>
        <v>0</v>
      </c>
    </row>
    <row r="388" spans="7:13" x14ac:dyDescent="0.45">
      <c r="G388" s="7">
        <f t="shared" ref="G388:G417" si="40">100%-E388</f>
        <v>1</v>
      </c>
      <c r="I388" s="5" t="str">
        <f t="shared" ref="I388:I417" si="41">IF(D388&lt;&gt;"",D388-D387,"")</f>
        <v/>
      </c>
      <c r="J388" s="5">
        <f t="shared" si="39"/>
        <v>0</v>
      </c>
      <c r="K388" s="5">
        <f t="shared" si="37"/>
        <v>0</v>
      </c>
      <c r="L388" s="5">
        <f t="shared" ref="L388:L417" si="42">IF(AND(G388&gt;=$G$3,H388&gt;=$H$3),I388,0)</f>
        <v>0</v>
      </c>
      <c r="M388" s="5">
        <f t="shared" si="38"/>
        <v>0</v>
      </c>
    </row>
    <row r="389" spans="7:13" x14ac:dyDescent="0.45">
      <c r="G389" s="7">
        <f t="shared" si="40"/>
        <v>1</v>
      </c>
      <c r="I389" s="5" t="str">
        <f t="shared" si="41"/>
        <v/>
      </c>
      <c r="J389" s="5">
        <f t="shared" si="39"/>
        <v>0</v>
      </c>
      <c r="K389" s="5">
        <f t="shared" ref="K389:K417" si="43">IF(J389&gt;0,J389*G389,0)</f>
        <v>0</v>
      </c>
      <c r="L389" s="5">
        <f t="shared" si="42"/>
        <v>0</v>
      </c>
      <c r="M389" s="5">
        <f t="shared" ref="M389:M417" si="44">IF(L389&gt;0,L389*G389,0)</f>
        <v>0</v>
      </c>
    </row>
    <row r="390" spans="7:13" x14ac:dyDescent="0.45">
      <c r="G390" s="7">
        <f t="shared" si="40"/>
        <v>1</v>
      </c>
      <c r="I390" s="5" t="str">
        <f t="shared" si="41"/>
        <v/>
      </c>
      <c r="J390" s="5">
        <f t="shared" si="39"/>
        <v>0</v>
      </c>
      <c r="K390" s="5">
        <f t="shared" si="43"/>
        <v>0</v>
      </c>
      <c r="L390" s="5">
        <f t="shared" si="42"/>
        <v>0</v>
      </c>
      <c r="M390" s="5">
        <f t="shared" si="44"/>
        <v>0</v>
      </c>
    </row>
    <row r="391" spans="7:13" x14ac:dyDescent="0.45">
      <c r="G391" s="7">
        <f t="shared" si="40"/>
        <v>1</v>
      </c>
      <c r="I391" s="5" t="str">
        <f t="shared" si="41"/>
        <v/>
      </c>
      <c r="J391" s="5">
        <f t="shared" si="39"/>
        <v>0</v>
      </c>
      <c r="K391" s="5">
        <f t="shared" si="43"/>
        <v>0</v>
      </c>
      <c r="L391" s="5">
        <f t="shared" si="42"/>
        <v>0</v>
      </c>
      <c r="M391" s="5">
        <f t="shared" si="44"/>
        <v>0</v>
      </c>
    </row>
    <row r="392" spans="7:13" x14ac:dyDescent="0.45">
      <c r="G392" s="7">
        <f t="shared" si="40"/>
        <v>1</v>
      </c>
      <c r="I392" s="5" t="str">
        <f t="shared" si="41"/>
        <v/>
      </c>
      <c r="J392" s="5">
        <f t="shared" si="39"/>
        <v>0</v>
      </c>
      <c r="K392" s="5">
        <f t="shared" si="43"/>
        <v>0</v>
      </c>
      <c r="L392" s="5">
        <f t="shared" si="42"/>
        <v>0</v>
      </c>
      <c r="M392" s="5">
        <f t="shared" si="44"/>
        <v>0</v>
      </c>
    </row>
    <row r="393" spans="7:13" x14ac:dyDescent="0.45">
      <c r="G393" s="7">
        <f t="shared" si="40"/>
        <v>1</v>
      </c>
      <c r="I393" s="5" t="str">
        <f t="shared" si="41"/>
        <v/>
      </c>
      <c r="J393" s="5">
        <f t="shared" si="39"/>
        <v>0</v>
      </c>
      <c r="K393" s="5">
        <f t="shared" si="43"/>
        <v>0</v>
      </c>
      <c r="L393" s="5">
        <f t="shared" si="42"/>
        <v>0</v>
      </c>
      <c r="M393" s="5">
        <f t="shared" si="44"/>
        <v>0</v>
      </c>
    </row>
    <row r="394" spans="7:13" x14ac:dyDescent="0.45">
      <c r="G394" s="7">
        <f t="shared" si="40"/>
        <v>1</v>
      </c>
      <c r="I394" s="5" t="str">
        <f t="shared" si="41"/>
        <v/>
      </c>
      <c r="J394" s="5">
        <f t="shared" si="39"/>
        <v>0</v>
      </c>
      <c r="K394" s="5">
        <f t="shared" si="43"/>
        <v>0</v>
      </c>
      <c r="L394" s="5">
        <f t="shared" si="42"/>
        <v>0</v>
      </c>
      <c r="M394" s="5">
        <f t="shared" si="44"/>
        <v>0</v>
      </c>
    </row>
    <row r="395" spans="7:13" x14ac:dyDescent="0.45">
      <c r="G395" s="7">
        <f t="shared" si="40"/>
        <v>1</v>
      </c>
      <c r="I395" s="5" t="str">
        <f t="shared" si="41"/>
        <v/>
      </c>
      <c r="J395" s="5">
        <f t="shared" si="39"/>
        <v>0</v>
      </c>
      <c r="K395" s="5">
        <f t="shared" si="43"/>
        <v>0</v>
      </c>
      <c r="L395" s="5">
        <f t="shared" si="42"/>
        <v>0</v>
      </c>
      <c r="M395" s="5">
        <f t="shared" si="44"/>
        <v>0</v>
      </c>
    </row>
    <row r="396" spans="7:13" x14ac:dyDescent="0.45">
      <c r="G396" s="7">
        <f t="shared" si="40"/>
        <v>1</v>
      </c>
      <c r="I396" s="5" t="str">
        <f t="shared" si="41"/>
        <v/>
      </c>
      <c r="J396" s="5">
        <f t="shared" si="39"/>
        <v>0</v>
      </c>
      <c r="K396" s="5">
        <f t="shared" si="43"/>
        <v>0</v>
      </c>
      <c r="L396" s="5">
        <f t="shared" si="42"/>
        <v>0</v>
      </c>
      <c r="M396" s="5">
        <f t="shared" si="44"/>
        <v>0</v>
      </c>
    </row>
    <row r="397" spans="7:13" x14ac:dyDescent="0.45">
      <c r="G397" s="7">
        <f t="shared" si="40"/>
        <v>1</v>
      </c>
      <c r="I397" s="5" t="str">
        <f t="shared" si="41"/>
        <v/>
      </c>
      <c r="J397" s="5">
        <f t="shared" si="39"/>
        <v>0</v>
      </c>
      <c r="K397" s="5">
        <f t="shared" si="43"/>
        <v>0</v>
      </c>
      <c r="L397" s="5">
        <f t="shared" si="42"/>
        <v>0</v>
      </c>
      <c r="M397" s="5">
        <f t="shared" si="44"/>
        <v>0</v>
      </c>
    </row>
    <row r="398" spans="7:13" x14ac:dyDescent="0.45">
      <c r="G398" s="7">
        <f t="shared" si="40"/>
        <v>1</v>
      </c>
      <c r="I398" s="5" t="str">
        <f t="shared" si="41"/>
        <v/>
      </c>
      <c r="J398" s="5">
        <f t="shared" si="39"/>
        <v>0</v>
      </c>
      <c r="K398" s="5">
        <f t="shared" si="43"/>
        <v>0</v>
      </c>
      <c r="L398" s="5">
        <f t="shared" si="42"/>
        <v>0</v>
      </c>
      <c r="M398" s="5">
        <f t="shared" si="44"/>
        <v>0</v>
      </c>
    </row>
    <row r="399" spans="7:13" x14ac:dyDescent="0.45">
      <c r="G399" s="7">
        <f t="shared" si="40"/>
        <v>1</v>
      </c>
      <c r="I399" s="5" t="str">
        <f t="shared" si="41"/>
        <v/>
      </c>
      <c r="J399" s="5">
        <f t="shared" si="39"/>
        <v>0</v>
      </c>
      <c r="K399" s="5">
        <f t="shared" si="43"/>
        <v>0</v>
      </c>
      <c r="L399" s="5">
        <f t="shared" si="42"/>
        <v>0</v>
      </c>
      <c r="M399" s="5">
        <f t="shared" si="44"/>
        <v>0</v>
      </c>
    </row>
    <row r="400" spans="7:13" x14ac:dyDescent="0.45">
      <c r="G400" s="7">
        <f t="shared" si="40"/>
        <v>1</v>
      </c>
      <c r="I400" s="5" t="str">
        <f t="shared" si="41"/>
        <v/>
      </c>
      <c r="J400" s="5">
        <f t="shared" si="39"/>
        <v>0</v>
      </c>
      <c r="K400" s="5">
        <f t="shared" si="43"/>
        <v>0</v>
      </c>
      <c r="L400" s="5">
        <f t="shared" si="42"/>
        <v>0</v>
      </c>
      <c r="M400" s="5">
        <f t="shared" si="44"/>
        <v>0</v>
      </c>
    </row>
    <row r="401" spans="7:13" x14ac:dyDescent="0.45">
      <c r="G401" s="7">
        <f t="shared" si="40"/>
        <v>1</v>
      </c>
      <c r="I401" s="5" t="str">
        <f t="shared" si="41"/>
        <v/>
      </c>
      <c r="J401" s="5">
        <f t="shared" si="39"/>
        <v>0</v>
      </c>
      <c r="K401" s="5">
        <f t="shared" si="43"/>
        <v>0</v>
      </c>
      <c r="L401" s="5">
        <f t="shared" si="42"/>
        <v>0</v>
      </c>
      <c r="M401" s="5">
        <f t="shared" si="44"/>
        <v>0</v>
      </c>
    </row>
    <row r="402" spans="7:13" x14ac:dyDescent="0.45">
      <c r="G402" s="7">
        <f t="shared" si="40"/>
        <v>1</v>
      </c>
      <c r="I402" s="5" t="str">
        <f t="shared" si="41"/>
        <v/>
      </c>
      <c r="J402" s="5">
        <f t="shared" si="39"/>
        <v>0</v>
      </c>
      <c r="K402" s="5">
        <f t="shared" si="43"/>
        <v>0</v>
      </c>
      <c r="L402" s="5">
        <f t="shared" si="42"/>
        <v>0</v>
      </c>
      <c r="M402" s="5">
        <f t="shared" si="44"/>
        <v>0</v>
      </c>
    </row>
    <row r="403" spans="7:13" x14ac:dyDescent="0.45">
      <c r="G403" s="7">
        <f t="shared" si="40"/>
        <v>1</v>
      </c>
      <c r="I403" s="5" t="str">
        <f t="shared" si="41"/>
        <v/>
      </c>
      <c r="J403" s="5">
        <f t="shared" si="39"/>
        <v>0</v>
      </c>
      <c r="K403" s="5">
        <f t="shared" si="43"/>
        <v>0</v>
      </c>
      <c r="L403" s="5">
        <f t="shared" si="42"/>
        <v>0</v>
      </c>
      <c r="M403" s="5">
        <f t="shared" si="44"/>
        <v>0</v>
      </c>
    </row>
    <row r="404" spans="7:13" x14ac:dyDescent="0.45">
      <c r="G404" s="7">
        <f t="shared" si="40"/>
        <v>1</v>
      </c>
      <c r="I404" s="5" t="str">
        <f t="shared" si="41"/>
        <v/>
      </c>
      <c r="J404" s="5">
        <f t="shared" si="39"/>
        <v>0</v>
      </c>
      <c r="K404" s="5">
        <f t="shared" si="43"/>
        <v>0</v>
      </c>
      <c r="L404" s="5">
        <f t="shared" si="42"/>
        <v>0</v>
      </c>
      <c r="M404" s="5">
        <f t="shared" si="44"/>
        <v>0</v>
      </c>
    </row>
    <row r="405" spans="7:13" x14ac:dyDescent="0.45">
      <c r="G405" s="7">
        <f t="shared" si="40"/>
        <v>1</v>
      </c>
      <c r="I405" s="5" t="str">
        <f t="shared" si="41"/>
        <v/>
      </c>
      <c r="J405" s="5">
        <f t="shared" si="39"/>
        <v>0</v>
      </c>
      <c r="K405" s="5">
        <f t="shared" si="43"/>
        <v>0</v>
      </c>
      <c r="L405" s="5">
        <f t="shared" si="42"/>
        <v>0</v>
      </c>
      <c r="M405" s="5">
        <f t="shared" si="44"/>
        <v>0</v>
      </c>
    </row>
    <row r="406" spans="7:13" x14ac:dyDescent="0.45">
      <c r="G406" s="7">
        <f t="shared" si="40"/>
        <v>1</v>
      </c>
      <c r="I406" s="5" t="str">
        <f t="shared" si="41"/>
        <v/>
      </c>
      <c r="J406" s="5">
        <f t="shared" si="39"/>
        <v>0</v>
      </c>
      <c r="K406" s="5">
        <f t="shared" si="43"/>
        <v>0</v>
      </c>
      <c r="L406" s="5">
        <f t="shared" si="42"/>
        <v>0</v>
      </c>
      <c r="M406" s="5">
        <f t="shared" si="44"/>
        <v>0</v>
      </c>
    </row>
    <row r="407" spans="7:13" x14ac:dyDescent="0.45">
      <c r="G407" s="7">
        <f t="shared" si="40"/>
        <v>1</v>
      </c>
      <c r="I407" s="5" t="str">
        <f t="shared" si="41"/>
        <v/>
      </c>
      <c r="J407" s="5">
        <f t="shared" si="39"/>
        <v>0</v>
      </c>
      <c r="K407" s="5">
        <f t="shared" si="43"/>
        <v>0</v>
      </c>
      <c r="L407" s="5">
        <f t="shared" si="42"/>
        <v>0</v>
      </c>
      <c r="M407" s="5">
        <f t="shared" si="44"/>
        <v>0</v>
      </c>
    </row>
    <row r="408" spans="7:13" x14ac:dyDescent="0.45">
      <c r="G408" s="7">
        <f t="shared" si="40"/>
        <v>1</v>
      </c>
      <c r="I408" s="5" t="str">
        <f t="shared" si="41"/>
        <v/>
      </c>
      <c r="J408" s="5">
        <f t="shared" si="39"/>
        <v>0</v>
      </c>
      <c r="K408" s="5">
        <f t="shared" si="43"/>
        <v>0</v>
      </c>
      <c r="L408" s="5">
        <f t="shared" si="42"/>
        <v>0</v>
      </c>
      <c r="M408" s="5">
        <f t="shared" si="44"/>
        <v>0</v>
      </c>
    </row>
    <row r="409" spans="7:13" x14ac:dyDescent="0.45">
      <c r="G409" s="7">
        <f t="shared" si="40"/>
        <v>1</v>
      </c>
      <c r="I409" s="5" t="str">
        <f t="shared" si="41"/>
        <v/>
      </c>
      <c r="J409" s="5">
        <f t="shared" si="39"/>
        <v>0</v>
      </c>
      <c r="K409" s="5">
        <f t="shared" si="43"/>
        <v>0</v>
      </c>
      <c r="L409" s="5">
        <f t="shared" si="42"/>
        <v>0</v>
      </c>
      <c r="M409" s="5">
        <f t="shared" si="44"/>
        <v>0</v>
      </c>
    </row>
    <row r="410" spans="7:13" x14ac:dyDescent="0.45">
      <c r="G410" s="7">
        <f t="shared" si="40"/>
        <v>1</v>
      </c>
      <c r="I410" s="5" t="str">
        <f t="shared" si="41"/>
        <v/>
      </c>
      <c r="J410" s="5">
        <f t="shared" si="39"/>
        <v>0</v>
      </c>
      <c r="K410" s="5">
        <f t="shared" si="43"/>
        <v>0</v>
      </c>
      <c r="L410" s="5">
        <f t="shared" si="42"/>
        <v>0</v>
      </c>
      <c r="M410" s="5">
        <f t="shared" si="44"/>
        <v>0</v>
      </c>
    </row>
    <row r="411" spans="7:13" x14ac:dyDescent="0.45">
      <c r="G411" s="7">
        <f t="shared" si="40"/>
        <v>1</v>
      </c>
      <c r="I411" s="5" t="str">
        <f t="shared" si="41"/>
        <v/>
      </c>
      <c r="J411" s="5">
        <f t="shared" si="39"/>
        <v>0</v>
      </c>
      <c r="K411" s="5">
        <f t="shared" si="43"/>
        <v>0</v>
      </c>
      <c r="L411" s="5">
        <f t="shared" si="42"/>
        <v>0</v>
      </c>
      <c r="M411" s="5">
        <f t="shared" si="44"/>
        <v>0</v>
      </c>
    </row>
    <row r="412" spans="7:13" x14ac:dyDescent="0.45">
      <c r="G412" s="7">
        <f t="shared" si="40"/>
        <v>1</v>
      </c>
      <c r="I412" s="5" t="str">
        <f t="shared" si="41"/>
        <v/>
      </c>
      <c r="J412" s="5">
        <f t="shared" si="39"/>
        <v>0</v>
      </c>
      <c r="K412" s="5">
        <f t="shared" si="43"/>
        <v>0</v>
      </c>
      <c r="L412" s="5">
        <f t="shared" si="42"/>
        <v>0</v>
      </c>
      <c r="M412" s="5">
        <f t="shared" si="44"/>
        <v>0</v>
      </c>
    </row>
    <row r="413" spans="7:13" x14ac:dyDescent="0.45">
      <c r="G413" s="7">
        <f t="shared" si="40"/>
        <v>1</v>
      </c>
      <c r="I413" s="5" t="str">
        <f t="shared" si="41"/>
        <v/>
      </c>
      <c r="J413" s="5">
        <f t="shared" si="39"/>
        <v>0</v>
      </c>
      <c r="K413" s="5">
        <f t="shared" si="43"/>
        <v>0</v>
      </c>
      <c r="L413" s="5">
        <f t="shared" si="42"/>
        <v>0</v>
      </c>
      <c r="M413" s="5">
        <f t="shared" si="44"/>
        <v>0</v>
      </c>
    </row>
    <row r="414" spans="7:13" x14ac:dyDescent="0.45">
      <c r="G414" s="7">
        <f t="shared" si="40"/>
        <v>1</v>
      </c>
      <c r="I414" s="5" t="str">
        <f t="shared" si="41"/>
        <v/>
      </c>
      <c r="J414" s="5">
        <f t="shared" si="39"/>
        <v>0</v>
      </c>
      <c r="K414" s="5">
        <f t="shared" si="43"/>
        <v>0</v>
      </c>
      <c r="L414" s="5">
        <f t="shared" si="42"/>
        <v>0</v>
      </c>
      <c r="M414" s="5">
        <f t="shared" si="44"/>
        <v>0</v>
      </c>
    </row>
    <row r="415" spans="7:13" x14ac:dyDescent="0.45">
      <c r="G415" s="7">
        <f t="shared" si="40"/>
        <v>1</v>
      </c>
      <c r="I415" s="5" t="str">
        <f t="shared" si="41"/>
        <v/>
      </c>
      <c r="J415" s="5">
        <f t="shared" si="39"/>
        <v>0</v>
      </c>
      <c r="K415" s="5">
        <f t="shared" si="43"/>
        <v>0</v>
      </c>
      <c r="L415" s="5">
        <f t="shared" si="42"/>
        <v>0</v>
      </c>
      <c r="M415" s="5">
        <f t="shared" si="44"/>
        <v>0</v>
      </c>
    </row>
    <row r="416" spans="7:13" x14ac:dyDescent="0.45">
      <c r="G416" s="7">
        <f t="shared" si="40"/>
        <v>1</v>
      </c>
      <c r="I416" s="5" t="str">
        <f t="shared" si="41"/>
        <v/>
      </c>
      <c r="J416" s="5">
        <f t="shared" si="39"/>
        <v>0</v>
      </c>
      <c r="K416" s="5">
        <f t="shared" si="43"/>
        <v>0</v>
      </c>
      <c r="L416" s="5">
        <f t="shared" si="42"/>
        <v>0</v>
      </c>
      <c r="M416" s="5">
        <f t="shared" si="44"/>
        <v>0</v>
      </c>
    </row>
    <row r="417" spans="7:13" x14ac:dyDescent="0.45">
      <c r="G417" s="7">
        <f t="shared" si="40"/>
        <v>1</v>
      </c>
      <c r="I417" s="5" t="str">
        <f t="shared" si="41"/>
        <v/>
      </c>
      <c r="J417" s="5">
        <f t="shared" si="39"/>
        <v>0</v>
      </c>
      <c r="K417" s="5">
        <f t="shared" si="43"/>
        <v>0</v>
      </c>
      <c r="L417" s="5">
        <f t="shared" si="42"/>
        <v>0</v>
      </c>
      <c r="M417" s="5">
        <f t="shared" si="44"/>
        <v>0</v>
      </c>
    </row>
  </sheetData>
  <autoFilter ref="A4:L4" xr:uid="{00000000-0009-0000-0000-000000000000}"/>
  <mergeCells count="2">
    <mergeCell ref="A3:F3"/>
    <mergeCell ref="A2:F2"/>
  </mergeCells>
  <conditionalFormatting sqref="I5:I4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81E6183-8E2F-42CF-92D6-A88928A1BDAD}"/>
</file>

<file path=customXml/itemProps2.xml><?xml version="1.0" encoding="utf-8"?>
<ds:datastoreItem xmlns:ds="http://schemas.openxmlformats.org/officeDocument/2006/customXml" ds:itemID="{7132D402-4DF6-4DD6-8A35-693B556B39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4BE41-3237-4AB7-8AD3-1E6F2ABA78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03806DB6-14B2-4501-A8F4-5BAE5832A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Santos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Levesque, Matthew</dc:creator>
  <cp:keywords/>
  <dc:description/>
  <cp:lastModifiedBy>Thiel, Madison (Maddy)</cp:lastModifiedBy>
  <cp:revision/>
  <dcterms:created xsi:type="dcterms:W3CDTF">2021-08-02T03:57:43Z</dcterms:created>
  <dcterms:modified xsi:type="dcterms:W3CDTF">2023-01-17T00:33:41Z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  <property fmtid="{D5CDD505-2E9C-101B-9397-08002B2CF9AE}" pid="4" name="_dlc_DocIdItemGuid">
    <vt:lpwstr>9d773f7b-d3af-43dd-83c4-8d7a9bbf936d</vt:lpwstr>
  </property>
</Properties>
</file>